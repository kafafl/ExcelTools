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llostery.sharepoint.com/sites/Trading/Shared Documents/Biotech 400/"/>
    </mc:Choice>
  </mc:AlternateContent>
  <xr:revisionPtr revIDLastSave="244" documentId="8_{20761646-4ABD-4480-BE29-56C783E4CEB0}" xr6:coauthVersionLast="47" xr6:coauthVersionMax="47" xr10:uidLastSave="{090777B0-0028-4590-9C93-CB0D0AFFF7FC}"/>
  <bookViews>
    <workbookView xWindow="9160" yWindow="290" windowWidth="29010" windowHeight="17930" xr2:uid="{46EFD879-DD30-4EED-85DF-68E6A16820BB}"/>
  </bookViews>
  <sheets>
    <sheet name="Biotech 400" sheetId="1" r:id="rId1"/>
    <sheet name="Config" sheetId="2" state="hidden" r:id="rId2"/>
  </sheets>
  <functionGroups builtInGroupCount="19"/>
  <definedNames>
    <definedName name="AvgVolStart" localSheetId="0">'Biotech 400'!$Q$4</definedName>
    <definedName name="Biotech400" localSheetId="0">'Biotech 400'!$B$4:$W$5001</definedName>
    <definedName name="DropSpot" localSheetId="0">'Biotech 400'!$B$4</definedName>
    <definedName name="LAST_PRICE" localSheetId="0">'Biotech 400'!$AD$3</definedName>
    <definedName name="MASTER_CHANGE">'Biotech 400'!$E$1</definedName>
    <definedName name="MASTER_DATE" localSheetId="0">'Biotech 400'!$B$1</definedName>
    <definedName name="MD_COLS" localSheetId="0">'Biotech 400'!$Y$3:$AD$3</definedName>
    <definedName name="VIEW_LIST" localSheetId="0">Config!$B$3:$B$10</definedName>
    <definedName name="VOLUME_AVG_10D" localSheetId="0">'Biotech 400'!$Y$3</definedName>
    <definedName name="VOLUME_AVG_12M" localSheetId="0">'Biotech 400'!$AC$3</definedName>
    <definedName name="VOLUME_AVG_30D" localSheetId="0">'Biotech 400'!$Z$3</definedName>
    <definedName name="VOLUME_AVG_3M" localSheetId="0">'Biotech 400'!$AA$3</definedName>
    <definedName name="VOLUME_AVG_6M" localSheetId="0">'Biotech 400'!$AB$3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1054" i="1" l="1" a="1"/>
  <c r="AA1054" i="1"/>
  <c r="Y794" i="1" a="1"/>
  <c r="Y794" i="1"/>
  <c r="AB1065" i="1" a="1"/>
  <c r="AB1065" i="1"/>
  <c r="Z794" i="1" a="1"/>
  <c r="Z794" i="1"/>
  <c r="Y580" i="1" a="1"/>
  <c r="Y580" i="1"/>
  <c r="AC689" i="1" a="1"/>
  <c r="AC689" i="1"/>
  <c r="AB257" i="1" a="1"/>
  <c r="AB257" i="1"/>
  <c r="AB580" i="1" a="1"/>
  <c r="AB580" i="1"/>
  <c r="Z257" i="1" a="1"/>
  <c r="Z257" i="1"/>
  <c r="Z1054" i="1" a="1"/>
  <c r="Z1054" i="1"/>
  <c r="AB1539" i="1" a="1"/>
  <c r="AB1539" i="1"/>
  <c r="AA689" i="1" a="1"/>
  <c r="AA689" i="1"/>
  <c r="AC1539" i="1" a="1"/>
  <c r="AC1539" i="1"/>
  <c r="Y257" i="1" a="1"/>
  <c r="Y257" i="1"/>
  <c r="AB689" i="1" a="1"/>
  <c r="AB689" i="1"/>
  <c r="Z1065" i="1" a="1"/>
  <c r="Z1065" i="1"/>
  <c r="Y1539" i="1" a="1"/>
  <c r="Y1539" i="1"/>
  <c r="AC1266" i="1" a="1"/>
  <c r="AC1266" i="1"/>
  <c r="Y1054" i="1" a="1"/>
  <c r="Y1054" i="1"/>
  <c r="AA1266" i="1" a="1"/>
  <c r="AA1266" i="1"/>
  <c r="AC794" i="1" a="1"/>
  <c r="AC794" i="1"/>
  <c r="Y1281" i="1" a="1"/>
  <c r="Y1281" i="1"/>
  <c r="Y1266" i="1" a="1"/>
  <c r="Y1266" i="1"/>
  <c r="AA580" i="1" a="1"/>
  <c r="AA580" i="1"/>
  <c r="AB1054" i="1" a="1"/>
  <c r="AB1054" i="1"/>
  <c r="Y689" i="1" a="1"/>
  <c r="Y689" i="1"/>
  <c r="Z1539" i="1" a="1"/>
  <c r="Z1539" i="1"/>
  <c r="AC1281" i="1" a="1"/>
  <c r="AC1281" i="1"/>
  <c r="AA257" i="1" a="1"/>
  <c r="AA257" i="1"/>
  <c r="AB1266" i="1" a="1"/>
  <c r="AB1266" i="1"/>
  <c r="AA1539" i="1" a="1"/>
  <c r="AA1539" i="1"/>
  <c r="AC1054" i="1" a="1"/>
  <c r="AC1054" i="1"/>
  <c r="AC580" i="1" a="1"/>
  <c r="AC580" i="1"/>
  <c r="AC257" i="1" a="1"/>
  <c r="AC257" i="1"/>
  <c r="AB794" i="1" a="1"/>
  <c r="AB794" i="1"/>
  <c r="Z1266" i="1" a="1"/>
  <c r="Z1266" i="1"/>
  <c r="AA1281" i="1" a="1"/>
  <c r="AA1281" i="1"/>
  <c r="AA794" i="1" a="1"/>
  <c r="AA794" i="1"/>
  <c r="AA1065" i="1" a="1"/>
  <c r="AA1065" i="1"/>
  <c r="Z1281" i="1" a="1"/>
  <c r="Z1281" i="1"/>
  <c r="Z580" i="1" a="1"/>
  <c r="Z580" i="1"/>
  <c r="AC1065" i="1" a="1"/>
  <c r="AC1065" i="1"/>
  <c r="AB1281" i="1" a="1"/>
  <c r="AB1281" i="1"/>
  <c r="Z689" i="1" a="1"/>
  <c r="Z689" i="1"/>
  <c r="Y1065" i="1" a="1"/>
  <c r="Y1065" i="1"/>
  <c r="Y1442" i="1" a="1"/>
  <c r="Y1442" i="1"/>
  <c r="AB1419" i="1" a="1"/>
  <c r="AB1419" i="1"/>
  <c r="AB1029" i="1" a="1"/>
  <c r="AB1029" i="1"/>
  <c r="AC348" i="1" a="1"/>
  <c r="AC348" i="1"/>
  <c r="AC1368" i="1" a="1"/>
  <c r="AC1368" i="1"/>
  <c r="AB229" i="1" a="1"/>
  <c r="AB229" i="1"/>
  <c r="AC542" i="1" a="1"/>
  <c r="AC542" i="1"/>
  <c r="AA825" i="1" a="1"/>
  <c r="AA825" i="1"/>
  <c r="Y348" i="1" a="1"/>
  <c r="Y348" i="1"/>
  <c r="AC139" i="1" a="1"/>
  <c r="AC139" i="1"/>
  <c r="Z1253" i="1" a="1"/>
  <c r="Z1253" i="1"/>
  <c r="AB926" i="1" a="1"/>
  <c r="AB926" i="1"/>
  <c r="AB902" i="1" a="1"/>
  <c r="AB902" i="1"/>
  <c r="Y26" i="1" a="1"/>
  <c r="Y26" i="1"/>
  <c r="Z1442" i="1" a="1"/>
  <c r="Z1442" i="1"/>
  <c r="AA311" i="1" a="1"/>
  <c r="AA311" i="1"/>
  <c r="Z1177" i="1" a="1"/>
  <c r="Z1177" i="1"/>
  <c r="Y229" i="1" a="1"/>
  <c r="Y229" i="1"/>
  <c r="AC1442" i="1" a="1"/>
  <c r="AC1442" i="1"/>
  <c r="AA348" i="1" a="1"/>
  <c r="AA348" i="1"/>
  <c r="Y1370" i="1" a="1"/>
  <c r="Y1370" i="1"/>
  <c r="AC229" i="1" a="1"/>
  <c r="AC229" i="1"/>
  <c r="AA26" i="1" a="1"/>
  <c r="AA26" i="1"/>
  <c r="Z1370" i="1" a="1"/>
  <c r="Z1370" i="1"/>
  <c r="Z812" i="1" a="1"/>
  <c r="Z812" i="1"/>
  <c r="AC812" i="1" a="1"/>
  <c r="AC812" i="1"/>
  <c r="Y825" i="1" a="1"/>
  <c r="Y825" i="1"/>
  <c r="Z139" i="1" a="1"/>
  <c r="Z139" i="1"/>
  <c r="Y926" i="1" a="1"/>
  <c r="Y926" i="1"/>
  <c r="AB1368" i="1" a="1"/>
  <c r="AB1368" i="1"/>
  <c r="Y1419" i="1" a="1"/>
  <c r="Y1419" i="1"/>
  <c r="AC1029" i="1" a="1"/>
  <c r="AC1029" i="1"/>
  <c r="AA1368" i="1" a="1"/>
  <c r="AA1368" i="1"/>
  <c r="AC1370" i="1" a="1"/>
  <c r="AC1370" i="1"/>
  <c r="Z348" i="1" a="1"/>
  <c r="Z348" i="1"/>
  <c r="AA926" i="1" a="1"/>
  <c r="AA926" i="1"/>
  <c r="Z588" i="1" a="1"/>
  <c r="Z588" i="1"/>
  <c r="Z1470" i="1" a="1"/>
  <c r="Z1470" i="1"/>
  <c r="Z229" i="1" a="1"/>
  <c r="Z229" i="1"/>
  <c r="AA1253" i="1" a="1"/>
  <c r="AA1253" i="1"/>
  <c r="AA1442" i="1" a="1"/>
  <c r="AA1442" i="1"/>
  <c r="AA1419" i="1" a="1"/>
  <c r="AA1419" i="1"/>
  <c r="Y311" i="1" a="1"/>
  <c r="Y311" i="1"/>
  <c r="AB825" i="1" a="1"/>
  <c r="AB825" i="1"/>
  <c r="AC1470" i="1" a="1"/>
  <c r="AC1470" i="1"/>
  <c r="AB1177" i="1" a="1"/>
  <c r="AB1177" i="1"/>
  <c r="AA1470" i="1" a="1"/>
  <c r="AA1470" i="1"/>
  <c r="AA542" i="1" a="1"/>
  <c r="AA542" i="1"/>
  <c r="Y588" i="1" a="1"/>
  <c r="Y588" i="1"/>
  <c r="Y1253" i="1" a="1"/>
  <c r="Y1253" i="1"/>
  <c r="Z825" i="1" a="1"/>
  <c r="Z825" i="1"/>
  <c r="AA588" i="1" a="1"/>
  <c r="AA588" i="1"/>
  <c r="AC926" i="1" a="1"/>
  <c r="AC926" i="1"/>
  <c r="AB1470" i="1" a="1"/>
  <c r="AB1470" i="1"/>
  <c r="AB1253" i="1" a="1"/>
  <c r="AB1253" i="1"/>
  <c r="AB311" i="1" a="1"/>
  <c r="AB311" i="1"/>
  <c r="AC26" i="1" a="1"/>
  <c r="AC26" i="1"/>
  <c r="AC311" i="1" a="1"/>
  <c r="AC311" i="1"/>
  <c r="Y883" i="1" a="1"/>
  <c r="Y883" i="1"/>
  <c r="AB542" i="1" a="1"/>
  <c r="AB542" i="1"/>
  <c r="Z883" i="1" a="1"/>
  <c r="Z883" i="1"/>
  <c r="Y812" i="1" a="1"/>
  <c r="Y812" i="1"/>
  <c r="AC588" i="1" a="1"/>
  <c r="AC588" i="1"/>
  <c r="AA1177" i="1" a="1"/>
  <c r="AA1177" i="1"/>
  <c r="AB812" i="1" a="1"/>
  <c r="AB812" i="1"/>
  <c r="AC902" i="1" a="1"/>
  <c r="AC902" i="1"/>
  <c r="AB1370" i="1" a="1"/>
  <c r="AB1370" i="1"/>
  <c r="AB139" i="1" a="1"/>
  <c r="AB139" i="1"/>
  <c r="AB26" i="1" a="1"/>
  <c r="AB26" i="1"/>
  <c r="Y1029" i="1" a="1"/>
  <c r="Y1029" i="1"/>
  <c r="AA1029" i="1" a="1"/>
  <c r="AA1029" i="1"/>
  <c r="AA139" i="1" a="1"/>
  <c r="AA139" i="1"/>
  <c r="Y542" i="1" a="1"/>
  <c r="Y542" i="1"/>
  <c r="AC883" i="1" a="1"/>
  <c r="AC883" i="1"/>
  <c r="Y1177" i="1" a="1"/>
  <c r="Y1177" i="1"/>
  <c r="Z1368" i="1" a="1"/>
  <c r="Z1368" i="1"/>
  <c r="AB883" i="1" a="1"/>
  <c r="AB883" i="1"/>
  <c r="Z902" i="1" a="1"/>
  <c r="Z902" i="1"/>
  <c r="Z1419" i="1" a="1"/>
  <c r="Z1419" i="1"/>
  <c r="Y902" i="1" a="1"/>
  <c r="Y902" i="1"/>
  <c r="Y139" i="1" a="1"/>
  <c r="Y139" i="1"/>
  <c r="AC1419" i="1" a="1"/>
  <c r="AC1419" i="1"/>
  <c r="AA902" i="1" a="1"/>
  <c r="AA902" i="1"/>
  <c r="Z1029" i="1" a="1"/>
  <c r="Z1029" i="1"/>
  <c r="AB1442" i="1" a="1"/>
  <c r="AB1442" i="1"/>
  <c r="Y1470" i="1" a="1"/>
  <c r="Y1470" i="1"/>
  <c r="AA812" i="1" a="1"/>
  <c r="AA812" i="1"/>
  <c r="AC1177" i="1" a="1"/>
  <c r="AC1177" i="1"/>
  <c r="Z926" i="1" a="1"/>
  <c r="Z926" i="1"/>
  <c r="Z311" i="1" a="1"/>
  <c r="Z311" i="1"/>
  <c r="Z542" i="1" a="1"/>
  <c r="Z542" i="1"/>
  <c r="AA229" i="1" a="1"/>
  <c r="AA229" i="1"/>
  <c r="AB588" i="1" a="1"/>
  <c r="AB588" i="1"/>
  <c r="AA1370" i="1" a="1"/>
  <c r="AA1370" i="1"/>
  <c r="AC825" i="1" a="1"/>
  <c r="AC825" i="1"/>
  <c r="AB348" i="1" a="1"/>
  <c r="AB348" i="1"/>
  <c r="AA883" i="1" a="1"/>
  <c r="AA883" i="1"/>
  <c r="Z26" i="1" a="1"/>
  <c r="Z26" i="1"/>
  <c r="AC1253" i="1" a="1"/>
  <c r="AC1253" i="1"/>
  <c r="Y1368" i="1" a="1"/>
  <c r="Y1368" i="1"/>
  <c r="AC540" i="1" a="1"/>
  <c r="AC540" i="1"/>
  <c r="AA540" i="1" a="1"/>
  <c r="AA540" i="1"/>
  <c r="AC103" i="1" a="1"/>
  <c r="AC103" i="1"/>
  <c r="AA176" i="1" a="1"/>
  <c r="AA176" i="1"/>
  <c r="AB604" i="1" a="1"/>
  <c r="AB604" i="1"/>
  <c r="AC59" i="1" a="1"/>
  <c r="AC59" i="1"/>
  <c r="AC604" i="1" a="1"/>
  <c r="AC604" i="1"/>
  <c r="AC265" i="1" a="1"/>
  <c r="AC265" i="1"/>
  <c r="AA1458" i="1" a="1"/>
  <c r="AA1458" i="1"/>
  <c r="AA194" i="1" a="1"/>
  <c r="AA194" i="1"/>
  <c r="AB194" i="1" a="1"/>
  <c r="AB194" i="1"/>
  <c r="AB59" i="1" a="1"/>
  <c r="AB59" i="1"/>
  <c r="AB969" i="1" a="1"/>
  <c r="AB969" i="1"/>
  <c r="Z194" i="1" a="1"/>
  <c r="Z194" i="1"/>
  <c r="AC194" i="1" a="1"/>
  <c r="AC194" i="1"/>
  <c r="AA265" i="1" a="1"/>
  <c r="AA265" i="1"/>
  <c r="AB1458" i="1" a="1"/>
  <c r="AB1458" i="1"/>
  <c r="Y969" i="1" a="1"/>
  <c r="Y969" i="1"/>
  <c r="AC176" i="1" a="1"/>
  <c r="AC176" i="1"/>
  <c r="Z176" i="1" a="1"/>
  <c r="Z176" i="1"/>
  <c r="AA498" i="1" a="1"/>
  <c r="AA498" i="1"/>
  <c r="Y265" i="1" a="1"/>
  <c r="Y265" i="1"/>
  <c r="Y498" i="1" a="1"/>
  <c r="Y498" i="1"/>
  <c r="Z1458" i="1" a="1"/>
  <c r="Z1458" i="1"/>
  <c r="AA59" i="1" a="1"/>
  <c r="AA59" i="1"/>
  <c r="AB265" i="1" a="1"/>
  <c r="AB265" i="1"/>
  <c r="AB176" i="1" a="1"/>
  <c r="AB176" i="1"/>
  <c r="Y604" i="1" a="1"/>
  <c r="Y604" i="1"/>
  <c r="AB103" i="1" a="1"/>
  <c r="AB103" i="1"/>
  <c r="AA604" i="1" a="1"/>
  <c r="AA604" i="1"/>
  <c r="Y103" i="1" a="1"/>
  <c r="Y103" i="1"/>
  <c r="Y1458" i="1" a="1"/>
  <c r="Y1458" i="1"/>
  <c r="AB540" i="1" a="1"/>
  <c r="AB540" i="1"/>
  <c r="Z969" i="1" a="1"/>
  <c r="Z969" i="1"/>
  <c r="AC969" i="1" a="1"/>
  <c r="AC969" i="1"/>
  <c r="Z540" i="1" a="1"/>
  <c r="Z540" i="1"/>
  <c r="Z103" i="1" a="1"/>
  <c r="Z103" i="1"/>
  <c r="AB498" i="1" a="1"/>
  <c r="AB498" i="1"/>
  <c r="Z498" i="1" a="1"/>
  <c r="Z498" i="1"/>
  <c r="Z59" i="1" a="1"/>
  <c r="Z59" i="1"/>
  <c r="Y59" i="1" a="1"/>
  <c r="Y59" i="1"/>
  <c r="AC1458" i="1" a="1"/>
  <c r="AC1458" i="1"/>
  <c r="Y194" i="1" a="1"/>
  <c r="Y194" i="1"/>
  <c r="AA103" i="1" a="1"/>
  <c r="AA103" i="1"/>
  <c r="Y176" i="1" a="1"/>
  <c r="Y176" i="1"/>
  <c r="AA969" i="1" a="1"/>
  <c r="AA969" i="1"/>
  <c r="Y540" i="1" a="1"/>
  <c r="Y540" i="1"/>
  <c r="Z265" i="1" a="1"/>
  <c r="Z265" i="1"/>
  <c r="Z604" i="1" a="1"/>
  <c r="Z604" i="1"/>
  <c r="AC498" i="1" a="1"/>
  <c r="AC498" i="1"/>
  <c r="AA66" i="1" a="1"/>
  <c r="AA66" i="1"/>
  <c r="AB435" i="1" a="1"/>
  <c r="AB435" i="1"/>
  <c r="AA845" i="1" a="1"/>
  <c r="AA845" i="1"/>
  <c r="AB1373" i="1" a="1"/>
  <c r="AB1373" i="1"/>
  <c r="AA1460" i="1" a="1"/>
  <c r="AA1460" i="1"/>
  <c r="AC1075" i="1" a="1"/>
  <c r="AC1075" i="1"/>
  <c r="AB245" i="1" a="1"/>
  <c r="AB245" i="1"/>
  <c r="Z1089" i="1" a="1"/>
  <c r="Z1089" i="1"/>
  <c r="AB268" i="1" a="1"/>
  <c r="AB268" i="1"/>
  <c r="Z1373" i="1" a="1"/>
  <c r="Z1373" i="1"/>
  <c r="AC1460" i="1" a="1"/>
  <c r="AC1460" i="1"/>
  <c r="AB1460" i="1" a="1"/>
  <c r="AB1460" i="1"/>
  <c r="AB1089" i="1" a="1"/>
  <c r="AB1089" i="1"/>
  <c r="AC805" i="1" a="1"/>
  <c r="AC805" i="1"/>
  <c r="AC845" i="1" a="1"/>
  <c r="AC845" i="1"/>
  <c r="Y1460" i="1" a="1"/>
  <c r="Y1460" i="1"/>
  <c r="AA1075" i="1" a="1"/>
  <c r="AA1075" i="1"/>
  <c r="AA805" i="1" a="1"/>
  <c r="AA805" i="1"/>
  <c r="AB845" i="1" a="1"/>
  <c r="AB845" i="1"/>
  <c r="AC66" i="1" a="1"/>
  <c r="AC66" i="1"/>
  <c r="Y1089" i="1" a="1"/>
  <c r="Y1089" i="1"/>
  <c r="Y1373" i="1" a="1"/>
  <c r="Y1373" i="1"/>
  <c r="Z435" i="1" a="1"/>
  <c r="Z435" i="1"/>
  <c r="Y435" i="1" a="1"/>
  <c r="Y435" i="1"/>
  <c r="AA435" i="1" a="1"/>
  <c r="AA435" i="1"/>
  <c r="AC245" i="1" a="1"/>
  <c r="AC245" i="1"/>
  <c r="AB805" i="1" a="1"/>
  <c r="AB805" i="1"/>
  <c r="Y1075" i="1" a="1"/>
  <c r="Y1075" i="1"/>
  <c r="AA268" i="1" a="1"/>
  <c r="AA268" i="1"/>
  <c r="Z845" i="1" a="1"/>
  <c r="Z845" i="1"/>
  <c r="AC1089" i="1" a="1"/>
  <c r="AC1089" i="1"/>
  <c r="Y245" i="1" a="1"/>
  <c r="Y245" i="1"/>
  <c r="Z245" i="1" a="1"/>
  <c r="Z245" i="1"/>
  <c r="AC1373" i="1" a="1"/>
  <c r="AC1373" i="1"/>
  <c r="Y805" i="1" a="1"/>
  <c r="Y805" i="1"/>
  <c r="AC268" i="1" a="1"/>
  <c r="AC268" i="1"/>
  <c r="AB1075" i="1" a="1"/>
  <c r="AB1075" i="1"/>
  <c r="Y66" i="1" a="1"/>
  <c r="Y66" i="1"/>
  <c r="Z268" i="1" a="1"/>
  <c r="Z268" i="1"/>
  <c r="Z66" i="1" a="1"/>
  <c r="Z66" i="1"/>
  <c r="AA1089" i="1" a="1"/>
  <c r="AA1089" i="1"/>
  <c r="Z805" i="1" a="1"/>
  <c r="Z805" i="1"/>
  <c r="AA1373" i="1" a="1"/>
  <c r="AA1373" i="1"/>
  <c r="Z1075" i="1" a="1"/>
  <c r="Z1075" i="1"/>
  <c r="AA245" i="1" a="1"/>
  <c r="AA245" i="1"/>
  <c r="AB66" i="1" a="1"/>
  <c r="AB66" i="1"/>
  <c r="Y268" i="1" a="1"/>
  <c r="Y268" i="1"/>
  <c r="Z1460" i="1" a="1"/>
  <c r="Z1460" i="1"/>
  <c r="Y845" i="1" a="1"/>
  <c r="Y845" i="1"/>
  <c r="AC435" i="1" a="1"/>
  <c r="AC435" i="1"/>
  <c r="AC310" i="1" a="1"/>
  <c r="AC310" i="1"/>
  <c r="Y769" i="1" a="1"/>
  <c r="Y769" i="1"/>
  <c r="Z1135" i="1" a="1"/>
  <c r="Z1135" i="1"/>
  <c r="Z769" i="1" a="1"/>
  <c r="Z769" i="1"/>
  <c r="Y1300" i="1" a="1"/>
  <c r="Y1300" i="1"/>
  <c r="AA954" i="1" a="1"/>
  <c r="AA954" i="1"/>
  <c r="AC677" i="1" a="1"/>
  <c r="AC677" i="1"/>
  <c r="Z376" i="1" a="1"/>
  <c r="Z376" i="1"/>
  <c r="AB1300" i="1" a="1"/>
  <c r="AB1300" i="1"/>
  <c r="AC376" i="1" a="1"/>
  <c r="AC376" i="1"/>
  <c r="AB769" i="1" a="1"/>
  <c r="AB769" i="1"/>
  <c r="Z503" i="1" a="1"/>
  <c r="Z503" i="1"/>
  <c r="AA310" i="1" a="1"/>
  <c r="AA310" i="1"/>
  <c r="AB503" i="1" a="1"/>
  <c r="AB503" i="1"/>
  <c r="AA503" i="1" a="1"/>
  <c r="AA503" i="1"/>
  <c r="AC721" i="1" a="1"/>
  <c r="AC721" i="1"/>
  <c r="AA721" i="1" a="1"/>
  <c r="AA721" i="1"/>
  <c r="AA376" i="1" a="1"/>
  <c r="AA376" i="1"/>
  <c r="Y1135" i="1" a="1"/>
  <c r="Y1135" i="1"/>
  <c r="AA1135" i="1" a="1"/>
  <c r="AA1135" i="1"/>
  <c r="AA677" i="1" a="1"/>
  <c r="AA677" i="1"/>
  <c r="Z752" i="1" a="1"/>
  <c r="Z752" i="1"/>
  <c r="AA752" i="1" a="1"/>
  <c r="AA752" i="1"/>
  <c r="Y954" i="1" a="1"/>
  <c r="Y954" i="1"/>
  <c r="Y721" i="1" a="1"/>
  <c r="Y721" i="1"/>
  <c r="AB677" i="1" a="1"/>
  <c r="AB677" i="1"/>
  <c r="Y503" i="1" a="1"/>
  <c r="Y503" i="1"/>
  <c r="AC769" i="1" a="1"/>
  <c r="AC769" i="1"/>
  <c r="AB954" i="1" a="1"/>
  <c r="AB954" i="1"/>
  <c r="AB376" i="1" a="1"/>
  <c r="AB376" i="1"/>
  <c r="AC752" i="1" a="1"/>
  <c r="AC752" i="1"/>
  <c r="Z677" i="1" a="1"/>
  <c r="Z677" i="1"/>
  <c r="Z1300" i="1" a="1"/>
  <c r="Z1300" i="1"/>
  <c r="AC1135" i="1" a="1"/>
  <c r="AC1135" i="1"/>
  <c r="Z310" i="1" a="1"/>
  <c r="Z310" i="1"/>
  <c r="Z721" i="1" a="1"/>
  <c r="Z721" i="1"/>
  <c r="Z954" i="1" a="1"/>
  <c r="Z954" i="1"/>
  <c r="Y310" i="1" a="1"/>
  <c r="Y310" i="1"/>
  <c r="AB752" i="1" a="1"/>
  <c r="AB752" i="1"/>
  <c r="Y752" i="1" a="1"/>
  <c r="Y752" i="1"/>
  <c r="AB310" i="1" a="1"/>
  <c r="AB310" i="1"/>
  <c r="AA769" i="1" a="1"/>
  <c r="AA769" i="1"/>
  <c r="AA1300" i="1" a="1"/>
  <c r="AA1300" i="1"/>
  <c r="AB1135" i="1" a="1"/>
  <c r="AB1135" i="1"/>
  <c r="AC1300" i="1" a="1"/>
  <c r="AC1300" i="1"/>
  <c r="Y677" i="1" a="1"/>
  <c r="Y677" i="1"/>
  <c r="Y376" i="1" a="1"/>
  <c r="Y376" i="1"/>
  <c r="AC954" i="1" a="1"/>
  <c r="AC954" i="1"/>
  <c r="AC503" i="1" a="1"/>
  <c r="AC503" i="1"/>
  <c r="AB721" i="1" a="1"/>
  <c r="AB721" i="1"/>
  <c r="AA505" i="1" a="1"/>
  <c r="AA505" i="1"/>
  <c r="AC1375" i="1" a="1"/>
  <c r="AC1375" i="1"/>
  <c r="AC1477" i="1" a="1"/>
  <c r="AC1477" i="1"/>
  <c r="Z486" i="1" a="1"/>
  <c r="Z486" i="1"/>
  <c r="AA641" i="1" a="1"/>
  <c r="AA641" i="1"/>
  <c r="Y879" i="1" a="1"/>
  <c r="Y879" i="1"/>
  <c r="Z1477" i="1" a="1"/>
  <c r="Z1477" i="1"/>
  <c r="Z730" i="1" a="1"/>
  <c r="Z730" i="1"/>
  <c r="Z1292" i="1" a="1"/>
  <c r="Z1292" i="1"/>
  <c r="AB1477" i="1" a="1"/>
  <c r="AB1477" i="1"/>
  <c r="Z1622" i="1"/>
  <c r="AB1375" i="1" a="1"/>
  <c r="AB1375" i="1"/>
  <c r="AC641" i="1" a="1"/>
  <c r="AC641" i="1"/>
  <c r="AB879" i="1" a="1"/>
  <c r="AB879" i="1"/>
  <c r="Y1375" i="1" a="1"/>
  <c r="Y1375" i="1"/>
  <c r="AB486" i="1" a="1"/>
  <c r="AB486" i="1"/>
  <c r="AA78" i="1" a="1"/>
  <c r="AA78" i="1"/>
  <c r="AB78" i="1" a="1"/>
  <c r="AB78" i="1"/>
  <c r="Z641" i="1" a="1"/>
  <c r="Z641" i="1"/>
  <c r="AB1292" i="1" a="1"/>
  <c r="AB1292" i="1"/>
  <c r="AB1622" i="1"/>
  <c r="Z78" i="1" a="1"/>
  <c r="Z78" i="1"/>
  <c r="AC730" i="1" a="1"/>
  <c r="AC730" i="1"/>
  <c r="AB505" i="1" a="1"/>
  <c r="AB505" i="1"/>
  <c r="AC1622" i="1"/>
  <c r="AA1622" i="1"/>
  <c r="AC1292" i="1" a="1"/>
  <c r="AC1292" i="1"/>
  <c r="Y1477" i="1" a="1"/>
  <c r="Y1477" i="1"/>
  <c r="Y730" i="1" a="1"/>
  <c r="Y730" i="1"/>
  <c r="AA486" i="1" a="1"/>
  <c r="AA486" i="1"/>
  <c r="Y1292" i="1" a="1"/>
  <c r="Y1292" i="1"/>
  <c r="AA879" i="1" a="1"/>
  <c r="AA879" i="1"/>
  <c r="AC505" i="1" a="1"/>
  <c r="AC505" i="1"/>
  <c r="AC78" i="1" a="1"/>
  <c r="AC78" i="1"/>
  <c r="AB641" i="1" a="1"/>
  <c r="AB641" i="1"/>
  <c r="Y505" i="1" a="1"/>
  <c r="Y505" i="1"/>
  <c r="Z879" i="1" a="1"/>
  <c r="Z879" i="1"/>
  <c r="Y486" i="1" a="1"/>
  <c r="Y486" i="1"/>
  <c r="AA730" i="1" a="1"/>
  <c r="AA730" i="1"/>
  <c r="AA1375" i="1" a="1"/>
  <c r="AA1375" i="1"/>
  <c r="Y1622" i="1"/>
  <c r="AC486" i="1" a="1"/>
  <c r="AC486" i="1"/>
  <c r="Z505" i="1" a="1"/>
  <c r="Z505" i="1"/>
  <c r="AB730" i="1" a="1"/>
  <c r="AB730" i="1"/>
  <c r="AA1292" i="1" a="1"/>
  <c r="AA1292" i="1"/>
  <c r="Y641" i="1" a="1"/>
  <c r="Y641" i="1"/>
  <c r="AA1477" i="1" a="1"/>
  <c r="AA1477" i="1"/>
  <c r="AC879" i="1" a="1"/>
  <c r="AC879" i="1"/>
  <c r="Z1375" i="1" a="1"/>
  <c r="Z1375" i="1"/>
  <c r="Y78" i="1" a="1"/>
  <c r="Y78" i="1"/>
  <c r="Y48" i="1" a="1"/>
  <c r="Y48" i="1"/>
  <c r="Z1103" i="1" a="1"/>
  <c r="Z1103" i="1"/>
  <c r="AA184" i="1" a="1"/>
  <c r="AA184" i="1"/>
  <c r="Y948" i="1" a="1"/>
  <c r="Y948" i="1"/>
  <c r="Y1473" i="1" a="1"/>
  <c r="Y1473" i="1"/>
  <c r="Z476" i="1" a="1"/>
  <c r="Z476" i="1"/>
  <c r="AA1217" i="1" a="1"/>
  <c r="AA1217" i="1"/>
  <c r="AA72" i="1" a="1"/>
  <c r="AA72" i="1"/>
  <c r="AC1217" i="1" a="1"/>
  <c r="AC1217" i="1"/>
  <c r="AA1473" i="1" a="1"/>
  <c r="AA1473" i="1"/>
  <c r="AA948" i="1" a="1"/>
  <c r="AA948" i="1"/>
  <c r="AB456" i="1" a="1"/>
  <c r="AB456" i="1"/>
  <c r="AB184" i="1" a="1"/>
  <c r="AB184" i="1"/>
  <c r="AB651" i="1" a="1"/>
  <c r="AB651" i="1"/>
  <c r="AA651" i="1" a="1"/>
  <c r="AA651" i="1"/>
  <c r="AC1376" i="1" a="1"/>
  <c r="AC1376" i="1"/>
  <c r="AA793" i="1" a="1"/>
  <c r="AA793" i="1"/>
  <c r="AC900" i="1" a="1"/>
  <c r="AC900" i="1"/>
  <c r="Y651" i="1" a="1"/>
  <c r="Y651" i="1"/>
  <c r="AA476" i="1" a="1"/>
  <c r="AA476" i="1"/>
  <c r="AB1217" i="1" a="1"/>
  <c r="AB1217" i="1"/>
  <c r="AA1376" i="1" a="1"/>
  <c r="AA1376" i="1"/>
  <c r="Y456" i="1" a="1"/>
  <c r="Y456" i="1"/>
  <c r="AC1473" i="1" a="1"/>
  <c r="AC1473" i="1"/>
  <c r="Z72" i="1" a="1"/>
  <c r="Z72" i="1"/>
  <c r="Y476" i="1" a="1"/>
  <c r="Y476" i="1"/>
  <c r="AC651" i="1" a="1"/>
  <c r="AC651" i="1"/>
  <c r="Z184" i="1" a="1"/>
  <c r="Z184" i="1"/>
  <c r="Z793" i="1" a="1"/>
  <c r="Z793" i="1"/>
  <c r="Z1220" i="1" a="1"/>
  <c r="Z1220" i="1"/>
  <c r="AC476" i="1" a="1"/>
  <c r="AC476" i="1"/>
  <c r="Z1257" i="1" a="1"/>
  <c r="Z1257" i="1"/>
  <c r="AB900" i="1" a="1"/>
  <c r="AB900" i="1"/>
  <c r="Z611" i="1" a="1"/>
  <c r="Z611" i="1"/>
  <c r="AA841" i="1" a="1"/>
  <c r="AA841" i="1"/>
  <c r="AB1220" i="1" a="1"/>
  <c r="AB1220" i="1"/>
  <c r="AC72" i="1" a="1"/>
  <c r="AC72" i="1"/>
  <c r="Z627" i="1" a="1"/>
  <c r="Z627" i="1"/>
  <c r="AC1103" i="1" a="1"/>
  <c r="AC1103" i="1"/>
  <c r="AA1257" i="1" a="1"/>
  <c r="AA1257" i="1"/>
  <c r="AA74" i="1" a="1"/>
  <c r="AA74" i="1"/>
  <c r="Y900" i="1" a="1"/>
  <c r="Y900" i="1"/>
  <c r="AB793" i="1" a="1"/>
  <c r="AB793" i="1"/>
  <c r="Z48" i="1" a="1"/>
  <c r="Z48" i="1"/>
  <c r="AB72" i="1" a="1"/>
  <c r="AB72" i="1"/>
  <c r="Y1257" i="1" a="1"/>
  <c r="Y1257" i="1"/>
  <c r="Y1103" i="1" a="1"/>
  <c r="Y1103" i="1"/>
  <c r="AC1257" i="1" a="1"/>
  <c r="AC1257" i="1"/>
  <c r="AA48" i="1" a="1"/>
  <c r="AA48" i="1"/>
  <c r="Y1220" i="1" a="1"/>
  <c r="Y1220" i="1"/>
  <c r="AC793" i="1" a="1"/>
  <c r="AC793" i="1"/>
  <c r="AB841" i="1" a="1"/>
  <c r="AB841" i="1"/>
  <c r="Z456" i="1" a="1"/>
  <c r="Z456" i="1"/>
  <c r="AA900" i="1" a="1"/>
  <c r="AA900" i="1"/>
  <c r="AC1220" i="1" a="1"/>
  <c r="AC1220" i="1"/>
  <c r="Y841" i="1" a="1"/>
  <c r="Y841" i="1"/>
  <c r="Y1217" i="1" a="1"/>
  <c r="Y1217" i="1"/>
  <c r="Y793" i="1" a="1"/>
  <c r="Y793" i="1"/>
  <c r="AB1103" i="1" a="1"/>
  <c r="AB1103" i="1"/>
  <c r="AA611" i="1" a="1"/>
  <c r="AA611" i="1"/>
  <c r="Z841" i="1" a="1"/>
  <c r="Z841" i="1"/>
  <c r="AB476" i="1" a="1"/>
  <c r="AB476" i="1"/>
  <c r="Z900" i="1" a="1"/>
  <c r="Z900" i="1"/>
  <c r="AA1220" i="1" a="1"/>
  <c r="AA1220" i="1"/>
  <c r="Z1217" i="1" a="1"/>
  <c r="Z1217" i="1"/>
  <c r="AC184" i="1" a="1"/>
  <c r="AC184" i="1"/>
  <c r="Y72" i="1" a="1"/>
  <c r="Y72" i="1"/>
  <c r="Y627" i="1" a="1"/>
  <c r="Y627" i="1"/>
  <c r="AB1257" i="1" a="1"/>
  <c r="AB1257" i="1"/>
  <c r="Y184" i="1" a="1"/>
  <c r="Y184" i="1"/>
  <c r="AA1103" i="1" a="1"/>
  <c r="AA1103" i="1"/>
  <c r="AC1617" i="1"/>
  <c r="Z1617" i="1"/>
  <c r="Z651" i="1" a="1"/>
  <c r="Z651" i="1"/>
  <c r="Y611" i="1" a="1"/>
  <c r="Y611" i="1"/>
  <c r="AC948" i="1" a="1"/>
  <c r="AC948" i="1"/>
  <c r="Y1617" i="1"/>
  <c r="AB74" i="1" a="1"/>
  <c r="AB74" i="1"/>
  <c r="Y74" i="1" a="1"/>
  <c r="Y74" i="1"/>
  <c r="AC74" i="1" a="1"/>
  <c r="AC74" i="1"/>
  <c r="AB48" i="1" a="1"/>
  <c r="AB48" i="1"/>
  <c r="AC627" i="1" a="1"/>
  <c r="AC627" i="1"/>
  <c r="AB627" i="1" a="1"/>
  <c r="AB627" i="1"/>
  <c r="AB611" i="1" a="1"/>
  <c r="AB611" i="1"/>
  <c r="Z1376" i="1" a="1"/>
  <c r="Z1376" i="1"/>
  <c r="Z948" i="1" a="1"/>
  <c r="Z948" i="1"/>
  <c r="AA456" i="1" a="1"/>
  <c r="AA456" i="1"/>
  <c r="Z1473" i="1" a="1"/>
  <c r="Z1473" i="1"/>
  <c r="AB1617" i="1"/>
  <c r="AB1376" i="1" a="1"/>
  <c r="AB1376" i="1"/>
  <c r="AB1473" i="1" a="1"/>
  <c r="AB1473" i="1"/>
  <c r="AC456" i="1" a="1"/>
  <c r="AC456" i="1"/>
  <c r="AC841" i="1" a="1"/>
  <c r="AC841" i="1"/>
  <c r="AC611" i="1" a="1"/>
  <c r="AC611" i="1"/>
  <c r="Y1376" i="1" a="1"/>
  <c r="Y1376" i="1"/>
  <c r="AA627" i="1" a="1"/>
  <c r="AA627" i="1"/>
  <c r="AC48" i="1" a="1"/>
  <c r="AC48" i="1"/>
  <c r="AB948" i="1" a="1"/>
  <c r="AB948" i="1"/>
  <c r="AA1617" i="1"/>
  <c r="Z74" i="1" a="1"/>
  <c r="Z74" i="1"/>
  <c r="Y1108" i="1" a="1"/>
  <c r="Y1108" i="1"/>
  <c r="AC480" i="1" a="1"/>
  <c r="AC480" i="1"/>
  <c r="AA15" i="1" a="1"/>
  <c r="AA15" i="1"/>
  <c r="AB1341" i="1" a="1"/>
  <c r="AB1341" i="1"/>
  <c r="Y1246" i="1" a="1"/>
  <c r="Y1246" i="1"/>
  <c r="AA516" i="1" a="1"/>
  <c r="AA516" i="1"/>
  <c r="Y15" i="1" a="1"/>
  <c r="Y15" i="1"/>
  <c r="AB490" i="1" a="1"/>
  <c r="AB490" i="1"/>
  <c r="AB15" i="1" a="1"/>
  <c r="AB15" i="1"/>
  <c r="Y1341" i="1" a="1"/>
  <c r="Y1341" i="1"/>
  <c r="Y1131" i="1" a="1"/>
  <c r="Y1131" i="1"/>
  <c r="Z516" i="1" a="1"/>
  <c r="Z516" i="1"/>
  <c r="AA1131" i="1" a="1"/>
  <c r="AA1131" i="1"/>
  <c r="Z1108" i="1" a="1"/>
  <c r="Z1108" i="1"/>
  <c r="Z1131" i="1" a="1"/>
  <c r="Z1131" i="1"/>
  <c r="AC490" i="1" a="1"/>
  <c r="AC490" i="1"/>
  <c r="AC559" i="1" a="1"/>
  <c r="AC559" i="1"/>
  <c r="AB559" i="1" a="1"/>
  <c r="AB559" i="1"/>
  <c r="Z559" i="1" a="1"/>
  <c r="Z559" i="1"/>
  <c r="AB699" i="1" a="1"/>
  <c r="AB699" i="1"/>
  <c r="AC1108" i="1" a="1"/>
  <c r="AC1108" i="1"/>
  <c r="AA1108" i="1" a="1"/>
  <c r="AA1108" i="1"/>
  <c r="AB1131" i="1" a="1"/>
  <c r="AB1131" i="1"/>
  <c r="Z1246" i="1" a="1"/>
  <c r="Z1246" i="1"/>
  <c r="Y490" i="1" a="1"/>
  <c r="Y490" i="1"/>
  <c r="AC1246" i="1" a="1"/>
  <c r="AC1246" i="1"/>
  <c r="Y559" i="1" a="1"/>
  <c r="Y559" i="1"/>
  <c r="Z480" i="1" a="1"/>
  <c r="Z480" i="1"/>
  <c r="AA480" i="1" a="1"/>
  <c r="AA480" i="1"/>
  <c r="AB1246" i="1" a="1"/>
  <c r="AB1246" i="1"/>
  <c r="AC516" i="1" a="1"/>
  <c r="AC516" i="1"/>
  <c r="AB516" i="1" a="1"/>
  <c r="AB516" i="1"/>
  <c r="AA1341" i="1" a="1"/>
  <c r="AA1341" i="1"/>
  <c r="Z699" i="1" a="1"/>
  <c r="Z699" i="1"/>
  <c r="AC1341" i="1" a="1"/>
  <c r="AC1341" i="1"/>
  <c r="AC15" i="1" a="1"/>
  <c r="AC15" i="1"/>
  <c r="AA1246" i="1" a="1"/>
  <c r="AA1246" i="1"/>
  <c r="Z1341" i="1" a="1"/>
  <c r="Z1341" i="1"/>
  <c r="AA699" i="1" a="1"/>
  <c r="AA699" i="1"/>
  <c r="Z490" i="1" a="1"/>
  <c r="Z490" i="1"/>
  <c r="Z15" i="1" a="1"/>
  <c r="Z15" i="1"/>
  <c r="AB480" i="1" a="1"/>
  <c r="AB480" i="1"/>
  <c r="Y516" i="1" a="1"/>
  <c r="Y516" i="1"/>
  <c r="Y480" i="1" a="1"/>
  <c r="Y480" i="1"/>
  <c r="AC699" i="1" a="1"/>
  <c r="AC699" i="1"/>
  <c r="AC1131" i="1" a="1"/>
  <c r="AC1131" i="1"/>
  <c r="AA559" i="1" a="1"/>
  <c r="AA559" i="1"/>
  <c r="AA490" i="1" a="1"/>
  <c r="AA490" i="1"/>
  <c r="AB1108" i="1" a="1"/>
  <c r="AB1108" i="1"/>
  <c r="Y699" i="1" a="1"/>
  <c r="Y699" i="1"/>
  <c r="AA720" i="1" a="1"/>
  <c r="AA720" i="1"/>
  <c r="Y618" i="1" a="1"/>
  <c r="Y618" i="1"/>
  <c r="AA972" i="1" a="1"/>
  <c r="AA972" i="1"/>
  <c r="AB366" i="1" a="1"/>
  <c r="AB366" i="1"/>
  <c r="AC972" i="1" a="1"/>
  <c r="AC972" i="1"/>
  <c r="AC618" i="1" a="1"/>
  <c r="AC618" i="1"/>
  <c r="AA1561" i="1"/>
  <c r="AA366" i="1" a="1"/>
  <c r="AA366" i="1"/>
  <c r="AA1434" i="1" a="1"/>
  <c r="AA1434" i="1"/>
  <c r="AC1511" i="1" a="1"/>
  <c r="AC1511" i="1"/>
  <c r="Z720" i="1" a="1"/>
  <c r="Z720" i="1"/>
  <c r="Y1511" i="1" a="1"/>
  <c r="Y1511" i="1"/>
  <c r="AA893" i="1" a="1"/>
  <c r="AA893" i="1"/>
  <c r="Y720" i="1" a="1"/>
  <c r="Y720" i="1"/>
  <c r="AC366" i="1" a="1"/>
  <c r="AC366" i="1"/>
  <c r="Z1561" i="1"/>
  <c r="AB283" i="1" a="1"/>
  <c r="AB283" i="1"/>
  <c r="Z972" i="1" a="1"/>
  <c r="Z972" i="1"/>
  <c r="Y972" i="1" a="1"/>
  <c r="Y972" i="1"/>
  <c r="AB1012" i="1" a="1"/>
  <c r="AB1012" i="1"/>
  <c r="Y1012" i="1" a="1"/>
  <c r="Y1012" i="1"/>
  <c r="Z1434" i="1" a="1"/>
  <c r="Z1434" i="1"/>
  <c r="AA1012" i="1" a="1"/>
  <c r="AA1012" i="1"/>
  <c r="AB1511" i="1" a="1"/>
  <c r="AB1511" i="1"/>
  <c r="AA283" i="1" a="1"/>
  <c r="AA283" i="1"/>
  <c r="Z893" i="1" a="1"/>
  <c r="Z893" i="1"/>
  <c r="Y366" i="1" a="1"/>
  <c r="Y366" i="1"/>
  <c r="AC283" i="1" a="1"/>
  <c r="AC283" i="1"/>
  <c r="AB618" i="1" a="1"/>
  <c r="AB618" i="1"/>
  <c r="AA618" i="1" a="1"/>
  <c r="AA618" i="1"/>
  <c r="Z283" i="1" a="1"/>
  <c r="Z283" i="1"/>
  <c r="AC893" i="1" a="1"/>
  <c r="AC893" i="1"/>
  <c r="Z1012" i="1" a="1"/>
  <c r="Z1012" i="1"/>
  <c r="AC720" i="1" a="1"/>
  <c r="AC720" i="1"/>
  <c r="Y1434" i="1" a="1"/>
  <c r="Y1434" i="1"/>
  <c r="AB1561" i="1"/>
  <c r="Z1511" i="1" a="1"/>
  <c r="Z1511" i="1"/>
  <c r="Y893" i="1" a="1"/>
  <c r="Y893" i="1"/>
  <c r="AC1434" i="1" a="1"/>
  <c r="AC1434" i="1"/>
  <c r="Z618" i="1" a="1"/>
  <c r="Z618" i="1"/>
  <c r="Y1561" i="1"/>
  <c r="Z366" i="1" a="1"/>
  <c r="Z366" i="1"/>
  <c r="Y283" i="1" a="1"/>
  <c r="Y283" i="1"/>
  <c r="AA1511" i="1" a="1"/>
  <c r="AA1511" i="1"/>
  <c r="AC1012" i="1" a="1"/>
  <c r="AC1012" i="1"/>
  <c r="AB972" i="1" a="1"/>
  <c r="AB972" i="1"/>
  <c r="AB1434" i="1" a="1"/>
  <c r="AB1434" i="1"/>
  <c r="AB893" i="1" a="1"/>
  <c r="AB893" i="1"/>
  <c r="AC1561" i="1"/>
  <c r="AB720" i="1" a="1"/>
  <c r="AB720" i="1"/>
  <c r="Y1304" i="1" a="1"/>
  <c r="Y1304" i="1"/>
  <c r="Z1254" i="1" a="1"/>
  <c r="Z1254" i="1"/>
  <c r="AB1521" i="1" a="1"/>
  <c r="AB1521" i="1"/>
  <c r="AC919" i="1" a="1"/>
  <c r="AC919" i="1"/>
  <c r="AB1388" i="1" a="1"/>
  <c r="AB1388" i="1"/>
  <c r="AA946" i="1" a="1"/>
  <c r="AA946" i="1"/>
  <c r="Z722" i="1" a="1"/>
  <c r="Z722" i="1"/>
  <c r="Z946" i="1" a="1"/>
  <c r="Z946" i="1"/>
  <c r="AC722" i="1" a="1"/>
  <c r="AC722" i="1"/>
  <c r="AA47" i="1" a="1"/>
  <c r="AA47" i="1"/>
  <c r="AB1254" i="1" a="1"/>
  <c r="AB1254" i="1"/>
  <c r="AC1254" i="1" a="1"/>
  <c r="AC1254" i="1"/>
  <c r="Y1388" i="1" a="1"/>
  <c r="Y1388" i="1"/>
  <c r="AC1521" i="1" a="1"/>
  <c r="AC1521" i="1"/>
  <c r="AB123" i="1" a="1"/>
  <c r="AB123" i="1"/>
  <c r="Y1254" i="1" a="1"/>
  <c r="Y1254" i="1"/>
  <c r="AC1388" i="1" a="1"/>
  <c r="AC1388" i="1"/>
  <c r="AB919" i="1" a="1"/>
  <c r="AB919" i="1"/>
  <c r="Z1304" i="1" a="1"/>
  <c r="Z1304" i="1"/>
  <c r="AA123" i="1" a="1"/>
  <c r="AA123" i="1"/>
  <c r="Y1521" i="1" a="1"/>
  <c r="Y1521" i="1"/>
  <c r="AA56" i="1" a="1"/>
  <c r="AA56" i="1"/>
  <c r="AA722" i="1" a="1"/>
  <c r="AA722" i="1"/>
  <c r="AC1304" i="1" a="1"/>
  <c r="AC1304" i="1"/>
  <c r="AB946" i="1" a="1"/>
  <c r="AB946" i="1"/>
  <c r="Z56" i="1" a="1"/>
  <c r="Z56" i="1"/>
  <c r="AC946" i="1" a="1"/>
  <c r="AC946" i="1"/>
  <c r="AB47" i="1" a="1"/>
  <c r="AB47" i="1"/>
  <c r="AA919" i="1" a="1"/>
  <c r="AA919" i="1"/>
  <c r="AC47" i="1" a="1"/>
  <c r="AC47" i="1"/>
  <c r="Z123" i="1" a="1"/>
  <c r="Z123" i="1"/>
  <c r="AA1388" i="1" a="1"/>
  <c r="AA1388" i="1"/>
  <c r="Y123" i="1" a="1"/>
  <c r="Y123" i="1"/>
  <c r="Y47" i="1" a="1"/>
  <c r="Y47" i="1"/>
  <c r="Y919" i="1" a="1"/>
  <c r="Y919" i="1"/>
  <c r="AA1521" i="1" a="1"/>
  <c r="AA1521" i="1"/>
  <c r="Y56" i="1" a="1"/>
  <c r="Y56" i="1"/>
  <c r="Z919" i="1" a="1"/>
  <c r="Z919" i="1"/>
  <c r="AB722" i="1" a="1"/>
  <c r="AB722" i="1"/>
  <c r="AB1304" i="1" a="1"/>
  <c r="AB1304" i="1"/>
  <c r="AC56" i="1" a="1"/>
  <c r="AC56" i="1"/>
  <c r="Y946" i="1" a="1"/>
  <c r="Y946" i="1"/>
  <c r="AA1304" i="1" a="1"/>
  <c r="AA1304" i="1"/>
  <c r="AB56" i="1" a="1"/>
  <c r="AB56" i="1"/>
  <c r="Z47" i="1" a="1"/>
  <c r="Z47" i="1"/>
  <c r="Z1521" i="1" a="1"/>
  <c r="Z1521" i="1"/>
  <c r="AC123" i="1" a="1"/>
  <c r="AC123" i="1"/>
  <c r="AA1254" i="1" a="1"/>
  <c r="AA1254" i="1"/>
  <c r="Z1388" i="1" a="1"/>
  <c r="Z1388" i="1"/>
  <c r="Y722" i="1" a="1"/>
  <c r="Y722" i="1"/>
  <c r="Z551" i="1" a="1"/>
  <c r="Z551" i="1"/>
  <c r="AC1310" i="1" a="1"/>
  <c r="AC1310" i="1"/>
  <c r="Z776" i="1" a="1"/>
  <c r="Z776" i="1"/>
  <c r="Z1310" i="1" a="1"/>
  <c r="Z1310" i="1"/>
  <c r="AA882" i="1" a="1"/>
  <c r="AA882" i="1"/>
  <c r="AA220" i="1" a="1"/>
  <c r="AA220" i="1"/>
  <c r="Y1310" i="1" a="1"/>
  <c r="Y1310" i="1"/>
  <c r="Z441" i="1" a="1"/>
  <c r="Z441" i="1"/>
  <c r="Y1575" i="1"/>
  <c r="AB551" i="1" a="1"/>
  <c r="AB551" i="1"/>
  <c r="AB776" i="1" a="1"/>
  <c r="AB776" i="1"/>
  <c r="Y882" i="1" a="1"/>
  <c r="Y882" i="1"/>
  <c r="Z220" i="1" a="1"/>
  <c r="Z220" i="1"/>
  <c r="AB1040" i="1" a="1"/>
  <c r="AB1040" i="1"/>
  <c r="Y1190" i="1" a="1"/>
  <c r="Y1190" i="1"/>
  <c r="AC776" i="1" a="1"/>
  <c r="AC776" i="1"/>
  <c r="AA1575" i="1"/>
  <c r="AA299" i="1" a="1"/>
  <c r="AA299" i="1"/>
  <c r="Y220" i="1" a="1"/>
  <c r="Y220" i="1"/>
  <c r="Y1040" i="1" a="1"/>
  <c r="Y1040" i="1"/>
  <c r="AC551" i="1" a="1"/>
  <c r="AC551" i="1"/>
  <c r="AC1575" i="1"/>
  <c r="AC1040" i="1" a="1"/>
  <c r="AC1040" i="1"/>
  <c r="Z882" i="1" a="1"/>
  <c r="Z882" i="1"/>
  <c r="AA1310" i="1" a="1"/>
  <c r="AA1310" i="1"/>
  <c r="AB1190" i="1" a="1"/>
  <c r="AB1190" i="1"/>
  <c r="AB882" i="1" a="1"/>
  <c r="AB882" i="1"/>
  <c r="AA441" i="1" a="1"/>
  <c r="AA441" i="1"/>
  <c r="Z1575" i="1"/>
  <c r="Y441" i="1" a="1"/>
  <c r="Y441" i="1"/>
  <c r="AB299" i="1" a="1"/>
  <c r="AB299" i="1"/>
  <c r="AA1040" i="1" a="1"/>
  <c r="AA1040" i="1"/>
  <c r="AC1190" i="1" a="1"/>
  <c r="AC1190" i="1"/>
  <c r="AB220" i="1" a="1"/>
  <c r="AB220" i="1"/>
  <c r="AB441" i="1" a="1"/>
  <c r="AB441" i="1"/>
  <c r="Z1190" i="1" a="1"/>
  <c r="Z1190" i="1"/>
  <c r="AA551" i="1" a="1"/>
  <c r="AA551" i="1"/>
  <c r="Y776" i="1" a="1"/>
  <c r="Y776" i="1"/>
  <c r="AC299" i="1" a="1"/>
  <c r="AC299" i="1"/>
  <c r="AC882" i="1" a="1"/>
  <c r="AC882" i="1"/>
  <c r="AA1190" i="1" a="1"/>
  <c r="AA1190" i="1"/>
  <c r="Y299" i="1" a="1"/>
  <c r="Y299" i="1"/>
  <c r="AA776" i="1" a="1"/>
  <c r="AA776" i="1"/>
  <c r="AC441" i="1" a="1"/>
  <c r="AC441" i="1"/>
  <c r="Z299" i="1" a="1"/>
  <c r="Z299" i="1"/>
  <c r="Y551" i="1" a="1"/>
  <c r="Y551" i="1"/>
  <c r="AB1310" i="1" a="1"/>
  <c r="AB1310" i="1"/>
  <c r="Z1040" i="1" a="1"/>
  <c r="Z1040" i="1"/>
  <c r="AC220" i="1" a="1"/>
  <c r="AC220" i="1"/>
  <c r="AB1575" i="1"/>
  <c r="AB1138" i="1" a="1"/>
  <c r="AB1138" i="1"/>
  <c r="AC173" i="1" a="1"/>
  <c r="AC173" i="1"/>
  <c r="Z144" i="1" a="1"/>
  <c r="Z144" i="1"/>
  <c r="Z1541" i="1"/>
  <c r="AA603" i="1" a="1"/>
  <c r="AA603" i="1"/>
  <c r="AB173" i="1" a="1"/>
  <c r="AB173" i="1"/>
  <c r="AC1138" i="1" a="1"/>
  <c r="AC1138" i="1"/>
  <c r="AA1138" i="1" a="1"/>
  <c r="AA1138" i="1"/>
  <c r="AC1541" i="1"/>
  <c r="Y173" i="1" a="1"/>
  <c r="Y173" i="1"/>
  <c r="AB1137" i="1" a="1"/>
  <c r="AB1137" i="1"/>
  <c r="AC454" i="1" a="1"/>
  <c r="AC454" i="1"/>
  <c r="Z1137" i="1" a="1"/>
  <c r="Z1137" i="1"/>
  <c r="AC1559" i="1"/>
  <c r="AB144" i="1" a="1"/>
  <c r="AB144" i="1"/>
  <c r="AB221" i="1" a="1"/>
  <c r="AB221" i="1"/>
  <c r="AA454" i="1" a="1"/>
  <c r="AA454" i="1"/>
  <c r="AB454" i="1" a="1"/>
  <c r="AB454" i="1"/>
  <c r="Y1559" i="1"/>
  <c r="AB1541" i="1"/>
  <c r="Z713" i="1" a="1"/>
  <c r="Z713" i="1"/>
  <c r="AA221" i="1" a="1"/>
  <c r="AA221" i="1"/>
  <c r="Z1138" i="1" a="1"/>
  <c r="Z1138" i="1"/>
  <c r="AB713" i="1" a="1"/>
  <c r="AB713" i="1"/>
  <c r="Y221" i="1" a="1"/>
  <c r="Y221" i="1"/>
  <c r="Y713" i="1" a="1"/>
  <c r="Y713" i="1"/>
  <c r="AB603" i="1" a="1"/>
  <c r="AB603" i="1"/>
  <c r="AC221" i="1" a="1"/>
  <c r="AC221" i="1"/>
  <c r="AC144" i="1" a="1"/>
  <c r="AC144" i="1"/>
  <c r="Y1541" i="1"/>
  <c r="AA1137" i="1" a="1"/>
  <c r="AA1137" i="1"/>
  <c r="AA144" i="1" a="1"/>
  <c r="AA144" i="1"/>
  <c r="AA173" i="1" a="1"/>
  <c r="AA173" i="1"/>
  <c r="Y1137" i="1" a="1"/>
  <c r="Y1137" i="1"/>
  <c r="AB1559" i="1"/>
  <c r="AA713" i="1" a="1"/>
  <c r="AA713" i="1"/>
  <c r="Y454" i="1" a="1"/>
  <c r="Y454" i="1"/>
  <c r="Z603" i="1" a="1"/>
  <c r="Z603" i="1"/>
  <c r="AA1559" i="1"/>
  <c r="Y603" i="1" a="1"/>
  <c r="Y603" i="1"/>
  <c r="AC603" i="1" a="1"/>
  <c r="AC603" i="1"/>
  <c r="AC1137" i="1" a="1"/>
  <c r="AC1137" i="1"/>
  <c r="Z221" i="1" a="1"/>
  <c r="Z221" i="1"/>
  <c r="Z173" i="1" a="1"/>
  <c r="Z173" i="1"/>
  <c r="AC713" i="1" a="1"/>
  <c r="AC713" i="1"/>
  <c r="Z1559" i="1"/>
  <c r="AA1541" i="1"/>
  <c r="Z454" i="1" a="1"/>
  <c r="Z454" i="1"/>
  <c r="Y1138" i="1" a="1"/>
  <c r="Y1138" i="1"/>
  <c r="Y144" i="1" a="1"/>
  <c r="Y144" i="1"/>
  <c r="Z1313" i="1" a="1"/>
  <c r="Z1313" i="1"/>
  <c r="AA1313" i="1" a="1"/>
  <c r="AA1313" i="1"/>
  <c r="AB986" i="1" a="1"/>
  <c r="AB986" i="1"/>
  <c r="Z700" i="1" a="1"/>
  <c r="Z700" i="1"/>
  <c r="Y246" i="1" a="1"/>
  <c r="Y246" i="1"/>
  <c r="Z741" i="1" a="1"/>
  <c r="Z741" i="1"/>
  <c r="AC986" i="1" a="1"/>
  <c r="AC986" i="1"/>
  <c r="Y1313" i="1" a="1"/>
  <c r="Y1313" i="1"/>
  <c r="Y700" i="1" a="1"/>
  <c r="Y700" i="1"/>
  <c r="AC741" i="1" a="1"/>
  <c r="AC741" i="1"/>
  <c r="Y597" i="1" a="1"/>
  <c r="Y597" i="1"/>
  <c r="Z1073" i="1" a="1"/>
  <c r="Z1073" i="1"/>
  <c r="AB597" i="1" a="1"/>
  <c r="AB597" i="1"/>
  <c r="Z570" i="1" a="1"/>
  <c r="Z570" i="1"/>
  <c r="AA700" i="1" a="1"/>
  <c r="AA700" i="1"/>
  <c r="AA741" i="1" a="1"/>
  <c r="AA741" i="1"/>
  <c r="AA1468" i="1" a="1"/>
  <c r="AA1468" i="1"/>
  <c r="AA986" i="1" a="1"/>
  <c r="AA986" i="1"/>
  <c r="AC1468" i="1" a="1"/>
  <c r="AC1468" i="1"/>
  <c r="AB1468" i="1" a="1"/>
  <c r="AB1468" i="1"/>
  <c r="AA1073" i="1" a="1"/>
  <c r="AA1073" i="1"/>
  <c r="AB741" i="1" a="1"/>
  <c r="AB741" i="1"/>
  <c r="Z246" i="1" a="1"/>
  <c r="Z246" i="1"/>
  <c r="Y1468" i="1" a="1"/>
  <c r="Y1468" i="1"/>
  <c r="AC700" i="1" a="1"/>
  <c r="AC700" i="1"/>
  <c r="Z597" i="1" a="1"/>
  <c r="Z597" i="1"/>
  <c r="Y570" i="1" a="1"/>
  <c r="Y570" i="1"/>
  <c r="AA1144" i="1" a="1"/>
  <c r="AA1144" i="1"/>
  <c r="Z1144" i="1" a="1"/>
  <c r="Z1144" i="1"/>
  <c r="AA246" i="1" a="1"/>
  <c r="AA246" i="1"/>
  <c r="AB1313" i="1" a="1"/>
  <c r="AB1313" i="1"/>
  <c r="AB1073" i="1" a="1"/>
  <c r="AB1073" i="1"/>
  <c r="Y1144" i="1" a="1"/>
  <c r="Y1144" i="1"/>
  <c r="AC1073" i="1" a="1"/>
  <c r="AC1073" i="1"/>
  <c r="AA570" i="1" a="1"/>
  <c r="AA570" i="1"/>
  <c r="AB1144" i="1" a="1"/>
  <c r="AB1144" i="1"/>
  <c r="Z986" i="1" a="1"/>
  <c r="Z986" i="1"/>
  <c r="AC246" i="1" a="1"/>
  <c r="AC246" i="1"/>
  <c r="AA597" i="1" a="1"/>
  <c r="AA597" i="1"/>
  <c r="AB246" i="1" a="1"/>
  <c r="AB246" i="1"/>
  <c r="Y986" i="1" a="1"/>
  <c r="Y986" i="1"/>
  <c r="Z1468" i="1" a="1"/>
  <c r="Z1468" i="1"/>
  <c r="AC597" i="1" a="1"/>
  <c r="AC597" i="1"/>
  <c r="AC1144" i="1" a="1"/>
  <c r="AC1144" i="1"/>
  <c r="AB700" i="1" a="1"/>
  <c r="AB700" i="1"/>
  <c r="AC1313" i="1" a="1"/>
  <c r="AC1313" i="1"/>
  <c r="Y1073" i="1" a="1"/>
  <c r="Y1073" i="1"/>
  <c r="Y741" i="1" a="1"/>
  <c r="Y741" i="1"/>
  <c r="AB570" i="1" a="1"/>
  <c r="AB570" i="1"/>
  <c r="AC570" i="1" a="1"/>
  <c r="AC570" i="1"/>
  <c r="Z1287" i="1" a="1"/>
  <c r="Z1287" i="1"/>
  <c r="AC563" i="1" a="1"/>
  <c r="AC563" i="1"/>
  <c r="AB1428" i="1" a="1"/>
  <c r="AB1428" i="1"/>
  <c r="AB465" i="1" a="1"/>
  <c r="AB465" i="1"/>
  <c r="Z1614" i="1"/>
  <c r="AC933" i="1" a="1"/>
  <c r="AC933" i="1"/>
  <c r="AA563" i="1" a="1"/>
  <c r="AA563" i="1"/>
  <c r="AA1224" i="1" a="1"/>
  <c r="AA1224" i="1"/>
  <c r="Y933" i="1" a="1"/>
  <c r="Y933" i="1"/>
  <c r="AC1224" i="1" a="1"/>
  <c r="AC1224" i="1"/>
  <c r="Y465" i="1" a="1"/>
  <c r="Y465" i="1"/>
  <c r="AA1614" i="1"/>
  <c r="Z661" i="1" a="1"/>
  <c r="Z661" i="1"/>
  <c r="Z933" i="1" a="1"/>
  <c r="Z933" i="1"/>
  <c r="AA821" i="1" a="1"/>
  <c r="AA821" i="1"/>
  <c r="AB1287" i="1" a="1"/>
  <c r="AB1287" i="1"/>
  <c r="Z1428" i="1" a="1"/>
  <c r="Z1428" i="1"/>
  <c r="AB563" i="1" a="1"/>
  <c r="AB563" i="1"/>
  <c r="Z821" i="1" a="1"/>
  <c r="Z821" i="1"/>
  <c r="AC465" i="1" a="1"/>
  <c r="AC465" i="1"/>
  <c r="AC1428" i="1" a="1"/>
  <c r="AC1428" i="1"/>
  <c r="Y1428" i="1" a="1"/>
  <c r="Y1428" i="1"/>
  <c r="AB1224" i="1" a="1"/>
  <c r="AB1224" i="1"/>
  <c r="AC694" i="1" a="1"/>
  <c r="AC694" i="1"/>
  <c r="AB933" i="1" a="1"/>
  <c r="AB933" i="1"/>
  <c r="Z465" i="1" a="1"/>
  <c r="Z465" i="1"/>
  <c r="AA1287" i="1" a="1"/>
  <c r="AA1287" i="1"/>
  <c r="AC821" i="1" a="1"/>
  <c r="AC821" i="1"/>
  <c r="Z1224" i="1" a="1"/>
  <c r="Z1224" i="1"/>
  <c r="AB661" i="1" a="1"/>
  <c r="AB661" i="1"/>
  <c r="Y1614" i="1"/>
  <c r="AB694" i="1" a="1"/>
  <c r="AB694" i="1"/>
  <c r="Y821" i="1" a="1"/>
  <c r="Y821" i="1"/>
  <c r="AC1287" i="1" a="1"/>
  <c r="AC1287" i="1"/>
  <c r="Y661" i="1" a="1"/>
  <c r="Y661" i="1"/>
  <c r="AC1614" i="1"/>
  <c r="Z563" i="1" a="1"/>
  <c r="Z563" i="1"/>
  <c r="AA694" i="1" a="1"/>
  <c r="AA694" i="1"/>
  <c r="AC661" i="1" a="1"/>
  <c r="AC661" i="1"/>
  <c r="Z694" i="1" a="1"/>
  <c r="Z694" i="1"/>
  <c r="Y1224" i="1" a="1"/>
  <c r="Y1224" i="1"/>
  <c r="AB821" i="1" a="1"/>
  <c r="AB821" i="1"/>
  <c r="Y694" i="1" a="1"/>
  <c r="Y694" i="1"/>
  <c r="AA933" i="1" a="1"/>
  <c r="AA933" i="1"/>
  <c r="Y563" i="1" a="1"/>
  <c r="Y563" i="1"/>
  <c r="AA1428" i="1" a="1"/>
  <c r="AA1428" i="1"/>
  <c r="AA661" i="1" a="1"/>
  <c r="AA661" i="1"/>
  <c r="AB1614" i="1"/>
  <c r="AA465" i="1" a="1"/>
  <c r="AA465" i="1"/>
  <c r="Y1287" i="1" a="1"/>
  <c r="Y1287" i="1"/>
  <c r="AB307" i="1" a="1"/>
  <c r="AB307" i="1"/>
  <c r="Y307" i="1" a="1"/>
  <c r="Y307" i="1"/>
  <c r="AA494" i="1" a="1"/>
  <c r="AA494" i="1"/>
  <c r="AC301" i="1" a="1"/>
  <c r="AC301" i="1"/>
  <c r="Z307" i="1" a="1"/>
  <c r="Z307" i="1"/>
  <c r="Z10" i="1" a="1"/>
  <c r="Z10" i="1"/>
  <c r="Y620" i="1" a="1"/>
  <c r="Y620" i="1"/>
  <c r="Y494" i="1" a="1"/>
  <c r="Y494" i="1"/>
  <c r="AC1008" i="1" a="1"/>
  <c r="AC1008" i="1"/>
  <c r="AC494" i="1" a="1"/>
  <c r="AC494" i="1"/>
  <c r="Z301" i="1" a="1"/>
  <c r="Z301" i="1"/>
  <c r="AC389" i="1" a="1"/>
  <c r="AC389" i="1"/>
  <c r="AB1418" i="1" a="1"/>
  <c r="AB1418" i="1"/>
  <c r="AA982" i="1" a="1"/>
  <c r="AA982" i="1"/>
  <c r="Z982" i="1" a="1"/>
  <c r="Z982" i="1"/>
  <c r="Y10" i="1" a="1"/>
  <c r="Y10" i="1"/>
  <c r="AA10" i="1" a="1"/>
  <c r="AA10" i="1"/>
  <c r="Y1008" i="1" a="1"/>
  <c r="Y1008" i="1"/>
  <c r="AA852" i="1" a="1"/>
  <c r="AA852" i="1"/>
  <c r="AB852" i="1" a="1"/>
  <c r="AB852" i="1"/>
  <c r="AC10" i="1" a="1"/>
  <c r="AC10" i="1"/>
  <c r="AB301" i="1" a="1"/>
  <c r="AB301" i="1"/>
  <c r="AB982" i="1" a="1"/>
  <c r="AB982" i="1"/>
  <c r="Y1418" i="1" a="1"/>
  <c r="Y1418" i="1"/>
  <c r="Z494" i="1" a="1"/>
  <c r="Z494" i="1"/>
  <c r="AC1418" i="1" a="1"/>
  <c r="AC1418" i="1"/>
  <c r="Y982" i="1" a="1"/>
  <c r="Y982" i="1"/>
  <c r="Z852" i="1" a="1"/>
  <c r="Z852" i="1"/>
  <c r="AA1008" i="1" a="1"/>
  <c r="AA1008" i="1"/>
  <c r="AA1418" i="1" a="1"/>
  <c r="AA1418" i="1"/>
  <c r="AA620" i="1" a="1"/>
  <c r="AA620" i="1"/>
  <c r="Z620" i="1" a="1"/>
  <c r="Z620" i="1"/>
  <c r="AC307" i="1" a="1"/>
  <c r="AC307" i="1"/>
  <c r="AB389" i="1" a="1"/>
  <c r="AB389" i="1"/>
  <c r="AB1008" i="1" a="1"/>
  <c r="AB1008" i="1"/>
  <c r="Z389" i="1" a="1"/>
  <c r="Z389" i="1"/>
  <c r="AB620" i="1" a="1"/>
  <c r="AB620" i="1"/>
  <c r="AA301" i="1" a="1"/>
  <c r="AA301" i="1"/>
  <c r="Y389" i="1" a="1"/>
  <c r="Y389" i="1"/>
  <c r="Y852" i="1" a="1"/>
  <c r="Y852" i="1"/>
  <c r="AB10" i="1" a="1"/>
  <c r="AB10" i="1"/>
  <c r="AA307" i="1" a="1"/>
  <c r="AA307" i="1"/>
  <c r="AA389" i="1" a="1"/>
  <c r="AA389" i="1"/>
  <c r="AB494" i="1" a="1"/>
  <c r="AB494" i="1"/>
  <c r="AC852" i="1" a="1"/>
  <c r="AC852" i="1"/>
  <c r="Y301" i="1" a="1"/>
  <c r="Y301" i="1"/>
  <c r="Z1418" i="1" a="1"/>
  <c r="Z1418" i="1"/>
  <c r="AC982" i="1" a="1"/>
  <c r="AC982" i="1"/>
  <c r="AC620" i="1" a="1"/>
  <c r="AC620" i="1"/>
  <c r="Z1008" i="1" a="1"/>
  <c r="Z1008" i="1"/>
  <c r="AB609" i="1" a="1"/>
  <c r="AB609" i="1"/>
  <c r="AB884" i="1" a="1"/>
  <c r="AB884" i="1"/>
  <c r="Z746" i="1" a="1"/>
  <c r="Z746" i="1"/>
  <c r="Y426" i="1" a="1"/>
  <c r="Y426" i="1"/>
  <c r="Z1361" i="1" a="1"/>
  <c r="Z1361" i="1"/>
  <c r="AA426" i="1" a="1"/>
  <c r="AA426" i="1"/>
  <c r="Z1502" i="1" a="1"/>
  <c r="Z1502" i="1"/>
  <c r="Z884" i="1" a="1"/>
  <c r="Z884" i="1"/>
  <c r="Y884" i="1" a="1"/>
  <c r="Y884" i="1"/>
  <c r="AA746" i="1" a="1"/>
  <c r="AA746" i="1"/>
  <c r="AC884" i="1" a="1"/>
  <c r="AC884" i="1"/>
  <c r="AC746" i="1" a="1"/>
  <c r="AC746" i="1"/>
  <c r="AC81" i="1" a="1"/>
  <c r="AC81" i="1"/>
  <c r="AC1597" i="1"/>
  <c r="Y746" i="1" a="1"/>
  <c r="Y746" i="1"/>
  <c r="AA81" i="1" a="1"/>
  <c r="AA81" i="1"/>
  <c r="AB1361" i="1" a="1"/>
  <c r="AB1361" i="1"/>
  <c r="Z802" i="1" a="1"/>
  <c r="Z802" i="1"/>
  <c r="Z81" i="1" a="1"/>
  <c r="Z81" i="1"/>
  <c r="Y1597" i="1"/>
  <c r="AA1502" i="1" a="1"/>
  <c r="AA1502" i="1"/>
  <c r="Y1502" i="1" a="1"/>
  <c r="Y1502" i="1"/>
  <c r="Y1361" i="1" a="1"/>
  <c r="Y1361" i="1"/>
  <c r="AB1324" i="1" a="1"/>
  <c r="AB1324" i="1"/>
  <c r="Y1324" i="1" a="1"/>
  <c r="Y1324" i="1"/>
  <c r="Y81" i="1" a="1"/>
  <c r="Y81" i="1"/>
  <c r="Z1324" i="1" a="1"/>
  <c r="Z1324" i="1"/>
  <c r="AC1502" i="1" a="1"/>
  <c r="AC1502" i="1"/>
  <c r="AA609" i="1" a="1"/>
  <c r="AA609" i="1"/>
  <c r="Y802" i="1" a="1"/>
  <c r="Y802" i="1"/>
  <c r="AC1361" i="1" a="1"/>
  <c r="AC1361" i="1"/>
  <c r="AA1324" i="1" a="1"/>
  <c r="AA1324" i="1"/>
  <c r="Y609" i="1" a="1"/>
  <c r="Y609" i="1"/>
  <c r="AA1597" i="1"/>
  <c r="AB426" i="1" a="1"/>
  <c r="AB426" i="1"/>
  <c r="AB802" i="1" a="1"/>
  <c r="AB802" i="1"/>
  <c r="AC426" i="1" a="1"/>
  <c r="AC426" i="1"/>
  <c r="Z609" i="1" a="1"/>
  <c r="Z609" i="1"/>
  <c r="AC802" i="1" a="1"/>
  <c r="AC802" i="1"/>
  <c r="Z1597" i="1"/>
  <c r="AB1597" i="1"/>
  <c r="Z426" i="1" a="1"/>
  <c r="Z426" i="1"/>
  <c r="AB1502" i="1" a="1"/>
  <c r="AB1502" i="1"/>
  <c r="AB81" i="1" a="1"/>
  <c r="AB81" i="1"/>
  <c r="AA884" i="1" a="1"/>
  <c r="AA884" i="1"/>
  <c r="AA1361" i="1" a="1"/>
  <c r="AA1361" i="1"/>
  <c r="AA802" i="1" a="1"/>
  <c r="AA802" i="1"/>
  <c r="AC1324" i="1" a="1"/>
  <c r="AC1324" i="1"/>
  <c r="AB746" i="1" a="1"/>
  <c r="AB746" i="1"/>
  <c r="AC609" i="1" a="1"/>
  <c r="AC609" i="1"/>
  <c r="AB1608" i="1"/>
  <c r="Y166" i="1" a="1"/>
  <c r="Y166" i="1"/>
  <c r="AB702" i="1" a="1"/>
  <c r="AB702" i="1"/>
  <c r="AB250" i="1" a="1"/>
  <c r="AB250" i="1"/>
  <c r="AC130" i="1" a="1"/>
  <c r="AC130" i="1"/>
  <c r="Z1416" i="1" a="1"/>
  <c r="Z1416" i="1"/>
  <c r="AA1608" i="1"/>
  <c r="Z702" i="1" a="1"/>
  <c r="Z702" i="1"/>
  <c r="Y856" i="1" a="1"/>
  <c r="Y856" i="1"/>
  <c r="Z130" i="1" a="1"/>
  <c r="Z130" i="1"/>
  <c r="AA1416" i="1" a="1"/>
  <c r="AA1416" i="1"/>
  <c r="AB285" i="1" a="1"/>
  <c r="AB285" i="1"/>
  <c r="AA166" i="1" a="1"/>
  <c r="AA166" i="1"/>
  <c r="AB130" i="1" a="1"/>
  <c r="AB130" i="1"/>
  <c r="AC240" i="1" a="1"/>
  <c r="AC240" i="1"/>
  <c r="AA285" i="1" a="1"/>
  <c r="AA285" i="1"/>
  <c r="AC285" i="1" a="1"/>
  <c r="AC285" i="1"/>
  <c r="AA1084" i="1" a="1"/>
  <c r="AA1084" i="1"/>
  <c r="AC702" i="1" a="1"/>
  <c r="AC702" i="1"/>
  <c r="Z856" i="1" a="1"/>
  <c r="Z856" i="1"/>
  <c r="Z285" i="1" a="1"/>
  <c r="Z285" i="1"/>
  <c r="AC1416" i="1" a="1"/>
  <c r="AC1416" i="1"/>
  <c r="AB240" i="1" a="1"/>
  <c r="AB240" i="1"/>
  <c r="AC250" i="1" a="1"/>
  <c r="AC250" i="1"/>
  <c r="Z250" i="1" a="1"/>
  <c r="Z250" i="1"/>
  <c r="AA702" i="1" a="1"/>
  <c r="AA702" i="1"/>
  <c r="Z166" i="1" a="1"/>
  <c r="Z166" i="1"/>
  <c r="Y1608" i="1"/>
  <c r="Y240" i="1" a="1"/>
  <c r="Y240" i="1"/>
  <c r="AB856" i="1" a="1"/>
  <c r="AB856" i="1"/>
  <c r="AA250" i="1" a="1"/>
  <c r="AA250" i="1"/>
  <c r="AB1084" i="1" a="1"/>
  <c r="AB1084" i="1"/>
  <c r="Z1084" i="1" a="1"/>
  <c r="Z1084" i="1"/>
  <c r="AC166" i="1" a="1"/>
  <c r="AC166" i="1"/>
  <c r="AB1416" i="1" a="1"/>
  <c r="AB1416" i="1"/>
  <c r="Z1608" i="1" a="1"/>
  <c r="Z1608" i="1"/>
  <c r="AC856" i="1" a="1"/>
  <c r="AC856" i="1"/>
  <c r="AB166" i="1" a="1"/>
  <c r="AB166" i="1"/>
  <c r="Z240" i="1" a="1"/>
  <c r="Z240" i="1"/>
  <c r="Y1084" i="1" a="1"/>
  <c r="Y1084" i="1"/>
  <c r="AA130" i="1" a="1"/>
  <c r="AA130" i="1"/>
  <c r="Y1416" i="1" a="1"/>
  <c r="Y1416" i="1"/>
  <c r="AA856" i="1" a="1"/>
  <c r="AA856" i="1"/>
  <c r="AC1084" i="1" a="1"/>
  <c r="AC1084" i="1"/>
  <c r="AA240" i="1" a="1"/>
  <c r="AA240" i="1"/>
  <c r="AC1608" i="1"/>
  <c r="Y285" i="1" a="1"/>
  <c r="Y285" i="1"/>
  <c r="Y250" i="1" a="1"/>
  <c r="Y250" i="1"/>
  <c r="Y130" i="1" a="1"/>
  <c r="Y130" i="1"/>
  <c r="Y702" i="1" a="1"/>
  <c r="Y702" i="1"/>
  <c r="Z731" i="1" a="1"/>
  <c r="Z731" i="1"/>
  <c r="AA644" i="1" a="1"/>
  <c r="AA644" i="1"/>
  <c r="Z775" i="1" a="1"/>
  <c r="Z775" i="1"/>
  <c r="AC775" i="1" a="1"/>
  <c r="AC775" i="1"/>
  <c r="AB644" i="1" a="1"/>
  <c r="AB644" i="1"/>
  <c r="Z616" i="1" a="1"/>
  <c r="Z616" i="1"/>
  <c r="AA1510" i="1" a="1"/>
  <c r="AA1510" i="1"/>
  <c r="AA167" i="1" a="1"/>
  <c r="AA167" i="1"/>
  <c r="Y1101" i="1" a="1"/>
  <c r="Y1101" i="1"/>
  <c r="AC1101" i="1" a="1"/>
  <c r="AC1101" i="1"/>
  <c r="AA177" i="1" a="1"/>
  <c r="AA177" i="1"/>
  <c r="AB616" i="1" a="1"/>
  <c r="AB616" i="1"/>
  <c r="AB167" i="1" a="1"/>
  <c r="AB167" i="1"/>
  <c r="AC644" i="1" a="1"/>
  <c r="AC644" i="1"/>
  <c r="Z61" i="1" a="1"/>
  <c r="Z61" i="1"/>
  <c r="AB177" i="1" a="1"/>
  <c r="AB177" i="1"/>
  <c r="AA775" i="1" a="1"/>
  <c r="AA775" i="1"/>
  <c r="AB558" i="1" a="1"/>
  <c r="AB558" i="1"/>
  <c r="Y616" i="1" a="1"/>
  <c r="Y616" i="1"/>
  <c r="Y167" i="1" a="1"/>
  <c r="Y167" i="1"/>
  <c r="Y177" i="1" a="1"/>
  <c r="Y177" i="1"/>
  <c r="Z1510" i="1" a="1"/>
  <c r="Z1510" i="1"/>
  <c r="Z558" i="1" a="1"/>
  <c r="Z558" i="1"/>
  <c r="AC167" i="1" a="1"/>
  <c r="AC167" i="1"/>
  <c r="AC731" i="1" a="1"/>
  <c r="AC731" i="1"/>
  <c r="Y61" i="1" a="1"/>
  <c r="Y61" i="1"/>
  <c r="AC61" i="1" a="1"/>
  <c r="AC61" i="1"/>
  <c r="Y775" i="1" a="1"/>
  <c r="Y775" i="1"/>
  <c r="AC616" i="1" a="1"/>
  <c r="AC616" i="1"/>
  <c r="AB731" i="1" a="1"/>
  <c r="AB731" i="1"/>
  <c r="Y731" i="1" a="1"/>
  <c r="Y731" i="1"/>
  <c r="Z1101" i="1" a="1"/>
  <c r="Z1101" i="1"/>
  <c r="AB1510" i="1" a="1"/>
  <c r="AB1510" i="1"/>
  <c r="Y644" i="1" a="1"/>
  <c r="Y644" i="1"/>
  <c r="AC177" i="1" a="1"/>
  <c r="AC177" i="1"/>
  <c r="AC1510" i="1" a="1"/>
  <c r="AC1510" i="1"/>
  <c r="AB1101" i="1" a="1"/>
  <c r="AB1101" i="1"/>
  <c r="AB61" i="1" a="1"/>
  <c r="AB61" i="1"/>
  <c r="AC558" i="1" a="1"/>
  <c r="AC558" i="1"/>
  <c r="AA61" i="1" a="1"/>
  <c r="AA61" i="1"/>
  <c r="Z644" i="1" a="1"/>
  <c r="Z644" i="1"/>
  <c r="Z177" i="1" a="1"/>
  <c r="Z177" i="1"/>
  <c r="AB775" i="1" a="1"/>
  <c r="AB775" i="1"/>
  <c r="AA1101" i="1" a="1"/>
  <c r="AA1101" i="1"/>
  <c r="AA616" i="1" a="1"/>
  <c r="AA616" i="1"/>
  <c r="AA731" i="1" a="1"/>
  <c r="AA731" i="1"/>
  <c r="Y558" i="1" a="1"/>
  <c r="Y558" i="1"/>
  <c r="AA558" i="1" a="1"/>
  <c r="AA558" i="1"/>
  <c r="Y1510" i="1" a="1"/>
  <c r="Y1510" i="1"/>
  <c r="Z167" i="1" a="1"/>
  <c r="Z167" i="1"/>
  <c r="AB877" i="1" a="1"/>
  <c r="AB877" i="1"/>
  <c r="Z923" i="1" a="1"/>
  <c r="Z923" i="1"/>
  <c r="AB329" i="1" a="1"/>
  <c r="AB329" i="1"/>
  <c r="Y1132" i="1" a="1"/>
  <c r="Y1132" i="1"/>
  <c r="AB809" i="1" a="1"/>
  <c r="AB809" i="1"/>
  <c r="AB673" i="1" a="1"/>
  <c r="AB673" i="1"/>
  <c r="AA1132" i="1" a="1"/>
  <c r="AA1132" i="1"/>
  <c r="AA1393" i="1" a="1"/>
  <c r="AA1393" i="1"/>
  <c r="AA877" i="1" a="1"/>
  <c r="AA877" i="1"/>
  <c r="Y673" i="1" a="1"/>
  <c r="Y673" i="1"/>
  <c r="AA599" i="1" a="1"/>
  <c r="AA599" i="1"/>
  <c r="Z1132" i="1" a="1"/>
  <c r="Z1132" i="1"/>
  <c r="Y809" i="1" a="1"/>
  <c r="Y809" i="1"/>
  <c r="AA1500" i="1" a="1"/>
  <c r="AA1500" i="1"/>
  <c r="AC599" i="1" a="1"/>
  <c r="AC599" i="1"/>
  <c r="AA673" i="1" a="1"/>
  <c r="AA673" i="1"/>
  <c r="AC1500" i="1" a="1"/>
  <c r="AC1500" i="1"/>
  <c r="AA809" i="1" a="1"/>
  <c r="AA809" i="1"/>
  <c r="AA329" i="1" a="1"/>
  <c r="AA329" i="1"/>
  <c r="Z1083" i="1" a="1"/>
  <c r="Z1083" i="1"/>
  <c r="Y923" i="1" a="1"/>
  <c r="Y923" i="1"/>
  <c r="Z809" i="1" a="1"/>
  <c r="Z809" i="1"/>
  <c r="AA1083" i="1" a="1"/>
  <c r="AA1083" i="1"/>
  <c r="AB1500" i="1" a="1"/>
  <c r="AB1500" i="1"/>
  <c r="AC1083" i="1" a="1"/>
  <c r="AC1083" i="1"/>
  <c r="Z1393" i="1" a="1"/>
  <c r="Z1393" i="1"/>
  <c r="AB1393" i="1" a="1"/>
  <c r="AB1393" i="1"/>
  <c r="Y1393" i="1" a="1"/>
  <c r="Y1393" i="1"/>
  <c r="AB1132" i="1" a="1"/>
  <c r="AB1132" i="1"/>
  <c r="Z329" i="1" a="1"/>
  <c r="Z329" i="1"/>
  <c r="AC329" i="1" a="1"/>
  <c r="AC329" i="1"/>
  <c r="Z599" i="1" a="1"/>
  <c r="Z599" i="1"/>
  <c r="Z877" i="1" a="1"/>
  <c r="Z877" i="1"/>
  <c r="Z1500" i="1" a="1"/>
  <c r="Z1500" i="1"/>
  <c r="AB599" i="1" a="1"/>
  <c r="AB599" i="1"/>
  <c r="Y1083" i="1" a="1"/>
  <c r="Y1083" i="1"/>
  <c r="Z673" i="1" a="1"/>
  <c r="Z673" i="1"/>
  <c r="AB923" i="1" a="1"/>
  <c r="AB923" i="1"/>
  <c r="Y877" i="1" a="1"/>
  <c r="Y877" i="1"/>
  <c r="AC923" i="1" a="1"/>
  <c r="AC923" i="1"/>
  <c r="AC1132" i="1" a="1"/>
  <c r="AC1132" i="1"/>
  <c r="AC809" i="1" a="1"/>
  <c r="AC809" i="1"/>
  <c r="Y599" i="1" a="1"/>
  <c r="Y599" i="1"/>
  <c r="AB1083" i="1" a="1"/>
  <c r="AB1083" i="1"/>
  <c r="Y1500" i="1" a="1"/>
  <c r="Y1500" i="1"/>
  <c r="AC877" i="1" a="1"/>
  <c r="AC877" i="1"/>
  <c r="Y329" i="1" a="1"/>
  <c r="Y329" i="1"/>
  <c r="AC1393" i="1" a="1"/>
  <c r="AC1393" i="1"/>
  <c r="AC673" i="1" a="1"/>
  <c r="AC673" i="1"/>
  <c r="AA923" i="1" a="1"/>
  <c r="AA923" i="1"/>
  <c r="AA1382" i="1" a="1"/>
  <c r="AA1382" i="1"/>
  <c r="Y1365" i="1" a="1"/>
  <c r="Y1365" i="1"/>
  <c r="AB53" i="1" a="1"/>
  <c r="AB53" i="1"/>
  <c r="Y1382" i="1" a="1"/>
  <c r="Y1382" i="1"/>
  <c r="Y53" i="1" a="1"/>
  <c r="Y53" i="1"/>
  <c r="AB1335" i="1" a="1"/>
  <c r="AB1335" i="1"/>
  <c r="Z1335" i="1" a="1"/>
  <c r="Z1335" i="1"/>
  <c r="Y950" i="1" a="1"/>
  <c r="Y950" i="1"/>
  <c r="Z377" i="1" a="1"/>
  <c r="Z377" i="1"/>
  <c r="Y1367" i="1" a="1"/>
  <c r="Y1367" i="1"/>
  <c r="Z1367" i="1" a="1"/>
  <c r="Z1367" i="1"/>
  <c r="AA1365" i="1" a="1"/>
  <c r="AA1365" i="1"/>
  <c r="AA377" i="1" a="1"/>
  <c r="AA377" i="1"/>
  <c r="Z1365" i="1" a="1"/>
  <c r="Z1365" i="1"/>
  <c r="Y377" i="1" a="1"/>
  <c r="Y377" i="1"/>
  <c r="AB377" i="1" a="1"/>
  <c r="AB377" i="1"/>
  <c r="AC1321" i="1" a="1"/>
  <c r="AC1321" i="1"/>
  <c r="AA950" i="1" a="1"/>
  <c r="AA950" i="1"/>
  <c r="AC1367" i="1" a="1"/>
  <c r="AC1367" i="1"/>
  <c r="Z1321" i="1" a="1"/>
  <c r="Z1321" i="1"/>
  <c r="AA632" i="1" a="1"/>
  <c r="AA632" i="1"/>
  <c r="AB1365" i="1" a="1"/>
  <c r="AB1365" i="1"/>
  <c r="Z1382" i="1" a="1"/>
  <c r="Z1382" i="1"/>
  <c r="AC950" i="1" a="1"/>
  <c r="AC950" i="1"/>
  <c r="AA53" i="1" a="1"/>
  <c r="AA53" i="1"/>
  <c r="Z270" i="1" a="1"/>
  <c r="Z270" i="1"/>
  <c r="AB270" i="1" a="1"/>
  <c r="AB270" i="1"/>
  <c r="Z632" i="1" a="1"/>
  <c r="Z632" i="1"/>
  <c r="AC1382" i="1" a="1"/>
  <c r="AC1382" i="1"/>
  <c r="AC1335" i="1" a="1"/>
  <c r="AC1335" i="1"/>
  <c r="AA1367" i="1" a="1"/>
  <c r="AA1367" i="1"/>
  <c r="AA1335" i="1" a="1"/>
  <c r="AA1335" i="1"/>
  <c r="AC53" i="1" a="1"/>
  <c r="AC53" i="1"/>
  <c r="AB1321" i="1" a="1"/>
  <c r="AB1321" i="1"/>
  <c r="AA270" i="1" a="1"/>
  <c r="AA270" i="1"/>
  <c r="Y632" i="1" a="1"/>
  <c r="Y632" i="1"/>
  <c r="AB950" i="1" a="1"/>
  <c r="AB950" i="1"/>
  <c r="Y1321" i="1" a="1"/>
  <c r="Y1321" i="1"/>
  <c r="AC270" i="1" a="1"/>
  <c r="AC270" i="1"/>
  <c r="AB632" i="1" a="1"/>
  <c r="AB632" i="1"/>
  <c r="Y270" i="1" a="1"/>
  <c r="Y270" i="1"/>
  <c r="Z950" i="1" a="1"/>
  <c r="Z950" i="1"/>
  <c r="AB1367" i="1" a="1"/>
  <c r="AB1367" i="1"/>
  <c r="AC377" i="1" a="1"/>
  <c r="AC377" i="1"/>
  <c r="AB1382" i="1" a="1"/>
  <c r="AB1382" i="1"/>
  <c r="Z53" i="1" a="1"/>
  <c r="Z53" i="1"/>
  <c r="AA1321" i="1" a="1"/>
  <c r="AA1321" i="1"/>
  <c r="Y1335" i="1" a="1"/>
  <c r="Y1335" i="1"/>
  <c r="AC632" i="1" a="1"/>
  <c r="AC632" i="1"/>
  <c r="AC1365" i="1" a="1"/>
  <c r="AC1365" i="1"/>
  <c r="AC535" i="1" a="1"/>
  <c r="AC535" i="1"/>
  <c r="AA953" i="1" a="1"/>
  <c r="AA953" i="1"/>
  <c r="Y953" i="1" a="1"/>
  <c r="Y953" i="1"/>
  <c r="AB1407" i="1" a="1"/>
  <c r="AB1407" i="1"/>
  <c r="AA1407" i="1" a="1"/>
  <c r="AA1407" i="1"/>
  <c r="AB1219" i="1" a="1"/>
  <c r="AB1219" i="1"/>
  <c r="Y806" i="1" a="1"/>
  <c r="Y806" i="1"/>
  <c r="Y449" i="1" a="1"/>
  <c r="Y449" i="1"/>
  <c r="AB1261" i="1" a="1"/>
  <c r="AB1261" i="1"/>
  <c r="Y91" i="1" a="1"/>
  <c r="Y91" i="1"/>
  <c r="AA1261" i="1" a="1"/>
  <c r="AA1261" i="1"/>
  <c r="AB91" i="1" a="1"/>
  <c r="AB91" i="1"/>
  <c r="AA535" i="1" a="1"/>
  <c r="AA535" i="1"/>
  <c r="Y1618" i="1"/>
  <c r="AC1261" i="1" a="1"/>
  <c r="AC1261" i="1"/>
  <c r="AB535" i="1" a="1"/>
  <c r="AB535" i="1"/>
  <c r="AB449" i="1" a="1"/>
  <c r="AB449" i="1"/>
  <c r="Y360" i="1" a="1"/>
  <c r="Y360" i="1"/>
  <c r="AC1407" i="1" a="1"/>
  <c r="AC1407" i="1"/>
  <c r="AA91" i="1" a="1"/>
  <c r="AA91" i="1"/>
  <c r="AB806" i="1" a="1"/>
  <c r="AB806" i="1"/>
  <c r="AC1618" i="1"/>
  <c r="Z1618" i="1"/>
  <c r="AC806" i="1" a="1"/>
  <c r="AC806" i="1"/>
  <c r="AA1219" i="1" a="1"/>
  <c r="AA1219" i="1"/>
  <c r="Y1407" i="1" a="1"/>
  <c r="Y1407" i="1"/>
  <c r="Y1261" i="1" a="1"/>
  <c r="Y1261" i="1"/>
  <c r="AC449" i="1" a="1"/>
  <c r="AC449" i="1"/>
  <c r="AA449" i="1" a="1"/>
  <c r="AA449" i="1"/>
  <c r="AA360" i="1" a="1"/>
  <c r="AA360" i="1"/>
  <c r="AC953" i="1" a="1"/>
  <c r="AC953" i="1"/>
  <c r="AA806" i="1" a="1"/>
  <c r="AA806" i="1"/>
  <c r="Y1219" i="1" a="1"/>
  <c r="Y1219" i="1"/>
  <c r="Z535" i="1" a="1"/>
  <c r="Z535" i="1"/>
  <c r="Z1219" i="1" a="1"/>
  <c r="Z1219" i="1"/>
  <c r="Z953" i="1" a="1"/>
  <c r="Z953" i="1"/>
  <c r="AC91" i="1" a="1"/>
  <c r="AC91" i="1"/>
  <c r="AB1618" i="1"/>
  <c r="Z360" i="1" a="1"/>
  <c r="Z360" i="1"/>
  <c r="AB360" i="1" a="1"/>
  <c r="AB360" i="1"/>
  <c r="AC1219" i="1" a="1"/>
  <c r="AC1219" i="1"/>
  <c r="Y535" i="1" a="1"/>
  <c r="Y535" i="1"/>
  <c r="AA1618" i="1"/>
  <c r="AB953" i="1" a="1"/>
  <c r="AB953" i="1"/>
  <c r="Z449" i="1" a="1"/>
  <c r="Z449" i="1"/>
  <c r="Z806" i="1" a="1"/>
  <c r="Z806" i="1"/>
  <c r="Z91" i="1" a="1"/>
  <c r="Z91" i="1"/>
  <c r="Z1261" i="1" a="1"/>
  <c r="Z1261" i="1"/>
  <c r="Z1407" i="1" a="1"/>
  <c r="Z1407" i="1"/>
  <c r="AC360" i="1" a="1"/>
  <c r="AC360" i="1"/>
  <c r="AC408" i="1" a="1"/>
  <c r="AC408" i="1"/>
  <c r="Y1396" i="1" a="1"/>
  <c r="Y1396" i="1"/>
  <c r="Z527" i="1" a="1"/>
  <c r="Z527" i="1"/>
  <c r="Z994" i="1" a="1"/>
  <c r="Z994" i="1"/>
  <c r="AB408" i="1" a="1"/>
  <c r="AB408" i="1"/>
  <c r="AB878" i="1" a="1"/>
  <c r="AB878" i="1"/>
  <c r="Z1457" i="1" a="1"/>
  <c r="Z1457" i="1"/>
  <c r="AB1401" i="1" a="1"/>
  <c r="AB1401" i="1"/>
  <c r="AC994" i="1" a="1"/>
  <c r="AC994" i="1"/>
  <c r="Z408" i="1" a="1"/>
  <c r="Z408" i="1"/>
  <c r="Y1591" i="1"/>
  <c r="AC1398" i="1" a="1"/>
  <c r="AC1398" i="1"/>
  <c r="AB1591" i="1"/>
  <c r="AC1401" i="1" a="1"/>
  <c r="AC1401" i="1"/>
  <c r="AA994" i="1" a="1"/>
  <c r="AA994" i="1"/>
  <c r="AB1457" i="1" a="1"/>
  <c r="AB1457" i="1"/>
  <c r="Z1396" i="1" a="1"/>
  <c r="Z1396" i="1"/>
  <c r="AB1200" i="1" a="1"/>
  <c r="AB1200" i="1"/>
  <c r="Z878" i="1" a="1"/>
  <c r="Z878" i="1"/>
  <c r="Y1200" i="1" a="1"/>
  <c r="Y1200" i="1"/>
  <c r="Y878" i="1" a="1"/>
  <c r="Y878" i="1"/>
  <c r="Y408" i="1" a="1"/>
  <c r="Y408" i="1"/>
  <c r="AA1396" i="1" a="1"/>
  <c r="AA1396" i="1"/>
  <c r="AA1457" i="1" a="1"/>
  <c r="AA1457" i="1"/>
  <c r="AC1396" i="1" a="1"/>
  <c r="AC1396" i="1"/>
  <c r="Z1591" i="1"/>
  <c r="AC1591" i="1"/>
  <c r="AA1200" i="1" a="1"/>
  <c r="AA1200" i="1"/>
  <c r="AB527" i="1" a="1"/>
  <c r="AB527" i="1"/>
  <c r="AC878" i="1" a="1"/>
  <c r="AC878" i="1"/>
  <c r="Z1401" i="1" a="1"/>
  <c r="Z1401" i="1"/>
  <c r="AB994" i="1" a="1"/>
  <c r="AB994" i="1"/>
  <c r="AB1398" i="1" a="1"/>
  <c r="AB1398" i="1"/>
  <c r="AA527" i="1" a="1"/>
  <c r="AA527" i="1"/>
  <c r="Y1398" i="1" a="1"/>
  <c r="Y1398" i="1"/>
  <c r="AA1401" i="1" a="1"/>
  <c r="AA1401" i="1"/>
  <c r="AC1200" i="1" a="1"/>
  <c r="AC1200" i="1"/>
  <c r="AC527" i="1" a="1"/>
  <c r="AC527" i="1"/>
  <c r="Y1457" i="1" a="1"/>
  <c r="Y1457" i="1"/>
  <c r="Z1398" i="1" a="1"/>
  <c r="Z1398" i="1"/>
  <c r="AB1396" i="1" a="1"/>
  <c r="AB1396" i="1"/>
  <c r="AC1457" i="1" a="1"/>
  <c r="AC1457" i="1"/>
  <c r="AA1398" i="1" a="1"/>
  <c r="AA1398" i="1"/>
  <c r="Y1401" i="1" a="1"/>
  <c r="Y1401" i="1"/>
  <c r="AA1591" i="1"/>
  <c r="AA408" i="1" a="1"/>
  <c r="AA408" i="1"/>
  <c r="Y527" i="1" a="1"/>
  <c r="Y527" i="1"/>
  <c r="AA878" i="1" a="1"/>
  <c r="AA878" i="1"/>
  <c r="Y994" i="1" a="1"/>
  <c r="Y994" i="1"/>
  <c r="Z1200" i="1" a="1"/>
  <c r="Z1200" i="1"/>
  <c r="Z1264" i="1" a="1"/>
  <c r="Z1264" i="1"/>
  <c r="AC1264" i="1" a="1"/>
  <c r="AC1264" i="1"/>
  <c r="AA1581" i="1"/>
  <c r="AC1178" i="1" a="1"/>
  <c r="AC1178" i="1"/>
  <c r="AC1611" i="1"/>
  <c r="AB917" i="1" a="1"/>
  <c r="AB917" i="1"/>
  <c r="AB1334" i="1" a="1"/>
  <c r="AB1334" i="1"/>
  <c r="Z1334" i="1" a="1"/>
  <c r="Z1334" i="1"/>
  <c r="AA917" i="1" a="1"/>
  <c r="AA917" i="1"/>
  <c r="AA732" i="1" a="1"/>
  <c r="AA732" i="1"/>
  <c r="AA1347" i="1" a="1"/>
  <c r="AA1347" i="1"/>
  <c r="Y1613" i="1"/>
  <c r="Z1613" i="1"/>
  <c r="AC917" i="1" a="1"/>
  <c r="AC917" i="1"/>
  <c r="AA1178" i="1" a="1"/>
  <c r="AA1178" i="1"/>
  <c r="AC1613" i="1"/>
  <c r="AB1611" i="1"/>
  <c r="AA1264" i="1" a="1"/>
  <c r="AA1264" i="1"/>
  <c r="AC732" i="1" a="1"/>
  <c r="AC732" i="1"/>
  <c r="Z917" i="1" a="1"/>
  <c r="Z917" i="1"/>
  <c r="AB1347" i="1" a="1"/>
  <c r="AB1347" i="1"/>
  <c r="Z1347" i="1" a="1"/>
  <c r="Z1347" i="1"/>
  <c r="Y1264" i="1" a="1"/>
  <c r="Y1264" i="1"/>
  <c r="AA1123" i="1" a="1"/>
  <c r="AA1123" i="1"/>
  <c r="AA1611" i="1"/>
  <c r="Z732" i="1" a="1"/>
  <c r="Z732" i="1"/>
  <c r="AC1347" i="1" a="1"/>
  <c r="AC1347" i="1"/>
  <c r="Z1581" i="1"/>
  <c r="AC1334" i="1" a="1"/>
  <c r="AC1334" i="1"/>
  <c r="Y1581" i="1"/>
  <c r="Y732" i="1" a="1"/>
  <c r="Y732" i="1"/>
  <c r="AC1123" i="1" a="1"/>
  <c r="AC1123" i="1"/>
  <c r="Y1123" i="1" a="1"/>
  <c r="Y1123" i="1"/>
  <c r="AB1178" i="1" a="1"/>
  <c r="AB1178" i="1"/>
  <c r="AC1581" i="1"/>
  <c r="Z1178" i="1" a="1"/>
  <c r="Z1178" i="1"/>
  <c r="AA1613" i="1"/>
  <c r="Y917" i="1" a="1"/>
  <c r="Y917" i="1"/>
  <c r="Y1611" i="1"/>
  <c r="AB1123" i="1" a="1"/>
  <c r="AB1123" i="1"/>
  <c r="Y1334" i="1" a="1"/>
  <c r="Y1334" i="1"/>
  <c r="AA1334" i="1" a="1"/>
  <c r="AA1334" i="1"/>
  <c r="Y1178" i="1" a="1"/>
  <c r="Y1178" i="1"/>
  <c r="AB732" i="1" a="1"/>
  <c r="AB732" i="1"/>
  <c r="AB1264" i="1" a="1"/>
  <c r="AB1264" i="1"/>
  <c r="Y1347" i="1" a="1"/>
  <c r="Y1347" i="1"/>
  <c r="Z1123" i="1" a="1"/>
  <c r="Z1123" i="1"/>
  <c r="AB1613" i="1"/>
  <c r="AB1581" i="1"/>
  <c r="Z1611" i="1"/>
  <c r="Y685" i="1" a="1"/>
  <c r="Y685" i="1"/>
  <c r="Z381" i="1" a="1"/>
  <c r="Z381" i="1"/>
  <c r="AA664" i="1" a="1"/>
  <c r="AA664" i="1"/>
  <c r="Y664" i="1" a="1"/>
  <c r="Y664" i="1"/>
  <c r="AA381" i="1" a="1"/>
  <c r="AA381" i="1"/>
  <c r="Y24" i="1" a="1"/>
  <c r="Y24" i="1"/>
  <c r="AA1314" i="1" a="1"/>
  <c r="AA1314" i="1"/>
  <c r="Z685" i="1" a="1"/>
  <c r="Z685" i="1"/>
  <c r="AA5" i="1" a="1"/>
  <c r="AA5" i="1"/>
  <c r="AB5" i="1" a="1"/>
  <c r="AB5" i="1"/>
  <c r="AC1314" i="1" a="1"/>
  <c r="AC1314" i="1"/>
  <c r="Y1506" i="1" a="1"/>
  <c r="Y1506" i="1"/>
  <c r="AA778" i="1" a="1"/>
  <c r="AA778" i="1"/>
  <c r="AC24" i="1" a="1"/>
  <c r="AC24" i="1"/>
  <c r="Y863" i="1" a="1"/>
  <c r="Y863" i="1"/>
  <c r="AC552" i="1" a="1"/>
  <c r="AC552" i="1"/>
  <c r="Z1506" i="1" a="1"/>
  <c r="Z1506" i="1"/>
  <c r="Y778" i="1" a="1"/>
  <c r="Y778" i="1"/>
  <c r="AA685" i="1" a="1"/>
  <c r="AA685" i="1"/>
  <c r="AB863" i="1" a="1"/>
  <c r="AB863" i="1"/>
  <c r="Y381" i="1" a="1"/>
  <c r="Y381" i="1"/>
  <c r="Z552" i="1" a="1"/>
  <c r="Z552" i="1"/>
  <c r="Y5" i="1" a="1"/>
  <c r="Y5" i="1"/>
  <c r="AB381" i="1" a="1"/>
  <c r="AB381" i="1"/>
  <c r="AC5" i="1" a="1"/>
  <c r="AC5" i="1"/>
  <c r="AB24" i="1" a="1"/>
  <c r="AB24" i="1"/>
  <c r="AB685" i="1" a="1"/>
  <c r="AB685" i="1"/>
  <c r="AA552" i="1" a="1"/>
  <c r="AA552" i="1"/>
  <c r="Z664" i="1" a="1"/>
  <c r="Z664" i="1"/>
  <c r="AC664" i="1" a="1"/>
  <c r="AC664" i="1"/>
  <c r="AA863" i="1" a="1"/>
  <c r="AA863" i="1"/>
  <c r="AC863" i="1" a="1"/>
  <c r="AC863" i="1"/>
  <c r="Y552" i="1" a="1"/>
  <c r="Y552" i="1"/>
  <c r="Z1314" i="1" a="1"/>
  <c r="Z1314" i="1"/>
  <c r="AA24" i="1" a="1"/>
  <c r="AA24" i="1"/>
  <c r="Y1314" i="1" a="1"/>
  <c r="Y1314" i="1"/>
  <c r="AC778" i="1" a="1"/>
  <c r="AC778" i="1"/>
  <c r="Z778" i="1" a="1"/>
  <c r="Z778" i="1"/>
  <c r="AC1506" i="1" a="1"/>
  <c r="AC1506" i="1"/>
  <c r="AB1506" i="1" a="1"/>
  <c r="AB1506" i="1"/>
  <c r="Z5" i="1" a="1"/>
  <c r="Z5" i="1"/>
  <c r="AA1506" i="1" a="1"/>
  <c r="AA1506" i="1"/>
  <c r="AB664" i="1" a="1"/>
  <c r="AB664" i="1"/>
  <c r="Z24" i="1" a="1"/>
  <c r="Z24" i="1"/>
  <c r="AB778" i="1" a="1"/>
  <c r="AB778" i="1"/>
  <c r="AB1314" i="1" a="1"/>
  <c r="AB1314" i="1"/>
  <c r="AB552" i="1" a="1"/>
  <c r="AB552" i="1"/>
  <c r="AC381" i="1" a="1"/>
  <c r="AC381" i="1"/>
  <c r="Z863" i="1" a="1"/>
  <c r="Z863" i="1"/>
  <c r="AC685" i="1" a="1"/>
  <c r="AC685" i="1"/>
  <c r="AC550" i="1" a="1"/>
  <c r="AC550" i="1"/>
  <c r="AC1463" i="1" a="1"/>
  <c r="AC1463" i="1"/>
  <c r="Y750" i="1" a="1"/>
  <c r="Y750" i="1"/>
  <c r="Z750" i="1" a="1"/>
  <c r="Z750" i="1"/>
  <c r="Y828" i="1" a="1"/>
  <c r="Y828" i="1"/>
  <c r="Z828" i="1" a="1"/>
  <c r="Z828" i="1"/>
  <c r="Z587" i="1" a="1"/>
  <c r="Z587" i="1"/>
  <c r="AB261" i="1" a="1"/>
  <c r="AB261" i="1"/>
  <c r="AA1482" i="1" a="1"/>
  <c r="AA1482" i="1"/>
  <c r="AB550" i="1" a="1"/>
  <c r="AB550" i="1"/>
  <c r="AB347" i="1" a="1"/>
  <c r="AB347" i="1"/>
  <c r="AB828" i="1" a="1"/>
  <c r="AB828" i="1"/>
  <c r="Y1482" i="1" a="1"/>
  <c r="Y1482" i="1"/>
  <c r="Y261" i="1" a="1"/>
  <c r="Y261" i="1"/>
  <c r="AC347" i="1" a="1"/>
  <c r="AC347" i="1"/>
  <c r="AA1463" i="1" a="1"/>
  <c r="AA1463" i="1"/>
  <c r="AA227" i="1" a="1"/>
  <c r="AA227" i="1"/>
  <c r="AA550" i="1" a="1"/>
  <c r="AA550" i="1"/>
  <c r="AB1463" i="1" a="1"/>
  <c r="AB1463" i="1"/>
  <c r="AB227" i="1" a="1"/>
  <c r="AB227" i="1"/>
  <c r="AC227" i="1" a="1"/>
  <c r="AC227" i="1"/>
  <c r="Z347" i="1" a="1"/>
  <c r="Z347" i="1"/>
  <c r="AB781" i="1" a="1"/>
  <c r="AB781" i="1"/>
  <c r="Z1482" i="1" a="1"/>
  <c r="Z1482" i="1"/>
  <c r="AC587" i="1" a="1"/>
  <c r="AC587" i="1"/>
  <c r="AC781" i="1" a="1"/>
  <c r="AC781" i="1"/>
  <c r="AC1482" i="1" a="1"/>
  <c r="AC1482" i="1"/>
  <c r="Z550" i="1" a="1"/>
  <c r="Z550" i="1"/>
  <c r="Y781" i="1" a="1"/>
  <c r="Y781" i="1"/>
  <c r="AC828" i="1" a="1"/>
  <c r="AC828" i="1"/>
  <c r="Y587" i="1" a="1"/>
  <c r="Y587" i="1"/>
  <c r="AC750" i="1" a="1"/>
  <c r="AC750" i="1"/>
  <c r="Z261" i="1" a="1"/>
  <c r="Z261" i="1"/>
  <c r="Y227" i="1" a="1"/>
  <c r="Y227" i="1"/>
  <c r="Y1463" i="1" a="1"/>
  <c r="Y1463" i="1"/>
  <c r="Y347" i="1" a="1"/>
  <c r="Y347" i="1"/>
  <c r="AA587" i="1" a="1"/>
  <c r="AA587" i="1"/>
  <c r="AB750" i="1" a="1"/>
  <c r="AB750" i="1"/>
  <c r="Z781" i="1" a="1"/>
  <c r="Z781" i="1"/>
  <c r="AC261" i="1" a="1"/>
  <c r="AC261" i="1"/>
  <c r="Y550" i="1" a="1"/>
  <c r="Y550" i="1"/>
  <c r="Z1463" i="1" a="1"/>
  <c r="Z1463" i="1"/>
  <c r="AB1482" i="1" a="1"/>
  <c r="AB1482" i="1"/>
  <c r="AA828" i="1" a="1"/>
  <c r="AA828" i="1"/>
  <c r="AA781" i="1" a="1"/>
  <c r="AA781" i="1"/>
  <c r="AA347" i="1" a="1"/>
  <c r="AA347" i="1"/>
  <c r="AA261" i="1" a="1"/>
  <c r="AA261" i="1"/>
  <c r="Z227" i="1" a="1"/>
  <c r="Z227" i="1"/>
  <c r="AB587" i="1" a="1"/>
  <c r="AB587" i="1"/>
  <c r="AA750" i="1" a="1"/>
  <c r="AA750" i="1"/>
  <c r="Y799" i="1" a="1"/>
  <c r="Y799" i="1"/>
  <c r="Z557" i="1" a="1"/>
  <c r="Z557" i="1"/>
  <c r="AA557" i="1" a="1"/>
  <c r="AA557" i="1"/>
  <c r="AB312" i="1" a="1"/>
  <c r="AB312" i="1"/>
  <c r="AB271" i="1" a="1"/>
  <c r="AB271" i="1"/>
  <c r="AA213" i="1" a="1"/>
  <c r="AA213" i="1"/>
  <c r="Z1454" i="1" a="1"/>
  <c r="Z1454" i="1"/>
  <c r="AA271" i="1" a="1"/>
  <c r="AA271" i="1"/>
  <c r="AA312" i="1" a="1"/>
  <c r="AA312" i="1"/>
  <c r="Y504" i="1" a="1"/>
  <c r="Y504" i="1"/>
  <c r="AC305" i="1" a="1"/>
  <c r="AC305" i="1"/>
  <c r="AA658" i="1" a="1"/>
  <c r="AA658" i="1"/>
  <c r="Y890" i="1" a="1"/>
  <c r="Y890" i="1"/>
  <c r="Z658" i="1" a="1"/>
  <c r="Z658" i="1"/>
  <c r="AC213" i="1" a="1"/>
  <c r="AC213" i="1"/>
  <c r="AC312" i="1" a="1"/>
  <c r="AC312" i="1"/>
  <c r="Y312" i="1" a="1"/>
  <c r="Y312" i="1"/>
  <c r="Y1454" i="1" a="1"/>
  <c r="Y1454" i="1"/>
  <c r="AA890" i="1" a="1"/>
  <c r="AA890" i="1"/>
  <c r="Z890" i="1" a="1"/>
  <c r="Z890" i="1"/>
  <c r="AB213" i="1" a="1"/>
  <c r="AB213" i="1"/>
  <c r="AB799" i="1" a="1"/>
  <c r="AB799" i="1"/>
  <c r="AA1454" i="1" a="1"/>
  <c r="AA1454" i="1"/>
  <c r="AB1454" i="1" a="1"/>
  <c r="AB1454" i="1"/>
  <c r="AB658" i="1" a="1"/>
  <c r="AB658" i="1"/>
  <c r="Y271" i="1" a="1"/>
  <c r="Y271" i="1"/>
  <c r="Z504" i="1" a="1"/>
  <c r="Z504" i="1"/>
  <c r="AB305" i="1" a="1"/>
  <c r="AB305" i="1"/>
  <c r="Y557" i="1" a="1"/>
  <c r="Y557" i="1"/>
  <c r="Y213" i="1" a="1"/>
  <c r="Y213" i="1"/>
  <c r="Z271" i="1" a="1"/>
  <c r="Z271" i="1"/>
  <c r="Y305" i="1" a="1"/>
  <c r="Y305" i="1"/>
  <c r="AA504" i="1" a="1"/>
  <c r="AA504" i="1"/>
  <c r="AC890" i="1" a="1"/>
  <c r="AC890" i="1"/>
  <c r="Y658" i="1" a="1"/>
  <c r="Y658" i="1"/>
  <c r="AA799" i="1" a="1"/>
  <c r="AA799" i="1"/>
  <c r="AC557" i="1" a="1"/>
  <c r="AC557" i="1"/>
  <c r="AA305" i="1" a="1"/>
  <c r="AA305" i="1"/>
  <c r="AC799" i="1" a="1"/>
  <c r="AC799" i="1"/>
  <c r="AC271" i="1" a="1"/>
  <c r="AC271" i="1"/>
  <c r="AB504" i="1" a="1"/>
  <c r="AB504" i="1"/>
  <c r="Z312" i="1" a="1"/>
  <c r="Z312" i="1"/>
  <c r="AB890" i="1" a="1"/>
  <c r="AB890" i="1"/>
  <c r="Z799" i="1" a="1"/>
  <c r="Z799" i="1"/>
  <c r="Z213" i="1" a="1"/>
  <c r="Z213" i="1"/>
  <c r="AC504" i="1" a="1"/>
  <c r="AC504" i="1"/>
  <c r="Z305" i="1" a="1"/>
  <c r="Z305" i="1"/>
  <c r="AB557" i="1" a="1"/>
  <c r="AB557" i="1"/>
  <c r="AC658" i="1" a="1"/>
  <c r="AC658" i="1"/>
  <c r="AC1454" i="1" a="1"/>
  <c r="AC1454" i="1"/>
  <c r="Z1074" i="1" a="1"/>
  <c r="Z1074" i="1"/>
  <c r="Z86" i="1" a="1"/>
  <c r="Z86" i="1"/>
  <c r="Z760" i="1" a="1"/>
  <c r="Z760" i="1"/>
  <c r="AB155" i="1" a="1"/>
  <c r="AB155" i="1"/>
  <c r="AC980" i="1" a="1"/>
  <c r="AC980" i="1"/>
  <c r="AC86" i="1" a="1"/>
  <c r="AC86" i="1"/>
  <c r="AC1074" i="1" a="1"/>
  <c r="AC1074" i="1"/>
  <c r="Z980" i="1" a="1"/>
  <c r="Z980" i="1"/>
  <c r="Y104" i="1" a="1"/>
  <c r="Y104" i="1"/>
  <c r="AA1577" i="1"/>
  <c r="Z1577" i="1"/>
  <c r="AC760" i="1" a="1"/>
  <c r="AC760" i="1"/>
  <c r="Z155" i="1" a="1"/>
  <c r="Z155" i="1"/>
  <c r="Y86" i="1" a="1"/>
  <c r="Y86" i="1"/>
  <c r="Z104" i="1" a="1"/>
  <c r="Z104" i="1"/>
  <c r="Z735" i="1" a="1"/>
  <c r="Z735" i="1"/>
  <c r="AB86" i="1" a="1"/>
  <c r="AB86" i="1"/>
  <c r="AA1074" i="1" a="1"/>
  <c r="AA1074" i="1"/>
  <c r="Y735" i="1" a="1"/>
  <c r="Y735" i="1"/>
  <c r="Z1280" i="1" a="1"/>
  <c r="Z1280" i="1"/>
  <c r="AC1577" i="1"/>
  <c r="AA1280" i="1" a="1"/>
  <c r="AA1280" i="1"/>
  <c r="Y760" i="1" a="1"/>
  <c r="Y760" i="1"/>
  <c r="AC182" i="1" a="1"/>
  <c r="AC182" i="1"/>
  <c r="AA155" i="1" a="1"/>
  <c r="AA155" i="1"/>
  <c r="AB182" i="1" a="1"/>
  <c r="AB182" i="1"/>
  <c r="AA182" i="1" a="1"/>
  <c r="AA182" i="1"/>
  <c r="AC735" i="1" a="1"/>
  <c r="AC735" i="1"/>
  <c r="AB1280" i="1" a="1"/>
  <c r="AB1280" i="1"/>
  <c r="Y182" i="1" a="1"/>
  <c r="Y182" i="1"/>
  <c r="Y980" i="1" a="1"/>
  <c r="Y980" i="1"/>
  <c r="AB735" i="1" a="1"/>
  <c r="AB735" i="1"/>
  <c r="Y1074" i="1" a="1"/>
  <c r="Y1074" i="1"/>
  <c r="AC1280" i="1" a="1"/>
  <c r="AC1280" i="1"/>
  <c r="AA760" i="1" a="1"/>
  <c r="AA760" i="1"/>
  <c r="AC155" i="1" a="1"/>
  <c r="AC155" i="1"/>
  <c r="AC104" i="1" a="1"/>
  <c r="AC104" i="1"/>
  <c r="Y1577" i="1"/>
  <c r="AB104" i="1" a="1"/>
  <c r="AB104" i="1"/>
  <c r="AB1074" i="1" a="1"/>
  <c r="AB1074" i="1"/>
  <c r="Z182" i="1" a="1"/>
  <c r="Z182" i="1"/>
  <c r="AB1577" i="1"/>
  <c r="AA86" i="1" a="1"/>
  <c r="AA86" i="1"/>
  <c r="AA735" i="1" a="1"/>
  <c r="AA735" i="1"/>
  <c r="AB760" i="1" a="1"/>
  <c r="AB760" i="1"/>
  <c r="AB980" i="1" a="1"/>
  <c r="AB980" i="1"/>
  <c r="AA980" i="1" a="1"/>
  <c r="AA980" i="1"/>
  <c r="Y1280" i="1" a="1"/>
  <c r="Y1280" i="1"/>
  <c r="AA104" i="1" a="1"/>
  <c r="AA104" i="1"/>
  <c r="Y155" i="1" a="1"/>
  <c r="Y155" i="1"/>
  <c r="Y1100" i="1" a="1"/>
  <c r="Y1100" i="1"/>
  <c r="Y1118" i="1" a="1"/>
  <c r="Y1118" i="1"/>
  <c r="Y1536" i="1" a="1"/>
  <c r="Y1536" i="1"/>
  <c r="AC1100" i="1" a="1"/>
  <c r="AC1100" i="1"/>
  <c r="Y40" i="1" a="1"/>
  <c r="Y40" i="1"/>
  <c r="AA813" i="1" a="1"/>
  <c r="AA813" i="1"/>
  <c r="AB419" i="1" a="1"/>
  <c r="AB419" i="1"/>
  <c r="AA1536" i="1" a="1"/>
  <c r="AA1536" i="1"/>
  <c r="Z1118" i="1" a="1"/>
  <c r="Z1118" i="1"/>
  <c r="Y813" i="1" a="1"/>
  <c r="Y813" i="1"/>
  <c r="Z1187" i="1" a="1"/>
  <c r="Z1187" i="1"/>
  <c r="AA1100" i="1" a="1"/>
  <c r="AA1100" i="1"/>
  <c r="AB1118" i="1" a="1"/>
  <c r="AB1118" i="1"/>
  <c r="Y419" i="1" a="1"/>
  <c r="Y419" i="1"/>
  <c r="AB1277" i="1" a="1"/>
  <c r="AB1277" i="1"/>
  <c r="AA40" i="1" a="1"/>
  <c r="AA40" i="1"/>
  <c r="AC813" i="1" a="1"/>
  <c r="AC813" i="1"/>
  <c r="Z1340" i="1" a="1"/>
  <c r="Z1340" i="1"/>
  <c r="AC40" i="1" a="1"/>
  <c r="AC40" i="1"/>
  <c r="Z813" i="1" a="1"/>
  <c r="Z813" i="1"/>
  <c r="AC1340" i="1" a="1"/>
  <c r="AC1340" i="1"/>
  <c r="Z1277" i="1" a="1"/>
  <c r="Z1277" i="1"/>
  <c r="Z419" i="1" a="1"/>
  <c r="Z419" i="1"/>
  <c r="AA1481" i="1" a="1"/>
  <c r="AA1481" i="1"/>
  <c r="Y1187" i="1" a="1"/>
  <c r="Y1187" i="1"/>
  <c r="Y1340" i="1" a="1"/>
  <c r="Y1340" i="1"/>
  <c r="AB1481" i="1" a="1"/>
  <c r="AB1481" i="1"/>
  <c r="AC1187" i="1" a="1"/>
  <c r="AC1187" i="1"/>
  <c r="AC1118" i="1" a="1"/>
  <c r="AC1118" i="1"/>
  <c r="AA1277" i="1" a="1"/>
  <c r="AA1277" i="1"/>
  <c r="AB40" i="1" a="1"/>
  <c r="AB40" i="1"/>
  <c r="AC1277" i="1" a="1"/>
  <c r="AC1277" i="1"/>
  <c r="AC1481" i="1" a="1"/>
  <c r="AC1481" i="1"/>
  <c r="AB1187" i="1" a="1"/>
  <c r="AB1187" i="1"/>
  <c r="AB1536" i="1" a="1"/>
  <c r="AB1536" i="1"/>
  <c r="AA419" i="1" a="1"/>
  <c r="AA419" i="1"/>
  <c r="AA1340" i="1" a="1"/>
  <c r="AA1340" i="1"/>
  <c r="AC1536" i="1" a="1"/>
  <c r="AC1536" i="1"/>
  <c r="Z1481" i="1" a="1"/>
  <c r="Z1481" i="1"/>
  <c r="AB1100" i="1" a="1"/>
  <c r="AB1100" i="1"/>
  <c r="Y1481" i="1" a="1"/>
  <c r="Y1481" i="1"/>
  <c r="AB1340" i="1" a="1"/>
  <c r="AB1340" i="1"/>
  <c r="AA1187" i="1" a="1"/>
  <c r="AA1187" i="1"/>
  <c r="AB813" i="1" a="1"/>
  <c r="AB813" i="1"/>
  <c r="AA1118" i="1" a="1"/>
  <c r="AA1118" i="1"/>
  <c r="Z1100" i="1" a="1"/>
  <c r="Z1100" i="1"/>
  <c r="AC419" i="1" a="1"/>
  <c r="AC419" i="1"/>
  <c r="Y1277" i="1" a="1"/>
  <c r="Y1277" i="1"/>
  <c r="Z40" i="1" a="1"/>
  <c r="Z40" i="1"/>
  <c r="Z1536" i="1" a="1"/>
  <c r="Z1536" i="1"/>
  <c r="AA695" i="1" a="1"/>
  <c r="AA695" i="1"/>
  <c r="AA1465" i="1" a="1"/>
  <c r="AA1465" i="1"/>
  <c r="Y1207" i="1" a="1"/>
  <c r="Y1207" i="1"/>
  <c r="AA274" i="1" a="1"/>
  <c r="AA274" i="1"/>
  <c r="Y443" i="1" a="1"/>
  <c r="Y443" i="1"/>
  <c r="AC274" i="1" a="1"/>
  <c r="AC274" i="1"/>
  <c r="Y437" i="1" a="1"/>
  <c r="Y437" i="1"/>
  <c r="Z290" i="1" a="1"/>
  <c r="Z290" i="1"/>
  <c r="Y1465" i="1" a="1"/>
  <c r="Y1465" i="1"/>
  <c r="AA411" i="1" a="1"/>
  <c r="AA411" i="1"/>
  <c r="AC443" i="1" a="1"/>
  <c r="AC443" i="1"/>
  <c r="Y1234" i="1" a="1"/>
  <c r="Y1234" i="1"/>
  <c r="AC1465" i="1" a="1"/>
  <c r="AC1465" i="1"/>
  <c r="Y1211" i="1" a="1"/>
  <c r="Y1211" i="1"/>
  <c r="AB437" i="1" a="1"/>
  <c r="AB437" i="1"/>
  <c r="AC290" i="1" a="1"/>
  <c r="AC290" i="1"/>
  <c r="AB290" i="1" a="1"/>
  <c r="AB290" i="1"/>
  <c r="Z1234" i="1" a="1"/>
  <c r="Z1234" i="1"/>
  <c r="AB1207" i="1" a="1"/>
  <c r="AB1207" i="1"/>
  <c r="Z274" i="1" a="1"/>
  <c r="Z274" i="1"/>
  <c r="Z1211" i="1" a="1"/>
  <c r="Z1211" i="1"/>
  <c r="AC1234" i="1" a="1"/>
  <c r="AC1234" i="1"/>
  <c r="AA1211" i="1" a="1"/>
  <c r="AA1211" i="1"/>
  <c r="AB274" i="1" a="1"/>
  <c r="AB274" i="1"/>
  <c r="AC695" i="1" a="1"/>
  <c r="AC695" i="1"/>
  <c r="AC1207" i="1" a="1"/>
  <c r="AC1207" i="1"/>
  <c r="Y411" i="1" a="1"/>
  <c r="Y411" i="1"/>
  <c r="Y695" i="1" a="1"/>
  <c r="Y695" i="1"/>
  <c r="Z1207" i="1" a="1"/>
  <c r="Z1207" i="1"/>
  <c r="AB1211" i="1" a="1"/>
  <c r="AB1211" i="1"/>
  <c r="Z411" i="1" a="1"/>
  <c r="Z411" i="1"/>
  <c r="AC437" i="1" a="1"/>
  <c r="AC437" i="1"/>
  <c r="AB443" i="1" a="1"/>
  <c r="AB443" i="1"/>
  <c r="AA1234" i="1" a="1"/>
  <c r="AA1234" i="1"/>
  <c r="AA290" i="1" a="1"/>
  <c r="AA290" i="1"/>
  <c r="Z695" i="1" a="1"/>
  <c r="Z695" i="1"/>
  <c r="AC411" i="1" a="1"/>
  <c r="AC411" i="1"/>
  <c r="AA437" i="1" a="1"/>
  <c r="AA437" i="1"/>
  <c r="AB1465" i="1" a="1"/>
  <c r="AB1465" i="1"/>
  <c r="Y274" i="1" a="1"/>
  <c r="Y274" i="1"/>
  <c r="AA1207" i="1" a="1"/>
  <c r="AA1207" i="1"/>
  <c r="Z443" i="1" a="1"/>
  <c r="Z443" i="1"/>
  <c r="AA443" i="1" a="1"/>
  <c r="AA443" i="1"/>
  <c r="Y290" i="1" a="1"/>
  <c r="Y290" i="1"/>
  <c r="AB695" i="1" a="1"/>
  <c r="AB695" i="1"/>
  <c r="AC1211" i="1" a="1"/>
  <c r="AC1211" i="1"/>
  <c r="AB411" i="1" a="1"/>
  <c r="AB411" i="1"/>
  <c r="AB1234" i="1" a="1"/>
  <c r="AB1234" i="1"/>
  <c r="Z1465" i="1" a="1"/>
  <c r="Z1465" i="1"/>
  <c r="Z437" i="1" a="1"/>
  <c r="Z437" i="1"/>
  <c r="AC244" i="1" a="1"/>
  <c r="AC244" i="1"/>
  <c r="Z108" i="1" a="1"/>
  <c r="Z108" i="1"/>
  <c r="AA108" i="1" a="1"/>
  <c r="AA108" i="1"/>
  <c r="AA244" i="1" a="1"/>
  <c r="AA244" i="1"/>
  <c r="AA355" i="1" a="1"/>
  <c r="AA355" i="1"/>
  <c r="AB46" i="1" a="1"/>
  <c r="AB46" i="1"/>
  <c r="Y560" i="1" a="1"/>
  <c r="Y560" i="1"/>
  <c r="AC844" i="1" a="1"/>
  <c r="AC844" i="1"/>
  <c r="AA1295" i="1" a="1"/>
  <c r="AA1295" i="1"/>
  <c r="Z560" i="1" a="1"/>
  <c r="Z560" i="1"/>
  <c r="AB243" i="1" a="1"/>
  <c r="AB243" i="1"/>
  <c r="AB844" i="1" a="1"/>
  <c r="AB844" i="1"/>
  <c r="Z244" i="1" a="1"/>
  <c r="Z244" i="1"/>
  <c r="AB560" i="1" a="1"/>
  <c r="AB560" i="1"/>
  <c r="AC1295" i="1" a="1"/>
  <c r="AC1295" i="1"/>
  <c r="Y46" i="1" a="1"/>
  <c r="Y46" i="1"/>
  <c r="Y108" i="1" a="1"/>
  <c r="Y108" i="1"/>
  <c r="Y364" i="1" a="1"/>
  <c r="Y364" i="1"/>
  <c r="Z844" i="1" a="1"/>
  <c r="Z844" i="1"/>
  <c r="AA243" i="1" a="1"/>
  <c r="AA243" i="1"/>
  <c r="AA560" i="1" a="1"/>
  <c r="AA560" i="1"/>
  <c r="Z364" i="1" a="1"/>
  <c r="Z364" i="1"/>
  <c r="Y243" i="1" a="1"/>
  <c r="Y243" i="1"/>
  <c r="Z355" i="1" a="1"/>
  <c r="Z355" i="1"/>
  <c r="AB654" i="1" a="1"/>
  <c r="AB654" i="1"/>
  <c r="AA844" i="1" a="1"/>
  <c r="AA844" i="1"/>
  <c r="Y654" i="1" a="1"/>
  <c r="Y654" i="1"/>
  <c r="Z1295" i="1" a="1"/>
  <c r="Z1295" i="1"/>
  <c r="AC46" i="1" a="1"/>
  <c r="AC46" i="1"/>
  <c r="AC355" i="1" a="1"/>
  <c r="AC355" i="1"/>
  <c r="AB355" i="1" a="1"/>
  <c r="AB355" i="1"/>
  <c r="AC654" i="1" a="1"/>
  <c r="AC654" i="1"/>
  <c r="Z654" i="1" a="1"/>
  <c r="Z654" i="1"/>
  <c r="Z243" i="1" a="1"/>
  <c r="Z243" i="1"/>
  <c r="AC364" i="1" a="1"/>
  <c r="AC364" i="1"/>
  <c r="AA364" i="1" a="1"/>
  <c r="AA364" i="1"/>
  <c r="AB108" i="1" a="1"/>
  <c r="AB108" i="1"/>
  <c r="AB1295" i="1" a="1"/>
  <c r="AB1295" i="1"/>
  <c r="AC108" i="1" a="1"/>
  <c r="AC108" i="1"/>
  <c r="AA46" i="1" a="1"/>
  <c r="AA46" i="1"/>
  <c r="Y244" i="1" a="1"/>
  <c r="Y244" i="1"/>
  <c r="AC560" i="1" a="1"/>
  <c r="AC560" i="1"/>
  <c r="Y355" i="1" a="1"/>
  <c r="Y355" i="1"/>
  <c r="Y844" i="1" a="1"/>
  <c r="Y844" i="1"/>
  <c r="AB364" i="1" a="1"/>
  <c r="AB364" i="1"/>
  <c r="AB244" i="1" a="1"/>
  <c r="AB244" i="1"/>
  <c r="Z46" i="1" a="1"/>
  <c r="Z46" i="1"/>
  <c r="AA654" i="1" a="1"/>
  <c r="AA654" i="1"/>
  <c r="AC243" i="1" a="1"/>
  <c r="AC243" i="1"/>
  <c r="Y1295" i="1" a="1"/>
  <c r="Y1295" i="1"/>
  <c r="Y633" i="1" a="1"/>
  <c r="Y633" i="1"/>
  <c r="Z362" i="1" a="1"/>
  <c r="Z362" i="1"/>
  <c r="Y1276" i="1" a="1"/>
  <c r="Y1276" i="1"/>
  <c r="AA1007" i="1" a="1"/>
  <c r="AA1007" i="1"/>
  <c r="AC1448" i="1" a="1"/>
  <c r="AC1448" i="1"/>
  <c r="AA754" i="1" a="1"/>
  <c r="AA754" i="1"/>
  <c r="AC1283" i="1" a="1"/>
  <c r="AC1283" i="1"/>
  <c r="Z754" i="1" a="1"/>
  <c r="Z754" i="1"/>
  <c r="Z976" i="1" a="1"/>
  <c r="Z976" i="1"/>
  <c r="Y754" i="1" a="1"/>
  <c r="Y754" i="1"/>
  <c r="AA362" i="1" a="1"/>
  <c r="AA362" i="1"/>
  <c r="AB1283" i="1" a="1"/>
  <c r="AB1283" i="1"/>
  <c r="AB362" i="1" a="1"/>
  <c r="AB362" i="1"/>
  <c r="AC1595" i="1"/>
  <c r="Z1007" i="1" a="1"/>
  <c r="Z1007" i="1"/>
  <c r="Z1543" i="1"/>
  <c r="AB1448" i="1" a="1"/>
  <c r="AB1448" i="1"/>
  <c r="AB1007" i="1" a="1"/>
  <c r="AB1007" i="1"/>
  <c r="AB976" i="1" a="1"/>
  <c r="AB976" i="1"/>
  <c r="AB1595" i="1"/>
  <c r="Y1448" i="1" a="1"/>
  <c r="Y1448" i="1"/>
  <c r="AA1283" i="1" a="1"/>
  <c r="AA1283" i="1"/>
  <c r="Z1283" i="1" a="1"/>
  <c r="Z1283" i="1"/>
  <c r="AA633" i="1" a="1"/>
  <c r="AA633" i="1"/>
  <c r="Z1276" i="1" a="1"/>
  <c r="Z1276" i="1"/>
  <c r="AC1276" i="1" a="1"/>
  <c r="AC1276" i="1"/>
  <c r="AA1595" i="1"/>
  <c r="Y1595" i="1"/>
  <c r="AC1007" i="1" a="1"/>
  <c r="AC1007" i="1"/>
  <c r="AC976" i="1" a="1"/>
  <c r="AC976" i="1"/>
  <c r="AA1276" i="1" a="1"/>
  <c r="AA1276" i="1"/>
  <c r="AB754" i="1" a="1"/>
  <c r="AB754" i="1"/>
  <c r="AA976" i="1" a="1"/>
  <c r="AA976" i="1"/>
  <c r="Z633" i="1" a="1"/>
  <c r="Z633" i="1"/>
  <c r="AB1543" i="1"/>
  <c r="Y1543" i="1"/>
  <c r="AC362" i="1" a="1"/>
  <c r="AC362" i="1"/>
  <c r="Z1448" i="1" a="1"/>
  <c r="Z1448" i="1"/>
  <c r="AC1543" i="1"/>
  <c r="AB633" i="1" a="1"/>
  <c r="AB633" i="1"/>
  <c r="Z1595" i="1"/>
  <c r="AC633" i="1" a="1"/>
  <c r="AC633" i="1"/>
  <c r="Y1007" i="1" a="1"/>
  <c r="Y1007" i="1"/>
  <c r="Y976" i="1" a="1"/>
  <c r="Y976" i="1"/>
  <c r="AB1276" i="1" a="1"/>
  <c r="AB1276" i="1"/>
  <c r="AA1448" i="1" a="1"/>
  <c r="AA1448" i="1"/>
  <c r="AA1543" i="1"/>
  <c r="Y362" i="1" a="1"/>
  <c r="Y362" i="1"/>
  <c r="AC754" i="1" a="1"/>
  <c r="AC754" i="1"/>
  <c r="Y1283" i="1" a="1"/>
  <c r="Y1283" i="1"/>
  <c r="AC114" i="1" a="1"/>
  <c r="AC114" i="1"/>
  <c r="Y41" i="1" a="1"/>
  <c r="Y41" i="1"/>
  <c r="Z228" i="1" a="1"/>
  <c r="Z228" i="1"/>
  <c r="AB771" i="1" a="1"/>
  <c r="AB771" i="1"/>
  <c r="Z1602" i="1"/>
  <c r="AA41" i="1" a="1"/>
  <c r="AA41" i="1"/>
  <c r="AB1602" i="1"/>
  <c r="AB1199" i="1" a="1"/>
  <c r="AB1199" i="1"/>
  <c r="AA485" i="1" a="1"/>
  <c r="AA485" i="1"/>
  <c r="Y1199" i="1" a="1"/>
  <c r="Y1199" i="1"/>
  <c r="Y114" i="1" a="1"/>
  <c r="Y114" i="1"/>
  <c r="AC1602" i="1"/>
  <c r="AB114" i="1" a="1"/>
  <c r="AB114" i="1"/>
  <c r="Z988" i="1" a="1"/>
  <c r="Z988" i="1"/>
  <c r="AC228" i="1" a="1"/>
  <c r="AC228" i="1"/>
  <c r="AC1247" i="1" a="1"/>
  <c r="AC1247" i="1"/>
  <c r="AA114" i="1" a="1"/>
  <c r="AA114" i="1"/>
  <c r="Z485" i="1" a="1"/>
  <c r="Z485" i="1"/>
  <c r="AA1247" i="1" a="1"/>
  <c r="AA1247" i="1"/>
  <c r="AC474" i="1" a="1"/>
  <c r="AC474" i="1"/>
  <c r="AC988" i="1" a="1"/>
  <c r="AC988" i="1"/>
  <c r="AA228" i="1" a="1"/>
  <c r="AA228" i="1"/>
  <c r="Z1199" i="1" a="1"/>
  <c r="Z1199" i="1"/>
  <c r="Z771" i="1" a="1"/>
  <c r="Z771" i="1"/>
  <c r="Z1247" i="1" a="1"/>
  <c r="Z1247" i="1"/>
  <c r="Y988" i="1" a="1"/>
  <c r="Y988" i="1"/>
  <c r="AB474" i="1" a="1"/>
  <c r="AB474" i="1"/>
  <c r="AB988" i="1" a="1"/>
  <c r="AB988" i="1"/>
  <c r="Z474" i="1" a="1"/>
  <c r="Z474" i="1"/>
  <c r="Y1247" i="1" a="1"/>
  <c r="Y1247" i="1"/>
  <c r="Y771" i="1" a="1"/>
  <c r="Y771" i="1"/>
  <c r="AB41" i="1" a="1"/>
  <c r="AB41" i="1"/>
  <c r="AB228" i="1" a="1"/>
  <c r="AB228" i="1"/>
  <c r="Y474" i="1" a="1"/>
  <c r="Y474" i="1"/>
  <c r="AA1602" i="1"/>
  <c r="AC1199" i="1" a="1"/>
  <c r="AC1199" i="1"/>
  <c r="AC485" i="1" a="1"/>
  <c r="AC485" i="1"/>
  <c r="AA771" i="1" a="1"/>
  <c r="AA771" i="1"/>
  <c r="AB485" i="1" a="1"/>
  <c r="AB485" i="1"/>
  <c r="Z41" i="1" a="1"/>
  <c r="Z41" i="1"/>
  <c r="Z114" i="1" a="1"/>
  <c r="Z114" i="1"/>
  <c r="AC41" i="1" a="1"/>
  <c r="AC41" i="1"/>
  <c r="AC771" i="1" a="1"/>
  <c r="AC771" i="1"/>
  <c r="Y1602" i="1"/>
  <c r="AA1199" i="1" a="1"/>
  <c r="AA1199" i="1"/>
  <c r="Y485" i="1" a="1"/>
  <c r="Y485" i="1"/>
  <c r="Y228" i="1" a="1"/>
  <c r="Y228" i="1"/>
  <c r="AB1247" i="1" a="1"/>
  <c r="AB1247" i="1"/>
  <c r="AA988" i="1" a="1"/>
  <c r="AA988" i="1"/>
  <c r="AA474" i="1" a="1"/>
  <c r="AA474" i="1"/>
  <c r="AC564" i="1" a="1"/>
  <c r="AC564" i="1"/>
  <c r="AC394" i="1" a="1"/>
  <c r="AC394" i="1"/>
  <c r="AA876" i="1" a="1"/>
  <c r="AA876" i="1"/>
  <c r="Y98" i="1" a="1"/>
  <c r="Y98" i="1"/>
  <c r="AB1223" i="1" a="1"/>
  <c r="AB1223" i="1"/>
  <c r="AA1343" i="1" a="1"/>
  <c r="AA1343" i="1"/>
  <c r="Z876" i="1" a="1"/>
  <c r="Z876" i="1"/>
  <c r="AA1547" i="1"/>
  <c r="Z1343" i="1" a="1"/>
  <c r="Z1343" i="1"/>
  <c r="AA564" i="1" a="1"/>
  <c r="AA564" i="1"/>
  <c r="Z394" i="1" a="1"/>
  <c r="Z394" i="1"/>
  <c r="AA1102" i="1" a="1"/>
  <c r="AA1102" i="1"/>
  <c r="Z1547" i="1"/>
  <c r="Y394" i="1" a="1"/>
  <c r="Y394" i="1"/>
  <c r="Y800" i="1" a="1"/>
  <c r="Y800" i="1"/>
  <c r="AC98" i="1" a="1"/>
  <c r="AC98" i="1"/>
  <c r="AA394" i="1" a="1"/>
  <c r="AA394" i="1"/>
  <c r="AB1102" i="1" a="1"/>
  <c r="AB1102" i="1"/>
  <c r="AA98" i="1" a="1"/>
  <c r="AA98" i="1"/>
  <c r="AC1547" i="1"/>
  <c r="AB1343" i="1" a="1"/>
  <c r="AB1343" i="1"/>
  <c r="Y876" i="1" a="1"/>
  <c r="Y876" i="1"/>
  <c r="Z98" i="1" a="1"/>
  <c r="Z98" i="1"/>
  <c r="Y1102" i="1" a="1"/>
  <c r="Y1102" i="1"/>
  <c r="AB876" i="1" a="1"/>
  <c r="AB876" i="1"/>
  <c r="Y1223" i="1" a="1"/>
  <c r="Y1223" i="1"/>
  <c r="Z800" i="1" a="1"/>
  <c r="Z800" i="1"/>
  <c r="Y1547" i="1"/>
  <c r="AC1343" i="1" a="1"/>
  <c r="AC1343" i="1"/>
  <c r="Z1223" i="1" a="1"/>
  <c r="Z1223" i="1"/>
  <c r="AA110" i="1" a="1"/>
  <c r="AA110" i="1"/>
  <c r="Z110" i="1" a="1"/>
  <c r="Z110" i="1"/>
  <c r="Y110" i="1" a="1"/>
  <c r="Y110" i="1"/>
  <c r="AC1102" i="1" a="1"/>
  <c r="AC1102" i="1"/>
  <c r="AC800" i="1" a="1"/>
  <c r="AC800" i="1"/>
  <c r="AB110" i="1" a="1"/>
  <c r="AB110" i="1"/>
  <c r="AA800" i="1" a="1"/>
  <c r="AA800" i="1"/>
  <c r="Y564" i="1" a="1"/>
  <c r="Y564" i="1"/>
  <c r="AC1223" i="1" a="1"/>
  <c r="AC1223" i="1"/>
  <c r="AB564" i="1" a="1"/>
  <c r="AB564" i="1"/>
  <c r="AA1223" i="1" a="1"/>
  <c r="AA1223" i="1"/>
  <c r="AB800" i="1" a="1"/>
  <c r="AB800" i="1"/>
  <c r="AB98" i="1" a="1"/>
  <c r="AB98" i="1"/>
  <c r="AC110" i="1" a="1"/>
  <c r="AC110" i="1"/>
  <c r="Y1343" i="1" a="1"/>
  <c r="Y1343" i="1"/>
  <c r="AB1547" i="1"/>
  <c r="AB394" i="1" a="1"/>
  <c r="AB394" i="1"/>
  <c r="Z1102" i="1" a="1"/>
  <c r="Z1102" i="1"/>
  <c r="Z564" i="1" a="1"/>
  <c r="Z564" i="1"/>
  <c r="AC876" i="1" a="1"/>
  <c r="AC876" i="1"/>
  <c r="Y1197" i="1" a="1"/>
  <c r="Y1197" i="1"/>
  <c r="Z1087" i="1" a="1"/>
  <c r="Z1087" i="1"/>
  <c r="AC670" i="1" a="1"/>
  <c r="AC670" i="1"/>
  <c r="AC1197" i="1" a="1"/>
  <c r="AC1197" i="1"/>
  <c r="AA493" i="1" a="1"/>
  <c r="AA493" i="1"/>
  <c r="Y940" i="1" a="1"/>
  <c r="Y940" i="1"/>
  <c r="AA612" i="1" a="1"/>
  <c r="AA612" i="1"/>
  <c r="AC940" i="1" a="1"/>
  <c r="AC940" i="1"/>
  <c r="AB1615" i="1"/>
  <c r="Y1087" i="1" a="1"/>
  <c r="Y1087" i="1"/>
  <c r="Y493" i="1" a="1"/>
  <c r="Y493" i="1"/>
  <c r="AB1087" i="1" a="1"/>
  <c r="AB1087" i="1"/>
  <c r="Y612" i="1" a="1"/>
  <c r="Y612" i="1"/>
  <c r="AB810" i="1" a="1"/>
  <c r="AB810" i="1"/>
  <c r="Z1197" i="1" a="1"/>
  <c r="Z1197" i="1"/>
  <c r="AC493" i="1" a="1"/>
  <c r="AC493" i="1"/>
  <c r="Y1406" i="1" a="1"/>
  <c r="Y1406" i="1"/>
  <c r="Z493" i="1" a="1"/>
  <c r="Z493" i="1"/>
  <c r="Y670" i="1" a="1"/>
  <c r="Y670" i="1"/>
  <c r="AA1406" i="1" a="1"/>
  <c r="AA1406" i="1"/>
  <c r="Y31" i="1" a="1"/>
  <c r="Y31" i="1"/>
  <c r="AA810" i="1" a="1"/>
  <c r="AA810" i="1"/>
  <c r="AC810" i="1" a="1"/>
  <c r="AC810" i="1"/>
  <c r="AC31" i="1" a="1"/>
  <c r="AC31" i="1"/>
  <c r="Z1615" i="1"/>
  <c r="AB1406" i="1" a="1"/>
  <c r="AB1406" i="1"/>
  <c r="Z810" i="1" a="1"/>
  <c r="Z810" i="1"/>
  <c r="AA1087" i="1" a="1"/>
  <c r="AA1087" i="1"/>
  <c r="Z940" i="1" a="1"/>
  <c r="Z940" i="1"/>
  <c r="AB612" i="1" a="1"/>
  <c r="AB612" i="1"/>
  <c r="AA31" i="1" a="1"/>
  <c r="AA31" i="1"/>
  <c r="AA1197" i="1" a="1"/>
  <c r="AA1197" i="1"/>
  <c r="AB940" i="1" a="1"/>
  <c r="AB940" i="1"/>
  <c r="AB31" i="1" a="1"/>
  <c r="AB31" i="1"/>
  <c r="Z670" i="1" a="1"/>
  <c r="Z670" i="1"/>
  <c r="Y1615" i="1"/>
  <c r="Z612" i="1" a="1"/>
  <c r="Z612" i="1"/>
  <c r="AC1615" i="1"/>
  <c r="AB670" i="1" a="1"/>
  <c r="AB670" i="1"/>
  <c r="AC1406" i="1" a="1"/>
  <c r="AC1406" i="1"/>
  <c r="AB1197" i="1" a="1"/>
  <c r="AB1197" i="1"/>
  <c r="Z1406" i="1" a="1"/>
  <c r="Z1406" i="1"/>
  <c r="AC1087" i="1" a="1"/>
  <c r="AC1087" i="1"/>
  <c r="AC612" i="1" a="1"/>
  <c r="AC612" i="1"/>
  <c r="AA670" i="1" a="1"/>
  <c r="AA670" i="1"/>
  <c r="AA1615" i="1"/>
  <c r="AA940" i="1" a="1"/>
  <c r="AA940" i="1"/>
  <c r="Z31" i="1" a="1"/>
  <c r="Z31" i="1"/>
  <c r="Y810" i="1" a="1"/>
  <c r="Y810" i="1"/>
  <c r="AB493" i="1" a="1"/>
  <c r="AB493" i="1"/>
  <c r="AA660" i="1" a="1"/>
  <c r="AA660" i="1"/>
  <c r="AA159" i="1" a="1"/>
  <c r="AA159" i="1"/>
  <c r="AB885" i="1" a="1"/>
  <c r="AB885" i="1"/>
  <c r="AC1598" i="1"/>
  <c r="AA1068" i="1" a="1"/>
  <c r="AA1068" i="1"/>
  <c r="Y159" i="1" a="1"/>
  <c r="Y159" i="1"/>
  <c r="AB1425" i="1" a="1"/>
  <c r="AB1425" i="1"/>
  <c r="AC1425" i="1" a="1"/>
  <c r="AC1425" i="1"/>
  <c r="AB1068" i="1" a="1"/>
  <c r="AB1068" i="1"/>
  <c r="AC338" i="1" a="1"/>
  <c r="AC338" i="1"/>
  <c r="Y1598" i="1"/>
  <c r="Y1068" i="1" a="1"/>
  <c r="Y1068" i="1"/>
  <c r="Z338" i="1" a="1"/>
  <c r="Z338" i="1"/>
  <c r="Y1425" i="1" a="1"/>
  <c r="Y1425" i="1"/>
  <c r="Z660" i="1" a="1"/>
  <c r="Z660" i="1"/>
  <c r="Y1250" i="1" a="1"/>
  <c r="Y1250" i="1"/>
  <c r="AC159" i="1" a="1"/>
  <c r="AC159" i="1"/>
  <c r="AA338" i="1" a="1"/>
  <c r="AA338" i="1"/>
  <c r="AC1250" i="1" a="1"/>
  <c r="AC1250" i="1"/>
  <c r="Z159" i="1" a="1"/>
  <c r="Z159" i="1"/>
  <c r="Z1250" i="1" a="1"/>
  <c r="Z1250" i="1"/>
  <c r="Y549" i="1" a="1"/>
  <c r="Y549" i="1"/>
  <c r="AC1068" i="1" a="1"/>
  <c r="AC1068" i="1"/>
  <c r="AC885" i="1" a="1"/>
  <c r="AC885" i="1"/>
  <c r="AB1250" i="1" a="1"/>
  <c r="AB1250" i="1"/>
  <c r="AB1598" i="1"/>
  <c r="Y338" i="1" a="1"/>
  <c r="Y338" i="1"/>
  <c r="AC660" i="1" a="1"/>
  <c r="AC660" i="1"/>
  <c r="AB549" i="1" a="1"/>
  <c r="AB549" i="1"/>
  <c r="AA1598" i="1"/>
  <c r="Z885" i="1" a="1"/>
  <c r="Z885" i="1"/>
  <c r="Z759" i="1" a="1"/>
  <c r="Z759" i="1"/>
  <c r="Z1425" i="1" a="1"/>
  <c r="Z1425" i="1"/>
  <c r="AA759" i="1" a="1"/>
  <c r="AA759" i="1"/>
  <c r="AB759" i="1" a="1"/>
  <c r="AB759" i="1"/>
  <c r="Y885" i="1" a="1"/>
  <c r="Y885" i="1"/>
  <c r="Z549" i="1" a="1"/>
  <c r="Z549" i="1"/>
  <c r="AC549" i="1" a="1"/>
  <c r="AC549" i="1"/>
  <c r="AC759" i="1" a="1"/>
  <c r="AC759" i="1"/>
  <c r="Y660" i="1" a="1"/>
  <c r="Y660" i="1"/>
  <c r="AA549" i="1" a="1"/>
  <c r="AA549" i="1"/>
  <c r="AA1425" i="1" a="1"/>
  <c r="AA1425" i="1"/>
  <c r="AB660" i="1" a="1"/>
  <c r="AB660" i="1"/>
  <c r="Y759" i="1" a="1"/>
  <c r="Y759" i="1"/>
  <c r="Z1068" i="1" a="1"/>
  <c r="Z1068" i="1"/>
  <c r="AA1250" i="1" a="1"/>
  <c r="AA1250" i="1"/>
  <c r="Z1598" i="1"/>
  <c r="AB338" i="1" a="1"/>
  <c r="AB338" i="1"/>
  <c r="AA885" i="1" a="1"/>
  <c r="AA885" i="1"/>
  <c r="AB159" i="1" a="1"/>
  <c r="AB159" i="1"/>
  <c r="AC811" i="1" a="1"/>
  <c r="AC811" i="1"/>
  <c r="AA1358" i="1" a="1"/>
  <c r="AA1358" i="1"/>
  <c r="Y1293" i="1" a="1"/>
  <c r="Y1293" i="1"/>
  <c r="AB615" i="1" a="1"/>
  <c r="AB615" i="1"/>
  <c r="AB744" i="1" a="1"/>
  <c r="AB744" i="1"/>
  <c r="AC1293" i="1" a="1"/>
  <c r="AC1293" i="1"/>
  <c r="Z615" i="1" a="1"/>
  <c r="Z615" i="1"/>
  <c r="Y1588" i="1"/>
  <c r="Z1588" i="1"/>
  <c r="Y744" i="1" a="1"/>
  <c r="Y744" i="1"/>
  <c r="AB724" i="1" a="1"/>
  <c r="AB724" i="1"/>
  <c r="Y691" i="1" a="1"/>
  <c r="Y691" i="1"/>
  <c r="Z811" i="1" a="1"/>
  <c r="Z811" i="1"/>
  <c r="Y1358" i="1" a="1"/>
  <c r="Y1358" i="1"/>
  <c r="Z1358" i="1" a="1"/>
  <c r="Z1358" i="1"/>
  <c r="AB344" i="1" a="1"/>
  <c r="AB344" i="1"/>
  <c r="AA1588" i="1"/>
  <c r="AA724" i="1" a="1"/>
  <c r="AA724" i="1"/>
  <c r="AC1588" i="1"/>
  <c r="AB1159" i="1" a="1"/>
  <c r="AB1159" i="1"/>
  <c r="AA744" i="1" a="1"/>
  <c r="AA744" i="1"/>
  <c r="Y811" i="1" a="1"/>
  <c r="Y811" i="1"/>
  <c r="Z344" i="1" a="1"/>
  <c r="Z344" i="1"/>
  <c r="Z724" i="1" a="1"/>
  <c r="Z724" i="1"/>
  <c r="Z691" i="1" a="1"/>
  <c r="Z691" i="1"/>
  <c r="AA1159" i="1" a="1"/>
  <c r="AA1159" i="1"/>
  <c r="Z1293" i="1" a="1"/>
  <c r="Z1293" i="1"/>
  <c r="AC691" i="1" a="1"/>
  <c r="AC691" i="1"/>
  <c r="Z1159" i="1" a="1"/>
  <c r="Z1159" i="1"/>
  <c r="Y615" i="1" a="1"/>
  <c r="Y615" i="1"/>
  <c r="AC724" i="1" a="1"/>
  <c r="AC724" i="1"/>
  <c r="AB691" i="1" a="1"/>
  <c r="AB691" i="1"/>
  <c r="AB1358" i="1" a="1"/>
  <c r="AB1358" i="1"/>
  <c r="AA615" i="1" a="1"/>
  <c r="AA615" i="1"/>
  <c r="AC344" i="1" a="1"/>
  <c r="AC344" i="1"/>
  <c r="AB1293" i="1" a="1"/>
  <c r="AB1293" i="1"/>
  <c r="Y1159" i="1" a="1"/>
  <c r="Y1159" i="1"/>
  <c r="AC744" i="1" a="1"/>
  <c r="AC744" i="1"/>
  <c r="Y344" i="1" a="1"/>
  <c r="Y344" i="1"/>
  <c r="AB811" i="1" a="1"/>
  <c r="AB811" i="1"/>
  <c r="AA1293" i="1" a="1"/>
  <c r="AA1293" i="1"/>
  <c r="Y724" i="1" a="1"/>
  <c r="Y724" i="1"/>
  <c r="Z744" i="1" a="1"/>
  <c r="Z744" i="1"/>
  <c r="AA691" i="1" a="1"/>
  <c r="AA691" i="1"/>
  <c r="AC615" i="1" a="1"/>
  <c r="AC615" i="1"/>
  <c r="AC1358" i="1" a="1"/>
  <c r="AC1358" i="1"/>
  <c r="AB1588" i="1"/>
  <c r="AC1159" i="1" a="1"/>
  <c r="AC1159" i="1"/>
  <c r="AA811" i="1" a="1"/>
  <c r="AA811" i="1"/>
  <c r="AA344" i="1" a="1"/>
  <c r="AA344" i="1"/>
  <c r="AB272" i="1" a="1"/>
  <c r="AB272" i="1"/>
  <c r="Z1607" i="1"/>
  <c r="AA272" i="1" a="1"/>
  <c r="AA272" i="1"/>
  <c r="AA622" i="1" a="1"/>
  <c r="AA622" i="1"/>
  <c r="AB55" i="1" a="1"/>
  <c r="AB55" i="1"/>
  <c r="AA1545" i="1"/>
  <c r="AC538" i="1" a="1"/>
  <c r="AC538" i="1"/>
  <c r="AC407" i="1" a="1"/>
  <c r="AC407" i="1"/>
  <c r="AC1607" i="1"/>
  <c r="Y538" i="1" a="1"/>
  <c r="Y538" i="1"/>
  <c r="Z622" i="1" a="1"/>
  <c r="Z622" i="1"/>
  <c r="Y1545" i="1"/>
  <c r="AA1607" i="1"/>
  <c r="AB538" i="1" a="1"/>
  <c r="AB538" i="1"/>
  <c r="Z496" i="1" a="1"/>
  <c r="Z496" i="1"/>
  <c r="Z55" i="1" a="1"/>
  <c r="Z55" i="1"/>
  <c r="AA55" i="1" a="1"/>
  <c r="AA55" i="1"/>
  <c r="Y272" i="1" a="1"/>
  <c r="Y272" i="1"/>
  <c r="Z407" i="1" a="1"/>
  <c r="Z407" i="1"/>
  <c r="AC496" i="1" a="1"/>
  <c r="AC496" i="1"/>
  <c r="AB407" i="1" a="1"/>
  <c r="AB407" i="1"/>
  <c r="AA239" i="1" a="1"/>
  <c r="AA239" i="1"/>
  <c r="AA407" i="1" a="1"/>
  <c r="AA407" i="1"/>
  <c r="Z239" i="1" a="1"/>
  <c r="Z239" i="1"/>
  <c r="AC55" i="1" a="1"/>
  <c r="AC55" i="1"/>
  <c r="AA496" i="1" a="1"/>
  <c r="AA496" i="1"/>
  <c r="Y239" i="1" a="1"/>
  <c r="Y239" i="1"/>
  <c r="AB622" i="1" a="1"/>
  <c r="AB622" i="1"/>
  <c r="AC622" i="1" a="1"/>
  <c r="AC622" i="1"/>
  <c r="Z538" i="1" a="1"/>
  <c r="Z538" i="1"/>
  <c r="Z1263" i="1" a="1"/>
  <c r="Z1263" i="1"/>
  <c r="AB1545" i="1"/>
  <c r="AC272" i="1" a="1"/>
  <c r="AC272" i="1"/>
  <c r="Y1607" i="1"/>
  <c r="Y1263" i="1" a="1"/>
  <c r="Y1263" i="1"/>
  <c r="AC1263" i="1" a="1"/>
  <c r="AC1263" i="1"/>
  <c r="AB239" i="1" a="1"/>
  <c r="AB239" i="1"/>
  <c r="AC1545" i="1"/>
  <c r="AB1263" i="1" a="1"/>
  <c r="AB1263" i="1"/>
  <c r="Y496" i="1" a="1"/>
  <c r="Y496" i="1"/>
  <c r="AA538" i="1" a="1"/>
  <c r="AA538" i="1"/>
  <c r="AB496" i="1" a="1"/>
  <c r="AB496" i="1"/>
  <c r="Z272" i="1" a="1"/>
  <c r="Z272" i="1"/>
  <c r="AB1607" i="1"/>
  <c r="AC239" i="1" a="1"/>
  <c r="AC239" i="1"/>
  <c r="Y622" i="1" a="1"/>
  <c r="Y622" i="1"/>
  <c r="Z1545" i="1"/>
  <c r="Y55" i="1" a="1"/>
  <c r="Y55" i="1"/>
  <c r="AA1263" i="1" a="1"/>
  <c r="AA1263" i="1"/>
  <c r="Y407" i="1" a="1"/>
  <c r="Y407" i="1"/>
  <c r="Y855" i="1" a="1"/>
  <c r="Y855" i="1"/>
  <c r="Z1507" i="1" a="1"/>
  <c r="Z1507" i="1"/>
  <c r="AA901" i="1" a="1"/>
  <c r="AA901" i="1"/>
  <c r="AC1209" i="1" a="1"/>
  <c r="AC1209" i="1"/>
  <c r="Z798" i="1" a="1"/>
  <c r="Z798" i="1"/>
  <c r="Y995" i="1" a="1"/>
  <c r="Y995" i="1"/>
  <c r="AB995" i="1" a="1"/>
  <c r="AB995" i="1"/>
  <c r="AC199" i="1" a="1"/>
  <c r="AC199" i="1"/>
  <c r="Z199" i="1" a="1"/>
  <c r="Z199" i="1"/>
  <c r="AB798" i="1" a="1"/>
  <c r="AB798" i="1"/>
  <c r="Z901" i="1" a="1"/>
  <c r="Z901" i="1"/>
  <c r="AC901" i="1" a="1"/>
  <c r="AC901" i="1"/>
  <c r="Z995" i="1" a="1"/>
  <c r="Z995" i="1"/>
  <c r="AC1492" i="1" a="1"/>
  <c r="AC1492" i="1"/>
  <c r="AC655" i="1" a="1"/>
  <c r="AC655" i="1"/>
  <c r="AA1492" i="1" a="1"/>
  <c r="AA1492" i="1"/>
  <c r="AB655" i="1" a="1"/>
  <c r="AB655" i="1"/>
  <c r="AB1492" i="1" a="1"/>
  <c r="AB1492" i="1"/>
  <c r="Z1492" i="1" a="1"/>
  <c r="Z1492" i="1"/>
  <c r="Z655" i="1" a="1"/>
  <c r="Z655" i="1"/>
  <c r="Y1209" i="1" a="1"/>
  <c r="Y1209" i="1"/>
  <c r="Z521" i="1" a="1"/>
  <c r="Z521" i="1"/>
  <c r="AC1507" i="1" a="1"/>
  <c r="AC1507" i="1"/>
  <c r="AA995" i="1" a="1"/>
  <c r="AA995" i="1"/>
  <c r="AB521" i="1" a="1"/>
  <c r="AB521" i="1"/>
  <c r="AB1507" i="1" a="1"/>
  <c r="AB1507" i="1"/>
  <c r="AA521" i="1" a="1"/>
  <c r="AA521" i="1"/>
  <c r="Z1209" i="1" a="1"/>
  <c r="Z1209" i="1"/>
  <c r="AC798" i="1" a="1"/>
  <c r="AC798" i="1"/>
  <c r="Y655" i="1" a="1"/>
  <c r="Y655" i="1"/>
  <c r="AB855" i="1" a="1"/>
  <c r="AB855" i="1"/>
  <c r="Y199" i="1" a="1"/>
  <c r="Y199" i="1"/>
  <c r="Y901" i="1" a="1"/>
  <c r="Y901" i="1"/>
  <c r="AC521" i="1" a="1"/>
  <c r="AC521" i="1"/>
  <c r="AA855" i="1" a="1"/>
  <c r="AA855" i="1"/>
  <c r="AA798" i="1" a="1"/>
  <c r="AA798" i="1"/>
  <c r="AA199" i="1" a="1"/>
  <c r="AA199" i="1"/>
  <c r="AB1209" i="1" a="1"/>
  <c r="AB1209" i="1"/>
  <c r="Y798" i="1" a="1"/>
  <c r="Y798" i="1"/>
  <c r="Y1507" i="1" a="1"/>
  <c r="Y1507" i="1"/>
  <c r="AB901" i="1" a="1"/>
  <c r="AB901" i="1"/>
  <c r="AB199" i="1" a="1"/>
  <c r="AB199" i="1"/>
  <c r="Y521" i="1" a="1"/>
  <c r="Y521" i="1"/>
  <c r="AA1507" i="1" a="1"/>
  <c r="AA1507" i="1"/>
  <c r="AA1209" i="1" a="1"/>
  <c r="AA1209" i="1"/>
  <c r="Y1492" i="1" a="1"/>
  <c r="Y1492" i="1"/>
  <c r="AC855" i="1" a="1"/>
  <c r="AC855" i="1"/>
  <c r="AC995" i="1" a="1"/>
  <c r="AC995" i="1"/>
  <c r="AA655" i="1" a="1"/>
  <c r="AA655" i="1"/>
  <c r="Z855" i="1" a="1"/>
  <c r="Z855" i="1"/>
  <c r="AA458" i="1" a="1"/>
  <c r="AA458" i="1"/>
  <c r="AA230" i="1" a="1"/>
  <c r="AA230" i="1"/>
  <c r="AC11" i="1" a="1"/>
  <c r="AC11" i="1"/>
  <c r="Z16" i="1" a="1"/>
  <c r="Z16" i="1"/>
  <c r="AB16" i="1" a="1"/>
  <c r="AB16" i="1"/>
  <c r="AB11" i="1" a="1"/>
  <c r="AB11" i="1"/>
  <c r="Y829" i="1" a="1"/>
  <c r="Y829" i="1"/>
  <c r="AA11" i="1" a="1"/>
  <c r="AA11" i="1"/>
  <c r="Z92" i="1" a="1"/>
  <c r="Z92" i="1"/>
  <c r="AB92" i="1" a="1"/>
  <c r="AB92" i="1"/>
  <c r="AB833" i="1" a="1"/>
  <c r="AB833" i="1"/>
  <c r="AB1345" i="1" a="1"/>
  <c r="AB1345" i="1"/>
  <c r="AA92" i="1" a="1"/>
  <c r="AA92" i="1"/>
  <c r="AB1433" i="1" a="1"/>
  <c r="AB1433" i="1"/>
  <c r="Z833" i="1" a="1"/>
  <c r="Z833" i="1"/>
  <c r="Z458" i="1" a="1"/>
  <c r="Z458" i="1"/>
  <c r="AA833" i="1" a="1"/>
  <c r="AA833" i="1"/>
  <c r="AA1433" i="1" a="1"/>
  <c r="AA1433" i="1"/>
  <c r="Y92" i="1" a="1"/>
  <c r="Y92" i="1"/>
  <c r="AC1433" i="1" a="1"/>
  <c r="AC1433" i="1"/>
  <c r="AC829" i="1" a="1"/>
  <c r="AC829" i="1"/>
  <c r="AB605" i="1" a="1"/>
  <c r="AB605" i="1"/>
  <c r="AC16" i="1" a="1"/>
  <c r="AC16" i="1"/>
  <c r="Y16" i="1" a="1"/>
  <c r="Y16" i="1"/>
  <c r="AC605" i="1" a="1"/>
  <c r="AC605" i="1"/>
  <c r="Z11" i="1" a="1"/>
  <c r="Z11" i="1"/>
  <c r="Z829" i="1" a="1"/>
  <c r="Z829" i="1"/>
  <c r="Z605" i="1" a="1"/>
  <c r="Z605" i="1"/>
  <c r="Y605" i="1" a="1"/>
  <c r="Y605" i="1"/>
  <c r="AA829" i="1" a="1"/>
  <c r="AA829" i="1"/>
  <c r="AC458" i="1" a="1"/>
  <c r="AC458" i="1"/>
  <c r="Y458" i="1" a="1"/>
  <c r="Y458" i="1"/>
  <c r="Z1345" i="1" a="1"/>
  <c r="Z1345" i="1"/>
  <c r="AC833" i="1" a="1"/>
  <c r="AC833" i="1"/>
  <c r="AB230" i="1" a="1"/>
  <c r="AB230" i="1"/>
  <c r="Y230" i="1" a="1"/>
  <c r="Y230" i="1"/>
  <c r="Z1433" i="1" a="1"/>
  <c r="Z1433" i="1"/>
  <c r="Y1345" i="1" a="1"/>
  <c r="Y1345" i="1"/>
  <c r="AA1345" i="1" a="1"/>
  <c r="AA1345" i="1"/>
  <c r="AC230" i="1" a="1"/>
  <c r="AC230" i="1"/>
  <c r="Y1433" i="1" a="1"/>
  <c r="Y1433" i="1"/>
  <c r="AA605" i="1" a="1"/>
  <c r="AA605" i="1"/>
  <c r="Y833" i="1" a="1"/>
  <c r="Y833" i="1"/>
  <c r="Y11" i="1" a="1"/>
  <c r="Y11" i="1"/>
  <c r="Z230" i="1" a="1"/>
  <c r="Z230" i="1"/>
  <c r="AC1345" i="1" a="1"/>
  <c r="AC1345" i="1"/>
  <c r="AA16" i="1" a="1"/>
  <c r="AA16" i="1"/>
  <c r="AC92" i="1" a="1"/>
  <c r="AC92" i="1"/>
  <c r="AB458" i="1" a="1"/>
  <c r="AB458" i="1"/>
  <c r="AB829" i="1" a="1"/>
  <c r="AB829" i="1"/>
  <c r="AA671" i="1" a="1"/>
  <c r="AA671" i="1"/>
  <c r="AC671" i="1" a="1"/>
  <c r="AC671" i="1"/>
  <c r="AB1371" i="1" a="1"/>
  <c r="AB1371" i="1"/>
  <c r="Y714" i="1" a="1"/>
  <c r="Y714" i="1"/>
  <c r="AC1056" i="1" a="1"/>
  <c r="AC1056" i="1"/>
  <c r="Z8" i="1" a="1"/>
  <c r="Z8" i="1"/>
  <c r="AA1399" i="1" a="1"/>
  <c r="AA1399" i="1"/>
  <c r="Y1056" i="1" a="1"/>
  <c r="Y1056" i="1"/>
  <c r="AA273" i="1" a="1"/>
  <c r="AA273" i="1"/>
  <c r="AB1537" i="1" a="1"/>
  <c r="AB1537" i="1"/>
  <c r="AA8" i="1" a="1"/>
  <c r="AA8" i="1"/>
  <c r="Z1537" i="1" a="1"/>
  <c r="Z1537" i="1"/>
  <c r="AB1056" i="1" a="1"/>
  <c r="AB1056" i="1"/>
  <c r="Y1371" i="1" a="1"/>
  <c r="Y1371" i="1"/>
  <c r="Y273" i="1" a="1"/>
  <c r="Y273" i="1"/>
  <c r="AB1059" i="1" a="1"/>
  <c r="AB1059" i="1"/>
  <c r="AA1371" i="1" a="1"/>
  <c r="AA1371" i="1"/>
  <c r="AC1059" i="1" a="1"/>
  <c r="AC1059" i="1"/>
  <c r="Y1070" i="1" a="1"/>
  <c r="Y1070" i="1"/>
  <c r="AC273" i="1" a="1"/>
  <c r="AC273" i="1"/>
  <c r="AC1070" i="1" a="1"/>
  <c r="AC1070" i="1"/>
  <c r="Y1399" i="1" a="1"/>
  <c r="Y1399" i="1"/>
  <c r="AC1537" i="1" a="1"/>
  <c r="AC1537" i="1"/>
  <c r="AC714" i="1" a="1"/>
  <c r="AC714" i="1"/>
  <c r="AA714" i="1" a="1"/>
  <c r="AA714" i="1"/>
  <c r="Z1070" i="1" a="1"/>
  <c r="Z1070" i="1"/>
  <c r="AA1537" i="1" a="1"/>
  <c r="AA1537" i="1"/>
  <c r="Z1371" i="1" a="1"/>
  <c r="Z1371" i="1"/>
  <c r="AC1399" i="1" a="1"/>
  <c r="AC1399" i="1"/>
  <c r="Y8" i="1" a="1"/>
  <c r="Y8" i="1"/>
  <c r="Z1059" i="1" a="1"/>
  <c r="Z1059" i="1"/>
  <c r="Z1399" i="1" a="1"/>
  <c r="Z1399" i="1"/>
  <c r="Z714" i="1" a="1"/>
  <c r="Z714" i="1"/>
  <c r="AA1056" i="1" a="1"/>
  <c r="AA1056" i="1"/>
  <c r="Z671" i="1" a="1"/>
  <c r="Z671" i="1"/>
  <c r="Y671" i="1" a="1"/>
  <c r="Y671" i="1"/>
  <c r="AB273" i="1" a="1"/>
  <c r="AB273" i="1"/>
  <c r="Y1059" i="1" a="1"/>
  <c r="Y1059" i="1"/>
  <c r="AB1070" i="1" a="1"/>
  <c r="AB1070" i="1"/>
  <c r="AB1399" i="1" a="1"/>
  <c r="AB1399" i="1"/>
  <c r="AC8" i="1" a="1"/>
  <c r="AC8" i="1"/>
  <c r="Y1537" i="1" a="1"/>
  <c r="Y1537" i="1"/>
  <c r="Z1056" i="1" a="1"/>
  <c r="Z1056" i="1"/>
  <c r="AA1070" i="1" a="1"/>
  <c r="AA1070" i="1"/>
  <c r="AB714" i="1" a="1"/>
  <c r="AB714" i="1"/>
  <c r="AC1371" i="1" a="1"/>
  <c r="AC1371" i="1"/>
  <c r="AB671" i="1" a="1"/>
  <c r="AB671" i="1"/>
  <c r="Z273" i="1" a="1"/>
  <c r="Z273" i="1"/>
  <c r="AB8" i="1" a="1"/>
  <c r="AB8" i="1"/>
  <c r="AA1059" i="1" a="1"/>
  <c r="AA1059" i="1"/>
  <c r="Y1062" i="1" a="1"/>
  <c r="Y1062" i="1"/>
  <c r="Z693" i="1" a="1"/>
  <c r="Z693" i="1"/>
  <c r="Z1024" i="1" a="1"/>
  <c r="Z1024" i="1"/>
  <c r="Z60" i="1" a="1"/>
  <c r="Z60" i="1"/>
  <c r="AB71" i="1" a="1"/>
  <c r="AB71" i="1"/>
  <c r="AB1327" i="1" a="1"/>
  <c r="AB1327" i="1"/>
  <c r="AB339" i="1" a="1"/>
  <c r="AB339" i="1"/>
  <c r="AC60" i="1" a="1"/>
  <c r="AC60" i="1"/>
  <c r="Y60" i="1" a="1"/>
  <c r="Y60" i="1"/>
  <c r="AC1062" i="1" a="1"/>
  <c r="AC1062" i="1"/>
  <c r="AC1327" i="1" a="1"/>
  <c r="AC1327" i="1"/>
  <c r="Y1024" i="1" a="1"/>
  <c r="Y1024" i="1"/>
  <c r="AA1062" i="1" a="1"/>
  <c r="AA1062" i="1"/>
  <c r="AC339" i="1" a="1"/>
  <c r="AC339" i="1"/>
  <c r="AC728" i="1" a="1"/>
  <c r="AC728" i="1"/>
  <c r="Y894" i="1" a="1"/>
  <c r="Y894" i="1"/>
  <c r="AB60" i="1" a="1"/>
  <c r="AB60" i="1"/>
  <c r="Z894" i="1" a="1"/>
  <c r="Z894" i="1"/>
  <c r="AB990" i="1" a="1"/>
  <c r="AB990" i="1"/>
  <c r="Y339" i="1" a="1"/>
  <c r="Y339" i="1"/>
  <c r="Y728" i="1" a="1"/>
  <c r="Y728" i="1"/>
  <c r="AB894" i="1" a="1"/>
  <c r="AB894" i="1"/>
  <c r="AB693" i="1" a="1"/>
  <c r="AB693" i="1"/>
  <c r="Z1327" i="1" a="1"/>
  <c r="Z1327" i="1"/>
  <c r="Z990" i="1" a="1"/>
  <c r="Z990" i="1"/>
  <c r="AA894" i="1" a="1"/>
  <c r="AA894" i="1"/>
  <c r="AA1327" i="1" a="1"/>
  <c r="AA1327" i="1"/>
  <c r="AA339" i="1" a="1"/>
  <c r="AA339" i="1"/>
  <c r="AA990" i="1" a="1"/>
  <c r="AA990" i="1"/>
  <c r="AA1024" i="1" a="1"/>
  <c r="AA1024" i="1"/>
  <c r="AB728" i="1" a="1"/>
  <c r="AB728" i="1"/>
  <c r="Z1062" i="1" a="1"/>
  <c r="Z1062" i="1"/>
  <c r="AC71" i="1" a="1"/>
  <c r="AC71" i="1"/>
  <c r="AC1024" i="1" a="1"/>
  <c r="AC1024" i="1"/>
  <c r="Y71" i="1" a="1"/>
  <c r="Y71" i="1"/>
  <c r="Z71" i="1" a="1"/>
  <c r="Z71" i="1"/>
  <c r="AC693" i="1" a="1"/>
  <c r="AC693" i="1"/>
  <c r="Y693" i="1" a="1"/>
  <c r="Y693" i="1"/>
  <c r="AC990" i="1" a="1"/>
  <c r="AC990" i="1"/>
  <c r="Z728" i="1" a="1"/>
  <c r="Z728" i="1"/>
  <c r="AA60" i="1" a="1"/>
  <c r="AA60" i="1"/>
  <c r="AB1062" i="1" a="1"/>
  <c r="AB1062" i="1"/>
  <c r="AB1024" i="1" a="1"/>
  <c r="AB1024" i="1"/>
  <c r="Y1327" i="1" a="1"/>
  <c r="Y1327" i="1"/>
  <c r="AC894" i="1" a="1"/>
  <c r="AC894" i="1"/>
  <c r="Z339" i="1" a="1"/>
  <c r="Z339" i="1"/>
  <c r="AA71" i="1" a="1"/>
  <c r="AA71" i="1"/>
  <c r="AA728" i="1" a="1"/>
  <c r="AA728" i="1"/>
  <c r="AA693" i="1" a="1"/>
  <c r="AA693" i="1"/>
  <c r="Y990" i="1" a="1"/>
  <c r="Y990" i="1"/>
  <c r="Y621" i="1" a="1"/>
  <c r="Y621" i="1"/>
  <c r="AC94" i="1" a="1"/>
  <c r="AC94" i="1"/>
  <c r="Y1164" i="1" a="1"/>
  <c r="Y1164" i="1"/>
  <c r="AA463" i="1" a="1"/>
  <c r="AA463" i="1"/>
  <c r="Y816" i="1" a="1"/>
  <c r="Y816" i="1"/>
  <c r="Z914" i="1" a="1"/>
  <c r="Z914" i="1"/>
  <c r="Y94" i="1" a="1"/>
  <c r="Y94" i="1"/>
  <c r="Z94" i="1" a="1"/>
  <c r="Z94" i="1"/>
  <c r="Y492" i="1" a="1"/>
  <c r="Y492" i="1"/>
  <c r="AC621" i="1" a="1"/>
  <c r="AC621" i="1"/>
  <c r="AB508" i="1" a="1"/>
  <c r="AB508" i="1"/>
  <c r="Y463" i="1" a="1"/>
  <c r="Y463" i="1"/>
  <c r="AC508" i="1" a="1"/>
  <c r="AC508" i="1"/>
  <c r="AB335" i="1" a="1"/>
  <c r="AB335" i="1"/>
  <c r="AA1164" i="1" a="1"/>
  <c r="AA1164" i="1"/>
  <c r="AB94" i="1" a="1"/>
  <c r="AB94" i="1"/>
  <c r="AB492" i="1" a="1"/>
  <c r="AB492" i="1"/>
  <c r="Z1164" i="1" a="1"/>
  <c r="Z1164" i="1"/>
  <c r="Z508" i="1" a="1"/>
  <c r="Z508" i="1"/>
  <c r="AA816" i="1" a="1"/>
  <c r="AA816" i="1"/>
  <c r="Z492" i="1" a="1"/>
  <c r="Z492" i="1"/>
  <c r="AC463" i="1" a="1"/>
  <c r="AC463" i="1"/>
  <c r="Z335" i="1" a="1"/>
  <c r="Z335" i="1"/>
  <c r="AB1164" i="1" a="1"/>
  <c r="AB1164" i="1"/>
  <c r="AA335" i="1" a="1"/>
  <c r="AA335" i="1"/>
  <c r="AC853" i="1" a="1"/>
  <c r="AC853" i="1"/>
  <c r="Z853" i="1" a="1"/>
  <c r="Z853" i="1"/>
  <c r="AC335" i="1" a="1"/>
  <c r="AC335" i="1"/>
  <c r="AB621" i="1" a="1"/>
  <c r="AB621" i="1"/>
  <c r="AA508" i="1" a="1"/>
  <c r="AA508" i="1"/>
  <c r="AA914" i="1" a="1"/>
  <c r="AA914" i="1"/>
  <c r="AA853" i="1" a="1"/>
  <c r="AA853" i="1"/>
  <c r="Z816" i="1" a="1"/>
  <c r="Z816" i="1"/>
  <c r="AC816" i="1" a="1"/>
  <c r="AC816" i="1"/>
  <c r="AC492" i="1" a="1"/>
  <c r="AC492" i="1"/>
  <c r="AA621" i="1" a="1"/>
  <c r="AA621" i="1"/>
  <c r="Z463" i="1" a="1"/>
  <c r="Z463" i="1"/>
  <c r="Y914" i="1" a="1"/>
  <c r="Y914" i="1"/>
  <c r="AB853" i="1" a="1"/>
  <c r="AB853" i="1"/>
  <c r="AB914" i="1" a="1"/>
  <c r="AB914" i="1"/>
  <c r="AC1164" i="1" a="1"/>
  <c r="AC1164" i="1"/>
  <c r="Y508" i="1" a="1"/>
  <c r="Y508" i="1"/>
  <c r="Z621" i="1" a="1"/>
  <c r="Z621" i="1"/>
  <c r="Y853" i="1" a="1"/>
  <c r="Y853" i="1"/>
  <c r="AB463" i="1" a="1"/>
  <c r="AB463" i="1"/>
  <c r="AC914" i="1" a="1"/>
  <c r="AC914" i="1"/>
  <c r="AB816" i="1" a="1"/>
  <c r="AB816" i="1"/>
  <c r="AA94" i="1" a="1"/>
  <c r="AA94" i="1"/>
  <c r="AA492" i="1" a="1"/>
  <c r="AA492" i="1"/>
  <c r="Y335" i="1" a="1"/>
  <c r="Y335" i="1"/>
  <c r="Y1497" i="1" a="1"/>
  <c r="Y1497" i="1"/>
  <c r="Y918" i="1" a="1"/>
  <c r="Y918" i="1"/>
  <c r="Z1386" i="1" a="1"/>
  <c r="Z1386" i="1"/>
  <c r="Y132" i="1" a="1"/>
  <c r="Y132" i="1"/>
  <c r="Y1436" i="1" a="1"/>
  <c r="Y1436" i="1"/>
  <c r="AC386" i="1" a="1"/>
  <c r="AC386" i="1"/>
  <c r="Z839" i="1" a="1"/>
  <c r="Z839" i="1"/>
  <c r="Y1386" i="1" a="1"/>
  <c r="Y1386" i="1"/>
  <c r="AA386" i="1" a="1"/>
  <c r="AA386" i="1"/>
  <c r="AB132" i="1" a="1"/>
  <c r="AB132" i="1"/>
  <c r="Z1436" i="1" a="1"/>
  <c r="Z1436" i="1"/>
  <c r="AC999" i="1" a="1"/>
  <c r="AC999" i="1"/>
  <c r="AB999" i="1" a="1"/>
  <c r="AB999" i="1"/>
  <c r="AC839" i="1" a="1"/>
  <c r="AC839" i="1"/>
  <c r="Z1497" i="1" a="1"/>
  <c r="Z1497" i="1"/>
  <c r="AA999" i="1" a="1"/>
  <c r="AA999" i="1"/>
  <c r="AC1386" i="1" a="1"/>
  <c r="AC1386" i="1"/>
  <c r="Y678" i="1" a="1"/>
  <c r="Y678" i="1"/>
  <c r="AA1436" i="1" a="1"/>
  <c r="AA1436" i="1"/>
  <c r="Y400" i="1" a="1"/>
  <c r="Y400" i="1"/>
  <c r="AB1386" i="1" a="1"/>
  <c r="AB1386" i="1"/>
  <c r="AB678" i="1" a="1"/>
  <c r="AB678" i="1"/>
  <c r="AB386" i="1" a="1"/>
  <c r="AB386" i="1"/>
  <c r="Z918" i="1" a="1"/>
  <c r="Z918" i="1"/>
  <c r="AA400" i="1" a="1"/>
  <c r="AA400" i="1"/>
  <c r="AA918" i="1" a="1"/>
  <c r="AA918" i="1"/>
  <c r="Y839" i="1" a="1"/>
  <c r="Y839" i="1"/>
  <c r="AC132" i="1" a="1"/>
  <c r="AC132" i="1"/>
  <c r="AA132" i="1" a="1"/>
  <c r="AA132" i="1"/>
  <c r="AB400" i="1" a="1"/>
  <c r="AB400" i="1"/>
  <c r="AA678" i="1" a="1"/>
  <c r="AA678" i="1"/>
  <c r="AC1497" i="1" a="1"/>
  <c r="AC1497" i="1"/>
  <c r="AC400" i="1" a="1"/>
  <c r="AC400" i="1"/>
  <c r="Y999" i="1" a="1"/>
  <c r="Y999" i="1"/>
  <c r="AB1497" i="1" a="1"/>
  <c r="AB1497" i="1"/>
  <c r="AC918" i="1" a="1"/>
  <c r="AC918" i="1"/>
  <c r="AA839" i="1" a="1"/>
  <c r="AA839" i="1"/>
  <c r="AC1436" i="1" a="1"/>
  <c r="AC1436" i="1"/>
  <c r="Z678" i="1" a="1"/>
  <c r="Z678" i="1"/>
  <c r="Z386" i="1" a="1"/>
  <c r="Z386" i="1"/>
  <c r="AA1497" i="1" a="1"/>
  <c r="AA1497" i="1"/>
  <c r="AB1436" i="1" a="1"/>
  <c r="AB1436" i="1"/>
  <c r="AC678" i="1" a="1"/>
  <c r="AC678" i="1"/>
  <c r="AB839" i="1" a="1"/>
  <c r="AB839" i="1"/>
  <c r="Z400" i="1" a="1"/>
  <c r="Z400" i="1"/>
  <c r="AA1386" i="1" a="1"/>
  <c r="AA1386" i="1"/>
  <c r="Z999" i="1" a="1"/>
  <c r="Z999" i="1"/>
  <c r="Y386" i="1" a="1"/>
  <c r="Y386" i="1"/>
  <c r="Z132" i="1" a="1"/>
  <c r="Z132" i="1"/>
  <c r="AB918" i="1" a="1"/>
  <c r="AB918" i="1"/>
  <c r="AA907" i="1" a="1"/>
  <c r="AA907" i="1"/>
  <c r="Z1508" i="1" a="1"/>
  <c r="Z1508" i="1"/>
  <c r="AC589" i="1" a="1"/>
  <c r="AC589" i="1"/>
  <c r="Z583" i="1" a="1"/>
  <c r="Z583" i="1"/>
  <c r="AA865" i="1" a="1"/>
  <c r="AA865" i="1"/>
  <c r="AA1146" i="1" a="1"/>
  <c r="AA1146" i="1"/>
  <c r="AB546" i="1" a="1"/>
  <c r="AB546" i="1"/>
  <c r="Z482" i="1" a="1"/>
  <c r="Z482" i="1"/>
  <c r="Z865" i="1" a="1"/>
  <c r="Z865" i="1"/>
  <c r="Y546" i="1" a="1"/>
  <c r="Y546" i="1"/>
  <c r="AB482" i="1" a="1"/>
  <c r="AB482" i="1"/>
  <c r="Z1301" i="1" a="1"/>
  <c r="Z1301" i="1"/>
  <c r="AB583" i="1" a="1"/>
  <c r="AB583" i="1"/>
  <c r="Y907" i="1" a="1"/>
  <c r="Y907" i="1"/>
  <c r="Z907" i="1" a="1"/>
  <c r="Z907" i="1"/>
  <c r="AB1146" i="1" a="1"/>
  <c r="AB1146" i="1"/>
  <c r="AA25" i="1" a="1"/>
  <c r="AA25" i="1"/>
  <c r="AA482" i="1" a="1"/>
  <c r="AA482" i="1"/>
  <c r="Y1301" i="1" a="1"/>
  <c r="Y1301" i="1"/>
  <c r="Y1508" i="1" a="1"/>
  <c r="Y1508" i="1"/>
  <c r="Z25" i="1" a="1"/>
  <c r="Z25" i="1"/>
  <c r="Z589" i="1" a="1"/>
  <c r="Z589" i="1"/>
  <c r="Y482" i="1" a="1"/>
  <c r="Y482" i="1"/>
  <c r="Z546" i="1" a="1"/>
  <c r="Z546" i="1"/>
  <c r="Y583" i="1" a="1"/>
  <c r="Y583" i="1"/>
  <c r="AC546" i="1" a="1"/>
  <c r="AC546" i="1"/>
  <c r="AA1508" i="1" a="1"/>
  <c r="AA1508" i="1"/>
  <c r="AA1301" i="1" a="1"/>
  <c r="AA1301" i="1"/>
  <c r="AC25" i="1" a="1"/>
  <c r="AC25" i="1"/>
  <c r="AC1301" i="1" a="1"/>
  <c r="AC1301" i="1"/>
  <c r="AC865" i="1" a="1"/>
  <c r="AC865" i="1"/>
  <c r="AB1508" i="1" a="1"/>
  <c r="AB1508" i="1"/>
  <c r="AB865" i="1" a="1"/>
  <c r="AB865" i="1"/>
  <c r="AA583" i="1" a="1"/>
  <c r="AA583" i="1"/>
  <c r="AA589" i="1" a="1"/>
  <c r="AA589" i="1"/>
  <c r="AC907" i="1" a="1"/>
  <c r="AC907" i="1"/>
  <c r="Y589" i="1" a="1"/>
  <c r="Y589" i="1"/>
  <c r="Y25" i="1" a="1"/>
  <c r="Y25" i="1"/>
  <c r="AC1146" i="1" a="1"/>
  <c r="AC1146" i="1"/>
  <c r="Z1146" i="1" a="1"/>
  <c r="Z1146" i="1"/>
  <c r="Y1146" i="1" a="1"/>
  <c r="Y1146" i="1"/>
  <c r="AB589" i="1" a="1"/>
  <c r="AB589" i="1"/>
  <c r="AC1508" i="1" a="1"/>
  <c r="AC1508" i="1"/>
  <c r="Y865" i="1" a="1"/>
  <c r="Y865" i="1"/>
  <c r="AC583" i="1" a="1"/>
  <c r="AC583" i="1"/>
  <c r="AB907" i="1" a="1"/>
  <c r="AB907" i="1"/>
  <c r="AC482" i="1" a="1"/>
  <c r="AC482" i="1"/>
  <c r="AB1301" i="1" a="1"/>
  <c r="AB1301" i="1"/>
  <c r="AA546" i="1" a="1"/>
  <c r="AA546" i="1"/>
  <c r="AB25" i="1" a="1"/>
  <c r="AB25" i="1"/>
  <c r="Y666" i="1" a="1"/>
  <c r="Y666" i="1"/>
  <c r="Z1282" i="1" a="1"/>
  <c r="Z1282" i="1"/>
  <c r="Z192" i="1" a="1"/>
  <c r="Z192" i="1"/>
  <c r="AC1412" i="1" a="1"/>
  <c r="AC1412" i="1"/>
  <c r="AA1412" i="1" a="1"/>
  <c r="AA1412" i="1"/>
  <c r="Z278" i="1" a="1"/>
  <c r="Z278" i="1"/>
  <c r="AA1317" i="1" a="1"/>
  <c r="AA1317" i="1"/>
  <c r="AA1282" i="1" a="1"/>
  <c r="AA1282" i="1"/>
  <c r="AC217" i="1" a="1"/>
  <c r="AC217" i="1"/>
  <c r="AA1563" i="1"/>
  <c r="AB666" i="1" a="1"/>
  <c r="AB666" i="1"/>
  <c r="AB1412" i="1" a="1"/>
  <c r="AB1412" i="1"/>
  <c r="AB1282" i="1" a="1"/>
  <c r="AB1282" i="1"/>
  <c r="Z217" i="1" a="1"/>
  <c r="Z217" i="1"/>
  <c r="Y20" i="1" a="1"/>
  <c r="Y20" i="1"/>
  <c r="AC20" i="1" a="1"/>
  <c r="AC20" i="1"/>
  <c r="AA278" i="1" a="1"/>
  <c r="AA278" i="1"/>
  <c r="Y192" i="1" a="1"/>
  <c r="Y192" i="1"/>
  <c r="AC666" i="1" a="1"/>
  <c r="AC666" i="1"/>
  <c r="Z1412" i="1" a="1"/>
  <c r="Z1412" i="1"/>
  <c r="Y278" i="1" a="1"/>
  <c r="Y278" i="1"/>
  <c r="Y608" i="1" a="1"/>
  <c r="Y608" i="1"/>
  <c r="AB192" i="1" a="1"/>
  <c r="AB192" i="1"/>
  <c r="AA608" i="1" a="1"/>
  <c r="AA608" i="1"/>
  <c r="AB20" i="1" a="1"/>
  <c r="AB20" i="1"/>
  <c r="AB1563" i="1"/>
  <c r="AB278" i="1" a="1"/>
  <c r="AB278" i="1"/>
  <c r="AC1282" i="1" a="1"/>
  <c r="AC1282" i="1"/>
  <c r="AB1317" i="1" a="1"/>
  <c r="AB1317" i="1"/>
  <c r="Z1563" i="1"/>
  <c r="AC1563" i="1"/>
  <c r="Y1317" i="1" a="1"/>
  <c r="Y1317" i="1"/>
  <c r="AA20" i="1" a="1"/>
  <c r="AA20" i="1"/>
  <c r="AA666" i="1" a="1"/>
  <c r="AA666" i="1"/>
  <c r="AB217" i="1" a="1"/>
  <c r="AB217" i="1"/>
  <c r="AC192" i="1" a="1"/>
  <c r="AC192" i="1"/>
  <c r="Z608" i="1" a="1"/>
  <c r="Z608" i="1"/>
  <c r="AB608" i="1" a="1"/>
  <c r="AB608" i="1"/>
  <c r="AA217" i="1" a="1"/>
  <c r="AA217" i="1"/>
  <c r="AC1317" i="1" a="1"/>
  <c r="AC1317" i="1"/>
  <c r="Y1412" i="1" a="1"/>
  <c r="Y1412" i="1"/>
  <c r="AC278" i="1" a="1"/>
  <c r="AC278" i="1"/>
  <c r="Z666" i="1" a="1"/>
  <c r="Z666" i="1"/>
  <c r="Y217" i="1" a="1"/>
  <c r="Y217" i="1"/>
  <c r="AC608" i="1" a="1"/>
  <c r="AC608" i="1"/>
  <c r="AA192" i="1" a="1"/>
  <c r="AA192" i="1"/>
  <c r="Z20" i="1" a="1"/>
  <c r="Z20" i="1"/>
  <c r="Y1282" i="1" a="1"/>
  <c r="Y1282" i="1"/>
  <c r="Y1563" i="1"/>
  <c r="Z1317" i="1" a="1"/>
  <c r="Z1317" i="1"/>
  <c r="Z385" i="1" a="1"/>
  <c r="Z385" i="1"/>
  <c r="Y385" i="1" a="1"/>
  <c r="Y385" i="1"/>
  <c r="AB804" i="1" a="1"/>
  <c r="AB804" i="1"/>
  <c r="AA804" i="1" a="1"/>
  <c r="AA804" i="1"/>
  <c r="AC804" i="1" a="1"/>
  <c r="AC804" i="1"/>
  <c r="Y1148" i="1" a="1"/>
  <c r="Y1148" i="1"/>
  <c r="Y207" i="1" a="1"/>
  <c r="Y207" i="1"/>
  <c r="AC676" i="1" a="1"/>
  <c r="AC676" i="1"/>
  <c r="AB1238" i="1" a="1"/>
  <c r="AB1238" i="1"/>
  <c r="AC630" i="1" a="1"/>
  <c r="AC630" i="1"/>
  <c r="Y1238" i="1" a="1"/>
  <c r="Y1238" i="1"/>
  <c r="Z1238" i="1" a="1"/>
  <c r="Z1238" i="1"/>
  <c r="AB676" i="1" a="1"/>
  <c r="AB676" i="1"/>
  <c r="AB1148" i="1" a="1"/>
  <c r="AB1148" i="1"/>
  <c r="Y1353" i="1" a="1"/>
  <c r="Y1353" i="1"/>
  <c r="AA838" i="1" a="1"/>
  <c r="AA838" i="1"/>
  <c r="AC838" i="1" a="1"/>
  <c r="AC838" i="1"/>
  <c r="Z838" i="1" a="1"/>
  <c r="Z838" i="1"/>
  <c r="AA630" i="1" a="1"/>
  <c r="AA630" i="1"/>
  <c r="AA1353" i="1" a="1"/>
  <c r="AA1353" i="1"/>
  <c r="AB385" i="1" a="1"/>
  <c r="AB385" i="1"/>
  <c r="AA676" i="1" a="1"/>
  <c r="AA676" i="1"/>
  <c r="AB838" i="1" a="1"/>
  <c r="AB838" i="1"/>
  <c r="AA1238" i="1" a="1"/>
  <c r="AA1238" i="1"/>
  <c r="AC207" i="1" a="1"/>
  <c r="AC207" i="1"/>
  <c r="Y938" i="1" a="1"/>
  <c r="Y938" i="1"/>
  <c r="AA938" i="1" a="1"/>
  <c r="AA938" i="1"/>
  <c r="AC385" i="1" a="1"/>
  <c r="AC385" i="1"/>
  <c r="AB630" i="1" a="1"/>
  <c r="AB630" i="1"/>
  <c r="AC1353" i="1" a="1"/>
  <c r="AC1353" i="1"/>
  <c r="Z676" i="1" a="1"/>
  <c r="Z676" i="1"/>
  <c r="AC938" i="1" a="1"/>
  <c r="AC938" i="1"/>
  <c r="Z938" i="1" a="1"/>
  <c r="Z938" i="1"/>
  <c r="Z207" i="1" a="1"/>
  <c r="Z207" i="1"/>
  <c r="AC1148" i="1" a="1"/>
  <c r="AC1148" i="1"/>
  <c r="Z1353" i="1" a="1"/>
  <c r="Z1353" i="1"/>
  <c r="Y804" i="1" a="1"/>
  <c r="Y804" i="1"/>
  <c r="AB207" i="1" a="1"/>
  <c r="AB207" i="1"/>
  <c r="Y630" i="1" a="1"/>
  <c r="Y630" i="1"/>
  <c r="Y838" i="1" a="1"/>
  <c r="Y838" i="1"/>
  <c r="AA207" i="1" a="1"/>
  <c r="AA207" i="1"/>
  <c r="AA1148" i="1" a="1"/>
  <c r="AA1148" i="1"/>
  <c r="Z630" i="1" a="1"/>
  <c r="Z630" i="1"/>
  <c r="AA385" i="1" a="1"/>
  <c r="AA385" i="1"/>
  <c r="AB938" i="1" a="1"/>
  <c r="AB938" i="1"/>
  <c r="Y676" i="1" a="1"/>
  <c r="Y676" i="1"/>
  <c r="AC1238" i="1" a="1"/>
  <c r="AC1238" i="1"/>
  <c r="Z1148" i="1" a="1"/>
  <c r="Z1148" i="1"/>
  <c r="Z804" i="1" a="1"/>
  <c r="Z804" i="1"/>
  <c r="AB1353" i="1" a="1"/>
  <c r="AB1353" i="1"/>
  <c r="AC1424" i="1" a="1"/>
  <c r="AC1424" i="1"/>
  <c r="AC1072" i="1" a="1"/>
  <c r="AC1072" i="1"/>
  <c r="AC125" i="1" a="1"/>
  <c r="AC125" i="1"/>
  <c r="AB850" i="1" a="1"/>
  <c r="AB850" i="1"/>
  <c r="AA850" i="1" a="1"/>
  <c r="AA850" i="1"/>
  <c r="AC834" i="1" a="1"/>
  <c r="AC834" i="1"/>
  <c r="Y850" i="1" a="1"/>
  <c r="Y850" i="1"/>
  <c r="AB169" i="1" a="1"/>
  <c r="AB169" i="1"/>
  <c r="Y434" i="1" a="1"/>
  <c r="Y434" i="1"/>
  <c r="Y169" i="1" a="1"/>
  <c r="Y169" i="1"/>
  <c r="AC169" i="1" a="1"/>
  <c r="AC169" i="1"/>
  <c r="Y674" i="1" a="1"/>
  <c r="Y674" i="1"/>
  <c r="AB125" i="1" a="1"/>
  <c r="AB125" i="1"/>
  <c r="Z579" i="1" a="1"/>
  <c r="Z579" i="1"/>
  <c r="AB434" i="1" a="1"/>
  <c r="AB434" i="1"/>
  <c r="Z850" i="1" a="1"/>
  <c r="Z850" i="1"/>
  <c r="Z434" i="1" a="1"/>
  <c r="Z434" i="1"/>
  <c r="AC1461" i="1" a="1"/>
  <c r="AC1461" i="1"/>
  <c r="Z674" i="1" a="1"/>
  <c r="Z674" i="1"/>
  <c r="AB1072" i="1" a="1"/>
  <c r="AB1072" i="1"/>
  <c r="Z1072" i="1" a="1"/>
  <c r="Z1072" i="1"/>
  <c r="Y579" i="1" a="1"/>
  <c r="Y579" i="1"/>
  <c r="AA125" i="1" a="1"/>
  <c r="AA125" i="1"/>
  <c r="Y834" i="1" a="1"/>
  <c r="Y834" i="1"/>
  <c r="AB834" i="1" a="1"/>
  <c r="AB834" i="1"/>
  <c r="Y125" i="1" a="1"/>
  <c r="Y125" i="1"/>
  <c r="AB1424" i="1" a="1"/>
  <c r="AB1424" i="1"/>
  <c r="AB674" i="1" a="1"/>
  <c r="AB674" i="1"/>
  <c r="AB579" i="1" a="1"/>
  <c r="AB579" i="1"/>
  <c r="AC579" i="1" a="1"/>
  <c r="AC579" i="1"/>
  <c r="Z1424" i="1" a="1"/>
  <c r="Z1424" i="1"/>
  <c r="AC434" i="1" a="1"/>
  <c r="AC434" i="1"/>
  <c r="Y1461" i="1" a="1"/>
  <c r="Y1461" i="1"/>
  <c r="Z169" i="1" a="1"/>
  <c r="Z169" i="1"/>
  <c r="Y1424" i="1" a="1"/>
  <c r="Y1424" i="1"/>
  <c r="AB1461" i="1" a="1"/>
  <c r="AB1461" i="1"/>
  <c r="Z834" i="1" a="1"/>
  <c r="Z834" i="1"/>
  <c r="Z1461" i="1" a="1"/>
  <c r="Z1461" i="1"/>
  <c r="Y1072" i="1" a="1"/>
  <c r="Y1072" i="1"/>
  <c r="AA674" i="1" a="1"/>
  <c r="AA674" i="1"/>
  <c r="AC674" i="1" a="1"/>
  <c r="AC674" i="1"/>
  <c r="AA434" i="1" a="1"/>
  <c r="AA434" i="1"/>
  <c r="AA169" i="1" a="1"/>
  <c r="AA169" i="1"/>
  <c r="AA579" i="1" a="1"/>
  <c r="AA579" i="1"/>
  <c r="AC850" i="1" a="1"/>
  <c r="AC850" i="1"/>
  <c r="AA1461" i="1" a="1"/>
  <c r="AA1461" i="1"/>
  <c r="Z125" i="1" a="1"/>
  <c r="Z125" i="1"/>
  <c r="AA1072" i="1" a="1"/>
  <c r="AA1072" i="1"/>
  <c r="AA834" i="1" a="1"/>
  <c r="AA834" i="1"/>
  <c r="AA1424" i="1" a="1"/>
  <c r="AA1424" i="1"/>
  <c r="Y35" i="1" a="1"/>
  <c r="Y35" i="1"/>
  <c r="AB1011" i="1" a="1"/>
  <c r="AB1011" i="1"/>
  <c r="AC106" i="1" a="1"/>
  <c r="AC106" i="1"/>
  <c r="AA189" i="1" a="1"/>
  <c r="AA189" i="1"/>
  <c r="Y460" i="1" a="1"/>
  <c r="Y460" i="1"/>
  <c r="AA106" i="1" a="1"/>
  <c r="AA106" i="1"/>
  <c r="AC765" i="1" a="1"/>
  <c r="AC765" i="1"/>
  <c r="Z35" i="1" a="1"/>
  <c r="Z35" i="1"/>
  <c r="AB35" i="1" a="1"/>
  <c r="AB35" i="1"/>
  <c r="Z460" i="1" a="1"/>
  <c r="Z460" i="1"/>
  <c r="Z106" i="1" a="1"/>
  <c r="Z106" i="1"/>
  <c r="AA346" i="1" a="1"/>
  <c r="AA346" i="1"/>
  <c r="AB765" i="1" a="1"/>
  <c r="AB765" i="1"/>
  <c r="AA765" i="1" a="1"/>
  <c r="AA765" i="1"/>
  <c r="AC1331" i="1" a="1"/>
  <c r="AC1331" i="1"/>
  <c r="AC189" i="1" a="1"/>
  <c r="AC189" i="1"/>
  <c r="Y203" i="1" a="1"/>
  <c r="Y203" i="1"/>
  <c r="Y106" i="1" a="1"/>
  <c r="Y106" i="1"/>
  <c r="Y346" i="1" a="1"/>
  <c r="Y346" i="1"/>
  <c r="AC346" i="1" a="1"/>
  <c r="AC346" i="1"/>
  <c r="Y189" i="1" a="1"/>
  <c r="Y189" i="1"/>
  <c r="Y765" i="1" a="1"/>
  <c r="Y765" i="1"/>
  <c r="AC743" i="1" a="1"/>
  <c r="AC743" i="1"/>
  <c r="AA1011" i="1" a="1"/>
  <c r="AA1011" i="1"/>
  <c r="AB460" i="1" a="1"/>
  <c r="AB460" i="1"/>
  <c r="AA203" i="1" a="1"/>
  <c r="AA203" i="1"/>
  <c r="Z743" i="1" a="1"/>
  <c r="Z743" i="1"/>
  <c r="AA35" i="1" a="1"/>
  <c r="AA35" i="1"/>
  <c r="AB743" i="1" a="1"/>
  <c r="AB743" i="1"/>
  <c r="Z189" i="1" a="1"/>
  <c r="Z189" i="1"/>
  <c r="Y743" i="1" a="1"/>
  <c r="Y743" i="1"/>
  <c r="AB346" i="1" a="1"/>
  <c r="AB346" i="1"/>
  <c r="AB203" i="1" a="1"/>
  <c r="AB203" i="1"/>
  <c r="AC460" i="1" a="1"/>
  <c r="AC460" i="1"/>
  <c r="Z203" i="1" a="1"/>
  <c r="Z203" i="1"/>
  <c r="Z1011" i="1" a="1"/>
  <c r="Z1011" i="1"/>
  <c r="AA1331" i="1" a="1"/>
  <c r="AA1331" i="1"/>
  <c r="AB1331" i="1" a="1"/>
  <c r="AB1331" i="1"/>
  <c r="Y1011" i="1" a="1"/>
  <c r="Y1011" i="1"/>
  <c r="Y1331" i="1" a="1"/>
  <c r="Y1331" i="1"/>
  <c r="AB106" i="1" a="1"/>
  <c r="AB106" i="1"/>
  <c r="AA460" i="1" a="1"/>
  <c r="AA460" i="1"/>
  <c r="Z765" i="1" a="1"/>
  <c r="Z765" i="1"/>
  <c r="AC35" i="1" a="1"/>
  <c r="AC35" i="1"/>
  <c r="Z346" i="1" a="1"/>
  <c r="Z346" i="1"/>
  <c r="AC1011" i="1" a="1"/>
  <c r="AC1011" i="1"/>
  <c r="Z1331" i="1" a="1"/>
  <c r="Z1331" i="1"/>
  <c r="AC203" i="1" a="1"/>
  <c r="AC203" i="1"/>
  <c r="AA743" i="1" a="1"/>
  <c r="AA743" i="1"/>
  <c r="AB189" i="1" a="1"/>
  <c r="AB189" i="1"/>
  <c r="AB1160" i="1" a="1"/>
  <c r="AB1160" i="1"/>
  <c r="AB471" i="1" a="1"/>
  <c r="AB471" i="1"/>
  <c r="Y165" i="1" a="1"/>
  <c r="Y165" i="1"/>
  <c r="Y640" i="1" a="1"/>
  <c r="Y640" i="1"/>
  <c r="AA471" i="1" a="1"/>
  <c r="AA471" i="1"/>
  <c r="AA968" i="1" a="1"/>
  <c r="AA968" i="1"/>
  <c r="Y1160" i="1" a="1"/>
  <c r="Y1160" i="1"/>
  <c r="Z42" i="1" a="1"/>
  <c r="Z42" i="1"/>
  <c r="Y42" i="1" a="1"/>
  <c r="Y42" i="1"/>
  <c r="AC471" i="1" a="1"/>
  <c r="AC471" i="1"/>
  <c r="AB1384" i="1" a="1"/>
  <c r="AB1384" i="1"/>
  <c r="AB165" i="1" a="1"/>
  <c r="AB165" i="1"/>
  <c r="AC1290" i="1" a="1"/>
  <c r="AC1290" i="1"/>
  <c r="Z471" i="1" a="1"/>
  <c r="Z471" i="1"/>
  <c r="AA640" i="1" a="1"/>
  <c r="AA640" i="1"/>
  <c r="AA188" i="1" a="1"/>
  <c r="AA188" i="1"/>
  <c r="Z1439" i="1" a="1"/>
  <c r="Z1439" i="1"/>
  <c r="AA1439" i="1" a="1"/>
  <c r="AA1439" i="1"/>
  <c r="AC42" i="1" a="1"/>
  <c r="AC42" i="1"/>
  <c r="AB188" i="1" a="1"/>
  <c r="AB188" i="1"/>
  <c r="AC1384" i="1" a="1"/>
  <c r="AC1384" i="1"/>
  <c r="Z1160" i="1" a="1"/>
  <c r="Z1160" i="1"/>
  <c r="AC1160" i="1" a="1"/>
  <c r="AC1160" i="1"/>
  <c r="AB1290" i="1" a="1"/>
  <c r="AB1290" i="1"/>
  <c r="AC188" i="1" a="1"/>
  <c r="AC188" i="1"/>
  <c r="AA1290" i="1" a="1"/>
  <c r="AA1290" i="1"/>
  <c r="AA1384" i="1" a="1"/>
  <c r="AA1384" i="1"/>
  <c r="AA42" i="1" a="1"/>
  <c r="AA42" i="1"/>
  <c r="Z640" i="1" a="1"/>
  <c r="Z640" i="1"/>
  <c r="Z1290" i="1" a="1"/>
  <c r="Z1290" i="1"/>
  <c r="AC1439" i="1" a="1"/>
  <c r="AC1439" i="1"/>
  <c r="AC640" i="1" a="1"/>
  <c r="AC640" i="1"/>
  <c r="Y1439" i="1" a="1"/>
  <c r="Y1439" i="1"/>
  <c r="Y1384" i="1" a="1"/>
  <c r="Y1384" i="1"/>
  <c r="Y968" i="1" a="1"/>
  <c r="Y968" i="1"/>
  <c r="AB968" i="1" a="1"/>
  <c r="AB968" i="1"/>
  <c r="Z968" i="1" a="1"/>
  <c r="Z968" i="1"/>
  <c r="Z165" i="1" a="1"/>
  <c r="Z165" i="1"/>
  <c r="AC165" i="1" a="1"/>
  <c r="AC165" i="1"/>
  <c r="Z188" i="1" a="1"/>
  <c r="Z188" i="1"/>
  <c r="AB1439" i="1" a="1"/>
  <c r="AB1439" i="1"/>
  <c r="Y188" i="1" a="1"/>
  <c r="Y188" i="1"/>
  <c r="AB42" i="1" a="1"/>
  <c r="AB42" i="1"/>
  <c r="AA1160" i="1" a="1"/>
  <c r="AA1160" i="1"/>
  <c r="Y471" i="1" a="1"/>
  <c r="Y471" i="1"/>
  <c r="Z1384" i="1" a="1"/>
  <c r="Z1384" i="1"/>
  <c r="AB640" i="1" a="1"/>
  <c r="AB640" i="1"/>
  <c r="AC968" i="1" a="1"/>
  <c r="AC968" i="1"/>
  <c r="Y1290" i="1" a="1"/>
  <c r="Y1290" i="1"/>
  <c r="AA165" i="1" a="1"/>
  <c r="AA165" i="1"/>
  <c r="Z1092" i="1" a="1"/>
  <c r="Z1092" i="1"/>
  <c r="Y1140" i="1" a="1"/>
  <c r="Y1140" i="1"/>
  <c r="AB536" i="1" a="1"/>
  <c r="AB536" i="1"/>
  <c r="AA974" i="1" a="1"/>
  <c r="AA974" i="1"/>
  <c r="AA989" i="1" a="1"/>
  <c r="AA989" i="1"/>
  <c r="Z974" i="1" a="1"/>
  <c r="Z974" i="1"/>
  <c r="AB989" i="1" a="1"/>
  <c r="AB989" i="1"/>
  <c r="AC536" i="1" a="1"/>
  <c r="AC536" i="1"/>
  <c r="Y927" i="1" a="1"/>
  <c r="Y927" i="1"/>
  <c r="Z1459" i="1" a="1"/>
  <c r="Z1459" i="1"/>
  <c r="Y1092" i="1" a="1"/>
  <c r="Y1092" i="1"/>
  <c r="AC1092" i="1" a="1"/>
  <c r="AC1092" i="1"/>
  <c r="AA927" i="1" a="1"/>
  <c r="AA927" i="1"/>
  <c r="AB1459" i="1" a="1"/>
  <c r="AB1459" i="1"/>
  <c r="Y554" i="1" a="1"/>
  <c r="Y554" i="1"/>
  <c r="AC974" i="1" a="1"/>
  <c r="AC974" i="1"/>
  <c r="AB927" i="1" a="1"/>
  <c r="AB927" i="1"/>
  <c r="AC989" i="1" a="1"/>
  <c r="AC989" i="1"/>
  <c r="AA554" i="1" a="1"/>
  <c r="AA554" i="1"/>
  <c r="AC554" i="1" a="1"/>
  <c r="AC554" i="1"/>
  <c r="Z536" i="1" a="1"/>
  <c r="Z536" i="1"/>
  <c r="AC1455" i="1" a="1"/>
  <c r="AC1455" i="1"/>
  <c r="AB1583" i="1"/>
  <c r="Z1583" i="1" a="1"/>
  <c r="Z1583" i="1"/>
  <c r="Y989" i="1" a="1"/>
  <c r="Y989" i="1"/>
  <c r="AA1092" i="1" a="1"/>
  <c r="AA1092" i="1"/>
  <c r="AB554" i="1" a="1"/>
  <c r="AB554" i="1"/>
  <c r="Z1455" i="1" a="1"/>
  <c r="Z1455" i="1"/>
  <c r="AA1140" i="1" a="1"/>
  <c r="AA1140" i="1"/>
  <c r="AA1455" i="1" a="1"/>
  <c r="AA1455" i="1"/>
  <c r="Y1455" i="1" a="1"/>
  <c r="Y1455" i="1"/>
  <c r="AC1583" i="1"/>
  <c r="Z1140" i="1" a="1"/>
  <c r="Z1140" i="1"/>
  <c r="Y1459" i="1" a="1"/>
  <c r="Y1459" i="1"/>
  <c r="Y974" i="1" a="1"/>
  <c r="Y974" i="1"/>
  <c r="AA1459" i="1" a="1"/>
  <c r="AA1459" i="1"/>
  <c r="Z927" i="1" a="1"/>
  <c r="Z927" i="1"/>
  <c r="AC1140" i="1" a="1"/>
  <c r="AC1140" i="1"/>
  <c r="Y1583" i="1" a="1"/>
  <c r="Y1583" i="1"/>
  <c r="AA536" i="1" a="1"/>
  <c r="AA536" i="1"/>
  <c r="Z554" i="1" a="1"/>
  <c r="Z554" i="1"/>
  <c r="Y536" i="1" a="1"/>
  <c r="Y536" i="1"/>
  <c r="AB974" i="1" a="1"/>
  <c r="AB974" i="1"/>
  <c r="AB1455" i="1" a="1"/>
  <c r="AB1455" i="1"/>
  <c r="Z989" i="1" a="1"/>
  <c r="Z989" i="1"/>
  <c r="AC1459" i="1" a="1"/>
  <c r="AC1459" i="1"/>
  <c r="AA1583" i="1"/>
  <c r="AB1092" i="1" a="1"/>
  <c r="AB1092" i="1"/>
  <c r="AB1140" i="1" a="1"/>
  <c r="AB1140" i="1"/>
  <c r="AC927" i="1" a="1"/>
  <c r="AC927" i="1"/>
  <c r="AB373" i="1" a="1"/>
  <c r="AB373" i="1"/>
  <c r="Y782" i="1" a="1"/>
  <c r="Y782" i="1"/>
  <c r="AA93" i="1" a="1"/>
  <c r="AA93" i="1"/>
  <c r="AC686" i="1" a="1"/>
  <c r="AC686" i="1"/>
  <c r="AA547" i="1" a="1"/>
  <c r="AA547" i="1"/>
  <c r="AC782" i="1" a="1"/>
  <c r="AC782" i="1"/>
  <c r="AC93" i="1" a="1"/>
  <c r="AC93" i="1"/>
  <c r="AB1531" i="1" a="1"/>
  <c r="AB1531" i="1"/>
  <c r="AA1260" i="1" a="1"/>
  <c r="AA1260" i="1"/>
  <c r="AC1260" i="1" a="1"/>
  <c r="AC1260" i="1"/>
  <c r="Z1531" i="1" a="1"/>
  <c r="Z1531" i="1"/>
  <c r="AB93" i="1" a="1"/>
  <c r="AB93" i="1"/>
  <c r="Z686" i="1" a="1"/>
  <c r="Z686" i="1"/>
  <c r="Y190" i="1" a="1"/>
  <c r="Y190" i="1"/>
  <c r="AC190" i="1" a="1"/>
  <c r="AC190" i="1"/>
  <c r="AA373" i="1" a="1"/>
  <c r="AA373" i="1"/>
  <c r="Z782" i="1" a="1"/>
  <c r="Z782" i="1"/>
  <c r="AB547" i="1" a="1"/>
  <c r="AB547" i="1"/>
  <c r="AA190" i="1" a="1"/>
  <c r="AA190" i="1"/>
  <c r="AC1216" i="1" a="1"/>
  <c r="AC1216" i="1"/>
  <c r="Y1260" i="1" a="1"/>
  <c r="Y1260" i="1"/>
  <c r="Z373" i="1" a="1"/>
  <c r="Z373" i="1"/>
  <c r="AA354" i="1" a="1"/>
  <c r="AA354" i="1"/>
  <c r="AB1216" i="1" a="1"/>
  <c r="AB1216" i="1"/>
  <c r="Z93" i="1" a="1"/>
  <c r="Z93" i="1"/>
  <c r="AB1260" i="1" a="1"/>
  <c r="AB1260" i="1"/>
  <c r="AC354" i="1" a="1"/>
  <c r="AC354" i="1"/>
  <c r="AB354" i="1" a="1"/>
  <c r="AB354" i="1"/>
  <c r="AC547" i="1" a="1"/>
  <c r="AC547" i="1"/>
  <c r="AB686" i="1" a="1"/>
  <c r="AB686" i="1"/>
  <c r="AC373" i="1" a="1"/>
  <c r="AC373" i="1"/>
  <c r="AA1216" i="1" a="1"/>
  <c r="AA1216" i="1"/>
  <c r="Z1216" i="1" a="1"/>
  <c r="Z1216" i="1"/>
  <c r="AA1531" i="1" a="1"/>
  <c r="AA1531" i="1"/>
  <c r="AB782" i="1" a="1"/>
  <c r="AB782" i="1"/>
  <c r="Y547" i="1" a="1"/>
  <c r="Y547" i="1"/>
  <c r="Z190" i="1" a="1"/>
  <c r="Z190" i="1"/>
  <c r="AC1531" i="1" a="1"/>
  <c r="AC1531" i="1"/>
  <c r="AA686" i="1" a="1"/>
  <c r="AA686" i="1"/>
  <c r="Z354" i="1" a="1"/>
  <c r="Z354" i="1"/>
  <c r="Y1216" i="1" a="1"/>
  <c r="Y1216" i="1"/>
  <c r="Y354" i="1" a="1"/>
  <c r="Y354" i="1"/>
  <c r="Y686" i="1" a="1"/>
  <c r="Y686" i="1"/>
  <c r="Z547" i="1" a="1"/>
  <c r="Z547" i="1"/>
  <c r="Z1260" i="1" a="1"/>
  <c r="Z1260" i="1"/>
  <c r="Y1531" i="1" a="1"/>
  <c r="Y1531" i="1"/>
  <c r="Y93" i="1" a="1"/>
  <c r="Y93" i="1"/>
  <c r="Y373" i="1" a="1"/>
  <c r="Y373" i="1"/>
  <c r="AA782" i="1" a="1"/>
  <c r="AA782" i="1"/>
  <c r="AB190" i="1" a="1"/>
  <c r="AB190" i="1"/>
  <c r="Z886" i="1" a="1"/>
  <c r="Z886" i="1"/>
  <c r="AC867" i="1" a="1"/>
  <c r="AC867" i="1"/>
  <c r="AB895" i="1" a="1"/>
  <c r="AB895" i="1"/>
  <c r="Y133" i="1" a="1"/>
  <c r="Y133" i="1"/>
  <c r="Z895" i="1" a="1"/>
  <c r="Z895" i="1"/>
  <c r="Z867" i="1" a="1"/>
  <c r="Z867" i="1"/>
  <c r="AC886" i="1" a="1"/>
  <c r="AC886" i="1"/>
  <c r="Y101" i="1" a="1"/>
  <c r="Y101" i="1"/>
  <c r="AA895" i="1" a="1"/>
  <c r="AA895" i="1"/>
  <c r="Y867" i="1" a="1"/>
  <c r="Y867" i="1"/>
  <c r="AB101" i="1" a="1"/>
  <c r="AB101" i="1"/>
  <c r="AB135" i="1" a="1"/>
  <c r="AB135" i="1"/>
  <c r="AA814" i="1" a="1"/>
  <c r="AA814" i="1"/>
  <c r="AC814" i="1" a="1"/>
  <c r="AC814" i="1"/>
  <c r="Z327" i="1" a="1"/>
  <c r="Z327" i="1"/>
  <c r="Y327" i="1" a="1"/>
  <c r="Y327" i="1"/>
  <c r="AC186" i="1" a="1"/>
  <c r="AC186" i="1"/>
  <c r="Z814" i="1" a="1"/>
  <c r="Z814" i="1"/>
  <c r="Z186" i="1" a="1"/>
  <c r="Z186" i="1"/>
  <c r="AB294" i="1" a="1"/>
  <c r="AB294" i="1"/>
  <c r="AA886" i="1" a="1"/>
  <c r="AA886" i="1"/>
  <c r="AA135" i="1" a="1"/>
  <c r="AA135" i="1"/>
  <c r="Y886" i="1" a="1"/>
  <c r="Y886" i="1"/>
  <c r="AC327" i="1" a="1"/>
  <c r="AC327" i="1"/>
  <c r="AA186" i="1" a="1"/>
  <c r="AA186" i="1"/>
  <c r="AA101" i="1" a="1"/>
  <c r="AA101" i="1"/>
  <c r="AC895" i="1" a="1"/>
  <c r="AC895" i="1"/>
  <c r="AA294" i="1" a="1"/>
  <c r="AA294" i="1"/>
  <c r="AC294" i="1" a="1"/>
  <c r="AC294" i="1"/>
  <c r="AC101" i="1" a="1"/>
  <c r="AC101" i="1"/>
  <c r="AB327" i="1" a="1"/>
  <c r="AB327" i="1"/>
  <c r="Y186" i="1" a="1"/>
  <c r="Y186" i="1"/>
  <c r="AA867" i="1" a="1"/>
  <c r="AA867" i="1"/>
  <c r="Y135" i="1" a="1"/>
  <c r="Y135" i="1"/>
  <c r="Y814" i="1" a="1"/>
  <c r="Y814" i="1"/>
  <c r="AC133" i="1" a="1"/>
  <c r="AC133" i="1"/>
  <c r="Z294" i="1" a="1"/>
  <c r="Z294" i="1"/>
  <c r="AB186" i="1" a="1"/>
  <c r="AB186" i="1"/>
  <c r="Z135" i="1" a="1"/>
  <c r="Z135" i="1"/>
  <c r="AB133" i="1" a="1"/>
  <c r="AB133" i="1"/>
  <c r="Z133" i="1" a="1"/>
  <c r="Z133" i="1"/>
  <c r="Y895" i="1" a="1"/>
  <c r="Y895" i="1"/>
  <c r="AB886" i="1" a="1"/>
  <c r="AB886" i="1"/>
  <c r="AA327" i="1" a="1"/>
  <c r="AA327" i="1"/>
  <c r="AB814" i="1" a="1"/>
  <c r="AB814" i="1"/>
  <c r="AB867" i="1" a="1"/>
  <c r="AB867" i="1"/>
  <c r="Z101" i="1" a="1"/>
  <c r="Z101" i="1"/>
  <c r="AA133" i="1" a="1"/>
  <c r="AA133" i="1"/>
  <c r="Y294" i="1" a="1"/>
  <c r="Y294" i="1"/>
  <c r="AC135" i="1" a="1"/>
  <c r="AC135" i="1"/>
  <c r="Y219" i="1" a="1"/>
  <c r="Y219" i="1"/>
  <c r="AA1114" i="1" a="1"/>
  <c r="AA1114" i="1"/>
  <c r="AC1474" i="1" a="1"/>
  <c r="AC1474" i="1"/>
  <c r="AC1362" i="1" a="1"/>
  <c r="AC1362" i="1"/>
  <c r="Y529" i="1" a="1"/>
  <c r="Y529" i="1"/>
  <c r="AB578" i="1" a="1"/>
  <c r="AB578" i="1"/>
  <c r="AA1061" i="1" a="1"/>
  <c r="AA1061" i="1"/>
  <c r="AC1114" i="1" a="1"/>
  <c r="AC1114" i="1"/>
  <c r="Y1114" i="1" a="1"/>
  <c r="Y1114" i="1"/>
  <c r="AB413" i="1" a="1"/>
  <c r="AB413" i="1"/>
  <c r="AB529" i="1" a="1"/>
  <c r="AB529" i="1"/>
  <c r="Z578" i="1" a="1"/>
  <c r="Z578" i="1"/>
  <c r="Y578" i="1" a="1"/>
  <c r="Y578" i="1"/>
  <c r="AA1437" i="1" a="1"/>
  <c r="AA1437" i="1"/>
  <c r="Z1116" i="1" a="1"/>
  <c r="Z1116" i="1"/>
  <c r="Z1362" i="1" a="1"/>
  <c r="Z1362" i="1"/>
  <c r="Y1437" i="1" a="1"/>
  <c r="Y1437" i="1"/>
  <c r="Y1116" i="1" a="1"/>
  <c r="Y1116" i="1"/>
  <c r="AB1061" i="1" a="1"/>
  <c r="AB1061" i="1"/>
  <c r="AC578" i="1" a="1"/>
  <c r="AC578" i="1"/>
  <c r="AB1114" i="1" a="1"/>
  <c r="AB1114" i="1"/>
  <c r="AA529" i="1" a="1"/>
  <c r="AA529" i="1"/>
  <c r="Z413" i="1" a="1"/>
  <c r="Z413" i="1"/>
  <c r="Z1474" i="1" a="1"/>
  <c r="Z1474" i="1"/>
  <c r="Z1061" i="1" a="1"/>
  <c r="Z1061" i="1"/>
  <c r="AA1362" i="1" a="1"/>
  <c r="AA1362" i="1"/>
  <c r="Z219" i="1" a="1"/>
  <c r="Z219" i="1"/>
  <c r="AC1116" i="1" a="1"/>
  <c r="AC1116" i="1"/>
  <c r="Z529" i="1" a="1"/>
  <c r="Z529" i="1"/>
  <c r="Z1437" i="1" a="1"/>
  <c r="Z1437" i="1"/>
  <c r="AC219" i="1" a="1"/>
  <c r="AC219" i="1"/>
  <c r="AC1061" i="1" a="1"/>
  <c r="AC1061" i="1"/>
  <c r="AB1474" i="1" a="1"/>
  <c r="AB1474" i="1"/>
  <c r="AC413" i="1" a="1"/>
  <c r="AC413" i="1"/>
  <c r="Y413" i="1" a="1"/>
  <c r="Y413" i="1"/>
  <c r="Y1362" i="1" a="1"/>
  <c r="Y1362" i="1"/>
  <c r="AB1437" i="1" a="1"/>
  <c r="AB1437" i="1"/>
  <c r="AA1116" i="1" a="1"/>
  <c r="AA1116" i="1"/>
  <c r="AB219" i="1" a="1"/>
  <c r="AB219" i="1"/>
  <c r="Y1474" i="1" a="1"/>
  <c r="Y1474" i="1"/>
  <c r="Y1061" i="1" a="1"/>
  <c r="Y1061" i="1"/>
  <c r="AA219" i="1" a="1"/>
  <c r="AA219" i="1"/>
  <c r="AA1474" i="1" a="1"/>
  <c r="AA1474" i="1"/>
  <c r="AC1437" i="1" a="1"/>
  <c r="AC1437" i="1"/>
  <c r="AC529" i="1" a="1"/>
  <c r="AC529" i="1"/>
  <c r="AB1362" i="1" a="1"/>
  <c r="AB1362" i="1"/>
  <c r="AA413" i="1" a="1"/>
  <c r="AA413" i="1"/>
  <c r="Z1114" i="1" a="1"/>
  <c r="Z1114" i="1"/>
  <c r="AA578" i="1" a="1"/>
  <c r="AA578" i="1"/>
  <c r="AB1116" i="1" a="1"/>
  <c r="AB1116" i="1"/>
  <c r="AA1055" i="1" a="1"/>
  <c r="AA1055" i="1"/>
  <c r="AB1055" i="1" a="1"/>
  <c r="AB1055" i="1"/>
  <c r="Y1421" i="1" a="1"/>
  <c r="Y1421" i="1"/>
  <c r="AA1421" i="1" a="1"/>
  <c r="AA1421" i="1"/>
  <c r="AB949" i="1" a="1"/>
  <c r="AB949" i="1"/>
  <c r="Y116" i="1" a="1"/>
  <c r="Y116" i="1"/>
  <c r="AA652" i="1" a="1"/>
  <c r="AA652" i="1"/>
  <c r="AB116" i="1" a="1"/>
  <c r="AB116" i="1"/>
  <c r="AC949" i="1" a="1"/>
  <c r="AC949" i="1"/>
  <c r="AC163" i="1" a="1"/>
  <c r="AC163" i="1"/>
  <c r="Z1421" i="1" a="1"/>
  <c r="Z1421" i="1"/>
  <c r="AA163" i="1" a="1"/>
  <c r="AA163" i="1"/>
  <c r="AA1568" i="1"/>
  <c r="AB652" i="1" a="1"/>
  <c r="AB652" i="1"/>
  <c r="AC116" i="1" a="1"/>
  <c r="AC116" i="1"/>
  <c r="AB1568" i="1"/>
  <c r="AA1225" i="1" a="1"/>
  <c r="AA1225" i="1"/>
  <c r="Z652" i="1" a="1"/>
  <c r="Z652" i="1"/>
  <c r="Z1222" i="1" a="1"/>
  <c r="Z1222" i="1"/>
  <c r="AA1080" i="1" a="1"/>
  <c r="AA1080" i="1"/>
  <c r="Y1222" i="1" a="1"/>
  <c r="Y1222" i="1"/>
  <c r="Y163" i="1" a="1"/>
  <c r="Y163" i="1"/>
  <c r="Y1225" i="1" a="1"/>
  <c r="Y1225" i="1"/>
  <c r="AC1080" i="1" a="1"/>
  <c r="AC1080" i="1"/>
  <c r="AC1222" i="1" a="1"/>
  <c r="AC1222" i="1"/>
  <c r="AC1225" i="1" a="1"/>
  <c r="AC1225" i="1"/>
  <c r="Z1225" i="1" a="1"/>
  <c r="Z1225" i="1"/>
  <c r="Y1055" i="1" a="1"/>
  <c r="Y1055" i="1"/>
  <c r="Z1568" i="1"/>
  <c r="AA949" i="1" a="1"/>
  <c r="AA949" i="1"/>
  <c r="Z1055" i="1" a="1"/>
  <c r="Z1055" i="1"/>
  <c r="Y949" i="1" a="1"/>
  <c r="Y949" i="1"/>
  <c r="AB1222" i="1" a="1"/>
  <c r="AB1222" i="1"/>
  <c r="Y1568" i="1"/>
  <c r="Z1080" i="1" a="1"/>
  <c r="Z1080" i="1"/>
  <c r="AC1421" i="1" a="1"/>
  <c r="AC1421" i="1"/>
  <c r="Z116" i="1" a="1"/>
  <c r="Z116" i="1"/>
  <c r="Y1080" i="1" a="1"/>
  <c r="Y1080" i="1"/>
  <c r="AC652" i="1" a="1"/>
  <c r="AC652" i="1"/>
  <c r="AB163" i="1" a="1"/>
  <c r="AB163" i="1"/>
  <c r="Z163" i="1" a="1"/>
  <c r="Z163" i="1"/>
  <c r="AA116" i="1" a="1"/>
  <c r="AA116" i="1"/>
  <c r="AC1568" i="1"/>
  <c r="AA1222" i="1" a="1"/>
  <c r="AA1222" i="1"/>
  <c r="AB1080" i="1" a="1"/>
  <c r="AB1080" i="1"/>
  <c r="Z949" i="1" a="1"/>
  <c r="Z949" i="1"/>
  <c r="AB1421" i="1" a="1"/>
  <c r="AB1421" i="1"/>
  <c r="Y652" i="1" a="1"/>
  <c r="Y652" i="1"/>
  <c r="AC1055" i="1" a="1"/>
  <c r="AC1055" i="1"/>
  <c r="AB1225" i="1" a="1"/>
  <c r="AB1225" i="1"/>
  <c r="AB977" i="1" a="1"/>
  <c r="AB977" i="1"/>
  <c r="AA929" i="1" a="1"/>
  <c r="AA929" i="1"/>
  <c r="Z663" i="1" a="1"/>
  <c r="Z663" i="1"/>
  <c r="AB663" i="1" a="1"/>
  <c r="AB663" i="1"/>
  <c r="AC1426" i="1" a="1"/>
  <c r="AC1426" i="1"/>
  <c r="AA906" i="1" a="1"/>
  <c r="AA906" i="1"/>
  <c r="Y1426" i="1" a="1"/>
  <c r="Y1426" i="1"/>
  <c r="AA1426" i="1" a="1"/>
  <c r="AA1426" i="1"/>
  <c r="AC1046" i="1" a="1"/>
  <c r="AC1046" i="1"/>
  <c r="AC84" i="1" a="1"/>
  <c r="AC84" i="1"/>
  <c r="AC68" i="1" a="1"/>
  <c r="AC68" i="1"/>
  <c r="AB1268" i="1" a="1"/>
  <c r="AB1268" i="1"/>
  <c r="AB831" i="1" a="1"/>
  <c r="AB831" i="1"/>
  <c r="Y977" i="1" a="1"/>
  <c r="Y977" i="1"/>
  <c r="AA831" i="1" a="1"/>
  <c r="AA831" i="1"/>
  <c r="AB68" i="1" a="1"/>
  <c r="AB68" i="1"/>
  <c r="AA68" i="1" a="1"/>
  <c r="AA68" i="1"/>
  <c r="AC1268" i="1" a="1"/>
  <c r="AC1268" i="1"/>
  <c r="Z831" i="1" a="1"/>
  <c r="Z831" i="1"/>
  <c r="AC977" i="1" a="1"/>
  <c r="AC977" i="1"/>
  <c r="Y84" i="1" a="1"/>
  <c r="Y84" i="1"/>
  <c r="Y906" i="1" a="1"/>
  <c r="Y906" i="1"/>
  <c r="Y831" i="1" a="1"/>
  <c r="Y831" i="1"/>
  <c r="AA1046" i="1" a="1"/>
  <c r="AA1046" i="1"/>
  <c r="Y929" i="1" a="1"/>
  <c r="Y929" i="1"/>
  <c r="AA663" i="1" a="1"/>
  <c r="AA663" i="1"/>
  <c r="AB906" i="1" a="1"/>
  <c r="AB906" i="1"/>
  <c r="AA977" i="1" a="1"/>
  <c r="AA977" i="1"/>
  <c r="Y1268" i="1" a="1"/>
  <c r="Y1268" i="1"/>
  <c r="AA84" i="1" a="1"/>
  <c r="AA84" i="1"/>
  <c r="AC929" i="1" a="1"/>
  <c r="AC929" i="1"/>
  <c r="AA1268" i="1" a="1"/>
  <c r="AA1268" i="1"/>
  <c r="Z1046" i="1" a="1"/>
  <c r="Z1046" i="1"/>
  <c r="AB84" i="1" a="1"/>
  <c r="AB84" i="1"/>
  <c r="AB929" i="1" a="1"/>
  <c r="AB929" i="1"/>
  <c r="AC906" i="1" a="1"/>
  <c r="AC906" i="1"/>
  <c r="AB1426" i="1" a="1"/>
  <c r="AB1426" i="1"/>
  <c r="Z68" i="1" a="1"/>
  <c r="Z68" i="1"/>
  <c r="Y1046" i="1" a="1"/>
  <c r="Y1046" i="1"/>
  <c r="Y663" i="1" a="1"/>
  <c r="Y663" i="1"/>
  <c r="Z929" i="1" a="1"/>
  <c r="Z929" i="1"/>
  <c r="Z977" i="1" a="1"/>
  <c r="Z977" i="1"/>
  <c r="Z906" i="1" a="1"/>
  <c r="Z906" i="1"/>
  <c r="AB1046" i="1" a="1"/>
  <c r="AB1046" i="1"/>
  <c r="Z84" i="1" a="1"/>
  <c r="Z84" i="1"/>
  <c r="AC663" i="1" a="1"/>
  <c r="AC663" i="1"/>
  <c r="Z1426" i="1" a="1"/>
  <c r="Z1426" i="1"/>
  <c r="AC831" i="1" a="1"/>
  <c r="AC831" i="1"/>
  <c r="Z1268" i="1" a="1"/>
  <c r="Z1268" i="1"/>
  <c r="Y68" i="1" a="1"/>
  <c r="Y68" i="1"/>
  <c r="Z1564" i="1"/>
  <c r="Z170" i="1" a="1"/>
  <c r="Z170" i="1"/>
  <c r="Y170" i="1" a="1"/>
  <c r="Y170" i="1"/>
  <c r="Y1509" i="1" a="1"/>
  <c r="Y1509" i="1"/>
  <c r="AC1503" i="1" a="1"/>
  <c r="AC1503" i="1"/>
  <c r="AA873" i="1" a="1"/>
  <c r="AA873" i="1"/>
  <c r="AC1259" i="1" a="1"/>
  <c r="AC1259" i="1"/>
  <c r="AB179" i="1" a="1"/>
  <c r="AB179" i="1"/>
  <c r="AB1509" i="1" a="1"/>
  <c r="AB1509" i="1"/>
  <c r="AB1259" i="1" a="1"/>
  <c r="AB1259" i="1"/>
  <c r="Y873" i="1" a="1"/>
  <c r="Y873" i="1"/>
  <c r="AC170" i="1" a="1"/>
  <c r="AC170" i="1"/>
  <c r="AA858" i="1" a="1"/>
  <c r="AA858" i="1"/>
  <c r="AC179" i="1" a="1"/>
  <c r="AC179" i="1"/>
  <c r="Z1509" i="1" a="1"/>
  <c r="Z1509" i="1"/>
  <c r="Y1564" i="1"/>
  <c r="AA179" i="1" a="1"/>
  <c r="AA179" i="1"/>
  <c r="AB858" i="1" a="1"/>
  <c r="AB858" i="1"/>
  <c r="AB170" i="1" a="1"/>
  <c r="AB170" i="1"/>
  <c r="AC1509" i="1" a="1"/>
  <c r="AC1509" i="1"/>
  <c r="AB1564" i="1"/>
  <c r="Z179" i="1" a="1"/>
  <c r="Z179" i="1"/>
  <c r="AC1564" i="1"/>
  <c r="AB873" i="1" a="1"/>
  <c r="AB873" i="1"/>
  <c r="AB1027" i="1" a="1"/>
  <c r="AB1027" i="1"/>
  <c r="AC1027" i="1" a="1"/>
  <c r="AC1027" i="1"/>
  <c r="Z1027" i="1" a="1"/>
  <c r="Z1027" i="1"/>
  <c r="Z873" i="1" a="1"/>
  <c r="Z873" i="1"/>
  <c r="AA1503" i="1" a="1"/>
  <c r="AA1503" i="1"/>
  <c r="Z1503" i="1" a="1"/>
  <c r="Z1503" i="1"/>
  <c r="AB1503" i="1" a="1"/>
  <c r="AB1503" i="1"/>
  <c r="Z842" i="1" a="1"/>
  <c r="Z842" i="1"/>
  <c r="AA1259" i="1" a="1"/>
  <c r="AA1259" i="1"/>
  <c r="Y842" i="1" a="1"/>
  <c r="Y842" i="1"/>
  <c r="AA842" i="1" a="1"/>
  <c r="AA842" i="1"/>
  <c r="Z858" i="1" a="1"/>
  <c r="Z858" i="1"/>
  <c r="AB842" i="1" a="1"/>
  <c r="AB842" i="1"/>
  <c r="Y1027" i="1" a="1"/>
  <c r="Y1027" i="1"/>
  <c r="Y858" i="1" a="1"/>
  <c r="Y858" i="1"/>
  <c r="Y1259" i="1" a="1"/>
  <c r="Y1259" i="1"/>
  <c r="AA170" i="1" a="1"/>
  <c r="AA170" i="1"/>
  <c r="AC858" i="1" a="1"/>
  <c r="AC858" i="1"/>
  <c r="Z1259" i="1" a="1"/>
  <c r="Z1259" i="1"/>
  <c r="AA1509" i="1" a="1"/>
  <c r="AA1509" i="1"/>
  <c r="AC873" i="1" a="1"/>
  <c r="AC873" i="1"/>
  <c r="AA1564" i="1"/>
  <c r="AA1027" i="1" a="1"/>
  <c r="AA1027" i="1"/>
  <c r="Y179" i="1" a="1"/>
  <c r="Y179" i="1"/>
  <c r="AC842" i="1" a="1"/>
  <c r="AC842" i="1"/>
  <c r="Y1503" i="1" a="1"/>
  <c r="Y1503" i="1"/>
  <c r="AC497" i="1" a="1"/>
  <c r="AC497" i="1"/>
  <c r="AC820" i="1" a="1"/>
  <c r="AC820" i="1"/>
  <c r="Z201" i="1" a="1"/>
  <c r="Z201" i="1"/>
  <c r="AB423" i="1" a="1"/>
  <c r="AB423" i="1"/>
  <c r="Z820" i="1" a="1"/>
  <c r="Z820" i="1"/>
  <c r="AA1175" i="1" a="1"/>
  <c r="AA1175" i="1"/>
  <c r="Y573" i="1" a="1"/>
  <c r="Y573" i="1"/>
  <c r="AA1336" i="1" a="1"/>
  <c r="AA1336" i="1"/>
  <c r="Z653" i="1" a="1"/>
  <c r="Z653" i="1"/>
  <c r="AB1175" i="1" a="1"/>
  <c r="AB1175" i="1"/>
  <c r="AB653" i="1" a="1"/>
  <c r="AB653" i="1"/>
  <c r="Y1336" i="1" a="1"/>
  <c r="Y1336" i="1"/>
  <c r="AB573" i="1" a="1"/>
  <c r="AB573" i="1"/>
  <c r="AA573" i="1" a="1"/>
  <c r="AA573" i="1"/>
  <c r="AA653" i="1" a="1"/>
  <c r="AA653" i="1"/>
  <c r="AC423" i="1" a="1"/>
  <c r="AC423" i="1"/>
  <c r="Z440" i="1" a="1"/>
  <c r="Z440" i="1"/>
  <c r="AC440" i="1" a="1"/>
  <c r="AC440" i="1"/>
  <c r="AB1336" i="1" a="1"/>
  <c r="AB1336" i="1"/>
  <c r="AC201" i="1" a="1"/>
  <c r="AC201" i="1"/>
  <c r="Z573" i="1" a="1"/>
  <c r="Z573" i="1"/>
  <c r="Y423" i="1" a="1"/>
  <c r="Y423" i="1"/>
  <c r="Y786" i="1" a="1"/>
  <c r="Y786" i="1"/>
  <c r="AC786" i="1" a="1"/>
  <c r="AC786" i="1"/>
  <c r="AB497" i="1" a="1"/>
  <c r="AB497" i="1"/>
  <c r="AC1336" i="1" a="1"/>
  <c r="AC1336" i="1"/>
  <c r="AB201" i="1" a="1"/>
  <c r="AB201" i="1"/>
  <c r="AA201" i="1" a="1"/>
  <c r="AA201" i="1"/>
  <c r="AC653" i="1" a="1"/>
  <c r="AC653" i="1"/>
  <c r="AA786" i="1" a="1"/>
  <c r="AA786" i="1"/>
  <c r="AA820" i="1" a="1"/>
  <c r="AA820" i="1"/>
  <c r="AA423" i="1" a="1"/>
  <c r="AA423" i="1"/>
  <c r="AB440" i="1" a="1"/>
  <c r="AB440" i="1"/>
  <c r="Y1175" i="1" a="1"/>
  <c r="Y1175" i="1"/>
  <c r="Z497" i="1" a="1"/>
  <c r="Z497" i="1"/>
  <c r="AB820" i="1" a="1"/>
  <c r="AB820" i="1"/>
  <c r="AC1175" i="1" a="1"/>
  <c r="AC1175" i="1"/>
  <c r="Y440" i="1" a="1"/>
  <c r="Y440" i="1"/>
  <c r="Z786" i="1" a="1"/>
  <c r="Z786" i="1"/>
  <c r="AA497" i="1" a="1"/>
  <c r="AA497" i="1"/>
  <c r="Z1336" i="1" a="1"/>
  <c r="Z1336" i="1"/>
  <c r="Y497" i="1" a="1"/>
  <c r="Y497" i="1"/>
  <c r="Y820" i="1" a="1"/>
  <c r="Y820" i="1"/>
  <c r="Z1175" i="1" a="1"/>
  <c r="Z1175" i="1"/>
  <c r="AA440" i="1" a="1"/>
  <c r="AA440" i="1"/>
  <c r="AC573" i="1" a="1"/>
  <c r="AC573" i="1"/>
  <c r="Z423" i="1" a="1"/>
  <c r="Z423" i="1"/>
  <c r="Y201" i="1" a="1"/>
  <c r="Y201" i="1"/>
  <c r="Y653" i="1" a="1"/>
  <c r="Y653" i="1"/>
  <c r="AB786" i="1" a="1"/>
  <c r="AB786" i="1"/>
  <c r="AA99" i="1" a="1"/>
  <c r="AA99" i="1"/>
  <c r="Y111" i="1" a="1"/>
  <c r="Y111" i="1"/>
  <c r="AC328" i="1" a="1"/>
  <c r="AC328" i="1"/>
  <c r="AA1411" i="1" a="1"/>
  <c r="AA1411" i="1"/>
  <c r="Z99" i="1" a="1"/>
  <c r="Z99" i="1"/>
  <c r="Z111" i="1" a="1"/>
  <c r="Z111" i="1"/>
  <c r="AC1505" i="1" a="1"/>
  <c r="AC1505" i="1"/>
  <c r="AB899" i="1" a="1"/>
  <c r="AB899" i="1"/>
  <c r="AB475" i="1" a="1"/>
  <c r="AB475" i="1"/>
  <c r="AC475" i="1" a="1"/>
  <c r="AC475" i="1"/>
  <c r="AC99" i="1" a="1"/>
  <c r="AC99" i="1"/>
  <c r="Z475" i="1" a="1"/>
  <c r="Z475" i="1"/>
  <c r="Y1464" i="1" a="1"/>
  <c r="Y1464" i="1"/>
  <c r="Y703" i="1" a="1"/>
  <c r="Y703" i="1"/>
  <c r="AC111" i="1" a="1"/>
  <c r="AC111" i="1"/>
  <c r="Z965" i="1" a="1"/>
  <c r="Z965" i="1"/>
  <c r="Z703" i="1" a="1"/>
  <c r="Z703" i="1"/>
  <c r="Y1505" i="1" a="1"/>
  <c r="Y1505" i="1"/>
  <c r="AA965" i="1" a="1"/>
  <c r="AA965" i="1"/>
  <c r="Y99" i="1" a="1"/>
  <c r="Y99" i="1"/>
  <c r="AB1464" i="1" a="1"/>
  <c r="AB1464" i="1"/>
  <c r="AC965" i="1" a="1"/>
  <c r="AC965" i="1"/>
  <c r="AC899" i="1" a="1"/>
  <c r="AC899" i="1"/>
  <c r="AA475" i="1" a="1"/>
  <c r="AA475" i="1"/>
  <c r="Y328" i="1" a="1"/>
  <c r="Y328" i="1"/>
  <c r="AA111" i="1" a="1"/>
  <c r="AA111" i="1"/>
  <c r="AB328" i="1" a="1"/>
  <c r="AB328" i="1"/>
  <c r="AA703" i="1" a="1"/>
  <c r="AA703" i="1"/>
  <c r="Y899" i="1" a="1"/>
  <c r="Y899" i="1"/>
  <c r="AC1411" i="1" a="1"/>
  <c r="AC1411" i="1"/>
  <c r="AB965" i="1" a="1"/>
  <c r="AB965" i="1"/>
  <c r="AC703" i="1" a="1"/>
  <c r="AC703" i="1"/>
  <c r="AB1411" i="1" a="1"/>
  <c r="AB1411" i="1"/>
  <c r="Z1505" i="1" a="1"/>
  <c r="Z1505" i="1"/>
  <c r="AA1464" i="1" a="1"/>
  <c r="AA1464" i="1"/>
  <c r="AB1505" i="1" a="1"/>
  <c r="AB1505" i="1"/>
  <c r="Z1411" i="1" a="1"/>
  <c r="Z1411" i="1"/>
  <c r="AA328" i="1" a="1"/>
  <c r="AA328" i="1"/>
  <c r="AC1464" i="1" a="1"/>
  <c r="AC1464" i="1"/>
  <c r="Z899" i="1" a="1"/>
  <c r="Z899" i="1"/>
  <c r="AB99" i="1" a="1"/>
  <c r="AB99" i="1"/>
  <c r="AA1505" i="1" a="1"/>
  <c r="AA1505" i="1"/>
  <c r="Y475" i="1" a="1"/>
  <c r="Y475" i="1"/>
  <c r="Z328" i="1" a="1"/>
  <c r="Z328" i="1"/>
  <c r="Z1464" i="1" a="1"/>
  <c r="Z1464" i="1"/>
  <c r="AB111" i="1" a="1"/>
  <c r="AB111" i="1"/>
  <c r="AA899" i="1" a="1"/>
  <c r="AA899" i="1"/>
  <c r="Y965" i="1" a="1"/>
  <c r="Y965" i="1"/>
  <c r="AB703" i="1" a="1"/>
  <c r="AB703" i="1"/>
  <c r="Y1411" i="1" a="1"/>
  <c r="Y1411" i="1"/>
  <c r="AA178" i="1" a="1"/>
  <c r="AA178" i="1"/>
  <c r="AA1348" i="1" a="1"/>
  <c r="AA1348" i="1"/>
  <c r="Y330" i="1" a="1"/>
  <c r="Y330" i="1"/>
  <c r="Z1158" i="1" a="1"/>
  <c r="Z1158" i="1"/>
  <c r="Z330" i="1" a="1"/>
  <c r="Z330" i="1"/>
  <c r="AB330" i="1" a="1"/>
  <c r="AB330" i="1"/>
  <c r="AA822" i="1" a="1"/>
  <c r="AA822" i="1"/>
  <c r="Z178" i="1" a="1"/>
  <c r="Z178" i="1"/>
  <c r="AB1348" i="1" a="1"/>
  <c r="AB1348" i="1"/>
  <c r="AC330" i="1" a="1"/>
  <c r="AC330" i="1"/>
  <c r="AB145" i="1" a="1"/>
  <c r="AB145" i="1"/>
  <c r="Y145" i="1" a="1"/>
  <c r="Y145" i="1"/>
  <c r="Z1374" i="1" a="1"/>
  <c r="Z1374" i="1"/>
  <c r="AC1142" i="1" a="1"/>
  <c r="AC1142" i="1"/>
  <c r="Z145" i="1" a="1"/>
  <c r="Z145" i="1"/>
  <c r="AC1158" i="1" a="1"/>
  <c r="AC1158" i="1"/>
  <c r="Z1291" i="1" a="1"/>
  <c r="Z1291" i="1"/>
  <c r="AA1452" i="1" a="1"/>
  <c r="AA1452" i="1"/>
  <c r="AA145" i="1" a="1"/>
  <c r="AA145" i="1"/>
  <c r="Y1452" i="1" a="1"/>
  <c r="Y1452" i="1"/>
  <c r="Y1291" i="1" a="1"/>
  <c r="Y1291" i="1"/>
  <c r="Y1158" i="1" a="1"/>
  <c r="Y1158" i="1"/>
  <c r="AB178" i="1" a="1"/>
  <c r="AB178" i="1"/>
  <c r="AB1158" i="1" a="1"/>
  <c r="AB1158" i="1"/>
  <c r="Z1452" i="1" a="1"/>
  <c r="Z1452" i="1"/>
  <c r="Z1142" i="1" a="1"/>
  <c r="Z1142" i="1"/>
  <c r="AB1452" i="1" a="1"/>
  <c r="AB1452" i="1"/>
  <c r="AC822" i="1" a="1"/>
  <c r="AC822" i="1"/>
  <c r="AB1291" i="1" a="1"/>
  <c r="AB1291" i="1"/>
  <c r="Y178" i="1" a="1"/>
  <c r="Y178" i="1"/>
  <c r="AB1374" i="1" a="1"/>
  <c r="AB1374" i="1"/>
  <c r="Y1374" i="1" a="1"/>
  <c r="Y1374" i="1"/>
  <c r="Y822" i="1" a="1"/>
  <c r="Y822" i="1"/>
  <c r="AB1142" i="1" a="1"/>
  <c r="AB1142" i="1"/>
  <c r="AC1348" i="1" a="1"/>
  <c r="AC1348" i="1"/>
  <c r="Y1142" i="1" a="1"/>
  <c r="Y1142" i="1"/>
  <c r="AA1374" i="1" a="1"/>
  <c r="AA1374" i="1"/>
  <c r="Y1348" i="1" a="1"/>
  <c r="Y1348" i="1"/>
  <c r="AB822" i="1" a="1"/>
  <c r="AB822" i="1"/>
  <c r="AC1291" i="1" a="1"/>
  <c r="AC1291" i="1"/>
  <c r="AC1452" i="1" a="1"/>
  <c r="AC1452" i="1"/>
  <c r="AA1158" i="1" a="1"/>
  <c r="AA1158" i="1"/>
  <c r="AA1142" i="1" a="1"/>
  <c r="AA1142" i="1"/>
  <c r="AC1374" i="1" a="1"/>
  <c r="AC1374" i="1"/>
  <c r="AC178" i="1" a="1"/>
  <c r="AC178" i="1"/>
  <c r="AA1291" i="1" a="1"/>
  <c r="AA1291" i="1"/>
  <c r="AC145" i="1" a="1"/>
  <c r="AC145" i="1"/>
  <c r="Z822" i="1" a="1"/>
  <c r="Z822" i="1"/>
  <c r="Z1348" i="1" a="1"/>
  <c r="Z1348" i="1"/>
  <c r="AA330" i="1" a="1"/>
  <c r="AA330" i="1"/>
  <c r="Z959" i="1" a="1"/>
  <c r="Z959" i="1"/>
  <c r="AA1475" i="1" a="1"/>
  <c r="AA1475" i="1"/>
  <c r="Z236" i="1" a="1"/>
  <c r="Z236" i="1"/>
  <c r="AA384" i="1" a="1"/>
  <c r="AA384" i="1"/>
  <c r="Z453" i="1" a="1"/>
  <c r="Z453" i="1"/>
  <c r="Z1475" i="1" a="1"/>
  <c r="Z1475" i="1"/>
  <c r="Y209" i="1" a="1"/>
  <c r="Y209" i="1"/>
  <c r="Y453" i="1" a="1"/>
  <c r="Y453" i="1"/>
  <c r="AA236" i="1" a="1"/>
  <c r="AA236" i="1"/>
  <c r="AB209" i="1" a="1"/>
  <c r="AB209" i="1"/>
  <c r="AC453" i="1" a="1"/>
  <c r="AC453" i="1"/>
  <c r="AC308" i="1" a="1"/>
  <c r="AC308" i="1"/>
  <c r="Z209" i="1" a="1"/>
  <c r="Z209" i="1"/>
  <c r="AA1014" i="1" a="1"/>
  <c r="AA1014" i="1"/>
  <c r="AB384" i="1" a="1"/>
  <c r="AB384" i="1"/>
  <c r="AB1475" i="1" a="1"/>
  <c r="AB1475" i="1"/>
  <c r="AC209" i="1" a="1"/>
  <c r="AC209" i="1"/>
  <c r="AB89" i="1" a="1"/>
  <c r="AB89" i="1"/>
  <c r="AA453" i="1" a="1"/>
  <c r="AA453" i="1"/>
  <c r="AA89" i="1" a="1"/>
  <c r="AA89" i="1"/>
  <c r="AA308" i="1" a="1"/>
  <c r="AA308" i="1"/>
  <c r="Z384" i="1" a="1"/>
  <c r="Z384" i="1"/>
  <c r="Y308" i="1" a="1"/>
  <c r="Y308" i="1"/>
  <c r="Z89" i="1" a="1"/>
  <c r="Z89" i="1"/>
  <c r="AB947" i="1" a="1"/>
  <c r="AB947" i="1"/>
  <c r="AB236" i="1" a="1"/>
  <c r="AB236" i="1"/>
  <c r="Z308" i="1" a="1"/>
  <c r="Z308" i="1"/>
  <c r="Z1014" i="1" a="1"/>
  <c r="Z1014" i="1"/>
  <c r="AB1014" i="1" a="1"/>
  <c r="AB1014" i="1"/>
  <c r="Y947" i="1" a="1"/>
  <c r="Y947" i="1"/>
  <c r="Y1475" i="1" a="1"/>
  <c r="Y1475" i="1"/>
  <c r="Y236" i="1" a="1"/>
  <c r="Y236" i="1"/>
  <c r="AC947" i="1" a="1"/>
  <c r="AC947" i="1"/>
  <c r="Y1014" i="1" a="1"/>
  <c r="Y1014" i="1"/>
  <c r="Z947" i="1" a="1"/>
  <c r="Z947" i="1"/>
  <c r="AA959" i="1" a="1"/>
  <c r="AA959" i="1"/>
  <c r="Y959" i="1" a="1"/>
  <c r="Y959" i="1"/>
  <c r="Y384" i="1" a="1"/>
  <c r="Y384" i="1"/>
  <c r="AB959" i="1" a="1"/>
  <c r="AB959" i="1"/>
  <c r="AC89" i="1" a="1"/>
  <c r="AC89" i="1"/>
  <c r="AA947" i="1" a="1"/>
  <c r="AA947" i="1"/>
  <c r="Y89" i="1" a="1"/>
  <c r="Y89" i="1"/>
  <c r="AA209" i="1" a="1"/>
  <c r="AA209" i="1"/>
  <c r="AC1014" i="1" a="1"/>
  <c r="AC1014" i="1"/>
  <c r="AB453" i="1" a="1"/>
  <c r="AB453" i="1"/>
  <c r="AC959" i="1" a="1"/>
  <c r="AC959" i="1"/>
  <c r="AC236" i="1" a="1"/>
  <c r="AC236" i="1"/>
  <c r="AC1475" i="1" a="1"/>
  <c r="AC1475" i="1"/>
  <c r="AC384" i="1" a="1"/>
  <c r="AC384" i="1"/>
  <c r="AB308" i="1" a="1"/>
  <c r="AB308" i="1"/>
  <c r="AB606" i="1" a="1"/>
  <c r="AB606" i="1"/>
  <c r="Z1490" i="1" a="1"/>
  <c r="Z1490" i="1"/>
  <c r="AB1522" i="1" a="1"/>
  <c r="AB1522" i="1"/>
  <c r="AA606" i="1" a="1"/>
  <c r="AA606" i="1"/>
  <c r="AA823" i="1" a="1"/>
  <c r="AA823" i="1"/>
  <c r="AB1076" i="1" a="1"/>
  <c r="AB1076" i="1"/>
  <c r="Y374" i="1" a="1"/>
  <c r="Y374" i="1"/>
  <c r="AC212" i="1" a="1"/>
  <c r="AC212" i="1"/>
  <c r="Y1522" i="1" a="1"/>
  <c r="Y1522" i="1"/>
  <c r="AC141" i="1" a="1"/>
  <c r="AC141" i="1"/>
  <c r="Y783" i="1" a="1"/>
  <c r="Y783" i="1"/>
  <c r="AB467" i="1" a="1"/>
  <c r="AB467" i="1"/>
  <c r="AA467" i="1" a="1"/>
  <c r="AA467" i="1"/>
  <c r="Y606" i="1" a="1"/>
  <c r="Y606" i="1"/>
  <c r="AA141" i="1" a="1"/>
  <c r="AA141" i="1"/>
  <c r="Z1522" i="1" a="1"/>
  <c r="Z1522" i="1"/>
  <c r="AB1490" i="1" a="1"/>
  <c r="AB1490" i="1"/>
  <c r="Z212" i="1" a="1"/>
  <c r="Z212" i="1"/>
  <c r="AC1076" i="1" a="1"/>
  <c r="AC1076" i="1"/>
  <c r="AA1076" i="1" a="1"/>
  <c r="AA1076" i="1"/>
  <c r="AA783" i="1" a="1"/>
  <c r="AA783" i="1"/>
  <c r="Y1490" i="1" a="1"/>
  <c r="Y1490" i="1"/>
  <c r="AC783" i="1" a="1"/>
  <c r="AC783" i="1"/>
  <c r="AC823" i="1" a="1"/>
  <c r="AC823" i="1"/>
  <c r="Z606" i="1" a="1"/>
  <c r="Z606" i="1"/>
  <c r="AA374" i="1" a="1"/>
  <c r="AA374" i="1"/>
  <c r="AA212" i="1" a="1"/>
  <c r="AA212" i="1"/>
  <c r="AB141" i="1" a="1"/>
  <c r="AB141" i="1"/>
  <c r="Y1076" i="1" a="1"/>
  <c r="Y1076" i="1"/>
  <c r="Z823" i="1" a="1"/>
  <c r="Z823" i="1"/>
  <c r="AC374" i="1" a="1"/>
  <c r="AC374" i="1"/>
  <c r="Z374" i="1" a="1"/>
  <c r="Z374" i="1"/>
  <c r="Y212" i="1" a="1"/>
  <c r="Y212" i="1"/>
  <c r="AA1490" i="1" a="1"/>
  <c r="AA1490" i="1"/>
  <c r="AA1522" i="1" a="1"/>
  <c r="AA1522" i="1"/>
  <c r="AB783" i="1" a="1"/>
  <c r="AB783" i="1"/>
  <c r="Z467" i="1" a="1"/>
  <c r="Z467" i="1"/>
  <c r="Y823" i="1" a="1"/>
  <c r="Y823" i="1"/>
  <c r="Z141" i="1" a="1"/>
  <c r="Z141" i="1"/>
  <c r="AC467" i="1" a="1"/>
  <c r="AC467" i="1"/>
  <c r="AB212" i="1" a="1"/>
  <c r="AB212" i="1"/>
  <c r="Z1076" i="1" a="1"/>
  <c r="Z1076" i="1"/>
  <c r="Y141" i="1" a="1"/>
  <c r="Y141" i="1"/>
  <c r="AB374" i="1" a="1"/>
  <c r="AB374" i="1"/>
  <c r="Y467" i="1" a="1"/>
  <c r="Y467" i="1"/>
  <c r="AB823" i="1" a="1"/>
  <c r="AB823" i="1"/>
  <c r="AC1490" i="1" a="1"/>
  <c r="AC1490" i="1"/>
  <c r="AC606" i="1" a="1"/>
  <c r="AC606" i="1"/>
  <c r="Z783" i="1" a="1"/>
  <c r="Z783" i="1"/>
  <c r="AC1522" i="1" a="1"/>
  <c r="AC1522" i="1"/>
  <c r="Z1124" i="1" a="1"/>
  <c r="Z1124" i="1"/>
  <c r="Y1273" i="1" a="1"/>
  <c r="Y1273" i="1"/>
  <c r="Y1124" i="1" a="1"/>
  <c r="Y1124" i="1"/>
  <c r="AB1552" i="1"/>
  <c r="Z51" i="1" a="1"/>
  <c r="Z51" i="1"/>
  <c r="Z1552" i="1"/>
  <c r="Z785" i="1" a="1"/>
  <c r="Z785" i="1"/>
  <c r="AB264" i="1" a="1"/>
  <c r="AB264" i="1"/>
  <c r="AA785" i="1" a="1"/>
  <c r="AA785" i="1"/>
  <c r="Y264" i="1" a="1"/>
  <c r="Y264" i="1"/>
  <c r="Z992" i="1" a="1"/>
  <c r="Z992" i="1"/>
  <c r="Y785" i="1" a="1"/>
  <c r="Y785" i="1"/>
  <c r="Z1453" i="1" a="1"/>
  <c r="Z1453" i="1"/>
  <c r="AC1273" i="1" a="1"/>
  <c r="AC1273" i="1"/>
  <c r="AA1273" i="1" a="1"/>
  <c r="AA1273" i="1"/>
  <c r="AA1453" i="1" a="1"/>
  <c r="AA1453" i="1"/>
  <c r="Y28" i="1" a="1"/>
  <c r="Y28" i="1"/>
  <c r="AA1124" i="1" a="1"/>
  <c r="AA1124" i="1"/>
  <c r="Y1453" i="1" a="1"/>
  <c r="Y1453" i="1"/>
  <c r="Y992" i="1" a="1"/>
  <c r="Y992" i="1"/>
  <c r="Y154" i="1" a="1"/>
  <c r="Y154" i="1"/>
  <c r="AC51" i="1" a="1"/>
  <c r="AC51" i="1"/>
  <c r="Z264" i="1" a="1"/>
  <c r="Z264" i="1"/>
  <c r="AB992" i="1" a="1"/>
  <c r="AB992" i="1"/>
  <c r="AC1453" i="1" a="1"/>
  <c r="AC1453" i="1"/>
  <c r="AB28" i="1" a="1"/>
  <c r="AB28" i="1"/>
  <c r="AC1124" i="1" a="1"/>
  <c r="AC1124" i="1"/>
  <c r="AC992" i="1" a="1"/>
  <c r="AC992" i="1"/>
  <c r="AB51" i="1" a="1"/>
  <c r="AB51" i="1"/>
  <c r="Z1273" i="1" a="1"/>
  <c r="Z1273" i="1"/>
  <c r="AC1552" i="1"/>
  <c r="Z154" i="1" a="1"/>
  <c r="Z154" i="1"/>
  <c r="AC154" i="1" a="1"/>
  <c r="AC154" i="1"/>
  <c r="Y51" i="1" a="1"/>
  <c r="Y51" i="1"/>
  <c r="Z28" i="1" a="1"/>
  <c r="Z28" i="1"/>
  <c r="AC28" i="1" a="1"/>
  <c r="AC28" i="1"/>
  <c r="Y1552" i="1"/>
  <c r="AC785" i="1" a="1"/>
  <c r="AC785" i="1"/>
  <c r="AA154" i="1" a="1"/>
  <c r="AA154" i="1"/>
  <c r="AC264" i="1" a="1"/>
  <c r="AC264" i="1"/>
  <c r="AB785" i="1" a="1"/>
  <c r="AB785" i="1"/>
  <c r="AA1552" i="1"/>
  <c r="AB154" i="1" a="1"/>
  <c r="AB154" i="1"/>
  <c r="AA28" i="1" a="1"/>
  <c r="AA28" i="1"/>
  <c r="AB1124" i="1" a="1"/>
  <c r="AB1124" i="1"/>
  <c r="AA264" i="1" a="1"/>
  <c r="AA264" i="1"/>
  <c r="AA992" i="1" a="1"/>
  <c r="AA992" i="1"/>
  <c r="AA51" i="1" a="1"/>
  <c r="AA51" i="1"/>
  <c r="AB1273" i="1" a="1"/>
  <c r="AB1273" i="1"/>
  <c r="AB1453" i="1" a="1"/>
  <c r="AB1453" i="1"/>
  <c r="AC153" i="1" a="1"/>
  <c r="AC153" i="1"/>
  <c r="Y128" i="1" a="1"/>
  <c r="Y128" i="1"/>
  <c r="Y1206" i="1" a="1"/>
  <c r="Y1206" i="1"/>
  <c r="Z1206" i="1" a="1"/>
  <c r="Z1206" i="1"/>
  <c r="Y153" i="1" a="1"/>
  <c r="Y153" i="1"/>
  <c r="AB1206" i="1" a="1"/>
  <c r="AB1206" i="1"/>
  <c r="Y675" i="1" a="1"/>
  <c r="Y675" i="1"/>
  <c r="Z1060" i="1" a="1"/>
  <c r="Z1060" i="1"/>
  <c r="AB128" i="1" a="1"/>
  <c r="AB128" i="1"/>
  <c r="AA675" i="1" a="1"/>
  <c r="AA675" i="1"/>
  <c r="AB803" i="1" a="1"/>
  <c r="AB803" i="1"/>
  <c r="Y1519" i="1" a="1"/>
  <c r="Y1519" i="1"/>
  <c r="AC935" i="1" a="1"/>
  <c r="AC935" i="1"/>
  <c r="Z1420" i="1" a="1"/>
  <c r="Z1420" i="1"/>
  <c r="Z675" i="1" a="1"/>
  <c r="Z675" i="1"/>
  <c r="AA128" i="1" a="1"/>
  <c r="AA128" i="1"/>
  <c r="AC1060" i="1" a="1"/>
  <c r="AC1060" i="1"/>
  <c r="Y803" i="1" a="1"/>
  <c r="Y803" i="1"/>
  <c r="AB1060" i="1" a="1"/>
  <c r="AB1060" i="1"/>
  <c r="AC1519" i="1" a="1"/>
  <c r="AC1519" i="1"/>
  <c r="AB935" i="1" a="1"/>
  <c r="AB935" i="1"/>
  <c r="AA710" i="1" a="1"/>
  <c r="AA710" i="1"/>
  <c r="AA803" i="1" a="1"/>
  <c r="AA803" i="1"/>
  <c r="Y1420" i="1" a="1"/>
  <c r="Y1420" i="1"/>
  <c r="Z1519" i="1" a="1"/>
  <c r="Z1519" i="1"/>
  <c r="AC710" i="1" a="1"/>
  <c r="AC710" i="1"/>
  <c r="AB1420" i="1" a="1"/>
  <c r="AB1420" i="1"/>
  <c r="Z153" i="1" a="1"/>
  <c r="Z153" i="1"/>
  <c r="AC128" i="1" a="1"/>
  <c r="AC128" i="1"/>
  <c r="AB153" i="1" a="1"/>
  <c r="AB153" i="1"/>
  <c r="AB1519" i="1" a="1"/>
  <c r="AB1519" i="1"/>
  <c r="AB675" i="1" a="1"/>
  <c r="AB675" i="1"/>
  <c r="Y710" i="1" a="1"/>
  <c r="Y710" i="1"/>
  <c r="Y935" i="1" a="1"/>
  <c r="Y935" i="1"/>
  <c r="Z710" i="1" a="1"/>
  <c r="Z710" i="1"/>
  <c r="AA1060" i="1" a="1"/>
  <c r="AA1060" i="1"/>
  <c r="AC1420" i="1" a="1"/>
  <c r="AC1420" i="1"/>
  <c r="AA1206" i="1" a="1"/>
  <c r="AA1206" i="1"/>
  <c r="Z803" i="1" a="1"/>
  <c r="Z803" i="1"/>
  <c r="Z935" i="1" a="1"/>
  <c r="Z935" i="1"/>
  <c r="Y1060" i="1" a="1"/>
  <c r="Y1060" i="1"/>
  <c r="AB710" i="1" a="1"/>
  <c r="AB710" i="1"/>
  <c r="AC803" i="1" a="1"/>
  <c r="AC803" i="1"/>
  <c r="AA1519" i="1" a="1"/>
  <c r="AA1519" i="1"/>
  <c r="AA935" i="1" a="1"/>
  <c r="AA935" i="1"/>
  <c r="AA153" i="1" a="1"/>
  <c r="AA153" i="1"/>
  <c r="AC1206" i="1" a="1"/>
  <c r="AC1206" i="1"/>
  <c r="Z128" i="1" a="1"/>
  <c r="Z128" i="1"/>
  <c r="AC675" i="1" a="1"/>
  <c r="AC675" i="1"/>
  <c r="AA1420" i="1" a="1"/>
  <c r="AA1420" i="1"/>
  <c r="Z1422" i="1" a="1"/>
  <c r="Z1422" i="1"/>
  <c r="AC1422" i="1" a="1"/>
  <c r="AC1422" i="1"/>
  <c r="Y770" i="1" a="1"/>
  <c r="Y770" i="1"/>
  <c r="Z692" i="1" a="1"/>
  <c r="Z692" i="1"/>
  <c r="AA1423" i="1" a="1"/>
  <c r="AA1423" i="1"/>
  <c r="AA763" i="1" a="1"/>
  <c r="AA763" i="1"/>
  <c r="AC770" i="1" a="1"/>
  <c r="AC770" i="1"/>
  <c r="AA1064" i="1" a="1"/>
  <c r="AA1064" i="1"/>
  <c r="AA1033" i="1" a="1"/>
  <c r="AA1033" i="1"/>
  <c r="Y1064" i="1" a="1"/>
  <c r="Y1064" i="1"/>
  <c r="Z859" i="1" a="1"/>
  <c r="Z859" i="1"/>
  <c r="AB859" i="1" a="1"/>
  <c r="AB859" i="1"/>
  <c r="Y859" i="1" a="1"/>
  <c r="Y859" i="1"/>
  <c r="AB763" i="1" a="1"/>
  <c r="AB763" i="1"/>
  <c r="AA692" i="1" a="1"/>
  <c r="AA692" i="1"/>
  <c r="AB1064" i="1" a="1"/>
  <c r="AB1064" i="1"/>
  <c r="Z1423" i="1" a="1"/>
  <c r="Z1423" i="1"/>
  <c r="Y1423" i="1" a="1"/>
  <c r="Y1423" i="1"/>
  <c r="Y683" i="1" a="1"/>
  <c r="Y683" i="1"/>
  <c r="AC763" i="1" a="1"/>
  <c r="AC763" i="1"/>
  <c r="AC692" i="1" a="1"/>
  <c r="AC692" i="1"/>
  <c r="AC859" i="1" a="1"/>
  <c r="AC859" i="1"/>
  <c r="Y1422" i="1" a="1"/>
  <c r="Y1422" i="1"/>
  <c r="Y836" i="1" a="1"/>
  <c r="Y836" i="1"/>
  <c r="AB1422" i="1" a="1"/>
  <c r="AB1422" i="1"/>
  <c r="AB683" i="1" a="1"/>
  <c r="AB683" i="1"/>
  <c r="AC1033" i="1" a="1"/>
  <c r="AC1033" i="1"/>
  <c r="Z683" i="1" a="1"/>
  <c r="Z683" i="1"/>
  <c r="AA836" i="1" a="1"/>
  <c r="AA836" i="1"/>
  <c r="Z763" i="1" a="1"/>
  <c r="Z763" i="1"/>
  <c r="Y1033" i="1" a="1"/>
  <c r="Y1033" i="1"/>
  <c r="Z770" i="1" a="1"/>
  <c r="Z770" i="1"/>
  <c r="AB692" i="1" a="1"/>
  <c r="AB692" i="1"/>
  <c r="AC1064" i="1" a="1"/>
  <c r="AC1064" i="1"/>
  <c r="AC683" i="1" a="1"/>
  <c r="AC683" i="1"/>
  <c r="AC836" i="1" a="1"/>
  <c r="AC836" i="1"/>
  <c r="AB836" i="1" a="1"/>
  <c r="AB836" i="1"/>
  <c r="AB770" i="1" a="1"/>
  <c r="AB770" i="1"/>
  <c r="AC1423" i="1" a="1"/>
  <c r="AC1423" i="1"/>
  <c r="Z1033" i="1" a="1"/>
  <c r="Z1033" i="1"/>
  <c r="Y692" i="1" a="1"/>
  <c r="Y692" i="1"/>
  <c r="Y763" i="1" a="1"/>
  <c r="Y763" i="1"/>
  <c r="Z1064" i="1" a="1"/>
  <c r="Z1064" i="1"/>
  <c r="Z836" i="1" a="1"/>
  <c r="Z836" i="1"/>
  <c r="AA770" i="1" a="1"/>
  <c r="AA770" i="1"/>
  <c r="AB1423" i="1" a="1"/>
  <c r="AB1423" i="1"/>
  <c r="AA683" i="1" a="1"/>
  <c r="AA683" i="1"/>
  <c r="AB1033" i="1" a="1"/>
  <c r="AB1033" i="1"/>
  <c r="AA859" i="1" a="1"/>
  <c r="AA859" i="1"/>
  <c r="AA1422" i="1" a="1"/>
  <c r="AA1422" i="1"/>
  <c r="AC709" i="1" a="1"/>
  <c r="AC709" i="1"/>
  <c r="AB779" i="1" a="1"/>
  <c r="AB779" i="1"/>
  <c r="AA378" i="1" a="1"/>
  <c r="AA378" i="1"/>
  <c r="AA422" i="1" a="1"/>
  <c r="AA422" i="1"/>
  <c r="Y1228" i="1" a="1"/>
  <c r="Y1228" i="1"/>
  <c r="Y555" i="1" a="1"/>
  <c r="Y555" i="1"/>
  <c r="Y422" i="1" a="1"/>
  <c r="Y422" i="1"/>
  <c r="AB555" i="1" a="1"/>
  <c r="AB555" i="1"/>
  <c r="AB1342" i="1" a="1"/>
  <c r="AB1342" i="1"/>
  <c r="Z422" i="1" a="1"/>
  <c r="Z422" i="1"/>
  <c r="Z761" i="1" a="1"/>
  <c r="Z761" i="1"/>
  <c r="Y378" i="1" a="1"/>
  <c r="Y378" i="1"/>
  <c r="Z1578" i="1"/>
  <c r="Z1339" i="1" a="1"/>
  <c r="Z1339" i="1"/>
  <c r="Y1339" i="1" a="1"/>
  <c r="Y1339" i="1"/>
  <c r="Y1342" i="1" a="1"/>
  <c r="Y1342" i="1"/>
  <c r="Y709" i="1" a="1"/>
  <c r="Y709" i="1"/>
  <c r="Z1228" i="1" a="1"/>
  <c r="Z1228" i="1"/>
  <c r="AC779" i="1" a="1"/>
  <c r="AC779" i="1"/>
  <c r="AA1342" i="1" a="1"/>
  <c r="AA1342" i="1"/>
  <c r="Y779" i="1" a="1"/>
  <c r="Y779" i="1"/>
  <c r="AA1339" i="1" a="1"/>
  <c r="AA1339" i="1"/>
  <c r="AC761" i="1" a="1"/>
  <c r="AC761" i="1"/>
  <c r="AA779" i="1" a="1"/>
  <c r="AA779" i="1"/>
  <c r="AB1228" i="1" a="1"/>
  <c r="AB1228" i="1"/>
  <c r="AC1228" i="1" a="1"/>
  <c r="AC1228" i="1"/>
  <c r="AA709" i="1" a="1"/>
  <c r="AA709" i="1"/>
  <c r="AC555" i="1" a="1"/>
  <c r="AC555" i="1"/>
  <c r="AB422" i="1" a="1"/>
  <c r="AB422" i="1"/>
  <c r="AB709" i="1" a="1"/>
  <c r="AB709" i="1"/>
  <c r="AC1342" i="1" a="1"/>
  <c r="AC1342" i="1"/>
  <c r="AB1578" i="1"/>
  <c r="Y761" i="1" a="1"/>
  <c r="Y761" i="1"/>
  <c r="AA555" i="1" a="1"/>
  <c r="AA555" i="1"/>
  <c r="AB378" i="1" a="1"/>
  <c r="AB378" i="1"/>
  <c r="AB1339" i="1" a="1"/>
  <c r="AB1339" i="1"/>
  <c r="AA761" i="1" a="1"/>
  <c r="AA761" i="1"/>
  <c r="Z378" i="1" a="1"/>
  <c r="Z378" i="1"/>
  <c r="Y1578" i="1"/>
  <c r="AA1228" i="1" a="1"/>
  <c r="AA1228" i="1"/>
  <c r="AC1578" i="1"/>
  <c r="AC422" i="1" a="1"/>
  <c r="AC422" i="1"/>
  <c r="AC378" i="1" a="1"/>
  <c r="AC378" i="1"/>
  <c r="AC1339" i="1" a="1"/>
  <c r="AC1339" i="1"/>
  <c r="Z779" i="1" a="1"/>
  <c r="Z779" i="1"/>
  <c r="Z555" i="1" a="1"/>
  <c r="Z555" i="1"/>
  <c r="Z709" i="1" a="1"/>
  <c r="Z709" i="1"/>
  <c r="AB761" i="1" a="1"/>
  <c r="AB761" i="1"/>
  <c r="AA1578" i="1"/>
  <c r="Z1342" i="1" a="1"/>
  <c r="Z1342" i="1"/>
  <c r="AB75" i="1" a="1"/>
  <c r="AB75" i="1"/>
  <c r="Z29" i="1" a="1"/>
  <c r="Z29" i="1"/>
  <c r="AB582" i="1" a="1"/>
  <c r="AB582" i="1"/>
  <c r="Y75" i="1" a="1"/>
  <c r="Y75" i="1"/>
  <c r="Y1587" i="1"/>
  <c r="AC131" i="1" a="1"/>
  <c r="AC131" i="1"/>
  <c r="Z1030" i="1" a="1"/>
  <c r="Z1030" i="1"/>
  <c r="AA1130" i="1" a="1"/>
  <c r="AA1130" i="1"/>
  <c r="Z1130" i="1" a="1"/>
  <c r="Z1130" i="1"/>
  <c r="AB225" i="1" a="1"/>
  <c r="AB225" i="1"/>
  <c r="AA75" i="1" a="1"/>
  <c r="AA75" i="1"/>
  <c r="Y29" i="1" a="1"/>
  <c r="Y29" i="1"/>
  <c r="Z1587" i="1"/>
  <c r="AB502" i="1" a="1"/>
  <c r="AB502" i="1"/>
  <c r="AA1587" i="1"/>
  <c r="AC225" i="1" a="1"/>
  <c r="AC225" i="1"/>
  <c r="AC1587" i="1"/>
  <c r="Z502" i="1" a="1"/>
  <c r="Z502" i="1"/>
  <c r="Y225" i="1" a="1"/>
  <c r="Y225" i="1"/>
  <c r="AB1130" i="1" a="1"/>
  <c r="AB1130" i="1"/>
  <c r="AA502" i="1" a="1"/>
  <c r="AA502" i="1"/>
  <c r="AA29" i="1" a="1"/>
  <c r="AA29" i="1"/>
  <c r="Z582" i="1" a="1"/>
  <c r="Z582" i="1"/>
  <c r="AC1130" i="1" a="1"/>
  <c r="AC1130" i="1"/>
  <c r="AC80" i="1" a="1"/>
  <c r="AC80" i="1"/>
  <c r="AC75" i="1" a="1"/>
  <c r="AC75" i="1"/>
  <c r="AA131" i="1" a="1"/>
  <c r="AA131" i="1"/>
  <c r="AA80" i="1" a="1"/>
  <c r="AA80" i="1"/>
  <c r="AC29" i="1" a="1"/>
  <c r="AC29" i="1"/>
  <c r="Z80" i="1" a="1"/>
  <c r="Z80" i="1"/>
  <c r="AA1030" i="1" a="1"/>
  <c r="AA1030" i="1"/>
  <c r="AB1030" i="1" a="1"/>
  <c r="AB1030" i="1"/>
  <c r="Y1030" i="1" a="1"/>
  <c r="Y1030" i="1"/>
  <c r="AC582" i="1" a="1"/>
  <c r="AC582" i="1"/>
  <c r="AA582" i="1" a="1"/>
  <c r="AA582" i="1"/>
  <c r="AB131" i="1" a="1"/>
  <c r="AB131" i="1"/>
  <c r="Y80" i="1" a="1"/>
  <c r="Y80" i="1"/>
  <c r="Z225" i="1" a="1"/>
  <c r="Z225" i="1"/>
  <c r="Y582" i="1" a="1"/>
  <c r="Y582" i="1"/>
  <c r="Z131" i="1" a="1"/>
  <c r="Z131" i="1"/>
  <c r="AC502" i="1" a="1"/>
  <c r="AC502" i="1"/>
  <c r="Y502" i="1" a="1"/>
  <c r="Y502" i="1"/>
  <c r="AC1030" i="1" a="1"/>
  <c r="AC1030" i="1"/>
  <c r="AB29" i="1" a="1"/>
  <c r="AB29" i="1"/>
  <c r="Y1130" i="1" a="1"/>
  <c r="Y1130" i="1"/>
  <c r="Z75" i="1" a="1"/>
  <c r="Z75" i="1"/>
  <c r="AB1587" i="1"/>
  <c r="Y131" i="1" a="1"/>
  <c r="Y131" i="1"/>
  <c r="AB80" i="1" a="1"/>
  <c r="AB80" i="1"/>
  <c r="AA225" i="1" a="1"/>
  <c r="AA225" i="1"/>
  <c r="Y860" i="1" a="1"/>
  <c r="Y860" i="1"/>
  <c r="Z1326" i="1" a="1"/>
  <c r="Z1326" i="1"/>
  <c r="Z531" i="1" a="1"/>
  <c r="Z531" i="1"/>
  <c r="Z1069" i="1" a="1"/>
  <c r="Z1069" i="1"/>
  <c r="AA679" i="1" a="1"/>
  <c r="AA679" i="1"/>
  <c r="AC1326" i="1" a="1"/>
  <c r="AC1326" i="1"/>
  <c r="AC112" i="1" a="1"/>
  <c r="AC112" i="1"/>
  <c r="Y1394" i="1" a="1"/>
  <c r="Y1394" i="1"/>
  <c r="AA1326" i="1" a="1"/>
  <c r="AA1326" i="1"/>
  <c r="Y679" i="1" a="1"/>
  <c r="Y679" i="1"/>
  <c r="AA267" i="1" a="1"/>
  <c r="AA267" i="1"/>
  <c r="Y531" i="1" a="1"/>
  <c r="Y531" i="1"/>
  <c r="Y112" i="1" a="1"/>
  <c r="Y112" i="1"/>
  <c r="AB1069" i="1" a="1"/>
  <c r="AB1069" i="1"/>
  <c r="Z1394" i="1" a="1"/>
  <c r="Z1394" i="1"/>
  <c r="AB1546" i="1"/>
  <c r="AA1394" i="1" a="1"/>
  <c r="AA1394" i="1"/>
  <c r="Y1326" i="1" a="1"/>
  <c r="Y1326" i="1"/>
  <c r="AC679" i="1" a="1"/>
  <c r="AC679" i="1"/>
  <c r="Z679" i="1" a="1"/>
  <c r="Z679" i="1"/>
  <c r="AA860" i="1" a="1"/>
  <c r="AA860" i="1"/>
  <c r="AA531" i="1" a="1"/>
  <c r="AA531" i="1"/>
  <c r="AB267" i="1" a="1"/>
  <c r="AB267" i="1"/>
  <c r="Z267" i="1" a="1"/>
  <c r="Z267" i="1"/>
  <c r="AC1394" i="1" a="1"/>
  <c r="AC1394" i="1"/>
  <c r="AC267" i="1" a="1"/>
  <c r="AC267" i="1"/>
  <c r="Y1069" i="1" a="1"/>
  <c r="Y1069" i="1"/>
  <c r="Z860" i="1" a="1"/>
  <c r="Z860" i="1"/>
  <c r="AB112" i="1" a="1"/>
  <c r="AB112" i="1"/>
  <c r="AC860" i="1" a="1"/>
  <c r="AC860" i="1"/>
  <c r="Y1546" i="1"/>
  <c r="AB1391" i="1" a="1"/>
  <c r="AB1391" i="1"/>
  <c r="AA1069" i="1" a="1"/>
  <c r="AA1069" i="1"/>
  <c r="AA1391" i="1" a="1"/>
  <c r="AA1391" i="1"/>
  <c r="AC531" i="1" a="1"/>
  <c r="AC531" i="1"/>
  <c r="AA112" i="1" a="1"/>
  <c r="AA112" i="1"/>
  <c r="AA1546" i="1"/>
  <c r="AC1391" i="1" a="1"/>
  <c r="AC1391" i="1"/>
  <c r="AC1546" i="1"/>
  <c r="Y267" i="1" a="1"/>
  <c r="Y267" i="1"/>
  <c r="AB860" i="1" a="1"/>
  <c r="AB860" i="1"/>
  <c r="AB679" i="1" a="1"/>
  <c r="AB679" i="1"/>
  <c r="AB1326" i="1" a="1"/>
  <c r="AB1326" i="1"/>
  <c r="AB1394" i="1" a="1"/>
  <c r="AB1394" i="1"/>
  <c r="Z1391" i="1" a="1"/>
  <c r="Z1391" i="1"/>
  <c r="Z112" i="1" a="1"/>
  <c r="Z112" i="1"/>
  <c r="AB531" i="1" a="1"/>
  <c r="AB531" i="1"/>
  <c r="AC1069" i="1" a="1"/>
  <c r="AC1069" i="1"/>
  <c r="Z1546" i="1"/>
  <c r="Y1391" i="1" a="1"/>
  <c r="Y1391" i="1"/>
  <c r="Z523" i="1" a="1"/>
  <c r="Z523" i="1"/>
  <c r="AB523" i="1" a="1"/>
  <c r="AB523" i="1"/>
  <c r="AA729" i="1" a="1"/>
  <c r="AA729" i="1"/>
  <c r="AA736" i="1" a="1"/>
  <c r="AA736" i="1"/>
  <c r="AB511" i="1" a="1"/>
  <c r="AB511" i="1"/>
  <c r="AC1404" i="1" a="1"/>
  <c r="AC1404" i="1"/>
  <c r="AB1572" i="1"/>
  <c r="Z956" i="1" a="1"/>
  <c r="Z956" i="1"/>
  <c r="AC956" i="1" a="1"/>
  <c r="AC956" i="1"/>
  <c r="AB67" i="1" a="1"/>
  <c r="AB67" i="1"/>
  <c r="AA956" i="1" a="1"/>
  <c r="AA956" i="1"/>
  <c r="AC67" i="1" a="1"/>
  <c r="AC67" i="1"/>
  <c r="Y67" i="1" a="1"/>
  <c r="Y67" i="1"/>
  <c r="Y736" i="1" a="1"/>
  <c r="Y736" i="1"/>
  <c r="AA287" i="1" a="1"/>
  <c r="AA287" i="1"/>
  <c r="AB1330" i="1" a="1"/>
  <c r="AB1330" i="1"/>
  <c r="AC523" i="1" a="1"/>
  <c r="AC523" i="1"/>
  <c r="AA67" i="1" a="1"/>
  <c r="AA67" i="1"/>
  <c r="AA523" i="1" a="1"/>
  <c r="AA523" i="1"/>
  <c r="AB729" i="1" a="1"/>
  <c r="AB729" i="1"/>
  <c r="Z287" i="1" a="1"/>
  <c r="Z287" i="1"/>
  <c r="AC1572" i="1"/>
  <c r="Z1330" i="1" a="1"/>
  <c r="Z1330" i="1"/>
  <c r="AB1404" i="1" a="1"/>
  <c r="AB1404" i="1"/>
  <c r="Y1404" i="1" a="1"/>
  <c r="Y1404" i="1"/>
  <c r="AC511" i="1" a="1"/>
  <c r="AC511" i="1"/>
  <c r="AB287" i="1" a="1"/>
  <c r="AB287" i="1"/>
  <c r="AC287" i="1" a="1"/>
  <c r="AC287" i="1"/>
  <c r="Z729" i="1" a="1"/>
  <c r="Z729" i="1"/>
  <c r="Y511" i="1" a="1"/>
  <c r="Y511" i="1"/>
  <c r="Z1404" i="1" a="1"/>
  <c r="Z1404" i="1"/>
  <c r="Y1330" i="1" a="1"/>
  <c r="Y1330" i="1"/>
  <c r="Z1572" i="1"/>
  <c r="AA511" i="1" a="1"/>
  <c r="AA511" i="1"/>
  <c r="AB956" i="1" a="1"/>
  <c r="AB956" i="1"/>
  <c r="AC736" i="1" a="1"/>
  <c r="AC736" i="1"/>
  <c r="AC1330" i="1" a="1"/>
  <c r="AC1330" i="1"/>
  <c r="Z736" i="1" a="1"/>
  <c r="Z736" i="1"/>
  <c r="AC729" i="1" a="1"/>
  <c r="AC729" i="1"/>
  <c r="Z511" i="1" a="1"/>
  <c r="Z511" i="1"/>
  <c r="Z67" i="1" a="1"/>
  <c r="Z67" i="1"/>
  <c r="Y956" i="1" a="1"/>
  <c r="Y956" i="1"/>
  <c r="Y1572" i="1"/>
  <c r="AA1572" i="1"/>
  <c r="AB736" i="1" a="1"/>
  <c r="AB736" i="1"/>
  <c r="Y287" i="1" a="1"/>
  <c r="Y287" i="1"/>
  <c r="Y729" i="1" a="1"/>
  <c r="Y729" i="1"/>
  <c r="Y523" i="1" a="1"/>
  <c r="Y523" i="1"/>
  <c r="AA1404" i="1" a="1"/>
  <c r="AA1404" i="1"/>
  <c r="AA1330" i="1" a="1"/>
  <c r="AA1330" i="1"/>
  <c r="AA357" i="1" a="1"/>
  <c r="AA357" i="1"/>
  <c r="AB1498" i="1" a="1"/>
  <c r="AB1498" i="1"/>
  <c r="AA1495" i="1" a="1"/>
  <c r="AA1495" i="1"/>
  <c r="Z920" i="1" a="1"/>
  <c r="Z920" i="1"/>
  <c r="AA1542" i="1"/>
  <c r="Z1170" i="1" a="1"/>
  <c r="Z1170" i="1"/>
  <c r="AC1183" i="1" a="1"/>
  <c r="AC1183" i="1"/>
  <c r="AC1498" i="1" a="1"/>
  <c r="AC1498" i="1"/>
  <c r="AC1265" i="1" a="1"/>
  <c r="AC1265" i="1"/>
  <c r="Z357" i="1" a="1"/>
  <c r="Z357" i="1"/>
  <c r="Z1495" i="1" a="1"/>
  <c r="Z1495" i="1"/>
  <c r="AC357" i="1" a="1"/>
  <c r="AC357" i="1"/>
  <c r="Y1170" i="1" a="1"/>
  <c r="Y1170" i="1"/>
  <c r="Z444" i="1" a="1"/>
  <c r="Z444" i="1"/>
  <c r="AA1498" i="1" a="1"/>
  <c r="AA1498" i="1"/>
  <c r="Y869" i="1" a="1"/>
  <c r="Y869" i="1"/>
  <c r="Z1265" i="1" a="1"/>
  <c r="Z1265" i="1"/>
  <c r="AC920" i="1" a="1"/>
  <c r="AC920" i="1"/>
  <c r="AB1170" i="1" a="1"/>
  <c r="AB1170" i="1"/>
  <c r="AB1183" i="1" a="1"/>
  <c r="AB1183" i="1"/>
  <c r="Z1498" i="1" a="1"/>
  <c r="Z1498" i="1"/>
  <c r="AB1542" i="1"/>
  <c r="AA1170" i="1" a="1"/>
  <c r="AA1170" i="1"/>
  <c r="AB357" i="1" a="1"/>
  <c r="AB357" i="1"/>
  <c r="AA869" i="1" a="1"/>
  <c r="AA869" i="1"/>
  <c r="AB1495" i="1" a="1"/>
  <c r="AB1495" i="1"/>
  <c r="AC1542" i="1"/>
  <c r="Z1542" i="1"/>
  <c r="Z1183" i="1" a="1"/>
  <c r="Z1183" i="1"/>
  <c r="Z869" i="1" a="1"/>
  <c r="Z869" i="1"/>
  <c r="Y1495" i="1" a="1"/>
  <c r="Y1495" i="1"/>
  <c r="Y444" i="1" a="1"/>
  <c r="Y444" i="1"/>
  <c r="Y1265" i="1" a="1"/>
  <c r="Y1265" i="1"/>
  <c r="Y920" i="1" a="1"/>
  <c r="Y920" i="1"/>
  <c r="AA444" i="1" a="1"/>
  <c r="AA444" i="1"/>
  <c r="AB869" i="1" a="1"/>
  <c r="AB869" i="1"/>
  <c r="Y1183" i="1" a="1"/>
  <c r="Y1183" i="1"/>
  <c r="AC444" i="1" a="1"/>
  <c r="AC444" i="1"/>
  <c r="AA1265" i="1" a="1"/>
  <c r="AA1265" i="1"/>
  <c r="AA920" i="1" a="1"/>
  <c r="AA920" i="1"/>
  <c r="AB1265" i="1" a="1"/>
  <c r="AB1265" i="1"/>
  <c r="AA1183" i="1" a="1"/>
  <c r="AA1183" i="1"/>
  <c r="AB920" i="1" a="1"/>
  <c r="AB920" i="1"/>
  <c r="Y1498" i="1" a="1"/>
  <c r="Y1498" i="1"/>
  <c r="Y357" i="1" a="1"/>
  <c r="Y357" i="1"/>
  <c r="AC1495" i="1" a="1"/>
  <c r="AC1495" i="1"/>
  <c r="AB444" i="1" a="1"/>
  <c r="AB444" i="1"/>
  <c r="AC1170" i="1" a="1"/>
  <c r="AC1170" i="1"/>
  <c r="AC869" i="1" a="1"/>
  <c r="AC869" i="1"/>
  <c r="Y1542" i="1"/>
  <c r="Z337" i="1" a="1"/>
  <c r="Z337" i="1"/>
  <c r="Z399" i="1" a="1"/>
  <c r="Z399" i="1"/>
  <c r="AC399" i="1" a="1"/>
  <c r="AC399" i="1"/>
  <c r="AB1565" i="1"/>
  <c r="AA399" i="1" a="1"/>
  <c r="AA399" i="1"/>
  <c r="Z1565" i="1"/>
  <c r="AC428" i="1" a="1"/>
  <c r="AC428" i="1"/>
  <c r="AC772" i="1" a="1"/>
  <c r="AC772" i="1"/>
  <c r="AC1565" i="1"/>
  <c r="Y399" i="1" a="1"/>
  <c r="Y399" i="1"/>
  <c r="AB1088" i="1" a="1"/>
  <c r="AB1088" i="1"/>
  <c r="AA370" i="1" a="1"/>
  <c r="AA370" i="1"/>
  <c r="AA428" i="1" a="1"/>
  <c r="AA428" i="1"/>
  <c r="AA337" i="1" a="1"/>
  <c r="AA337" i="1"/>
  <c r="AB772" i="1" a="1"/>
  <c r="AB772" i="1"/>
  <c r="Z772" i="1" a="1"/>
  <c r="Z772" i="1"/>
  <c r="Y387" i="1" a="1"/>
  <c r="Y387" i="1"/>
  <c r="AB370" i="1" a="1"/>
  <c r="AB370" i="1"/>
  <c r="Y772" i="1" a="1"/>
  <c r="Y772" i="1"/>
  <c r="AC316" i="1" a="1"/>
  <c r="AC316" i="1"/>
  <c r="AC1251" i="1" a="1"/>
  <c r="AC1251" i="1"/>
  <c r="Z1088" i="1" a="1"/>
  <c r="Z1088" i="1"/>
  <c r="AB428" i="1" a="1"/>
  <c r="AB428" i="1"/>
  <c r="AA1251" i="1" a="1"/>
  <c r="AA1251" i="1"/>
  <c r="Y316" i="1" a="1"/>
  <c r="Y316" i="1"/>
  <c r="Y1088" i="1" a="1"/>
  <c r="Y1088" i="1"/>
  <c r="AC387" i="1" a="1"/>
  <c r="AC387" i="1"/>
  <c r="Y428" i="1" a="1"/>
  <c r="Y428" i="1"/>
  <c r="AB387" i="1" a="1"/>
  <c r="AB387" i="1"/>
  <c r="AA1565" i="1"/>
  <c r="AC370" i="1" a="1"/>
  <c r="AC370" i="1"/>
  <c r="Z1251" i="1" a="1"/>
  <c r="Z1251" i="1"/>
  <c r="AA1088" i="1" a="1"/>
  <c r="AA1088" i="1"/>
  <c r="AA387" i="1" a="1"/>
  <c r="AA387" i="1"/>
  <c r="AA316" i="1" a="1"/>
  <c r="AA316" i="1"/>
  <c r="AB316" i="1" a="1"/>
  <c r="AB316" i="1"/>
  <c r="Y370" i="1" a="1"/>
  <c r="Y370" i="1"/>
  <c r="Y337" i="1" a="1"/>
  <c r="Y337" i="1"/>
  <c r="AC337" i="1" a="1"/>
  <c r="AC337" i="1"/>
  <c r="AB1251" i="1" a="1"/>
  <c r="AB1251" i="1"/>
  <c r="AC1088" i="1" a="1"/>
  <c r="AC1088" i="1"/>
  <c r="Z316" i="1" a="1"/>
  <c r="Z316" i="1"/>
  <c r="AB337" i="1" a="1"/>
  <c r="AB337" i="1"/>
  <c r="Y1251" i="1" a="1"/>
  <c r="Y1251" i="1"/>
  <c r="AB399" i="1" a="1"/>
  <c r="AB399" i="1"/>
  <c r="Y1565" i="1"/>
  <c r="Z428" i="1" a="1"/>
  <c r="Z428" i="1"/>
  <c r="Z387" i="1" a="1"/>
  <c r="Z387" i="1"/>
  <c r="Z370" i="1" a="1"/>
  <c r="Z370" i="1"/>
  <c r="AA772" i="1" a="1"/>
  <c r="AA772" i="1"/>
  <c r="AA37" i="1" a="1"/>
  <c r="AA37" i="1"/>
  <c r="Z488" i="1" a="1"/>
  <c r="Z488" i="1"/>
  <c r="Z409" i="1" a="1"/>
  <c r="Z409" i="1"/>
  <c r="AA488" i="1" a="1"/>
  <c r="AA488" i="1"/>
  <c r="Y1612" i="1"/>
  <c r="Z361" i="1" a="1"/>
  <c r="Z361" i="1"/>
  <c r="AC409" i="1" a="1"/>
  <c r="AC409" i="1"/>
  <c r="AC586" i="1" a="1"/>
  <c r="AC586" i="1"/>
  <c r="AA409" i="1" a="1"/>
  <c r="AA409" i="1"/>
  <c r="AA896" i="1" a="1"/>
  <c r="AA896" i="1"/>
  <c r="AC488" i="1" a="1"/>
  <c r="AC488" i="1"/>
  <c r="AC468" i="1" a="1"/>
  <c r="AC468" i="1"/>
  <c r="AA537" i="1" a="1"/>
  <c r="AA537" i="1"/>
  <c r="AB361" i="1" a="1"/>
  <c r="AB361" i="1"/>
  <c r="AB513" i="1" a="1"/>
  <c r="AB513" i="1"/>
  <c r="Y537" i="1" a="1"/>
  <c r="Y537" i="1"/>
  <c r="Z537" i="1" a="1"/>
  <c r="Z537" i="1"/>
  <c r="AC513" i="1" a="1"/>
  <c r="AC513" i="1"/>
  <c r="Y361" i="1" a="1"/>
  <c r="Y361" i="1"/>
  <c r="AB468" i="1" a="1"/>
  <c r="AB468" i="1"/>
  <c r="Y896" i="1" a="1"/>
  <c r="Y896" i="1"/>
  <c r="Z586" i="1" a="1"/>
  <c r="Z586" i="1"/>
  <c r="AC361" i="1" a="1"/>
  <c r="AC361" i="1"/>
  <c r="AA1612" i="1"/>
  <c r="AB1612" i="1"/>
  <c r="Z37" i="1" a="1"/>
  <c r="Z37" i="1"/>
  <c r="AB488" i="1" a="1"/>
  <c r="AB488" i="1"/>
  <c r="AB896" i="1" a="1"/>
  <c r="AB896" i="1"/>
  <c r="Y409" i="1" a="1"/>
  <c r="Y409" i="1"/>
  <c r="AB586" i="1" a="1"/>
  <c r="AB586" i="1"/>
  <c r="Z896" i="1" a="1"/>
  <c r="Z896" i="1"/>
  <c r="AB37" i="1" a="1"/>
  <c r="AB37" i="1"/>
  <c r="AC37" i="1" a="1"/>
  <c r="AC37" i="1"/>
  <c r="AB537" i="1" a="1"/>
  <c r="AB537" i="1"/>
  <c r="AA468" i="1" a="1"/>
  <c r="AA468" i="1"/>
  <c r="AA586" i="1" a="1"/>
  <c r="AA586" i="1"/>
  <c r="AA513" i="1" a="1"/>
  <c r="AA513" i="1"/>
  <c r="Z513" i="1" a="1"/>
  <c r="Z513" i="1"/>
  <c r="Z468" i="1" a="1"/>
  <c r="Z468" i="1"/>
  <c r="AC1612" i="1"/>
  <c r="AA361" i="1" a="1"/>
  <c r="AA361" i="1"/>
  <c r="Y586" i="1" a="1"/>
  <c r="Y586" i="1"/>
  <c r="Y468" i="1" a="1"/>
  <c r="Y468" i="1"/>
  <c r="AC896" i="1" a="1"/>
  <c r="AC896" i="1"/>
  <c r="Z1612" i="1"/>
  <c r="AB409" i="1" a="1"/>
  <c r="AB409" i="1"/>
  <c r="Y513" i="1" a="1"/>
  <c r="Y513" i="1"/>
  <c r="Y488" i="1" a="1"/>
  <c r="Y488" i="1"/>
  <c r="Y37" i="1" a="1"/>
  <c r="Y37" i="1"/>
  <c r="AC537" i="1" a="1"/>
  <c r="AC537" i="1"/>
  <c r="Y1274" i="1" a="1"/>
  <c r="Y1274" i="1"/>
  <c r="Y1003" i="1" a="1"/>
  <c r="Y1003" i="1"/>
  <c r="Y1050" i="1" a="1"/>
  <c r="Y1050" i="1"/>
  <c r="AA1274" i="1" a="1"/>
  <c r="AA1274" i="1"/>
  <c r="Y392" i="1" a="1"/>
  <c r="Y392" i="1"/>
  <c r="Y281" i="1" a="1"/>
  <c r="Y281" i="1"/>
  <c r="AC1484" i="1" a="1"/>
  <c r="AC1484" i="1"/>
  <c r="Z1479" i="1" a="1"/>
  <c r="Z1479" i="1"/>
  <c r="AB1484" i="1" a="1"/>
  <c r="AB1484" i="1"/>
  <c r="AC392" i="1" a="1"/>
  <c r="AC392" i="1"/>
  <c r="AB1274" i="1" a="1"/>
  <c r="AB1274" i="1"/>
  <c r="AA281" i="1" a="1"/>
  <c r="AA281" i="1"/>
  <c r="AA1003" i="1" a="1"/>
  <c r="AA1003" i="1"/>
  <c r="AC281" i="1" a="1"/>
  <c r="AC281" i="1"/>
  <c r="AA1077" i="1" a="1"/>
  <c r="AA1077" i="1"/>
  <c r="Z392" i="1" a="1"/>
  <c r="Z392" i="1"/>
  <c r="AB1050" i="1" a="1"/>
  <c r="AB1050" i="1"/>
  <c r="Z1435" i="1" a="1"/>
  <c r="Z1435" i="1"/>
  <c r="AB1003" i="1" a="1"/>
  <c r="AB1003" i="1"/>
  <c r="Y1479" i="1" a="1"/>
  <c r="Y1479" i="1"/>
  <c r="AA1479" i="1" a="1"/>
  <c r="AA1479" i="1"/>
  <c r="Z1274" i="1" a="1"/>
  <c r="Z1274" i="1"/>
  <c r="Z1096" i="1" a="1"/>
  <c r="Z1096" i="1"/>
  <c r="Z1050" i="1" a="1"/>
  <c r="Z1050" i="1"/>
  <c r="AA1050" i="1" a="1"/>
  <c r="AA1050" i="1"/>
  <c r="AB392" i="1" a="1"/>
  <c r="AB392" i="1"/>
  <c r="AB1077" i="1" a="1"/>
  <c r="AB1077" i="1"/>
  <c r="AA1435" i="1" a="1"/>
  <c r="AA1435" i="1"/>
  <c r="AC1435" i="1" a="1"/>
  <c r="AC1435" i="1"/>
  <c r="Z1077" i="1" a="1"/>
  <c r="Z1077" i="1"/>
  <c r="Y1096" i="1" a="1"/>
  <c r="Y1096" i="1"/>
  <c r="AC1479" i="1" a="1"/>
  <c r="AC1479" i="1"/>
  <c r="AB281" i="1" a="1"/>
  <c r="AB281" i="1"/>
  <c r="AC1077" i="1" a="1"/>
  <c r="AC1077" i="1"/>
  <c r="AA1484" i="1" a="1"/>
  <c r="AA1484" i="1"/>
  <c r="Z1484" i="1" a="1"/>
  <c r="Z1484" i="1"/>
  <c r="AB1096" i="1" a="1"/>
  <c r="AB1096" i="1"/>
  <c r="Z1003" i="1" a="1"/>
  <c r="Z1003" i="1"/>
  <c r="AB1435" i="1" a="1"/>
  <c r="AB1435" i="1"/>
  <c r="AA1096" i="1" a="1"/>
  <c r="AA1096" i="1"/>
  <c r="Z281" i="1" a="1"/>
  <c r="Z281" i="1"/>
  <c r="AC1003" i="1" a="1"/>
  <c r="AC1003" i="1"/>
  <c r="AB1479" i="1" a="1"/>
  <c r="AB1479" i="1"/>
  <c r="AC1096" i="1" a="1"/>
  <c r="AC1096" i="1"/>
  <c r="AC1050" i="1" a="1"/>
  <c r="AC1050" i="1"/>
  <c r="AC1274" i="1" a="1"/>
  <c r="AC1274" i="1"/>
  <c r="Y1435" i="1" a="1"/>
  <c r="Y1435" i="1"/>
  <c r="Y1077" i="1" a="1"/>
  <c r="Y1077" i="1"/>
  <c r="Y1484" i="1" a="1"/>
  <c r="Y1484" i="1"/>
  <c r="AA392" i="1" a="1"/>
  <c r="AA392" i="1"/>
  <c r="AA472" i="1" a="1"/>
  <c r="AA472" i="1"/>
  <c r="AB438" i="1" a="1"/>
  <c r="AB438" i="1"/>
  <c r="Y1532" i="1" a="1"/>
  <c r="Y1532" i="1"/>
  <c r="AB1532" i="1" a="1"/>
  <c r="AB1532" i="1"/>
  <c r="Y259" i="1" a="1"/>
  <c r="Y259" i="1"/>
  <c r="AB1208" i="1" a="1"/>
  <c r="AB1208" i="1"/>
  <c r="AA1015" i="1" a="1"/>
  <c r="AA1015" i="1"/>
  <c r="Y1208" i="1" a="1"/>
  <c r="Y1208" i="1"/>
  <c r="AC206" i="1" a="1"/>
  <c r="AC206" i="1"/>
  <c r="Z1562" i="1" a="1"/>
  <c r="Z1562" i="1"/>
  <c r="Z206" i="1" a="1"/>
  <c r="Z206" i="1"/>
  <c r="AB191" i="1" a="1"/>
  <c r="AB191" i="1"/>
  <c r="AC259" i="1" a="1"/>
  <c r="AC259" i="1"/>
  <c r="Y438" i="1" a="1"/>
  <c r="Y438" i="1"/>
  <c r="AC1208" i="1" a="1"/>
  <c r="AC1208" i="1"/>
  <c r="Z1015" i="1" a="1"/>
  <c r="Z1015" i="1"/>
  <c r="Z191" i="1" a="1"/>
  <c r="Z191" i="1"/>
  <c r="AA1284" i="1" a="1"/>
  <c r="AA1284" i="1"/>
  <c r="AC191" i="1" a="1"/>
  <c r="AC191" i="1"/>
  <c r="AB259" i="1" a="1"/>
  <c r="AB259" i="1"/>
  <c r="AC1284" i="1" a="1"/>
  <c r="AC1284" i="1"/>
  <c r="Y1015" i="1" a="1"/>
  <c r="Y1015" i="1"/>
  <c r="AA206" i="1" a="1"/>
  <c r="AA206" i="1"/>
  <c r="AB472" i="1" a="1"/>
  <c r="AB472" i="1"/>
  <c r="AA1532" i="1" a="1"/>
  <c r="AA1532" i="1"/>
  <c r="AA259" i="1" a="1"/>
  <c r="AA259" i="1"/>
  <c r="Z1284" i="1" a="1"/>
  <c r="Z1284" i="1"/>
  <c r="Y191" i="1" a="1"/>
  <c r="Y191" i="1"/>
  <c r="Z472" i="1" a="1"/>
  <c r="Z472" i="1"/>
  <c r="Y206" i="1" a="1"/>
  <c r="Y206" i="1"/>
  <c r="AB1015" i="1" a="1"/>
  <c r="AB1015" i="1"/>
  <c r="AC1532" i="1" a="1"/>
  <c r="AC1532" i="1"/>
  <c r="Y1284" i="1" a="1"/>
  <c r="Y1284" i="1"/>
  <c r="Z438" i="1" a="1"/>
  <c r="Z438" i="1"/>
  <c r="AC438" i="1" a="1"/>
  <c r="AC438" i="1"/>
  <c r="Y1562" i="1"/>
  <c r="AB1562" i="1"/>
  <c r="AA1208" i="1" a="1"/>
  <c r="AA1208" i="1"/>
  <c r="AC472" i="1" a="1"/>
  <c r="AC472" i="1"/>
  <c r="AC1562" i="1"/>
  <c r="AA438" i="1" a="1"/>
  <c r="AA438" i="1"/>
  <c r="AB1284" i="1" a="1"/>
  <c r="AB1284" i="1"/>
  <c r="Y472" i="1" a="1"/>
  <c r="Y472" i="1"/>
  <c r="Z1532" i="1" a="1"/>
  <c r="Z1532" i="1"/>
  <c r="AA191" i="1" a="1"/>
  <c r="AA191" i="1"/>
  <c r="AB206" i="1" a="1"/>
  <c r="AB206" i="1"/>
  <c r="Z259" i="1" a="1"/>
  <c r="Z259" i="1"/>
  <c r="AC1015" i="1" a="1"/>
  <c r="AC1015" i="1"/>
  <c r="Z1208" i="1" a="1"/>
  <c r="Z1208" i="1"/>
  <c r="AA1562" i="1"/>
  <c r="AC1551" i="1"/>
  <c r="Y198" i="1" a="1"/>
  <c r="Y198" i="1"/>
  <c r="Y1009" i="1" a="1"/>
  <c r="Y1009" i="1"/>
  <c r="AB1369" i="1" a="1"/>
  <c r="AB1369" i="1"/>
  <c r="AB619" i="1" a="1"/>
  <c r="AB619" i="1"/>
  <c r="Z180" i="1" a="1"/>
  <c r="Z180" i="1"/>
  <c r="AA1328" i="1" a="1"/>
  <c r="AA1328" i="1"/>
  <c r="AC198" i="1" a="1"/>
  <c r="AC198" i="1"/>
  <c r="AA619" i="1" a="1"/>
  <c r="AA619" i="1"/>
  <c r="Z248" i="1" a="1"/>
  <c r="Z248" i="1"/>
  <c r="Y180" i="1" a="1"/>
  <c r="Y180" i="1"/>
  <c r="Y862" i="1" a="1"/>
  <c r="Y862" i="1"/>
  <c r="Y1551" i="1"/>
  <c r="Y1369" i="1" a="1"/>
  <c r="Y1369" i="1"/>
  <c r="AC1009" i="1" a="1"/>
  <c r="AC1009" i="1"/>
  <c r="AA817" i="1" a="1"/>
  <c r="AA817" i="1"/>
  <c r="AA862" i="1" a="1"/>
  <c r="AA862" i="1"/>
  <c r="AB198" i="1" a="1"/>
  <c r="AB198" i="1"/>
  <c r="AC180" i="1" a="1"/>
  <c r="AC180" i="1"/>
  <c r="AC862" i="1" a="1"/>
  <c r="AC862" i="1"/>
  <c r="AC248" i="1" a="1"/>
  <c r="AC248" i="1"/>
  <c r="AB1328" i="1" a="1"/>
  <c r="AB1328" i="1"/>
  <c r="AA1009" i="1" a="1"/>
  <c r="AA1009" i="1"/>
  <c r="Z198" i="1" a="1"/>
  <c r="Z198" i="1"/>
  <c r="AC1369" i="1" a="1"/>
  <c r="AC1369" i="1"/>
  <c r="AC619" i="1" a="1"/>
  <c r="AC619" i="1"/>
  <c r="Y248" i="1" a="1"/>
  <c r="Y248" i="1"/>
  <c r="AB1551" i="1"/>
  <c r="AB817" i="1" a="1"/>
  <c r="AB817" i="1"/>
  <c r="AC1328" i="1" a="1"/>
  <c r="AC1328" i="1"/>
  <c r="AA1551" i="1"/>
  <c r="Z619" i="1" a="1"/>
  <c r="Z619" i="1"/>
  <c r="AB862" i="1" a="1"/>
  <c r="AB862" i="1"/>
  <c r="AA248" i="1" a="1"/>
  <c r="AA248" i="1"/>
  <c r="Z1009" i="1" a="1"/>
  <c r="Z1009" i="1"/>
  <c r="AC817" i="1" a="1"/>
  <c r="AC817" i="1"/>
  <c r="Y1328" i="1" a="1"/>
  <c r="Y1328" i="1"/>
  <c r="AA180" i="1" a="1"/>
  <c r="AA180" i="1"/>
  <c r="Z817" i="1" a="1"/>
  <c r="Z817" i="1"/>
  <c r="AA1369" i="1" a="1"/>
  <c r="AA1369" i="1"/>
  <c r="Z1328" i="1" a="1"/>
  <c r="Z1328" i="1"/>
  <c r="Z1551" i="1"/>
  <c r="Z862" i="1" a="1"/>
  <c r="Z862" i="1"/>
  <c r="AB248" i="1" a="1"/>
  <c r="AB248" i="1"/>
  <c r="Y619" i="1" a="1"/>
  <c r="Y619" i="1"/>
  <c r="AA198" i="1" a="1"/>
  <c r="AA198" i="1"/>
  <c r="Y817" i="1" a="1"/>
  <c r="Y817" i="1"/>
  <c r="AB180" i="1" a="1"/>
  <c r="AB180" i="1"/>
  <c r="Z1369" i="1" a="1"/>
  <c r="Z1369" i="1"/>
  <c r="AB1009" i="1" a="1"/>
  <c r="AB1009" i="1"/>
  <c r="Y102" i="1" a="1"/>
  <c r="Y102" i="1"/>
  <c r="AC459" i="1" a="1"/>
  <c r="AC459" i="1"/>
  <c r="Z790" i="1" a="1"/>
  <c r="Z790" i="1"/>
  <c r="Z102" i="1" a="1"/>
  <c r="Z102" i="1"/>
  <c r="AA302" i="1" a="1"/>
  <c r="AA302" i="1"/>
  <c r="AB515" i="1" a="1"/>
  <c r="AB515" i="1"/>
  <c r="AA96" i="1" a="1"/>
  <c r="AA96" i="1"/>
  <c r="Z1023" i="1" a="1"/>
  <c r="Z1023" i="1"/>
  <c r="AB790" i="1" a="1"/>
  <c r="AB790" i="1"/>
  <c r="Z637" i="1" a="1"/>
  <c r="Z637" i="1"/>
  <c r="AA457" i="1" a="1"/>
  <c r="AA457" i="1"/>
  <c r="Z302" i="1" a="1"/>
  <c r="Z302" i="1"/>
  <c r="AA637" i="1" a="1"/>
  <c r="AA637" i="1"/>
  <c r="AB96" i="1" a="1"/>
  <c r="AB96" i="1"/>
  <c r="AB302" i="1" a="1"/>
  <c r="AB302" i="1"/>
  <c r="AB102" i="1" a="1"/>
  <c r="AB102" i="1"/>
  <c r="Y302" i="1" a="1"/>
  <c r="Y302" i="1"/>
  <c r="AC790" i="1" a="1"/>
  <c r="AC790" i="1"/>
  <c r="AC637" i="1" a="1"/>
  <c r="AC637" i="1"/>
  <c r="Y459" i="1" a="1"/>
  <c r="Y459" i="1"/>
  <c r="Y1023" i="1" a="1"/>
  <c r="Y1023" i="1"/>
  <c r="Y320" i="1" a="1"/>
  <c r="Y320" i="1"/>
  <c r="AB1023" i="1" a="1"/>
  <c r="AB1023" i="1"/>
  <c r="AC102" i="1" a="1"/>
  <c r="AC102" i="1"/>
  <c r="AB459" i="1" a="1"/>
  <c r="AB459" i="1"/>
  <c r="AC320" i="1" a="1"/>
  <c r="AC320" i="1"/>
  <c r="AC1023" i="1" a="1"/>
  <c r="AC1023" i="1"/>
  <c r="Z515" i="1" a="1"/>
  <c r="Z515" i="1"/>
  <c r="Z459" i="1" a="1"/>
  <c r="Z459" i="1"/>
  <c r="Z457" i="1" a="1"/>
  <c r="Z457" i="1"/>
  <c r="Y96" i="1" a="1"/>
  <c r="Y96" i="1"/>
  <c r="Z96" i="1" a="1"/>
  <c r="Z96" i="1"/>
  <c r="Y457" i="1" a="1"/>
  <c r="Y457" i="1"/>
  <c r="Z320" i="1" a="1"/>
  <c r="Z320" i="1"/>
  <c r="Y515" i="1" a="1"/>
  <c r="Y515" i="1"/>
  <c r="AB320" i="1" a="1"/>
  <c r="AB320" i="1"/>
  <c r="AA515" i="1" a="1"/>
  <c r="AA515" i="1"/>
  <c r="AB637" i="1" a="1"/>
  <c r="AB637" i="1"/>
  <c r="AB457" i="1" a="1"/>
  <c r="AB457" i="1"/>
  <c r="AA790" i="1" a="1"/>
  <c r="AA790" i="1"/>
  <c r="AC457" i="1" a="1"/>
  <c r="AC457" i="1"/>
  <c r="AC515" i="1" a="1"/>
  <c r="AC515" i="1"/>
  <c r="Y790" i="1" a="1"/>
  <c r="Y790" i="1"/>
  <c r="AA459" i="1" a="1"/>
  <c r="AA459" i="1"/>
  <c r="Y637" i="1" a="1"/>
  <c r="Y637" i="1"/>
  <c r="AA102" i="1" a="1"/>
  <c r="AA102" i="1"/>
  <c r="AC302" i="1" a="1"/>
  <c r="AC302" i="1"/>
  <c r="AC96" i="1" a="1"/>
  <c r="AC96" i="1"/>
  <c r="AA320" i="1" a="1"/>
  <c r="AA320" i="1"/>
  <c r="AA1023" i="1" a="1"/>
  <c r="AA1023" i="1"/>
  <c r="Y1252" i="1" a="1"/>
  <c r="Y1252" i="1"/>
  <c r="AC1252" i="1" a="1"/>
  <c r="AC1252" i="1"/>
  <c r="AB309" i="1" a="1"/>
  <c r="AB309" i="1"/>
  <c r="Y887" i="1" a="1"/>
  <c r="Y887" i="1"/>
  <c r="AC1243" i="1" a="1"/>
  <c r="AC1243" i="1"/>
  <c r="AC887" i="1" a="1"/>
  <c r="AC887" i="1"/>
  <c r="AA1079" i="1" a="1"/>
  <c r="AA1079" i="1"/>
  <c r="Y318" i="1" a="1"/>
  <c r="Y318" i="1"/>
  <c r="AC911" i="1" a="1"/>
  <c r="AC911" i="1"/>
  <c r="AB626" i="1" a="1"/>
  <c r="AB626" i="1"/>
  <c r="AB887" i="1" a="1"/>
  <c r="AB887" i="1"/>
  <c r="Z887" i="1" a="1"/>
  <c r="Z887" i="1"/>
  <c r="AC309" i="1" a="1"/>
  <c r="AC309" i="1"/>
  <c r="AC1079" i="1" a="1"/>
  <c r="AC1079" i="1"/>
  <c r="AC318" i="1" a="1"/>
  <c r="AC318" i="1"/>
  <c r="AA911" i="1" a="1"/>
  <c r="AA911" i="1"/>
  <c r="AC1245" i="1" a="1"/>
  <c r="AC1245" i="1"/>
  <c r="AB318" i="1" a="1"/>
  <c r="AB318" i="1"/>
  <c r="Z911" i="1" a="1"/>
  <c r="Z911" i="1"/>
  <c r="AA318" i="1" a="1"/>
  <c r="AA318" i="1"/>
  <c r="Z1252" i="1" a="1"/>
  <c r="Z1252" i="1"/>
  <c r="Y1243" i="1" a="1"/>
  <c r="Y1243" i="1"/>
  <c r="AC626" i="1" a="1"/>
  <c r="AC626" i="1"/>
  <c r="AB1243" i="1" a="1"/>
  <c r="AB1243" i="1"/>
  <c r="Y626" i="1" a="1"/>
  <c r="Y626" i="1"/>
  <c r="Z1245" i="1" a="1"/>
  <c r="Z1245" i="1"/>
  <c r="Z1079" i="1" a="1"/>
  <c r="Z1079" i="1"/>
  <c r="AA626" i="1" a="1"/>
  <c r="AA626" i="1"/>
  <c r="AB1245" i="1" a="1"/>
  <c r="AB1245" i="1"/>
  <c r="AA309" i="1" a="1"/>
  <c r="AA309" i="1"/>
  <c r="Y1079" i="1" a="1"/>
  <c r="Y1079" i="1"/>
  <c r="Y911" i="1" a="1"/>
  <c r="Y911" i="1"/>
  <c r="AC1392" i="1" a="1"/>
  <c r="AC1392" i="1"/>
  <c r="Y1392" i="1" a="1"/>
  <c r="Y1392" i="1"/>
  <c r="AB1392" i="1" a="1"/>
  <c r="AB1392" i="1"/>
  <c r="AB1252" i="1" a="1"/>
  <c r="AB1252" i="1"/>
  <c r="Z1243" i="1" a="1"/>
  <c r="Z1243" i="1"/>
  <c r="Z1392" i="1" a="1"/>
  <c r="Z1392" i="1"/>
  <c r="AA1245" i="1" a="1"/>
  <c r="AA1245" i="1"/>
  <c r="Z309" i="1" a="1"/>
  <c r="Z309" i="1"/>
  <c r="AA1392" i="1" a="1"/>
  <c r="AA1392" i="1"/>
  <c r="Y309" i="1" a="1"/>
  <c r="Y309" i="1"/>
  <c r="Y1245" i="1" a="1"/>
  <c r="Y1245" i="1"/>
  <c r="AB911" i="1" a="1"/>
  <c r="AB911" i="1"/>
  <c r="AA1243" i="1" a="1"/>
  <c r="AA1243" i="1"/>
  <c r="Z318" i="1" a="1"/>
  <c r="Z318" i="1"/>
  <c r="AB1079" i="1" a="1"/>
  <c r="AB1079" i="1"/>
  <c r="AA1252" i="1" a="1"/>
  <c r="AA1252" i="1"/>
  <c r="AA887" i="1" a="1"/>
  <c r="AA887" i="1"/>
  <c r="Z626" i="1" a="1"/>
  <c r="Z626" i="1"/>
  <c r="AA756" i="1" a="1"/>
  <c r="AA756" i="1"/>
  <c r="AB1400" i="1" a="1"/>
  <c r="AB1400" i="1"/>
  <c r="Z1533" i="1" a="1"/>
  <c r="Z1533" i="1"/>
  <c r="AC756" i="1" a="1"/>
  <c r="AC756" i="1"/>
  <c r="AB211" i="1" a="1"/>
  <c r="AB211" i="1"/>
  <c r="AC1533" i="1" a="1"/>
  <c r="AC1533" i="1"/>
  <c r="AB447" i="1" a="1"/>
  <c r="AB447" i="1"/>
  <c r="Y211" i="1" a="1"/>
  <c r="Y211" i="1"/>
  <c r="AB756" i="1" a="1"/>
  <c r="AB756" i="1"/>
  <c r="AA1444" i="1" a="1"/>
  <c r="AA1444" i="1"/>
  <c r="AC343" i="1" a="1"/>
  <c r="AC343" i="1"/>
  <c r="Z211" i="1" a="1"/>
  <c r="Z211" i="1"/>
  <c r="AB1533" i="1" a="1"/>
  <c r="AB1533" i="1"/>
  <c r="Z1400" i="1" a="1"/>
  <c r="Z1400" i="1"/>
  <c r="AB1176" i="1" a="1"/>
  <c r="AB1176" i="1"/>
  <c r="Y343" i="1" a="1"/>
  <c r="Y343" i="1"/>
  <c r="Y1444" i="1" a="1"/>
  <c r="Y1444" i="1"/>
  <c r="AA211" i="1" a="1"/>
  <c r="AA211" i="1"/>
  <c r="Z955" i="1" a="1"/>
  <c r="Z955" i="1"/>
  <c r="AC955" i="1" a="1"/>
  <c r="AC955" i="1"/>
  <c r="Z756" i="1" a="1"/>
  <c r="Z756" i="1"/>
  <c r="Y955" i="1" a="1"/>
  <c r="Y955" i="1"/>
  <c r="Y1400" i="1" a="1"/>
  <c r="Y1400" i="1"/>
  <c r="AB955" i="1" a="1"/>
  <c r="AB955" i="1"/>
  <c r="AC447" i="1" a="1"/>
  <c r="AC447" i="1"/>
  <c r="AB343" i="1" a="1"/>
  <c r="AB343" i="1"/>
  <c r="Z343" i="1" a="1"/>
  <c r="Z343" i="1"/>
  <c r="AA447" i="1" a="1"/>
  <c r="AA447" i="1"/>
  <c r="AB1444" i="1" a="1"/>
  <c r="AB1444" i="1"/>
  <c r="Z1176" i="1" a="1"/>
  <c r="Z1176" i="1"/>
  <c r="AA1180" i="1" a="1"/>
  <c r="AA1180" i="1"/>
  <c r="Z1180" i="1" a="1"/>
  <c r="Z1180" i="1"/>
  <c r="AC1180" i="1" a="1"/>
  <c r="AC1180" i="1"/>
  <c r="AA1176" i="1" a="1"/>
  <c r="AA1176" i="1"/>
  <c r="AA1533" i="1" a="1"/>
  <c r="AA1533" i="1"/>
  <c r="Z1444" i="1" a="1"/>
  <c r="Z1444" i="1"/>
  <c r="AB1180" i="1" a="1"/>
  <c r="AB1180" i="1"/>
  <c r="AC1176" i="1" a="1"/>
  <c r="AC1176" i="1"/>
  <c r="AA1400" i="1" a="1"/>
  <c r="AA1400" i="1"/>
  <c r="Z447" i="1" a="1"/>
  <c r="Z447" i="1"/>
  <c r="Y447" i="1" a="1"/>
  <c r="Y447" i="1"/>
  <c r="Y756" i="1" a="1"/>
  <c r="Y756" i="1"/>
  <c r="AA343" i="1" a="1"/>
  <c r="AA343" i="1"/>
  <c r="Y1176" i="1" a="1"/>
  <c r="Y1176" i="1"/>
  <c r="Y1533" i="1" a="1"/>
  <c r="Y1533" i="1"/>
  <c r="AC1444" i="1" a="1"/>
  <c r="AC1444" i="1"/>
  <c r="AC211" i="1" a="1"/>
  <c r="AC211" i="1"/>
  <c r="AA955" i="1" a="1"/>
  <c r="AA955" i="1"/>
  <c r="Y1180" i="1" a="1"/>
  <c r="Y1180" i="1"/>
  <c r="AC1400" i="1" a="1"/>
  <c r="AC1400" i="1"/>
  <c r="Z500" i="1" a="1"/>
  <c r="Z500" i="1"/>
  <c r="AA353" i="1" a="1"/>
  <c r="AA353" i="1"/>
  <c r="AB242" i="1" a="1"/>
  <c r="AB242" i="1"/>
  <c r="Y242" i="1" a="1"/>
  <c r="Y242" i="1"/>
  <c r="AB514" i="1" a="1"/>
  <c r="AB514" i="1"/>
  <c r="Y595" i="1" a="1"/>
  <c r="Y595" i="1"/>
  <c r="Y889" i="1" a="1"/>
  <c r="Y889" i="1"/>
  <c r="Z1357" i="1" a="1"/>
  <c r="Z1357" i="1"/>
  <c r="AC1512" i="1" a="1"/>
  <c r="AC1512" i="1"/>
  <c r="Y77" i="1" a="1"/>
  <c r="Y77" i="1"/>
  <c r="AB1357" i="1" a="1"/>
  <c r="AB1357" i="1"/>
  <c r="AC889" i="1" a="1"/>
  <c r="AC889" i="1"/>
  <c r="Z520" i="1" a="1"/>
  <c r="Z520" i="1"/>
  <c r="AA514" i="1" a="1"/>
  <c r="AA514" i="1"/>
  <c r="Z1028" i="1" a="1"/>
  <c r="Z1028" i="1"/>
  <c r="AC1593" i="1"/>
  <c r="AA1350" i="1" a="1"/>
  <c r="AA1350" i="1"/>
  <c r="AB1557" i="1"/>
  <c r="AA109" i="1" a="1"/>
  <c r="AA109" i="1"/>
  <c r="Z595" i="1" a="1"/>
  <c r="Z595" i="1"/>
  <c r="AA500" i="1" a="1"/>
  <c r="AA500" i="1"/>
  <c r="Y520" i="1" a="1"/>
  <c r="Y520" i="1"/>
  <c r="AA1557" i="1"/>
  <c r="Z242" i="1" a="1"/>
  <c r="Z242" i="1"/>
  <c r="AA1512" i="1" a="1"/>
  <c r="AA1512" i="1"/>
  <c r="AB889" i="1" a="1"/>
  <c r="AB889" i="1"/>
  <c r="AC1028" i="1" a="1"/>
  <c r="AC1028" i="1"/>
  <c r="Y109" i="1" a="1"/>
  <c r="Y109" i="1"/>
  <c r="Y924" i="1" a="1"/>
  <c r="Y924" i="1"/>
  <c r="AA1610" i="1"/>
  <c r="AA1456" i="1" a="1"/>
  <c r="AA1456" i="1"/>
  <c r="AC500" i="1" a="1"/>
  <c r="AC500" i="1"/>
  <c r="AC514" i="1" a="1"/>
  <c r="AC514" i="1"/>
  <c r="Z77" i="1" a="1"/>
  <c r="Z77" i="1"/>
  <c r="AC109" i="1" a="1"/>
  <c r="AC109" i="1"/>
  <c r="Y1350" i="1" a="1"/>
  <c r="Y1350" i="1"/>
  <c r="Z1456" i="1" a="1"/>
  <c r="Z1456" i="1"/>
  <c r="AC1557" i="1"/>
  <c r="AB353" i="1" a="1"/>
  <c r="AB353" i="1"/>
  <c r="Y1357" i="1" a="1"/>
  <c r="Y1357" i="1"/>
  <c r="AA520" i="1" a="1"/>
  <c r="AA520" i="1"/>
  <c r="AA242" i="1" a="1"/>
  <c r="AA242" i="1"/>
  <c r="AB924" i="1" a="1"/>
  <c r="AB924" i="1"/>
  <c r="AA1249" i="1" a="1"/>
  <c r="AA1249" i="1"/>
  <c r="AC1357" i="1" a="1"/>
  <c r="AC1357" i="1"/>
  <c r="AA924" i="1" a="1"/>
  <c r="AA924" i="1"/>
  <c r="AC712" i="1" a="1"/>
  <c r="AC712" i="1"/>
  <c r="Z889" i="1" a="1"/>
  <c r="Z889" i="1"/>
  <c r="Z353" i="1" a="1"/>
  <c r="Z353" i="1"/>
  <c r="Z924" i="1" a="1"/>
  <c r="Z924" i="1"/>
  <c r="AB109" i="1" a="1"/>
  <c r="AB109" i="1"/>
  <c r="AB1350" i="1" a="1"/>
  <c r="AB1350" i="1"/>
  <c r="Y1249" i="1" a="1"/>
  <c r="Y1249" i="1"/>
  <c r="Z1593" i="1"/>
  <c r="AA1593" i="1"/>
  <c r="Z1249" i="1" a="1"/>
  <c r="Z1249" i="1"/>
  <c r="AB77" i="1" a="1"/>
  <c r="AB77" i="1"/>
  <c r="Y353" i="1" a="1"/>
  <c r="Y353" i="1"/>
  <c r="Z1610" i="1"/>
  <c r="AA77" i="1" a="1"/>
  <c r="AA77" i="1"/>
  <c r="AB1610" i="1"/>
  <c r="Y1028" i="1" a="1"/>
  <c r="Y1028" i="1"/>
  <c r="Z514" i="1" a="1"/>
  <c r="Z514" i="1"/>
  <c r="AB1593" i="1"/>
  <c r="Y1557" i="1"/>
  <c r="AC1610" i="1"/>
  <c r="Y712" i="1" a="1"/>
  <c r="Y712" i="1"/>
  <c r="AC520" i="1" a="1"/>
  <c r="AC520" i="1"/>
  <c r="Z712" i="1" a="1"/>
  <c r="Z712" i="1"/>
  <c r="AA595" i="1" a="1"/>
  <c r="AA595" i="1"/>
  <c r="AB1028" i="1" a="1"/>
  <c r="AB1028" i="1"/>
  <c r="Z1512" i="1" a="1"/>
  <c r="Z1512" i="1"/>
  <c r="Y1512" i="1" a="1"/>
  <c r="Y1512" i="1"/>
  <c r="AB500" i="1" a="1"/>
  <c r="AB500" i="1"/>
  <c r="Y1456" i="1" a="1"/>
  <c r="Y1456" i="1"/>
  <c r="AA712" i="1" a="1"/>
  <c r="AA712" i="1"/>
  <c r="AB595" i="1" a="1"/>
  <c r="AB595" i="1"/>
  <c r="AC1249" i="1" a="1"/>
  <c r="AC1249" i="1"/>
  <c r="Z1350" i="1" a="1"/>
  <c r="Z1350" i="1"/>
  <c r="AB1456" i="1" a="1"/>
  <c r="AB1456" i="1"/>
  <c r="AB1249" i="1" a="1"/>
  <c r="AB1249" i="1"/>
  <c r="AC924" i="1" a="1"/>
  <c r="AC924" i="1"/>
  <c r="AB520" i="1" a="1"/>
  <c r="AB520" i="1"/>
  <c r="AA1028" i="1" a="1"/>
  <c r="AA1028" i="1"/>
  <c r="AA1357" i="1" a="1"/>
  <c r="AA1357" i="1"/>
  <c r="Y514" i="1" a="1"/>
  <c r="Y514" i="1"/>
  <c r="AA889" i="1" a="1"/>
  <c r="AA889" i="1"/>
  <c r="AC1456" i="1" a="1"/>
  <c r="AC1456" i="1"/>
  <c r="AB1512" i="1" a="1"/>
  <c r="AB1512" i="1"/>
  <c r="Y500" i="1" a="1"/>
  <c r="Y500" i="1"/>
  <c r="AC77" i="1" a="1"/>
  <c r="AC77" i="1"/>
  <c r="AC1350" i="1" a="1"/>
  <c r="AC1350" i="1"/>
  <c r="Z1557" i="1"/>
  <c r="AB712" i="1" a="1"/>
  <c r="AB712" i="1"/>
  <c r="AC595" i="1" a="1"/>
  <c r="AC595" i="1"/>
  <c r="AC242" i="1" a="1"/>
  <c r="AC242" i="1"/>
  <c r="Y1593" i="1"/>
  <c r="Z109" i="1" a="1"/>
  <c r="Z109" i="1"/>
  <c r="AC353" i="1" a="1"/>
  <c r="AC353" i="1"/>
  <c r="Y1610" i="1"/>
  <c r="Z1000" i="1" a="1"/>
  <c r="Z1000" i="1"/>
  <c r="AB1000" i="1" a="1"/>
  <c r="AB1000" i="1"/>
  <c r="AB1242" i="1" a="1"/>
  <c r="AB1242" i="1"/>
  <c r="Z1242" i="1" a="1"/>
  <c r="Z1242" i="1"/>
  <c r="AB952" i="1" a="1"/>
  <c r="AB952" i="1"/>
  <c r="Y14" i="1" a="1"/>
  <c r="Y14" i="1"/>
  <c r="Z1230" i="1" a="1"/>
  <c r="Z1230" i="1"/>
  <c r="AA1000" i="1" a="1"/>
  <c r="AA1000" i="1"/>
  <c r="AA1230" i="1" a="1"/>
  <c r="AA1230" i="1"/>
  <c r="AC1573" i="1"/>
  <c r="Z572" i="1" a="1"/>
  <c r="Z572" i="1"/>
  <c r="AC1242" i="1" a="1"/>
  <c r="AC1242" i="1"/>
  <c r="Z952" i="1" a="1"/>
  <c r="Z952" i="1"/>
  <c r="Z970" i="1" a="1"/>
  <c r="Z970" i="1"/>
  <c r="Y556" i="1" a="1"/>
  <c r="Y556" i="1"/>
  <c r="Y1573" i="1"/>
  <c r="Y970" i="1" a="1"/>
  <c r="Y970" i="1"/>
  <c r="AA1573" i="1"/>
  <c r="AC952" i="1" a="1"/>
  <c r="AC952" i="1"/>
  <c r="AA970" i="1" a="1"/>
  <c r="AA970" i="1"/>
  <c r="AB572" i="1" a="1"/>
  <c r="AB572" i="1"/>
  <c r="AA572" i="1" a="1"/>
  <c r="AA572" i="1"/>
  <c r="Z1573" i="1"/>
  <c r="AB14" i="1" a="1"/>
  <c r="AB14" i="1"/>
  <c r="Y572" i="1" a="1"/>
  <c r="Y572" i="1"/>
  <c r="AB970" i="1" a="1"/>
  <c r="AB970" i="1"/>
  <c r="AA14" i="1" a="1"/>
  <c r="AA14" i="1"/>
  <c r="Z231" i="1" a="1"/>
  <c r="Z231" i="1"/>
  <c r="Y952" i="1" a="1"/>
  <c r="Y952" i="1"/>
  <c r="AA556" i="1" a="1"/>
  <c r="AA556" i="1"/>
  <c r="Z14" i="1" a="1"/>
  <c r="Z14" i="1"/>
  <c r="AB231" i="1" a="1"/>
  <c r="AB231" i="1"/>
  <c r="Z556" i="1" a="1"/>
  <c r="Z556" i="1"/>
  <c r="AC1230" i="1" a="1"/>
  <c r="AC1230" i="1"/>
  <c r="AC231" i="1" a="1"/>
  <c r="AC231" i="1"/>
  <c r="AB1230" i="1" a="1"/>
  <c r="AB1230" i="1"/>
  <c r="Y1000" i="1" a="1"/>
  <c r="Y1000" i="1"/>
  <c r="AA231" i="1" a="1"/>
  <c r="AA231" i="1"/>
  <c r="AB556" i="1" a="1"/>
  <c r="AB556" i="1"/>
  <c r="Y1242" i="1" a="1"/>
  <c r="Y1242" i="1"/>
  <c r="Y1230" i="1" a="1"/>
  <c r="Y1230" i="1"/>
  <c r="AA952" i="1" a="1"/>
  <c r="AA952" i="1"/>
  <c r="AC1000" i="1" a="1"/>
  <c r="AC1000" i="1"/>
  <c r="AB1573" i="1"/>
  <c r="AA1242" i="1" a="1"/>
  <c r="AA1242" i="1"/>
  <c r="Y231" i="1" a="1"/>
  <c r="Y231" i="1"/>
  <c r="AC14" i="1" a="1"/>
  <c r="AC14" i="1"/>
  <c r="AC556" i="1" a="1"/>
  <c r="AC556" i="1"/>
  <c r="AC970" i="1" a="1"/>
  <c r="AC970" i="1"/>
  <c r="AC572" i="1" a="1"/>
  <c r="AC572" i="1"/>
  <c r="Y175" i="1" a="1"/>
  <c r="Y175" i="1"/>
  <c r="AB175" i="1" a="1"/>
  <c r="AB175" i="1"/>
  <c r="AC175" i="1" a="1"/>
  <c r="AC175" i="1"/>
  <c r="AC439" i="1" a="1"/>
  <c r="AC439" i="1"/>
  <c r="Z439" i="1" a="1"/>
  <c r="Z439" i="1"/>
  <c r="Z142" i="1" a="1"/>
  <c r="Z142" i="1"/>
  <c r="AB903" i="1" a="1"/>
  <c r="AB903" i="1"/>
  <c r="AB342" i="1" a="1"/>
  <c r="AB342" i="1"/>
  <c r="AA359" i="1" a="1"/>
  <c r="AA359" i="1"/>
  <c r="Y903" i="1" a="1"/>
  <c r="Y903" i="1"/>
  <c r="Z359" i="1" a="1"/>
  <c r="Z359" i="1"/>
  <c r="Z1111" i="1" a="1"/>
  <c r="Z1111" i="1"/>
  <c r="AA1111" i="1" a="1"/>
  <c r="AA1111" i="1"/>
  <c r="Z175" i="1" a="1"/>
  <c r="Z175" i="1"/>
  <c r="AC142" i="1" a="1"/>
  <c r="AC142" i="1"/>
  <c r="AA439" i="1" a="1"/>
  <c r="AA439" i="1"/>
  <c r="AC903" i="1" a="1"/>
  <c r="AC903" i="1"/>
  <c r="AA1057" i="1" a="1"/>
  <c r="AA1057" i="1"/>
  <c r="AB359" i="1" a="1"/>
  <c r="AB359" i="1"/>
  <c r="Y1111" i="1" a="1"/>
  <c r="Y1111" i="1"/>
  <c r="AB262" i="1" a="1"/>
  <c r="AB262" i="1"/>
  <c r="Z317" i="1" a="1"/>
  <c r="Z317" i="1"/>
  <c r="AA317" i="1" a="1"/>
  <c r="AA317" i="1"/>
  <c r="AA903" i="1" a="1"/>
  <c r="AA903" i="1"/>
  <c r="AA142" i="1" a="1"/>
  <c r="AA142" i="1"/>
  <c r="AB439" i="1" a="1"/>
  <c r="AB439" i="1"/>
  <c r="Z1057" i="1" a="1"/>
  <c r="Z1057" i="1"/>
  <c r="AB317" i="1" a="1"/>
  <c r="AB317" i="1"/>
  <c r="Y317" i="1" a="1"/>
  <c r="Y317" i="1"/>
  <c r="AB142" i="1" a="1"/>
  <c r="AB142" i="1"/>
  <c r="Y262" i="1" a="1"/>
  <c r="Y262" i="1"/>
  <c r="Y1057" i="1" a="1"/>
  <c r="Y1057" i="1"/>
  <c r="AA262" i="1" a="1"/>
  <c r="AA262" i="1"/>
  <c r="Y359" i="1" a="1"/>
  <c r="Y359" i="1"/>
  <c r="AC262" i="1" a="1"/>
  <c r="AC262" i="1"/>
  <c r="Y342" i="1" a="1"/>
  <c r="Y342" i="1"/>
  <c r="AC1111" i="1" a="1"/>
  <c r="AC1111" i="1"/>
  <c r="Y1414" i="1" a="1"/>
  <c r="Y1414" i="1"/>
  <c r="Z342" i="1" a="1"/>
  <c r="Z342" i="1"/>
  <c r="AC420" i="1" a="1"/>
  <c r="AC420" i="1"/>
  <c r="Y600" i="1" a="1"/>
  <c r="Y600" i="1"/>
  <c r="AA342" i="1" a="1"/>
  <c r="AA342" i="1"/>
  <c r="AB33" i="1" a="1"/>
  <c r="AB33" i="1"/>
  <c r="Y427" i="1" a="1"/>
  <c r="Y427" i="1"/>
  <c r="AB1057" i="1" a="1"/>
  <c r="AB1057" i="1"/>
  <c r="Y1555" i="1"/>
  <c r="Y774" i="1" a="1"/>
  <c r="Y774" i="1"/>
  <c r="AC33" i="1" a="1"/>
  <c r="AC33" i="1"/>
  <c r="AA1596" i="1"/>
  <c r="Z600" i="1" a="1"/>
  <c r="Z600" i="1"/>
  <c r="AC1167" i="1" a="1"/>
  <c r="AC1167" i="1"/>
  <c r="AA427" i="1" a="1"/>
  <c r="AA427" i="1"/>
  <c r="AC1414" i="1" a="1"/>
  <c r="AC1414" i="1"/>
  <c r="AA1487" i="1" a="1"/>
  <c r="AA1487" i="1"/>
  <c r="Z420" i="1" a="1"/>
  <c r="Z420" i="1"/>
  <c r="AA175" i="1" a="1"/>
  <c r="AA175" i="1"/>
  <c r="Z903" i="1" a="1"/>
  <c r="Z903" i="1"/>
  <c r="AC317" i="1" a="1"/>
  <c r="AC317" i="1"/>
  <c r="AC359" i="1" a="1"/>
  <c r="AC359" i="1"/>
  <c r="Y142" i="1" a="1"/>
  <c r="Y142" i="1"/>
  <c r="AC342" i="1" a="1"/>
  <c r="AC342" i="1"/>
  <c r="Y439" i="1" a="1"/>
  <c r="Y439" i="1"/>
  <c r="AB1111" i="1" a="1"/>
  <c r="AB1111" i="1"/>
  <c r="AC1057" i="1" a="1"/>
  <c r="AC1057" i="1"/>
  <c r="Z262" i="1" a="1"/>
  <c r="Z262" i="1"/>
  <c r="AB774" i="1" a="1"/>
  <c r="AB774" i="1"/>
  <c r="Z33" i="1" a="1"/>
  <c r="Z33" i="1"/>
  <c r="AC427" i="1" a="1"/>
  <c r="AC427" i="1"/>
  <c r="Z427" i="1" a="1"/>
  <c r="Z427" i="1"/>
  <c r="AC600" i="1" a="1"/>
  <c r="AC600" i="1"/>
  <c r="AA420" i="1" a="1"/>
  <c r="AA420" i="1"/>
  <c r="AC1555" i="1"/>
  <c r="Y420" i="1" a="1"/>
  <c r="Y420" i="1"/>
  <c r="Z1414" i="1" a="1"/>
  <c r="Z1414" i="1"/>
  <c r="AB1487" i="1" a="1"/>
  <c r="AB1487" i="1"/>
  <c r="AB1167" i="1" a="1"/>
  <c r="AB1167" i="1"/>
  <c r="Z1596" i="1"/>
  <c r="Z774" i="1" a="1"/>
  <c r="Z774" i="1"/>
  <c r="Y1167" i="1" a="1"/>
  <c r="Y1167" i="1"/>
  <c r="AA600" i="1" a="1"/>
  <c r="AA600" i="1"/>
  <c r="AA33" i="1" a="1"/>
  <c r="AA33" i="1"/>
  <c r="AB427" i="1" a="1"/>
  <c r="AB427" i="1"/>
  <c r="AB1414" i="1" a="1"/>
  <c r="AB1414" i="1"/>
  <c r="AB1555" i="1"/>
  <c r="Z1167" i="1" a="1"/>
  <c r="Z1167" i="1"/>
  <c r="AA1167" i="1" a="1"/>
  <c r="AA1167" i="1"/>
  <c r="AB420" i="1" a="1"/>
  <c r="AB420" i="1"/>
  <c r="Y33" i="1" a="1"/>
  <c r="Y33" i="1"/>
  <c r="AC774" i="1" a="1"/>
  <c r="AC774" i="1"/>
  <c r="AB1596" i="1"/>
  <c r="AB600" i="1" a="1"/>
  <c r="AB600" i="1"/>
  <c r="AA1555" i="1"/>
  <c r="Y1487" i="1" a="1"/>
  <c r="Y1487" i="1"/>
  <c r="AC1596" i="1"/>
  <c r="Z1555" i="1"/>
  <c r="Y1596" i="1"/>
  <c r="AC1487" i="1" a="1"/>
  <c r="AC1487" i="1"/>
  <c r="AA1414" i="1" a="1"/>
  <c r="AA1414" i="1"/>
  <c r="AA774" i="1" a="1"/>
  <c r="AA774" i="1"/>
  <c r="Z1487" i="1" a="1"/>
  <c r="Z1487" i="1"/>
  <c r="AB983" i="1" a="1"/>
  <c r="AB983" i="1"/>
  <c r="AA533" i="1" a="1"/>
  <c r="AA533" i="1"/>
  <c r="Z983" i="1" a="1"/>
  <c r="Z983" i="1"/>
  <c r="Z1161" i="1" a="1"/>
  <c r="Z1161" i="1"/>
  <c r="AB984" i="1" a="1"/>
  <c r="AB984" i="1"/>
  <c r="AB380" i="1" a="1"/>
  <c r="AB380" i="1"/>
  <c r="AA334" i="1" a="1"/>
  <c r="AA334" i="1"/>
  <c r="Z740" i="1" a="1"/>
  <c r="Z740" i="1"/>
  <c r="AB1020" i="1" a="1"/>
  <c r="AB1020" i="1"/>
  <c r="AB1344" i="1" a="1"/>
  <c r="AB1344" i="1"/>
  <c r="AB107" i="1" a="1"/>
  <c r="AB107" i="1"/>
  <c r="Y740" i="1" a="1"/>
  <c r="Y740" i="1"/>
  <c r="AB269" i="1" a="1"/>
  <c r="AB269" i="1"/>
  <c r="Y624" i="1" a="1"/>
  <c r="Y624" i="1"/>
  <c r="Y1349" i="1" a="1"/>
  <c r="Y1349" i="1"/>
  <c r="AB740" i="1" a="1"/>
  <c r="AB740" i="1"/>
  <c r="Z861" i="1" a="1"/>
  <c r="Z861" i="1"/>
  <c r="AA624" i="1" a="1"/>
  <c r="AA624" i="1"/>
  <c r="Z507" i="1" a="1"/>
  <c r="Z507" i="1"/>
  <c r="AA984" i="1" a="1"/>
  <c r="AA984" i="1"/>
  <c r="AC1344" i="1" a="1"/>
  <c r="AC1344" i="1"/>
  <c r="AA1344" i="1" a="1"/>
  <c r="AA1344" i="1"/>
  <c r="AC740" i="1" a="1"/>
  <c r="AC740" i="1"/>
  <c r="AC1161" i="1" a="1"/>
  <c r="AC1161" i="1"/>
  <c r="AB1161" i="1" a="1"/>
  <c r="AB1161" i="1"/>
  <c r="AA269" i="1" a="1"/>
  <c r="AA269" i="1"/>
  <c r="AC19" i="1" a="1"/>
  <c r="AC19" i="1"/>
  <c r="Z1349" i="1" a="1"/>
  <c r="Z1349" i="1"/>
  <c r="Z214" i="1" a="1"/>
  <c r="Z214" i="1"/>
  <c r="AB334" i="1" a="1"/>
  <c r="AB334" i="1"/>
  <c r="AC1020" i="1" a="1"/>
  <c r="AC1020" i="1"/>
  <c r="AA19" i="1" a="1"/>
  <c r="AA19" i="1"/>
  <c r="Z380" i="1" a="1"/>
  <c r="Z380" i="1"/>
  <c r="AA107" i="1" a="1"/>
  <c r="AA107" i="1"/>
  <c r="Z410" i="1" a="1"/>
  <c r="Z410" i="1"/>
  <c r="Z1099" i="1" a="1"/>
  <c r="Z1099" i="1"/>
  <c r="Z815" i="1" a="1"/>
  <c r="Z815" i="1"/>
  <c r="AB410" i="1" a="1"/>
  <c r="AB410" i="1"/>
  <c r="AC624" i="1" a="1"/>
  <c r="AC624" i="1"/>
  <c r="Y984" i="1" a="1"/>
  <c r="Y984" i="1"/>
  <c r="AA1020" i="1" a="1"/>
  <c r="AA1020" i="1"/>
  <c r="AC107" i="1" a="1"/>
  <c r="AC107" i="1"/>
  <c r="AC334" i="1" a="1"/>
  <c r="AC334" i="1"/>
  <c r="AC214" i="1" a="1"/>
  <c r="AC214" i="1"/>
  <c r="Y269" i="1" a="1"/>
  <c r="Y269" i="1"/>
  <c r="Z334" i="1" a="1"/>
  <c r="Z334" i="1"/>
  <c r="AA983" i="1" a="1"/>
  <c r="AA983" i="1"/>
  <c r="Y107" i="1" a="1"/>
  <c r="Y107" i="1"/>
  <c r="AC380" i="1" a="1"/>
  <c r="AC380" i="1"/>
  <c r="AA1161" i="1" a="1"/>
  <c r="AA1161" i="1"/>
  <c r="AB507" i="1" a="1"/>
  <c r="AB507" i="1"/>
  <c r="AB214" i="1" a="1"/>
  <c r="AB214" i="1"/>
  <c r="AB861" i="1" a="1"/>
  <c r="AB861" i="1"/>
  <c r="Z1020" i="1" a="1"/>
  <c r="Z1020" i="1"/>
  <c r="Z1344" i="1" a="1"/>
  <c r="Z1344" i="1"/>
  <c r="Y1344" i="1" a="1"/>
  <c r="Y1344" i="1"/>
  <c r="Z19" i="1" a="1"/>
  <c r="Z19" i="1"/>
  <c r="AC861" i="1" a="1"/>
  <c r="AC861" i="1"/>
  <c r="Y533" i="1" a="1"/>
  <c r="Y533" i="1"/>
  <c r="AC533" i="1" a="1"/>
  <c r="AC533" i="1"/>
  <c r="Y410" i="1" a="1"/>
  <c r="Y410" i="1"/>
  <c r="Y334" i="1" a="1"/>
  <c r="Y334" i="1"/>
  <c r="AB624" i="1" a="1"/>
  <c r="AB624" i="1"/>
  <c r="AC983" i="1" a="1"/>
  <c r="AC983" i="1"/>
  <c r="Y1161" i="1" a="1"/>
  <c r="Y1161" i="1"/>
  <c r="AA380" i="1" a="1"/>
  <c r="AA380" i="1"/>
  <c r="AB1099" i="1" a="1"/>
  <c r="AB1099" i="1"/>
  <c r="AB19" i="1" a="1"/>
  <c r="AB19" i="1"/>
  <c r="AA410" i="1" a="1"/>
  <c r="AA410" i="1"/>
  <c r="AC1349" i="1" a="1"/>
  <c r="AC1349" i="1"/>
  <c r="AC984" i="1" a="1"/>
  <c r="AC984" i="1"/>
  <c r="Y861" i="1" a="1"/>
  <c r="Y861" i="1"/>
  <c r="Y1099" i="1" a="1"/>
  <c r="Y1099" i="1"/>
  <c r="AB533" i="1" a="1"/>
  <c r="AB533" i="1"/>
  <c r="AA740" i="1" a="1"/>
  <c r="AA740" i="1"/>
  <c r="AB1349" i="1" a="1"/>
  <c r="AB1349" i="1"/>
  <c r="Y815" i="1" a="1"/>
  <c r="Y815" i="1"/>
  <c r="Y1020" i="1" a="1"/>
  <c r="Y1020" i="1"/>
  <c r="Y507" i="1" a="1"/>
  <c r="Y507" i="1"/>
  <c r="AC815" i="1" a="1"/>
  <c r="AC815" i="1"/>
  <c r="AA1099" i="1" a="1"/>
  <c r="AA1099" i="1"/>
  <c r="AA507" i="1" a="1"/>
  <c r="AA507" i="1"/>
  <c r="Z533" i="1" a="1"/>
  <c r="Z533" i="1"/>
  <c r="AB815" i="1" a="1"/>
  <c r="AB815" i="1"/>
  <c r="AA214" i="1" a="1"/>
  <c r="AA214" i="1"/>
  <c r="Z107" i="1" a="1"/>
  <c r="Z107" i="1"/>
  <c r="Z984" i="1" a="1"/>
  <c r="Z984" i="1"/>
  <c r="Z269" i="1" a="1"/>
  <c r="Z269" i="1"/>
  <c r="Y380" i="1" a="1"/>
  <c r="Y380" i="1"/>
  <c r="Y983" i="1" a="1"/>
  <c r="Y983" i="1"/>
  <c r="AA861" i="1" a="1"/>
  <c r="AA861" i="1"/>
  <c r="AC507" i="1" a="1"/>
  <c r="AC507" i="1"/>
  <c r="Z624" i="1" a="1"/>
  <c r="Z624" i="1"/>
  <c r="AA1349" i="1" a="1"/>
  <c r="AA1349" i="1"/>
  <c r="AC1099" i="1" a="1"/>
  <c r="AC1099" i="1"/>
  <c r="AA815" i="1" a="1"/>
  <c r="AA815" i="1"/>
  <c r="AC410" i="1" a="1"/>
  <c r="AC410" i="1"/>
  <c r="AC269" i="1" a="1"/>
  <c r="AC269" i="1"/>
  <c r="Y214" i="1" a="1"/>
  <c r="Y214" i="1"/>
  <c r="Y19" i="1" a="1"/>
  <c r="Y19" i="1"/>
  <c r="Z837" i="1" a="1"/>
  <c r="Z837" i="1"/>
  <c r="AC755" i="1" a="1"/>
  <c r="AC755" i="1"/>
  <c r="Y295" i="1" a="1"/>
  <c r="Y295" i="1"/>
  <c r="AC1298" i="1" a="1"/>
  <c r="AC1298" i="1"/>
  <c r="Z295" i="1" a="1"/>
  <c r="Z295" i="1"/>
  <c r="Z755" i="1" a="1"/>
  <c r="Z755" i="1"/>
  <c r="AC295" i="1" a="1"/>
  <c r="AC295" i="1"/>
  <c r="Y406" i="1" a="1"/>
  <c r="Y406" i="1"/>
  <c r="Z1298" i="1" a="1"/>
  <c r="Z1298" i="1"/>
  <c r="AC768" i="1" a="1"/>
  <c r="AC768" i="1"/>
  <c r="AB1270" i="1" a="1"/>
  <c r="AB1270" i="1"/>
  <c r="AC406" i="1" a="1"/>
  <c r="AC406" i="1"/>
  <c r="Y1270" i="1" a="1"/>
  <c r="Y1270" i="1"/>
  <c r="AA837" i="1" a="1"/>
  <c r="AA837" i="1"/>
  <c r="AA1237" i="1" a="1"/>
  <c r="AA1237" i="1"/>
  <c r="AB1241" i="1" a="1"/>
  <c r="AB1241" i="1"/>
  <c r="Y1241" i="1" a="1"/>
  <c r="Y1241" i="1"/>
  <c r="Z1443" i="1" a="1"/>
  <c r="Z1443" i="1"/>
  <c r="AB755" i="1" a="1"/>
  <c r="AB755" i="1"/>
  <c r="AC1270" i="1" a="1"/>
  <c r="AC1270" i="1"/>
  <c r="AA768" i="1" a="1"/>
  <c r="AA768" i="1"/>
  <c r="Z1270" i="1" a="1"/>
  <c r="Z1270" i="1"/>
  <c r="AA406" i="1" a="1"/>
  <c r="AA406" i="1"/>
  <c r="AC1443" i="1" a="1"/>
  <c r="AC1443" i="1"/>
  <c r="AB406" i="1" a="1"/>
  <c r="AB406" i="1"/>
  <c r="AA1298" i="1" a="1"/>
  <c r="AA1298" i="1"/>
  <c r="AC837" i="1" a="1"/>
  <c r="AC837" i="1"/>
  <c r="Y1443" i="1" a="1"/>
  <c r="Y1443" i="1"/>
  <c r="AB768" i="1" a="1"/>
  <c r="AB768" i="1"/>
  <c r="AB1298" i="1" a="1"/>
  <c r="AB1298" i="1"/>
  <c r="Y1237" i="1" a="1"/>
  <c r="Y1237" i="1"/>
  <c r="AA755" i="1" a="1"/>
  <c r="AA755" i="1"/>
  <c r="Z1237" i="1" a="1"/>
  <c r="Z1237" i="1"/>
  <c r="Y837" i="1" a="1"/>
  <c r="Y837" i="1"/>
  <c r="AC1241" i="1" a="1"/>
  <c r="AC1241" i="1"/>
  <c r="AA295" i="1" a="1"/>
  <c r="AA295" i="1"/>
  <c r="Z768" i="1" a="1"/>
  <c r="Z768" i="1"/>
  <c r="AA1241" i="1" a="1"/>
  <c r="AA1241" i="1"/>
  <c r="AC1237" i="1" a="1"/>
  <c r="AC1237" i="1"/>
  <c r="AB1443" i="1" a="1"/>
  <c r="AB1443" i="1"/>
  <c r="AB295" i="1" a="1"/>
  <c r="AB295" i="1"/>
  <c r="Y768" i="1" a="1"/>
  <c r="Y768" i="1"/>
  <c r="AA1443" i="1" a="1"/>
  <c r="AA1443" i="1"/>
  <c r="AB837" i="1" a="1"/>
  <c r="AB837" i="1"/>
  <c r="Z406" i="1" a="1"/>
  <c r="Z406" i="1"/>
  <c r="Z1241" i="1" a="1"/>
  <c r="Z1241" i="1"/>
  <c r="AB1237" i="1" a="1"/>
  <c r="AB1237" i="1"/>
  <c r="Y755" i="1" a="1"/>
  <c r="Y755" i="1"/>
  <c r="AA1270" i="1" a="1"/>
  <c r="AA1270" i="1"/>
  <c r="Y1298" i="1" a="1"/>
  <c r="Y1298" i="1"/>
  <c r="Y477" i="1" a="1"/>
  <c r="Y477" i="1"/>
  <c r="Z848" i="1" a="1"/>
  <c r="Z848" i="1"/>
  <c r="AC314" i="1" a="1"/>
  <c r="AC314" i="1"/>
  <c r="Y848" i="1" a="1"/>
  <c r="Y848" i="1"/>
  <c r="AA944" i="1" a="1"/>
  <c r="AA944" i="1"/>
  <c r="AC792" i="1" a="1"/>
  <c r="AC792" i="1"/>
  <c r="AA792" i="1" a="1"/>
  <c r="AA792" i="1"/>
  <c r="Y314" i="1" a="1"/>
  <c r="Y314" i="1"/>
  <c r="AA848" i="1" a="1"/>
  <c r="AA848" i="1"/>
  <c r="AB314" i="1" a="1"/>
  <c r="AB314" i="1"/>
  <c r="AB734" i="1" a="1"/>
  <c r="AB734" i="1"/>
  <c r="Z157" i="1" a="1"/>
  <c r="Z157" i="1"/>
  <c r="AC1150" i="1" a="1"/>
  <c r="AC1150" i="1"/>
  <c r="AB291" i="1" a="1"/>
  <c r="AB291" i="1"/>
  <c r="Y944" i="1" a="1"/>
  <c r="Y944" i="1"/>
  <c r="Y157" i="1" a="1"/>
  <c r="Y157" i="1"/>
  <c r="AA314" i="1" a="1"/>
  <c r="AA314" i="1"/>
  <c r="AC944" i="1" a="1"/>
  <c r="AC944" i="1"/>
  <c r="AB477" i="1" a="1"/>
  <c r="AB477" i="1"/>
  <c r="AB1150" i="1" a="1"/>
  <c r="AB1150" i="1"/>
  <c r="AC848" i="1" a="1"/>
  <c r="AC848" i="1"/>
  <c r="Y83" i="1" a="1"/>
  <c r="Y83" i="1"/>
  <c r="Z291" i="1" a="1"/>
  <c r="Z291" i="1"/>
  <c r="Z83" i="1" a="1"/>
  <c r="Z83" i="1"/>
  <c r="Z944" i="1" a="1"/>
  <c r="Z944" i="1"/>
  <c r="AB83" i="1" a="1"/>
  <c r="AB83" i="1"/>
  <c r="Y291" i="1" a="1"/>
  <c r="Y291" i="1"/>
  <c r="Y1150" i="1" a="1"/>
  <c r="Y1150" i="1"/>
  <c r="Z477" i="1" a="1"/>
  <c r="Z477" i="1"/>
  <c r="AA477" i="1" a="1"/>
  <c r="AA477" i="1"/>
  <c r="Z792" i="1" a="1"/>
  <c r="Z792" i="1"/>
  <c r="AA83" i="1" a="1"/>
  <c r="AA83" i="1"/>
  <c r="Y792" i="1" a="1"/>
  <c r="Y792" i="1"/>
  <c r="AC157" i="1" a="1"/>
  <c r="AC157" i="1"/>
  <c r="AA157" i="1" a="1"/>
  <c r="AA157" i="1"/>
  <c r="AA734" i="1" a="1"/>
  <c r="AA734" i="1"/>
  <c r="Y734" i="1" a="1"/>
  <c r="Y734" i="1"/>
  <c r="AC291" i="1" a="1"/>
  <c r="AC291" i="1"/>
  <c r="Z1150" i="1" a="1"/>
  <c r="Z1150" i="1"/>
  <c r="Z734" i="1" a="1"/>
  <c r="Z734" i="1"/>
  <c r="AB792" i="1" a="1"/>
  <c r="AB792" i="1"/>
  <c r="AB157" i="1" a="1"/>
  <c r="AB157" i="1"/>
  <c r="AC734" i="1" a="1"/>
  <c r="AC734" i="1"/>
  <c r="AA1150" i="1" a="1"/>
  <c r="AA1150" i="1"/>
  <c r="Z314" i="1" a="1"/>
  <c r="Z314" i="1"/>
  <c r="AC477" i="1" a="1"/>
  <c r="AC477" i="1"/>
  <c r="AC83" i="1" a="1"/>
  <c r="AC83" i="1"/>
  <c r="AA291" i="1" a="1"/>
  <c r="AA291" i="1"/>
  <c r="AB944" i="1" a="1"/>
  <c r="AB944" i="1"/>
  <c r="AB848" i="1" a="1"/>
  <c r="AB848" i="1"/>
  <c r="Y512" i="1" a="1"/>
  <c r="Y512" i="1"/>
  <c r="AB1544" i="1"/>
  <c r="AB1538" i="1" a="1"/>
  <c r="AB1538" i="1"/>
  <c r="AC233" i="1" a="1"/>
  <c r="AC233" i="1"/>
  <c r="AC331" i="1" a="1"/>
  <c r="AC331" i="1"/>
  <c r="AA545" i="1" a="1"/>
  <c r="AA545" i="1"/>
  <c r="Y545" i="1" a="1"/>
  <c r="Y545" i="1"/>
  <c r="Y1538" i="1" a="1"/>
  <c r="Y1538" i="1"/>
  <c r="AB747" i="1" a="1"/>
  <c r="AB747" i="1"/>
  <c r="Y233" i="1" a="1"/>
  <c r="Y233" i="1"/>
  <c r="AC1226" i="1" a="1"/>
  <c r="AC1226" i="1"/>
  <c r="Z747" i="1" a="1"/>
  <c r="Z747" i="1"/>
  <c r="Y1544" i="1"/>
  <c r="AC1538" i="1" a="1"/>
  <c r="AC1538" i="1"/>
  <c r="Y331" i="1" a="1"/>
  <c r="Y331" i="1"/>
  <c r="Z1226" i="1" a="1"/>
  <c r="Z1226" i="1"/>
  <c r="AA331" i="1" a="1"/>
  <c r="AA331" i="1"/>
  <c r="AC545" i="1" a="1"/>
  <c r="AC545" i="1"/>
  <c r="AA1189" i="1" a="1"/>
  <c r="AA1189" i="1"/>
  <c r="AA1544" i="1"/>
  <c r="Y747" i="1" a="1"/>
  <c r="Y747" i="1"/>
  <c r="AA1226" i="1" a="1"/>
  <c r="AA1226" i="1"/>
  <c r="AB233" i="1" a="1"/>
  <c r="AB233" i="1"/>
  <c r="Y840" i="1" a="1"/>
  <c r="Y840" i="1"/>
  <c r="AB512" i="1" a="1"/>
  <c r="AB512" i="1"/>
  <c r="Z1189" i="1" a="1"/>
  <c r="Z1189" i="1"/>
  <c r="AA1538" i="1" a="1"/>
  <c r="AA1538" i="1"/>
  <c r="Z840" i="1" a="1"/>
  <c r="Z840" i="1"/>
  <c r="AA840" i="1" a="1"/>
  <c r="AA840" i="1"/>
  <c r="AA747" i="1" a="1"/>
  <c r="AA747" i="1"/>
  <c r="AA233" i="1" a="1"/>
  <c r="AA233" i="1"/>
  <c r="AC1189" i="1" a="1"/>
  <c r="AC1189" i="1"/>
  <c r="AB545" i="1" a="1"/>
  <c r="AB545" i="1"/>
  <c r="AC512" i="1" a="1"/>
  <c r="AC512" i="1"/>
  <c r="AC840" i="1" a="1"/>
  <c r="AC840" i="1"/>
  <c r="AB1226" i="1" a="1"/>
  <c r="AB1226" i="1"/>
  <c r="Z512" i="1" a="1"/>
  <c r="Z512" i="1"/>
  <c r="AC1544" i="1"/>
  <c r="Z331" i="1" a="1"/>
  <c r="Z331" i="1"/>
  <c r="Y1189" i="1" a="1"/>
  <c r="Y1189" i="1"/>
  <c r="AA512" i="1" a="1"/>
  <c r="AA512" i="1"/>
  <c r="Z1544" i="1"/>
  <c r="AC747" i="1" a="1"/>
  <c r="AC747" i="1"/>
  <c r="Z233" i="1" a="1"/>
  <c r="Z233" i="1"/>
  <c r="Z1538" i="1" a="1"/>
  <c r="Z1538" i="1"/>
  <c r="AB331" i="1" a="1"/>
  <c r="AB331" i="1"/>
  <c r="AB1189" i="1" a="1"/>
  <c r="AB1189" i="1"/>
  <c r="Z545" i="1" a="1"/>
  <c r="Z545" i="1"/>
  <c r="Y1226" i="1" a="1"/>
  <c r="Y1226" i="1"/>
  <c r="AB840" i="1" a="1"/>
  <c r="AB840" i="1"/>
  <c r="Y1147" i="1" a="1"/>
  <c r="Y1147" i="1"/>
  <c r="AC1553" i="1"/>
  <c r="Z1192" i="1" a="1"/>
  <c r="Z1192" i="1"/>
  <c r="AB1553" i="1"/>
  <c r="Y780" i="1" a="1"/>
  <c r="Y780" i="1"/>
  <c r="AC1147" i="1" a="1"/>
  <c r="AC1147" i="1"/>
  <c r="AC780" i="1" a="1"/>
  <c r="AC780" i="1"/>
  <c r="AB650" i="1" a="1"/>
  <c r="AB650" i="1"/>
  <c r="AA1558" i="1"/>
  <c r="AC643" i="1" a="1"/>
  <c r="AC643" i="1"/>
  <c r="Y742" i="1" a="1"/>
  <c r="Y742" i="1"/>
  <c r="AA1042" i="1" a="1"/>
  <c r="AA1042" i="1"/>
  <c r="AA1402" i="1" a="1"/>
  <c r="AA1402" i="1"/>
  <c r="Y1042" i="1" a="1"/>
  <c r="Y1042" i="1"/>
  <c r="Z643" i="1" a="1"/>
  <c r="Z643" i="1"/>
  <c r="AC1385" i="1" a="1"/>
  <c r="AC1385" i="1"/>
  <c r="AC1402" i="1" a="1"/>
  <c r="AC1402" i="1"/>
  <c r="AB888" i="1" a="1"/>
  <c r="AB888" i="1"/>
  <c r="Z150" i="1" a="1"/>
  <c r="Z150" i="1"/>
  <c r="Z1553" i="1"/>
  <c r="Z650" i="1" a="1"/>
  <c r="Z650" i="1"/>
  <c r="AA742" i="1" a="1"/>
  <c r="AA742" i="1"/>
  <c r="AA780" i="1" a="1"/>
  <c r="AA780" i="1"/>
  <c r="AC137" i="1" a="1"/>
  <c r="AC137" i="1"/>
  <c r="Y650" i="1" a="1"/>
  <c r="Y650" i="1"/>
  <c r="AC742" i="1" a="1"/>
  <c r="AC742" i="1"/>
  <c r="Z1042" i="1" a="1"/>
  <c r="Z1042" i="1"/>
  <c r="AC417" i="1" a="1"/>
  <c r="AC417" i="1"/>
  <c r="AB1385" i="1" a="1"/>
  <c r="AB1385" i="1"/>
  <c r="Z780" i="1" a="1"/>
  <c r="Z780" i="1"/>
  <c r="AB417" i="1" a="1"/>
  <c r="AB417" i="1"/>
  <c r="Y137" i="1" a="1"/>
  <c r="Y137" i="1"/>
  <c r="AA1147" i="1" a="1"/>
  <c r="AA1147" i="1"/>
  <c r="Z1098" i="1" a="1"/>
  <c r="Z1098" i="1"/>
  <c r="Y593" i="1" a="1"/>
  <c r="Y593" i="1"/>
  <c r="AC593" i="1" a="1"/>
  <c r="AC593" i="1"/>
  <c r="Z137" i="1" a="1"/>
  <c r="Z137" i="1"/>
  <c r="AC1558" i="1"/>
  <c r="AB1402" i="1" a="1"/>
  <c r="AB1402" i="1"/>
  <c r="AC561" i="1" a="1"/>
  <c r="AC561" i="1"/>
  <c r="AA417" i="1" a="1"/>
  <c r="AA417" i="1"/>
  <c r="Z854" i="1" a="1"/>
  <c r="Z854" i="1"/>
  <c r="Y888" i="1" a="1"/>
  <c r="Y888" i="1"/>
  <c r="AA854" i="1" a="1"/>
  <c r="AA854" i="1"/>
  <c r="Z1584" i="1"/>
  <c r="Z417" i="1" a="1"/>
  <c r="Z417" i="1"/>
  <c r="AA888" i="1" a="1"/>
  <c r="AA888" i="1"/>
  <c r="AA1385" i="1" a="1"/>
  <c r="AA1385" i="1"/>
  <c r="AC150" i="1" a="1"/>
  <c r="AC150" i="1"/>
  <c r="Z1558" i="1"/>
  <c r="Y150" i="1" a="1"/>
  <c r="Y150" i="1"/>
  <c r="Z888" i="1" a="1"/>
  <c r="Z888" i="1"/>
  <c r="Z1402" i="1" a="1"/>
  <c r="Z1402" i="1"/>
  <c r="Z1385" i="1" a="1"/>
  <c r="Z1385" i="1"/>
  <c r="Z1147" i="1" a="1"/>
  <c r="Z1147" i="1"/>
  <c r="AB643" i="1" a="1"/>
  <c r="AB643" i="1"/>
  <c r="AA1553" i="1"/>
  <c r="AA593" i="1" a="1"/>
  <c r="AA593" i="1"/>
  <c r="AA1098" i="1" a="1"/>
  <c r="AA1098" i="1"/>
  <c r="Y854" i="1" a="1"/>
  <c r="Y854" i="1"/>
  <c r="AB137" i="1" a="1"/>
  <c r="AB137" i="1"/>
  <c r="AA561" i="1" a="1"/>
  <c r="AA561" i="1"/>
  <c r="AA643" i="1" a="1"/>
  <c r="AA643" i="1"/>
  <c r="AC1584" i="1"/>
  <c r="Z593" i="1" a="1"/>
  <c r="Z593" i="1"/>
  <c r="AB1098" i="1" a="1"/>
  <c r="AB1098" i="1"/>
  <c r="Y561" i="1" a="1"/>
  <c r="Y561" i="1"/>
  <c r="AC854" i="1" a="1"/>
  <c r="AC854" i="1"/>
  <c r="AB1584" i="1"/>
  <c r="Z561" i="1" a="1"/>
  <c r="Z561" i="1"/>
  <c r="AB742" i="1" a="1"/>
  <c r="AB742" i="1"/>
  <c r="AA650" i="1" a="1"/>
  <c r="AA650" i="1"/>
  <c r="Y1558" i="1"/>
  <c r="AC1098" i="1" a="1"/>
  <c r="AC1098" i="1"/>
  <c r="AA1192" i="1" a="1"/>
  <c r="AA1192" i="1"/>
  <c r="Y1584" i="1"/>
  <c r="AB1042" i="1" a="1"/>
  <c r="AB1042" i="1"/>
  <c r="AB150" i="1" a="1"/>
  <c r="AB150" i="1"/>
  <c r="AC1192" i="1" a="1"/>
  <c r="AC1192" i="1"/>
  <c r="AB1192" i="1" a="1"/>
  <c r="AB1192" i="1"/>
  <c r="AB1558" i="1"/>
  <c r="AB593" i="1" a="1"/>
  <c r="AB593" i="1"/>
  <c r="Y643" i="1" a="1"/>
  <c r="Y643" i="1"/>
  <c r="AA137" i="1" a="1"/>
  <c r="AA137" i="1"/>
  <c r="Y1402" i="1" a="1"/>
  <c r="Y1402" i="1"/>
  <c r="Y417" i="1" a="1"/>
  <c r="Y417" i="1"/>
  <c r="Y1098" i="1" a="1"/>
  <c r="Y1098" i="1"/>
  <c r="Y1553" i="1"/>
  <c r="Y1192" i="1" a="1"/>
  <c r="Y1192" i="1"/>
  <c r="AB780" i="1" a="1"/>
  <c r="AB780" i="1"/>
  <c r="Z742" i="1" a="1"/>
  <c r="Z742" i="1"/>
  <c r="AC650" i="1" a="1"/>
  <c r="AC650" i="1"/>
  <c r="AA1584" i="1"/>
  <c r="AA150" i="1" a="1"/>
  <c r="AA150" i="1"/>
  <c r="Y1385" i="1" a="1"/>
  <c r="Y1385" i="1"/>
  <c r="AC1042" i="1" a="1"/>
  <c r="AC1042" i="1"/>
  <c r="AB1147" i="1" a="1"/>
  <c r="AB1147" i="1"/>
  <c r="AB561" i="1" a="1"/>
  <c r="AB561" i="1"/>
  <c r="AB854" i="1" a="1"/>
  <c r="AB854" i="1"/>
  <c r="AC888" i="1" a="1"/>
  <c r="AC888" i="1"/>
  <c r="AB1296" i="1" a="1"/>
  <c r="AB1296" i="1"/>
  <c r="AA1409" i="1" a="1"/>
  <c r="AA1409" i="1"/>
  <c r="Z241" i="1" a="1"/>
  <c r="Z241" i="1"/>
  <c r="AB241" i="1" a="1"/>
  <c r="AB241" i="1"/>
  <c r="AC1031" i="1" a="1"/>
  <c r="AC1031" i="1"/>
  <c r="Y466" i="1" a="1"/>
  <c r="Y466" i="1"/>
  <c r="AB200" i="1" a="1"/>
  <c r="AB200" i="1"/>
  <c r="AA1296" i="1" a="1"/>
  <c r="AA1296" i="1"/>
  <c r="AC258" i="1" a="1"/>
  <c r="AC258" i="1"/>
  <c r="Y981" i="1" a="1"/>
  <c r="Y981" i="1"/>
  <c r="AA241" i="1" a="1"/>
  <c r="AA241" i="1"/>
  <c r="AB258" i="1" a="1"/>
  <c r="AB258" i="1"/>
  <c r="AA1031" i="1" a="1"/>
  <c r="AA1031" i="1"/>
  <c r="AB981" i="1" a="1"/>
  <c r="AB981" i="1"/>
  <c r="AB1031" i="1" a="1"/>
  <c r="AB1031" i="1"/>
  <c r="AC1296" i="1" a="1"/>
  <c r="AC1296" i="1"/>
  <c r="AA466" i="1" a="1"/>
  <c r="AA466" i="1"/>
  <c r="Y200" i="1" a="1"/>
  <c r="Y200" i="1"/>
  <c r="AB1409" i="1" a="1"/>
  <c r="AB1409" i="1"/>
  <c r="Y7" i="1" a="1"/>
  <c r="Y7" i="1"/>
  <c r="AC466" i="1" a="1"/>
  <c r="AC466" i="1"/>
  <c r="Z200" i="1" a="1"/>
  <c r="Z200" i="1"/>
  <c r="AA930" i="1" a="1"/>
  <c r="AA930" i="1"/>
  <c r="Z7" i="1" a="1"/>
  <c r="Z7" i="1"/>
  <c r="AB7" i="1" a="1"/>
  <c r="AB7" i="1"/>
  <c r="Z1296" i="1" a="1"/>
  <c r="Z1296" i="1"/>
  <c r="AA258" i="1" a="1"/>
  <c r="AA258" i="1"/>
  <c r="Z1031" i="1" a="1"/>
  <c r="Z1031" i="1"/>
  <c r="AB930" i="1" a="1"/>
  <c r="AB930" i="1"/>
  <c r="AC7" i="1" a="1"/>
  <c r="AC7" i="1"/>
  <c r="Y241" i="1" a="1"/>
  <c r="Y241" i="1"/>
  <c r="AC930" i="1" a="1"/>
  <c r="AC930" i="1"/>
  <c r="Y930" i="1" a="1"/>
  <c r="Y930" i="1"/>
  <c r="AB466" i="1" a="1"/>
  <c r="AB466" i="1"/>
  <c r="AC981" i="1" a="1"/>
  <c r="AC981" i="1"/>
  <c r="Z981" i="1" a="1"/>
  <c r="Z981" i="1"/>
  <c r="AA200" i="1" a="1"/>
  <c r="AA200" i="1"/>
  <c r="Y258" i="1" a="1"/>
  <c r="Y258" i="1"/>
  <c r="Y1031" i="1" a="1"/>
  <c r="Y1031" i="1"/>
  <c r="Z1409" i="1" a="1"/>
  <c r="Z1409" i="1"/>
  <c r="Y1409" i="1" a="1"/>
  <c r="Y1409" i="1"/>
  <c r="Y1296" i="1" a="1"/>
  <c r="Y1296" i="1"/>
  <c r="AA7" i="1" a="1"/>
  <c r="AA7" i="1"/>
  <c r="AA981" i="1" a="1"/>
  <c r="AA981" i="1"/>
  <c r="Z258" i="1" a="1"/>
  <c r="Z258" i="1"/>
  <c r="AC200" i="1" a="1"/>
  <c r="AC200" i="1"/>
  <c r="Z930" i="1" a="1"/>
  <c r="Z930" i="1"/>
  <c r="AC1409" i="1" a="1"/>
  <c r="AC1409" i="1"/>
  <c r="AC241" i="1" a="1"/>
  <c r="AC241" i="1"/>
  <c r="Z466" i="1" a="1"/>
  <c r="Z466" i="1"/>
  <c r="Z222" i="1" a="1"/>
  <c r="Z222" i="1"/>
  <c r="AC1145" i="1" a="1"/>
  <c r="AC1145" i="1"/>
  <c r="AC688" i="1" a="1"/>
  <c r="AC688" i="1"/>
  <c r="AB164" i="1" a="1"/>
  <c r="AB164" i="1"/>
  <c r="AC164" i="1" a="1"/>
  <c r="AC164" i="1"/>
  <c r="AC296" i="1" a="1"/>
  <c r="AC296" i="1"/>
  <c r="Z613" i="1" a="1"/>
  <c r="Z613" i="1"/>
  <c r="AA617" i="1" a="1"/>
  <c r="AA617" i="1"/>
  <c r="Z553" i="1" a="1"/>
  <c r="Z553" i="1"/>
  <c r="AC1214" i="1" a="1"/>
  <c r="AC1214" i="1"/>
  <c r="Y688" i="1" a="1"/>
  <c r="Y688" i="1"/>
  <c r="AB613" i="1" a="1"/>
  <c r="AB613" i="1"/>
  <c r="AA1145" i="1" a="1"/>
  <c r="AA1145" i="1"/>
  <c r="Z1214" i="1" a="1"/>
  <c r="Z1214" i="1"/>
  <c r="AB617" i="1" a="1"/>
  <c r="AB617" i="1"/>
  <c r="Y613" i="1" a="1"/>
  <c r="Y613" i="1"/>
  <c r="Z296" i="1" a="1"/>
  <c r="Z296" i="1"/>
  <c r="AB688" i="1" a="1"/>
  <c r="AB688" i="1"/>
  <c r="AC617" i="1" a="1"/>
  <c r="AC617" i="1"/>
  <c r="AB1214" i="1" a="1"/>
  <c r="AB1214" i="1"/>
  <c r="AC613" i="1" a="1"/>
  <c r="AC613" i="1"/>
  <c r="AB1145" i="1" a="1"/>
  <c r="AB1145" i="1"/>
  <c r="AC222" i="1" a="1"/>
  <c r="AC222" i="1"/>
  <c r="AA553" i="1" a="1"/>
  <c r="AA553" i="1"/>
  <c r="Y553" i="1" a="1"/>
  <c r="Y553" i="1"/>
  <c r="AB222" i="1" a="1"/>
  <c r="AB222" i="1"/>
  <c r="AC202" i="1" a="1"/>
  <c r="AC202" i="1"/>
  <c r="Z617" i="1" a="1"/>
  <c r="Z617" i="1"/>
  <c r="Y1214" i="1" a="1"/>
  <c r="Y1214" i="1"/>
  <c r="Z1145" i="1" a="1"/>
  <c r="Z1145" i="1"/>
  <c r="AA202" i="1" a="1"/>
  <c r="AA202" i="1"/>
  <c r="Z688" i="1" a="1"/>
  <c r="Z688" i="1"/>
  <c r="AB202" i="1" a="1"/>
  <c r="AB202" i="1"/>
  <c r="Y202" i="1" a="1"/>
  <c r="Y202" i="1"/>
  <c r="Y164" i="1" a="1"/>
  <c r="Y164" i="1"/>
  <c r="AA296" i="1" a="1"/>
  <c r="AA296" i="1"/>
  <c r="Z164" i="1" a="1"/>
  <c r="Z164" i="1"/>
  <c r="AB553" i="1" a="1"/>
  <c r="AB553" i="1"/>
  <c r="Y296" i="1" a="1"/>
  <c r="Y296" i="1"/>
  <c r="Y1145" i="1" a="1"/>
  <c r="Y1145" i="1"/>
  <c r="AA688" i="1" a="1"/>
  <c r="AA688" i="1"/>
  <c r="Z202" i="1" a="1"/>
  <c r="Z202" i="1"/>
  <c r="Y222" i="1" a="1"/>
  <c r="Y222" i="1"/>
  <c r="AA1214" i="1" a="1"/>
  <c r="AA1214" i="1"/>
  <c r="Y617" i="1" a="1"/>
  <c r="Y617" i="1"/>
  <c r="AC553" i="1" a="1"/>
  <c r="AC553" i="1"/>
  <c r="AA222" i="1" a="1"/>
  <c r="AA222" i="1"/>
  <c r="AB296" i="1" a="1"/>
  <c r="AB296" i="1"/>
  <c r="AA613" i="1" a="1"/>
  <c r="AA613" i="1"/>
  <c r="AA164" i="1" a="1"/>
  <c r="AA164" i="1"/>
  <c r="Y313" i="1" a="1"/>
  <c r="Y313" i="1"/>
  <c r="AB921" i="1" a="1"/>
  <c r="AB921" i="1"/>
  <c r="AC787" i="1" a="1"/>
  <c r="AC787" i="1"/>
  <c r="AC991" i="1" a="1"/>
  <c r="AC991" i="1"/>
  <c r="AC1119" i="1" a="1"/>
  <c r="AC1119" i="1"/>
  <c r="AA288" i="1" a="1"/>
  <c r="AA288" i="1"/>
  <c r="AA69" i="1" a="1"/>
  <c r="AA69" i="1"/>
  <c r="AA991" i="1" a="1"/>
  <c r="AA991" i="1"/>
  <c r="Y1202" i="1" a="1"/>
  <c r="Y1202" i="1"/>
  <c r="Y1119" i="1" a="1"/>
  <c r="Y1119" i="1"/>
  <c r="AA1119" i="1" a="1"/>
  <c r="AA1119" i="1"/>
  <c r="Y787" i="1" a="1"/>
  <c r="Y787" i="1"/>
  <c r="Z1605" i="1"/>
  <c r="AB34" i="1" a="1"/>
  <c r="AB34" i="1"/>
  <c r="AB1202" i="1" a="1"/>
  <c r="AB1202" i="1"/>
  <c r="AC288" i="1" a="1"/>
  <c r="AC288" i="1"/>
  <c r="Z991" i="1" a="1"/>
  <c r="Z991" i="1"/>
  <c r="AA1605" i="1"/>
  <c r="AB313" i="1" a="1"/>
  <c r="AB313" i="1"/>
  <c r="Z288" i="1" a="1"/>
  <c r="Z288" i="1"/>
  <c r="AB288" i="1" a="1"/>
  <c r="AB288" i="1"/>
  <c r="AC1605" i="1"/>
  <c r="AA34" i="1" a="1"/>
  <c r="AA34" i="1"/>
  <c r="AA787" i="1" a="1"/>
  <c r="AA787" i="1"/>
  <c r="Y69" i="1" a="1"/>
  <c r="Y69" i="1"/>
  <c r="AC34" i="1" a="1"/>
  <c r="AC34" i="1"/>
  <c r="Z34" i="1" a="1"/>
  <c r="Z34" i="1"/>
  <c r="Z1202" i="1" a="1"/>
  <c r="Z1202" i="1"/>
  <c r="Y1605" i="1"/>
  <c r="Z313" i="1" a="1"/>
  <c r="Z313" i="1"/>
  <c r="AB69" i="1" a="1"/>
  <c r="AB69" i="1"/>
  <c r="Z69" i="1" a="1"/>
  <c r="Z69" i="1"/>
  <c r="Y991" i="1" a="1"/>
  <c r="Y991" i="1"/>
  <c r="AC921" i="1" a="1"/>
  <c r="AC921" i="1"/>
  <c r="Z1119" i="1" a="1"/>
  <c r="Z1119" i="1"/>
  <c r="AA313" i="1" a="1"/>
  <c r="AA313" i="1"/>
  <c r="AA1202" i="1" a="1"/>
  <c r="AA1202" i="1"/>
  <c r="Y921" i="1" a="1"/>
  <c r="Y921" i="1"/>
  <c r="AB787" i="1" a="1"/>
  <c r="AB787" i="1"/>
  <c r="AA921" i="1" a="1"/>
  <c r="AA921" i="1"/>
  <c r="AC313" i="1" a="1"/>
  <c r="AC313" i="1"/>
  <c r="AB1605" i="1"/>
  <c r="AC1202" i="1" a="1"/>
  <c r="AC1202" i="1"/>
  <c r="Z921" i="1" a="1"/>
  <c r="Z921" i="1"/>
  <c r="AB1119" i="1" a="1"/>
  <c r="AB1119" i="1"/>
  <c r="Y288" i="1" a="1"/>
  <c r="Y288" i="1"/>
  <c r="AB991" i="1" a="1"/>
  <c r="AB991" i="1"/>
  <c r="Z787" i="1" a="1"/>
  <c r="Z787" i="1"/>
  <c r="Y34" i="1" a="1"/>
  <c r="Y34" i="1"/>
  <c r="AC69" i="1" a="1"/>
  <c r="AC69" i="1"/>
  <c r="AC416" i="1" a="1"/>
  <c r="AC416" i="1"/>
  <c r="Z79" i="1" a="1"/>
  <c r="Z79" i="1"/>
  <c r="Y998" i="1" a="1"/>
  <c r="Y998" i="1"/>
  <c r="AC79" i="1" a="1"/>
  <c r="AC79" i="1"/>
  <c r="Y1592" i="1"/>
  <c r="AA998" i="1" a="1"/>
  <c r="AA998" i="1"/>
  <c r="Z424" i="1" a="1"/>
  <c r="Z424" i="1"/>
  <c r="Y416" i="1" a="1"/>
  <c r="Y416" i="1"/>
  <c r="AB79" i="1" a="1"/>
  <c r="AB79" i="1"/>
  <c r="AB1151" i="1" a="1"/>
  <c r="AB1151" i="1"/>
  <c r="Y1151" i="1" a="1"/>
  <c r="Y1151" i="1"/>
  <c r="AB416" i="1" a="1"/>
  <c r="AB416" i="1"/>
  <c r="AC998" i="1" a="1"/>
  <c r="AC998" i="1"/>
  <c r="AA1323" i="1" a="1"/>
  <c r="AA1323" i="1"/>
  <c r="Y698" i="1" a="1"/>
  <c r="Y698" i="1"/>
  <c r="Y1504" i="1" a="1"/>
  <c r="Y1504" i="1"/>
  <c r="Y79" i="1" a="1"/>
  <c r="Y79" i="1"/>
  <c r="AC698" i="1" a="1"/>
  <c r="AC698" i="1"/>
  <c r="Z975" i="1" a="1"/>
  <c r="Z975" i="1"/>
  <c r="Z1151" i="1" a="1"/>
  <c r="Z1151" i="1"/>
  <c r="Z1504" i="1" a="1"/>
  <c r="Z1504" i="1"/>
  <c r="Z1323" i="1" a="1"/>
  <c r="Z1323" i="1"/>
  <c r="AA975" i="1" a="1"/>
  <c r="AA975" i="1"/>
  <c r="AA424" i="1" a="1"/>
  <c r="AA424" i="1"/>
  <c r="AB998" i="1" a="1"/>
  <c r="AB998" i="1"/>
  <c r="AB1504" i="1" a="1"/>
  <c r="AB1504" i="1"/>
  <c r="AA416" i="1" a="1"/>
  <c r="AA416" i="1"/>
  <c r="AC1592" i="1"/>
  <c r="Y424" i="1" a="1"/>
  <c r="Y424" i="1"/>
  <c r="AA698" i="1" a="1"/>
  <c r="AA698" i="1"/>
  <c r="AC1504" i="1" a="1"/>
  <c r="AC1504" i="1"/>
  <c r="AC1151" i="1" a="1"/>
  <c r="AC1151" i="1"/>
  <c r="Y1323" i="1" a="1"/>
  <c r="Y1323" i="1"/>
  <c r="AB698" i="1" a="1"/>
  <c r="AB698" i="1"/>
  <c r="AA1592" i="1"/>
  <c r="AB975" i="1" a="1"/>
  <c r="AB975" i="1"/>
  <c r="AB1323" i="1" a="1"/>
  <c r="AB1323" i="1"/>
  <c r="AC424" i="1" a="1"/>
  <c r="AC424" i="1"/>
  <c r="Z1592" i="1"/>
  <c r="Y975" i="1" a="1"/>
  <c r="Y975" i="1"/>
  <c r="AA1504" i="1" a="1"/>
  <c r="AA1504" i="1"/>
  <c r="Z998" i="1" a="1"/>
  <c r="Z998" i="1"/>
  <c r="AB424" i="1" a="1"/>
  <c r="AB424" i="1"/>
  <c r="Z698" i="1" a="1"/>
  <c r="Z698" i="1"/>
  <c r="AA79" i="1" a="1"/>
  <c r="AA79" i="1"/>
  <c r="AC1323" i="1" a="1"/>
  <c r="AC1323" i="1"/>
  <c r="AB1592" i="1"/>
  <c r="AA1151" i="1" a="1"/>
  <c r="AA1151" i="1"/>
  <c r="AC975" i="1" a="1"/>
  <c r="AC975" i="1"/>
  <c r="Z416" i="1" a="1"/>
  <c r="Z416" i="1"/>
  <c r="AA1450" i="1" a="1"/>
  <c r="AA1450" i="1"/>
  <c r="Z162" i="1" a="1"/>
  <c r="Z162" i="1"/>
  <c r="AB737" i="1" a="1"/>
  <c r="AB737" i="1"/>
  <c r="Z649" i="1" a="1"/>
  <c r="Z649" i="1"/>
  <c r="Z737" i="1" a="1"/>
  <c r="Z737" i="1"/>
  <c r="AA649" i="1" a="1"/>
  <c r="AA649" i="1"/>
  <c r="AB961" i="1" a="1"/>
  <c r="AB961" i="1"/>
  <c r="AC1450" i="1" a="1"/>
  <c r="AC1450" i="1"/>
  <c r="Z962" i="1" a="1"/>
  <c r="Z962" i="1"/>
  <c r="Y737" i="1" a="1"/>
  <c r="Y737" i="1"/>
  <c r="AC162" i="1" a="1"/>
  <c r="AC162" i="1"/>
  <c r="AB1450" i="1" a="1"/>
  <c r="AB1450" i="1"/>
  <c r="AA499" i="1" a="1"/>
  <c r="AA499" i="1"/>
  <c r="Z835" i="1" a="1"/>
  <c r="Z835" i="1"/>
  <c r="AB649" i="1" a="1"/>
  <c r="AB649" i="1"/>
  <c r="AA962" i="1" a="1"/>
  <c r="AA962" i="1"/>
  <c r="AA961" i="1" a="1"/>
  <c r="AA961" i="1"/>
  <c r="AC961" i="1" a="1"/>
  <c r="AC961" i="1"/>
  <c r="AC1195" i="1" a="1"/>
  <c r="AC1195" i="1"/>
  <c r="AA1195" i="1" a="1"/>
  <c r="AA1195" i="1"/>
  <c r="AB1195" i="1" a="1"/>
  <c r="AB1195" i="1"/>
  <c r="Z1450" i="1" a="1"/>
  <c r="Z1450" i="1"/>
  <c r="Z499" i="1" a="1"/>
  <c r="Z499" i="1"/>
  <c r="Z961" i="1" a="1"/>
  <c r="Z961" i="1"/>
  <c r="AC499" i="1" a="1"/>
  <c r="AC499" i="1"/>
  <c r="AB162" i="1" a="1"/>
  <c r="AB162" i="1"/>
  <c r="Z415" i="1" a="1"/>
  <c r="Z415" i="1"/>
  <c r="AA835" i="1" a="1"/>
  <c r="AA835" i="1"/>
  <c r="Y835" i="1" a="1"/>
  <c r="Y835" i="1"/>
  <c r="AC415" i="1" a="1"/>
  <c r="AC415" i="1"/>
  <c r="Y415" i="1" a="1"/>
  <c r="Y415" i="1"/>
  <c r="AA162" i="1" a="1"/>
  <c r="AA162" i="1"/>
  <c r="AB415" i="1" a="1"/>
  <c r="AB415" i="1"/>
  <c r="AC649" i="1" a="1"/>
  <c r="AC649" i="1"/>
  <c r="Y499" i="1" a="1"/>
  <c r="Y499" i="1"/>
  <c r="Z1195" i="1" a="1"/>
  <c r="Z1195" i="1"/>
  <c r="AC737" i="1" a="1"/>
  <c r="AC737" i="1"/>
  <c r="AA415" i="1" a="1"/>
  <c r="AA415" i="1"/>
  <c r="AB962" i="1" a="1"/>
  <c r="AB962" i="1"/>
  <c r="AC962" i="1" a="1"/>
  <c r="AC962" i="1"/>
  <c r="AB835" i="1" a="1"/>
  <c r="AB835" i="1"/>
  <c r="AB499" i="1" a="1"/>
  <c r="AB499" i="1"/>
  <c r="Y962" i="1" a="1"/>
  <c r="Y962" i="1"/>
  <c r="Y162" i="1" a="1"/>
  <c r="Y162" i="1"/>
  <c r="AC835" i="1" a="1"/>
  <c r="AC835" i="1"/>
  <c r="Y1195" i="1" a="1"/>
  <c r="Y1195" i="1"/>
  <c r="Y649" i="1" a="1"/>
  <c r="Y649" i="1"/>
  <c r="Y1450" i="1" a="1"/>
  <c r="Y1450" i="1"/>
  <c r="AA737" i="1" a="1"/>
  <c r="AA737" i="1"/>
  <c r="Y961" i="1" a="1"/>
  <c r="Y961" i="1"/>
  <c r="Z1513" i="1" a="1"/>
  <c r="Z1513" i="1"/>
  <c r="AA369" i="1" a="1"/>
  <c r="AA369" i="1"/>
  <c r="AC568" i="1" a="1"/>
  <c r="AC568" i="1"/>
  <c r="AB1196" i="1" a="1"/>
  <c r="AB1196" i="1"/>
  <c r="AA1566" i="1"/>
  <c r="Y1262" i="1" a="1"/>
  <c r="Y1262" i="1"/>
  <c r="AC1513" i="1" a="1"/>
  <c r="AC1513" i="1"/>
  <c r="Y1380" i="1" a="1"/>
  <c r="Y1380" i="1"/>
  <c r="AC369" i="1" a="1"/>
  <c r="AC369" i="1"/>
  <c r="AC1566" i="1"/>
  <c r="Z369" i="1" a="1"/>
  <c r="Z369" i="1"/>
  <c r="AC1166" i="1" a="1"/>
  <c r="AC1166" i="1"/>
  <c r="Z681" i="1" a="1"/>
  <c r="Z681" i="1"/>
  <c r="AA1166" i="1" a="1"/>
  <c r="AA1166" i="1"/>
  <c r="Y1379" i="1" a="1"/>
  <c r="Y1379" i="1"/>
  <c r="AB1379" i="1" a="1"/>
  <c r="AB1379" i="1"/>
  <c r="AC1262" i="1" a="1"/>
  <c r="AC1262" i="1"/>
  <c r="Z1166" i="1" a="1"/>
  <c r="Z1166" i="1"/>
  <c r="AB1566" i="1"/>
  <c r="AC1380" i="1" a="1"/>
  <c r="AC1380" i="1"/>
  <c r="AA1380" i="1" a="1"/>
  <c r="AA1380" i="1"/>
  <c r="AC681" i="1" a="1"/>
  <c r="AC681" i="1"/>
  <c r="Y681" i="1" a="1"/>
  <c r="Y681" i="1"/>
  <c r="AB1262" i="1" a="1"/>
  <c r="AB1262" i="1"/>
  <c r="Z1379" i="1" a="1"/>
  <c r="Z1379" i="1"/>
  <c r="Z1196" i="1" a="1"/>
  <c r="Z1196" i="1"/>
  <c r="Y1166" i="1" a="1"/>
  <c r="Y1166" i="1"/>
  <c r="AB681" i="1" a="1"/>
  <c r="AB681" i="1"/>
  <c r="AB1513" i="1" a="1"/>
  <c r="AB1513" i="1"/>
  <c r="AA1379" i="1" a="1"/>
  <c r="AA1379" i="1"/>
  <c r="AA568" i="1" a="1"/>
  <c r="AA568" i="1"/>
  <c r="AA1196" i="1" a="1"/>
  <c r="AA1196" i="1"/>
  <c r="AB568" i="1" a="1"/>
  <c r="AB568" i="1"/>
  <c r="Y1566" i="1"/>
  <c r="Z568" i="1" a="1"/>
  <c r="Z568" i="1"/>
  <c r="Y1513" i="1" a="1"/>
  <c r="Y1513" i="1"/>
  <c r="AB369" i="1" a="1"/>
  <c r="AB369" i="1"/>
  <c r="Z1380" i="1" a="1"/>
  <c r="Z1380" i="1"/>
  <c r="AC1196" i="1" a="1"/>
  <c r="AC1196" i="1"/>
  <c r="AA1513" i="1" a="1"/>
  <c r="AA1513" i="1"/>
  <c r="AA681" i="1" a="1"/>
  <c r="AA681" i="1"/>
  <c r="AA1262" i="1" a="1"/>
  <c r="AA1262" i="1"/>
  <c r="Y369" i="1" a="1"/>
  <c r="Y369" i="1"/>
  <c r="AB1380" i="1" a="1"/>
  <c r="AB1380" i="1"/>
  <c r="Y568" i="1" a="1"/>
  <c r="Y568" i="1"/>
  <c r="Z1566" i="1"/>
  <c r="AB1166" i="1" a="1"/>
  <c r="AB1166" i="1"/>
  <c r="AC1379" i="1" a="1"/>
  <c r="AC1379" i="1"/>
  <c r="Y1196" i="1" a="1"/>
  <c r="Y1196" i="1"/>
  <c r="Z1262" i="1" a="1"/>
  <c r="Z1262" i="1"/>
  <c r="AC1094" i="1" a="1"/>
  <c r="AC1094" i="1"/>
  <c r="AB1157" i="1" a="1"/>
  <c r="AB1157" i="1"/>
  <c r="Z1094" i="1" a="1"/>
  <c r="Z1094" i="1"/>
  <c r="AB113" i="1" a="1"/>
  <c r="AB113" i="1"/>
  <c r="AC1397" i="1" a="1"/>
  <c r="AC1397" i="1"/>
  <c r="AA138" i="1" a="1"/>
  <c r="AA138" i="1"/>
  <c r="Y1397" i="1" a="1"/>
  <c r="Y1397" i="1"/>
  <c r="AC1576" i="1"/>
  <c r="AA745" i="1" a="1"/>
  <c r="AA745" i="1"/>
  <c r="Y65" i="1" a="1"/>
  <c r="Y65" i="1"/>
  <c r="Y113" i="1" a="1"/>
  <c r="Y113" i="1"/>
  <c r="AC113" i="1" a="1"/>
  <c r="AC113" i="1"/>
  <c r="Z65" i="1" a="1"/>
  <c r="Z65" i="1"/>
  <c r="Z1397" i="1" a="1"/>
  <c r="Z1397" i="1"/>
  <c r="AA1126" i="1" a="1"/>
  <c r="AA1126" i="1"/>
  <c r="Z745" i="1" a="1"/>
  <c r="Z745" i="1"/>
  <c r="AC745" i="1" a="1"/>
  <c r="AC745" i="1"/>
  <c r="AB1397" i="1" a="1"/>
  <c r="AB1397" i="1"/>
  <c r="AB1094" i="1" a="1"/>
  <c r="AB1094" i="1"/>
  <c r="Y1157" i="1" a="1"/>
  <c r="Y1157" i="1"/>
  <c r="AC942" i="1" a="1"/>
  <c r="AC942" i="1"/>
  <c r="AC65" i="1" a="1"/>
  <c r="AC65" i="1"/>
  <c r="Z1576" i="1"/>
  <c r="AB1576" i="1"/>
  <c r="Z138" i="1" a="1"/>
  <c r="Z138" i="1"/>
  <c r="Y1576" i="1"/>
  <c r="Y138" i="1" a="1"/>
  <c r="Y138" i="1"/>
  <c r="AB942" i="1" a="1"/>
  <c r="AB942" i="1"/>
  <c r="AB1126" i="1" a="1"/>
  <c r="AB1126" i="1"/>
  <c r="Z113" i="1" a="1"/>
  <c r="Z113" i="1"/>
  <c r="AA1094" i="1" a="1"/>
  <c r="AA1094" i="1"/>
  <c r="Y1126" i="1" a="1"/>
  <c r="Y1126" i="1"/>
  <c r="AA942" i="1" a="1"/>
  <c r="AA942" i="1"/>
  <c r="Y942" i="1" a="1"/>
  <c r="Y942" i="1"/>
  <c r="AB138" i="1" a="1"/>
  <c r="AB138" i="1"/>
  <c r="AB65" i="1" a="1"/>
  <c r="AB65" i="1"/>
  <c r="AA1157" i="1" a="1"/>
  <c r="AA1157" i="1"/>
  <c r="AC1157" i="1" a="1"/>
  <c r="AC1157" i="1"/>
  <c r="AB745" i="1" a="1"/>
  <c r="AB745" i="1"/>
  <c r="AC1126" i="1" a="1"/>
  <c r="AC1126" i="1"/>
  <c r="Y745" i="1" a="1"/>
  <c r="Y745" i="1"/>
  <c r="AC138" i="1" a="1"/>
  <c r="AC138" i="1"/>
  <c r="AA1397" i="1" a="1"/>
  <c r="AA1397" i="1"/>
  <c r="AA113" i="1" a="1"/>
  <c r="AA113" i="1"/>
  <c r="AA1576" i="1"/>
  <c r="Z942" i="1" a="1"/>
  <c r="Z942" i="1"/>
  <c r="Z1126" i="1" a="1"/>
  <c r="Z1126" i="1"/>
  <c r="Z1157" i="1" a="1"/>
  <c r="Z1157" i="1"/>
  <c r="AA65" i="1" a="1"/>
  <c r="AA65" i="1"/>
  <c r="Y1094" i="1" a="1"/>
  <c r="Y1094" i="1"/>
  <c r="AB1086" i="1" a="1"/>
  <c r="AB1086" i="1"/>
  <c r="AC1360" i="1" a="1"/>
  <c r="AC1360" i="1"/>
  <c r="Y733" i="1" a="1"/>
  <c r="Y733" i="1"/>
  <c r="Z978" i="1" a="1"/>
  <c r="Z978" i="1"/>
  <c r="AA757" i="1" a="1"/>
  <c r="AA757" i="1"/>
  <c r="Z594" i="1" a="1"/>
  <c r="Z594" i="1"/>
  <c r="Y757" i="1" a="1"/>
  <c r="Y757" i="1"/>
  <c r="AA680" i="1" a="1"/>
  <c r="AA680" i="1"/>
  <c r="Y255" i="1" a="1"/>
  <c r="Y255" i="1"/>
  <c r="AC1086" i="1" a="1"/>
  <c r="AC1086" i="1"/>
  <c r="AA397" i="1" a="1"/>
  <c r="AA397" i="1"/>
  <c r="AB733" i="1" a="1"/>
  <c r="AB733" i="1"/>
  <c r="Y978" i="1" a="1"/>
  <c r="Y978" i="1"/>
  <c r="AC160" i="1" a="1"/>
  <c r="AC160" i="1"/>
  <c r="Y1360" i="1" a="1"/>
  <c r="Y1360" i="1"/>
  <c r="AB757" i="1" a="1"/>
  <c r="AB757" i="1"/>
  <c r="AC978" i="1" a="1"/>
  <c r="AC978" i="1"/>
  <c r="Z1086" i="1" a="1"/>
  <c r="Z1086" i="1"/>
  <c r="Y160" i="1" a="1"/>
  <c r="Y160" i="1"/>
  <c r="AA160" i="1" a="1"/>
  <c r="AA160" i="1"/>
  <c r="AA255" i="1" a="1"/>
  <c r="AA255" i="1"/>
  <c r="AB160" i="1" a="1"/>
  <c r="AB160" i="1"/>
  <c r="Y397" i="1" a="1"/>
  <c r="Y397" i="1"/>
  <c r="AC594" i="1" a="1"/>
  <c r="AC594" i="1"/>
  <c r="AB397" i="1" a="1"/>
  <c r="AB397" i="1"/>
  <c r="AA733" i="1" a="1"/>
  <c r="AA733" i="1"/>
  <c r="AB594" i="1" a="1"/>
  <c r="AB594" i="1"/>
  <c r="AC255" i="1" a="1"/>
  <c r="AC255" i="1"/>
  <c r="Z680" i="1" a="1"/>
  <c r="Z680" i="1"/>
  <c r="AB680" i="1" a="1"/>
  <c r="AB680" i="1"/>
  <c r="AB1360" i="1" a="1"/>
  <c r="AB1360" i="1"/>
  <c r="AC397" i="1" a="1"/>
  <c r="AC397" i="1"/>
  <c r="Y1086" i="1" a="1"/>
  <c r="Y1086" i="1"/>
  <c r="Z757" i="1" a="1"/>
  <c r="Z757" i="1"/>
  <c r="AB978" i="1" a="1"/>
  <c r="AB978" i="1"/>
  <c r="AA594" i="1" a="1"/>
  <c r="AA594" i="1"/>
  <c r="Y680" i="1" a="1"/>
  <c r="Y680" i="1"/>
  <c r="Z1360" i="1" a="1"/>
  <c r="Z1360" i="1"/>
  <c r="Z255" i="1" a="1"/>
  <c r="Z255" i="1"/>
  <c r="AC733" i="1" a="1"/>
  <c r="AC733" i="1"/>
  <c r="AA1360" i="1" a="1"/>
  <c r="AA1360" i="1"/>
  <c r="Z733" i="1" a="1"/>
  <c r="Z733" i="1"/>
  <c r="Z397" i="1" a="1"/>
  <c r="Z397" i="1"/>
  <c r="AA978" i="1" a="1"/>
  <c r="AA978" i="1"/>
  <c r="Y594" i="1" a="1"/>
  <c r="Y594" i="1"/>
  <c r="AA1086" i="1" a="1"/>
  <c r="AA1086" i="1"/>
  <c r="AC757" i="1" a="1"/>
  <c r="AC757" i="1"/>
  <c r="Z160" i="1" a="1"/>
  <c r="Z160" i="1"/>
  <c r="AC680" i="1" a="1"/>
  <c r="AC680" i="1"/>
  <c r="AB255" i="1" a="1"/>
  <c r="AB255" i="1"/>
  <c r="AA662" i="1" a="1"/>
  <c r="AA662" i="1"/>
  <c r="AB1432" i="1" a="1"/>
  <c r="AB1432" i="1"/>
  <c r="AC238" i="1" a="1"/>
  <c r="AC238" i="1"/>
  <c r="AC484" i="1" a="1"/>
  <c r="AC484" i="1"/>
  <c r="AB379" i="1" a="1"/>
  <c r="AB379" i="1"/>
  <c r="AB566" i="1" a="1"/>
  <c r="AB566" i="1"/>
  <c r="AC1048" i="1" a="1"/>
  <c r="AC1048" i="1"/>
  <c r="AC662" i="1" a="1"/>
  <c r="AC662" i="1"/>
  <c r="AA566" i="1" a="1"/>
  <c r="AA566" i="1"/>
  <c r="AC379" i="1" a="1"/>
  <c r="AC379" i="1"/>
  <c r="Y1048" i="1" a="1"/>
  <c r="Y1048" i="1"/>
  <c r="Z1018" i="1" a="1"/>
  <c r="Z1018" i="1"/>
  <c r="AC1018" i="1" a="1"/>
  <c r="AC1018" i="1"/>
  <c r="Y1018" i="1" a="1"/>
  <c r="Y1018" i="1"/>
  <c r="Y566" i="1" a="1"/>
  <c r="Y566" i="1"/>
  <c r="Y379" i="1" a="1"/>
  <c r="Y379" i="1"/>
  <c r="Y238" i="1" a="1"/>
  <c r="Y238" i="1"/>
  <c r="AB396" i="1" a="1"/>
  <c r="AB396" i="1"/>
  <c r="Z631" i="1" a="1"/>
  <c r="Z631" i="1"/>
  <c r="Y396" i="1" a="1"/>
  <c r="Y396" i="1"/>
  <c r="Y1432" i="1" a="1"/>
  <c r="Y1432" i="1"/>
  <c r="Z1432" i="1" a="1"/>
  <c r="Z1432" i="1"/>
  <c r="AB238" i="1" a="1"/>
  <c r="AB238" i="1"/>
  <c r="AC396" i="1" a="1"/>
  <c r="AC396" i="1"/>
  <c r="AA484" i="1" a="1"/>
  <c r="AA484" i="1"/>
  <c r="AB1048" i="1" a="1"/>
  <c r="AB1048" i="1"/>
  <c r="Z484" i="1" a="1"/>
  <c r="Z484" i="1"/>
  <c r="AA379" i="1" a="1"/>
  <c r="AA379" i="1"/>
  <c r="Y484" i="1" a="1"/>
  <c r="Y484" i="1"/>
  <c r="AC1432" i="1" a="1"/>
  <c r="AC1432" i="1"/>
  <c r="AA631" i="1" a="1"/>
  <c r="AA631" i="1"/>
  <c r="AC631" i="1" a="1"/>
  <c r="AC631" i="1"/>
  <c r="Z1048" i="1" a="1"/>
  <c r="Z1048" i="1"/>
  <c r="AB662" i="1" a="1"/>
  <c r="AB662" i="1"/>
  <c r="AA396" i="1" a="1"/>
  <c r="AA396" i="1"/>
  <c r="Y662" i="1" a="1"/>
  <c r="Y662" i="1"/>
  <c r="Z566" i="1" a="1"/>
  <c r="Z566" i="1"/>
  <c r="AB1018" i="1" a="1"/>
  <c r="AB1018" i="1"/>
  <c r="Z238" i="1" a="1"/>
  <c r="Z238" i="1"/>
  <c r="AB631" i="1" a="1"/>
  <c r="AB631" i="1"/>
  <c r="AA1018" i="1" a="1"/>
  <c r="AA1018" i="1"/>
  <c r="Z662" i="1" a="1"/>
  <c r="Z662" i="1"/>
  <c r="AA1432" i="1" a="1"/>
  <c r="AA1432" i="1"/>
  <c r="AA1048" i="1" a="1"/>
  <c r="AA1048" i="1"/>
  <c r="AC566" i="1" a="1"/>
  <c r="AC566" i="1"/>
  <c r="AA238" i="1" a="1"/>
  <c r="AA238" i="1"/>
  <c r="Z396" i="1" a="1"/>
  <c r="Z396" i="1"/>
  <c r="Z379" i="1" a="1"/>
  <c r="Z379" i="1"/>
  <c r="AB484" i="1" a="1"/>
  <c r="AB484" i="1"/>
  <c r="Y631" i="1" a="1"/>
  <c r="Y631" i="1"/>
  <c r="AA461" i="1" a="1"/>
  <c r="AA461" i="1"/>
  <c r="AC461" i="1" a="1"/>
  <c r="AC461" i="1"/>
  <c r="AC1063" i="1" a="1"/>
  <c r="AC1063" i="1"/>
  <c r="Z391" i="1" a="1"/>
  <c r="Z391" i="1"/>
  <c r="AB1601" i="1"/>
  <c r="AB1447" i="1" a="1"/>
  <c r="AB1447" i="1"/>
  <c r="AC891" i="1" a="1"/>
  <c r="AC891" i="1"/>
  <c r="Y1447" i="1" a="1"/>
  <c r="Y1447" i="1"/>
  <c r="Y891" i="1" a="1"/>
  <c r="Y891" i="1"/>
  <c r="AA1601" i="1"/>
  <c r="AB1063" i="1" a="1"/>
  <c r="AB1063" i="1"/>
  <c r="AC391" i="1" a="1"/>
  <c r="AC391" i="1"/>
  <c r="AB1523" i="1" a="1"/>
  <c r="AB1523" i="1"/>
  <c r="Z1026" i="1" a="1"/>
  <c r="Z1026" i="1"/>
  <c r="AA738" i="1" a="1"/>
  <c r="AA738" i="1"/>
  <c r="Y1063" i="1" a="1"/>
  <c r="Y1063" i="1"/>
  <c r="AC1026" i="1" a="1"/>
  <c r="AC1026" i="1"/>
  <c r="AB1026" i="1" a="1"/>
  <c r="AB1026" i="1"/>
  <c r="AA1523" i="1" a="1"/>
  <c r="AA1523" i="1"/>
  <c r="Z738" i="1" a="1"/>
  <c r="Z738" i="1"/>
  <c r="Z1447" i="1" a="1"/>
  <c r="Z1447" i="1"/>
  <c r="AA963" i="1" a="1"/>
  <c r="AA963" i="1"/>
  <c r="Z461" i="1" a="1"/>
  <c r="Z461" i="1"/>
  <c r="AB391" i="1" a="1"/>
  <c r="AB391" i="1"/>
  <c r="AA391" i="1" a="1"/>
  <c r="AA391" i="1"/>
  <c r="Y1523" i="1" a="1"/>
  <c r="Y1523" i="1"/>
  <c r="AC1447" i="1" a="1"/>
  <c r="AC1447" i="1"/>
  <c r="AA1026" i="1" a="1"/>
  <c r="AA1026" i="1"/>
  <c r="AC738" i="1" a="1"/>
  <c r="AC738" i="1"/>
  <c r="AB963" i="1" a="1"/>
  <c r="AB963" i="1"/>
  <c r="AB738" i="1" a="1"/>
  <c r="AB738" i="1"/>
  <c r="AB891" i="1" a="1"/>
  <c r="AB891" i="1"/>
  <c r="Y461" i="1" a="1"/>
  <c r="Y461" i="1"/>
  <c r="Z963" i="1" a="1"/>
  <c r="Z963" i="1"/>
  <c r="Z1601" i="1" a="1"/>
  <c r="Z1601" i="1"/>
  <c r="Y963" i="1" a="1"/>
  <c r="Y963" i="1"/>
  <c r="AA891" i="1" a="1"/>
  <c r="AA891" i="1"/>
  <c r="Y1601" i="1" a="1"/>
  <c r="Y1601" i="1"/>
  <c r="Z1063" i="1" a="1"/>
  <c r="Z1063" i="1"/>
  <c r="Z1523" i="1" a="1"/>
  <c r="Z1523" i="1"/>
  <c r="AA1063" i="1" a="1"/>
  <c r="AA1063" i="1"/>
  <c r="Y738" i="1" a="1"/>
  <c r="Y738" i="1"/>
  <c r="AA1447" i="1" a="1"/>
  <c r="AA1447" i="1"/>
  <c r="AC1523" i="1" a="1"/>
  <c r="AC1523" i="1"/>
  <c r="Z891" i="1" a="1"/>
  <c r="Z891" i="1"/>
  <c r="Y391" i="1" a="1"/>
  <c r="Y391" i="1"/>
  <c r="Y1026" i="1" a="1"/>
  <c r="Y1026" i="1"/>
  <c r="AC963" i="1" a="1"/>
  <c r="AC963" i="1"/>
  <c r="AC1601" i="1"/>
  <c r="AB461" i="1" a="1"/>
  <c r="AB461" i="1"/>
  <c r="Y1320" i="1" a="1"/>
  <c r="Y1320" i="1"/>
  <c r="Y1316" i="1" a="1"/>
  <c r="Y1316" i="1"/>
  <c r="Y958" i="1" a="1"/>
  <c r="Y958" i="1"/>
  <c r="AB932" i="1" a="1"/>
  <c r="AB932" i="1"/>
  <c r="Y908" i="1" a="1"/>
  <c r="Y908" i="1"/>
  <c r="AA1316" i="1" a="1"/>
  <c r="AA1316" i="1"/>
  <c r="Z1316" i="1" a="1"/>
  <c r="Z1316" i="1"/>
  <c r="Z958" i="1" a="1"/>
  <c r="Z958" i="1"/>
  <c r="AC82" i="1" a="1"/>
  <c r="AC82" i="1"/>
  <c r="AA1320" i="1" a="1"/>
  <c r="AA1320" i="1"/>
  <c r="AA908" i="1" a="1"/>
  <c r="AA908" i="1"/>
  <c r="Y932" i="1" a="1"/>
  <c r="Y932" i="1"/>
  <c r="Z727" i="1" a="1"/>
  <c r="Z727" i="1"/>
  <c r="AC908" i="1" a="1"/>
  <c r="AC908" i="1"/>
  <c r="AC1316" i="1" a="1"/>
  <c r="AC1316" i="1"/>
  <c r="AA1090" i="1" a="1"/>
  <c r="AA1090" i="1"/>
  <c r="Z402" i="1" a="1"/>
  <c r="Z402" i="1"/>
  <c r="AC1090" i="1" a="1"/>
  <c r="AC1090" i="1"/>
  <c r="AC727" i="1" a="1"/>
  <c r="AC727" i="1"/>
  <c r="Z908" i="1" a="1"/>
  <c r="Z908" i="1"/>
  <c r="Y727" i="1" a="1"/>
  <c r="Y727" i="1"/>
  <c r="AA1308" i="1" a="1"/>
  <c r="AA1308" i="1"/>
  <c r="AA958" i="1" a="1"/>
  <c r="AA958" i="1"/>
  <c r="Z1320" i="1" a="1"/>
  <c r="Z1320" i="1"/>
  <c r="AB1308" i="1" a="1"/>
  <c r="AB1308" i="1"/>
  <c r="Y1090" i="1" a="1"/>
  <c r="Y1090" i="1"/>
  <c r="Y1308" i="1" a="1"/>
  <c r="Y1308" i="1"/>
  <c r="AA727" i="1" a="1"/>
  <c r="AA727" i="1"/>
  <c r="AB958" i="1" a="1"/>
  <c r="AB958" i="1"/>
  <c r="AB1090" i="1" a="1"/>
  <c r="AB1090" i="1"/>
  <c r="AA82" i="1" a="1"/>
  <c r="AA82" i="1"/>
  <c r="AC402" i="1" a="1"/>
  <c r="AC402" i="1"/>
  <c r="AC1320" i="1" a="1"/>
  <c r="AC1320" i="1"/>
  <c r="Z932" i="1" a="1"/>
  <c r="Z932" i="1"/>
  <c r="AB82" i="1" a="1"/>
  <c r="AB82" i="1"/>
  <c r="Y402" i="1" a="1"/>
  <c r="Y402" i="1"/>
  <c r="AC932" i="1" a="1"/>
  <c r="AC932" i="1"/>
  <c r="AA402" i="1" a="1"/>
  <c r="AA402" i="1"/>
  <c r="Y82" i="1" a="1"/>
  <c r="Y82" i="1"/>
  <c r="AC1308" i="1" a="1"/>
  <c r="AC1308" i="1"/>
  <c r="Z1308" i="1" a="1"/>
  <c r="Z1308" i="1"/>
  <c r="Z82" i="1" a="1"/>
  <c r="Z82" i="1"/>
  <c r="AB1320" i="1" a="1"/>
  <c r="AB1320" i="1"/>
  <c r="Z1090" i="1" a="1"/>
  <c r="Z1090" i="1"/>
  <c r="AC958" i="1" a="1"/>
  <c r="AC958" i="1"/>
  <c r="AB1316" i="1" a="1"/>
  <c r="AB1316" i="1"/>
  <c r="AB402" i="1" a="1"/>
  <c r="AB402" i="1"/>
  <c r="AA932" i="1" a="1"/>
  <c r="AA932" i="1"/>
  <c r="AB908" i="1" a="1"/>
  <c r="AB908" i="1"/>
  <c r="AB727" i="1" a="1"/>
  <c r="AB727" i="1"/>
  <c r="AA864" i="1" a="1"/>
  <c r="AA864" i="1"/>
  <c r="AB939" i="1" a="1"/>
  <c r="AB939" i="1"/>
  <c r="AA690" i="1" a="1"/>
  <c r="AA690" i="1"/>
  <c r="Y864" i="1" a="1"/>
  <c r="Y864" i="1"/>
  <c r="Z1297" i="1" a="1"/>
  <c r="Z1297" i="1"/>
  <c r="AB1297" i="1" a="1"/>
  <c r="AB1297" i="1"/>
  <c r="Z864" i="1" a="1"/>
  <c r="Z864" i="1"/>
  <c r="Z1032" i="1" a="1"/>
  <c r="Z1032" i="1"/>
  <c r="Z939" i="1" a="1"/>
  <c r="Z939" i="1"/>
  <c r="Y469" i="1" a="1"/>
  <c r="Y469" i="1"/>
  <c r="Y88" i="1" a="1"/>
  <c r="Y88" i="1"/>
  <c r="AB1032" i="1" a="1"/>
  <c r="AB1032" i="1"/>
  <c r="AC1032" i="1" a="1"/>
  <c r="AC1032" i="1"/>
  <c r="AB88" i="1" a="1"/>
  <c r="AB88" i="1"/>
  <c r="Z88" i="1" a="1"/>
  <c r="Z88" i="1"/>
  <c r="AC690" i="1" a="1"/>
  <c r="AC690" i="1"/>
  <c r="AA469" i="1" a="1"/>
  <c r="AA469" i="1"/>
  <c r="AA939" i="1" a="1"/>
  <c r="AA939" i="1"/>
  <c r="AB469" i="1" a="1"/>
  <c r="AB469" i="1"/>
  <c r="Z625" i="1" a="1"/>
  <c r="Z625" i="1"/>
  <c r="AA88" i="1" a="1"/>
  <c r="AA88" i="1"/>
  <c r="AB577" i="1" a="1"/>
  <c r="AB577" i="1"/>
  <c r="AB1128" i="1" a="1"/>
  <c r="AB1128" i="1"/>
  <c r="Y939" i="1" a="1"/>
  <c r="Y939" i="1"/>
  <c r="AA1128" i="1" a="1"/>
  <c r="AA1128" i="1"/>
  <c r="Y1032" i="1" a="1"/>
  <c r="Y1032" i="1"/>
  <c r="AC625" i="1" a="1"/>
  <c r="AC625" i="1"/>
  <c r="AA625" i="1" a="1"/>
  <c r="AA625" i="1"/>
  <c r="Z577" i="1" a="1"/>
  <c r="Z577" i="1"/>
  <c r="AB625" i="1" a="1"/>
  <c r="AB625" i="1"/>
  <c r="AA1297" i="1" a="1"/>
  <c r="AA1297" i="1"/>
  <c r="AC469" i="1" a="1"/>
  <c r="AC469" i="1"/>
  <c r="Z1128" i="1" a="1"/>
  <c r="Z1128" i="1"/>
  <c r="Y577" i="1" a="1"/>
  <c r="Y577" i="1"/>
  <c r="AC1128" i="1" a="1"/>
  <c r="AC1128" i="1"/>
  <c r="AB690" i="1" a="1"/>
  <c r="AB690" i="1"/>
  <c r="AB864" i="1" a="1"/>
  <c r="AB864" i="1"/>
  <c r="AC577" i="1" a="1"/>
  <c r="AC577" i="1"/>
  <c r="Y1297" i="1" a="1"/>
  <c r="Y1297" i="1"/>
  <c r="Z690" i="1" a="1"/>
  <c r="Z690" i="1"/>
  <c r="Y690" i="1" a="1"/>
  <c r="Y690" i="1"/>
  <c r="AC864" i="1" a="1"/>
  <c r="AC864" i="1"/>
  <c r="AA1032" i="1" a="1"/>
  <c r="AA1032" i="1"/>
  <c r="AC1297" i="1" a="1"/>
  <c r="AC1297" i="1"/>
  <c r="Y1128" i="1" a="1"/>
  <c r="Y1128" i="1"/>
  <c r="AA577" i="1" a="1"/>
  <c r="AA577" i="1"/>
  <c r="AC88" i="1" a="1"/>
  <c r="AC88" i="1"/>
  <c r="Y625" i="1" a="1"/>
  <c r="Y625" i="1"/>
  <c r="AC939" i="1" a="1"/>
  <c r="AC939" i="1"/>
  <c r="Z469" i="1" a="1"/>
  <c r="Z469" i="1"/>
  <c r="Z235" i="1" a="1"/>
  <c r="Z235" i="1"/>
  <c r="AB904" i="1" a="1"/>
  <c r="AB904" i="1"/>
  <c r="AB208" i="1" a="1"/>
  <c r="AB208" i="1"/>
  <c r="AC149" i="1" a="1"/>
  <c r="AC149" i="1"/>
  <c r="AB1163" i="1" a="1"/>
  <c r="AB1163" i="1"/>
  <c r="Y1163" i="1" a="1"/>
  <c r="Y1163" i="1"/>
  <c r="AC1035" i="1" a="1"/>
  <c r="AC1035" i="1"/>
  <c r="AA1058" i="1" a="1"/>
  <c r="AA1058" i="1"/>
  <c r="Z1236" i="1" a="1"/>
  <c r="Z1236" i="1"/>
  <c r="Z870" i="1" a="1"/>
  <c r="Z870" i="1"/>
  <c r="Y208" i="1" a="1"/>
  <c r="Y208" i="1"/>
  <c r="AB216" i="1" a="1"/>
  <c r="AB216" i="1"/>
  <c r="Y1236" i="1" a="1"/>
  <c r="Y1236" i="1"/>
  <c r="Z1163" i="1" a="1"/>
  <c r="Z1163" i="1"/>
  <c r="AC1236" i="1" a="1"/>
  <c r="AC1236" i="1"/>
  <c r="Z904" i="1" a="1"/>
  <c r="Z904" i="1"/>
  <c r="AA1035" i="1" a="1"/>
  <c r="AA1035" i="1"/>
  <c r="Z208" i="1" a="1"/>
  <c r="Z208" i="1"/>
  <c r="AB870" i="1" a="1"/>
  <c r="AB870" i="1"/>
  <c r="Z149" i="1" a="1"/>
  <c r="Z149" i="1"/>
  <c r="AA235" i="1" a="1"/>
  <c r="AA235" i="1"/>
  <c r="AC235" i="1" a="1"/>
  <c r="AC235" i="1"/>
  <c r="Y235" i="1" a="1"/>
  <c r="Y235" i="1"/>
  <c r="AB1058" i="1" a="1"/>
  <c r="AB1058" i="1"/>
  <c r="AA870" i="1" a="1"/>
  <c r="AA870" i="1"/>
  <c r="Y1058" i="1" a="1"/>
  <c r="Y1058" i="1"/>
  <c r="Y216" i="1" a="1"/>
  <c r="Y216" i="1"/>
  <c r="AA149" i="1" a="1"/>
  <c r="AA149" i="1"/>
  <c r="AA904" i="1" a="1"/>
  <c r="AA904" i="1"/>
  <c r="Z1058" i="1" a="1"/>
  <c r="Z1058" i="1"/>
  <c r="Y870" i="1" a="1"/>
  <c r="Y870" i="1"/>
  <c r="Z1035" i="1" a="1"/>
  <c r="Z1035" i="1"/>
  <c r="AA1163" i="1" a="1"/>
  <c r="AA1163" i="1"/>
  <c r="Y904" i="1" a="1"/>
  <c r="Y904" i="1"/>
  <c r="AA216" i="1" a="1"/>
  <c r="AA216" i="1"/>
  <c r="AB1236" i="1" a="1"/>
  <c r="AB1236" i="1"/>
  <c r="AA208" i="1" a="1"/>
  <c r="AA208" i="1"/>
  <c r="Y149" i="1" a="1"/>
  <c r="Y149" i="1"/>
  <c r="Y1035" i="1" a="1"/>
  <c r="Y1035" i="1"/>
  <c r="Z216" i="1" a="1"/>
  <c r="Z216" i="1"/>
  <c r="AC1058" i="1" a="1"/>
  <c r="AC1058" i="1"/>
  <c r="AC1163" i="1" a="1"/>
  <c r="AC1163" i="1"/>
  <c r="AB235" i="1" a="1"/>
  <c r="AB235" i="1"/>
  <c r="AC216" i="1" a="1"/>
  <c r="AC216" i="1"/>
  <c r="AB1035" i="1" a="1"/>
  <c r="AB1035" i="1"/>
  <c r="AA1236" i="1" a="1"/>
  <c r="AA1236" i="1"/>
  <c r="AC870" i="1" a="1"/>
  <c r="AC870" i="1"/>
  <c r="AB149" i="1" a="1"/>
  <c r="AB149" i="1"/>
  <c r="AC904" i="1" a="1"/>
  <c r="AC904" i="1"/>
  <c r="AC208" i="1" a="1"/>
  <c r="AC208" i="1"/>
  <c r="AB1303" i="1" a="1"/>
  <c r="AB1303" i="1"/>
  <c r="Y1172" i="1" a="1"/>
  <c r="Y1172" i="1"/>
  <c r="AC1318" i="1" a="1"/>
  <c r="AC1318" i="1"/>
  <c r="AA1043" i="1" a="1"/>
  <c r="AA1043" i="1"/>
  <c r="AB73" i="1" a="1"/>
  <c r="AB73" i="1"/>
  <c r="AB892" i="1" a="1"/>
  <c r="AB892" i="1"/>
  <c r="AA1318" i="1" a="1"/>
  <c r="AA1318" i="1"/>
  <c r="AC1172" i="1" a="1"/>
  <c r="AC1172" i="1"/>
  <c r="AC1303" i="1" a="1"/>
  <c r="AC1303" i="1"/>
  <c r="AA1172" i="1" a="1"/>
  <c r="AA1172" i="1"/>
  <c r="AB1043" i="1" a="1"/>
  <c r="AB1043" i="1"/>
  <c r="AA1303" i="1" a="1"/>
  <c r="AA1303" i="1"/>
  <c r="Z73" i="1" a="1"/>
  <c r="Z73" i="1"/>
  <c r="AA73" i="1" a="1"/>
  <c r="AA73" i="1"/>
  <c r="AC1529" i="1" a="1"/>
  <c r="AC1529" i="1"/>
  <c r="AC432" i="1" a="1"/>
  <c r="AC432" i="1"/>
  <c r="AB1240" i="1" a="1"/>
  <c r="AB1240" i="1"/>
  <c r="Z892" i="1" a="1"/>
  <c r="Z892" i="1"/>
  <c r="Y1043" i="1" a="1"/>
  <c r="Y1043" i="1"/>
  <c r="AB432" i="1" a="1"/>
  <c r="AB432" i="1"/>
  <c r="AA1240" i="1" a="1"/>
  <c r="AA1240" i="1"/>
  <c r="AC1240" i="1" a="1"/>
  <c r="AC1240" i="1"/>
  <c r="Y372" i="1" a="1"/>
  <c r="Y372" i="1"/>
  <c r="AB1529" i="1" a="1"/>
  <c r="AB1529" i="1"/>
  <c r="AA1529" i="1" a="1"/>
  <c r="AA1529" i="1"/>
  <c r="AB372" i="1" a="1"/>
  <c r="AB372" i="1"/>
  <c r="AB1318" i="1" a="1"/>
  <c r="AB1318" i="1"/>
  <c r="Y1303" i="1" a="1"/>
  <c r="Y1303" i="1"/>
  <c r="Z1043" i="1" a="1"/>
  <c r="Z1043" i="1"/>
  <c r="Z432" i="1" a="1"/>
  <c r="Z432" i="1"/>
  <c r="AC73" i="1" a="1"/>
  <c r="AC73" i="1"/>
  <c r="Z1529" i="1" a="1"/>
  <c r="Z1529" i="1"/>
  <c r="AA892" i="1" a="1"/>
  <c r="AA892" i="1"/>
  <c r="Z1172" i="1" a="1"/>
  <c r="Z1172" i="1"/>
  <c r="Y892" i="1" a="1"/>
  <c r="Y892" i="1"/>
  <c r="Y432" i="1" a="1"/>
  <c r="Y432" i="1"/>
  <c r="Z372" i="1" a="1"/>
  <c r="Z372" i="1"/>
  <c r="AC372" i="1" a="1"/>
  <c r="AC372" i="1"/>
  <c r="Y1318" i="1" a="1"/>
  <c r="Y1318" i="1"/>
  <c r="Z1240" i="1" a="1"/>
  <c r="Z1240" i="1"/>
  <c r="AC1043" i="1" a="1"/>
  <c r="AC1043" i="1"/>
  <c r="AA372" i="1" a="1"/>
  <c r="AA372" i="1"/>
  <c r="AB1172" i="1" a="1"/>
  <c r="AB1172" i="1"/>
  <c r="AC892" i="1" a="1"/>
  <c r="AC892" i="1"/>
  <c r="Y1529" i="1" a="1"/>
  <c r="Y1529" i="1"/>
  <c r="Z1303" i="1" a="1"/>
  <c r="Z1303" i="1"/>
  <c r="AA432" i="1" a="1"/>
  <c r="AA432" i="1"/>
  <c r="Z1318" i="1" a="1"/>
  <c r="Z1318" i="1"/>
  <c r="Y1240" i="1" a="1"/>
  <c r="Y1240" i="1"/>
  <c r="Y73" i="1" a="1"/>
  <c r="Y73" i="1"/>
  <c r="AA129" i="1" a="1"/>
  <c r="AA129" i="1"/>
  <c r="AA937" i="1" a="1"/>
  <c r="AA937" i="1"/>
  <c r="AA501" i="1" a="1"/>
  <c r="AA501" i="1"/>
  <c r="AC129" i="1" a="1"/>
  <c r="AC129" i="1"/>
  <c r="Y925" i="1" a="1"/>
  <c r="Y925" i="1"/>
  <c r="AA830" i="1" a="1"/>
  <c r="AA830" i="1"/>
  <c r="AB830" i="1" a="1"/>
  <c r="AB830" i="1"/>
  <c r="AB576" i="1" a="1"/>
  <c r="AB576" i="1"/>
  <c r="Z576" i="1" a="1"/>
  <c r="Z576" i="1"/>
  <c r="Y1446" i="1" a="1"/>
  <c r="Y1446" i="1"/>
  <c r="Y1078" i="1" a="1"/>
  <c r="Y1078" i="1"/>
  <c r="AC830" i="1" a="1"/>
  <c r="AC830" i="1"/>
  <c r="AC501" i="1" a="1"/>
  <c r="AC501" i="1"/>
  <c r="AC158" i="1" a="1"/>
  <c r="AC158" i="1"/>
  <c r="AB1078" i="1" a="1"/>
  <c r="AB1078" i="1"/>
  <c r="Z1078" i="1" a="1"/>
  <c r="Z1078" i="1"/>
  <c r="Z925" i="1" a="1"/>
  <c r="Z925" i="1"/>
  <c r="AA158" i="1" a="1"/>
  <c r="AA158" i="1"/>
  <c r="AB925" i="1" a="1"/>
  <c r="AB925" i="1"/>
  <c r="Z937" i="1" a="1"/>
  <c r="Z937" i="1"/>
  <c r="AC1415" i="1" a="1"/>
  <c r="AC1415" i="1"/>
  <c r="Y501" i="1" a="1"/>
  <c r="Y501" i="1"/>
  <c r="AC1446" i="1" a="1"/>
  <c r="AC1446" i="1"/>
  <c r="Z129" i="1" a="1"/>
  <c r="Z129" i="1"/>
  <c r="Z158" i="1" a="1"/>
  <c r="Z158" i="1"/>
  <c r="Y129" i="1" a="1"/>
  <c r="Y129" i="1"/>
  <c r="Z501" i="1" a="1"/>
  <c r="Z501" i="1"/>
  <c r="Y830" i="1" a="1"/>
  <c r="Y830" i="1"/>
  <c r="AA1415" i="1" a="1"/>
  <c r="AA1415" i="1"/>
  <c r="Y158" i="1" a="1"/>
  <c r="Y158" i="1"/>
  <c r="Z1446" i="1" a="1"/>
  <c r="Z1446" i="1"/>
  <c r="AC937" i="1" a="1"/>
  <c r="AC937" i="1"/>
  <c r="Z1415" i="1" a="1"/>
  <c r="Z1415" i="1"/>
  <c r="AA576" i="1" a="1"/>
  <c r="AA576" i="1"/>
  <c r="Y1415" i="1" a="1"/>
  <c r="Y1415" i="1"/>
  <c r="AA1446" i="1" a="1"/>
  <c r="AA1446" i="1"/>
  <c r="AC1078" i="1" a="1"/>
  <c r="AC1078" i="1"/>
  <c r="Y937" i="1" a="1"/>
  <c r="Y937" i="1"/>
  <c r="AC576" i="1" a="1"/>
  <c r="AC576" i="1"/>
  <c r="AA925" i="1" a="1"/>
  <c r="AA925" i="1"/>
  <c r="Z830" i="1" a="1"/>
  <c r="Z830" i="1"/>
  <c r="AB1415" i="1" a="1"/>
  <c r="AB1415" i="1"/>
  <c r="AB158" i="1" a="1"/>
  <c r="AB158" i="1"/>
  <c r="Y576" i="1" a="1"/>
  <c r="Y576" i="1"/>
  <c r="AB1446" i="1" a="1"/>
  <c r="AB1446" i="1"/>
  <c r="AC925" i="1" a="1"/>
  <c r="AC925" i="1"/>
  <c r="AB501" i="1" a="1"/>
  <c r="AB501" i="1"/>
  <c r="AA1078" i="1" a="1"/>
  <c r="AA1078" i="1"/>
  <c r="AB129" i="1" a="1"/>
  <c r="AB129" i="1"/>
  <c r="AB937" i="1" a="1"/>
  <c r="AB937" i="1"/>
  <c r="Z1431" i="1" a="1"/>
  <c r="Z1431" i="1"/>
  <c r="AB1002" i="1" a="1"/>
  <c r="AB1002" i="1"/>
  <c r="AC412" i="1" a="1"/>
  <c r="AC412" i="1"/>
  <c r="Z753" i="1" a="1"/>
  <c r="Z753" i="1"/>
  <c r="Y1311" i="1" a="1"/>
  <c r="Y1311" i="1"/>
  <c r="AA1311" i="1" a="1"/>
  <c r="AA1311" i="1"/>
  <c r="AB1013" i="1" a="1"/>
  <c r="AB1013" i="1"/>
  <c r="AA322" i="1" a="1"/>
  <c r="AA322" i="1"/>
  <c r="AC1405" i="1" a="1"/>
  <c r="AC1405" i="1"/>
  <c r="Y1405" i="1" a="1"/>
  <c r="Y1405" i="1"/>
  <c r="Z1002" i="1" a="1"/>
  <c r="Z1002" i="1"/>
  <c r="Z667" i="1" a="1"/>
  <c r="Z667" i="1"/>
  <c r="Y412" i="1" a="1"/>
  <c r="Y412" i="1"/>
  <c r="Z1405" i="1" a="1"/>
  <c r="Z1405" i="1"/>
  <c r="AB322" i="1" a="1"/>
  <c r="AB322" i="1"/>
  <c r="AA1013" i="1" a="1"/>
  <c r="AA1013" i="1"/>
  <c r="Z322" i="1" a="1"/>
  <c r="Z322" i="1"/>
  <c r="AA1002" i="1" a="1"/>
  <c r="AA1002" i="1"/>
  <c r="AC1311" i="1" a="1"/>
  <c r="AC1311" i="1"/>
  <c r="Y667" i="1" a="1"/>
  <c r="Y667" i="1"/>
  <c r="AB753" i="1" a="1"/>
  <c r="AB753" i="1"/>
  <c r="AC725" i="1" a="1"/>
  <c r="AC725" i="1"/>
  <c r="Y1013" i="1" a="1"/>
  <c r="Y1013" i="1"/>
  <c r="Y1002" i="1" a="1"/>
  <c r="Y1002" i="1"/>
  <c r="AA667" i="1" a="1"/>
  <c r="AA667" i="1"/>
  <c r="Y322" i="1" a="1"/>
  <c r="Y322" i="1"/>
  <c r="AB1431" i="1" a="1"/>
  <c r="AB1431" i="1"/>
  <c r="Y753" i="1" a="1"/>
  <c r="Y753" i="1"/>
  <c r="Z725" i="1" a="1"/>
  <c r="Z725" i="1"/>
  <c r="AA412" i="1" a="1"/>
  <c r="AA412" i="1"/>
  <c r="Z1311" i="1" a="1"/>
  <c r="Z1311" i="1"/>
  <c r="Y1431" i="1" a="1"/>
  <c r="Y1431" i="1"/>
  <c r="AB412" i="1" a="1"/>
  <c r="AB412" i="1"/>
  <c r="AA1431" i="1" a="1"/>
  <c r="AA1431" i="1"/>
  <c r="Y725" i="1" a="1"/>
  <c r="Y725" i="1"/>
  <c r="AC667" i="1" a="1"/>
  <c r="AC667" i="1"/>
  <c r="AC1013" i="1" a="1"/>
  <c r="AC1013" i="1"/>
  <c r="AC753" i="1" a="1"/>
  <c r="AC753" i="1"/>
  <c r="AB725" i="1" a="1"/>
  <c r="AB725" i="1"/>
  <c r="AA1405" i="1" a="1"/>
  <c r="AA1405" i="1"/>
  <c r="AA753" i="1" a="1"/>
  <c r="AA753" i="1"/>
  <c r="AB1311" i="1" a="1"/>
  <c r="AB1311" i="1"/>
  <c r="AB667" i="1" a="1"/>
  <c r="AB667" i="1"/>
  <c r="AA725" i="1" a="1"/>
  <c r="AA725" i="1"/>
  <c r="Z412" i="1" a="1"/>
  <c r="Z412" i="1"/>
  <c r="Z1013" i="1" a="1"/>
  <c r="Z1013" i="1"/>
  <c r="AC1002" i="1" a="1"/>
  <c r="AC1002" i="1"/>
  <c r="AC1431" i="1" a="1"/>
  <c r="AC1431" i="1"/>
  <c r="AB1405" i="1" a="1"/>
  <c r="AB1405" i="1"/>
  <c r="AC322" i="1" a="1"/>
  <c r="AC322" i="1"/>
  <c r="Y464" i="1" a="1"/>
  <c r="Y464" i="1"/>
  <c r="AA1066" i="1" a="1"/>
  <c r="AA1066" i="1"/>
  <c r="Z252" i="1" a="1"/>
  <c r="Z252" i="1"/>
  <c r="AC252" i="1" a="1"/>
  <c r="AC252" i="1"/>
  <c r="AC1387" i="1" a="1"/>
  <c r="AC1387" i="1"/>
  <c r="Y21" i="1" a="1"/>
  <c r="Y21" i="1"/>
  <c r="AB431" i="1" a="1"/>
  <c r="AB431" i="1"/>
  <c r="Y277" i="1" a="1"/>
  <c r="Y277" i="1"/>
  <c r="AA277" i="1" a="1"/>
  <c r="AA277" i="1"/>
  <c r="Y1288" i="1" a="1"/>
  <c r="Y1288" i="1"/>
  <c r="AC431" i="1" a="1"/>
  <c r="AC431" i="1"/>
  <c r="AA431" i="1" a="1"/>
  <c r="AA431" i="1"/>
  <c r="Y1387" i="1" a="1"/>
  <c r="Y1387" i="1"/>
  <c r="Y252" i="1" a="1"/>
  <c r="Y252" i="1"/>
  <c r="AB252" i="1" a="1"/>
  <c r="AB252" i="1"/>
  <c r="Z1066" i="1" a="1"/>
  <c r="Z1066" i="1"/>
  <c r="Z648" i="1" a="1"/>
  <c r="Z648" i="1"/>
  <c r="AC1066" i="1" a="1"/>
  <c r="AC1066" i="1"/>
  <c r="AA648" i="1" a="1"/>
  <c r="AA648" i="1"/>
  <c r="AA1288" i="1" a="1"/>
  <c r="AA1288" i="1"/>
  <c r="Z277" i="1" a="1"/>
  <c r="Z277" i="1"/>
  <c r="AB464" i="1" a="1"/>
  <c r="AB464" i="1"/>
  <c r="AA525" i="1" a="1"/>
  <c r="AA525" i="1"/>
  <c r="Z525" i="1" a="1"/>
  <c r="Z525" i="1"/>
  <c r="AB1288" i="1" a="1"/>
  <c r="AB1288" i="1"/>
  <c r="Y648" i="1" a="1"/>
  <c r="Y648" i="1"/>
  <c r="AB21" i="1" a="1"/>
  <c r="AB21" i="1"/>
  <c r="Z1288" i="1" a="1"/>
  <c r="Z1288" i="1"/>
  <c r="Z431" i="1" a="1"/>
  <c r="Z431" i="1"/>
  <c r="AC464" i="1" a="1"/>
  <c r="AC464" i="1"/>
  <c r="AB1387" i="1" a="1"/>
  <c r="AB1387" i="1"/>
  <c r="AB525" i="1" a="1"/>
  <c r="AB525" i="1"/>
  <c r="AA464" i="1" a="1"/>
  <c r="AA464" i="1"/>
  <c r="AA21" i="1" a="1"/>
  <c r="AA21" i="1"/>
  <c r="AC648" i="1" a="1"/>
  <c r="AC648" i="1"/>
  <c r="AA1387" i="1" a="1"/>
  <c r="AA1387" i="1"/>
  <c r="AC525" i="1" a="1"/>
  <c r="AC525" i="1"/>
  <c r="Z21" i="1" a="1"/>
  <c r="Z21" i="1"/>
  <c r="AB1066" i="1" a="1"/>
  <c r="AB1066" i="1"/>
  <c r="AC277" i="1" a="1"/>
  <c r="AC277" i="1"/>
  <c r="AC1288" i="1" a="1"/>
  <c r="AC1288" i="1"/>
  <c r="Y525" i="1" a="1"/>
  <c r="Y525" i="1"/>
  <c r="Z1387" i="1" a="1"/>
  <c r="Z1387" i="1"/>
  <c r="AB648" i="1" a="1"/>
  <c r="AB648" i="1"/>
  <c r="AA252" i="1" a="1"/>
  <c r="AA252" i="1"/>
  <c r="Y1066" i="1" a="1"/>
  <c r="Y1066" i="1"/>
  <c r="AB277" i="1" a="1"/>
  <c r="AB277" i="1"/>
  <c r="Z464" i="1" a="1"/>
  <c r="Z464" i="1"/>
  <c r="Y431" i="1" a="1"/>
  <c r="Y431" i="1"/>
  <c r="AC21" i="1" a="1"/>
  <c r="AC21" i="1"/>
  <c r="AC256" i="1" a="1"/>
  <c r="AC256" i="1"/>
  <c r="AA1364" i="1" a="1"/>
  <c r="AA1364" i="1"/>
  <c r="AC1319" i="1" a="1"/>
  <c r="AC1319" i="1"/>
  <c r="Z256" i="1" a="1"/>
  <c r="Z256" i="1"/>
  <c r="AB1104" i="1" a="1"/>
  <c r="AB1104" i="1"/>
  <c r="Z1181" i="1" a="1"/>
  <c r="Z1181" i="1"/>
  <c r="AB657" i="1" a="1"/>
  <c r="AB657" i="1"/>
  <c r="AA85" i="1" a="1"/>
  <c r="AA85" i="1"/>
  <c r="AA1319" i="1" a="1"/>
  <c r="AA1319" i="1"/>
  <c r="Y256" i="1" a="1"/>
  <c r="Y256" i="1"/>
  <c r="AB85" i="1" a="1"/>
  <c r="AB85" i="1"/>
  <c r="AB1319" i="1" a="1"/>
  <c r="AB1319" i="1"/>
  <c r="Y1364" i="1" a="1"/>
  <c r="Y1364" i="1"/>
  <c r="AA951" i="1" a="1"/>
  <c r="AA951" i="1"/>
  <c r="AA450" i="1" a="1"/>
  <c r="AA450" i="1"/>
  <c r="Z85" i="1" a="1"/>
  <c r="Z85" i="1"/>
  <c r="AC1104" i="1" a="1"/>
  <c r="AC1104" i="1"/>
  <c r="AA1181" i="1" a="1"/>
  <c r="AA1181" i="1"/>
  <c r="AA1104" i="1" a="1"/>
  <c r="AA1104" i="1"/>
  <c r="Z1319" i="1" a="1"/>
  <c r="Z1319" i="1"/>
  <c r="Y951" i="1" a="1"/>
  <c r="Y951" i="1"/>
  <c r="Z1364" i="1" a="1"/>
  <c r="Z1364" i="1"/>
  <c r="AC951" i="1" a="1"/>
  <c r="AC951" i="1"/>
  <c r="AC1182" i="1" a="1"/>
  <c r="AC1182" i="1"/>
  <c r="AB1181" i="1" a="1"/>
  <c r="AB1181" i="1"/>
  <c r="AC85" i="1" a="1"/>
  <c r="AC85" i="1"/>
  <c r="AB1364" i="1" a="1"/>
  <c r="AB1364" i="1"/>
  <c r="AC657" i="1" a="1"/>
  <c r="AC657" i="1"/>
  <c r="AB951" i="1" a="1"/>
  <c r="AB951" i="1"/>
  <c r="AC1181" i="1" a="1"/>
  <c r="AC1181" i="1"/>
  <c r="AB1182" i="1" a="1"/>
  <c r="AB1182" i="1"/>
  <c r="Y1182" i="1" a="1"/>
  <c r="Y1182" i="1"/>
  <c r="Y657" i="1" a="1"/>
  <c r="Y657" i="1"/>
  <c r="AA657" i="1" a="1"/>
  <c r="AA657" i="1"/>
  <c r="Z1104" i="1" a="1"/>
  <c r="Z1104" i="1"/>
  <c r="AC450" i="1" a="1"/>
  <c r="AC450" i="1"/>
  <c r="Y450" i="1" a="1"/>
  <c r="Y450" i="1"/>
  <c r="AA1182" i="1" a="1"/>
  <c r="AA1182" i="1"/>
  <c r="AB450" i="1" a="1"/>
  <c r="AB450" i="1"/>
  <c r="AB256" i="1" a="1"/>
  <c r="AB256" i="1"/>
  <c r="AA256" i="1" a="1"/>
  <c r="AA256" i="1"/>
  <c r="AC1364" i="1" a="1"/>
  <c r="AC1364" i="1"/>
  <c r="Z450" i="1" a="1"/>
  <c r="Z450" i="1"/>
  <c r="Y1181" i="1" a="1"/>
  <c r="Y1181" i="1"/>
  <c r="Z657" i="1" a="1"/>
  <c r="Z657" i="1"/>
  <c r="Y1104" i="1" a="1"/>
  <c r="Y1104" i="1"/>
  <c r="Z1182" i="1" a="1"/>
  <c r="Z1182" i="1"/>
  <c r="Y85" i="1" a="1"/>
  <c r="Y85" i="1"/>
  <c r="Z951" i="1" a="1"/>
  <c r="Z951" i="1"/>
  <c r="Y1319" i="1" a="1"/>
  <c r="Y1319" i="1"/>
  <c r="AB43" i="1" a="1"/>
  <c r="AB43" i="1"/>
  <c r="Y857" i="1" a="1"/>
  <c r="Y857" i="1"/>
  <c r="AA1356" i="1" a="1"/>
  <c r="AA1356" i="1"/>
  <c r="AB857" i="1" a="1"/>
  <c r="AB857" i="1"/>
  <c r="Y303" i="1" a="1"/>
  <c r="Y303" i="1"/>
  <c r="AA912" i="1" a="1"/>
  <c r="AA912" i="1"/>
  <c r="AC43" i="1" a="1"/>
  <c r="AC43" i="1"/>
  <c r="Z773" i="1" a="1"/>
  <c r="Z773" i="1"/>
  <c r="AB303" i="1" a="1"/>
  <c r="AB303" i="1"/>
  <c r="AA857" i="1" a="1"/>
  <c r="AA857" i="1"/>
  <c r="AC773" i="1" a="1"/>
  <c r="AC773" i="1"/>
  <c r="Z912" i="1" a="1"/>
  <c r="Z912" i="1"/>
  <c r="AC1356" i="1" a="1"/>
  <c r="AC1356" i="1"/>
  <c r="AC857" i="1" a="1"/>
  <c r="AC857" i="1"/>
  <c r="Z152" i="1" a="1"/>
  <c r="Z152" i="1"/>
  <c r="AA723" i="1" a="1"/>
  <c r="AA723" i="1"/>
  <c r="AB152" i="1" a="1"/>
  <c r="AB152" i="1"/>
  <c r="AB119" i="1" a="1"/>
  <c r="AB119" i="1"/>
  <c r="Z303" i="1" a="1"/>
  <c r="Z303" i="1"/>
  <c r="AA152" i="1" a="1"/>
  <c r="AA152" i="1"/>
  <c r="AA119" i="1" a="1"/>
  <c r="AA119" i="1"/>
  <c r="AB1356" i="1" a="1"/>
  <c r="AB1356" i="1"/>
  <c r="AB723" i="1" a="1"/>
  <c r="AB723" i="1"/>
  <c r="AA773" i="1" a="1"/>
  <c r="AA773" i="1"/>
  <c r="Z119" i="1" a="1"/>
  <c r="Z119" i="1"/>
  <c r="Y43" i="1" a="1"/>
  <c r="Y43" i="1"/>
  <c r="AC1034" i="1" a="1"/>
  <c r="AC1034" i="1"/>
  <c r="AB1034" i="1" a="1"/>
  <c r="AB1034" i="1"/>
  <c r="AB912" i="1" a="1"/>
  <c r="AB912" i="1"/>
  <c r="Z1356" i="1" a="1"/>
  <c r="Z1356" i="1"/>
  <c r="Y723" i="1" a="1"/>
  <c r="Y723" i="1"/>
  <c r="AA43" i="1" a="1"/>
  <c r="AA43" i="1"/>
  <c r="AA303" i="1" a="1"/>
  <c r="AA303" i="1"/>
  <c r="Y912" i="1" a="1"/>
  <c r="Y912" i="1"/>
  <c r="Z723" i="1" a="1"/>
  <c r="Z723" i="1"/>
  <c r="Y1034" i="1" a="1"/>
  <c r="Y1034" i="1"/>
  <c r="Y119" i="1" a="1"/>
  <c r="Y119" i="1"/>
  <c r="Z1034" i="1" a="1"/>
  <c r="Z1034" i="1"/>
  <c r="AB773" i="1" a="1"/>
  <c r="AB773" i="1"/>
  <c r="AC152" i="1" a="1"/>
  <c r="AC152" i="1"/>
  <c r="AC303" i="1" a="1"/>
  <c r="AC303" i="1"/>
  <c r="Y152" i="1" a="1"/>
  <c r="Y152" i="1"/>
  <c r="Z43" i="1" a="1"/>
  <c r="Z43" i="1"/>
  <c r="AC912" i="1" a="1"/>
  <c r="AC912" i="1"/>
  <c r="AA1034" i="1" a="1"/>
  <c r="AA1034" i="1"/>
  <c r="AC723" i="1" a="1"/>
  <c r="AC723" i="1"/>
  <c r="Y1356" i="1" a="1"/>
  <c r="Y1356" i="1"/>
  <c r="AC119" i="1" a="1"/>
  <c r="AC119" i="1"/>
  <c r="Y773" i="1" a="1"/>
  <c r="Y773" i="1"/>
  <c r="Z857" i="1" a="1"/>
  <c r="Z857" i="1"/>
  <c r="Z1010" i="1" a="1"/>
  <c r="Z1010" i="1"/>
  <c r="AC1305" i="1" a="1"/>
  <c r="AC1305" i="1"/>
  <c r="AA1010" i="1" a="1"/>
  <c r="AA1010" i="1"/>
  <c r="AC473" i="1" a="1"/>
  <c r="AC473" i="1"/>
  <c r="AB64" i="1" a="1"/>
  <c r="AB64" i="1"/>
  <c r="Y326" i="1" a="1"/>
  <c r="Y326" i="1"/>
  <c r="Z226" i="1" a="1"/>
  <c r="Z226" i="1"/>
  <c r="Y1010" i="1" a="1"/>
  <c r="Y1010" i="1"/>
  <c r="AC226" i="1" a="1"/>
  <c r="AC226" i="1"/>
  <c r="AB473" i="1" a="1"/>
  <c r="AB473" i="1"/>
  <c r="AA1305" i="1" a="1"/>
  <c r="AA1305" i="1"/>
  <c r="AA226" i="1" a="1"/>
  <c r="AA226" i="1"/>
  <c r="AB964" i="1" a="1"/>
  <c r="AB964" i="1"/>
  <c r="Y64" i="1" a="1"/>
  <c r="Y64" i="1"/>
  <c r="Z964" i="1" a="1"/>
  <c r="Z964" i="1"/>
  <c r="AA964" i="1" a="1"/>
  <c r="AA964" i="1"/>
  <c r="Y473" i="1" a="1"/>
  <c r="Y473" i="1"/>
  <c r="AC1156" i="1" a="1"/>
  <c r="AC1156" i="1"/>
  <c r="AA532" i="1" a="1"/>
  <c r="AA532" i="1"/>
  <c r="AB987" i="1" a="1"/>
  <c r="AB987" i="1"/>
  <c r="AB226" i="1" a="1"/>
  <c r="AB226" i="1"/>
  <c r="AC532" i="1" a="1"/>
  <c r="AC532" i="1"/>
  <c r="Y532" i="1" a="1"/>
  <c r="Y532" i="1"/>
  <c r="Z473" i="1" a="1"/>
  <c r="Z473" i="1"/>
  <c r="AC326" i="1" a="1"/>
  <c r="AC326" i="1"/>
  <c r="AC1010" i="1" a="1"/>
  <c r="AC1010" i="1"/>
  <c r="AB1156" i="1" a="1"/>
  <c r="AB1156" i="1"/>
  <c r="AA1156" i="1" a="1"/>
  <c r="AA1156" i="1"/>
  <c r="AB326" i="1" a="1"/>
  <c r="AB326" i="1"/>
  <c r="Z532" i="1" a="1"/>
  <c r="Z532" i="1"/>
  <c r="Y1156" i="1" a="1"/>
  <c r="Y1156" i="1"/>
  <c r="AA987" i="1" a="1"/>
  <c r="AA987" i="1"/>
  <c r="Z1305" i="1" a="1"/>
  <c r="Z1305" i="1"/>
  <c r="Y1305" i="1" a="1"/>
  <c r="Y1305" i="1"/>
  <c r="AC964" i="1" a="1"/>
  <c r="AC964" i="1"/>
  <c r="AC987" i="1" a="1"/>
  <c r="AC987" i="1"/>
  <c r="AC64" i="1" a="1"/>
  <c r="AC64" i="1"/>
  <c r="AA64" i="1" a="1"/>
  <c r="AA64" i="1"/>
  <c r="Y987" i="1" a="1"/>
  <c r="Y987" i="1"/>
  <c r="AA326" i="1" a="1"/>
  <c r="AA326" i="1"/>
  <c r="AB1305" i="1" a="1"/>
  <c r="AB1305" i="1"/>
  <c r="Z1156" i="1" a="1"/>
  <c r="Z1156" i="1"/>
  <c r="AB1010" i="1" a="1"/>
  <c r="AB1010" i="1"/>
  <c r="Z64" i="1" a="1"/>
  <c r="Z64" i="1"/>
  <c r="Y964" i="1" a="1"/>
  <c r="Y964" i="1"/>
  <c r="Z326" i="1" a="1"/>
  <c r="Z326" i="1"/>
  <c r="AA473" i="1" a="1"/>
  <c r="AA473" i="1"/>
  <c r="Y226" i="1" a="1"/>
  <c r="Y226" i="1"/>
  <c r="AB532" i="1" a="1"/>
  <c r="AB532" i="1"/>
  <c r="Z987" i="1" a="1"/>
  <c r="Z987" i="1"/>
  <c r="AC1355" i="1" a="1"/>
  <c r="AC1355" i="1"/>
  <c r="Y993" i="1" a="1"/>
  <c r="Y993" i="1"/>
  <c r="Y1256" i="1" a="1"/>
  <c r="Y1256" i="1"/>
  <c r="AA602" i="1" a="1"/>
  <c r="AA602" i="1"/>
  <c r="Y704" i="1" a="1"/>
  <c r="Y704" i="1"/>
  <c r="AB1466" i="1" a="1"/>
  <c r="AB1466" i="1"/>
  <c r="AC1466" i="1" a="1"/>
  <c r="AC1466" i="1"/>
  <c r="Y1322" i="1" a="1"/>
  <c r="Y1322" i="1"/>
  <c r="AB602" i="1" a="1"/>
  <c r="AB602" i="1"/>
  <c r="AA1355" i="1" a="1"/>
  <c r="AA1355" i="1"/>
  <c r="Z151" i="1" a="1"/>
  <c r="Z151" i="1"/>
  <c r="AC151" i="1" a="1"/>
  <c r="AC151" i="1"/>
  <c r="AB1571" i="1"/>
  <c r="Z1355" i="1" a="1"/>
  <c r="Z1355" i="1"/>
  <c r="AA1256" i="1" a="1"/>
  <c r="AA1256" i="1"/>
  <c r="Z1466" i="1" a="1"/>
  <c r="Z1466" i="1"/>
  <c r="AB1322" i="1" a="1"/>
  <c r="AB1322" i="1"/>
  <c r="Y1571" i="1"/>
  <c r="AA1466" i="1" a="1"/>
  <c r="AA1466" i="1"/>
  <c r="Y1355" i="1" a="1"/>
  <c r="Y1355" i="1"/>
  <c r="AC602" i="1" a="1"/>
  <c r="AC602" i="1"/>
  <c r="AC704" i="1" a="1"/>
  <c r="AC704" i="1"/>
  <c r="Y602" i="1" a="1"/>
  <c r="Y602" i="1"/>
  <c r="Z993" i="1" a="1"/>
  <c r="Z993" i="1"/>
  <c r="AB151" i="1" a="1"/>
  <c r="AB151" i="1"/>
  <c r="AA1019" i="1" a="1"/>
  <c r="AA1019" i="1"/>
  <c r="Z1256" i="1" a="1"/>
  <c r="Z1256" i="1"/>
  <c r="AA1322" i="1" a="1"/>
  <c r="AA1322" i="1"/>
  <c r="AC1019" i="1" a="1"/>
  <c r="AC1019" i="1"/>
  <c r="AA151" i="1" a="1"/>
  <c r="AA151" i="1"/>
  <c r="AB993" i="1" a="1"/>
  <c r="AB993" i="1"/>
  <c r="AC1322" i="1" a="1"/>
  <c r="AC1322" i="1"/>
  <c r="AA704" i="1" a="1"/>
  <c r="AA704" i="1"/>
  <c r="AB1019" i="1" a="1"/>
  <c r="AB1019" i="1"/>
  <c r="AB704" i="1" a="1"/>
  <c r="AB704" i="1"/>
  <c r="AA993" i="1" a="1"/>
  <c r="AA993" i="1"/>
  <c r="Z1019" i="1" a="1"/>
  <c r="Z1019" i="1"/>
  <c r="AA1571" i="1"/>
  <c r="Z1571" i="1"/>
  <c r="AB1256" i="1" a="1"/>
  <c r="AB1256" i="1"/>
  <c r="Y1019" i="1" a="1"/>
  <c r="Y1019" i="1"/>
  <c r="Z704" i="1" a="1"/>
  <c r="Z704" i="1"/>
  <c r="Y151" i="1" a="1"/>
  <c r="Y151" i="1"/>
  <c r="AC1571" i="1"/>
  <c r="AC993" i="1" a="1"/>
  <c r="AC993" i="1"/>
  <c r="Y1466" i="1" a="1"/>
  <c r="Y1466" i="1"/>
  <c r="Z1322" i="1" a="1"/>
  <c r="Z1322" i="1"/>
  <c r="AC1256" i="1" a="1"/>
  <c r="AC1256" i="1"/>
  <c r="Z602" i="1" a="1"/>
  <c r="Z602" i="1"/>
  <c r="AB1355" i="1" a="1"/>
  <c r="AB1355" i="1"/>
  <c r="AB97" i="1" a="1"/>
  <c r="AB97" i="1"/>
  <c r="AB1518" i="1" a="1"/>
  <c r="AB1518" i="1"/>
  <c r="AC581" i="1" a="1"/>
  <c r="AC581" i="1"/>
  <c r="AC97" i="1" a="1"/>
  <c r="AC97" i="1"/>
  <c r="Y530" i="1" a="1"/>
  <c r="Y530" i="1"/>
  <c r="AB530" i="1" a="1"/>
  <c r="AB530" i="1"/>
  <c r="Y1518" i="1" a="1"/>
  <c r="Y1518" i="1"/>
  <c r="Y97" i="1" a="1"/>
  <c r="Y97" i="1"/>
  <c r="Y1515" i="1" a="1"/>
  <c r="Y1515" i="1"/>
  <c r="AA1516" i="1" a="1"/>
  <c r="AA1516" i="1"/>
  <c r="Z1574" i="1"/>
  <c r="AB581" i="1" a="1"/>
  <c r="AB581" i="1"/>
  <c r="AA581" i="1" a="1"/>
  <c r="AA581" i="1"/>
  <c r="Z97" i="1" a="1"/>
  <c r="Z97" i="1"/>
  <c r="AB117" i="1" a="1"/>
  <c r="AB117" i="1"/>
  <c r="AB1515" i="1" a="1"/>
  <c r="AB1515" i="1"/>
  <c r="AB215" i="1" a="1"/>
  <c r="AB215" i="1"/>
  <c r="Z117" i="1" a="1"/>
  <c r="Z117" i="1"/>
  <c r="Z530" i="1" a="1"/>
  <c r="Z530" i="1"/>
  <c r="AA18" i="1" a="1"/>
  <c r="AA18" i="1"/>
  <c r="Y581" i="1" a="1"/>
  <c r="Y581" i="1"/>
  <c r="AB1516" i="1" a="1"/>
  <c r="AB1516" i="1"/>
  <c r="AA530" i="1" a="1"/>
  <c r="AA530" i="1"/>
  <c r="AA1574" i="1"/>
  <c r="AB1574" i="1"/>
  <c r="Z1518" i="1" a="1"/>
  <c r="Z1518" i="1"/>
  <c r="Z18" i="1" a="1"/>
  <c r="Z18" i="1"/>
  <c r="AA215" i="1" a="1"/>
  <c r="AA215" i="1"/>
  <c r="Z1515" i="1" a="1"/>
  <c r="Z1515" i="1"/>
  <c r="AC1518" i="1" a="1"/>
  <c r="AC1518" i="1"/>
  <c r="AC1516" i="1" a="1"/>
  <c r="AC1516" i="1"/>
  <c r="AA117" i="1" a="1"/>
  <c r="AA117" i="1"/>
  <c r="Y215" i="1" a="1"/>
  <c r="Y215" i="1"/>
  <c r="AC1515" i="1" a="1"/>
  <c r="AC1515" i="1"/>
  <c r="Z1516" i="1" a="1"/>
  <c r="Z1516" i="1"/>
  <c r="Y117" i="1" a="1"/>
  <c r="Y117" i="1"/>
  <c r="AB18" i="1" a="1"/>
  <c r="AB18" i="1"/>
  <c r="AC215" i="1" a="1"/>
  <c r="AC215" i="1"/>
  <c r="Y1574" i="1"/>
  <c r="Y18" i="1" a="1"/>
  <c r="Y18" i="1"/>
  <c r="Y1516" i="1" a="1"/>
  <c r="Y1516" i="1"/>
  <c r="Z581" i="1" a="1"/>
  <c r="Z581" i="1"/>
  <c r="AA1515" i="1" a="1"/>
  <c r="AA1515" i="1"/>
  <c r="AC117" i="1" a="1"/>
  <c r="AC117" i="1"/>
  <c r="Z215" i="1" a="1"/>
  <c r="Z215" i="1"/>
  <c r="AC1574" i="1"/>
  <c r="AC18" i="1" a="1"/>
  <c r="AC18" i="1"/>
  <c r="AA1518" i="1" a="1"/>
  <c r="AA1518" i="1"/>
  <c r="AC530" i="1" a="1"/>
  <c r="AC530" i="1"/>
  <c r="AA97" i="1" a="1"/>
  <c r="AA97" i="1"/>
  <c r="AC363" i="1" a="1"/>
  <c r="AC363" i="1"/>
  <c r="Z1049" i="1" a="1"/>
  <c r="Z1049" i="1"/>
  <c r="Y1203" i="1" a="1"/>
  <c r="Y1203" i="1"/>
  <c r="Y1133" i="1" a="1"/>
  <c r="Y1133" i="1"/>
  <c r="Y30" i="1" a="1"/>
  <c r="Y30" i="1"/>
  <c r="AB358" i="1" a="1"/>
  <c r="AB358" i="1"/>
  <c r="AB363" i="1" a="1"/>
  <c r="AB363" i="1"/>
  <c r="AC223" i="1" a="1"/>
  <c r="AC223" i="1"/>
  <c r="AB1162" i="1" a="1"/>
  <c r="AB1162" i="1"/>
  <c r="Y1049" i="1" a="1"/>
  <c r="Y1049" i="1"/>
  <c r="Z1486" i="1" a="1"/>
  <c r="Z1486" i="1"/>
  <c r="AA1486" i="1" a="1"/>
  <c r="AA1486" i="1"/>
  <c r="Z1179" i="1" a="1"/>
  <c r="Z1179" i="1"/>
  <c r="AC1179" i="1" a="1"/>
  <c r="AC1179" i="1"/>
  <c r="Z1162" i="1" a="1"/>
  <c r="Z1162" i="1"/>
  <c r="Y223" i="1" a="1"/>
  <c r="Y223" i="1"/>
  <c r="AB1179" i="1" a="1"/>
  <c r="AB1179" i="1"/>
  <c r="Z30" i="1" a="1"/>
  <c r="Z30" i="1"/>
  <c r="AC358" i="1" a="1"/>
  <c r="AC358" i="1"/>
  <c r="AA1203" i="1" a="1"/>
  <c r="AA1203" i="1"/>
  <c r="Y358" i="1" a="1"/>
  <c r="Y358" i="1"/>
  <c r="AC1162" i="1" a="1"/>
  <c r="AC1162" i="1"/>
  <c r="Z358" i="1" a="1"/>
  <c r="Z358" i="1"/>
  <c r="AC1133" i="1" a="1"/>
  <c r="AC1133" i="1"/>
  <c r="AC1486" i="1" a="1"/>
  <c r="AC1486" i="1"/>
  <c r="AA1049" i="1" a="1"/>
  <c r="AA1049" i="1"/>
  <c r="Y363" i="1" a="1"/>
  <c r="Y363" i="1"/>
  <c r="Y1179" i="1" a="1"/>
  <c r="Y1179" i="1"/>
  <c r="AA363" i="1" a="1"/>
  <c r="AA363" i="1"/>
  <c r="AB223" i="1" a="1"/>
  <c r="AB223" i="1"/>
  <c r="AB1203" i="1" a="1"/>
  <c r="AB1203" i="1"/>
  <c r="Z1203" i="1" a="1"/>
  <c r="Z1203" i="1"/>
  <c r="AB1049" i="1" a="1"/>
  <c r="AB1049" i="1"/>
  <c r="Z1133" i="1" a="1"/>
  <c r="Z1133" i="1"/>
  <c r="AA30" i="1" a="1"/>
  <c r="AA30" i="1"/>
  <c r="Z223" i="1" a="1"/>
  <c r="Z223" i="1"/>
  <c r="AB30" i="1" a="1"/>
  <c r="AB30" i="1"/>
  <c r="AB1486" i="1" a="1"/>
  <c r="AB1486" i="1"/>
  <c r="AA1133" i="1" a="1"/>
  <c r="AA1133" i="1"/>
  <c r="Y1162" i="1" a="1"/>
  <c r="Y1162" i="1"/>
  <c r="Z363" i="1" a="1"/>
  <c r="Z363" i="1"/>
  <c r="AC1049" i="1" a="1"/>
  <c r="AC1049" i="1"/>
  <c r="AC30" i="1" a="1"/>
  <c r="AC30" i="1"/>
  <c r="AA1162" i="1" a="1"/>
  <c r="AA1162" i="1"/>
  <c r="AA1179" i="1" a="1"/>
  <c r="AA1179" i="1"/>
  <c r="AA223" i="1" a="1"/>
  <c r="AA223" i="1"/>
  <c r="Y1486" i="1" a="1"/>
  <c r="Y1486" i="1"/>
  <c r="AC1203" i="1" a="1"/>
  <c r="AC1203" i="1"/>
  <c r="AB1133" i="1" a="1"/>
  <c r="AB1133" i="1"/>
  <c r="AA358" i="1" a="1"/>
  <c r="AA358" i="1"/>
  <c r="AA1168" i="1" a="1"/>
  <c r="AA1168" i="1"/>
  <c r="Z934" i="1" a="1"/>
  <c r="Z934" i="1"/>
  <c r="AC147" i="1" a="1"/>
  <c r="AC147" i="1"/>
  <c r="Y739" i="1" a="1"/>
  <c r="Y739" i="1"/>
  <c r="Z1168" i="1" a="1"/>
  <c r="Z1168" i="1"/>
  <c r="AA478" i="1" a="1"/>
  <c r="AA478" i="1"/>
  <c r="AA934" i="1" a="1"/>
  <c r="AA934" i="1"/>
  <c r="Z478" i="1" a="1"/>
  <c r="Z478" i="1"/>
  <c r="AA147" i="1" a="1"/>
  <c r="AA147" i="1"/>
  <c r="Z350" i="1" a="1"/>
  <c r="Z350" i="1"/>
  <c r="AB739" i="1" a="1"/>
  <c r="AB739" i="1"/>
  <c r="Z1494" i="1" a="1"/>
  <c r="Z1494" i="1"/>
  <c r="AB1530" i="1" a="1"/>
  <c r="AB1530" i="1"/>
  <c r="Y147" i="1" a="1"/>
  <c r="Y147" i="1"/>
  <c r="Y1494" i="1" a="1"/>
  <c r="Y1494" i="1"/>
  <c r="AC1168" i="1" a="1"/>
  <c r="AC1168" i="1"/>
  <c r="AA1494" i="1" a="1"/>
  <c r="AA1494" i="1"/>
  <c r="Z147" i="1" a="1"/>
  <c r="Z147" i="1"/>
  <c r="AC1499" i="1" a="1"/>
  <c r="AC1499" i="1"/>
  <c r="AA739" i="1" a="1"/>
  <c r="AA739" i="1"/>
  <c r="AC478" i="1" a="1"/>
  <c r="AC478" i="1"/>
  <c r="AC1494" i="1" a="1"/>
  <c r="AC1494" i="1"/>
  <c r="Y934" i="1" a="1"/>
  <c r="Y934" i="1"/>
  <c r="Y350" i="1" a="1"/>
  <c r="Y350" i="1"/>
  <c r="Y260" i="1" a="1"/>
  <c r="Y260" i="1"/>
  <c r="Z1499" i="1" a="1"/>
  <c r="Z1499" i="1"/>
  <c r="Z260" i="1" a="1"/>
  <c r="Z260" i="1"/>
  <c r="AC350" i="1" a="1"/>
  <c r="AC350" i="1"/>
  <c r="AB478" i="1" a="1"/>
  <c r="AB478" i="1"/>
  <c r="Z739" i="1" a="1"/>
  <c r="Z739" i="1"/>
  <c r="AB260" i="1" a="1"/>
  <c r="AB260" i="1"/>
  <c r="AC260" i="1" a="1"/>
  <c r="AC260" i="1"/>
  <c r="AB1499" i="1" a="1"/>
  <c r="AB1499" i="1"/>
  <c r="Y1530" i="1" a="1"/>
  <c r="Y1530" i="1"/>
  <c r="Z1530" i="1" a="1"/>
  <c r="Z1530" i="1"/>
  <c r="AB1168" i="1" a="1"/>
  <c r="AB1168" i="1"/>
  <c r="AA1499" i="1" a="1"/>
  <c r="AA1499" i="1"/>
  <c r="AB934" i="1" a="1"/>
  <c r="AB934" i="1"/>
  <c r="AA350" i="1" a="1"/>
  <c r="AA350" i="1"/>
  <c r="AC1530" i="1" a="1"/>
  <c r="AC1530" i="1"/>
  <c r="AA1530" i="1" a="1"/>
  <c r="AA1530" i="1"/>
  <c r="AB1494" i="1" a="1"/>
  <c r="AB1494" i="1"/>
  <c r="Y1168" i="1" a="1"/>
  <c r="Y1168" i="1"/>
  <c r="AB147" i="1" a="1"/>
  <c r="AB147" i="1"/>
  <c r="AA260" i="1" a="1"/>
  <c r="AA260" i="1"/>
  <c r="Y478" i="1" a="1"/>
  <c r="Y478" i="1"/>
  <c r="AC934" i="1" a="1"/>
  <c r="AC934" i="1"/>
  <c r="AC739" i="1" a="1"/>
  <c r="AC739" i="1"/>
  <c r="AB350" i="1" a="1"/>
  <c r="AB350" i="1"/>
  <c r="Y1499" i="1" a="1"/>
  <c r="Y1499" i="1"/>
  <c r="AA1332" i="1" a="1"/>
  <c r="AA1332" i="1"/>
  <c r="AC489" i="1" a="1"/>
  <c r="AC489" i="1"/>
  <c r="AA398" i="1" a="1"/>
  <c r="AA398" i="1"/>
  <c r="AC1332" i="1" a="1"/>
  <c r="AC1332" i="1"/>
  <c r="AB398" i="1" a="1"/>
  <c r="AB398" i="1"/>
  <c r="Z1155" i="1" a="1"/>
  <c r="Z1155" i="1"/>
  <c r="Z298" i="1" a="1"/>
  <c r="Z298" i="1"/>
  <c r="AC398" i="1" a="1"/>
  <c r="AC398" i="1"/>
  <c r="AC1548" i="1"/>
  <c r="AA489" i="1" a="1"/>
  <c r="AA489" i="1"/>
  <c r="Y345" i="1" a="1"/>
  <c r="Y345" i="1"/>
  <c r="Y575" i="1" a="1"/>
  <c r="Y575" i="1"/>
  <c r="AC639" i="1" a="1"/>
  <c r="AC639" i="1"/>
  <c r="AB1548" i="1"/>
  <c r="AB1278" i="1" a="1"/>
  <c r="AB1278" i="1"/>
  <c r="AA639" i="1" a="1"/>
  <c r="AA639" i="1"/>
  <c r="AB345" i="1" a="1"/>
  <c r="AB345" i="1"/>
  <c r="Z1332" i="1" a="1"/>
  <c r="Z1332" i="1"/>
  <c r="Y298" i="1" a="1"/>
  <c r="Y298" i="1"/>
  <c r="Z345" i="1" a="1"/>
  <c r="Z345" i="1"/>
  <c r="AC345" i="1" a="1"/>
  <c r="AC345" i="1"/>
  <c r="AA575" i="1" a="1"/>
  <c r="AA575" i="1"/>
  <c r="AB575" i="1" a="1"/>
  <c r="AB575" i="1"/>
  <c r="Y1332" i="1" a="1"/>
  <c r="Y1332" i="1"/>
  <c r="AC575" i="1" a="1"/>
  <c r="AC575" i="1"/>
  <c r="AA1155" i="1" a="1"/>
  <c r="AA1155" i="1"/>
  <c r="AB1155" i="1" a="1"/>
  <c r="AB1155" i="1"/>
  <c r="AB639" i="1" a="1"/>
  <c r="AB639" i="1"/>
  <c r="Z639" i="1" a="1"/>
  <c r="Z639" i="1"/>
  <c r="Y1278" i="1" a="1"/>
  <c r="Y1278" i="1"/>
  <c r="AA1278" i="1" a="1"/>
  <c r="AA1278" i="1"/>
  <c r="AC1155" i="1" a="1"/>
  <c r="AC1155" i="1"/>
  <c r="Y398" i="1" a="1"/>
  <c r="Y398" i="1"/>
  <c r="AA298" i="1" a="1"/>
  <c r="AA298" i="1"/>
  <c r="Z1278" i="1" a="1"/>
  <c r="Z1278" i="1"/>
  <c r="Y1548" i="1"/>
  <c r="AB489" i="1" a="1"/>
  <c r="AB489" i="1"/>
  <c r="AA1548" i="1"/>
  <c r="AB298" i="1" a="1"/>
  <c r="AB298" i="1"/>
  <c r="Y489" i="1" a="1"/>
  <c r="Y489" i="1"/>
  <c r="AC298" i="1" a="1"/>
  <c r="AC298" i="1"/>
  <c r="Z398" i="1" a="1"/>
  <c r="Z398" i="1"/>
  <c r="Z575" i="1" a="1"/>
  <c r="Z575" i="1"/>
  <c r="Y1155" i="1" a="1"/>
  <c r="Y1155" i="1"/>
  <c r="AB1332" i="1" a="1"/>
  <c r="AB1332" i="1"/>
  <c r="Y639" i="1" a="1"/>
  <c r="Y639" i="1"/>
  <c r="Z489" i="1" a="1"/>
  <c r="Z489" i="1"/>
  <c r="AC1278" i="1" a="1"/>
  <c r="AC1278" i="1"/>
  <c r="AA345" i="1" a="1"/>
  <c r="AA345" i="1"/>
  <c r="Z1548" i="1"/>
  <c r="AC1141" i="1" a="1"/>
  <c r="AC1141" i="1"/>
  <c r="AB351" i="1" a="1"/>
  <c r="AB351" i="1"/>
  <c r="AA121" i="1" a="1"/>
  <c r="AA121" i="1"/>
  <c r="Y121" i="1" a="1"/>
  <c r="Y121" i="1"/>
  <c r="AB1188" i="1" a="1"/>
  <c r="AB1188" i="1"/>
  <c r="Z121" i="1" a="1"/>
  <c r="Z121" i="1"/>
  <c r="AA351" i="1" a="1"/>
  <c r="AA351" i="1"/>
  <c r="Z1188" i="1" a="1"/>
  <c r="Z1188" i="1"/>
  <c r="AB509" i="1" a="1"/>
  <c r="AB509" i="1"/>
  <c r="Z105" i="1" a="1"/>
  <c r="Z105" i="1"/>
  <c r="AB880" i="1" a="1"/>
  <c r="AB880" i="1"/>
  <c r="Z1141" i="1" a="1"/>
  <c r="Z1141" i="1"/>
  <c r="AA1125" i="1" a="1"/>
  <c r="AA1125" i="1"/>
  <c r="Z1449" i="1" a="1"/>
  <c r="Z1449" i="1"/>
  <c r="AB1556" i="1"/>
  <c r="AC1188" i="1" a="1"/>
  <c r="AC1188" i="1"/>
  <c r="AC39" i="1" a="1"/>
  <c r="AC39" i="1"/>
  <c r="Y1333" i="1" a="1"/>
  <c r="Y1333" i="1"/>
  <c r="AA39" i="1" a="1"/>
  <c r="AA39" i="1"/>
  <c r="AB585" i="1" a="1"/>
  <c r="AB585" i="1"/>
  <c r="Z351" i="1" a="1"/>
  <c r="Z351" i="1"/>
  <c r="AA880" i="1" a="1"/>
  <c r="AA880" i="1"/>
  <c r="AC1333" i="1" a="1"/>
  <c r="AC1333" i="1"/>
  <c r="Z39" i="1" a="1"/>
  <c r="Z39" i="1"/>
  <c r="Y12" i="1" a="1"/>
  <c r="Y12" i="1"/>
  <c r="Y509" i="1" a="1"/>
  <c r="Y509" i="1"/>
  <c r="Z12" i="1" a="1"/>
  <c r="Z12" i="1"/>
  <c r="Y1449" i="1" a="1"/>
  <c r="Y1449" i="1"/>
  <c r="Y1585" i="1"/>
  <c r="Z1585" i="1"/>
  <c r="AA808" i="1" a="1"/>
  <c r="AA808" i="1"/>
  <c r="AB1449" i="1" a="1"/>
  <c r="AB1449" i="1"/>
  <c r="AC1363" i="1" a="1"/>
  <c r="AC1363" i="1"/>
  <c r="AB105" i="1" a="1"/>
  <c r="AB105" i="1"/>
  <c r="AA585" i="1" a="1"/>
  <c r="AA585" i="1"/>
  <c r="AA1165" i="1" a="1"/>
  <c r="AA1165" i="1"/>
  <c r="AB12" i="1" a="1"/>
  <c r="AB12" i="1"/>
  <c r="AC351" i="1" a="1"/>
  <c r="AC351" i="1"/>
  <c r="AC1449" i="1" a="1"/>
  <c r="AC1449" i="1"/>
  <c r="Y1359" i="1" a="1"/>
  <c r="Y1359" i="1"/>
  <c r="AC12" i="1" a="1"/>
  <c r="AC12" i="1"/>
  <c r="AC808" i="1" a="1"/>
  <c r="AC808" i="1"/>
  <c r="AA1585" i="1"/>
  <c r="AC1165" i="1" a="1"/>
  <c r="AC1165" i="1"/>
  <c r="AC585" i="1" a="1"/>
  <c r="AC585" i="1"/>
  <c r="AC336" i="1" a="1"/>
  <c r="AC336" i="1"/>
  <c r="AC121" i="1" a="1"/>
  <c r="AC121" i="1"/>
  <c r="AC1359" i="1" a="1"/>
  <c r="AC1359" i="1"/>
  <c r="AB1359" i="1" a="1"/>
  <c r="AB1359" i="1"/>
  <c r="Z808" i="1" a="1"/>
  <c r="Z808" i="1"/>
  <c r="AB1125" i="1" a="1"/>
  <c r="AB1125" i="1"/>
  <c r="Y1556" i="1"/>
  <c r="AC880" i="1" a="1"/>
  <c r="AC880" i="1"/>
  <c r="AB39" i="1" a="1"/>
  <c r="AB39" i="1"/>
  <c r="AA1556" i="1"/>
  <c r="AA1188" i="1" a="1"/>
  <c r="AA1188" i="1"/>
  <c r="AA336" i="1" a="1"/>
  <c r="AA336" i="1"/>
  <c r="AA1363" i="1" a="1"/>
  <c r="AA1363" i="1"/>
  <c r="Z1125" i="1" a="1"/>
  <c r="Z1125" i="1"/>
  <c r="Z509" i="1" a="1"/>
  <c r="Z509" i="1"/>
  <c r="AB1585" i="1"/>
  <c r="Y336" i="1" a="1"/>
  <c r="Y336" i="1"/>
  <c r="AA509" i="1" a="1"/>
  <c r="AA509" i="1"/>
  <c r="AA1141" i="1" a="1"/>
  <c r="AA1141" i="1"/>
  <c r="AC105" i="1" a="1"/>
  <c r="AC105" i="1"/>
  <c r="AB808" i="1" a="1"/>
  <c r="AB808" i="1"/>
  <c r="AC1556" i="1"/>
  <c r="Y1363" i="1" a="1"/>
  <c r="Y1363" i="1"/>
  <c r="Z1165" i="1" a="1"/>
  <c r="Z1165" i="1"/>
  <c r="Y105" i="1" a="1"/>
  <c r="Y105" i="1"/>
  <c r="AB1363" i="1" a="1"/>
  <c r="AB1363" i="1"/>
  <c r="Z1333" i="1" a="1"/>
  <c r="Z1333" i="1"/>
  <c r="AB336" i="1" a="1"/>
  <c r="AB336" i="1"/>
  <c r="AB1141" i="1" a="1"/>
  <c r="AB1141" i="1"/>
  <c r="Y880" i="1" a="1"/>
  <c r="Y880" i="1"/>
  <c r="Y1165" i="1" a="1"/>
  <c r="Y1165" i="1"/>
  <c r="AA1333" i="1" a="1"/>
  <c r="AA1333" i="1"/>
  <c r="Z585" i="1" a="1"/>
  <c r="Z585" i="1"/>
  <c r="AA1359" i="1" a="1"/>
  <c r="AA1359" i="1"/>
  <c r="Y1125" i="1" a="1"/>
  <c r="Y1125" i="1"/>
  <c r="Z1359" i="1" a="1"/>
  <c r="Z1359" i="1"/>
  <c r="AC509" i="1" a="1"/>
  <c r="AC509" i="1"/>
  <c r="AB121" i="1" a="1"/>
  <c r="AB121" i="1"/>
  <c r="Z1363" i="1" a="1"/>
  <c r="Z1363" i="1"/>
  <c r="AA12" i="1" a="1"/>
  <c r="AA12" i="1"/>
  <c r="Z1556" i="1"/>
  <c r="Y351" i="1" a="1"/>
  <c r="Y351" i="1"/>
  <c r="Z336" i="1" a="1"/>
  <c r="Z336" i="1"/>
  <c r="AC1585" i="1"/>
  <c r="Y585" i="1" a="1"/>
  <c r="Y585" i="1"/>
  <c r="AB1165" i="1" a="1"/>
  <c r="AB1165" i="1"/>
  <c r="Y1141" i="1" a="1"/>
  <c r="Y1141" i="1"/>
  <c r="Y808" i="1" a="1"/>
  <c r="Y808" i="1"/>
  <c r="AA1449" i="1" a="1"/>
  <c r="AA1449" i="1"/>
  <c r="AB1333" i="1" a="1"/>
  <c r="AB1333" i="1"/>
  <c r="Y39" i="1" a="1"/>
  <c r="Y39" i="1"/>
  <c r="Y1188" i="1" a="1"/>
  <c r="Y1188" i="1"/>
  <c r="Z880" i="1" a="1"/>
  <c r="Z880" i="1"/>
  <c r="AC1125" i="1" a="1"/>
  <c r="AC1125" i="1"/>
  <c r="AA105" i="1" a="1"/>
  <c r="AA105" i="1"/>
  <c r="AA1299" i="1" a="1"/>
  <c r="AA1299" i="1"/>
  <c r="Y70" i="1" a="1"/>
  <c r="Y70" i="1"/>
  <c r="AB1299" i="1" a="1"/>
  <c r="AB1299" i="1"/>
  <c r="AB1383" i="1" a="1"/>
  <c r="AB1383" i="1"/>
  <c r="AB1579" i="1"/>
  <c r="AA70" i="1" a="1"/>
  <c r="AA70" i="1"/>
  <c r="AC1527" i="1" a="1"/>
  <c r="AC1527" i="1"/>
  <c r="Z70" i="1" a="1"/>
  <c r="Z70" i="1"/>
  <c r="Y1299" i="1" a="1"/>
  <c r="Y1299" i="1"/>
  <c r="Z1527" i="1" a="1"/>
  <c r="Z1527" i="1"/>
  <c r="AA1410" i="1" a="1"/>
  <c r="AA1410" i="1"/>
  <c r="AA1527" i="1" a="1"/>
  <c r="AA1527" i="1"/>
  <c r="Y1527" i="1" a="1"/>
  <c r="Y1527" i="1"/>
  <c r="AC1410" i="1" a="1"/>
  <c r="AC1410" i="1"/>
  <c r="AA1579" i="1"/>
  <c r="Y1244" i="1" a="1"/>
  <c r="Y1244" i="1"/>
  <c r="AC1299" i="1" a="1"/>
  <c r="AC1299" i="1"/>
  <c r="AB70" i="1" a="1"/>
  <c r="AB70" i="1"/>
  <c r="Y1579" i="1"/>
  <c r="AC1567" i="1"/>
  <c r="Y1567" i="1"/>
  <c r="AA1383" i="1" a="1"/>
  <c r="AA1383" i="1"/>
  <c r="Z1567" i="1"/>
  <c r="Z517" i="1" a="1"/>
  <c r="Z517" i="1"/>
  <c r="Y1383" i="1" a="1"/>
  <c r="Y1383" i="1"/>
  <c r="AC1244" i="1" a="1"/>
  <c r="AC1244" i="1"/>
  <c r="AB1139" i="1" a="1"/>
  <c r="AB1139" i="1"/>
  <c r="AB517" i="1" a="1"/>
  <c r="AB517" i="1"/>
  <c r="Z1244" i="1" a="1"/>
  <c r="Z1244" i="1"/>
  <c r="AB1567" i="1"/>
  <c r="AC1139" i="1" a="1"/>
  <c r="AC1139" i="1"/>
  <c r="AC1579" i="1"/>
  <c r="AC517" i="1" a="1"/>
  <c r="AC517" i="1"/>
  <c r="Y1410" i="1" a="1"/>
  <c r="Y1410" i="1"/>
  <c r="AB1244" i="1" a="1"/>
  <c r="AB1244" i="1"/>
  <c r="Y1139" i="1" a="1"/>
  <c r="Y1139" i="1"/>
  <c r="Y517" i="1" a="1"/>
  <c r="Y517" i="1"/>
  <c r="AC1383" i="1" a="1"/>
  <c r="AC1383" i="1"/>
  <c r="AA1139" i="1" a="1"/>
  <c r="AA1139" i="1"/>
  <c r="Z1410" i="1" a="1"/>
  <c r="Z1410" i="1"/>
  <c r="Z1579" i="1"/>
  <c r="Z1299" i="1" a="1"/>
  <c r="Z1299" i="1"/>
  <c r="AA1244" i="1" a="1"/>
  <c r="AA1244" i="1"/>
  <c r="AB1527" i="1" a="1"/>
  <c r="AB1527" i="1"/>
  <c r="AC70" i="1" a="1"/>
  <c r="AC70" i="1"/>
  <c r="Z1139" i="1" a="1"/>
  <c r="Z1139" i="1"/>
  <c r="Z1383" i="1" a="1"/>
  <c r="Z1383" i="1"/>
  <c r="AA1567" i="1"/>
  <c r="AB1410" i="1" a="1"/>
  <c r="AB1410" i="1"/>
  <c r="AA517" i="1" a="1"/>
  <c r="AA517" i="1"/>
  <c r="Y795" i="1" a="1"/>
  <c r="Y795" i="1"/>
  <c r="Y945" i="1" a="1"/>
  <c r="Y945" i="1"/>
  <c r="AA642" i="1" a="1"/>
  <c r="AA642" i="1"/>
  <c r="Y22" i="1" a="1"/>
  <c r="Y22" i="1"/>
  <c r="AA1528" i="1" a="1"/>
  <c r="AA1528" i="1"/>
  <c r="AB251" i="1" a="1"/>
  <c r="AB251" i="1"/>
  <c r="Y642" i="1" a="1"/>
  <c r="Y642" i="1"/>
  <c r="AB795" i="1" a="1"/>
  <c r="AB795" i="1"/>
  <c r="AA57" i="1" a="1"/>
  <c r="AA57" i="1"/>
  <c r="AC251" i="1" a="1"/>
  <c r="AC251" i="1"/>
  <c r="AB945" i="1" a="1"/>
  <c r="AB945" i="1"/>
  <c r="AC795" i="1" a="1"/>
  <c r="AC795" i="1"/>
  <c r="Y1121" i="1" a="1"/>
  <c r="Y1121" i="1"/>
  <c r="Z795" i="1" a="1"/>
  <c r="Z795" i="1"/>
  <c r="Z1528" i="1" a="1"/>
  <c r="Z1528" i="1"/>
  <c r="Z22" i="1" a="1"/>
  <c r="Z22" i="1"/>
  <c r="AB1121" i="1" a="1"/>
  <c r="AB1121" i="1"/>
  <c r="AA1451" i="1" a="1"/>
  <c r="AA1451" i="1"/>
  <c r="Y1451" i="1" a="1"/>
  <c r="Y1451" i="1"/>
  <c r="Y1085" i="1" a="1"/>
  <c r="Y1085" i="1"/>
  <c r="AC1085" i="1" a="1"/>
  <c r="AC1085" i="1"/>
  <c r="Z57" i="1" a="1"/>
  <c r="Z57" i="1"/>
  <c r="AC945" i="1" a="1"/>
  <c r="AC945" i="1"/>
  <c r="AA1085" i="1" a="1"/>
  <c r="AA1085" i="1"/>
  <c r="Z1121" i="1" a="1"/>
  <c r="Z1121" i="1"/>
  <c r="AB642" i="1" a="1"/>
  <c r="AB642" i="1"/>
  <c r="AA1121" i="1" a="1"/>
  <c r="AA1121" i="1"/>
  <c r="AA251" i="1" a="1"/>
  <c r="AA251" i="1"/>
  <c r="AC1528" i="1" a="1"/>
  <c r="AC1528" i="1"/>
  <c r="AB1085" i="1" a="1"/>
  <c r="AB1085" i="1"/>
  <c r="AA945" i="1" a="1"/>
  <c r="AA945" i="1"/>
  <c r="Z1451" i="1" a="1"/>
  <c r="Z1451" i="1"/>
  <c r="AC642" i="1" a="1"/>
  <c r="AC642" i="1"/>
  <c r="AC57" i="1" a="1"/>
  <c r="AC57" i="1"/>
  <c r="AB22" i="1" a="1"/>
  <c r="AB22" i="1"/>
  <c r="AB1451" i="1" a="1"/>
  <c r="AB1451" i="1"/>
  <c r="AB57" i="1" a="1"/>
  <c r="AB57" i="1"/>
  <c r="AC22" i="1" a="1"/>
  <c r="AC22" i="1"/>
  <c r="Z1085" i="1" a="1"/>
  <c r="Z1085" i="1"/>
  <c r="AB1528" i="1" a="1"/>
  <c r="AB1528" i="1"/>
  <c r="AA22" i="1" a="1"/>
  <c r="AA22" i="1"/>
  <c r="Y251" i="1" a="1"/>
  <c r="Y251" i="1"/>
  <c r="AC1121" i="1" a="1"/>
  <c r="AC1121" i="1"/>
  <c r="Z945" i="1" a="1"/>
  <c r="Z945" i="1"/>
  <c r="Z251" i="1" a="1"/>
  <c r="Z251" i="1"/>
  <c r="Y57" i="1" a="1"/>
  <c r="Y57" i="1"/>
  <c r="AC1451" i="1" a="1"/>
  <c r="AC1451" i="1"/>
  <c r="Y1528" i="1" a="1"/>
  <c r="Y1528" i="1"/>
  <c r="Z642" i="1" a="1"/>
  <c r="Z642" i="1"/>
  <c r="AA795" i="1" a="1"/>
  <c r="AA795" i="1"/>
  <c r="Z1115" i="1" a="1"/>
  <c r="Z1115" i="1"/>
  <c r="Z1016" i="1" a="1"/>
  <c r="Z1016" i="1"/>
  <c r="AC1016" i="1" a="1"/>
  <c r="AC1016" i="1"/>
  <c r="AA697" i="1" a="1"/>
  <c r="AA697" i="1"/>
  <c r="AB1198" i="1" a="1"/>
  <c r="AB1198" i="1"/>
  <c r="AB1478" i="1" a="1"/>
  <c r="AB1478" i="1"/>
  <c r="Z1198" i="1" a="1"/>
  <c r="Z1198" i="1"/>
  <c r="AC697" i="1" a="1"/>
  <c r="AC697" i="1"/>
  <c r="AB234" i="1" a="1"/>
  <c r="AB234" i="1"/>
  <c r="Z196" i="1" a="1"/>
  <c r="Z196" i="1"/>
  <c r="AC234" i="1" a="1"/>
  <c r="AC234" i="1"/>
  <c r="AA628" i="1" a="1"/>
  <c r="AA628" i="1"/>
  <c r="AB1594" i="1"/>
  <c r="Y140" i="1" a="1"/>
  <c r="Y140" i="1"/>
  <c r="AA196" i="1" a="1"/>
  <c r="AA196" i="1"/>
  <c r="Y196" i="1" a="1"/>
  <c r="Y196" i="1"/>
  <c r="AB628" i="1" a="1"/>
  <c r="AB628" i="1"/>
  <c r="Y1594" i="1"/>
  <c r="AC1115" i="1" a="1"/>
  <c r="AC1115" i="1"/>
  <c r="Z697" i="1" a="1"/>
  <c r="Z697" i="1"/>
  <c r="AC1198" i="1" a="1"/>
  <c r="AC1198" i="1"/>
  <c r="AB697" i="1" a="1"/>
  <c r="AB697" i="1"/>
  <c r="AB1115" i="1" a="1"/>
  <c r="AB1115" i="1"/>
  <c r="Z140" i="1" a="1"/>
  <c r="Z140" i="1"/>
  <c r="AA1016" i="1" a="1"/>
  <c r="AA1016" i="1"/>
  <c r="AB140" i="1" a="1"/>
  <c r="AB140" i="1"/>
  <c r="AA1115" i="1" a="1"/>
  <c r="AA1115" i="1"/>
  <c r="AB1016" i="1" a="1"/>
  <c r="AB1016" i="1"/>
  <c r="AC1478" i="1" a="1"/>
  <c r="AC1478" i="1"/>
  <c r="AC1594" i="1"/>
  <c r="AA140" i="1" a="1"/>
  <c r="AA140" i="1"/>
  <c r="AA1198" i="1" a="1"/>
  <c r="AA1198" i="1"/>
  <c r="AA1594" i="1"/>
  <c r="AA1478" i="1" a="1"/>
  <c r="AA1478" i="1"/>
  <c r="AA234" i="1" a="1"/>
  <c r="AA234" i="1"/>
  <c r="Y628" i="1" a="1"/>
  <c r="Y628" i="1"/>
  <c r="Z234" i="1" a="1"/>
  <c r="Z234" i="1"/>
  <c r="Z628" i="1" a="1"/>
  <c r="Z628" i="1"/>
  <c r="Y1478" i="1" a="1"/>
  <c r="Y1478" i="1"/>
  <c r="AC196" i="1" a="1"/>
  <c r="AC196" i="1"/>
  <c r="Y1198" i="1" a="1"/>
  <c r="Y1198" i="1"/>
  <c r="Y1016" i="1" a="1"/>
  <c r="Y1016" i="1"/>
  <c r="AC140" i="1" a="1"/>
  <c r="AC140" i="1"/>
  <c r="Y1115" i="1" a="1"/>
  <c r="Y1115" i="1"/>
  <c r="Y697" i="1" a="1"/>
  <c r="Y697" i="1"/>
  <c r="Z1478" i="1" a="1"/>
  <c r="Z1478" i="1"/>
  <c r="Y234" i="1" a="1"/>
  <c r="Y234" i="1"/>
  <c r="AC628" i="1" a="1"/>
  <c r="AC628" i="1"/>
  <c r="AB196" i="1" a="1"/>
  <c r="AB196" i="1"/>
  <c r="Z1594" i="1"/>
  <c r="AB253" i="1" a="1"/>
  <c r="AB253" i="1"/>
  <c r="AA1554" i="1"/>
  <c r="AC451" i="1" a="1"/>
  <c r="AC451" i="1"/>
  <c r="AA1524" i="1" a="1"/>
  <c r="AA1524" i="1"/>
  <c r="Y1524" i="1" a="1"/>
  <c r="Y1524" i="1"/>
  <c r="Y341" i="1" a="1"/>
  <c r="Y341" i="1"/>
  <c r="AB341" i="1" a="1"/>
  <c r="AB341" i="1"/>
  <c r="Y1413" i="1" a="1"/>
  <c r="Y1413" i="1"/>
  <c r="AA403" i="1" a="1"/>
  <c r="AA403" i="1"/>
  <c r="Z1413" i="1" a="1"/>
  <c r="Z1413" i="1"/>
  <c r="AA451" i="1" a="1"/>
  <c r="AA451" i="1"/>
  <c r="AB1554" i="1"/>
  <c r="AB349" i="1" a="1"/>
  <c r="AB349" i="1"/>
  <c r="Y1352" i="1" a="1"/>
  <c r="Y1352" i="1"/>
  <c r="AC174" i="1" a="1"/>
  <c r="AC174" i="1"/>
  <c r="AA341" i="1" a="1"/>
  <c r="AA341" i="1"/>
  <c r="Z349" i="1" a="1"/>
  <c r="Z349" i="1"/>
  <c r="AC403" i="1" a="1"/>
  <c r="AC403" i="1"/>
  <c r="AA349" i="1" a="1"/>
  <c r="AA349" i="1"/>
  <c r="AC253" i="1" a="1"/>
  <c r="AC253" i="1"/>
  <c r="Z341" i="1" a="1"/>
  <c r="Z341" i="1"/>
  <c r="AA253" i="1" a="1"/>
  <c r="AA253" i="1"/>
  <c r="AB174" i="1" a="1"/>
  <c r="AB174" i="1"/>
  <c r="AC1524" i="1" a="1"/>
  <c r="AC1524" i="1"/>
  <c r="AB403" i="1" a="1"/>
  <c r="AB403" i="1"/>
  <c r="AA1413" i="1" a="1"/>
  <c r="AA1413" i="1"/>
  <c r="Y174" i="1" a="1"/>
  <c r="Y174" i="1"/>
  <c r="Z451" i="1" a="1"/>
  <c r="Z451" i="1"/>
  <c r="Z1524" i="1" a="1"/>
  <c r="Z1524" i="1"/>
  <c r="AB1352" i="1" a="1"/>
  <c r="AB1352" i="1"/>
  <c r="Z1352" i="1" a="1"/>
  <c r="Z1352" i="1"/>
  <c r="Z1554" i="1"/>
  <c r="AC349" i="1" a="1"/>
  <c r="AC349" i="1"/>
  <c r="Y1554" i="1"/>
  <c r="Z174" i="1" a="1"/>
  <c r="Z174" i="1"/>
  <c r="Y403" i="1" a="1"/>
  <c r="Y403" i="1"/>
  <c r="AC1413" i="1" a="1"/>
  <c r="AC1413" i="1"/>
  <c r="Y451" i="1" a="1"/>
  <c r="Y451" i="1"/>
  <c r="AA1352" i="1" a="1"/>
  <c r="AA1352" i="1"/>
  <c r="Z253" i="1" a="1"/>
  <c r="Z253" i="1"/>
  <c r="AB451" i="1" a="1"/>
  <c r="AB451" i="1"/>
  <c r="AB1413" i="1" a="1"/>
  <c r="AB1413" i="1"/>
  <c r="Z403" i="1" a="1"/>
  <c r="Z403" i="1"/>
  <c r="AC1352" i="1" a="1"/>
  <c r="AC1352" i="1"/>
  <c r="Y253" i="1" a="1"/>
  <c r="Y253" i="1"/>
  <c r="AA174" i="1" a="1"/>
  <c r="AA174" i="1"/>
  <c r="AB1524" i="1" a="1"/>
  <c r="AB1524" i="1"/>
  <c r="Y349" i="1" a="1"/>
  <c r="Y349" i="1"/>
  <c r="AC1554" i="1"/>
  <c r="AC341" i="1" a="1"/>
  <c r="AC341" i="1"/>
  <c r="AC279" i="1" a="1"/>
  <c r="AC279" i="1"/>
  <c r="Y1005" i="1" a="1"/>
  <c r="Y1005" i="1"/>
  <c r="AC1438" i="1" a="1"/>
  <c r="AC1438" i="1"/>
  <c r="AA279" i="1" a="1"/>
  <c r="AA279" i="1"/>
  <c r="AC1204" i="1" a="1"/>
  <c r="AC1204" i="1"/>
  <c r="AB1204" i="1" a="1"/>
  <c r="AB1204" i="1"/>
  <c r="AA156" i="1" a="1"/>
  <c r="AA156" i="1"/>
  <c r="AA1438" i="1" a="1"/>
  <c r="AA1438" i="1"/>
  <c r="Y1071" i="1" a="1"/>
  <c r="Y1071" i="1"/>
  <c r="Z1204" i="1" a="1"/>
  <c r="Z1204" i="1"/>
  <c r="AA293" i="1" a="1"/>
  <c r="AA293" i="1"/>
  <c r="Z1071" i="1" a="1"/>
  <c r="Z1071" i="1"/>
  <c r="Y1438" i="1" a="1"/>
  <c r="Y1438" i="1"/>
  <c r="AB491" i="1" a="1"/>
  <c r="AB491" i="1"/>
  <c r="Z156" i="1" a="1"/>
  <c r="Z156" i="1"/>
  <c r="AA1071" i="1" a="1"/>
  <c r="AA1071" i="1"/>
  <c r="AA1005" i="1" a="1"/>
  <c r="AA1005" i="1"/>
  <c r="Z293" i="1" a="1"/>
  <c r="Z293" i="1"/>
  <c r="AA849" i="1" a="1"/>
  <c r="AA849" i="1"/>
  <c r="AC156" i="1" a="1"/>
  <c r="AC156" i="1"/>
  <c r="Y491" i="1" a="1"/>
  <c r="Y491" i="1"/>
  <c r="AB293" i="1" a="1"/>
  <c r="AB293" i="1"/>
  <c r="Z849" i="1" a="1"/>
  <c r="Z849" i="1"/>
  <c r="AB1071" i="1" a="1"/>
  <c r="AB1071" i="1"/>
  <c r="AB849" i="1" a="1"/>
  <c r="AB849" i="1"/>
  <c r="AB156" i="1" a="1"/>
  <c r="AB156" i="1"/>
  <c r="Y279" i="1" a="1"/>
  <c r="Y279" i="1"/>
  <c r="AA1204" i="1" a="1"/>
  <c r="AA1204" i="1"/>
  <c r="Y293" i="1" a="1"/>
  <c r="Y293" i="1"/>
  <c r="Z1005" i="1" a="1"/>
  <c r="Z1005" i="1"/>
  <c r="Z801" i="1" a="1"/>
  <c r="Z801" i="1"/>
  <c r="AC1005" i="1" a="1"/>
  <c r="AC1005" i="1"/>
  <c r="Z491" i="1" a="1"/>
  <c r="Z491" i="1"/>
  <c r="Y801" i="1" a="1"/>
  <c r="Y801" i="1"/>
  <c r="AB801" i="1" a="1"/>
  <c r="AB801" i="1"/>
  <c r="AB1438" i="1" a="1"/>
  <c r="AB1438" i="1"/>
  <c r="Y849" i="1" a="1"/>
  <c r="Y849" i="1"/>
  <c r="AA491" i="1" a="1"/>
  <c r="AA491" i="1"/>
  <c r="AB279" i="1" a="1"/>
  <c r="AB279" i="1"/>
  <c r="Y156" i="1" a="1"/>
  <c r="Y156" i="1"/>
  <c r="Y1204" i="1" a="1"/>
  <c r="Y1204" i="1"/>
  <c r="AC849" i="1" a="1"/>
  <c r="AC849" i="1"/>
  <c r="AB1005" i="1" a="1"/>
  <c r="AB1005" i="1"/>
  <c r="Z279" i="1" a="1"/>
  <c r="Z279" i="1"/>
  <c r="AA801" i="1" a="1"/>
  <c r="AA801" i="1"/>
  <c r="Z1438" i="1" a="1"/>
  <c r="Z1438" i="1"/>
  <c r="AC801" i="1" a="1"/>
  <c r="AC801" i="1"/>
  <c r="AC293" i="1" a="1"/>
  <c r="AC293" i="1"/>
  <c r="AC491" i="1" a="1"/>
  <c r="AC491" i="1"/>
  <c r="AC1071" i="1" a="1"/>
  <c r="AC1071" i="1"/>
  <c r="AA63" i="1" a="1"/>
  <c r="AA63" i="1"/>
  <c r="AC1346" i="1" a="1"/>
  <c r="AC1346" i="1"/>
  <c r="AA249" i="1" a="1"/>
  <c r="AA249" i="1"/>
  <c r="AC1218" i="1" a="1"/>
  <c r="AC1218" i="1"/>
  <c r="Z832" i="1" a="1"/>
  <c r="Z832" i="1"/>
  <c r="AA751" i="1" a="1"/>
  <c r="AA751" i="1"/>
  <c r="AC237" i="1" a="1"/>
  <c r="AC237" i="1"/>
  <c r="AA634" i="1" a="1"/>
  <c r="AA634" i="1"/>
  <c r="Y751" i="1" a="1"/>
  <c r="Y751" i="1"/>
  <c r="Y249" i="1" a="1"/>
  <c r="Y249" i="1"/>
  <c r="AB1535" i="1" a="1"/>
  <c r="AB1535" i="1"/>
  <c r="AB634" i="1" a="1"/>
  <c r="AB634" i="1"/>
  <c r="Y1535" i="1" a="1"/>
  <c r="Y1535" i="1"/>
  <c r="Z319" i="1" a="1"/>
  <c r="Z319" i="1"/>
  <c r="Z1346" i="1" a="1"/>
  <c r="Z1346" i="1"/>
  <c r="AA1346" i="1" a="1"/>
  <c r="AA1346" i="1"/>
  <c r="Y832" i="1" a="1"/>
  <c r="Y832" i="1"/>
  <c r="Y237" i="1" a="1"/>
  <c r="Y237" i="1"/>
  <c r="Y319" i="1" a="1"/>
  <c r="Y319" i="1"/>
  <c r="AB237" i="1" a="1"/>
  <c r="AB237" i="1"/>
  <c r="AC832" i="1" a="1"/>
  <c r="AC832" i="1"/>
  <c r="Y634" i="1" a="1"/>
  <c r="Y634" i="1"/>
  <c r="AA319" i="1" a="1"/>
  <c r="AA319" i="1"/>
  <c r="AC751" i="1" a="1"/>
  <c r="AC751" i="1"/>
  <c r="Y63" i="1" a="1"/>
  <c r="Y63" i="1"/>
  <c r="AC1535" i="1" a="1"/>
  <c r="AC1535" i="1"/>
  <c r="Z634" i="1" a="1"/>
  <c r="Z634" i="1"/>
  <c r="AB63" i="1" a="1"/>
  <c r="AB63" i="1"/>
  <c r="AC63" i="1" a="1"/>
  <c r="AC63" i="1"/>
  <c r="AC249" i="1" a="1"/>
  <c r="AC249" i="1"/>
  <c r="AB1218" i="1" a="1"/>
  <c r="AB1218" i="1"/>
  <c r="AB249" i="1" a="1"/>
  <c r="AB249" i="1"/>
  <c r="AB319" i="1" a="1"/>
  <c r="AB319" i="1"/>
  <c r="AB751" i="1" a="1"/>
  <c r="AB751" i="1"/>
  <c r="Z1218" i="1" a="1"/>
  <c r="Z1218" i="1"/>
  <c r="AB1346" i="1" a="1"/>
  <c r="AB1346" i="1"/>
  <c r="Y1218" i="1" a="1"/>
  <c r="Y1218" i="1"/>
  <c r="AA832" i="1" a="1"/>
  <c r="AA832" i="1"/>
  <c r="Z237" i="1" a="1"/>
  <c r="Z237" i="1"/>
  <c r="AA1535" i="1" a="1"/>
  <c r="AA1535" i="1"/>
  <c r="AC319" i="1" a="1"/>
  <c r="AC319" i="1"/>
  <c r="Z249" i="1" a="1"/>
  <c r="Z249" i="1"/>
  <c r="AA1218" i="1" a="1"/>
  <c r="AA1218" i="1"/>
  <c r="Y1346" i="1" a="1"/>
  <c r="Y1346" i="1"/>
  <c r="Z1535" i="1" a="1"/>
  <c r="Z1535" i="1"/>
  <c r="AB832" i="1" a="1"/>
  <c r="AB832" i="1"/>
  <c r="AC634" i="1" a="1"/>
  <c r="AC634" i="1"/>
  <c r="Z751" i="1" a="1"/>
  <c r="Z751" i="1"/>
  <c r="Z63" i="1" a="1"/>
  <c r="Z63" i="1"/>
  <c r="AA237" i="1" a="1"/>
  <c r="AA237" i="1"/>
  <c r="Z1210" i="1" a="1"/>
  <c r="Z1210" i="1"/>
  <c r="AB818" i="1" a="1"/>
  <c r="AB818" i="1"/>
  <c r="Y1582" i="1"/>
  <c r="Y1599" i="1"/>
  <c r="Y1580" i="1"/>
  <c r="AA818" i="1" a="1"/>
  <c r="AA818" i="1"/>
  <c r="AA777" i="1" a="1"/>
  <c r="AA777" i="1"/>
  <c r="AB1213" i="1" a="1"/>
  <c r="AB1213" i="1"/>
  <c r="AC996" i="1" a="1"/>
  <c r="AC996" i="1"/>
  <c r="AB323" i="1" a="1"/>
  <c r="AB323" i="1"/>
  <c r="AC777" i="1" a="1"/>
  <c r="AC777" i="1"/>
  <c r="AC872" i="1" a="1"/>
  <c r="AC872" i="1"/>
  <c r="Y323" i="1" a="1"/>
  <c r="Y323" i="1"/>
  <c r="AA1210" i="1" a="1"/>
  <c r="AA1210" i="1"/>
  <c r="Y996" i="1" a="1"/>
  <c r="Y996" i="1"/>
  <c r="AB1599" i="1"/>
  <c r="AA1582" i="1"/>
  <c r="AB1582" i="1"/>
  <c r="AA323" i="1" a="1"/>
  <c r="AA323" i="1"/>
  <c r="AB996" i="1" a="1"/>
  <c r="AB996" i="1"/>
  <c r="Y1213" i="1" a="1"/>
  <c r="Y1213" i="1"/>
  <c r="AA872" i="1" a="1"/>
  <c r="AA872" i="1"/>
  <c r="Z818" i="1" a="1"/>
  <c r="Z818" i="1"/>
  <c r="Y1210" i="1" a="1"/>
  <c r="Y1210" i="1"/>
  <c r="AA996" i="1" a="1"/>
  <c r="AA996" i="1"/>
  <c r="AA1580" i="1"/>
  <c r="AB1210" i="1" a="1"/>
  <c r="AB1210" i="1"/>
  <c r="AC1582" i="1"/>
  <c r="AB777" i="1" a="1"/>
  <c r="AB777" i="1"/>
  <c r="Z872" i="1" a="1"/>
  <c r="Z872" i="1"/>
  <c r="Z1580" i="1"/>
  <c r="AB872" i="1" a="1"/>
  <c r="AB872" i="1"/>
  <c r="Z1599" i="1"/>
  <c r="AB1580" i="1"/>
  <c r="Z323" i="1" a="1"/>
  <c r="Z323" i="1"/>
  <c r="Y777" i="1" a="1"/>
  <c r="Y777" i="1"/>
  <c r="AC1599" i="1"/>
  <c r="Z1213" i="1" a="1"/>
  <c r="Z1213" i="1"/>
  <c r="AC1213" i="1" a="1"/>
  <c r="AC1213" i="1"/>
  <c r="Y818" i="1" a="1"/>
  <c r="Y818" i="1"/>
  <c r="AA1213" i="1" a="1"/>
  <c r="AA1213" i="1"/>
  <c r="AC818" i="1" a="1"/>
  <c r="AC818" i="1"/>
  <c r="AC1210" i="1" a="1"/>
  <c r="AC1210" i="1"/>
  <c r="AC323" i="1" a="1"/>
  <c r="AC323" i="1"/>
  <c r="Z1582" i="1" a="1"/>
  <c r="Z1582" i="1"/>
  <c r="AC1580" i="1"/>
  <c r="AA1599" i="1"/>
  <c r="Z777" i="1" a="1"/>
  <c r="Z777" i="1"/>
  <c r="Y872" i="1" a="1"/>
  <c r="Y872" i="1"/>
  <c r="Z996" i="1" a="1"/>
  <c r="Z996" i="1"/>
  <c r="AC1309" i="1" a="1"/>
  <c r="AC1309" i="1"/>
  <c r="Y524" i="1" a="1"/>
  <c r="Y524" i="1"/>
  <c r="Z1600" i="1"/>
  <c r="Z1129" i="1" a="1"/>
  <c r="Z1129" i="1"/>
  <c r="Z1309" i="1" a="1"/>
  <c r="Z1309" i="1"/>
  <c r="AA1233" i="1" a="1"/>
  <c r="AA1233" i="1"/>
  <c r="AB1354" i="1" a="1"/>
  <c r="AB1354" i="1"/>
  <c r="AB306" i="1" a="1"/>
  <c r="AB306" i="1"/>
  <c r="AB1600" i="1"/>
  <c r="Y1233" i="1" a="1"/>
  <c r="Y1233" i="1"/>
  <c r="Z1233" i="1" a="1"/>
  <c r="Z1233" i="1"/>
  <c r="AC1600" i="1"/>
  <c r="AC306" i="1" a="1"/>
  <c r="AC306" i="1"/>
  <c r="AA1255" i="1" a="1"/>
  <c r="AA1255" i="1"/>
  <c r="AB524" i="1" a="1"/>
  <c r="AB524" i="1"/>
  <c r="Z1354" i="1" a="1"/>
  <c r="Z1354" i="1"/>
  <c r="AA306" i="1" a="1"/>
  <c r="AA306" i="1"/>
  <c r="AA1129" i="1" a="1"/>
  <c r="AA1129" i="1"/>
  <c r="AA601" i="1" a="1"/>
  <c r="AA601" i="1"/>
  <c r="Y1255" i="1" a="1"/>
  <c r="Y1255" i="1"/>
  <c r="Y1354" i="1" a="1"/>
  <c r="Y1354" i="1"/>
  <c r="AB1129" i="1" a="1"/>
  <c r="AB1129" i="1"/>
  <c r="AA1354" i="1" a="1"/>
  <c r="AA1354" i="1"/>
  <c r="Y1309" i="1" a="1"/>
  <c r="Y1309" i="1"/>
  <c r="AB1233" i="1" a="1"/>
  <c r="AB1233" i="1"/>
  <c r="AC636" i="1" a="1"/>
  <c r="AC636" i="1"/>
  <c r="Z524" i="1" a="1"/>
  <c r="Z524" i="1"/>
  <c r="Z636" i="1" a="1"/>
  <c r="Z636" i="1"/>
  <c r="Y1129" i="1" a="1"/>
  <c r="Y1129" i="1"/>
  <c r="AB601" i="1" a="1"/>
  <c r="AB601" i="1"/>
  <c r="AC1255" i="1" a="1"/>
  <c r="AC1255" i="1"/>
  <c r="Y306" i="1" a="1"/>
  <c r="Y306" i="1"/>
  <c r="AA636" i="1" a="1"/>
  <c r="AA636" i="1"/>
  <c r="AC601" i="1" a="1"/>
  <c r="AC601" i="1"/>
  <c r="AB636" i="1" a="1"/>
  <c r="AB636" i="1"/>
  <c r="AA1309" i="1" a="1"/>
  <c r="AA1309" i="1"/>
  <c r="AA524" i="1" a="1"/>
  <c r="AA524" i="1"/>
  <c r="Y1600" i="1"/>
  <c r="Z1255" i="1" a="1"/>
  <c r="Z1255" i="1"/>
  <c r="Z601" i="1" a="1"/>
  <c r="Z601" i="1"/>
  <c r="AB1255" i="1" a="1"/>
  <c r="AB1255" i="1"/>
  <c r="AC1129" i="1" a="1"/>
  <c r="AC1129" i="1"/>
  <c r="Y601" i="1" a="1"/>
  <c r="Y601" i="1"/>
  <c r="Z306" i="1" a="1"/>
  <c r="Z306" i="1"/>
  <c r="AC1233" i="1" a="1"/>
  <c r="AC1233" i="1"/>
  <c r="AA1600" i="1"/>
  <c r="AB1309" i="1" a="1"/>
  <c r="AB1309" i="1"/>
  <c r="AC524" i="1" a="1"/>
  <c r="AC524" i="1"/>
  <c r="Y636" i="1" a="1"/>
  <c r="Y636" i="1"/>
  <c r="AC1354" i="1" a="1"/>
  <c r="AC1354" i="1"/>
  <c r="AC23" i="1" a="1"/>
  <c r="AC23" i="1"/>
  <c r="Z623" i="1" a="1"/>
  <c r="Z623" i="1"/>
  <c r="Y623" i="1" a="1"/>
  <c r="Y623" i="1"/>
  <c r="Z910" i="1" a="1"/>
  <c r="Z910" i="1"/>
  <c r="AC1143" i="1" a="1"/>
  <c r="AC1143" i="1"/>
  <c r="Y122" i="1" a="1"/>
  <c r="Y122" i="1"/>
  <c r="AC910" i="1" a="1"/>
  <c r="AC910" i="1"/>
  <c r="Y767" i="1" a="1"/>
  <c r="Y767" i="1"/>
  <c r="AB481" i="1" a="1"/>
  <c r="AB481" i="1"/>
  <c r="Y910" i="1" a="1"/>
  <c r="Y910" i="1"/>
  <c r="AC481" i="1" a="1"/>
  <c r="AC481" i="1"/>
  <c r="Z767" i="1" a="1"/>
  <c r="Z767" i="1"/>
  <c r="AA23" i="1" a="1"/>
  <c r="AA23" i="1"/>
  <c r="AA623" i="1" a="1"/>
  <c r="AA623" i="1"/>
  <c r="AB122" i="1" a="1"/>
  <c r="AB122" i="1"/>
  <c r="Z1045" i="1" a="1"/>
  <c r="Z1045" i="1"/>
  <c r="AB767" i="1" a="1"/>
  <c r="AB767" i="1"/>
  <c r="AB1143" i="1" a="1"/>
  <c r="AB1143" i="1"/>
  <c r="AA726" i="1" a="1"/>
  <c r="AA726" i="1"/>
  <c r="Y726" i="1" a="1"/>
  <c r="Y726" i="1"/>
  <c r="AA1045" i="1" a="1"/>
  <c r="AA1045" i="1"/>
  <c r="AC767" i="1" a="1"/>
  <c r="AC767" i="1"/>
  <c r="AA910" i="1" a="1"/>
  <c r="AA910" i="1"/>
  <c r="Y1045" i="1" a="1"/>
  <c r="Y1045" i="1"/>
  <c r="Z481" i="1" a="1"/>
  <c r="Z481" i="1"/>
  <c r="AC122" i="1" a="1"/>
  <c r="AC122" i="1"/>
  <c r="Z23" i="1" a="1"/>
  <c r="Z23" i="1"/>
  <c r="Z122" i="1" a="1"/>
  <c r="Z122" i="1"/>
  <c r="AA1143" i="1" a="1"/>
  <c r="AA1143" i="1"/>
  <c r="AC784" i="1" a="1"/>
  <c r="AC784" i="1"/>
  <c r="Z1143" i="1" a="1"/>
  <c r="Z1143" i="1"/>
  <c r="AB1045" i="1" a="1"/>
  <c r="AB1045" i="1"/>
  <c r="AB726" i="1" a="1"/>
  <c r="AB726" i="1"/>
  <c r="AA481" i="1" a="1"/>
  <c r="AA481" i="1"/>
  <c r="Y23" i="1" a="1"/>
  <c r="Y23" i="1"/>
  <c r="AC726" i="1" a="1"/>
  <c r="AC726" i="1"/>
  <c r="Z784" i="1" a="1"/>
  <c r="Z784" i="1"/>
  <c r="AB623" i="1" a="1"/>
  <c r="AB623" i="1"/>
  <c r="Y784" i="1" a="1"/>
  <c r="Y784" i="1"/>
  <c r="AB784" i="1" a="1"/>
  <c r="AB784" i="1"/>
  <c r="AA122" i="1" a="1"/>
  <c r="AA122" i="1"/>
  <c r="Z726" i="1" a="1"/>
  <c r="Z726" i="1"/>
  <c r="AA784" i="1" a="1"/>
  <c r="AA784" i="1"/>
  <c r="AC623" i="1" a="1"/>
  <c r="AC623" i="1"/>
  <c r="Y481" i="1" a="1"/>
  <c r="Y481" i="1"/>
  <c r="Y1143" i="1" a="1"/>
  <c r="Y1143" i="1"/>
  <c r="AB910" i="1" a="1"/>
  <c r="AB910" i="1"/>
  <c r="AB23" i="1" a="1"/>
  <c r="AB23" i="1"/>
  <c r="AC1045" i="1" a="1"/>
  <c r="AC1045" i="1"/>
  <c r="AA767" i="1" a="1"/>
  <c r="AA767" i="1"/>
  <c r="AB1258" i="1" a="1"/>
  <c r="AB1258" i="1"/>
  <c r="AC766" i="1" a="1"/>
  <c r="AC766" i="1"/>
  <c r="AA571" i="1" a="1"/>
  <c r="AA571" i="1"/>
  <c r="Y766" i="1" a="1"/>
  <c r="Y766" i="1"/>
  <c r="AB571" i="1" a="1"/>
  <c r="AB571" i="1"/>
  <c r="AA788" i="1" a="1"/>
  <c r="AA788" i="1"/>
  <c r="Y1258" i="1" a="1"/>
  <c r="Y1258" i="1"/>
  <c r="AB788" i="1" a="1"/>
  <c r="AB788" i="1"/>
  <c r="AA1258" i="1" a="1"/>
  <c r="AA1258" i="1"/>
  <c r="Y181" i="1" a="1"/>
  <c r="Y181" i="1"/>
  <c r="Z1053" i="1" a="1"/>
  <c r="Z1053" i="1"/>
  <c r="AA1525" i="1" a="1"/>
  <c r="AA1525" i="1"/>
  <c r="AC1525" i="1" a="1"/>
  <c r="AC1525" i="1"/>
  <c r="AB766" i="1" a="1"/>
  <c r="AB766" i="1"/>
  <c r="Y479" i="1" a="1"/>
  <c r="Y479" i="1"/>
  <c r="Y571" i="1" a="1"/>
  <c r="Y571" i="1"/>
  <c r="AB1053" i="1" a="1"/>
  <c r="AB1053" i="1"/>
  <c r="Z479" i="1" a="1"/>
  <c r="Z479" i="1"/>
  <c r="AC749" i="1" a="1"/>
  <c r="AC749" i="1"/>
  <c r="Z181" i="1" a="1"/>
  <c r="Z181" i="1"/>
  <c r="AB181" i="1" a="1"/>
  <c r="AB181" i="1"/>
  <c r="AC1053" i="1" a="1"/>
  <c r="AC1053" i="1"/>
  <c r="Y749" i="1" a="1"/>
  <c r="Y749" i="1"/>
  <c r="AC868" i="1" a="1"/>
  <c r="AC868" i="1"/>
  <c r="Z1258" i="1" a="1"/>
  <c r="Z1258" i="1"/>
  <c r="AB479" i="1" a="1"/>
  <c r="AB479" i="1"/>
  <c r="Z749" i="1" a="1"/>
  <c r="Z749" i="1"/>
  <c r="AC181" i="1" a="1"/>
  <c r="AC181" i="1"/>
  <c r="AA479" i="1" a="1"/>
  <c r="AA479" i="1"/>
  <c r="Y1525" i="1" a="1"/>
  <c r="Y1525" i="1"/>
  <c r="Z571" i="1" a="1"/>
  <c r="Z571" i="1"/>
  <c r="AB749" i="1" a="1"/>
  <c r="AB749" i="1"/>
  <c r="AC788" i="1" a="1"/>
  <c r="AC788" i="1"/>
  <c r="Y868" i="1" a="1"/>
  <c r="Y868" i="1"/>
  <c r="AA868" i="1" a="1"/>
  <c r="AA868" i="1"/>
  <c r="AA766" i="1" a="1"/>
  <c r="AA766" i="1"/>
  <c r="AB1525" i="1" a="1"/>
  <c r="AB1525" i="1"/>
  <c r="AA1053" i="1" a="1"/>
  <c r="AA1053" i="1"/>
  <c r="AB868" i="1" a="1"/>
  <c r="AB868" i="1"/>
  <c r="Z788" i="1" a="1"/>
  <c r="Z788" i="1"/>
  <c r="Z868" i="1" a="1"/>
  <c r="Z868" i="1"/>
  <c r="Z766" i="1" a="1"/>
  <c r="Z766" i="1"/>
  <c r="Y788" i="1" a="1"/>
  <c r="Y788" i="1"/>
  <c r="AC571" i="1" a="1"/>
  <c r="AC571" i="1"/>
  <c r="Z1525" i="1" a="1"/>
  <c r="Z1525" i="1"/>
  <c r="AC1258" i="1" a="1"/>
  <c r="AC1258" i="1"/>
  <c r="Y1053" i="1" a="1"/>
  <c r="Y1053" i="1"/>
  <c r="AA181" i="1" a="1"/>
  <c r="AA181" i="1"/>
  <c r="AA749" i="1" a="1"/>
  <c r="AA749" i="1"/>
  <c r="AC479" i="1" a="1"/>
  <c r="AC479" i="1"/>
  <c r="Z819" i="1" a="1"/>
  <c r="Z819" i="1"/>
  <c r="AC161" i="1" a="1"/>
  <c r="AC161" i="1"/>
  <c r="Y936" i="1" a="1"/>
  <c r="Y936" i="1"/>
  <c r="AB960" i="1" a="1"/>
  <c r="AB960" i="1"/>
  <c r="AA960" i="1" a="1"/>
  <c r="AA960" i="1"/>
  <c r="Y522" i="1" a="1"/>
  <c r="Y522" i="1"/>
  <c r="AC383" i="1" a="1"/>
  <c r="AC383" i="1"/>
  <c r="AC522" i="1" a="1"/>
  <c r="AC522" i="1"/>
  <c r="AB1109" i="1" a="1"/>
  <c r="AB1109" i="1"/>
  <c r="AB1520" i="1" a="1"/>
  <c r="AB1520" i="1"/>
  <c r="Y1520" i="1" a="1"/>
  <c r="Y1520" i="1"/>
  <c r="AC819" i="1" a="1"/>
  <c r="AC819" i="1"/>
  <c r="Z960" i="1" a="1"/>
  <c r="Z960" i="1"/>
  <c r="AB383" i="1" a="1"/>
  <c r="AB383" i="1"/>
  <c r="AB871" i="1" a="1"/>
  <c r="AB871" i="1"/>
  <c r="AA522" i="1" a="1"/>
  <c r="AA522" i="1"/>
  <c r="AB936" i="1" a="1"/>
  <c r="AB936" i="1"/>
  <c r="AC1109" i="1" a="1"/>
  <c r="AC1109" i="1"/>
  <c r="AA1520" i="1" a="1"/>
  <c r="AA1520" i="1"/>
  <c r="Z161" i="1" a="1"/>
  <c r="Z161" i="1"/>
  <c r="Z1520" i="1" a="1"/>
  <c r="Z1520" i="1"/>
  <c r="Y960" i="1" a="1"/>
  <c r="Y960" i="1"/>
  <c r="AB161" i="1" a="1"/>
  <c r="AB161" i="1"/>
  <c r="Y819" i="1" a="1"/>
  <c r="Y819" i="1"/>
  <c r="AA871" i="1" a="1"/>
  <c r="AA871" i="1"/>
  <c r="AA161" i="1" a="1"/>
  <c r="AA161" i="1"/>
  <c r="AA936" i="1" a="1"/>
  <c r="AA936" i="1"/>
  <c r="AB522" i="1" a="1"/>
  <c r="AB522" i="1"/>
  <c r="Y1109" i="1" a="1"/>
  <c r="Y1109" i="1"/>
  <c r="Z1109" i="1" a="1"/>
  <c r="Z1109" i="1"/>
  <c r="Y383" i="1" a="1"/>
  <c r="Y383" i="1"/>
  <c r="AA1185" i="1" a="1"/>
  <c r="AA1185" i="1"/>
  <c r="AC871" i="1" a="1"/>
  <c r="AC871" i="1"/>
  <c r="AA819" i="1" a="1"/>
  <c r="AA819" i="1"/>
  <c r="Y871" i="1" a="1"/>
  <c r="Y871" i="1"/>
  <c r="Z936" i="1" a="1"/>
  <c r="Z936" i="1"/>
  <c r="Y1185" i="1" a="1"/>
  <c r="Y1185" i="1"/>
  <c r="Z383" i="1" a="1"/>
  <c r="Z383" i="1"/>
  <c r="AB1185" i="1" a="1"/>
  <c r="AB1185" i="1"/>
  <c r="AC1185" i="1" a="1"/>
  <c r="AC1185" i="1"/>
  <c r="AC960" i="1" a="1"/>
  <c r="AC960" i="1"/>
  <c r="AA383" i="1" a="1"/>
  <c r="AA383" i="1"/>
  <c r="Z522" i="1" a="1"/>
  <c r="Z522" i="1"/>
  <c r="AB819" i="1" a="1"/>
  <c r="AB819" i="1"/>
  <c r="Z1185" i="1" a="1"/>
  <c r="Z1185" i="1"/>
  <c r="Z871" i="1" a="1"/>
  <c r="Z871" i="1"/>
  <c r="AC936" i="1" a="1"/>
  <c r="AC936" i="1"/>
  <c r="AC1520" i="1" a="1"/>
  <c r="AC1520" i="1"/>
  <c r="AA1109" i="1" a="1"/>
  <c r="AA1109" i="1"/>
  <c r="Y161" i="1" a="1"/>
  <c r="Y161" i="1"/>
  <c r="Y289" i="1" a="1"/>
  <c r="Y289" i="1"/>
  <c r="Y672" i="1" a="1"/>
  <c r="Y672" i="1"/>
  <c r="AC289" i="1" a="1"/>
  <c r="AC289" i="1"/>
  <c r="AC368" i="1" a="1"/>
  <c r="AC368" i="1"/>
  <c r="AB672" i="1" a="1"/>
  <c r="AB672" i="1"/>
  <c r="AA368" i="1" a="1"/>
  <c r="AA368" i="1"/>
  <c r="Z672" i="1" a="1"/>
  <c r="Z672" i="1"/>
  <c r="AB276" i="1" a="1"/>
  <c r="AB276" i="1"/>
  <c r="AB332" i="1" a="1"/>
  <c r="AB332" i="1"/>
  <c r="AB1091" i="1" a="1"/>
  <c r="AB1091" i="1"/>
  <c r="AB289" i="1" a="1"/>
  <c r="AB289" i="1"/>
  <c r="Z1232" i="1" a="1"/>
  <c r="Z1232" i="1"/>
  <c r="Y172" i="1" a="1"/>
  <c r="Y172" i="1"/>
  <c r="AB395" i="1" a="1"/>
  <c r="AB395" i="1"/>
  <c r="Y368" i="1" a="1"/>
  <c r="Y368" i="1"/>
  <c r="Z172" i="1" a="1"/>
  <c r="Z172" i="1"/>
  <c r="AC395" i="1" a="1"/>
  <c r="AC395" i="1"/>
  <c r="Y909" i="1" a="1"/>
  <c r="Y909" i="1"/>
  <c r="Y395" i="1" a="1"/>
  <c r="Y395" i="1"/>
  <c r="Y276" i="1" a="1"/>
  <c r="Y276" i="1"/>
  <c r="Z909" i="1" a="1"/>
  <c r="Z909" i="1"/>
  <c r="Z395" i="1" a="1"/>
  <c r="Z395" i="1"/>
  <c r="Z368" i="1" a="1"/>
  <c r="Z368" i="1"/>
  <c r="Z1091" i="1" a="1"/>
  <c r="Z1091" i="1"/>
  <c r="AA1091" i="1" a="1"/>
  <c r="AA1091" i="1"/>
  <c r="AC1091" i="1" a="1"/>
  <c r="AC1091" i="1"/>
  <c r="AA172" i="1" a="1"/>
  <c r="AA172" i="1"/>
  <c r="AC1232" i="1" a="1"/>
  <c r="AC1232" i="1"/>
  <c r="AC332" i="1" a="1"/>
  <c r="AC332" i="1"/>
  <c r="AC672" i="1" a="1"/>
  <c r="AC672" i="1"/>
  <c r="AB909" i="1" a="1"/>
  <c r="AB909" i="1"/>
  <c r="AC276" i="1" a="1"/>
  <c r="AC276" i="1"/>
  <c r="Z276" i="1" a="1"/>
  <c r="Z276" i="1"/>
  <c r="Y1232" i="1" a="1"/>
  <c r="Y1232" i="1"/>
  <c r="Z332" i="1" a="1"/>
  <c r="Z332" i="1"/>
  <c r="AB172" i="1" a="1"/>
  <c r="AB172" i="1"/>
  <c r="Z289" i="1" a="1"/>
  <c r="Z289" i="1"/>
  <c r="AB1232" i="1" a="1"/>
  <c r="AB1232" i="1"/>
  <c r="AC909" i="1" a="1"/>
  <c r="AC909" i="1"/>
  <c r="AA332" i="1" a="1"/>
  <c r="AA332" i="1"/>
  <c r="AC172" i="1" a="1"/>
  <c r="AC172" i="1"/>
  <c r="AA289" i="1" a="1"/>
  <c r="AA289" i="1"/>
  <c r="AA1232" i="1" a="1"/>
  <c r="AA1232" i="1"/>
  <c r="AA276" i="1" a="1"/>
  <c r="AA276" i="1"/>
  <c r="AA909" i="1" a="1"/>
  <c r="AA909" i="1"/>
  <c r="Y1091" i="1" a="1"/>
  <c r="Y1091" i="1"/>
  <c r="Y332" i="1" a="1"/>
  <c r="Y332" i="1"/>
  <c r="AA672" i="1" a="1"/>
  <c r="AA672" i="1"/>
  <c r="AA395" i="1" a="1"/>
  <c r="AA395" i="1"/>
  <c r="AB368" i="1" a="1"/>
  <c r="AB368" i="1"/>
  <c r="AA1286" i="1" a="1"/>
  <c r="AA1286" i="1"/>
  <c r="Y1267" i="1" a="1"/>
  <c r="Y1267" i="1"/>
  <c r="AB1621" i="1"/>
  <c r="Z1294" i="1" a="1"/>
  <c r="Z1294" i="1"/>
  <c r="AA433" i="1" a="1"/>
  <c r="AA433" i="1"/>
  <c r="AC146" i="1" a="1"/>
  <c r="AC146" i="1"/>
  <c r="AA445" i="1" a="1"/>
  <c r="AA445" i="1"/>
  <c r="AA1267" i="1" a="1"/>
  <c r="AA1267" i="1"/>
  <c r="AB1294" i="1" a="1"/>
  <c r="AB1294" i="1"/>
  <c r="Y448" i="1" a="1"/>
  <c r="Y448" i="1"/>
  <c r="AB448" i="1" a="1"/>
  <c r="AB448" i="1"/>
  <c r="Z445" i="1" a="1"/>
  <c r="Z445" i="1"/>
  <c r="Z1286" i="1" a="1"/>
  <c r="Z1286" i="1"/>
  <c r="AC433" i="1" a="1"/>
  <c r="AC433" i="1"/>
  <c r="Y433" i="1" a="1"/>
  <c r="Y433" i="1"/>
  <c r="Z1267" i="1" a="1"/>
  <c r="Z1267" i="1"/>
  <c r="AB433" i="1" a="1"/>
  <c r="AB433" i="1"/>
  <c r="Y1294" i="1" a="1"/>
  <c r="Y1294" i="1"/>
  <c r="AA1044" i="1" a="1"/>
  <c r="AA1044" i="1"/>
  <c r="Y445" i="1" a="1"/>
  <c r="Y445" i="1"/>
  <c r="AB146" i="1" a="1"/>
  <c r="AB146" i="1"/>
  <c r="AC1044" i="1" a="1"/>
  <c r="AC1044" i="1"/>
  <c r="AC445" i="1" a="1"/>
  <c r="AC445" i="1"/>
  <c r="AC1286" i="1" a="1"/>
  <c r="AC1286" i="1"/>
  <c r="AC1294" i="1" a="1"/>
  <c r="AC1294" i="1"/>
  <c r="Y1286" i="1" a="1"/>
  <c r="Y1286" i="1"/>
  <c r="AC448" i="1" a="1"/>
  <c r="AC448" i="1"/>
  <c r="AC913" i="1" a="1"/>
  <c r="AC913" i="1"/>
  <c r="AA913" i="1" a="1"/>
  <c r="AA913" i="1"/>
  <c r="AC1267" i="1" a="1"/>
  <c r="AC1267" i="1"/>
  <c r="AC1621" i="1"/>
  <c r="Z1044" i="1" a="1"/>
  <c r="Z1044" i="1"/>
  <c r="Z913" i="1" a="1"/>
  <c r="Z913" i="1"/>
  <c r="Y1044" i="1" a="1"/>
  <c r="Y1044" i="1"/>
  <c r="Z1621" i="1"/>
  <c r="AA1621" i="1"/>
  <c r="AA146" i="1" a="1"/>
  <c r="AA146" i="1"/>
  <c r="AA448" i="1" a="1"/>
  <c r="AA448" i="1"/>
  <c r="Y913" i="1" a="1"/>
  <c r="Y913" i="1"/>
  <c r="Y146" i="1" a="1"/>
  <c r="Y146" i="1"/>
  <c r="Z433" i="1" a="1"/>
  <c r="Z433" i="1"/>
  <c r="AB913" i="1" a="1"/>
  <c r="AB913" i="1"/>
  <c r="Z146" i="1" a="1"/>
  <c r="Z146" i="1"/>
  <c r="AA1294" i="1" a="1"/>
  <c r="AA1294" i="1"/>
  <c r="AB1044" i="1" a="1"/>
  <c r="AB1044" i="1"/>
  <c r="Y1621" i="1"/>
  <c r="Z448" i="1" a="1"/>
  <c r="Z448" i="1"/>
  <c r="AB445" i="1" a="1"/>
  <c r="AB445" i="1"/>
  <c r="AB1267" i="1" a="1"/>
  <c r="AB1267" i="1"/>
  <c r="AB1286" i="1" a="1"/>
  <c r="AB1286" i="1"/>
  <c r="Y758" i="1" a="1"/>
  <c r="Y758" i="1"/>
  <c r="Y340" i="1" a="1"/>
  <c r="Y340" i="1"/>
  <c r="Y1307" i="1" a="1"/>
  <c r="Y1307" i="1"/>
  <c r="AA1001" i="1" a="1"/>
  <c r="AA1001" i="1"/>
  <c r="AA371" i="1" a="1"/>
  <c r="AA371" i="1"/>
  <c r="AB1001" i="1" a="1"/>
  <c r="AB1001" i="1"/>
  <c r="AC1307" i="1" a="1"/>
  <c r="AC1307" i="1"/>
  <c r="AB430" i="1" a="1"/>
  <c r="AB430" i="1"/>
  <c r="Z1514" i="1" a="1"/>
  <c r="Z1514" i="1"/>
  <c r="AA13" i="1" a="1"/>
  <c r="AA13" i="1"/>
  <c r="Y371" i="1" a="1"/>
  <c r="Y371" i="1"/>
  <c r="AB371" i="1" a="1"/>
  <c r="AB371" i="1"/>
  <c r="Y1514" i="1" a="1"/>
  <c r="Y1514" i="1"/>
  <c r="Y13" i="1" a="1"/>
  <c r="Y13" i="1"/>
  <c r="AC340" i="1" a="1"/>
  <c r="AC340" i="1"/>
  <c r="AC44" i="1" a="1"/>
  <c r="AC44" i="1"/>
  <c r="Z1112" i="1" a="1"/>
  <c r="Z1112" i="1"/>
  <c r="AC13" i="1" a="1"/>
  <c r="AC13" i="1"/>
  <c r="AC1112" i="1" a="1"/>
  <c r="AC1112" i="1"/>
  <c r="AA1514" i="1" a="1"/>
  <c r="AA1514" i="1"/>
  <c r="Z430" i="1" a="1"/>
  <c r="Z430" i="1"/>
  <c r="Z758" i="1" a="1"/>
  <c r="Z758" i="1"/>
  <c r="AA340" i="1" a="1"/>
  <c r="AA340" i="1"/>
  <c r="AB1307" i="1" a="1"/>
  <c r="AB1307" i="1"/>
  <c r="AC1514" i="1" a="1"/>
  <c r="AC1514" i="1"/>
  <c r="AB13" i="1" a="1"/>
  <c r="AB13" i="1"/>
  <c r="AB1112" i="1" a="1"/>
  <c r="AB1112" i="1"/>
  <c r="AC758" i="1" a="1"/>
  <c r="AC758" i="1"/>
  <c r="Z340" i="1" a="1"/>
  <c r="Z340" i="1"/>
  <c r="Z44" i="1" a="1"/>
  <c r="Z44" i="1"/>
  <c r="Y1001" i="1" a="1"/>
  <c r="Y1001" i="1"/>
  <c r="AA758" i="1" a="1"/>
  <c r="AA758" i="1"/>
  <c r="AC371" i="1" a="1"/>
  <c r="AC371" i="1"/>
  <c r="AA430" i="1" a="1"/>
  <c r="AA430" i="1"/>
  <c r="Y1112" i="1" a="1"/>
  <c r="Y1112" i="1"/>
  <c r="Y430" i="1" a="1"/>
  <c r="Y430" i="1"/>
  <c r="AC1001" i="1" a="1"/>
  <c r="AC1001" i="1"/>
  <c r="AB340" i="1" a="1"/>
  <c r="AB340" i="1"/>
  <c r="AA1307" i="1" a="1"/>
  <c r="AA1307" i="1"/>
  <c r="Y44" i="1" a="1"/>
  <c r="Y44" i="1"/>
  <c r="AB44" i="1" a="1"/>
  <c r="AB44" i="1"/>
  <c r="AB1514" i="1" a="1"/>
  <c r="AB1514" i="1"/>
  <c r="AA1112" i="1" a="1"/>
  <c r="AA1112" i="1"/>
  <c r="Z1001" i="1" a="1"/>
  <c r="Z1001" i="1"/>
  <c r="AA44" i="1" a="1"/>
  <c r="AA44" i="1"/>
  <c r="AC430" i="1" a="1"/>
  <c r="AC430" i="1"/>
  <c r="Z371" i="1" a="1"/>
  <c r="Z371" i="1"/>
  <c r="Z13" i="1" a="1"/>
  <c r="Z13" i="1"/>
  <c r="Z1307" i="1" a="1"/>
  <c r="Z1307" i="1"/>
  <c r="AB758" i="1" a="1"/>
  <c r="AB758" i="1"/>
  <c r="AA701" i="1" a="1"/>
  <c r="AA701" i="1"/>
  <c r="Z931" i="1" a="1"/>
  <c r="Z931" i="1"/>
  <c r="Z1302" i="1" a="1"/>
  <c r="Z1302" i="1"/>
  <c r="AC1302" i="1" a="1"/>
  <c r="AC1302" i="1"/>
  <c r="AB796" i="1" a="1"/>
  <c r="AB796" i="1"/>
  <c r="Z682" i="1" a="1"/>
  <c r="Z682" i="1"/>
  <c r="AC719" i="1" a="1"/>
  <c r="AC719" i="1"/>
  <c r="AA1229" i="1" a="1"/>
  <c r="AA1229" i="1"/>
  <c r="Z719" i="1" a="1"/>
  <c r="Z719" i="1"/>
  <c r="AA1549" i="1"/>
  <c r="AA1302" i="1" a="1"/>
  <c r="AA1302" i="1"/>
  <c r="AC1549" i="1"/>
  <c r="Y1549" i="1"/>
  <c r="AB931" i="1" a="1"/>
  <c r="AB931" i="1"/>
  <c r="AB701" i="1" a="1"/>
  <c r="AB701" i="1"/>
  <c r="Y224" i="1" a="1"/>
  <c r="Y224" i="1"/>
  <c r="AC1603" i="1"/>
  <c r="Y701" i="1" a="1"/>
  <c r="Y701" i="1"/>
  <c r="AB224" i="1" a="1"/>
  <c r="AB224" i="1"/>
  <c r="Y931" i="1" a="1"/>
  <c r="Y931" i="1"/>
  <c r="AA796" i="1" a="1"/>
  <c r="AA796" i="1"/>
  <c r="Y1603" i="1"/>
  <c r="AA931" i="1" a="1"/>
  <c r="AA931" i="1"/>
  <c r="AA682" i="1" a="1"/>
  <c r="AA682" i="1"/>
  <c r="AB1229" i="1" a="1"/>
  <c r="AB1229" i="1"/>
  <c r="AA224" i="1" a="1"/>
  <c r="AA224" i="1"/>
  <c r="AA719" i="1" a="1"/>
  <c r="AA719" i="1"/>
  <c r="Z701" i="1" a="1"/>
  <c r="Z701" i="1"/>
  <c r="Y682" i="1" a="1"/>
  <c r="Y682" i="1"/>
  <c r="Z1229" i="1" a="1"/>
  <c r="Z1229" i="1"/>
  <c r="Y1302" i="1" a="1"/>
  <c r="Y1302" i="1"/>
  <c r="Z796" i="1" a="1"/>
  <c r="Z796" i="1"/>
  <c r="Y1229" i="1" a="1"/>
  <c r="Y1229" i="1"/>
  <c r="Y719" i="1" a="1"/>
  <c r="Y719" i="1"/>
  <c r="Z1549" i="1"/>
  <c r="AB1603" i="1"/>
  <c r="AC224" i="1" a="1"/>
  <c r="AC224" i="1"/>
  <c r="Y796" i="1" a="1"/>
  <c r="Y796" i="1"/>
  <c r="AB682" i="1" a="1"/>
  <c r="AB682" i="1"/>
  <c r="Z1603" i="1"/>
  <c r="AB1549" i="1"/>
  <c r="AC796" i="1" a="1"/>
  <c r="AC796" i="1"/>
  <c r="AA1603" i="1"/>
  <c r="AC682" i="1" a="1"/>
  <c r="AC682" i="1"/>
  <c r="AB1302" i="1" a="1"/>
  <c r="AB1302" i="1"/>
  <c r="AC1229" i="1" a="1"/>
  <c r="AC1229" i="1"/>
  <c r="AC931" i="1" a="1"/>
  <c r="AC931" i="1"/>
  <c r="AC701" i="1" a="1"/>
  <c r="AC701" i="1"/>
  <c r="Z224" i="1" a="1"/>
  <c r="Z224" i="1"/>
  <c r="AB719" i="1" a="1"/>
  <c r="AB719" i="1"/>
  <c r="Z90" i="1" a="1"/>
  <c r="Z90" i="1"/>
  <c r="Y847" i="1" a="1"/>
  <c r="Y847" i="1"/>
  <c r="AB847" i="1" a="1"/>
  <c r="AB847" i="1"/>
  <c r="AA90" i="1" a="1"/>
  <c r="AA90" i="1"/>
  <c r="AC275" i="1" a="1"/>
  <c r="AC275" i="1"/>
  <c r="Y1430" i="1" a="1"/>
  <c r="Y1430" i="1"/>
  <c r="AC90" i="1" a="1"/>
  <c r="AC90" i="1"/>
  <c r="AC52" i="1" a="1"/>
  <c r="AC52" i="1"/>
  <c r="AB1430" i="1" a="1"/>
  <c r="AB1430" i="1"/>
  <c r="AA1120" i="1" a="1"/>
  <c r="AA1120" i="1"/>
  <c r="AB718" i="1" a="1"/>
  <c r="AB718" i="1"/>
  <c r="AA718" i="1" a="1"/>
  <c r="AA718" i="1"/>
  <c r="Z1569" i="1"/>
  <c r="AB275" i="1" a="1"/>
  <c r="AB275" i="1"/>
  <c r="AA1430" i="1" a="1"/>
  <c r="AA1430" i="1"/>
  <c r="Z916" i="1" a="1"/>
  <c r="Z916" i="1"/>
  <c r="AA916" i="1" a="1"/>
  <c r="AA916" i="1"/>
  <c r="Z52" i="1" a="1"/>
  <c r="Z52" i="1"/>
  <c r="AC1120" i="1" a="1"/>
  <c r="AC1120" i="1"/>
  <c r="Y1235" i="1" a="1"/>
  <c r="Y1235" i="1"/>
  <c r="AC718" i="1" a="1"/>
  <c r="AC718" i="1"/>
  <c r="Z275" i="1" a="1"/>
  <c r="Z275" i="1"/>
  <c r="Y1569" i="1"/>
  <c r="Z1430" i="1" a="1"/>
  <c r="Z1430" i="1"/>
  <c r="AA847" i="1" a="1"/>
  <c r="AA847" i="1"/>
  <c r="Z1235" i="1" a="1"/>
  <c r="Z1235" i="1"/>
  <c r="Z847" i="1" a="1"/>
  <c r="Z847" i="1"/>
  <c r="Y916" i="1" a="1"/>
  <c r="Y916" i="1"/>
  <c r="Y718" i="1" a="1"/>
  <c r="Y718" i="1"/>
  <c r="AB1120" i="1" a="1"/>
  <c r="AB1120" i="1"/>
  <c r="AB1569" i="1"/>
  <c r="AA275" i="1" a="1"/>
  <c r="AA275" i="1"/>
  <c r="AC916" i="1" a="1"/>
  <c r="AC916" i="1"/>
  <c r="AB1235" i="1" a="1"/>
  <c r="AB1235" i="1"/>
  <c r="Y52" i="1" a="1"/>
  <c r="Y52" i="1"/>
  <c r="AA52" i="1" a="1"/>
  <c r="AA52" i="1"/>
  <c r="Y90" i="1" a="1"/>
  <c r="Y90" i="1"/>
  <c r="AC1235" i="1" a="1"/>
  <c r="AC1235" i="1"/>
  <c r="AC1569" i="1"/>
  <c r="Z1120" i="1" a="1"/>
  <c r="Z1120" i="1"/>
  <c r="AB90" i="1" a="1"/>
  <c r="AB90" i="1"/>
  <c r="AB52" i="1" a="1"/>
  <c r="AB52" i="1"/>
  <c r="Z718" i="1" a="1"/>
  <c r="Z718" i="1"/>
  <c r="AC847" i="1" a="1"/>
  <c r="AC847" i="1"/>
  <c r="Y1120" i="1" a="1"/>
  <c r="Y1120" i="1"/>
  <c r="Y275" i="1" a="1"/>
  <c r="Y275" i="1"/>
  <c r="AA1569" i="1"/>
  <c r="AC1430" i="1" a="1"/>
  <c r="AC1430" i="1"/>
  <c r="AA1235" i="1" a="1"/>
  <c r="AA1235" i="1"/>
  <c r="AB916" i="1" a="1"/>
  <c r="AB916" i="1"/>
  <c r="AA393" i="1" a="1"/>
  <c r="AA393" i="1"/>
  <c r="Z874" i="1" a="1"/>
  <c r="Z874" i="1"/>
  <c r="AB748" i="1" a="1"/>
  <c r="AB748" i="1"/>
  <c r="AB1152" i="1" a="1"/>
  <c r="AB1152" i="1"/>
  <c r="Y446" i="1" a="1"/>
  <c r="Y446" i="1"/>
  <c r="Y1152" i="1" a="1"/>
  <c r="Y1152" i="1"/>
  <c r="Y388" i="1" a="1"/>
  <c r="Y388" i="1"/>
  <c r="AC1152" i="1" a="1"/>
  <c r="AC1152" i="1"/>
  <c r="Z429" i="1" a="1"/>
  <c r="Z429" i="1"/>
  <c r="Y429" i="1" a="1"/>
  <c r="Y429" i="1"/>
  <c r="AC1174" i="1" a="1"/>
  <c r="AC1174" i="1"/>
  <c r="Y748" i="1" a="1"/>
  <c r="Y748" i="1"/>
  <c r="AC748" i="1" a="1"/>
  <c r="AC748" i="1"/>
  <c r="AA1174" i="1" a="1"/>
  <c r="AA1174" i="1"/>
  <c r="Z1113" i="1" a="1"/>
  <c r="Z1113" i="1"/>
  <c r="AB1113" i="1" a="1"/>
  <c r="AB1113" i="1"/>
  <c r="AB446" i="1" a="1"/>
  <c r="AB446" i="1"/>
  <c r="Z388" i="1" a="1"/>
  <c r="Z388" i="1"/>
  <c r="Z446" i="1" a="1"/>
  <c r="Z446" i="1"/>
  <c r="AC388" i="1" a="1"/>
  <c r="AC388" i="1"/>
  <c r="AA748" i="1" a="1"/>
  <c r="AA748" i="1"/>
  <c r="Z1152" i="1" a="1"/>
  <c r="Z1152" i="1"/>
  <c r="Y1113" i="1" a="1"/>
  <c r="Y1113" i="1"/>
  <c r="AA874" i="1" a="1"/>
  <c r="AA874" i="1"/>
  <c r="AB333" i="1" a="1"/>
  <c r="AB333" i="1"/>
  <c r="AB874" i="1" a="1"/>
  <c r="AB874" i="1"/>
  <c r="Z393" i="1" a="1"/>
  <c r="Z393" i="1"/>
  <c r="AA446" i="1" a="1"/>
  <c r="AA446" i="1"/>
  <c r="AC393" i="1" a="1"/>
  <c r="AC393" i="1"/>
  <c r="AA1113" i="1" a="1"/>
  <c r="AA1113" i="1"/>
  <c r="Z1174" i="1" a="1"/>
  <c r="Z1174" i="1"/>
  <c r="Y874" i="1" a="1"/>
  <c r="Y874" i="1"/>
  <c r="Y393" i="1" a="1"/>
  <c r="Y393" i="1"/>
  <c r="Y333" i="1" a="1"/>
  <c r="Y333" i="1"/>
  <c r="Z333" i="1" a="1"/>
  <c r="Z333" i="1"/>
  <c r="AB429" i="1" a="1"/>
  <c r="AB429" i="1"/>
  <c r="AA429" i="1" a="1"/>
  <c r="AA429" i="1"/>
  <c r="AC333" i="1" a="1"/>
  <c r="AC333" i="1"/>
  <c r="AA388" i="1" a="1"/>
  <c r="AA388" i="1"/>
  <c r="Y1174" i="1" a="1"/>
  <c r="Y1174" i="1"/>
  <c r="AB393" i="1" a="1"/>
  <c r="AB393" i="1"/>
  <c r="AB1174" i="1" a="1"/>
  <c r="AB1174" i="1"/>
  <c r="AA333" i="1" a="1"/>
  <c r="AA333" i="1"/>
  <c r="Z748" i="1" a="1"/>
  <c r="Z748" i="1"/>
  <c r="AC874" i="1" a="1"/>
  <c r="AC874" i="1"/>
  <c r="AC446" i="1" a="1"/>
  <c r="AC446" i="1"/>
  <c r="AC1113" i="1" a="1"/>
  <c r="AC1113" i="1"/>
  <c r="AB388" i="1" a="1"/>
  <c r="AB388" i="1"/>
  <c r="AA1152" i="1" a="1"/>
  <c r="AA1152" i="1"/>
  <c r="AC429" i="1" a="1"/>
  <c r="AC429" i="1"/>
  <c r="AB1025" i="1" a="1"/>
  <c r="AB1025" i="1"/>
  <c r="AC985" i="1" a="1"/>
  <c r="AC985" i="1"/>
  <c r="AA985" i="1" a="1"/>
  <c r="AA985" i="1"/>
  <c r="Z1289" i="1" a="1"/>
  <c r="Z1289" i="1"/>
  <c r="Y1025" i="1" a="1"/>
  <c r="Y1025" i="1"/>
  <c r="Y292" i="1" a="1"/>
  <c r="Y292" i="1"/>
  <c r="AA647" i="1" a="1"/>
  <c r="AA647" i="1"/>
  <c r="Z171" i="1" a="1"/>
  <c r="Z171" i="1"/>
  <c r="AA204" i="1" a="1"/>
  <c r="AA204" i="1"/>
  <c r="Z647" i="1" a="1"/>
  <c r="Z647" i="1"/>
  <c r="AC647" i="1" a="1"/>
  <c r="AC647" i="1"/>
  <c r="AA1289" i="1" a="1"/>
  <c r="AA1289" i="1"/>
  <c r="AC1289" i="1" a="1"/>
  <c r="AC1289" i="1"/>
  <c r="Z1427" i="1" a="1"/>
  <c r="Z1427" i="1"/>
  <c r="Y1427" i="1" a="1"/>
  <c r="Y1427" i="1"/>
  <c r="AB171" i="1" a="1"/>
  <c r="AB171" i="1"/>
  <c r="AB204" i="1" a="1"/>
  <c r="AB204" i="1"/>
  <c r="AA1427" i="1" a="1"/>
  <c r="AA1427" i="1"/>
  <c r="Y1417" i="1" a="1"/>
  <c r="Y1417" i="1"/>
  <c r="AC1427" i="1" a="1"/>
  <c r="AC1427" i="1"/>
  <c r="AA292" i="1" a="1"/>
  <c r="AA292" i="1"/>
  <c r="AC171" i="1" a="1"/>
  <c r="AC171" i="1"/>
  <c r="AB292" i="1" a="1"/>
  <c r="AB292" i="1"/>
  <c r="AC1025" i="1" a="1"/>
  <c r="AC1025" i="1"/>
  <c r="Y171" i="1" a="1"/>
  <c r="Y171" i="1"/>
  <c r="Z204" i="1" a="1"/>
  <c r="Z204" i="1"/>
  <c r="AB985" i="1" a="1"/>
  <c r="AB985" i="1"/>
  <c r="AC204" i="1" a="1"/>
  <c r="AC204" i="1"/>
  <c r="Z292" i="1" a="1"/>
  <c r="Z292" i="1"/>
  <c r="Y985" i="1" a="1"/>
  <c r="Y985" i="1"/>
  <c r="AA1417" i="1" a="1"/>
  <c r="AA1417" i="1"/>
  <c r="AC548" i="1" a="1"/>
  <c r="AC548" i="1"/>
  <c r="AB1289" i="1" a="1"/>
  <c r="AB1289" i="1"/>
  <c r="Z1417" i="1" a="1"/>
  <c r="Z1417" i="1"/>
  <c r="AB647" i="1" a="1"/>
  <c r="AB647" i="1"/>
  <c r="AC1417" i="1" a="1"/>
  <c r="AC1417" i="1"/>
  <c r="AA548" i="1" a="1"/>
  <c r="AA548" i="1"/>
  <c r="AB548" i="1" a="1"/>
  <c r="AB548" i="1"/>
  <c r="AA1025" i="1" a="1"/>
  <c r="AA1025" i="1"/>
  <c r="Y548" i="1" a="1"/>
  <c r="Y548" i="1"/>
  <c r="AB1427" i="1" a="1"/>
  <c r="AB1427" i="1"/>
  <c r="AC292" i="1" a="1"/>
  <c r="AC292" i="1"/>
  <c r="Z985" i="1" a="1"/>
  <c r="Z985" i="1"/>
  <c r="AA171" i="1" a="1"/>
  <c r="AA171" i="1"/>
  <c r="Z548" i="1" a="1"/>
  <c r="Z548" i="1"/>
  <c r="Y647" i="1" a="1"/>
  <c r="Y647" i="1"/>
  <c r="Y204" i="1" a="1"/>
  <c r="Y204" i="1"/>
  <c r="Y1289" i="1" a="1"/>
  <c r="Y1289" i="1"/>
  <c r="Z1025" i="1" a="1"/>
  <c r="Z1025" i="1"/>
  <c r="AB1417" i="1" a="1"/>
  <c r="AB1417" i="1"/>
  <c r="AA1271" i="1" a="1"/>
  <c r="AA1271" i="1"/>
  <c r="Y1271" i="1" a="1"/>
  <c r="Y1271" i="1"/>
  <c r="Z193" i="1" a="1"/>
  <c r="Z193" i="1"/>
  <c r="AB943" i="1" a="1"/>
  <c r="AB943" i="1"/>
  <c r="AC797" i="1" a="1"/>
  <c r="AC797" i="1"/>
  <c r="AA1193" i="1" a="1"/>
  <c r="AA1193" i="1"/>
  <c r="Z1271" i="1" a="1"/>
  <c r="Z1271" i="1"/>
  <c r="AC1467" i="1" a="1"/>
  <c r="AC1467" i="1"/>
  <c r="AB425" i="1" a="1"/>
  <c r="AB425" i="1"/>
  <c r="Y565" i="1" a="1"/>
  <c r="Y565" i="1"/>
  <c r="AB193" i="1" a="1"/>
  <c r="AB193" i="1"/>
  <c r="Y598" i="1" a="1"/>
  <c r="Y598" i="1"/>
  <c r="AB797" i="1" a="1"/>
  <c r="AB797" i="1"/>
  <c r="AA1467" i="1" a="1"/>
  <c r="AA1467" i="1"/>
  <c r="Z565" i="1" a="1"/>
  <c r="Z565" i="1"/>
  <c r="AC1193" i="1" a="1"/>
  <c r="AC1193" i="1"/>
  <c r="AC193" i="1" a="1"/>
  <c r="AC193" i="1"/>
  <c r="AC1271" i="1" a="1"/>
  <c r="AC1271" i="1"/>
  <c r="Z1390" i="1" a="1"/>
  <c r="Z1390" i="1"/>
  <c r="AA797" i="1" a="1"/>
  <c r="AA797" i="1"/>
  <c r="Y1467" i="1" a="1"/>
  <c r="Y1467" i="1"/>
  <c r="AA943" i="1" a="1"/>
  <c r="AA943" i="1"/>
  <c r="AC565" i="1" a="1"/>
  <c r="AC565" i="1"/>
  <c r="AC943" i="1" a="1"/>
  <c r="AC943" i="1"/>
  <c r="Y425" i="1" a="1"/>
  <c r="Y425" i="1"/>
  <c r="AB1467" i="1" a="1"/>
  <c r="AB1467" i="1"/>
  <c r="Z1193" i="1" a="1"/>
  <c r="Z1193" i="1"/>
  <c r="AC1390" i="1" a="1"/>
  <c r="AC1390" i="1"/>
  <c r="Y193" i="1" a="1"/>
  <c r="Y193" i="1"/>
  <c r="AC598" i="1" a="1"/>
  <c r="AC598" i="1"/>
  <c r="Z943" i="1" a="1"/>
  <c r="Z943" i="1"/>
  <c r="AC425" i="1" a="1"/>
  <c r="AC425" i="1"/>
  <c r="AB598" i="1" a="1"/>
  <c r="AB598" i="1"/>
  <c r="Z425" i="1" a="1"/>
  <c r="Z425" i="1"/>
  <c r="Z598" i="1" a="1"/>
  <c r="Z598" i="1"/>
  <c r="AB1390" i="1" a="1"/>
  <c r="AB1390" i="1"/>
  <c r="Y797" i="1" a="1"/>
  <c r="Y797" i="1"/>
  <c r="AB1193" i="1" a="1"/>
  <c r="AB1193" i="1"/>
  <c r="Y1390" i="1" a="1"/>
  <c r="Y1390" i="1"/>
  <c r="AA565" i="1" a="1"/>
  <c r="AA565" i="1"/>
  <c r="Z1467" i="1" a="1"/>
  <c r="Z1467" i="1"/>
  <c r="Y943" i="1" a="1"/>
  <c r="Y943" i="1"/>
  <c r="AA598" i="1" a="1"/>
  <c r="AA598" i="1"/>
  <c r="AA425" i="1" a="1"/>
  <c r="AA425" i="1"/>
  <c r="AA193" i="1" a="1"/>
  <c r="AA193" i="1"/>
  <c r="AA1390" i="1" a="1"/>
  <c r="AA1390" i="1"/>
  <c r="Y1193" i="1" a="1"/>
  <c r="Y1193" i="1"/>
  <c r="Z797" i="1" a="1"/>
  <c r="Z797" i="1"/>
  <c r="AB565" i="1" a="1"/>
  <c r="AB565" i="1"/>
  <c r="AB1271" i="1" a="1"/>
  <c r="AB1271" i="1"/>
  <c r="Z404" i="1" a="1"/>
  <c r="Z404" i="1"/>
  <c r="AB696" i="1" a="1"/>
  <c r="AB696" i="1"/>
  <c r="AC1201" i="1" a="1"/>
  <c r="AC1201" i="1"/>
  <c r="AA1337" i="1" a="1"/>
  <c r="AA1337" i="1"/>
  <c r="AA696" i="1" a="1"/>
  <c r="AA696" i="1"/>
  <c r="AC404" i="1" a="1"/>
  <c r="AC404" i="1"/>
  <c r="AA495" i="1" a="1"/>
  <c r="AA495" i="1"/>
  <c r="AB404" i="1" a="1"/>
  <c r="AB404" i="1"/>
  <c r="AB4" i="1" a="1"/>
  <c r="AB4" i="1"/>
  <c r="Z1041" i="1" a="1"/>
  <c r="Z1041" i="1"/>
  <c r="AB1201" i="1" a="1"/>
  <c r="AB1201" i="1"/>
  <c r="AA404" i="1" a="1"/>
  <c r="AA404" i="1"/>
  <c r="AB495" i="1" a="1"/>
  <c r="AB495" i="1"/>
  <c r="AC1550" i="1"/>
  <c r="Y4" i="1" a="1"/>
  <c r="Y4" i="1"/>
  <c r="Z495" i="1" a="1"/>
  <c r="Z495" i="1"/>
  <c r="Y1041" i="1" a="1"/>
  <c r="Y1041" i="1"/>
  <c r="AC4" i="1" a="1"/>
  <c r="AC4" i="1"/>
  <c r="Y1337" i="1" a="1"/>
  <c r="Y1337" i="1"/>
  <c r="Y659" i="1" a="1"/>
  <c r="Y659" i="1"/>
  <c r="AB1337" i="1" a="1"/>
  <c r="AB1337" i="1"/>
  <c r="AC659" i="1" a="1"/>
  <c r="AC659" i="1"/>
  <c r="Z4" i="1" a="1"/>
  <c r="Z4" i="1"/>
  <c r="AA1041" i="1" a="1"/>
  <c r="AA1041" i="1"/>
  <c r="AB1041" i="1" a="1"/>
  <c r="AB1041" i="1"/>
  <c r="AB1550" i="1"/>
  <c r="Y1201" i="1" a="1"/>
  <c r="Y1201" i="1"/>
  <c r="AA659" i="1" a="1"/>
  <c r="AA659" i="1"/>
  <c r="AC495" i="1" a="1"/>
  <c r="AC495" i="1"/>
  <c r="Y1550" i="1"/>
  <c r="Y696" i="1" a="1"/>
  <c r="Y696" i="1"/>
  <c r="AA126" i="1" a="1"/>
  <c r="AA126" i="1"/>
  <c r="AC696" i="1" a="1"/>
  <c r="AC696" i="1"/>
  <c r="Z1550" i="1"/>
  <c r="Z126" i="1" a="1"/>
  <c r="Z126" i="1"/>
  <c r="AC1337" i="1" a="1"/>
  <c r="AC1337" i="1"/>
  <c r="AB659" i="1" a="1"/>
  <c r="AB659" i="1"/>
  <c r="Z1201" i="1" a="1"/>
  <c r="Z1201" i="1"/>
  <c r="AB126" i="1" a="1"/>
  <c r="AB126" i="1"/>
  <c r="Y126" i="1" a="1"/>
  <c r="Y126" i="1"/>
  <c r="AA1201" i="1" a="1"/>
  <c r="AA1201" i="1"/>
  <c r="AC126" i="1" a="1"/>
  <c r="AC126" i="1"/>
  <c r="Y495" i="1" a="1"/>
  <c r="Y495" i="1"/>
  <c r="AC1041" i="1" a="1"/>
  <c r="AC1041" i="1"/>
  <c r="Z659" i="1" a="1"/>
  <c r="Z659" i="1"/>
  <c r="Y404" i="1" a="1"/>
  <c r="Y404" i="1"/>
  <c r="Z1337" i="1" a="1"/>
  <c r="Z1337" i="1"/>
  <c r="AA4" i="1" a="1"/>
  <c r="AA4" i="1"/>
  <c r="AA1550" i="1"/>
  <c r="Z696" i="1" a="1"/>
  <c r="Z696" i="1"/>
  <c r="Z382" i="1" a="1"/>
  <c r="Z382" i="1"/>
  <c r="AC382" i="1" a="1"/>
  <c r="AC382" i="1"/>
  <c r="Y669" i="1" a="1"/>
  <c r="Y669" i="1"/>
  <c r="AB148" i="1" a="1"/>
  <c r="AB148" i="1"/>
  <c r="AB1279" i="1" a="1"/>
  <c r="AB1279" i="1"/>
  <c r="AB1366" i="1" a="1"/>
  <c r="AB1366" i="1"/>
  <c r="AC1051" i="1" a="1"/>
  <c r="AC1051" i="1"/>
  <c r="Z148" i="1" a="1"/>
  <c r="Z148" i="1"/>
  <c r="AB32" i="1" a="1"/>
  <c r="AB32" i="1"/>
  <c r="AB669" i="1" a="1"/>
  <c r="AB669" i="1"/>
  <c r="AA1205" i="1" a="1"/>
  <c r="AA1205" i="1"/>
  <c r="Z1051" i="1" a="1"/>
  <c r="Z1051" i="1"/>
  <c r="Y382" i="1" a="1"/>
  <c r="Y382" i="1"/>
  <c r="AA284" i="1" a="1"/>
  <c r="AA284" i="1"/>
  <c r="AC284" i="1" a="1"/>
  <c r="AC284" i="1"/>
  <c r="AA1366" i="1" a="1"/>
  <c r="AA1366" i="1"/>
  <c r="Y1366" i="1" a="1"/>
  <c r="Y1366" i="1"/>
  <c r="AB284" i="1" a="1"/>
  <c r="AB284" i="1"/>
  <c r="AC148" i="1" a="1"/>
  <c r="AC148" i="1"/>
  <c r="AA1051" i="1" a="1"/>
  <c r="AA1051" i="1"/>
  <c r="Y1279" i="1" a="1"/>
  <c r="Y1279" i="1"/>
  <c r="Z1366" i="1" a="1"/>
  <c r="Z1366" i="1"/>
  <c r="AC1205" i="1" a="1"/>
  <c r="AC1205" i="1"/>
  <c r="Y1051" i="1" a="1"/>
  <c r="Y1051" i="1"/>
  <c r="Z1205" i="1" a="1"/>
  <c r="Z1205" i="1"/>
  <c r="AA669" i="1" a="1"/>
  <c r="AA669" i="1"/>
  <c r="Y284" i="1" a="1"/>
  <c r="Y284" i="1"/>
  <c r="Y32" i="1" a="1"/>
  <c r="Y32" i="1"/>
  <c r="AA382" i="1" a="1"/>
  <c r="AA382" i="1"/>
  <c r="AC669" i="1" a="1"/>
  <c r="AC669" i="1"/>
  <c r="Y148" i="1" a="1"/>
  <c r="Y148" i="1"/>
  <c r="Y1205" i="1" a="1"/>
  <c r="Y1205" i="1"/>
  <c r="Z846" i="1" a="1"/>
  <c r="Z846" i="1"/>
  <c r="AC846" i="1" a="1"/>
  <c r="AC846" i="1"/>
  <c r="Z1279" i="1" a="1"/>
  <c r="Z1279" i="1"/>
  <c r="AB846" i="1" a="1"/>
  <c r="AB846" i="1"/>
  <c r="AA1279" i="1" a="1"/>
  <c r="AA1279" i="1"/>
  <c r="AA32" i="1" a="1"/>
  <c r="AA32" i="1"/>
  <c r="AA846" i="1" a="1"/>
  <c r="AA846" i="1"/>
  <c r="Z32" i="1" a="1"/>
  <c r="Z32" i="1"/>
  <c r="Z669" i="1" a="1"/>
  <c r="Z669" i="1"/>
  <c r="AA148" i="1" a="1"/>
  <c r="AA148" i="1"/>
  <c r="Z284" i="1" a="1"/>
  <c r="Z284" i="1"/>
  <c r="AB1205" i="1" a="1"/>
  <c r="AB1205" i="1"/>
  <c r="AC1279" i="1" a="1"/>
  <c r="AC1279" i="1"/>
  <c r="AC32" i="1" a="1"/>
  <c r="AC32" i="1"/>
  <c r="AC1366" i="1" a="1"/>
  <c r="AC1366" i="1"/>
  <c r="AB382" i="1" a="1"/>
  <c r="AB382" i="1"/>
  <c r="Y846" i="1" a="1"/>
  <c r="Y846" i="1"/>
  <c r="AB1051" i="1" a="1"/>
  <c r="AB1051" i="1"/>
  <c r="Y1215" i="1" a="1"/>
  <c r="Y1215" i="1"/>
  <c r="AB1038" i="1" a="1"/>
  <c r="AB1038" i="1"/>
  <c r="AB1590" i="1"/>
  <c r="AB1021" i="1" a="1"/>
  <c r="AB1021" i="1"/>
  <c r="AA1038" i="1" a="1"/>
  <c r="AA1038" i="1"/>
  <c r="AC1215" i="1" a="1"/>
  <c r="AC1215" i="1"/>
  <c r="AA367" i="1" a="1"/>
  <c r="AA367" i="1"/>
  <c r="AA1590" i="1"/>
  <c r="AB1215" i="1" a="1"/>
  <c r="AB1215" i="1"/>
  <c r="AC1590" i="1"/>
  <c r="Y1021" i="1" a="1"/>
  <c r="Y1021" i="1"/>
  <c r="AC195" i="1" a="1"/>
  <c r="AC195" i="1"/>
  <c r="AB1312" i="1" a="1"/>
  <c r="AB1312" i="1"/>
  <c r="Z367" i="1" a="1"/>
  <c r="Z367" i="1"/>
  <c r="Y1097" i="1" a="1"/>
  <c r="Y1097" i="1"/>
  <c r="AC1097" i="1" a="1"/>
  <c r="AC1097" i="1"/>
  <c r="AB195" i="1" a="1"/>
  <c r="AB195" i="1"/>
  <c r="Z1038" i="1" a="1"/>
  <c r="Z1038" i="1"/>
  <c r="AC1038" i="1" a="1"/>
  <c r="AC1038" i="1"/>
  <c r="Y1590" i="1"/>
  <c r="Z414" i="1" a="1"/>
  <c r="Z414" i="1"/>
  <c r="AB297" i="1" a="1"/>
  <c r="AB297" i="1"/>
  <c r="Y297" i="1" a="1"/>
  <c r="Y297" i="1"/>
  <c r="Z1312" i="1" a="1"/>
  <c r="Z1312" i="1"/>
  <c r="Y367" i="1" a="1"/>
  <c r="Y367" i="1"/>
  <c r="AB1097" i="1" a="1"/>
  <c r="AB1097" i="1"/>
  <c r="AA195" i="1" a="1"/>
  <c r="AA195" i="1"/>
  <c r="AC1021" i="1" a="1"/>
  <c r="AC1021" i="1"/>
  <c r="AA1215" i="1" a="1"/>
  <c r="AA1215" i="1"/>
  <c r="AC367" i="1" a="1"/>
  <c r="AC367" i="1"/>
  <c r="Z1021" i="1" a="1"/>
  <c r="Z1021" i="1"/>
  <c r="Y1312" i="1" a="1"/>
  <c r="Y1312" i="1"/>
  <c r="AC414" i="1" a="1"/>
  <c r="AC414" i="1"/>
  <c r="AA1312" i="1" a="1"/>
  <c r="AA1312" i="1"/>
  <c r="Z297" i="1" a="1"/>
  <c r="Z297" i="1"/>
  <c r="Z1097" i="1" a="1"/>
  <c r="Z1097" i="1"/>
  <c r="Z195" i="1" a="1"/>
  <c r="Z195" i="1"/>
  <c r="AA414" i="1" a="1"/>
  <c r="AA414" i="1"/>
  <c r="AC297" i="1" a="1"/>
  <c r="AC297" i="1"/>
  <c r="AB414" i="1" a="1"/>
  <c r="AB414" i="1"/>
  <c r="Y1038" i="1" a="1"/>
  <c r="Y1038" i="1"/>
  <c r="Y414" i="1" a="1"/>
  <c r="Y414" i="1"/>
  <c r="AB367" i="1" a="1"/>
  <c r="AB367" i="1"/>
  <c r="AA297" i="1" a="1"/>
  <c r="AA297" i="1"/>
  <c r="AA1021" i="1" a="1"/>
  <c r="AA1021" i="1"/>
  <c r="AC1312" i="1" a="1"/>
  <c r="AC1312" i="1"/>
  <c r="Z1215" i="1" a="1"/>
  <c r="Z1215" i="1"/>
  <c r="AA1097" i="1" a="1"/>
  <c r="AA1097" i="1"/>
  <c r="Y195" i="1" a="1"/>
  <c r="Y195" i="1"/>
  <c r="Z1590" i="1"/>
  <c r="Z325" i="1" a="1"/>
  <c r="Z325" i="1"/>
  <c r="AB352" i="1" a="1"/>
  <c r="AB352" i="1"/>
  <c r="AA1381" i="1" a="1"/>
  <c r="AA1381" i="1"/>
  <c r="AC325" i="1" a="1"/>
  <c r="AC325" i="1"/>
  <c r="AC143" i="1" a="1"/>
  <c r="AC143" i="1"/>
  <c r="AB280" i="1" a="1"/>
  <c r="AB280" i="1"/>
  <c r="AC218" i="1" a="1"/>
  <c r="AC218" i="1"/>
  <c r="Z1620" i="1"/>
  <c r="AB1620" i="1"/>
  <c r="AC280" i="1" a="1"/>
  <c r="AC280" i="1"/>
  <c r="AA590" i="1" a="1"/>
  <c r="AA590" i="1"/>
  <c r="Y325" i="1" a="1"/>
  <c r="Y325" i="1"/>
  <c r="AC526" i="1" a="1"/>
  <c r="AC526" i="1"/>
  <c r="Z120" i="1" a="1"/>
  <c r="Z120" i="1"/>
  <c r="AA143" i="1" a="1"/>
  <c r="AA143" i="1"/>
  <c r="AC120" i="1" a="1"/>
  <c r="AC120" i="1"/>
  <c r="Y120" i="1" a="1"/>
  <c r="Y120" i="1"/>
  <c r="AC1620" i="1"/>
  <c r="Z526" i="1" a="1"/>
  <c r="Z526" i="1"/>
  <c r="Y352" i="1" a="1"/>
  <c r="Y352" i="1"/>
  <c r="AA280" i="1" a="1"/>
  <c r="AA280" i="1"/>
  <c r="AB120" i="1" a="1"/>
  <c r="AB120" i="1"/>
  <c r="AA526" i="1" a="1"/>
  <c r="AA526" i="1"/>
  <c r="AA352" i="1" a="1"/>
  <c r="AA352" i="1"/>
  <c r="AA325" i="1" a="1"/>
  <c r="AA325" i="1"/>
  <c r="AC352" i="1" a="1"/>
  <c r="AC352" i="1"/>
  <c r="Z1381" i="1" a="1"/>
  <c r="Z1381" i="1"/>
  <c r="AB590" i="1" a="1"/>
  <c r="AB590" i="1"/>
  <c r="Y1381" i="1" a="1"/>
  <c r="Y1381" i="1"/>
  <c r="Z143" i="1" a="1"/>
  <c r="Z143" i="1"/>
  <c r="Y1620" i="1"/>
  <c r="Z218" i="1" a="1"/>
  <c r="Z218" i="1"/>
  <c r="AC1381" i="1" a="1"/>
  <c r="AC1381" i="1"/>
  <c r="Y143" i="1" a="1"/>
  <c r="Y143" i="1"/>
  <c r="Y590" i="1" a="1"/>
  <c r="Y590" i="1"/>
  <c r="Y280" i="1" a="1"/>
  <c r="Y280" i="1"/>
  <c r="Y218" i="1" a="1"/>
  <c r="Y218" i="1"/>
  <c r="AC590" i="1" a="1"/>
  <c r="AC590" i="1"/>
  <c r="AA218" i="1" a="1"/>
  <c r="AA218" i="1"/>
  <c r="AB526" i="1" a="1"/>
  <c r="AB526" i="1"/>
  <c r="AA1620" i="1"/>
  <c r="Z352" i="1" a="1"/>
  <c r="Z352" i="1"/>
  <c r="AB325" i="1" a="1"/>
  <c r="AB325" i="1"/>
  <c r="AB1381" i="1" a="1"/>
  <c r="AB1381" i="1"/>
  <c r="AA120" i="1" a="1"/>
  <c r="AA120" i="1"/>
  <c r="AB143" i="1" a="1"/>
  <c r="AB143" i="1"/>
  <c r="Z280" i="1" a="1"/>
  <c r="Z280" i="1"/>
  <c r="Z590" i="1" a="1"/>
  <c r="Z590" i="1"/>
  <c r="AB218" i="1" a="1"/>
  <c r="AB218" i="1"/>
  <c r="Y526" i="1" a="1"/>
  <c r="Y526" i="1"/>
  <c r="Y1095" i="1" a="1"/>
  <c r="Y1095" i="1"/>
  <c r="Y807" i="1" a="1"/>
  <c r="Y807" i="1"/>
  <c r="AA544" i="1" a="1"/>
  <c r="AA544" i="1"/>
  <c r="Z1184" i="1" a="1"/>
  <c r="Z1184" i="1"/>
  <c r="Z6" i="1" a="1"/>
  <c r="Z6" i="1"/>
  <c r="Y1171" i="1" a="1"/>
  <c r="Y1171" i="1"/>
  <c r="AB1184" i="1" a="1"/>
  <c r="AB1184" i="1"/>
  <c r="AB1095" i="1" a="1"/>
  <c r="AB1095" i="1"/>
  <c r="AA1378" i="1" a="1"/>
  <c r="AA1378" i="1"/>
  <c r="Y1184" i="1" a="1"/>
  <c r="Y1184" i="1"/>
  <c r="AC1017" i="1" a="1"/>
  <c r="AC1017" i="1"/>
  <c r="AB1378" i="1" a="1"/>
  <c r="AB1378" i="1"/>
  <c r="AC442" i="1" a="1"/>
  <c r="AC442" i="1"/>
  <c r="Z544" i="1" a="1"/>
  <c r="Z544" i="1"/>
  <c r="Y1395" i="1" a="1"/>
  <c r="Y1395" i="1"/>
  <c r="AC6" i="1" a="1"/>
  <c r="AC6" i="1"/>
  <c r="AA1171" i="1" a="1"/>
  <c r="AA1171" i="1"/>
  <c r="AB807" i="1" a="1"/>
  <c r="AB807" i="1"/>
  <c r="Z1017" i="1" a="1"/>
  <c r="Z1017" i="1"/>
  <c r="Y1017" i="1" a="1"/>
  <c r="Y1017" i="1"/>
  <c r="Z1395" i="1" a="1"/>
  <c r="Z1395" i="1"/>
  <c r="Z1171" i="1" a="1"/>
  <c r="Z1171" i="1"/>
  <c r="AB442" i="1" a="1"/>
  <c r="AB442" i="1"/>
  <c r="AB1017" i="1" a="1"/>
  <c r="AB1017" i="1"/>
  <c r="AA442" i="1" a="1"/>
  <c r="AA442" i="1"/>
  <c r="Y1378" i="1" a="1"/>
  <c r="Y1378" i="1"/>
  <c r="AB6" i="1" a="1"/>
  <c r="AB6" i="1"/>
  <c r="Z807" i="1" a="1"/>
  <c r="Z807" i="1"/>
  <c r="AC807" i="1" a="1"/>
  <c r="AC807" i="1"/>
  <c r="Z1095" i="1" a="1"/>
  <c r="Z1095" i="1"/>
  <c r="Y544" i="1" a="1"/>
  <c r="Y544" i="1"/>
  <c r="AB1395" i="1" a="1"/>
  <c r="AB1395" i="1"/>
  <c r="Z442" i="1" a="1"/>
  <c r="Z442" i="1"/>
  <c r="AA6" i="1" a="1"/>
  <c r="AA6" i="1"/>
  <c r="AC1095" i="1" a="1"/>
  <c r="AC1095" i="1"/>
  <c r="AB544" i="1" a="1"/>
  <c r="AB544" i="1"/>
  <c r="AC1184" i="1" a="1"/>
  <c r="AC1184" i="1"/>
  <c r="Z1378" i="1" a="1"/>
  <c r="Z1378" i="1"/>
  <c r="AA1395" i="1" a="1"/>
  <c r="AA1395" i="1"/>
  <c r="AC1171" i="1" a="1"/>
  <c r="AC1171" i="1"/>
  <c r="Y442" i="1" a="1"/>
  <c r="Y442" i="1"/>
  <c r="AC544" i="1" a="1"/>
  <c r="AC544" i="1"/>
  <c r="AA807" i="1" a="1"/>
  <c r="AA807" i="1"/>
  <c r="AC1378" i="1" a="1"/>
  <c r="AC1378" i="1"/>
  <c r="AA1184" i="1" a="1"/>
  <c r="AA1184" i="1"/>
  <c r="Y6" i="1" a="1"/>
  <c r="Y6" i="1"/>
  <c r="AA1095" i="1" a="1"/>
  <c r="AA1095" i="1"/>
  <c r="AB1171" i="1" a="1"/>
  <c r="AB1171" i="1"/>
  <c r="AC1395" i="1" a="1"/>
  <c r="AC1395" i="1"/>
  <c r="AA1017" i="1" a="1"/>
  <c r="AA1017" i="1"/>
  <c r="Z518" i="1" a="1"/>
  <c r="Z518" i="1"/>
  <c r="AC562" i="1" a="1"/>
  <c r="AC562" i="1"/>
  <c r="Z462" i="1" a="1"/>
  <c r="Z462" i="1"/>
  <c r="AC518" i="1" a="1"/>
  <c r="AC518" i="1"/>
  <c r="AB898" i="1" a="1"/>
  <c r="AB898" i="1"/>
  <c r="AC1036" i="1" a="1"/>
  <c r="AC1036" i="1"/>
  <c r="Z866" i="1" a="1"/>
  <c r="Z866" i="1"/>
  <c r="AA1036" i="1" a="1"/>
  <c r="AA1036" i="1"/>
  <c r="Y866" i="1" a="1"/>
  <c r="Y866" i="1"/>
  <c r="AA562" i="1" a="1"/>
  <c r="AA562" i="1"/>
  <c r="AA866" i="1" a="1"/>
  <c r="AA866" i="1"/>
  <c r="Z1616" i="1"/>
  <c r="AA1110" i="1" a="1"/>
  <c r="AA1110" i="1"/>
  <c r="AA1445" i="1" a="1"/>
  <c r="AA1445" i="1"/>
  <c r="Y1036" i="1" a="1"/>
  <c r="Y1036" i="1"/>
  <c r="Z1445" i="1" a="1"/>
  <c r="Z1445" i="1"/>
  <c r="AA462" i="1" a="1"/>
  <c r="AA462" i="1"/>
  <c r="Y789" i="1" a="1"/>
  <c r="Y789" i="1"/>
  <c r="Y1110" i="1" a="1"/>
  <c r="Y1110" i="1"/>
  <c r="AB789" i="1" a="1"/>
  <c r="AB789" i="1"/>
  <c r="AB1445" i="1" a="1"/>
  <c r="AB1445" i="1"/>
  <c r="AA518" i="1" a="1"/>
  <c r="AA518" i="1"/>
  <c r="AC866" i="1" a="1"/>
  <c r="AC866" i="1"/>
  <c r="Y518" i="1" a="1"/>
  <c r="Y518" i="1"/>
  <c r="Z898" i="1" a="1"/>
  <c r="Z898" i="1"/>
  <c r="Y462" i="1" a="1"/>
  <c r="Y462" i="1"/>
  <c r="AB1110" i="1" a="1"/>
  <c r="AB1110" i="1"/>
  <c r="AC1445" i="1" a="1"/>
  <c r="AC1445" i="1"/>
  <c r="AC462" i="1" a="1"/>
  <c r="AC462" i="1"/>
  <c r="Z562" i="1" a="1"/>
  <c r="Z562" i="1"/>
  <c r="AA898" i="1" a="1"/>
  <c r="AA898" i="1"/>
  <c r="Z789" i="1" a="1"/>
  <c r="Z789" i="1"/>
  <c r="AA1616" i="1"/>
  <c r="AC1616" i="1"/>
  <c r="Y1616" i="1"/>
  <c r="AC789" i="1" a="1"/>
  <c r="AC789" i="1"/>
  <c r="AB1036" i="1" a="1"/>
  <c r="AB1036" i="1"/>
  <c r="AC898" i="1" a="1"/>
  <c r="AC898" i="1"/>
  <c r="AC1110" i="1" a="1"/>
  <c r="AC1110" i="1"/>
  <c r="AB562" i="1" a="1"/>
  <c r="AB562" i="1"/>
  <c r="AB1616" i="1"/>
  <c r="AB462" i="1" a="1"/>
  <c r="AB462" i="1"/>
  <c r="Y898" i="1" a="1"/>
  <c r="Y898" i="1"/>
  <c r="Z1036" i="1" a="1"/>
  <c r="Z1036" i="1"/>
  <c r="AA789" i="1" a="1"/>
  <c r="AA789" i="1"/>
  <c r="Y562" i="1" a="1"/>
  <c r="Y562" i="1"/>
  <c r="AB518" i="1" a="1"/>
  <c r="AB518" i="1"/>
  <c r="Y1445" i="1" a="1"/>
  <c r="Y1445" i="1"/>
  <c r="Z1110" i="1" a="1"/>
  <c r="Z1110" i="1"/>
  <c r="AB866" i="1" a="1"/>
  <c r="AB866" i="1"/>
  <c r="Z905" i="1" a="1"/>
  <c r="Z905" i="1"/>
  <c r="AB95" i="1" a="1"/>
  <c r="AB95" i="1"/>
  <c r="AC1047" i="1" a="1"/>
  <c r="AC1047" i="1"/>
  <c r="Y905" i="1" a="1"/>
  <c r="Y905" i="1"/>
  <c r="Y232" i="1" a="1"/>
  <c r="Y232" i="1"/>
  <c r="AB610" i="1" a="1"/>
  <c r="AB610" i="1"/>
  <c r="Z1377" i="1" a="1"/>
  <c r="Z1377" i="1"/>
  <c r="AA607" i="1" a="1"/>
  <c r="AA607" i="1"/>
  <c r="AC1377" i="1" a="1"/>
  <c r="AC1377" i="1"/>
  <c r="Y1606" i="1"/>
  <c r="Z610" i="1" a="1"/>
  <c r="Z610" i="1"/>
  <c r="Z1117" i="1" a="1"/>
  <c r="Z1117" i="1"/>
  <c r="AC1117" i="1" a="1"/>
  <c r="AC1117" i="1"/>
  <c r="Z584" i="1" a="1"/>
  <c r="Z584" i="1"/>
  <c r="Y1081" i="1" a="1"/>
  <c r="Y1081" i="1"/>
  <c r="Y610" i="1" a="1"/>
  <c r="Y610" i="1"/>
  <c r="AC607" i="1" a="1"/>
  <c r="AC607" i="1"/>
  <c r="AC584" i="1" a="1"/>
  <c r="AC584" i="1"/>
  <c r="AA1606" i="1"/>
  <c r="AA905" i="1" a="1"/>
  <c r="AA905" i="1"/>
  <c r="AB1560" i="1"/>
  <c r="AA1471" i="1" a="1"/>
  <c r="AA1471" i="1"/>
  <c r="AC232" i="1" a="1"/>
  <c r="AC232" i="1"/>
  <c r="Z210" i="1" a="1"/>
  <c r="Z210" i="1"/>
  <c r="AC1081" i="1" a="1"/>
  <c r="AC1081" i="1"/>
  <c r="AA9" i="1" a="1"/>
  <c r="AA9" i="1"/>
  <c r="AA232" i="1" a="1"/>
  <c r="AA232" i="1"/>
  <c r="Z9" i="1" a="1"/>
  <c r="Z9" i="1"/>
  <c r="Z1047" i="1" a="1"/>
  <c r="Z1047" i="1"/>
  <c r="Y9" i="1" a="1"/>
  <c r="Y9" i="1"/>
  <c r="Y95" i="1" a="1"/>
  <c r="Y95" i="1"/>
  <c r="Y1560" i="1"/>
  <c r="AB1606" i="1"/>
  <c r="AC210" i="1" a="1"/>
  <c r="AC210" i="1"/>
  <c r="AB1377" i="1" a="1"/>
  <c r="AB1377" i="1"/>
  <c r="Z971" i="1" a="1"/>
  <c r="Z971" i="1"/>
  <c r="AB1471" i="1" a="1"/>
  <c r="AB1471" i="1"/>
  <c r="Y1377" i="1" a="1"/>
  <c r="Y1377" i="1"/>
  <c r="Y1403" i="1" a="1"/>
  <c r="Y1403" i="1"/>
  <c r="AB315" i="1" a="1"/>
  <c r="AB315" i="1"/>
  <c r="AA1081" i="1" a="1"/>
  <c r="AA1081" i="1"/>
  <c r="AA584" i="1" a="1"/>
  <c r="AA584" i="1"/>
  <c r="Z232" i="1" a="1"/>
  <c r="Z232" i="1"/>
  <c r="Y1471" i="1" a="1"/>
  <c r="Y1471" i="1"/>
  <c r="Y315" i="1" a="1"/>
  <c r="Y315" i="1"/>
  <c r="AB1047" i="1" a="1"/>
  <c r="AB1047" i="1"/>
  <c r="AB971" i="1" a="1"/>
  <c r="AB971" i="1"/>
  <c r="AC1471" i="1" a="1"/>
  <c r="AC1471" i="1"/>
  <c r="AA1441" i="1" a="1"/>
  <c r="AA1441" i="1"/>
  <c r="AA1047" i="1" a="1"/>
  <c r="AA1047" i="1"/>
  <c r="AC610" i="1" a="1"/>
  <c r="AC610" i="1"/>
  <c r="AB210" i="1" a="1"/>
  <c r="AB210" i="1"/>
  <c r="Y1117" i="1" a="1"/>
  <c r="Y1117" i="1"/>
  <c r="AC1560" i="1"/>
  <c r="Z607" i="1" a="1"/>
  <c r="Z607" i="1"/>
  <c r="Y210" i="1" a="1"/>
  <c r="Y210" i="1"/>
  <c r="AA1117" i="1" a="1"/>
  <c r="AA1117" i="1"/>
  <c r="Z95" i="1" a="1"/>
  <c r="Z95" i="1"/>
  <c r="AA1526" i="1" a="1"/>
  <c r="AA1526" i="1"/>
  <c r="AC95" i="1" a="1"/>
  <c r="AC95" i="1"/>
  <c r="Z1526" i="1" a="1"/>
  <c r="Z1526" i="1"/>
  <c r="Z1441" i="1" a="1"/>
  <c r="Z1441" i="1"/>
  <c r="AC1606" i="1"/>
  <c r="AB1441" i="1" a="1"/>
  <c r="AB1441" i="1"/>
  <c r="Z1081" i="1" a="1"/>
  <c r="Z1081" i="1"/>
  <c r="Z1403" i="1" a="1"/>
  <c r="Z1403" i="1"/>
  <c r="Y607" i="1" a="1"/>
  <c r="Y607" i="1"/>
  <c r="Z315" i="1" a="1"/>
  <c r="Z315" i="1"/>
  <c r="AB584" i="1" a="1"/>
  <c r="AB584" i="1"/>
  <c r="AC1403" i="1" a="1"/>
  <c r="AC1403" i="1"/>
  <c r="AC1441" i="1" a="1"/>
  <c r="AC1441" i="1"/>
  <c r="AB1526" i="1" a="1"/>
  <c r="AB1526" i="1"/>
  <c r="AA315" i="1" a="1"/>
  <c r="AA315" i="1"/>
  <c r="AB905" i="1" a="1"/>
  <c r="AB905" i="1"/>
  <c r="AB9" i="1" a="1"/>
  <c r="AB9" i="1"/>
  <c r="Y971" i="1" a="1"/>
  <c r="Y971" i="1"/>
  <c r="AC971" i="1" a="1"/>
  <c r="AC971" i="1"/>
  <c r="Z1560" i="1"/>
  <c r="Y1526" i="1" a="1"/>
  <c r="Y1526" i="1"/>
  <c r="AB1403" i="1" a="1"/>
  <c r="AB1403" i="1"/>
  <c r="AA1403" i="1" a="1"/>
  <c r="AA1403" i="1"/>
  <c r="AC1526" i="1" a="1"/>
  <c r="AC1526" i="1"/>
  <c r="AA95" i="1" a="1"/>
  <c r="AA95" i="1"/>
  <c r="AA1377" i="1" a="1"/>
  <c r="AA1377" i="1"/>
  <c r="AB232" i="1" a="1"/>
  <c r="AB232" i="1"/>
  <c r="AC905" i="1" a="1"/>
  <c r="AC905" i="1"/>
  <c r="AA610" i="1" a="1"/>
  <c r="AA610" i="1"/>
  <c r="Y1047" i="1" a="1"/>
  <c r="Y1047" i="1"/>
  <c r="AA971" i="1" a="1"/>
  <c r="AA971" i="1"/>
  <c r="AC315" i="1" a="1"/>
  <c r="AC315" i="1"/>
  <c r="Y1441" i="1" a="1"/>
  <c r="Y1441" i="1"/>
  <c r="Z1606" i="1"/>
  <c r="AB1117" i="1" a="1"/>
  <c r="AB1117" i="1"/>
  <c r="Y584" i="1" a="1"/>
  <c r="Y584" i="1"/>
  <c r="AB1081" i="1" a="1"/>
  <c r="AB1081" i="1"/>
  <c r="AC9" i="1" a="1"/>
  <c r="AC9" i="1"/>
  <c r="Z1471" i="1" a="1"/>
  <c r="Z1471" i="1"/>
  <c r="AB607" i="1" a="1"/>
  <c r="AB607" i="1"/>
  <c r="AA210" i="1" a="1"/>
  <c r="AA210" i="1"/>
  <c r="AA1560" i="1"/>
  <c r="AB1154" i="1" a="1"/>
  <c r="AB1154" i="1"/>
  <c r="Y957" i="1" a="1"/>
  <c r="Y957" i="1"/>
  <c r="AB1408" i="1" a="1"/>
  <c r="AB1408" i="1"/>
  <c r="AC791" i="1" a="1"/>
  <c r="AC791" i="1"/>
  <c r="AA539" i="1" a="1"/>
  <c r="AA539" i="1"/>
  <c r="AB1134" i="1" a="1"/>
  <c r="AB1134" i="1"/>
  <c r="AB1169" i="1" a="1"/>
  <c r="AB1169" i="1"/>
  <c r="AA922" i="1" a="1"/>
  <c r="AA922" i="1"/>
  <c r="AC1429" i="1" a="1"/>
  <c r="AC1429" i="1"/>
  <c r="AB1429" i="1" a="1"/>
  <c r="AB1429" i="1"/>
  <c r="AC519" i="1" a="1"/>
  <c r="AC519" i="1"/>
  <c r="AB539" i="1" a="1"/>
  <c r="AB539" i="1"/>
  <c r="Z519" i="1" a="1"/>
  <c r="Z519" i="1"/>
  <c r="Y1154" i="1" a="1"/>
  <c r="Y1154" i="1"/>
  <c r="Y539" i="1" a="1"/>
  <c r="Y539" i="1"/>
  <c r="Z1408" i="1" a="1"/>
  <c r="Z1408" i="1"/>
  <c r="Z1169" i="1" a="1"/>
  <c r="Z1169" i="1"/>
  <c r="AA791" i="1" a="1"/>
  <c r="AA791" i="1"/>
  <c r="AC957" i="1" a="1"/>
  <c r="AC957" i="1"/>
  <c r="Y1169" i="1" a="1"/>
  <c r="Y1169" i="1"/>
  <c r="AB791" i="1" a="1"/>
  <c r="AB791" i="1"/>
  <c r="Y1134" i="1" a="1"/>
  <c r="Y1134" i="1"/>
  <c r="AA957" i="1" a="1"/>
  <c r="AA957" i="1"/>
  <c r="AC922" i="1" a="1"/>
  <c r="AC922" i="1"/>
  <c r="AB922" i="1" a="1"/>
  <c r="AB922" i="1"/>
  <c r="AC1134" i="1" a="1"/>
  <c r="AC1134" i="1"/>
  <c r="AA1134" i="1" a="1"/>
  <c r="AA1134" i="1"/>
  <c r="AB519" i="1" a="1"/>
  <c r="AB519" i="1"/>
  <c r="AA1169" i="1" a="1"/>
  <c r="AA1169" i="1"/>
  <c r="AA1154" i="1" a="1"/>
  <c r="AA1154" i="1"/>
  <c r="Y1429" i="1" a="1"/>
  <c r="Y1429" i="1"/>
  <c r="Z791" i="1" a="1"/>
  <c r="Z791" i="1"/>
  <c r="Z957" i="1" a="1"/>
  <c r="Z957" i="1"/>
  <c r="Y1408" i="1" a="1"/>
  <c r="Y1408" i="1"/>
  <c r="AA1408" i="1" a="1"/>
  <c r="AA1408" i="1"/>
  <c r="Y519" i="1" a="1"/>
  <c r="Y519" i="1"/>
  <c r="Z922" i="1" a="1"/>
  <c r="Z922" i="1"/>
  <c r="AC539" i="1" a="1"/>
  <c r="AC539" i="1"/>
  <c r="AA1429" i="1" a="1"/>
  <c r="AA1429" i="1"/>
  <c r="AC1154" i="1" a="1"/>
  <c r="AC1154" i="1"/>
  <c r="Z1429" i="1" a="1"/>
  <c r="Z1429" i="1"/>
  <c r="Z1154" i="1" a="1"/>
  <c r="Z1154" i="1"/>
  <c r="Y791" i="1" a="1"/>
  <c r="Y791" i="1"/>
  <c r="Y922" i="1" a="1"/>
  <c r="Y922" i="1"/>
  <c r="Z1134" i="1" a="1"/>
  <c r="Z1134" i="1"/>
  <c r="AC1169" i="1" a="1"/>
  <c r="AC1169" i="1"/>
  <c r="AC1408" i="1" a="1"/>
  <c r="AC1408" i="1"/>
  <c r="Z539" i="1" a="1"/>
  <c r="Z539" i="1"/>
  <c r="AB957" i="1" a="1"/>
  <c r="AB957" i="1"/>
  <c r="AA519" i="1" a="1"/>
  <c r="AA519" i="1"/>
  <c r="Y966" i="1" a="1"/>
  <c r="Y966" i="1"/>
  <c r="Z1476" i="1" a="1"/>
  <c r="Z1476" i="1"/>
  <c r="AA1186" i="1" a="1"/>
  <c r="AA1186" i="1"/>
  <c r="AA50" i="1" a="1"/>
  <c r="AA50" i="1"/>
  <c r="AB1476" i="1" a="1"/>
  <c r="AB1476" i="1"/>
  <c r="AA115" i="1" a="1"/>
  <c r="AA115" i="1"/>
  <c r="Y665" i="1" a="1"/>
  <c r="Y665" i="1"/>
  <c r="AA966" i="1" a="1"/>
  <c r="AA966" i="1"/>
  <c r="Y50" i="1" a="1"/>
  <c r="Y50" i="1"/>
  <c r="Y1476" i="1" a="1"/>
  <c r="Y1476" i="1"/>
  <c r="AB418" i="1" a="1"/>
  <c r="AB418" i="1"/>
  <c r="Y76" i="1" a="1"/>
  <c r="Y76" i="1"/>
  <c r="AA827" i="1" a="1"/>
  <c r="AA827" i="1"/>
  <c r="AA76" i="1" a="1"/>
  <c r="AA76" i="1"/>
  <c r="AC115" i="1" a="1"/>
  <c r="AC115" i="1"/>
  <c r="AB115" i="1" a="1"/>
  <c r="AB115" i="1"/>
  <c r="Z100" i="1" a="1"/>
  <c r="Z100" i="1"/>
  <c r="AB1186" i="1" a="1"/>
  <c r="AB1186" i="1"/>
  <c r="Y827" i="1" a="1"/>
  <c r="Y827" i="1"/>
  <c r="Z418" i="1" a="1"/>
  <c r="Z418" i="1"/>
  <c r="AA100" i="1" a="1"/>
  <c r="AA100" i="1"/>
  <c r="Z1186" i="1" a="1"/>
  <c r="Z1186" i="1"/>
  <c r="AB665" i="1" a="1"/>
  <c r="AB665" i="1"/>
  <c r="Y115" i="1" a="1"/>
  <c r="Y115" i="1"/>
  <c r="Z966" i="1" a="1"/>
  <c r="Z966" i="1"/>
  <c r="AB50" i="1" a="1"/>
  <c r="AB50" i="1"/>
  <c r="AB100" i="1" a="1"/>
  <c r="AB100" i="1"/>
  <c r="AC76" i="1" a="1"/>
  <c r="AC76" i="1"/>
  <c r="AB827" i="1" a="1"/>
  <c r="AB827" i="1"/>
  <c r="Y100" i="1" a="1"/>
  <c r="Y100" i="1"/>
  <c r="AB966" i="1" a="1"/>
  <c r="AB966" i="1"/>
  <c r="Z665" i="1" a="1"/>
  <c r="Z665" i="1"/>
  <c r="AC665" i="1" a="1"/>
  <c r="AC665" i="1"/>
  <c r="AC1476" i="1" a="1"/>
  <c r="AC1476" i="1"/>
  <c r="AC827" i="1" a="1"/>
  <c r="AC827" i="1"/>
  <c r="AC418" i="1" a="1"/>
  <c r="AC418" i="1"/>
  <c r="AB76" i="1" a="1"/>
  <c r="AB76" i="1"/>
  <c r="AC1186" i="1" a="1"/>
  <c r="AC1186" i="1"/>
  <c r="AC50" i="1" a="1"/>
  <c r="AC50" i="1"/>
  <c r="AA418" i="1" a="1"/>
  <c r="AA418" i="1"/>
  <c r="AA665" i="1" a="1"/>
  <c r="AA665" i="1"/>
  <c r="AC100" i="1" a="1"/>
  <c r="AC100" i="1"/>
  <c r="Z115" i="1" a="1"/>
  <c r="Z115" i="1"/>
  <c r="Y1186" i="1" a="1"/>
  <c r="Y1186" i="1"/>
  <c r="Z827" i="1" a="1"/>
  <c r="Z827" i="1"/>
  <c r="Y418" i="1" a="1"/>
  <c r="Y418" i="1"/>
  <c r="AC966" i="1" a="1"/>
  <c r="AC966" i="1"/>
  <c r="AA1476" i="1" a="1"/>
  <c r="AA1476" i="1"/>
  <c r="Z50" i="1" a="1"/>
  <c r="Z50" i="1"/>
  <c r="Z76" i="1" a="1"/>
  <c r="Z76" i="1"/>
  <c r="AA1227" i="1" a="1"/>
  <c r="AA1227" i="1"/>
  <c r="Y1082" i="1" a="1"/>
  <c r="Y1082" i="1"/>
  <c r="Z1227" i="1" a="1"/>
  <c r="Z1227" i="1"/>
  <c r="Z1501" i="1" a="1"/>
  <c r="Z1501" i="1"/>
  <c r="AA38" i="1" a="1"/>
  <c r="AA38" i="1"/>
  <c r="AB1082" i="1" a="1"/>
  <c r="AB1082" i="1"/>
  <c r="Y1351" i="1" a="1"/>
  <c r="Y1351" i="1"/>
  <c r="Z1372" i="1" a="1"/>
  <c r="Z1372" i="1"/>
  <c r="AC1105" i="1" a="1"/>
  <c r="AC1105" i="1"/>
  <c r="Y38" i="1" a="1"/>
  <c r="Y38" i="1"/>
  <c r="Y764" i="1" a="1"/>
  <c r="Y764" i="1"/>
  <c r="AC1082" i="1" a="1"/>
  <c r="AC1082" i="1"/>
  <c r="AA1501" i="1" a="1"/>
  <c r="AA1501" i="1"/>
  <c r="Z764" i="1" a="1"/>
  <c r="Z764" i="1"/>
  <c r="Y1372" i="1" a="1"/>
  <c r="Y1372" i="1"/>
  <c r="Y1501" i="1" a="1"/>
  <c r="Y1501" i="1"/>
  <c r="Z997" i="1" a="1"/>
  <c r="Z997" i="1"/>
  <c r="AC764" i="1" a="1"/>
  <c r="AC764" i="1"/>
  <c r="AA1351" i="1" a="1"/>
  <c r="AA1351" i="1"/>
  <c r="Y1227" i="1" a="1"/>
  <c r="Y1227" i="1"/>
  <c r="AA1105" i="1" a="1"/>
  <c r="AA1105" i="1"/>
  <c r="Z1540" i="1"/>
  <c r="AA1540" i="1"/>
  <c r="AC38" i="1" a="1"/>
  <c r="AC38" i="1"/>
  <c r="AB38" i="1" a="1"/>
  <c r="AB38" i="1"/>
  <c r="AB1351" i="1" a="1"/>
  <c r="AB1351" i="1"/>
  <c r="AB1105" i="1" a="1"/>
  <c r="AB1105" i="1"/>
  <c r="Y1105" i="1" a="1"/>
  <c r="Y1105" i="1"/>
  <c r="AB1540" i="1"/>
  <c r="AA997" i="1" a="1"/>
  <c r="AA997" i="1"/>
  <c r="AB1372" i="1" a="1"/>
  <c r="AB1372" i="1"/>
  <c r="AB997" i="1" a="1"/>
  <c r="AB997" i="1"/>
  <c r="AC1372" i="1" a="1"/>
  <c r="AC1372" i="1"/>
  <c r="AB1501" i="1" a="1"/>
  <c r="AB1501" i="1"/>
  <c r="AC1351" i="1" a="1"/>
  <c r="AC1351" i="1"/>
  <c r="AB1227" i="1" a="1"/>
  <c r="AB1227" i="1"/>
  <c r="AB764" i="1" a="1"/>
  <c r="AB764" i="1"/>
  <c r="Y997" i="1" a="1"/>
  <c r="Y997" i="1"/>
  <c r="AC1540" i="1"/>
  <c r="Z1082" i="1" a="1"/>
  <c r="Z1082" i="1"/>
  <c r="AA764" i="1" a="1"/>
  <c r="AA764" i="1"/>
  <c r="Z1351" i="1" a="1"/>
  <c r="Z1351" i="1"/>
  <c r="AC1501" i="1" a="1"/>
  <c r="AC1501" i="1"/>
  <c r="AC997" i="1" a="1"/>
  <c r="AC997" i="1"/>
  <c r="Z38" i="1" a="1"/>
  <c r="Z38" i="1"/>
  <c r="AA1082" i="1" a="1"/>
  <c r="AA1082" i="1"/>
  <c r="Y1540" i="1"/>
  <c r="AC1227" i="1" a="1"/>
  <c r="AC1227" i="1"/>
  <c r="Z1105" i="1" a="1"/>
  <c r="Z1105" i="1"/>
  <c r="AA1372" i="1" a="1"/>
  <c r="AA1372" i="1"/>
  <c r="AA1285" i="1" a="1"/>
  <c r="AA1285" i="1"/>
  <c r="AB1534" i="1" a="1"/>
  <c r="AB1534" i="1"/>
  <c r="Z708" i="1" a="1"/>
  <c r="Z708" i="1"/>
  <c r="AB635" i="1" a="1"/>
  <c r="AB635" i="1"/>
  <c r="AB1480" i="1" a="1"/>
  <c r="AB1480" i="1"/>
  <c r="Y596" i="1" a="1"/>
  <c r="Y596" i="1"/>
  <c r="AC62" i="1" a="1"/>
  <c r="AC62" i="1"/>
  <c r="Y843" i="1" a="1"/>
  <c r="Y843" i="1"/>
  <c r="AB1285" i="1" a="1"/>
  <c r="AB1285" i="1"/>
  <c r="AB596" i="1" a="1"/>
  <c r="AB596" i="1"/>
  <c r="Z1570" i="1"/>
  <c r="AA1534" i="1" a="1"/>
  <c r="AA1534" i="1"/>
  <c r="AB843" i="1" a="1"/>
  <c r="AB843" i="1"/>
  <c r="AA1570" i="1"/>
  <c r="AC1570" i="1"/>
  <c r="AA843" i="1" a="1"/>
  <c r="AA843" i="1"/>
  <c r="AA596" i="1" a="1"/>
  <c r="AA596" i="1"/>
  <c r="AB62" i="1" a="1"/>
  <c r="AB62" i="1"/>
  <c r="Z635" i="1" a="1"/>
  <c r="Z635" i="1"/>
  <c r="AB1106" i="1" a="1"/>
  <c r="AB1106" i="1"/>
  <c r="AA1106" i="1" a="1"/>
  <c r="AA1106" i="1"/>
  <c r="AA635" i="1" a="1"/>
  <c r="AA635" i="1"/>
  <c r="Y635" i="1" a="1"/>
  <c r="Y635" i="1"/>
  <c r="AA708" i="1" a="1"/>
  <c r="AA708" i="1"/>
  <c r="AC843" i="1" a="1"/>
  <c r="AC843" i="1"/>
  <c r="Z62" i="1" a="1"/>
  <c r="Z62" i="1"/>
  <c r="Z596" i="1" a="1"/>
  <c r="Z596" i="1"/>
  <c r="AC1106" i="1" a="1"/>
  <c r="AC1106" i="1"/>
  <c r="Y1480" i="1" a="1"/>
  <c r="Y1480" i="1"/>
  <c r="Z1534" i="1" a="1"/>
  <c r="Z1534" i="1"/>
  <c r="AB708" i="1" a="1"/>
  <c r="AB708" i="1"/>
  <c r="AB1570" i="1"/>
  <c r="Z1285" i="1" a="1"/>
  <c r="Z1285" i="1"/>
  <c r="Y1285" i="1" a="1"/>
  <c r="Y1285" i="1"/>
  <c r="Z1480" i="1" a="1"/>
  <c r="Z1480" i="1"/>
  <c r="Z1106" i="1" a="1"/>
  <c r="Z1106" i="1"/>
  <c r="AC1480" i="1" a="1"/>
  <c r="AC1480" i="1"/>
  <c r="AC1534" i="1" a="1"/>
  <c r="AC1534" i="1"/>
  <c r="Y708" i="1" a="1"/>
  <c r="Y708" i="1"/>
  <c r="Y62" i="1" a="1"/>
  <c r="Y62" i="1"/>
  <c r="AA62" i="1" a="1"/>
  <c r="AA62" i="1"/>
  <c r="AC596" i="1" a="1"/>
  <c r="AC596" i="1"/>
  <c r="AC1285" i="1" a="1"/>
  <c r="AC1285" i="1"/>
  <c r="AA1480" i="1" a="1"/>
  <c r="AA1480" i="1"/>
  <c r="Y1534" i="1" a="1"/>
  <c r="Y1534" i="1"/>
  <c r="Y1570" i="1"/>
  <c r="Z843" i="1" a="1"/>
  <c r="Z843" i="1"/>
  <c r="Y1106" i="1" a="1"/>
  <c r="Y1106" i="1"/>
  <c r="AC708" i="1" a="1"/>
  <c r="AC708" i="1"/>
  <c r="AC635" i="1" a="1"/>
  <c r="AC635" i="1"/>
  <c r="AA881" i="1" a="1"/>
  <c r="AA881" i="1"/>
  <c r="AB915" i="1" a="1"/>
  <c r="AB915" i="1"/>
  <c r="AA1491" i="1" a="1"/>
  <c r="AA1491" i="1"/>
  <c r="AB881" i="1" a="1"/>
  <c r="AB881" i="1"/>
  <c r="AB1122" i="1" a="1"/>
  <c r="AB1122" i="1"/>
  <c r="Z118" i="1" a="1"/>
  <c r="Z118" i="1"/>
  <c r="Y1491" i="1" a="1"/>
  <c r="Y1491" i="1"/>
  <c r="AB168" i="1" a="1"/>
  <c r="AB168" i="1"/>
  <c r="AA915" i="1" a="1"/>
  <c r="AA915" i="1"/>
  <c r="Z487" i="1" a="1"/>
  <c r="Z487" i="1"/>
  <c r="Y915" i="1" a="1"/>
  <c r="Y915" i="1"/>
  <c r="AA168" i="1" a="1"/>
  <c r="AA168" i="1"/>
  <c r="AA1239" i="1" a="1"/>
  <c r="AA1239" i="1"/>
  <c r="Z1122" i="1" a="1"/>
  <c r="Z1122" i="1"/>
  <c r="AC118" i="1" a="1"/>
  <c r="AC118" i="1"/>
  <c r="AB487" i="1" a="1"/>
  <c r="AB487" i="1"/>
  <c r="AB118" i="1" a="1"/>
  <c r="AB118" i="1"/>
  <c r="AB1483" i="1" a="1"/>
  <c r="AB1483" i="1"/>
  <c r="AB254" i="1" a="1"/>
  <c r="AB254" i="1"/>
  <c r="AA487" i="1" a="1"/>
  <c r="AA487" i="1"/>
  <c r="Z915" i="1" a="1"/>
  <c r="Z915" i="1"/>
  <c r="Y254" i="1" a="1"/>
  <c r="Y254" i="1"/>
  <c r="AC881" i="1" a="1"/>
  <c r="AC881" i="1"/>
  <c r="Y168" i="1" a="1"/>
  <c r="Y168" i="1"/>
  <c r="Y487" i="1" a="1"/>
  <c r="Y487" i="1"/>
  <c r="Y1239" i="1" a="1"/>
  <c r="Y1239" i="1"/>
  <c r="Z1491" i="1" a="1"/>
  <c r="Z1491" i="1"/>
  <c r="Z1239" i="1" a="1"/>
  <c r="Z1239" i="1"/>
  <c r="AC1122" i="1" a="1"/>
  <c r="AC1122" i="1"/>
  <c r="AA1483" i="1" a="1"/>
  <c r="AA1483" i="1"/>
  <c r="AC1483" i="1" a="1"/>
  <c r="AC1483" i="1"/>
  <c r="Y1122" i="1" a="1"/>
  <c r="Y1122" i="1"/>
  <c r="Z1483" i="1" a="1"/>
  <c r="Z1483" i="1"/>
  <c r="AA254" i="1" a="1"/>
  <c r="AA254" i="1"/>
  <c r="Z881" i="1" a="1"/>
  <c r="Z881" i="1"/>
  <c r="Y118" i="1" a="1"/>
  <c r="Y118" i="1"/>
  <c r="AC254" i="1" a="1"/>
  <c r="AC254" i="1"/>
  <c r="AB1491" i="1" a="1"/>
  <c r="AB1491" i="1"/>
  <c r="AC168" i="1" a="1"/>
  <c r="AC168" i="1"/>
  <c r="AB1239" i="1" a="1"/>
  <c r="AB1239" i="1"/>
  <c r="AA1122" i="1" a="1"/>
  <c r="AA1122" i="1"/>
  <c r="AC1491" i="1" a="1"/>
  <c r="AC1491" i="1"/>
  <c r="Y1483" i="1" a="1"/>
  <c r="Y1483" i="1"/>
  <c r="Y881" i="1" a="1"/>
  <c r="Y881" i="1"/>
  <c r="Z168" i="1" a="1"/>
  <c r="Z168" i="1"/>
  <c r="AC487" i="1" a="1"/>
  <c r="AC487" i="1"/>
  <c r="AC1239" i="1" a="1"/>
  <c r="AC1239" i="1"/>
  <c r="AA118" i="1" a="1"/>
  <c r="AA118" i="1"/>
  <c r="AC915" i="1" a="1"/>
  <c r="AC915" i="1"/>
  <c r="Z254" i="1" a="1"/>
  <c r="Z254" i="1"/>
  <c r="Z300" i="1" a="1"/>
  <c r="Z300" i="1"/>
  <c r="AC1269" i="1" a="1"/>
  <c r="AC1269" i="1"/>
  <c r="AB483" i="1" a="1"/>
  <c r="AB483" i="1"/>
  <c r="Y506" i="1" a="1"/>
  <c r="Y506" i="1"/>
  <c r="AA567" i="1" a="1"/>
  <c r="AA567" i="1"/>
  <c r="AB300" i="1" a="1"/>
  <c r="AB300" i="1"/>
  <c r="AB567" i="1" a="1"/>
  <c r="AB567" i="1"/>
  <c r="AC706" i="1" a="1"/>
  <c r="AC706" i="1"/>
  <c r="AA266" i="1" a="1"/>
  <c r="AA266" i="1"/>
  <c r="AC483" i="1" a="1"/>
  <c r="AC483" i="1"/>
  <c r="AA483" i="1" a="1"/>
  <c r="AA483" i="1"/>
  <c r="AB87" i="1" a="1"/>
  <c r="AB87" i="1"/>
  <c r="AB506" i="1" a="1"/>
  <c r="AB506" i="1"/>
  <c r="AB1269" i="1" a="1"/>
  <c r="AB1269" i="1"/>
  <c r="AC567" i="1" a="1"/>
  <c r="AC567" i="1"/>
  <c r="Y706" i="1" a="1"/>
  <c r="Y706" i="1"/>
  <c r="AC300" i="1" a="1"/>
  <c r="AC300" i="1"/>
  <c r="AA300" i="1" a="1"/>
  <c r="AA300" i="1"/>
  <c r="Y483" i="1" a="1"/>
  <c r="Y483" i="1"/>
  <c r="Z506" i="1" a="1"/>
  <c r="Z506" i="1"/>
  <c r="Z706" i="1" a="1"/>
  <c r="Z706" i="1"/>
  <c r="Y87" i="1" a="1"/>
  <c r="Y87" i="1"/>
  <c r="AA706" i="1" a="1"/>
  <c r="AA706" i="1"/>
  <c r="Z45" i="1" a="1"/>
  <c r="Z45" i="1"/>
  <c r="Y45" i="1" a="1"/>
  <c r="Y45" i="1"/>
  <c r="Z266" i="1" a="1"/>
  <c r="Z266" i="1"/>
  <c r="AA87" i="1" a="1"/>
  <c r="AA87" i="1"/>
  <c r="AC1052" i="1" a="1"/>
  <c r="AC1052" i="1"/>
  <c r="AC45" i="1" a="1"/>
  <c r="AC45" i="1"/>
  <c r="Z567" i="1" a="1"/>
  <c r="Z567" i="1"/>
  <c r="Y1269" i="1" a="1"/>
  <c r="Y1269" i="1"/>
  <c r="Z1052" i="1" a="1"/>
  <c r="Z1052" i="1"/>
  <c r="AC266" i="1" a="1"/>
  <c r="AC266" i="1"/>
  <c r="Z1269" i="1" a="1"/>
  <c r="Z1269" i="1"/>
  <c r="AB45" i="1" a="1"/>
  <c r="AB45" i="1"/>
  <c r="Y1052" i="1" a="1"/>
  <c r="Y1052" i="1"/>
  <c r="AB266" i="1" a="1"/>
  <c r="AB266" i="1"/>
  <c r="AA506" i="1" a="1"/>
  <c r="AA506" i="1"/>
  <c r="AC87" i="1" a="1"/>
  <c r="AC87" i="1"/>
  <c r="AB1052" i="1" a="1"/>
  <c r="AB1052" i="1"/>
  <c r="Z87" i="1" a="1"/>
  <c r="Z87" i="1"/>
  <c r="AA1052" i="1" a="1"/>
  <c r="AA1052" i="1"/>
  <c r="AC506" i="1" a="1"/>
  <c r="AC506" i="1"/>
  <c r="Y300" i="1" a="1"/>
  <c r="Y300" i="1"/>
  <c r="Y266" i="1" a="1"/>
  <c r="Y266" i="1"/>
  <c r="Y567" i="1" a="1"/>
  <c r="Y567" i="1"/>
  <c r="Z483" i="1" a="1"/>
  <c r="Z483" i="1"/>
  <c r="AA1269" i="1" a="1"/>
  <c r="AA1269" i="1"/>
  <c r="AB706" i="1" a="1"/>
  <c r="AB706" i="1"/>
  <c r="AA45" i="1" a="1"/>
  <c r="AA45" i="1"/>
  <c r="Z247" i="1" a="1"/>
  <c r="Z247" i="1"/>
  <c r="AA1006" i="1" a="1"/>
  <c r="AA1006" i="1"/>
  <c r="AB1006" i="1" a="1"/>
  <c r="AB1006" i="1"/>
  <c r="Z668" i="1" a="1"/>
  <c r="Z668" i="1"/>
  <c r="Z716" i="1" a="1"/>
  <c r="Z716" i="1"/>
  <c r="AC1006" i="1" a="1"/>
  <c r="AC1006" i="1"/>
  <c r="AA716" i="1" a="1"/>
  <c r="AA716" i="1"/>
  <c r="AC941" i="1" a="1"/>
  <c r="AC941" i="1"/>
  <c r="AB668" i="1" a="1"/>
  <c r="AB668" i="1"/>
  <c r="AA715" i="1" a="1"/>
  <c r="AA715" i="1"/>
  <c r="AA136" i="1" a="1"/>
  <c r="AA136" i="1"/>
  <c r="AC1067" i="1" a="1"/>
  <c r="AC1067" i="1"/>
  <c r="Z941" i="1" a="1"/>
  <c r="Z941" i="1"/>
  <c r="Y684" i="1" a="1"/>
  <c r="Y684" i="1"/>
  <c r="Y1067" i="1" a="1"/>
  <c r="Y1067" i="1"/>
  <c r="AC136" i="1" a="1"/>
  <c r="AC136" i="1"/>
  <c r="AA941" i="1" a="1"/>
  <c r="AA941" i="1"/>
  <c r="AB684" i="1" a="1"/>
  <c r="AB684" i="1"/>
  <c r="AB247" i="1" a="1"/>
  <c r="AB247" i="1"/>
  <c r="Z715" i="1" a="1"/>
  <c r="Z715" i="1"/>
  <c r="AC715" i="1" a="1"/>
  <c r="AC715" i="1"/>
  <c r="Y941" i="1" a="1"/>
  <c r="Y941" i="1"/>
  <c r="Y668" i="1" a="1"/>
  <c r="Y668" i="1"/>
  <c r="Z455" i="1" a="1"/>
  <c r="Z455" i="1"/>
  <c r="AC684" i="1" a="1"/>
  <c r="AC684" i="1"/>
  <c r="AB1067" i="1" a="1"/>
  <c r="AB1067" i="1"/>
  <c r="AB715" i="1" a="1"/>
  <c r="AB715" i="1"/>
  <c r="AB455" i="1" a="1"/>
  <c r="AB455" i="1"/>
  <c r="Y247" i="1" a="1"/>
  <c r="Y247" i="1"/>
  <c r="AB716" i="1" a="1"/>
  <c r="AB716" i="1"/>
  <c r="AA684" i="1" a="1"/>
  <c r="AA684" i="1"/>
  <c r="AB136" i="1" a="1"/>
  <c r="AB136" i="1"/>
  <c r="AC247" i="1" a="1"/>
  <c r="AC247" i="1"/>
  <c r="Z136" i="1" a="1"/>
  <c r="Z136" i="1"/>
  <c r="Z1067" i="1" a="1"/>
  <c r="Z1067" i="1"/>
  <c r="AC716" i="1" a="1"/>
  <c r="AC716" i="1"/>
  <c r="AA668" i="1" a="1"/>
  <c r="AA668" i="1"/>
  <c r="Y455" i="1" a="1"/>
  <c r="Y455" i="1"/>
  <c r="Z1006" i="1" a="1"/>
  <c r="Z1006" i="1"/>
  <c r="AC455" i="1" a="1"/>
  <c r="AC455" i="1"/>
  <c r="AA455" i="1" a="1"/>
  <c r="AA455" i="1"/>
  <c r="AA247" i="1" a="1"/>
  <c r="AA247" i="1"/>
  <c r="AA1067" i="1" a="1"/>
  <c r="AA1067" i="1"/>
  <c r="Y715" i="1" a="1"/>
  <c r="Y715" i="1"/>
  <c r="Y1006" i="1" a="1"/>
  <c r="Y1006" i="1"/>
  <c r="Y136" i="1" a="1"/>
  <c r="Y136" i="1"/>
  <c r="Z684" i="1" a="1"/>
  <c r="Z684" i="1"/>
  <c r="AC668" i="1" a="1"/>
  <c r="AC668" i="1"/>
  <c r="AB941" i="1" a="1"/>
  <c r="AB941" i="1"/>
  <c r="Y716" i="1" a="1"/>
  <c r="Y716" i="1"/>
  <c r="AC54" i="1" a="1"/>
  <c r="AC54" i="1"/>
  <c r="AC528" i="1" a="1"/>
  <c r="AC528" i="1"/>
  <c r="Z1496" i="1" a="1"/>
  <c r="Z1496" i="1"/>
  <c r="AC1496" i="1" a="1"/>
  <c r="AC1496" i="1"/>
  <c r="Z826" i="1" a="1"/>
  <c r="Z826" i="1"/>
  <c r="Z54" i="1" a="1"/>
  <c r="Z54" i="1"/>
  <c r="AC1472" i="1" a="1"/>
  <c r="AC1472" i="1"/>
  <c r="Y1325" i="1" a="1"/>
  <c r="Y1325" i="1"/>
  <c r="AB304" i="1" a="1"/>
  <c r="AB304" i="1"/>
  <c r="Y826" i="1" a="1"/>
  <c r="Y826" i="1"/>
  <c r="AB1472" i="1" a="1"/>
  <c r="AB1472" i="1"/>
  <c r="AC762" i="1" a="1"/>
  <c r="AC762" i="1"/>
  <c r="AA1517" i="1" a="1"/>
  <c r="AA1517" i="1"/>
  <c r="AB762" i="1" a="1"/>
  <c r="AB762" i="1"/>
  <c r="AA1325" i="1" a="1"/>
  <c r="AA1325" i="1"/>
  <c r="AB54" i="1" a="1"/>
  <c r="AB54" i="1"/>
  <c r="AC1517" i="1" a="1"/>
  <c r="AC1517" i="1"/>
  <c r="AA1329" i="1" a="1"/>
  <c r="AA1329" i="1"/>
  <c r="Z528" i="1" a="1"/>
  <c r="Z528" i="1"/>
  <c r="Y54" i="1" a="1"/>
  <c r="Y54" i="1"/>
  <c r="Y304" i="1" a="1"/>
  <c r="Y304" i="1"/>
  <c r="Z762" i="1" a="1"/>
  <c r="Z762" i="1"/>
  <c r="Y1472" i="1" a="1"/>
  <c r="Y1472" i="1"/>
  <c r="AB1496" i="1" a="1"/>
  <c r="AB1496" i="1"/>
  <c r="AA528" i="1" a="1"/>
  <c r="AA528" i="1"/>
  <c r="AB1517" i="1" a="1"/>
  <c r="AB1517" i="1"/>
  <c r="AB1325" i="1" a="1"/>
  <c r="AB1325" i="1"/>
  <c r="AA762" i="1" a="1"/>
  <c r="AA762" i="1"/>
  <c r="AC1329" i="1" a="1"/>
  <c r="AC1329" i="1"/>
  <c r="Z1472" i="1" a="1"/>
  <c r="Z1472" i="1"/>
  <c r="AB826" i="1" a="1"/>
  <c r="AB826" i="1"/>
  <c r="Z1325" i="1" a="1"/>
  <c r="Z1325" i="1"/>
  <c r="AC826" i="1" a="1"/>
  <c r="AC826" i="1"/>
  <c r="Y528" i="1" a="1"/>
  <c r="Y528" i="1"/>
  <c r="Z1517" i="1" a="1"/>
  <c r="Z1517" i="1"/>
  <c r="AB1329" i="1" a="1"/>
  <c r="AB1329" i="1"/>
  <c r="Y1496" i="1" a="1"/>
  <c r="Y1496" i="1"/>
  <c r="Z304" i="1" a="1"/>
  <c r="Z304" i="1"/>
  <c r="AC304" i="1" a="1"/>
  <c r="AC304" i="1"/>
  <c r="Z1329" i="1" a="1"/>
  <c r="Z1329" i="1"/>
  <c r="AA304" i="1" a="1"/>
  <c r="AA304" i="1"/>
  <c r="AA1472" i="1" a="1"/>
  <c r="AA1472" i="1"/>
  <c r="Y1329" i="1" a="1"/>
  <c r="Y1329" i="1"/>
  <c r="Y762" i="1" a="1"/>
  <c r="Y762" i="1"/>
  <c r="AA54" i="1" a="1"/>
  <c r="AA54" i="1"/>
  <c r="AA1496" i="1" a="1"/>
  <c r="AA1496" i="1"/>
  <c r="Y1517" i="1" a="1"/>
  <c r="Y1517" i="1"/>
  <c r="AA826" i="1" a="1"/>
  <c r="AA826" i="1"/>
  <c r="AB528" i="1" a="1"/>
  <c r="AB528" i="1"/>
  <c r="AC1325" i="1" a="1"/>
  <c r="AC1325" i="1"/>
  <c r="Z1194" i="1" a="1"/>
  <c r="Z1194" i="1"/>
  <c r="AA1248" i="1" a="1"/>
  <c r="AA1248" i="1"/>
  <c r="AA58" i="1" a="1"/>
  <c r="AA58" i="1"/>
  <c r="AC1272" i="1" a="1"/>
  <c r="AC1272" i="1"/>
  <c r="AC321" i="1" a="1"/>
  <c r="AC321" i="1"/>
  <c r="AB286" i="1" a="1"/>
  <c r="AB286" i="1"/>
  <c r="AB1272" i="1" a="1"/>
  <c r="AB1272" i="1"/>
  <c r="Z656" i="1" a="1"/>
  <c r="Z656" i="1"/>
  <c r="AA197" i="1" a="1"/>
  <c r="AA197" i="1"/>
  <c r="Y197" i="1" a="1"/>
  <c r="Y197" i="1"/>
  <c r="Z1272" i="1" a="1"/>
  <c r="Z1272" i="1"/>
  <c r="AA656" i="1" a="1"/>
  <c r="AA656" i="1"/>
  <c r="AA321" i="1" a="1"/>
  <c r="AA321" i="1"/>
  <c r="AA1194" i="1" a="1"/>
  <c r="AA1194" i="1"/>
  <c r="Z967" i="1" a="1"/>
  <c r="Z967" i="1"/>
  <c r="AC390" i="1" a="1"/>
  <c r="AC390" i="1"/>
  <c r="AB390" i="1" a="1"/>
  <c r="AB390" i="1"/>
  <c r="AB656" i="1" a="1"/>
  <c r="AB656" i="1"/>
  <c r="AB321" i="1" a="1"/>
  <c r="AB321" i="1"/>
  <c r="AC197" i="1" a="1"/>
  <c r="AC197" i="1"/>
  <c r="AC1194" i="1" a="1"/>
  <c r="AC1194" i="1"/>
  <c r="AC58" i="1" a="1"/>
  <c r="AC58" i="1"/>
  <c r="Y58" i="1" a="1"/>
  <c r="Y58" i="1"/>
  <c r="Y286" i="1" a="1"/>
  <c r="Y286" i="1"/>
  <c r="Z390" i="1" a="1"/>
  <c r="Z390" i="1"/>
  <c r="AC1248" i="1" a="1"/>
  <c r="AC1248" i="1"/>
  <c r="AC967" i="1" a="1"/>
  <c r="AC967" i="1"/>
  <c r="AA967" i="1" a="1"/>
  <c r="AA967" i="1"/>
  <c r="Z321" i="1" a="1"/>
  <c r="Z321" i="1"/>
  <c r="AA390" i="1" a="1"/>
  <c r="AA390" i="1"/>
  <c r="AB197" i="1" a="1"/>
  <c r="AB197" i="1"/>
  <c r="Y967" i="1" a="1"/>
  <c r="Y967" i="1"/>
  <c r="Y1194" i="1" a="1"/>
  <c r="Y1194" i="1"/>
  <c r="AC656" i="1" a="1"/>
  <c r="AC656" i="1"/>
  <c r="Z286" i="1" a="1"/>
  <c r="Z286" i="1"/>
  <c r="Z1248" i="1" a="1"/>
  <c r="Z1248" i="1"/>
  <c r="AC286" i="1" a="1"/>
  <c r="AC286" i="1"/>
  <c r="Z58" i="1" a="1"/>
  <c r="Z58" i="1"/>
  <c r="Y1272" i="1" a="1"/>
  <c r="Y1272" i="1"/>
  <c r="AB1248" i="1" a="1"/>
  <c r="AB1248" i="1"/>
  <c r="Y390" i="1" a="1"/>
  <c r="Y390" i="1"/>
  <c r="Y321" i="1" a="1"/>
  <c r="Y321" i="1"/>
  <c r="AB1194" i="1" a="1"/>
  <c r="AB1194" i="1"/>
  <c r="AA1272" i="1" a="1"/>
  <c r="AA1272" i="1"/>
  <c r="Y656" i="1" a="1"/>
  <c r="Y656" i="1"/>
  <c r="AA286" i="1" a="1"/>
  <c r="AA286" i="1"/>
  <c r="AB967" i="1" a="1"/>
  <c r="AB967" i="1"/>
  <c r="AB58" i="1" a="1"/>
  <c r="AB58" i="1"/>
  <c r="Y1248" i="1" a="1"/>
  <c r="Y1248" i="1"/>
  <c r="Z197" i="1" a="1"/>
  <c r="Z197" i="1"/>
  <c r="Y1609" i="1"/>
  <c r="AA1173" i="1" a="1"/>
  <c r="AA1173" i="1"/>
  <c r="Y1440" i="1" a="1"/>
  <c r="Y1440" i="1"/>
  <c r="AA1039" i="1" a="1"/>
  <c r="AA1039" i="1"/>
  <c r="Z1191" i="1" a="1"/>
  <c r="Z1191" i="1"/>
  <c r="AA1191" i="1" a="1"/>
  <c r="AA1191" i="1"/>
  <c r="Z1173" i="1" a="1"/>
  <c r="Z1173" i="1"/>
  <c r="AA1440" i="1" a="1"/>
  <c r="AA1440" i="1"/>
  <c r="AB711" i="1" a="1"/>
  <c r="AB711" i="1"/>
  <c r="Y1037" i="1" a="1"/>
  <c r="Y1037" i="1"/>
  <c r="AC1440" i="1" a="1"/>
  <c r="AC1440" i="1"/>
  <c r="AC1609" i="1"/>
  <c r="AC1191" i="1" a="1"/>
  <c r="AC1191" i="1"/>
  <c r="AB1039" i="1" a="1"/>
  <c r="AB1039" i="1"/>
  <c r="AB1037" i="1" a="1"/>
  <c r="AB1037" i="1"/>
  <c r="AA711" i="1" a="1"/>
  <c r="AA711" i="1"/>
  <c r="Y36" i="1" a="1"/>
  <c r="Y36" i="1"/>
  <c r="AC1173" i="1" a="1"/>
  <c r="AC1173" i="1"/>
  <c r="AB1440" i="1" a="1"/>
  <c r="AB1440" i="1"/>
  <c r="AA375" i="1" a="1"/>
  <c r="AA375" i="1"/>
  <c r="Z1609" i="1"/>
  <c r="Y1191" i="1" a="1"/>
  <c r="Y1191" i="1"/>
  <c r="AB375" i="1" a="1"/>
  <c r="AB375" i="1"/>
  <c r="Y1604" i="1"/>
  <c r="Y1039" i="1" a="1"/>
  <c r="Y1039" i="1"/>
  <c r="AB1604" i="1"/>
  <c r="AC711" i="1" a="1"/>
  <c r="AC711" i="1"/>
  <c r="AA1609" i="1"/>
  <c r="AC375" i="1" a="1"/>
  <c r="AC375" i="1"/>
  <c r="AC36" i="1" a="1"/>
  <c r="AC36" i="1"/>
  <c r="Z1039" i="1" a="1"/>
  <c r="Z1039" i="1"/>
  <c r="AA1604" i="1"/>
  <c r="Z1604" i="1"/>
  <c r="AB36" i="1" a="1"/>
  <c r="AB36" i="1"/>
  <c r="Z36" i="1" a="1"/>
  <c r="Z36" i="1"/>
  <c r="Z375" i="1" a="1"/>
  <c r="Z375" i="1"/>
  <c r="Z711" i="1" a="1"/>
  <c r="Z711" i="1"/>
  <c r="Y1173" i="1" a="1"/>
  <c r="Y1173" i="1"/>
  <c r="AC1037" i="1" a="1"/>
  <c r="AC1037" i="1"/>
  <c r="Z1037" i="1" a="1"/>
  <c r="Z1037" i="1"/>
  <c r="Y711" i="1" a="1"/>
  <c r="Y711" i="1"/>
  <c r="Z1440" i="1" a="1"/>
  <c r="Z1440" i="1"/>
  <c r="AB1173" i="1" a="1"/>
  <c r="AB1173" i="1"/>
  <c r="AC1604" i="1"/>
  <c r="AB1609" i="1"/>
  <c r="AA36" i="1" a="1"/>
  <c r="AA36" i="1"/>
  <c r="AB1191" i="1" a="1"/>
  <c r="AB1191" i="1"/>
  <c r="AA1037" i="1" a="1"/>
  <c r="AA1037" i="1"/>
  <c r="Y375" i="1" a="1"/>
  <c r="Y375" i="1"/>
  <c r="AC1039" i="1" a="1"/>
  <c r="AC1039" i="1"/>
  <c r="AB421" i="1" a="1"/>
  <c r="AB421" i="1"/>
  <c r="Y1221" i="1" a="1"/>
  <c r="Y1221" i="1"/>
  <c r="AC717" i="1" a="1"/>
  <c r="AC717" i="1"/>
  <c r="AC263" i="1" a="1"/>
  <c r="AC263" i="1"/>
  <c r="Z185" i="1" a="1"/>
  <c r="Z185" i="1"/>
  <c r="AA405" i="1" a="1"/>
  <c r="AA405" i="1"/>
  <c r="Z263" i="1" a="1"/>
  <c r="Z263" i="1"/>
  <c r="AA185" i="1" a="1"/>
  <c r="AA185" i="1"/>
  <c r="AA1221" i="1" a="1"/>
  <c r="AA1221" i="1"/>
  <c r="AC1221" i="1" a="1"/>
  <c r="AC1221" i="1"/>
  <c r="AB263" i="1" a="1"/>
  <c r="AB263" i="1"/>
  <c r="Z1488" i="1" a="1"/>
  <c r="Z1488" i="1"/>
  <c r="Y421" i="1" a="1"/>
  <c r="Y421" i="1"/>
  <c r="AB1488" i="1" a="1"/>
  <c r="AB1488" i="1"/>
  <c r="AB638" i="1" a="1"/>
  <c r="AB638" i="1"/>
  <c r="AB365" i="1" a="1"/>
  <c r="AB365" i="1"/>
  <c r="Y405" i="1" a="1"/>
  <c r="Y405" i="1"/>
  <c r="AA717" i="1" a="1"/>
  <c r="AA717" i="1"/>
  <c r="AB717" i="1" a="1"/>
  <c r="AB717" i="1"/>
  <c r="Y717" i="1" a="1"/>
  <c r="Y717" i="1"/>
  <c r="Y365" i="1" a="1"/>
  <c r="Y365" i="1"/>
  <c r="AC185" i="1" a="1"/>
  <c r="AC185" i="1"/>
  <c r="AC1315" i="1" a="1"/>
  <c r="AC1315" i="1"/>
  <c r="AA365" i="1" a="1"/>
  <c r="AA365" i="1"/>
  <c r="AB1315" i="1" a="1"/>
  <c r="AB1315" i="1"/>
  <c r="Z421" i="1" a="1"/>
  <c r="Z421" i="1"/>
  <c r="Y263" i="1" a="1"/>
  <c r="Y263" i="1"/>
  <c r="Z365" i="1" a="1"/>
  <c r="Z365" i="1"/>
  <c r="AC405" i="1" a="1"/>
  <c r="AC405" i="1"/>
  <c r="AB185" i="1" a="1"/>
  <c r="AB185" i="1"/>
  <c r="AA1488" i="1" a="1"/>
  <c r="AA1488" i="1"/>
  <c r="AC1488" i="1" a="1"/>
  <c r="AC1488" i="1"/>
  <c r="AB1221" i="1" a="1"/>
  <c r="AB1221" i="1"/>
  <c r="Y638" i="1" a="1"/>
  <c r="Y638" i="1"/>
  <c r="AC638" i="1" a="1"/>
  <c r="AC638" i="1"/>
  <c r="AA638" i="1" a="1"/>
  <c r="AA638" i="1"/>
  <c r="AA421" i="1" a="1"/>
  <c r="AA421" i="1"/>
  <c r="AA1315" i="1" a="1"/>
  <c r="AA1315" i="1"/>
  <c r="Z405" i="1" a="1"/>
  <c r="Z405" i="1"/>
  <c r="Y1315" i="1" a="1"/>
  <c r="Y1315" i="1"/>
  <c r="AA263" i="1" a="1"/>
  <c r="AA263" i="1"/>
  <c r="AC421" i="1" a="1"/>
  <c r="AC421" i="1"/>
  <c r="Y185" i="1" a="1"/>
  <c r="Y185" i="1"/>
  <c r="Z638" i="1" a="1"/>
  <c r="Z638" i="1"/>
  <c r="AB405" i="1" a="1"/>
  <c r="AB405" i="1"/>
  <c r="Z717" i="1" a="1"/>
  <c r="Z717" i="1"/>
  <c r="Y1488" i="1" a="1"/>
  <c r="Y1488" i="1"/>
  <c r="Z1221" i="1" a="1"/>
  <c r="Z1221" i="1"/>
  <c r="Z1315" i="1" a="1"/>
  <c r="Z1315" i="1"/>
  <c r="AC365" i="1" a="1"/>
  <c r="AC365" i="1"/>
  <c r="Z401" i="1" a="1"/>
  <c r="Z401" i="1"/>
  <c r="AC1231" i="1" a="1"/>
  <c r="AC1231" i="1"/>
  <c r="Y1231" i="1" a="1"/>
  <c r="Y1231" i="1"/>
  <c r="Z592" i="1" a="1"/>
  <c r="Z592" i="1"/>
  <c r="Y1493" i="1" a="1"/>
  <c r="Y1493" i="1"/>
  <c r="AB875" i="1" a="1"/>
  <c r="AB875" i="1"/>
  <c r="AB851" i="1" a="1"/>
  <c r="AB851" i="1"/>
  <c r="Y979" i="1" a="1"/>
  <c r="Y979" i="1"/>
  <c r="AA979" i="1" a="1"/>
  <c r="AA979" i="1"/>
  <c r="AA592" i="1" a="1"/>
  <c r="AA592" i="1"/>
  <c r="AC875" i="1" a="1"/>
  <c r="AC875" i="1"/>
  <c r="AC592" i="1" a="1"/>
  <c r="AC592" i="1"/>
  <c r="AB534" i="1" a="1"/>
  <c r="AB534" i="1"/>
  <c r="AC401" i="1" a="1"/>
  <c r="AC401" i="1"/>
  <c r="AC851" i="1" a="1"/>
  <c r="AC851" i="1"/>
  <c r="AB1493" i="1" a="1"/>
  <c r="AB1493" i="1"/>
  <c r="Y851" i="1" a="1"/>
  <c r="Y851" i="1"/>
  <c r="Z928" i="1" a="1"/>
  <c r="Z928" i="1"/>
  <c r="Y401" i="1" a="1"/>
  <c r="Y401" i="1"/>
  <c r="Y875" i="1" a="1"/>
  <c r="Y875" i="1"/>
  <c r="AB401" i="1" a="1"/>
  <c r="AB401" i="1"/>
  <c r="AC1275" i="1" a="1"/>
  <c r="AC1275" i="1"/>
  <c r="AB1275" i="1" a="1"/>
  <c r="AB1275" i="1"/>
  <c r="Z534" i="1" a="1"/>
  <c r="Z534" i="1"/>
  <c r="Y928" i="1" a="1"/>
  <c r="Y928" i="1"/>
  <c r="Y1275" i="1" a="1"/>
  <c r="Y1275" i="1"/>
  <c r="Y534" i="1" a="1"/>
  <c r="Y534" i="1"/>
  <c r="AA928" i="1" a="1"/>
  <c r="AA928" i="1"/>
  <c r="AA534" i="1" a="1"/>
  <c r="AA534" i="1"/>
  <c r="Z851" i="1" a="1"/>
  <c r="Z851" i="1"/>
  <c r="Z1493" i="1" a="1"/>
  <c r="Z1493" i="1"/>
  <c r="AB979" i="1" a="1"/>
  <c r="AB979" i="1"/>
  <c r="Z979" i="1" a="1"/>
  <c r="Z979" i="1"/>
  <c r="AB592" i="1" a="1"/>
  <c r="AB592" i="1"/>
  <c r="AC1493" i="1" a="1"/>
  <c r="AC1493" i="1"/>
  <c r="AC928" i="1" a="1"/>
  <c r="AC928" i="1"/>
  <c r="Z1275" i="1" a="1"/>
  <c r="Z1275" i="1"/>
  <c r="AA875" i="1" a="1"/>
  <c r="AA875" i="1"/>
  <c r="AA1231" i="1" a="1"/>
  <c r="AA1231" i="1"/>
  <c r="Z1231" i="1" a="1"/>
  <c r="Z1231" i="1"/>
  <c r="AB1231" i="1" a="1"/>
  <c r="AB1231" i="1"/>
  <c r="AA1275" i="1" a="1"/>
  <c r="AA1275" i="1"/>
  <c r="AA851" i="1" a="1"/>
  <c r="AA851" i="1"/>
  <c r="AA401" i="1" a="1"/>
  <c r="AA401" i="1"/>
  <c r="AC979" i="1" a="1"/>
  <c r="AC979" i="1"/>
  <c r="Y592" i="1" a="1"/>
  <c r="Y592" i="1"/>
  <c r="AC534" i="1" a="1"/>
  <c r="AC534" i="1"/>
  <c r="Z875" i="1" a="1"/>
  <c r="Z875" i="1"/>
  <c r="AB928" i="1" a="1"/>
  <c r="AB928" i="1"/>
  <c r="AA1493" i="1" a="1"/>
  <c r="AA1493" i="1"/>
  <c r="Y1107" i="1" a="1"/>
  <c r="Y1107" i="1"/>
  <c r="AA470" i="1" a="1"/>
  <c r="AA470" i="1"/>
  <c r="Z1136" i="1" a="1"/>
  <c r="Z1136" i="1"/>
  <c r="Y973" i="1" a="1"/>
  <c r="Y973" i="1"/>
  <c r="AC1136" i="1" a="1"/>
  <c r="AC1136" i="1"/>
  <c r="AA824" i="1" a="1"/>
  <c r="AA824" i="1"/>
  <c r="AB687" i="1" a="1"/>
  <c r="AB687" i="1"/>
  <c r="Z1107" i="1" a="1"/>
  <c r="Z1107" i="1"/>
  <c r="Y1485" i="1" a="1"/>
  <c r="Y1485" i="1"/>
  <c r="Z1485" i="1" a="1"/>
  <c r="Z1485" i="1"/>
  <c r="AA1306" i="1" a="1"/>
  <c r="AA1306" i="1"/>
  <c r="AC541" i="1" a="1"/>
  <c r="AC541" i="1"/>
  <c r="AC824" i="1" a="1"/>
  <c r="AC824" i="1"/>
  <c r="Z973" i="1" a="1"/>
  <c r="Z973" i="1"/>
  <c r="AA1589" i="1"/>
  <c r="AA1485" i="1" a="1"/>
  <c r="AA1485" i="1"/>
  <c r="AB1107" i="1" a="1"/>
  <c r="AB1107" i="1"/>
  <c r="AC470" i="1" a="1"/>
  <c r="AC470" i="1"/>
  <c r="AA1136" i="1" a="1"/>
  <c r="AA1136" i="1"/>
  <c r="AC1306" i="1" a="1"/>
  <c r="AC1306" i="1"/>
  <c r="AA1107" i="1" a="1"/>
  <c r="AA1107" i="1"/>
  <c r="Y1306" i="1" a="1"/>
  <c r="Y1306" i="1"/>
  <c r="AB470" i="1" a="1"/>
  <c r="AB470" i="1"/>
  <c r="Z687" i="1" a="1"/>
  <c r="Z687" i="1"/>
  <c r="Y1589" i="1" a="1"/>
  <c r="Y1589" i="1"/>
  <c r="AA687" i="1" a="1"/>
  <c r="AA687" i="1"/>
  <c r="AB973" i="1" a="1"/>
  <c r="AB973" i="1"/>
  <c r="Z1306" i="1" a="1"/>
  <c r="Z1306" i="1"/>
  <c r="AB1136" i="1" a="1"/>
  <c r="AB1136" i="1"/>
  <c r="Y541" i="1" a="1"/>
  <c r="Y541" i="1"/>
  <c r="Z541" i="1" a="1"/>
  <c r="Z541" i="1"/>
  <c r="AC973" i="1" a="1"/>
  <c r="AC973" i="1"/>
  <c r="Z824" i="1" a="1"/>
  <c r="Z824" i="1"/>
  <c r="AB1589" i="1"/>
  <c r="Y824" i="1" a="1"/>
  <c r="Y824" i="1"/>
  <c r="Y687" i="1" a="1"/>
  <c r="Y687" i="1"/>
  <c r="Y470" i="1" a="1"/>
  <c r="Y470" i="1"/>
  <c r="AC1589" i="1"/>
  <c r="AB1485" i="1" a="1"/>
  <c r="AB1485" i="1"/>
  <c r="AB541" i="1" a="1"/>
  <c r="AB541" i="1"/>
  <c r="AC1485" i="1" a="1"/>
  <c r="AC1485" i="1"/>
  <c r="AB824" i="1" a="1"/>
  <c r="AB824" i="1"/>
  <c r="AA973" i="1" a="1"/>
  <c r="AA973" i="1"/>
  <c r="AC1107" i="1" a="1"/>
  <c r="AC1107" i="1"/>
  <c r="Z1589" i="1" a="1"/>
  <c r="Z1589" i="1"/>
  <c r="Z470" i="1" a="1"/>
  <c r="Z470" i="1"/>
  <c r="AA541" i="1" a="1"/>
  <c r="AA541" i="1"/>
  <c r="AC687" i="1" a="1"/>
  <c r="AC687" i="1"/>
  <c r="Y1136" i="1" a="1"/>
  <c r="Y1136" i="1"/>
  <c r="AB1306" i="1" a="1"/>
  <c r="AB1306" i="1"/>
  <c r="Z1469" i="1" a="1"/>
  <c r="Z1469" i="1"/>
  <c r="Y1338" i="1" a="1"/>
  <c r="Y1338" i="1"/>
  <c r="Z574" i="1" a="1"/>
  <c r="Z574" i="1"/>
  <c r="Y574" i="1" a="1"/>
  <c r="Y574" i="1"/>
  <c r="AC574" i="1" a="1"/>
  <c r="AC574" i="1"/>
  <c r="Z1093" i="1" a="1"/>
  <c r="Z1093" i="1"/>
  <c r="Z205" i="1" a="1"/>
  <c r="Z205" i="1"/>
  <c r="AA629" i="1" a="1"/>
  <c r="AA629" i="1"/>
  <c r="Y1469" i="1" a="1"/>
  <c r="Y1469" i="1"/>
  <c r="AA205" i="1" a="1"/>
  <c r="AA205" i="1"/>
  <c r="AB629" i="1" a="1"/>
  <c r="AB629" i="1"/>
  <c r="AB1469" i="1" a="1"/>
  <c r="AB1469" i="1"/>
  <c r="Y1093" i="1" a="1"/>
  <c r="Y1093" i="1"/>
  <c r="AB574" i="1" a="1"/>
  <c r="AB574" i="1"/>
  <c r="AC205" i="1" a="1"/>
  <c r="AC205" i="1"/>
  <c r="AC1489" i="1" a="1"/>
  <c r="AC1489" i="1"/>
  <c r="Z1022" i="1" a="1"/>
  <c r="Z1022" i="1"/>
  <c r="AC1469" i="1" a="1"/>
  <c r="AC1469" i="1"/>
  <c r="AA1338" i="1" a="1"/>
  <c r="AA1338" i="1"/>
  <c r="AB1022" i="1" a="1"/>
  <c r="AB1022" i="1"/>
  <c r="Z1338" i="1" a="1"/>
  <c r="Z1338" i="1"/>
  <c r="Y645" i="1" a="1"/>
  <c r="Y645" i="1"/>
  <c r="Z629" i="1" a="1"/>
  <c r="Z629" i="1"/>
  <c r="Y1489" i="1" a="1"/>
  <c r="Y1489" i="1"/>
  <c r="Z569" i="1" a="1"/>
  <c r="Z569" i="1"/>
  <c r="AC645" i="1" a="1"/>
  <c r="AC645" i="1"/>
  <c r="AA569" i="1" a="1"/>
  <c r="AA569" i="1"/>
  <c r="Y629" i="1" a="1"/>
  <c r="Y629" i="1"/>
  <c r="AC1338" i="1" a="1"/>
  <c r="AC1338" i="1"/>
  <c r="AB1489" i="1" a="1"/>
  <c r="AB1489" i="1"/>
  <c r="AB569" i="1" a="1"/>
  <c r="AB569" i="1"/>
  <c r="AB1093" i="1" a="1"/>
  <c r="AB1093" i="1"/>
  <c r="AB205" i="1" a="1"/>
  <c r="AB205" i="1"/>
  <c r="AB645" i="1" a="1"/>
  <c r="AB645" i="1"/>
  <c r="AC1093" i="1" a="1"/>
  <c r="AC1093" i="1"/>
  <c r="Y569" i="1" a="1"/>
  <c r="Y569" i="1"/>
  <c r="Y1022" i="1" a="1"/>
  <c r="Y1022" i="1"/>
  <c r="Z1489" i="1" a="1"/>
  <c r="Z1489" i="1"/>
  <c r="Z645" i="1" a="1"/>
  <c r="Z645" i="1"/>
  <c r="AA1022" i="1" a="1"/>
  <c r="AA1022" i="1"/>
  <c r="AC629" i="1" a="1"/>
  <c r="AC629" i="1"/>
  <c r="AA1469" i="1" a="1"/>
  <c r="AA1469" i="1"/>
  <c r="AA1489" i="1" a="1"/>
  <c r="AA1489" i="1"/>
  <c r="AA645" i="1" a="1"/>
  <c r="AA645" i="1"/>
  <c r="AC569" i="1" a="1"/>
  <c r="AC569" i="1"/>
  <c r="Y205" i="1" a="1"/>
  <c r="Y205" i="1"/>
  <c r="AA574" i="1" a="1"/>
  <c r="AA574" i="1"/>
  <c r="AC1022" i="1" a="1"/>
  <c r="AC1022" i="1"/>
  <c r="AB1338" i="1" a="1"/>
  <c r="AB1338" i="1"/>
  <c r="AA1093" i="1" a="1"/>
  <c r="AA1093" i="1"/>
  <c r="Z1619" i="1"/>
  <c r="AC1586" i="1"/>
  <c r="AC543" i="1" a="1"/>
  <c r="AC543" i="1"/>
  <c r="AB1127" i="1" a="1"/>
  <c r="AB1127" i="1"/>
  <c r="Y1619" i="1"/>
  <c r="AC897" i="1" a="1"/>
  <c r="AC897" i="1"/>
  <c r="AA543" i="1" a="1"/>
  <c r="AA543" i="1"/>
  <c r="AB124" i="1" a="1"/>
  <c r="AB124" i="1"/>
  <c r="Y1586" i="1"/>
  <c r="AA1586" i="1"/>
  <c r="AB1619" i="1"/>
  <c r="Z897" i="1" a="1"/>
  <c r="Z897" i="1"/>
  <c r="Z187" i="1" a="1"/>
  <c r="Z187" i="1"/>
  <c r="Y187" i="1" a="1"/>
  <c r="Y187" i="1"/>
  <c r="AC1127" i="1" a="1"/>
  <c r="AC1127" i="1"/>
  <c r="AC124" i="1" a="1"/>
  <c r="AC124" i="1"/>
  <c r="AB510" i="1" a="1"/>
  <c r="AB510" i="1"/>
  <c r="AA187" i="1" a="1"/>
  <c r="AA187" i="1"/>
  <c r="AB356" i="1" a="1"/>
  <c r="AB356" i="1"/>
  <c r="Y134" i="1" a="1"/>
  <c r="Y134" i="1"/>
  <c r="AA134" i="1" a="1"/>
  <c r="AA134" i="1"/>
  <c r="AC356" i="1" a="1"/>
  <c r="AC356" i="1"/>
  <c r="AA1619" i="1"/>
  <c r="Z1127" i="1" a="1"/>
  <c r="Z1127" i="1"/>
  <c r="Z510" i="1" a="1"/>
  <c r="Z510" i="1"/>
  <c r="Z543" i="1" a="1"/>
  <c r="Z543" i="1"/>
  <c r="AB543" i="1" a="1"/>
  <c r="AB543" i="1"/>
  <c r="AA510" i="1" a="1"/>
  <c r="AA510" i="1"/>
  <c r="AB187" i="1" a="1"/>
  <c r="AB187" i="1"/>
  <c r="AB134" i="1" a="1"/>
  <c r="AB134" i="1"/>
  <c r="AA897" i="1" a="1"/>
  <c r="AA897" i="1"/>
  <c r="Y897" i="1" a="1"/>
  <c r="Y897" i="1"/>
  <c r="Y124" i="1" a="1"/>
  <c r="Y124" i="1"/>
  <c r="AA1127" i="1" a="1"/>
  <c r="AA1127" i="1"/>
  <c r="AC134" i="1" a="1"/>
  <c r="AC134" i="1"/>
  <c r="Z356" i="1" a="1"/>
  <c r="Z356" i="1"/>
  <c r="Z124" i="1" a="1"/>
  <c r="Z124" i="1"/>
  <c r="AA356" i="1" a="1"/>
  <c r="AA356" i="1"/>
  <c r="Z1586" i="1"/>
  <c r="AA124" i="1" a="1"/>
  <c r="AA124" i="1"/>
  <c r="Y510" i="1" a="1"/>
  <c r="Y510" i="1"/>
  <c r="Z134" i="1" a="1"/>
  <c r="Z134" i="1"/>
  <c r="AB1586" i="1"/>
  <c r="Y543" i="1" a="1"/>
  <c r="Y543" i="1"/>
  <c r="AB897" i="1" a="1"/>
  <c r="AB897" i="1"/>
  <c r="AC187" i="1" a="1"/>
  <c r="AC187" i="1"/>
  <c r="Y356" i="1" a="1"/>
  <c r="Y356" i="1"/>
  <c r="Y1127" i="1" a="1"/>
  <c r="Y1127" i="1"/>
  <c r="AC510" i="1" a="1"/>
  <c r="AC510" i="1"/>
  <c r="AC1619" i="1"/>
  <c r="AA436" i="1" a="1"/>
  <c r="AA436" i="1"/>
  <c r="Y127" i="1" a="1"/>
  <c r="Y127" i="1"/>
  <c r="Y49" i="1" a="1"/>
  <c r="Y49" i="1"/>
  <c r="Z1149" i="1" a="1"/>
  <c r="Z1149" i="1"/>
  <c r="AB591" i="1" a="1"/>
  <c r="AB591" i="1"/>
  <c r="AC1004" i="1" a="1"/>
  <c r="AC1004" i="1"/>
  <c r="AA1212" i="1" a="1"/>
  <c r="AA1212" i="1"/>
  <c r="Y436" i="1" a="1"/>
  <c r="Y436" i="1"/>
  <c r="Z1004" i="1" a="1"/>
  <c r="Z1004" i="1"/>
  <c r="Z27" i="1" a="1"/>
  <c r="Z27" i="1"/>
  <c r="Y1212" i="1" a="1"/>
  <c r="Y1212" i="1"/>
  <c r="AB1212" i="1" a="1"/>
  <c r="AB1212" i="1"/>
  <c r="Y591" i="1" a="1"/>
  <c r="Y591" i="1"/>
  <c r="AB1004" i="1" a="1"/>
  <c r="AB1004" i="1"/>
  <c r="Y1004" i="1" a="1"/>
  <c r="Y1004" i="1"/>
  <c r="AA591" i="1" a="1"/>
  <c r="AA591" i="1"/>
  <c r="AA452" i="1" a="1"/>
  <c r="AA452" i="1"/>
  <c r="Y17" i="1" a="1"/>
  <c r="Y17" i="1"/>
  <c r="Z17" i="1" a="1"/>
  <c r="Z17" i="1"/>
  <c r="Z1212" i="1" a="1"/>
  <c r="Z1212" i="1"/>
  <c r="AC436" i="1" a="1"/>
  <c r="AC436" i="1"/>
  <c r="AA127" i="1" a="1"/>
  <c r="AA127" i="1"/>
  <c r="Y1149" i="1" a="1"/>
  <c r="Y1149" i="1"/>
  <c r="Z591" i="1" a="1"/>
  <c r="Z591" i="1"/>
  <c r="AA49" i="1" a="1"/>
  <c r="AA49" i="1"/>
  <c r="AC17" i="1" a="1"/>
  <c r="AC17" i="1"/>
  <c r="AC49" i="1" a="1"/>
  <c r="AC49" i="1"/>
  <c r="AB436" i="1" a="1"/>
  <c r="AB436" i="1"/>
  <c r="Y452" i="1" a="1"/>
  <c r="Y452" i="1"/>
  <c r="AB27" i="1" a="1"/>
  <c r="AB27" i="1"/>
  <c r="AC452" i="1" a="1"/>
  <c r="AC452" i="1"/>
  <c r="AC1149" i="1" a="1"/>
  <c r="AC1149" i="1"/>
  <c r="AB452" i="1" a="1"/>
  <c r="AB452" i="1"/>
  <c r="AA17" i="1" a="1"/>
  <c r="AA17" i="1"/>
  <c r="AA27" i="1" a="1"/>
  <c r="AA27" i="1"/>
  <c r="Z127" i="1" a="1"/>
  <c r="Z127" i="1"/>
  <c r="AC27" i="1" a="1"/>
  <c r="AC27" i="1"/>
  <c r="AB1149" i="1" a="1"/>
  <c r="AB1149" i="1"/>
  <c r="AB49" i="1" a="1"/>
  <c r="AB49" i="1"/>
  <c r="AC127" i="1" a="1"/>
  <c r="AC127" i="1"/>
  <c r="AB127" i="1" a="1"/>
  <c r="AB127" i="1"/>
  <c r="AC591" i="1" a="1"/>
  <c r="AC591" i="1"/>
  <c r="Z49" i="1" a="1"/>
  <c r="Z49" i="1"/>
  <c r="AA1004" i="1" a="1"/>
  <c r="AA1004" i="1"/>
  <c r="AB17" i="1" a="1"/>
  <c r="AB17" i="1"/>
  <c r="AA1149" i="1" a="1"/>
  <c r="AA1149" i="1"/>
  <c r="Y27" i="1" a="1"/>
  <c r="Y27" i="1"/>
  <c r="Z452" i="1" a="1"/>
  <c r="Z452" i="1"/>
  <c r="Z436" i="1" a="1"/>
  <c r="Z436" i="1"/>
  <c r="AC1212" i="1" a="1"/>
  <c r="AC1212" i="1"/>
  <c r="AC183" i="1" a="1"/>
  <c r="AC183" i="1"/>
  <c r="Y705" i="1" a="1"/>
  <c r="Y705" i="1"/>
  <c r="AC1389" i="1" a="1"/>
  <c r="AC1389" i="1"/>
  <c r="AB707" i="1" a="1"/>
  <c r="AB707" i="1"/>
  <c r="AC324" i="1" a="1"/>
  <c r="AC324" i="1"/>
  <c r="Z1389" i="1" a="1"/>
  <c r="Z1389" i="1"/>
  <c r="Y1153" i="1" a="1"/>
  <c r="Y1153" i="1"/>
  <c r="Y183" i="1" a="1"/>
  <c r="Y183" i="1"/>
  <c r="AB646" i="1" a="1"/>
  <c r="AB646" i="1"/>
  <c r="AB1389" i="1" a="1"/>
  <c r="AB1389" i="1"/>
  <c r="Y707" i="1" a="1"/>
  <c r="Y707" i="1"/>
  <c r="Z646" i="1" a="1"/>
  <c r="Z646" i="1"/>
  <c r="Z324" i="1" a="1"/>
  <c r="Z324" i="1"/>
  <c r="AA282" i="1" a="1"/>
  <c r="AA282" i="1"/>
  <c r="AA1462" i="1" a="1"/>
  <c r="AA1462" i="1"/>
  <c r="AC614" i="1" a="1"/>
  <c r="AC614" i="1"/>
  <c r="AB1153" i="1" a="1"/>
  <c r="AB1153" i="1"/>
  <c r="AA324" i="1" a="1"/>
  <c r="AA324" i="1"/>
  <c r="AC1462" i="1" a="1"/>
  <c r="AC1462" i="1"/>
  <c r="AB614" i="1" a="1"/>
  <c r="AB614" i="1"/>
  <c r="AC1153" i="1" a="1"/>
  <c r="AC1153" i="1"/>
  <c r="AB324" i="1" a="1"/>
  <c r="AB324" i="1"/>
  <c r="Z183" i="1" a="1"/>
  <c r="Z183" i="1"/>
  <c r="AA614" i="1" a="1"/>
  <c r="AA614" i="1"/>
  <c r="AB1462" i="1" a="1"/>
  <c r="AB1462" i="1"/>
  <c r="AC705" i="1" a="1"/>
  <c r="AC705" i="1"/>
  <c r="AC282" i="1" a="1"/>
  <c r="AC282" i="1"/>
  <c r="Z705" i="1" a="1"/>
  <c r="Z705" i="1"/>
  <c r="Y646" i="1" a="1"/>
  <c r="Y646" i="1"/>
  <c r="Y1389" i="1" a="1"/>
  <c r="Y1389" i="1"/>
  <c r="AA707" i="1" a="1"/>
  <c r="AA707" i="1"/>
  <c r="Y282" i="1" a="1"/>
  <c r="Y282" i="1"/>
  <c r="AC707" i="1" a="1"/>
  <c r="AC707" i="1"/>
  <c r="AA1153" i="1" a="1"/>
  <c r="AA1153" i="1"/>
  <c r="AA705" i="1" a="1"/>
  <c r="AA705" i="1"/>
  <c r="Z282" i="1" a="1"/>
  <c r="Z282" i="1"/>
  <c r="Y1462" i="1" a="1"/>
  <c r="Y1462" i="1"/>
  <c r="AC646" i="1" a="1"/>
  <c r="AC646" i="1"/>
  <c r="AA183" i="1" a="1"/>
  <c r="AA183" i="1"/>
  <c r="Y614" i="1" a="1"/>
  <c r="Y614" i="1"/>
  <c r="AB183" i="1" a="1"/>
  <c r="AB183" i="1"/>
  <c r="AB282" i="1" a="1"/>
  <c r="AB282" i="1"/>
  <c r="AA646" i="1" a="1"/>
  <c r="AA646" i="1"/>
  <c r="AB705" i="1" a="1"/>
  <c r="AB705" i="1"/>
  <c r="Z614" i="1" a="1"/>
  <c r="Z614" i="1"/>
  <c r="Z1462" i="1" a="1"/>
  <c r="Z1462" i="1"/>
  <c r="Z707" i="1" a="1"/>
  <c r="Z707" i="1"/>
  <c r="Y324" i="1" a="1"/>
  <c r="Y324" i="1"/>
  <c r="AA1389" i="1" a="1"/>
  <c r="AA1389" i="1"/>
  <c r="Z1153" i="1" a="1"/>
  <c r="Z1153" i="1"/>
  <c r="AA2001" i="1" a="1"/>
  <c r="AA2001" i="1"/>
  <c r="AA2000" i="1" a="1"/>
  <c r="AA2000" i="1"/>
  <c r="AA1999" i="1" a="1"/>
  <c r="AA1999" i="1"/>
  <c r="AA1998" i="1" a="1"/>
  <c r="AA1998" i="1"/>
  <c r="AA1997" i="1" a="1"/>
  <c r="AA1997" i="1"/>
  <c r="AA1996" i="1" a="1"/>
  <c r="AA1996" i="1"/>
  <c r="AA1995" i="1" a="1"/>
  <c r="AA1995" i="1"/>
  <c r="AA1994" i="1" a="1"/>
  <c r="AA1994" i="1"/>
  <c r="AA1993" i="1" a="1"/>
  <c r="AA1993" i="1"/>
  <c r="AA1992" i="1" a="1"/>
  <c r="AA1992" i="1"/>
  <c r="AA1991" i="1" a="1"/>
  <c r="AA1991" i="1"/>
  <c r="AA1990" i="1" a="1"/>
  <c r="AA1990" i="1"/>
  <c r="AA1989" i="1" a="1"/>
  <c r="AA1989" i="1"/>
  <c r="AA1988" i="1" a="1"/>
  <c r="AA1988" i="1"/>
  <c r="AA1987" i="1" a="1"/>
  <c r="AA1987" i="1"/>
  <c r="AA1986" i="1" a="1"/>
  <c r="AA1986" i="1"/>
  <c r="AA1985" i="1" a="1"/>
  <c r="AA1985" i="1"/>
  <c r="AA1984" i="1" a="1"/>
  <c r="AA1984" i="1"/>
  <c r="AA1983" i="1" a="1"/>
  <c r="AA1983" i="1"/>
  <c r="AA1982" i="1" a="1"/>
  <c r="AA1982" i="1"/>
  <c r="AA1981" i="1" a="1"/>
  <c r="AA1981" i="1"/>
  <c r="AA1980" i="1" a="1"/>
  <c r="AA1980" i="1"/>
  <c r="AA1979" i="1" a="1"/>
  <c r="AA1979" i="1"/>
  <c r="AA1978" i="1" a="1"/>
  <c r="AA1978" i="1"/>
  <c r="AA1977" i="1" a="1"/>
  <c r="AA1977" i="1"/>
  <c r="AA1976" i="1" a="1"/>
  <c r="AA1976" i="1"/>
  <c r="AA1975" i="1" a="1"/>
  <c r="AA1975" i="1"/>
  <c r="AA1974" i="1" a="1"/>
  <c r="AA1974" i="1"/>
  <c r="AA1973" i="1" a="1"/>
  <c r="AA1973" i="1"/>
  <c r="AA1972" i="1" a="1"/>
  <c r="AA1972" i="1"/>
  <c r="AA1971" i="1" a="1"/>
  <c r="AA1971" i="1"/>
  <c r="AA1970" i="1" a="1"/>
  <c r="AA1970" i="1"/>
  <c r="AA1969" i="1" a="1"/>
  <c r="AA1969" i="1"/>
  <c r="AA1968" i="1" a="1"/>
  <c r="AA1968" i="1"/>
  <c r="AA1967" i="1" a="1"/>
  <c r="AA1967" i="1"/>
  <c r="AA1966" i="1" a="1"/>
  <c r="AA1966" i="1"/>
  <c r="AA1965" i="1" a="1"/>
  <c r="AA1965" i="1"/>
  <c r="AA1964" i="1" a="1"/>
  <c r="AA1964" i="1"/>
  <c r="AA1963" i="1" a="1"/>
  <c r="AA1963" i="1"/>
  <c r="AA1962" i="1" a="1"/>
  <c r="AA1962" i="1"/>
  <c r="AA1961" i="1" a="1"/>
  <c r="AA1961" i="1"/>
  <c r="AA1960" i="1" a="1"/>
  <c r="AA1960" i="1"/>
  <c r="AA1959" i="1" a="1"/>
  <c r="AA1959" i="1"/>
  <c r="AA1958" i="1" a="1"/>
  <c r="AA1958" i="1"/>
  <c r="AA1957" i="1" a="1"/>
  <c r="AA1957" i="1"/>
  <c r="AA1956" i="1" a="1"/>
  <c r="AA1956" i="1"/>
  <c r="AA1955" i="1" a="1"/>
  <c r="AA1955" i="1"/>
  <c r="AA1954" i="1" a="1"/>
  <c r="AA1954" i="1"/>
  <c r="AA1953" i="1" a="1"/>
  <c r="AA1953" i="1"/>
  <c r="AA1952" i="1" a="1"/>
  <c r="AA1952" i="1"/>
  <c r="AA1951" i="1" a="1"/>
  <c r="AA1951" i="1"/>
  <c r="AA1950" i="1" a="1"/>
  <c r="AA1950" i="1"/>
  <c r="AA1949" i="1" a="1"/>
  <c r="AA1949" i="1"/>
  <c r="AA1948" i="1" a="1"/>
  <c r="AA1948" i="1"/>
  <c r="AA1947" i="1" a="1"/>
  <c r="AA1947" i="1"/>
  <c r="AA1946" i="1" a="1"/>
  <c r="AA1946" i="1"/>
  <c r="AA1945" i="1" a="1"/>
  <c r="AA1945" i="1"/>
  <c r="AA1944" i="1" a="1"/>
  <c r="AA1944" i="1"/>
  <c r="AA1943" i="1" a="1"/>
  <c r="AA1943" i="1"/>
  <c r="AA1942" i="1" a="1"/>
  <c r="AA1942" i="1"/>
  <c r="AA1941" i="1" a="1"/>
  <c r="AA1941" i="1"/>
  <c r="AA1940" i="1" a="1"/>
  <c r="AA1940" i="1"/>
  <c r="AA1939" i="1" a="1"/>
  <c r="AA1939" i="1"/>
  <c r="AA1938" i="1" a="1"/>
  <c r="AA1938" i="1"/>
  <c r="AA1937" i="1" a="1"/>
  <c r="AA1937" i="1"/>
  <c r="AA1936" i="1" a="1"/>
  <c r="AA1936" i="1"/>
  <c r="AA1935" i="1" a="1"/>
  <c r="AA1935" i="1"/>
  <c r="AA1934" i="1" a="1"/>
  <c r="AA1934" i="1"/>
  <c r="AA1933" i="1" a="1"/>
  <c r="AA1933" i="1"/>
  <c r="AA1932" i="1" a="1"/>
  <c r="AA1932" i="1"/>
  <c r="AA1931" i="1" a="1"/>
  <c r="AA1931" i="1"/>
  <c r="AA1930" i="1" a="1"/>
  <c r="AA1930" i="1"/>
  <c r="AA1929" i="1" a="1"/>
  <c r="AA1929" i="1"/>
  <c r="AA1928" i="1" a="1"/>
  <c r="AA1928" i="1"/>
  <c r="AA1927" i="1" a="1"/>
  <c r="AA1927" i="1"/>
  <c r="AA1926" i="1" a="1"/>
  <c r="AA1926" i="1"/>
  <c r="AA1925" i="1" a="1"/>
  <c r="AA1925" i="1"/>
  <c r="AA1924" i="1" a="1"/>
  <c r="AA1924" i="1"/>
  <c r="AA1923" i="1" a="1"/>
  <c r="AA1923" i="1"/>
  <c r="AA1922" i="1" a="1"/>
  <c r="AA1922" i="1"/>
  <c r="AA1921" i="1" a="1"/>
  <c r="AA1921" i="1"/>
  <c r="AA1920" i="1" a="1"/>
  <c r="AA1920" i="1"/>
  <c r="AA1919" i="1" a="1"/>
  <c r="AA1919" i="1"/>
  <c r="AA1918" i="1" a="1"/>
  <c r="AA1918" i="1"/>
  <c r="AA1917" i="1" a="1"/>
  <c r="AA1917" i="1"/>
  <c r="AA1916" i="1" a="1"/>
  <c r="AA1916" i="1"/>
  <c r="AA1915" i="1" a="1"/>
  <c r="AA1915" i="1"/>
  <c r="AA1914" i="1" a="1"/>
  <c r="AA1914" i="1"/>
  <c r="AA1913" i="1" a="1"/>
  <c r="AA1913" i="1"/>
  <c r="AA1912" i="1" a="1"/>
  <c r="AA1912" i="1"/>
  <c r="AA1911" i="1" a="1"/>
  <c r="AA1911" i="1"/>
  <c r="AA1910" i="1" a="1"/>
  <c r="AA1910" i="1"/>
  <c r="AA1909" i="1" a="1"/>
  <c r="AA1909" i="1"/>
  <c r="AA1908" i="1" a="1"/>
  <c r="AA1908" i="1"/>
  <c r="AA1907" i="1" a="1"/>
  <c r="AA1907" i="1"/>
  <c r="AA1906" i="1" a="1"/>
  <c r="AA1906" i="1"/>
  <c r="AA1905" i="1" a="1"/>
  <c r="AA1905" i="1"/>
  <c r="AA1904" i="1" a="1"/>
  <c r="AA1904" i="1"/>
  <c r="AA1903" i="1" a="1"/>
  <c r="AA1903" i="1"/>
  <c r="AA1902" i="1" a="1"/>
  <c r="AA1902" i="1"/>
  <c r="AA1901" i="1" a="1"/>
  <c r="AA1901" i="1"/>
  <c r="AA1900" i="1" a="1"/>
  <c r="AA1900" i="1"/>
  <c r="AA1899" i="1" a="1"/>
  <c r="AA1899" i="1"/>
  <c r="AA1898" i="1" a="1"/>
  <c r="AA1898" i="1"/>
  <c r="AA1897" i="1" a="1"/>
  <c r="AA1897" i="1"/>
  <c r="AA1896" i="1" a="1"/>
  <c r="AA1896" i="1"/>
  <c r="AA1895" i="1" a="1"/>
  <c r="AA1895" i="1"/>
  <c r="AA1894" i="1" a="1"/>
  <c r="AA1894" i="1"/>
  <c r="AA1893" i="1" a="1"/>
  <c r="AA1893" i="1"/>
  <c r="AA1892" i="1" a="1"/>
  <c r="AA1892" i="1"/>
  <c r="AA1891" i="1" a="1"/>
  <c r="AA1891" i="1"/>
  <c r="AA1890" i="1" a="1"/>
  <c r="AA1890" i="1"/>
  <c r="AA1889" i="1" a="1"/>
  <c r="AA1889" i="1"/>
  <c r="AA1888" i="1" a="1"/>
  <c r="AA1888" i="1"/>
  <c r="AA1887" i="1" a="1"/>
  <c r="AA1887" i="1"/>
  <c r="AA1886" i="1" a="1"/>
  <c r="AA1886" i="1"/>
  <c r="AA1885" i="1" a="1"/>
  <c r="AA1885" i="1"/>
  <c r="AA1884" i="1" a="1"/>
  <c r="AA1884" i="1"/>
  <c r="AA1883" i="1" a="1"/>
  <c r="AA1883" i="1"/>
  <c r="AA1882" i="1" a="1"/>
  <c r="AA1882" i="1"/>
  <c r="AA1881" i="1" a="1"/>
  <c r="AA1881" i="1"/>
  <c r="AA1880" i="1" a="1"/>
  <c r="AA1880" i="1"/>
  <c r="AA1879" i="1" a="1"/>
  <c r="AA1879" i="1"/>
  <c r="AA1878" i="1" a="1"/>
  <c r="AA1878" i="1"/>
  <c r="AA1877" i="1" a="1"/>
  <c r="AA1877" i="1"/>
  <c r="AA1876" i="1" a="1"/>
  <c r="AA1876" i="1"/>
  <c r="AA1875" i="1" a="1"/>
  <c r="AA1875" i="1"/>
  <c r="AA1874" i="1" a="1"/>
  <c r="AA1874" i="1"/>
  <c r="AA1873" i="1" a="1"/>
  <c r="AA1873" i="1"/>
  <c r="AA1872" i="1" a="1"/>
  <c r="AA1872" i="1"/>
  <c r="AA1871" i="1" a="1"/>
  <c r="AA1871" i="1"/>
  <c r="AA1870" i="1" a="1"/>
  <c r="AA1870" i="1"/>
  <c r="AA1869" i="1" a="1"/>
  <c r="AA1869" i="1"/>
  <c r="AA1868" i="1" a="1"/>
  <c r="AA1868" i="1"/>
  <c r="AA1867" i="1" a="1"/>
  <c r="AA1867" i="1"/>
  <c r="AA1866" i="1" a="1"/>
  <c r="AA1866" i="1"/>
  <c r="AA1865" i="1" a="1"/>
  <c r="AA1865" i="1"/>
  <c r="AA1864" i="1" a="1"/>
  <c r="AA1864" i="1"/>
  <c r="AA1863" i="1" a="1"/>
  <c r="AA1863" i="1"/>
  <c r="AA1862" i="1" a="1"/>
  <c r="AA1862" i="1"/>
  <c r="AA1861" i="1" a="1"/>
  <c r="AA1861" i="1"/>
  <c r="AA1860" i="1" a="1"/>
  <c r="AA1860" i="1"/>
  <c r="AA1859" i="1" a="1"/>
  <c r="AA1859" i="1"/>
  <c r="AA1858" i="1" a="1"/>
  <c r="AA1858" i="1"/>
  <c r="AA1857" i="1" a="1"/>
  <c r="AA1857" i="1"/>
  <c r="AA1856" i="1" a="1"/>
  <c r="AA1856" i="1"/>
  <c r="AA1855" i="1" a="1"/>
  <c r="AA1855" i="1"/>
  <c r="AA1854" i="1" a="1"/>
  <c r="AA1854" i="1"/>
  <c r="AA1853" i="1" a="1"/>
  <c r="AA1853" i="1"/>
  <c r="AA1852" i="1" a="1"/>
  <c r="AA1852" i="1"/>
  <c r="AA1851" i="1" a="1"/>
  <c r="AA1851" i="1"/>
  <c r="AA1850" i="1" a="1"/>
  <c r="AA1850" i="1"/>
  <c r="AA1849" i="1" a="1"/>
  <c r="AA1849" i="1"/>
  <c r="AA1848" i="1" a="1"/>
  <c r="AA1848" i="1"/>
  <c r="AA1847" i="1" a="1"/>
  <c r="AA1847" i="1"/>
  <c r="AA1846" i="1" a="1"/>
  <c r="AA1846" i="1"/>
  <c r="AA1845" i="1" a="1"/>
  <c r="AA1845" i="1"/>
  <c r="AA1844" i="1" a="1"/>
  <c r="AA1844" i="1"/>
  <c r="AA1843" i="1" a="1"/>
  <c r="AA1843" i="1"/>
  <c r="AA1842" i="1" a="1"/>
  <c r="AA1842" i="1"/>
  <c r="AA1841" i="1" a="1"/>
  <c r="AA1841" i="1"/>
  <c r="AA1840" i="1" a="1"/>
  <c r="AA1840" i="1"/>
  <c r="AA1839" i="1" a="1"/>
  <c r="AA1839" i="1"/>
  <c r="AA1838" i="1" a="1"/>
  <c r="AA1838" i="1"/>
  <c r="AA1837" i="1" a="1"/>
  <c r="AA1837" i="1"/>
  <c r="AA1836" i="1" a="1"/>
  <c r="AA1836" i="1"/>
  <c r="AA1835" i="1" a="1"/>
  <c r="AA1835" i="1"/>
  <c r="AA1834" i="1" a="1"/>
  <c r="AA1834" i="1"/>
  <c r="AA1833" i="1" a="1"/>
  <c r="AA1833" i="1"/>
  <c r="AA1832" i="1" a="1"/>
  <c r="AA1832" i="1"/>
  <c r="AA1831" i="1" a="1"/>
  <c r="AA1831" i="1"/>
  <c r="AA1830" i="1" a="1"/>
  <c r="AA1830" i="1"/>
  <c r="AA1829" i="1" a="1"/>
  <c r="AA1829" i="1"/>
  <c r="AA1828" i="1" a="1"/>
  <c r="AA1828" i="1"/>
  <c r="AA1827" i="1" a="1"/>
  <c r="AA1827" i="1"/>
  <c r="AA1826" i="1" a="1"/>
  <c r="AA1826" i="1"/>
  <c r="AA1825" i="1" a="1"/>
  <c r="AA1825" i="1"/>
  <c r="AA1824" i="1" a="1"/>
  <c r="AA1824" i="1"/>
  <c r="AA1823" i="1" a="1"/>
  <c r="AA1823" i="1"/>
  <c r="AA1822" i="1" a="1"/>
  <c r="AA1822" i="1"/>
  <c r="AA1821" i="1" a="1"/>
  <c r="AA1821" i="1"/>
  <c r="AA1820" i="1" a="1"/>
  <c r="AA1820" i="1"/>
  <c r="AA1819" i="1" a="1"/>
  <c r="AA1819" i="1"/>
  <c r="AA1818" i="1" a="1"/>
  <c r="AA1818" i="1"/>
  <c r="AA1817" i="1" a="1"/>
  <c r="AA1817" i="1"/>
  <c r="AA1816" i="1" a="1"/>
  <c r="AA1816" i="1"/>
  <c r="AA1815" i="1" a="1"/>
  <c r="AA1815" i="1"/>
  <c r="AA1814" i="1" a="1"/>
  <c r="AA1814" i="1"/>
  <c r="AA1813" i="1" a="1"/>
  <c r="AA1813" i="1"/>
  <c r="AA1812" i="1" a="1"/>
  <c r="AA1812" i="1"/>
  <c r="AA1811" i="1" a="1"/>
  <c r="AA1811" i="1"/>
  <c r="AA1810" i="1" a="1"/>
  <c r="AA1810" i="1"/>
  <c r="AA1809" i="1" a="1"/>
  <c r="AA1809" i="1"/>
  <c r="AA1808" i="1" a="1"/>
  <c r="AA1808" i="1"/>
  <c r="AA1807" i="1" a="1"/>
  <c r="AA1807" i="1"/>
  <c r="AA1806" i="1" a="1"/>
  <c r="AA1806" i="1"/>
  <c r="AA1805" i="1" a="1"/>
  <c r="AA1805" i="1"/>
  <c r="AA1804" i="1" a="1"/>
  <c r="AA1804" i="1"/>
  <c r="AA1803" i="1" a="1"/>
  <c r="AA1803" i="1"/>
  <c r="AA1802" i="1" a="1"/>
  <c r="AA1802" i="1"/>
  <c r="AA1801" i="1" a="1"/>
  <c r="AA1801" i="1"/>
  <c r="AA1800" i="1" a="1"/>
  <c r="AA1800" i="1"/>
  <c r="AA1799" i="1" a="1"/>
  <c r="AA1799" i="1"/>
  <c r="AA1798" i="1" a="1"/>
  <c r="AA1798" i="1"/>
  <c r="AA1797" i="1" a="1"/>
  <c r="AA1797" i="1"/>
  <c r="AA1796" i="1" a="1"/>
  <c r="AA1796" i="1"/>
  <c r="AA1795" i="1" a="1"/>
  <c r="AA1795" i="1"/>
  <c r="AA1794" i="1" a="1"/>
  <c r="AA1794" i="1"/>
  <c r="AA1793" i="1" a="1"/>
  <c r="AA1793" i="1"/>
  <c r="AA1792" i="1" a="1"/>
  <c r="AA1792" i="1"/>
  <c r="AA1791" i="1" a="1"/>
  <c r="AA1791" i="1"/>
  <c r="AA1790" i="1" a="1"/>
  <c r="AA1790" i="1"/>
  <c r="AA1789" i="1" a="1"/>
  <c r="AA1789" i="1"/>
  <c r="AA1788" i="1" a="1"/>
  <c r="AA1788" i="1"/>
  <c r="AA1787" i="1" a="1"/>
  <c r="AA1787" i="1"/>
  <c r="AA1786" i="1" a="1"/>
  <c r="AA1786" i="1"/>
  <c r="AA1785" i="1" a="1"/>
  <c r="AA1785" i="1"/>
  <c r="AA1784" i="1" a="1"/>
  <c r="AA1784" i="1"/>
  <c r="AA1783" i="1" a="1"/>
  <c r="AA1783" i="1"/>
  <c r="AA1782" i="1" a="1"/>
  <c r="AA1782" i="1"/>
  <c r="AA1781" i="1" a="1"/>
  <c r="AA1781" i="1"/>
  <c r="AA1780" i="1" a="1"/>
  <c r="AA1780" i="1"/>
  <c r="AA1779" i="1" a="1"/>
  <c r="AA1779" i="1"/>
  <c r="AA1778" i="1" a="1"/>
  <c r="AA1778" i="1"/>
  <c r="AA1777" i="1" a="1"/>
  <c r="AA1777" i="1"/>
  <c r="AA1776" i="1" a="1"/>
  <c r="AA1776" i="1"/>
  <c r="AA1775" i="1" a="1"/>
  <c r="AA1775" i="1"/>
  <c r="AA1774" i="1" a="1"/>
  <c r="AA1774" i="1"/>
  <c r="AA1773" i="1" a="1"/>
  <c r="AA1773" i="1"/>
  <c r="AA1772" i="1" a="1"/>
  <c r="AA1772" i="1"/>
  <c r="AA1771" i="1" a="1"/>
  <c r="AA1771" i="1"/>
  <c r="AA1770" i="1" a="1"/>
  <c r="AA1770" i="1"/>
  <c r="AA1769" i="1" a="1"/>
  <c r="AA1769" i="1"/>
  <c r="AA1768" i="1" a="1"/>
  <c r="AA1768" i="1"/>
  <c r="AA1767" i="1" a="1"/>
  <c r="AA1767" i="1"/>
  <c r="AA1766" i="1" a="1"/>
  <c r="AA1766" i="1"/>
  <c r="AA1765" i="1" a="1"/>
  <c r="AA1765" i="1"/>
  <c r="AA1764" i="1" a="1"/>
  <c r="AA1764" i="1"/>
  <c r="AA1763" i="1" a="1"/>
  <c r="AA1763" i="1"/>
  <c r="AA1762" i="1" a="1"/>
  <c r="AA1762" i="1"/>
  <c r="AA1761" i="1" a="1"/>
  <c r="AA1761" i="1"/>
  <c r="AA1760" i="1" a="1"/>
  <c r="AA1760" i="1"/>
  <c r="AA1759" i="1" a="1"/>
  <c r="AA1759" i="1"/>
  <c r="AA1758" i="1" a="1"/>
  <c r="AA1758" i="1"/>
  <c r="AA1757" i="1" a="1"/>
  <c r="AA1757" i="1"/>
  <c r="AA1756" i="1" a="1"/>
  <c r="AA1756" i="1"/>
  <c r="AA1755" i="1" a="1"/>
  <c r="AA1755" i="1"/>
  <c r="AA1754" i="1" a="1"/>
  <c r="AA1754" i="1"/>
  <c r="AA1753" i="1" a="1"/>
  <c r="AA1753" i="1"/>
  <c r="AA1752" i="1" a="1"/>
  <c r="AA1752" i="1"/>
  <c r="AA1751" i="1" a="1"/>
  <c r="AA1751" i="1"/>
  <c r="AA1750" i="1" a="1"/>
  <c r="AA1750" i="1"/>
  <c r="AA1749" i="1" a="1"/>
  <c r="AA1749" i="1"/>
  <c r="AA1748" i="1" a="1"/>
  <c r="AA1748" i="1"/>
  <c r="AA1747" i="1" a="1"/>
  <c r="AA1747" i="1"/>
  <c r="AA1746" i="1" a="1"/>
  <c r="AA1746" i="1"/>
  <c r="AA1745" i="1" a="1"/>
  <c r="AA1745" i="1"/>
  <c r="AA1744" i="1" a="1"/>
  <c r="AA1744" i="1"/>
  <c r="AA1743" i="1" a="1"/>
  <c r="AA1743" i="1"/>
  <c r="AA1742" i="1" a="1"/>
  <c r="AA1742" i="1"/>
  <c r="AA1741" i="1" a="1"/>
  <c r="AA1741" i="1"/>
  <c r="AA1740" i="1" a="1"/>
  <c r="AA1740" i="1"/>
  <c r="AA1739" i="1" a="1"/>
  <c r="AA1739" i="1"/>
  <c r="AA1738" i="1" a="1"/>
  <c r="AA1738" i="1"/>
  <c r="AA1737" i="1" a="1"/>
  <c r="AA1737" i="1"/>
  <c r="AA1736" i="1" a="1"/>
  <c r="AA1736" i="1"/>
  <c r="AA1735" i="1" a="1"/>
  <c r="AA1735" i="1"/>
  <c r="AA1734" i="1" a="1"/>
  <c r="AA1734" i="1"/>
  <c r="AA1733" i="1" a="1"/>
  <c r="AA1733" i="1"/>
  <c r="AA1732" i="1" a="1"/>
  <c r="AA1732" i="1"/>
  <c r="AA1731" i="1" a="1"/>
  <c r="AA1731" i="1"/>
  <c r="AA1730" i="1" a="1"/>
  <c r="AA1730" i="1"/>
  <c r="AA1729" i="1" a="1"/>
  <c r="AA1729" i="1"/>
  <c r="AA1728" i="1" a="1"/>
  <c r="AA1728" i="1"/>
  <c r="AA1727" i="1" a="1"/>
  <c r="AA1727" i="1"/>
  <c r="AA1726" i="1" a="1"/>
  <c r="AA1726" i="1"/>
  <c r="AA1725" i="1" a="1"/>
  <c r="AA1725" i="1"/>
  <c r="AA1724" i="1" a="1"/>
  <c r="AA1724" i="1"/>
  <c r="AA1723" i="1" a="1"/>
  <c r="AA1723" i="1"/>
  <c r="AA1722" i="1" a="1"/>
  <c r="AA1722" i="1"/>
  <c r="AA1721" i="1" a="1"/>
  <c r="AA1721" i="1"/>
  <c r="AA1720" i="1" a="1"/>
  <c r="AA1720" i="1"/>
  <c r="AA1719" i="1" a="1"/>
  <c r="AA1719" i="1"/>
  <c r="AA1718" i="1" a="1"/>
  <c r="AA1718" i="1"/>
  <c r="AA1717" i="1" a="1"/>
  <c r="AA1717" i="1"/>
  <c r="AA1716" i="1" a="1"/>
  <c r="AA1716" i="1"/>
  <c r="AA1715" i="1" a="1"/>
  <c r="AA1715" i="1"/>
  <c r="AA1714" i="1" a="1"/>
  <c r="AA1714" i="1"/>
  <c r="AA1713" i="1" a="1"/>
  <c r="AA1713" i="1"/>
  <c r="AA1712" i="1" a="1"/>
  <c r="AA1712" i="1"/>
  <c r="AA1711" i="1" a="1"/>
  <c r="AA1711" i="1"/>
  <c r="AA1710" i="1" a="1"/>
  <c r="AA1710" i="1"/>
  <c r="AA1709" i="1" a="1"/>
  <c r="AA1709" i="1"/>
  <c r="AA1708" i="1" a="1"/>
  <c r="AA1708" i="1"/>
  <c r="AA1707" i="1" a="1"/>
  <c r="AA1707" i="1"/>
  <c r="AA1706" i="1" a="1"/>
  <c r="AA1706" i="1"/>
  <c r="AA1705" i="1" a="1"/>
  <c r="AA1705" i="1"/>
  <c r="AA1704" i="1" a="1"/>
  <c r="AA1704" i="1"/>
  <c r="AA1703" i="1" a="1"/>
  <c r="AA1703" i="1"/>
  <c r="AA1702" i="1" a="1"/>
  <c r="AA1702" i="1"/>
  <c r="AA1701" i="1" a="1"/>
  <c r="AA1701" i="1"/>
  <c r="AA1700" i="1" a="1"/>
  <c r="AA1700" i="1"/>
  <c r="AA1699" i="1" a="1"/>
  <c r="AA1699" i="1"/>
  <c r="AA1698" i="1" a="1"/>
  <c r="AA1698" i="1"/>
  <c r="AA1697" i="1" a="1"/>
  <c r="AA1697" i="1"/>
  <c r="AA1696" i="1" a="1"/>
  <c r="AA1696" i="1"/>
  <c r="AA1695" i="1" a="1"/>
  <c r="AA1695" i="1"/>
  <c r="AA1694" i="1" a="1"/>
  <c r="AA1694" i="1"/>
  <c r="AA1693" i="1" a="1"/>
  <c r="AA1693" i="1"/>
  <c r="AA1692" i="1" a="1"/>
  <c r="AA1692" i="1"/>
  <c r="AA1691" i="1" a="1"/>
  <c r="AA1691" i="1"/>
  <c r="AA1690" i="1" a="1"/>
  <c r="AA1690" i="1"/>
  <c r="AA1689" i="1" a="1"/>
  <c r="AA1689" i="1"/>
  <c r="AA1688" i="1" a="1"/>
  <c r="AA1688" i="1"/>
  <c r="AA1687" i="1" a="1"/>
  <c r="AA1687" i="1"/>
  <c r="AA1686" i="1" a="1"/>
  <c r="AA1686" i="1"/>
  <c r="AA1685" i="1" a="1"/>
  <c r="AA1685" i="1"/>
  <c r="AA1684" i="1" a="1"/>
  <c r="AA1684" i="1"/>
  <c r="AA1683" i="1" a="1"/>
  <c r="AA1683" i="1"/>
  <c r="AA1682" i="1" a="1"/>
  <c r="AA1682" i="1"/>
  <c r="AA1681" i="1" a="1"/>
  <c r="AA1681" i="1"/>
  <c r="AA1680" i="1" a="1"/>
  <c r="AA1680" i="1"/>
  <c r="AA1679" i="1" a="1"/>
  <c r="AA1679" i="1"/>
  <c r="AA1678" i="1" a="1"/>
  <c r="AA1678" i="1"/>
  <c r="AA1677" i="1" a="1"/>
  <c r="AA1677" i="1"/>
  <c r="AA1676" i="1" a="1"/>
  <c r="AA1676" i="1"/>
  <c r="AA1675" i="1" a="1"/>
  <c r="AA1675" i="1"/>
  <c r="AA1674" i="1" a="1"/>
  <c r="AA1674" i="1"/>
  <c r="AA1673" i="1" a="1"/>
  <c r="AA1673" i="1"/>
  <c r="AA1672" i="1" a="1"/>
  <c r="AA1672" i="1"/>
  <c r="AA1671" i="1" a="1"/>
  <c r="AA1671" i="1"/>
  <c r="AA1670" i="1" a="1"/>
  <c r="AA1670" i="1"/>
  <c r="AA1669" i="1" a="1"/>
  <c r="AA1669" i="1"/>
  <c r="AA1668" i="1" a="1"/>
  <c r="AA1668" i="1"/>
  <c r="AA1667" i="1" a="1"/>
  <c r="AA1667" i="1"/>
  <c r="AA1666" i="1" a="1"/>
  <c r="AA1666" i="1"/>
  <c r="AA1665" i="1" a="1"/>
  <c r="AA1665" i="1"/>
  <c r="AA1664" i="1" a="1"/>
  <c r="AA1664" i="1"/>
  <c r="AA1663" i="1" a="1"/>
  <c r="AA1663" i="1"/>
  <c r="AA1662" i="1" a="1"/>
  <c r="AA1662" i="1"/>
  <c r="AA1661" i="1" a="1"/>
  <c r="AA1661" i="1"/>
  <c r="AA1660" i="1" a="1"/>
  <c r="AA1660" i="1"/>
  <c r="AA1659" i="1" a="1"/>
  <c r="AA1659" i="1"/>
  <c r="AA1658" i="1" a="1"/>
  <c r="AA1658" i="1"/>
  <c r="AA1657" i="1" a="1"/>
  <c r="AA1657" i="1"/>
  <c r="AA1656" i="1" a="1"/>
  <c r="AA1656" i="1"/>
  <c r="AA1655" i="1" a="1"/>
  <c r="AA1655" i="1"/>
  <c r="AA1654" i="1" a="1"/>
  <c r="AA1654" i="1"/>
  <c r="AA1653" i="1" a="1"/>
  <c r="AA1653" i="1"/>
  <c r="AA1652" i="1"/>
  <c r="AA1651" i="1"/>
  <c r="AA1650" i="1"/>
  <c r="AA1649" i="1"/>
  <c r="AA1648" i="1"/>
  <c r="AA1647" i="1"/>
  <c r="AA1646" i="1"/>
  <c r="AA1645" i="1"/>
  <c r="AA1644" i="1"/>
  <c r="AA1643" i="1"/>
  <c r="AA1642" i="1"/>
  <c r="AA1641" i="1"/>
  <c r="AA1640" i="1"/>
  <c r="AA1639" i="1"/>
  <c r="AA1638" i="1"/>
  <c r="AA1637" i="1"/>
  <c r="AA1636" i="1"/>
  <c r="AA1635" i="1"/>
  <c r="AA1634" i="1"/>
  <c r="AA1633" i="1"/>
  <c r="AA1632" i="1"/>
  <c r="AA1631" i="1"/>
  <c r="AA1630" i="1"/>
  <c r="AA1629" i="1"/>
  <c r="AA1628" i="1"/>
  <c r="AA1627" i="1"/>
  <c r="AA1626" i="1"/>
  <c r="AA1625" i="1"/>
  <c r="AA1624" i="1"/>
  <c r="AA1623" i="1"/>
  <c r="Z2001" i="1" a="1"/>
  <c r="Z2001" i="1"/>
  <c r="Z2000" i="1" a="1"/>
  <c r="Z2000" i="1"/>
  <c r="Z1999" i="1" a="1"/>
  <c r="Z1999" i="1"/>
  <c r="Z1998" i="1" a="1"/>
  <c r="Z1998" i="1"/>
  <c r="Z1997" i="1" a="1"/>
  <c r="Z1997" i="1"/>
  <c r="Z1996" i="1" a="1"/>
  <c r="Z1996" i="1"/>
  <c r="Z1995" i="1" a="1"/>
  <c r="Z1995" i="1"/>
  <c r="Z1994" i="1" a="1"/>
  <c r="Z1994" i="1"/>
  <c r="Z1993" i="1" a="1"/>
  <c r="Z1993" i="1"/>
  <c r="Z1992" i="1" a="1"/>
  <c r="Z1992" i="1"/>
  <c r="Z1991" i="1" a="1"/>
  <c r="Z1991" i="1"/>
  <c r="Z1990" i="1" a="1"/>
  <c r="Z1990" i="1"/>
  <c r="Z1989" i="1" a="1"/>
  <c r="Z1989" i="1"/>
  <c r="Z1988" i="1" a="1"/>
  <c r="Z1988" i="1"/>
  <c r="Z1987" i="1" a="1"/>
  <c r="Z1987" i="1"/>
  <c r="Z1986" i="1" a="1"/>
  <c r="Z1986" i="1"/>
  <c r="Z1985" i="1" a="1"/>
  <c r="Z1985" i="1"/>
  <c r="Z1984" i="1" a="1"/>
  <c r="Z1984" i="1"/>
  <c r="Z1983" i="1" a="1"/>
  <c r="Z1983" i="1"/>
  <c r="Z1982" i="1" a="1"/>
  <c r="Z1982" i="1"/>
  <c r="Z1981" i="1" a="1"/>
  <c r="Z1981" i="1"/>
  <c r="Z1980" i="1" a="1"/>
  <c r="Z1980" i="1"/>
  <c r="Z1979" i="1" a="1"/>
  <c r="Z1979" i="1"/>
  <c r="Z1978" i="1" a="1"/>
  <c r="Z1978" i="1"/>
  <c r="Z1977" i="1" a="1"/>
  <c r="Z1977" i="1"/>
  <c r="Z1976" i="1" a="1"/>
  <c r="Z1976" i="1"/>
  <c r="Z1975" i="1" a="1"/>
  <c r="Z1975" i="1"/>
  <c r="Z1974" i="1" a="1"/>
  <c r="Z1974" i="1"/>
  <c r="Z1973" i="1" a="1"/>
  <c r="Z1973" i="1"/>
  <c r="Z1972" i="1" a="1"/>
  <c r="Z1972" i="1"/>
  <c r="Z1971" i="1" a="1"/>
  <c r="Z1971" i="1"/>
  <c r="Z1970" i="1" a="1"/>
  <c r="Z1970" i="1"/>
  <c r="Z1969" i="1" a="1"/>
  <c r="Z1969" i="1"/>
  <c r="Z1968" i="1" a="1"/>
  <c r="Z1968" i="1"/>
  <c r="Z1967" i="1" a="1"/>
  <c r="Z1967" i="1"/>
  <c r="Z1966" i="1" a="1"/>
  <c r="Z1966" i="1"/>
  <c r="Z1965" i="1" a="1"/>
  <c r="Z1965" i="1"/>
  <c r="Z1964" i="1" a="1"/>
  <c r="Z1964" i="1"/>
  <c r="Z1963" i="1" a="1"/>
  <c r="Z1963" i="1"/>
  <c r="Z1962" i="1" a="1"/>
  <c r="Z1962" i="1"/>
  <c r="Z1961" i="1" a="1"/>
  <c r="Z1961" i="1"/>
  <c r="Z1960" i="1" a="1"/>
  <c r="Z1960" i="1"/>
  <c r="Z1959" i="1" a="1"/>
  <c r="Z1959" i="1"/>
  <c r="Z1958" i="1" a="1"/>
  <c r="Z1958" i="1"/>
  <c r="Z1957" i="1" a="1"/>
  <c r="Z1957" i="1"/>
  <c r="Z1956" i="1" a="1"/>
  <c r="Z1956" i="1"/>
  <c r="Z1955" i="1" a="1"/>
  <c r="Z1955" i="1"/>
  <c r="Z1954" i="1" a="1"/>
  <c r="Z1954" i="1"/>
  <c r="Z1953" i="1" a="1"/>
  <c r="Z1953" i="1"/>
  <c r="Z1952" i="1" a="1"/>
  <c r="Z1952" i="1"/>
  <c r="Z1951" i="1" a="1"/>
  <c r="Z1951" i="1"/>
  <c r="Z1950" i="1" a="1"/>
  <c r="Z1950" i="1"/>
  <c r="Z1949" i="1" a="1"/>
  <c r="Z1949" i="1"/>
  <c r="Z1948" i="1" a="1"/>
  <c r="Z1948" i="1"/>
  <c r="Z1947" i="1" a="1"/>
  <c r="Z1947" i="1"/>
  <c r="Z1946" i="1" a="1"/>
  <c r="Z1946" i="1"/>
  <c r="Z1945" i="1" a="1"/>
  <c r="Z1945" i="1"/>
  <c r="Z1944" i="1" a="1"/>
  <c r="Z1944" i="1"/>
  <c r="Z1943" i="1" a="1"/>
  <c r="Z1943" i="1"/>
  <c r="Z1942" i="1" a="1"/>
  <c r="Z1942" i="1"/>
  <c r="Z1941" i="1" a="1"/>
  <c r="Z1941" i="1"/>
  <c r="Z1940" i="1" a="1"/>
  <c r="Z1940" i="1"/>
  <c r="Z1939" i="1" a="1"/>
  <c r="Z1939" i="1"/>
  <c r="Z1938" i="1" a="1"/>
  <c r="Z1938" i="1"/>
  <c r="Z1937" i="1" a="1"/>
  <c r="Z1937" i="1"/>
  <c r="Z1936" i="1" a="1"/>
  <c r="Z1936" i="1"/>
  <c r="Z1935" i="1" a="1"/>
  <c r="Z1935" i="1"/>
  <c r="Z1934" i="1" a="1"/>
  <c r="Z1934" i="1"/>
  <c r="Z1933" i="1" a="1"/>
  <c r="Z1933" i="1"/>
  <c r="Z1932" i="1" a="1"/>
  <c r="Z1932" i="1"/>
  <c r="Z1931" i="1" a="1"/>
  <c r="Z1931" i="1"/>
  <c r="Z1930" i="1" a="1"/>
  <c r="Z1930" i="1"/>
  <c r="Z1929" i="1" a="1"/>
  <c r="Z1929" i="1"/>
  <c r="Z1928" i="1" a="1"/>
  <c r="Z1928" i="1"/>
  <c r="Z1927" i="1" a="1"/>
  <c r="Z1927" i="1"/>
  <c r="Z1926" i="1" a="1"/>
  <c r="Z1926" i="1"/>
  <c r="Z1925" i="1" a="1"/>
  <c r="Z1925" i="1"/>
  <c r="Z1924" i="1" a="1"/>
  <c r="Z1924" i="1"/>
  <c r="Z1923" i="1" a="1"/>
  <c r="Z1923" i="1"/>
  <c r="Z1922" i="1" a="1"/>
  <c r="Z1922" i="1"/>
  <c r="Z1921" i="1" a="1"/>
  <c r="Z1921" i="1"/>
  <c r="Z1920" i="1" a="1"/>
  <c r="Z1920" i="1"/>
  <c r="Z1919" i="1" a="1"/>
  <c r="Z1919" i="1"/>
  <c r="Z1918" i="1" a="1"/>
  <c r="Z1918" i="1"/>
  <c r="Z1917" i="1" a="1"/>
  <c r="Z1917" i="1"/>
  <c r="Z1916" i="1" a="1"/>
  <c r="Z1916" i="1"/>
  <c r="Z1915" i="1" a="1"/>
  <c r="Z1915" i="1"/>
  <c r="Z1914" i="1" a="1"/>
  <c r="Z1914" i="1"/>
  <c r="Z1913" i="1" a="1"/>
  <c r="Z1913" i="1"/>
  <c r="Z1912" i="1" a="1"/>
  <c r="Z1912" i="1"/>
  <c r="Z1911" i="1" a="1"/>
  <c r="Z1911" i="1"/>
  <c r="Z1910" i="1" a="1"/>
  <c r="Z1910" i="1"/>
  <c r="Z1909" i="1" a="1"/>
  <c r="Z1909" i="1"/>
  <c r="Z1908" i="1" a="1"/>
  <c r="Z1908" i="1"/>
  <c r="Z1907" i="1" a="1"/>
  <c r="Z1907" i="1"/>
  <c r="Z1906" i="1" a="1"/>
  <c r="Z1906" i="1"/>
  <c r="Z1905" i="1" a="1"/>
  <c r="Z1905" i="1"/>
  <c r="Z1904" i="1" a="1"/>
  <c r="Z1904" i="1"/>
  <c r="Z1903" i="1" a="1"/>
  <c r="Z1903" i="1"/>
  <c r="Z1902" i="1" a="1"/>
  <c r="Z1902" i="1"/>
  <c r="Z1901" i="1" a="1"/>
  <c r="Z1901" i="1"/>
  <c r="Z1900" i="1" a="1"/>
  <c r="Z1900" i="1"/>
  <c r="Z1899" i="1" a="1"/>
  <c r="Z1899" i="1"/>
  <c r="Z1898" i="1" a="1"/>
  <c r="Z1898" i="1"/>
  <c r="Z1897" i="1" a="1"/>
  <c r="Z1897" i="1"/>
  <c r="Z1896" i="1" a="1"/>
  <c r="Z1896" i="1"/>
  <c r="Z1895" i="1" a="1"/>
  <c r="Z1895" i="1"/>
  <c r="Z1894" i="1" a="1"/>
  <c r="Z1894" i="1"/>
  <c r="Z1893" i="1" a="1"/>
  <c r="Z1893" i="1"/>
  <c r="Z1892" i="1" a="1"/>
  <c r="Z1892" i="1"/>
  <c r="Z1891" i="1" a="1"/>
  <c r="Z1891" i="1"/>
  <c r="Z1890" i="1" a="1"/>
  <c r="Z1890" i="1"/>
  <c r="Z1889" i="1" a="1"/>
  <c r="Z1889" i="1"/>
  <c r="Z1888" i="1" a="1"/>
  <c r="Z1888" i="1"/>
  <c r="Z1887" i="1" a="1"/>
  <c r="Z1887" i="1"/>
  <c r="Z1886" i="1" a="1"/>
  <c r="Z1886" i="1"/>
  <c r="Z1885" i="1" a="1"/>
  <c r="Z1885" i="1"/>
  <c r="Z1884" i="1" a="1"/>
  <c r="Z1884" i="1"/>
  <c r="Z1883" i="1" a="1"/>
  <c r="Z1883" i="1"/>
  <c r="Z1882" i="1" a="1"/>
  <c r="Z1882" i="1"/>
  <c r="Z1881" i="1" a="1"/>
  <c r="Z1881" i="1"/>
  <c r="Z1880" i="1" a="1"/>
  <c r="Z1880" i="1"/>
  <c r="Z1879" i="1" a="1"/>
  <c r="Z1879" i="1"/>
  <c r="Z1878" i="1" a="1"/>
  <c r="Z1878" i="1"/>
  <c r="Z1877" i="1" a="1"/>
  <c r="Z1877" i="1"/>
  <c r="Z1876" i="1" a="1"/>
  <c r="Z1876" i="1"/>
  <c r="Z1875" i="1" a="1"/>
  <c r="Z1875" i="1"/>
  <c r="Z1874" i="1" a="1"/>
  <c r="Z1874" i="1"/>
  <c r="Z1873" i="1" a="1"/>
  <c r="Z1873" i="1"/>
  <c r="Z1872" i="1" a="1"/>
  <c r="Z1872" i="1"/>
  <c r="Z1871" i="1" a="1"/>
  <c r="Z1871" i="1"/>
  <c r="Z1870" i="1" a="1"/>
  <c r="Z1870" i="1"/>
  <c r="Z1869" i="1" a="1"/>
  <c r="Z1869" i="1"/>
  <c r="Z1868" i="1" a="1"/>
  <c r="Z1868" i="1"/>
  <c r="Z1867" i="1" a="1"/>
  <c r="Z1867" i="1"/>
  <c r="Z1866" i="1" a="1"/>
  <c r="Z1866" i="1"/>
  <c r="Z1865" i="1" a="1"/>
  <c r="Z1865" i="1"/>
  <c r="Z1864" i="1" a="1"/>
  <c r="Z1864" i="1"/>
  <c r="Z1863" i="1" a="1"/>
  <c r="Z1863" i="1"/>
  <c r="Z1862" i="1" a="1"/>
  <c r="Z1862" i="1"/>
  <c r="Z1861" i="1" a="1"/>
  <c r="Z1861" i="1"/>
  <c r="Z1860" i="1" a="1"/>
  <c r="Z1860" i="1"/>
  <c r="Z1859" i="1" a="1"/>
  <c r="Z1859" i="1"/>
  <c r="Z1858" i="1" a="1"/>
  <c r="Z1858" i="1"/>
  <c r="Z1857" i="1" a="1"/>
  <c r="Z1857" i="1"/>
  <c r="Z1856" i="1" a="1"/>
  <c r="Z1856" i="1"/>
  <c r="Z1855" i="1" a="1"/>
  <c r="Z1855" i="1"/>
  <c r="Z1854" i="1" a="1"/>
  <c r="Z1854" i="1"/>
  <c r="Z1853" i="1" a="1"/>
  <c r="Z1853" i="1"/>
  <c r="Z1852" i="1" a="1"/>
  <c r="Z1852" i="1"/>
  <c r="Z1851" i="1" a="1"/>
  <c r="Z1851" i="1"/>
  <c r="Z1850" i="1" a="1"/>
  <c r="Z1850" i="1"/>
  <c r="Z1849" i="1" a="1"/>
  <c r="Z1849" i="1"/>
  <c r="Z1848" i="1" a="1"/>
  <c r="Z1848" i="1"/>
  <c r="Z1847" i="1" a="1"/>
  <c r="Z1847" i="1"/>
  <c r="Z1846" i="1" a="1"/>
  <c r="Z1846" i="1"/>
  <c r="Z1845" i="1" a="1"/>
  <c r="Z1845" i="1"/>
  <c r="Z1844" i="1" a="1"/>
  <c r="Z1844" i="1"/>
  <c r="Z1843" i="1" a="1"/>
  <c r="Z1843" i="1"/>
  <c r="Z1842" i="1" a="1"/>
  <c r="Z1842" i="1"/>
  <c r="Z1841" i="1" a="1"/>
  <c r="Z1841" i="1"/>
  <c r="Z1840" i="1" a="1"/>
  <c r="Z1840" i="1"/>
  <c r="Z1839" i="1" a="1"/>
  <c r="Z1839" i="1"/>
  <c r="Z1838" i="1" a="1"/>
  <c r="Z1838" i="1"/>
  <c r="Z1837" i="1" a="1"/>
  <c r="Z1837" i="1"/>
  <c r="Z1836" i="1" a="1"/>
  <c r="Z1836" i="1"/>
  <c r="Z1835" i="1" a="1"/>
  <c r="Z1835" i="1"/>
  <c r="Z1834" i="1" a="1"/>
  <c r="Z1834" i="1"/>
  <c r="Z1833" i="1" a="1"/>
  <c r="Z1833" i="1"/>
  <c r="Z1832" i="1" a="1"/>
  <c r="Z1832" i="1"/>
  <c r="Z1831" i="1" a="1"/>
  <c r="Z1831" i="1"/>
  <c r="Z1830" i="1" a="1"/>
  <c r="Z1830" i="1"/>
  <c r="Z1829" i="1" a="1"/>
  <c r="Z1829" i="1"/>
  <c r="Z1828" i="1" a="1"/>
  <c r="Z1828" i="1"/>
  <c r="Z1827" i="1" a="1"/>
  <c r="Z1827" i="1"/>
  <c r="Z1826" i="1" a="1"/>
  <c r="Z1826" i="1"/>
  <c r="Z1825" i="1" a="1"/>
  <c r="Z1825" i="1"/>
  <c r="Z1824" i="1" a="1"/>
  <c r="Z1824" i="1"/>
  <c r="Z1823" i="1" a="1"/>
  <c r="Z1823" i="1"/>
  <c r="Z1822" i="1" a="1"/>
  <c r="Z1822" i="1"/>
  <c r="Z1821" i="1" a="1"/>
  <c r="Z1821" i="1"/>
  <c r="Z1820" i="1" a="1"/>
  <c r="Z1820" i="1"/>
  <c r="Z1819" i="1" a="1"/>
  <c r="Z1819" i="1"/>
  <c r="Z1818" i="1" a="1"/>
  <c r="Z1818" i="1"/>
  <c r="Z1817" i="1" a="1"/>
  <c r="Z1817" i="1"/>
  <c r="Z1816" i="1" a="1"/>
  <c r="Z1816" i="1"/>
  <c r="Z1815" i="1" a="1"/>
  <c r="Z1815" i="1"/>
  <c r="Z1814" i="1" a="1"/>
  <c r="Z1814" i="1"/>
  <c r="Z1813" i="1" a="1"/>
  <c r="Z1813" i="1"/>
  <c r="Z1812" i="1" a="1"/>
  <c r="Z1812" i="1"/>
  <c r="Z1811" i="1" a="1"/>
  <c r="Z1811" i="1"/>
  <c r="Z1810" i="1" a="1"/>
  <c r="Z1810" i="1"/>
  <c r="Z1809" i="1" a="1"/>
  <c r="Z1809" i="1"/>
  <c r="Z1808" i="1" a="1"/>
  <c r="Z1808" i="1"/>
  <c r="Z1807" i="1" a="1"/>
  <c r="Z1807" i="1"/>
  <c r="Z1806" i="1" a="1"/>
  <c r="Z1806" i="1"/>
  <c r="Z1805" i="1" a="1"/>
  <c r="Z1805" i="1"/>
  <c r="Z1804" i="1" a="1"/>
  <c r="Z1804" i="1"/>
  <c r="Z1803" i="1" a="1"/>
  <c r="Z1803" i="1"/>
  <c r="Z1802" i="1" a="1"/>
  <c r="Z1802" i="1"/>
  <c r="Z1801" i="1" a="1"/>
  <c r="Z1801" i="1"/>
  <c r="Z1800" i="1" a="1"/>
  <c r="Z1800" i="1"/>
  <c r="Z1799" i="1" a="1"/>
  <c r="Z1799" i="1"/>
  <c r="Z1798" i="1" a="1"/>
  <c r="Z1798" i="1"/>
  <c r="Z1797" i="1" a="1"/>
  <c r="Z1797" i="1"/>
  <c r="Z1796" i="1" a="1"/>
  <c r="Z1796" i="1"/>
  <c r="Z1795" i="1" a="1"/>
  <c r="Z1795" i="1"/>
  <c r="Z1794" i="1" a="1"/>
  <c r="Z1794" i="1"/>
  <c r="Z1793" i="1" a="1"/>
  <c r="Z1793" i="1"/>
  <c r="Z1792" i="1" a="1"/>
  <c r="Z1792" i="1"/>
  <c r="Z1791" i="1" a="1"/>
  <c r="Z1791" i="1"/>
  <c r="Z1790" i="1" a="1"/>
  <c r="Z1790" i="1"/>
  <c r="Z1789" i="1" a="1"/>
  <c r="Z1789" i="1"/>
  <c r="Z1788" i="1" a="1"/>
  <c r="Z1788" i="1"/>
  <c r="Z1787" i="1" a="1"/>
  <c r="Z1787" i="1"/>
  <c r="Z1786" i="1" a="1"/>
  <c r="Z1786" i="1"/>
  <c r="Z1785" i="1" a="1"/>
  <c r="Z1785" i="1"/>
  <c r="Z1784" i="1" a="1"/>
  <c r="Z1784" i="1"/>
  <c r="Z1783" i="1" a="1"/>
  <c r="Z1783" i="1"/>
  <c r="Z1782" i="1" a="1"/>
  <c r="Z1782" i="1"/>
  <c r="Z1781" i="1" a="1"/>
  <c r="Z1781" i="1"/>
  <c r="Z1780" i="1" a="1"/>
  <c r="Z1780" i="1"/>
  <c r="Z1779" i="1" a="1"/>
  <c r="Z1779" i="1"/>
  <c r="Z1778" i="1" a="1"/>
  <c r="Z1778" i="1"/>
  <c r="Z1777" i="1" a="1"/>
  <c r="Z1777" i="1"/>
  <c r="Z1776" i="1" a="1"/>
  <c r="Z1776" i="1"/>
  <c r="Z1775" i="1" a="1"/>
  <c r="Z1775" i="1"/>
  <c r="Z1774" i="1" a="1"/>
  <c r="Z1774" i="1"/>
  <c r="Z1773" i="1" a="1"/>
  <c r="Z1773" i="1"/>
  <c r="Z1772" i="1" a="1"/>
  <c r="Z1772" i="1"/>
  <c r="Z1771" i="1" a="1"/>
  <c r="Z1771" i="1"/>
  <c r="Z1770" i="1" a="1"/>
  <c r="Z1770" i="1"/>
  <c r="Z1769" i="1" a="1"/>
  <c r="Z1769" i="1"/>
  <c r="Z1768" i="1" a="1"/>
  <c r="Z1768" i="1"/>
  <c r="Z1767" i="1" a="1"/>
  <c r="Z1767" i="1"/>
  <c r="Z1766" i="1" a="1"/>
  <c r="Z1766" i="1"/>
  <c r="Z1765" i="1" a="1"/>
  <c r="Z1765" i="1"/>
  <c r="Z1764" i="1" a="1"/>
  <c r="Z1764" i="1"/>
  <c r="Z1763" i="1" a="1"/>
  <c r="Z1763" i="1"/>
  <c r="Z1762" i="1" a="1"/>
  <c r="Z1762" i="1"/>
  <c r="Z1761" i="1" a="1"/>
  <c r="Z1761" i="1"/>
  <c r="Z1760" i="1" a="1"/>
  <c r="Z1760" i="1"/>
  <c r="Z1759" i="1" a="1"/>
  <c r="Z1759" i="1"/>
  <c r="Z1758" i="1" a="1"/>
  <c r="Z1758" i="1"/>
  <c r="Z1757" i="1" a="1"/>
  <c r="Z1757" i="1"/>
  <c r="Z1756" i="1" a="1"/>
  <c r="Z1756" i="1"/>
  <c r="Z1755" i="1" a="1"/>
  <c r="Z1755" i="1"/>
  <c r="Z1754" i="1" a="1"/>
  <c r="Z1754" i="1"/>
  <c r="Z1753" i="1" a="1"/>
  <c r="Z1753" i="1"/>
  <c r="Z1752" i="1" a="1"/>
  <c r="Z1752" i="1"/>
  <c r="Z1751" i="1" a="1"/>
  <c r="Z1751" i="1"/>
  <c r="Z1750" i="1" a="1"/>
  <c r="Z1750" i="1"/>
  <c r="Z1749" i="1" a="1"/>
  <c r="Z1749" i="1"/>
  <c r="Z1748" i="1" a="1"/>
  <c r="Z1748" i="1"/>
  <c r="Z1747" i="1" a="1"/>
  <c r="Z1747" i="1"/>
  <c r="Z1746" i="1" a="1"/>
  <c r="Z1746" i="1"/>
  <c r="Z1745" i="1" a="1"/>
  <c r="Z1745" i="1"/>
  <c r="Z1744" i="1" a="1"/>
  <c r="Z1744" i="1"/>
  <c r="Z1743" i="1" a="1"/>
  <c r="Z1743" i="1"/>
  <c r="Z1742" i="1" a="1"/>
  <c r="Z1742" i="1"/>
  <c r="Z1741" i="1" a="1"/>
  <c r="Z1741" i="1"/>
  <c r="Z1740" i="1" a="1"/>
  <c r="Z1740" i="1"/>
  <c r="Z1739" i="1" a="1"/>
  <c r="Z1739" i="1"/>
  <c r="Z1738" i="1" a="1"/>
  <c r="Z1738" i="1"/>
  <c r="Z1737" i="1" a="1"/>
  <c r="Z1737" i="1"/>
  <c r="Z1736" i="1" a="1"/>
  <c r="Z1736" i="1"/>
  <c r="Z1735" i="1" a="1"/>
  <c r="Z1735" i="1"/>
  <c r="Z1734" i="1" a="1"/>
  <c r="Z1734" i="1"/>
  <c r="Z1733" i="1" a="1"/>
  <c r="Z1733" i="1"/>
  <c r="Z1732" i="1" a="1"/>
  <c r="Z1732" i="1"/>
  <c r="Z1731" i="1" a="1"/>
  <c r="Z1731" i="1"/>
  <c r="Z1730" i="1" a="1"/>
  <c r="Z1730" i="1"/>
  <c r="Z1729" i="1" a="1"/>
  <c r="Z1729" i="1"/>
  <c r="Z1728" i="1" a="1"/>
  <c r="Z1728" i="1"/>
  <c r="Z1727" i="1" a="1"/>
  <c r="Z1727" i="1"/>
  <c r="Z1726" i="1" a="1"/>
  <c r="Z1726" i="1"/>
  <c r="Z1725" i="1" a="1"/>
  <c r="Z1725" i="1"/>
  <c r="Z1724" i="1" a="1"/>
  <c r="Z1724" i="1"/>
  <c r="Z1723" i="1" a="1"/>
  <c r="Z1723" i="1"/>
  <c r="Z1722" i="1" a="1"/>
  <c r="Z1722" i="1"/>
  <c r="Z1721" i="1" a="1"/>
  <c r="Z1721" i="1"/>
  <c r="Z1720" i="1" a="1"/>
  <c r="Z1720" i="1"/>
  <c r="Z1719" i="1" a="1"/>
  <c r="Z1719" i="1"/>
  <c r="Z1718" i="1" a="1"/>
  <c r="Z1718" i="1"/>
  <c r="Z1717" i="1" a="1"/>
  <c r="Z1717" i="1"/>
  <c r="Z1716" i="1" a="1"/>
  <c r="Z1716" i="1"/>
  <c r="Z1715" i="1" a="1"/>
  <c r="Z1715" i="1"/>
  <c r="Z1714" i="1" a="1"/>
  <c r="Z1714" i="1"/>
  <c r="Z1713" i="1" a="1"/>
  <c r="Z1713" i="1"/>
  <c r="Z1712" i="1" a="1"/>
  <c r="Z1712" i="1"/>
  <c r="Z1711" i="1" a="1"/>
  <c r="Z1711" i="1"/>
  <c r="Z1710" i="1" a="1"/>
  <c r="Z1710" i="1"/>
  <c r="Z1709" i="1" a="1"/>
  <c r="Z1709" i="1"/>
  <c r="Z1708" i="1" a="1"/>
  <c r="Z1708" i="1"/>
  <c r="Z1707" i="1" a="1"/>
  <c r="Z1707" i="1"/>
  <c r="Z1706" i="1" a="1"/>
  <c r="Z1706" i="1"/>
  <c r="Z1705" i="1" a="1"/>
  <c r="Z1705" i="1"/>
  <c r="Z1704" i="1" a="1"/>
  <c r="Z1704" i="1"/>
  <c r="Z1703" i="1" a="1"/>
  <c r="Z1703" i="1"/>
  <c r="Z1702" i="1" a="1"/>
  <c r="Z1702" i="1"/>
  <c r="Z1701" i="1" a="1"/>
  <c r="Z1701" i="1"/>
  <c r="Z1700" i="1" a="1"/>
  <c r="Z1700" i="1"/>
  <c r="Z1699" i="1" a="1"/>
  <c r="Z1699" i="1"/>
  <c r="Z1698" i="1" a="1"/>
  <c r="Z1698" i="1"/>
  <c r="Z1697" i="1" a="1"/>
  <c r="Z1697" i="1"/>
  <c r="Z1696" i="1" a="1"/>
  <c r="Z1696" i="1"/>
  <c r="Z1695" i="1" a="1"/>
  <c r="Z1695" i="1"/>
  <c r="Z1694" i="1" a="1"/>
  <c r="Z1694" i="1"/>
  <c r="Z1693" i="1" a="1"/>
  <c r="Z1693" i="1"/>
  <c r="Z1692" i="1" a="1"/>
  <c r="Z1692" i="1"/>
  <c r="Z1691" i="1" a="1"/>
  <c r="Z1691" i="1"/>
  <c r="Z1690" i="1" a="1"/>
  <c r="Z1690" i="1"/>
  <c r="Z1689" i="1" a="1"/>
  <c r="Z1689" i="1"/>
  <c r="Z1688" i="1" a="1"/>
  <c r="Z1688" i="1"/>
  <c r="Z1687" i="1" a="1"/>
  <c r="Z1687" i="1"/>
  <c r="Z1686" i="1" a="1"/>
  <c r="Z1686" i="1"/>
  <c r="Z1685" i="1" a="1"/>
  <c r="Z1685" i="1"/>
  <c r="Z1684" i="1" a="1"/>
  <c r="Z1684" i="1"/>
  <c r="Z1683" i="1" a="1"/>
  <c r="Z1683" i="1"/>
  <c r="Z1682" i="1" a="1"/>
  <c r="Z1682" i="1"/>
  <c r="Z1681" i="1" a="1"/>
  <c r="Z1681" i="1"/>
  <c r="Z1680" i="1" a="1"/>
  <c r="Z1680" i="1"/>
  <c r="Z1679" i="1" a="1"/>
  <c r="Z1679" i="1"/>
  <c r="Z1678" i="1" a="1"/>
  <c r="Z1678" i="1"/>
  <c r="Z1677" i="1" a="1"/>
  <c r="Z1677" i="1"/>
  <c r="Z1676" i="1" a="1"/>
  <c r="Z1676" i="1"/>
  <c r="Z1675" i="1" a="1"/>
  <c r="Z1675" i="1"/>
  <c r="Z1674" i="1" a="1"/>
  <c r="Z1674" i="1"/>
  <c r="Z1673" i="1" a="1"/>
  <c r="Z1673" i="1"/>
  <c r="Z1672" i="1" a="1"/>
  <c r="Z1672" i="1"/>
  <c r="Z1671" i="1" a="1"/>
  <c r="Z1671" i="1"/>
  <c r="Z1670" i="1" a="1"/>
  <c r="Z1670" i="1"/>
  <c r="Z1669" i="1" a="1"/>
  <c r="Z1669" i="1"/>
  <c r="Z1668" i="1" a="1"/>
  <c r="Z1668" i="1"/>
  <c r="Z1667" i="1" a="1"/>
  <c r="Z1667" i="1"/>
  <c r="Z1666" i="1" a="1"/>
  <c r="Z1666" i="1"/>
  <c r="Z1665" i="1" a="1"/>
  <c r="Z1665" i="1"/>
  <c r="Z1664" i="1" a="1"/>
  <c r="Z1664" i="1"/>
  <c r="Z1663" i="1" a="1"/>
  <c r="Z1663" i="1"/>
  <c r="Z1662" i="1" a="1"/>
  <c r="Z1662" i="1"/>
  <c r="Z1661" i="1" a="1"/>
  <c r="Z1661" i="1"/>
  <c r="Z1660" i="1" a="1"/>
  <c r="Z1660" i="1"/>
  <c r="Z1659" i="1" a="1"/>
  <c r="Z1659" i="1"/>
  <c r="Z1658" i="1" a="1"/>
  <c r="Z1658" i="1"/>
  <c r="Z1657" i="1" a="1"/>
  <c r="Z1657" i="1"/>
  <c r="Z1656" i="1" a="1"/>
  <c r="Z1656" i="1"/>
  <c r="Z1655" i="1" a="1"/>
  <c r="Z1655" i="1"/>
  <c r="Z1654" i="1" a="1"/>
  <c r="Z1654" i="1"/>
  <c r="Z1653" i="1" a="1"/>
  <c r="Z1653" i="1"/>
  <c r="Z1652" i="1"/>
  <c r="Z1651" i="1"/>
  <c r="Z1650" i="1"/>
  <c r="Z1649" i="1"/>
  <c r="Z1648" i="1" a="1"/>
  <c r="Z1648" i="1"/>
  <c r="Z1647" i="1"/>
  <c r="Z1646" i="1"/>
  <c r="Z1645" i="1"/>
  <c r="Z1644" i="1"/>
  <c r="Z1643" i="1"/>
  <c r="Z1642" i="1"/>
  <c r="Z1641" i="1"/>
  <c r="Z1640" i="1"/>
  <c r="Z1639" i="1"/>
  <c r="Z1638" i="1"/>
  <c r="Z1637" i="1"/>
  <c r="Z1636" i="1"/>
  <c r="Z1635" i="1"/>
  <c r="Z1634" i="1"/>
  <c r="Z1633" i="1"/>
  <c r="Z1632" i="1"/>
  <c r="Z1631" i="1"/>
  <c r="Z1630" i="1"/>
  <c r="Z1629" i="1" a="1"/>
  <c r="Z1629" i="1"/>
  <c r="Z1628" i="1"/>
  <c r="Z1627" i="1"/>
  <c r="Z1626" i="1"/>
  <c r="Z1625" i="1"/>
  <c r="Z1624" i="1"/>
  <c r="Z1623" i="1"/>
  <c r="AC2001" i="1" a="1"/>
  <c r="AC2001" i="1"/>
  <c r="AC2000" i="1" a="1"/>
  <c r="AC2000" i="1"/>
  <c r="AC1999" i="1" a="1"/>
  <c r="AC1999" i="1"/>
  <c r="AC1998" i="1" a="1"/>
  <c r="AC1998" i="1"/>
  <c r="AC1997" i="1" a="1"/>
  <c r="AC1997" i="1"/>
  <c r="AC1996" i="1" a="1"/>
  <c r="AC1996" i="1"/>
  <c r="AC1995" i="1" a="1"/>
  <c r="AC1995" i="1"/>
  <c r="AC1994" i="1" a="1"/>
  <c r="AC1994" i="1"/>
  <c r="AC1993" i="1" a="1"/>
  <c r="AC1993" i="1"/>
  <c r="AC1992" i="1" a="1"/>
  <c r="AC1992" i="1"/>
  <c r="AC1991" i="1" a="1"/>
  <c r="AC1991" i="1"/>
  <c r="AC1990" i="1" a="1"/>
  <c r="AC1990" i="1"/>
  <c r="AC1989" i="1" a="1"/>
  <c r="AC1989" i="1"/>
  <c r="AC1988" i="1" a="1"/>
  <c r="AC1988" i="1"/>
  <c r="AC1987" i="1" a="1"/>
  <c r="AC1987" i="1"/>
  <c r="AC1986" i="1" a="1"/>
  <c r="AC1986" i="1"/>
  <c r="AC1985" i="1" a="1"/>
  <c r="AC1985" i="1"/>
  <c r="AC1984" i="1" a="1"/>
  <c r="AC1984" i="1"/>
  <c r="AC1983" i="1" a="1"/>
  <c r="AC1983" i="1"/>
  <c r="AC1982" i="1" a="1"/>
  <c r="AC1982" i="1"/>
  <c r="AC1981" i="1" a="1"/>
  <c r="AC1981" i="1"/>
  <c r="AC1980" i="1" a="1"/>
  <c r="AC1980" i="1"/>
  <c r="AC1979" i="1" a="1"/>
  <c r="AC1979" i="1"/>
  <c r="AC1978" i="1" a="1"/>
  <c r="AC1978" i="1"/>
  <c r="AC1977" i="1" a="1"/>
  <c r="AC1977" i="1"/>
  <c r="AC1976" i="1" a="1"/>
  <c r="AC1976" i="1"/>
  <c r="AC1975" i="1" a="1"/>
  <c r="AC1975" i="1"/>
  <c r="AC1974" i="1" a="1"/>
  <c r="AC1974" i="1"/>
  <c r="AC1973" i="1" a="1"/>
  <c r="AC1973" i="1"/>
  <c r="AC1972" i="1" a="1"/>
  <c r="AC1972" i="1"/>
  <c r="AC1971" i="1" a="1"/>
  <c r="AC1971" i="1"/>
  <c r="AC1970" i="1" a="1"/>
  <c r="AC1970" i="1"/>
  <c r="AC1969" i="1" a="1"/>
  <c r="AC1969" i="1"/>
  <c r="AC1968" i="1" a="1"/>
  <c r="AC1968" i="1"/>
  <c r="AC1967" i="1" a="1"/>
  <c r="AC1967" i="1"/>
  <c r="AC1966" i="1" a="1"/>
  <c r="AC1966" i="1"/>
  <c r="AC1965" i="1" a="1"/>
  <c r="AC1965" i="1"/>
  <c r="AC1964" i="1" a="1"/>
  <c r="AC1964" i="1"/>
  <c r="AC1963" i="1" a="1"/>
  <c r="AC1963" i="1"/>
  <c r="AC1962" i="1" a="1"/>
  <c r="AC1962" i="1"/>
  <c r="AC1961" i="1" a="1"/>
  <c r="AC1961" i="1"/>
  <c r="AC1960" i="1" a="1"/>
  <c r="AC1960" i="1"/>
  <c r="AC1959" i="1" a="1"/>
  <c r="AC1959" i="1"/>
  <c r="AC1958" i="1" a="1"/>
  <c r="AC1958" i="1"/>
  <c r="AC1957" i="1" a="1"/>
  <c r="AC1957" i="1"/>
  <c r="AC1956" i="1" a="1"/>
  <c r="AC1956" i="1"/>
  <c r="AC1955" i="1" a="1"/>
  <c r="AC1955" i="1"/>
  <c r="AC1954" i="1" a="1"/>
  <c r="AC1954" i="1"/>
  <c r="AC1953" i="1" a="1"/>
  <c r="AC1953" i="1"/>
  <c r="AC1952" i="1" a="1"/>
  <c r="AC1952" i="1"/>
  <c r="AC1951" i="1" a="1"/>
  <c r="AC1951" i="1"/>
  <c r="AC1950" i="1" a="1"/>
  <c r="AC1950" i="1"/>
  <c r="AC1949" i="1" a="1"/>
  <c r="AC1949" i="1"/>
  <c r="AC1948" i="1" a="1"/>
  <c r="AC1948" i="1"/>
  <c r="AC1947" i="1" a="1"/>
  <c r="AC1947" i="1"/>
  <c r="AC1946" i="1" a="1"/>
  <c r="AC1946" i="1"/>
  <c r="AC1945" i="1" a="1"/>
  <c r="AC1945" i="1"/>
  <c r="AC1944" i="1" a="1"/>
  <c r="AC1944" i="1"/>
  <c r="AC1943" i="1" a="1"/>
  <c r="AC1943" i="1"/>
  <c r="AC1942" i="1" a="1"/>
  <c r="AC1942" i="1"/>
  <c r="AC1941" i="1" a="1"/>
  <c r="AC1941" i="1"/>
  <c r="AC1940" i="1" a="1"/>
  <c r="AC1940" i="1"/>
  <c r="AC1939" i="1" a="1"/>
  <c r="AC1939" i="1"/>
  <c r="AC1938" i="1" a="1"/>
  <c r="AC1938" i="1"/>
  <c r="AC1937" i="1" a="1"/>
  <c r="AC1937" i="1"/>
  <c r="AC1936" i="1" a="1"/>
  <c r="AC1936" i="1"/>
  <c r="AC1935" i="1" a="1"/>
  <c r="AC1935" i="1"/>
  <c r="AC1934" i="1" a="1"/>
  <c r="AC1934" i="1"/>
  <c r="AC1933" i="1" a="1"/>
  <c r="AC1933" i="1"/>
  <c r="AC1932" i="1" a="1"/>
  <c r="AC1932" i="1"/>
  <c r="AC1931" i="1" a="1"/>
  <c r="AC1931" i="1"/>
  <c r="AC1930" i="1" a="1"/>
  <c r="AC1930" i="1"/>
  <c r="AC1929" i="1" a="1"/>
  <c r="AC1929" i="1"/>
  <c r="AC1928" i="1" a="1"/>
  <c r="AC1928" i="1"/>
  <c r="AC1927" i="1" a="1"/>
  <c r="AC1927" i="1"/>
  <c r="AC1926" i="1" a="1"/>
  <c r="AC1926" i="1"/>
  <c r="AC1925" i="1" a="1"/>
  <c r="AC1925" i="1"/>
  <c r="AC1924" i="1" a="1"/>
  <c r="AC1924" i="1"/>
  <c r="AC1923" i="1" a="1"/>
  <c r="AC1923" i="1"/>
  <c r="AC1922" i="1" a="1"/>
  <c r="AC1922" i="1"/>
  <c r="AC1921" i="1" a="1"/>
  <c r="AC1921" i="1"/>
  <c r="AC1920" i="1" a="1"/>
  <c r="AC1920" i="1"/>
  <c r="AC1919" i="1" a="1"/>
  <c r="AC1919" i="1"/>
  <c r="AC1918" i="1" a="1"/>
  <c r="AC1918" i="1"/>
  <c r="AC1917" i="1" a="1"/>
  <c r="AC1917" i="1"/>
  <c r="AC1916" i="1" a="1"/>
  <c r="AC1916" i="1"/>
  <c r="AC1915" i="1" a="1"/>
  <c r="AC1915" i="1"/>
  <c r="AC1914" i="1" a="1"/>
  <c r="AC1914" i="1"/>
  <c r="AC1913" i="1" a="1"/>
  <c r="AC1913" i="1"/>
  <c r="AC1912" i="1" a="1"/>
  <c r="AC1912" i="1"/>
  <c r="AC1911" i="1" a="1"/>
  <c r="AC1911" i="1"/>
  <c r="AC1910" i="1" a="1"/>
  <c r="AC1910" i="1"/>
  <c r="AC1909" i="1" a="1"/>
  <c r="AC1909" i="1"/>
  <c r="AC1908" i="1" a="1"/>
  <c r="AC1908" i="1"/>
  <c r="AC1907" i="1" a="1"/>
  <c r="AC1907" i="1"/>
  <c r="AC1906" i="1" a="1"/>
  <c r="AC1906" i="1"/>
  <c r="AC1905" i="1" a="1"/>
  <c r="AC1905" i="1"/>
  <c r="AC1904" i="1" a="1"/>
  <c r="AC1904" i="1"/>
  <c r="AC1903" i="1" a="1"/>
  <c r="AC1903" i="1"/>
  <c r="AC1902" i="1" a="1"/>
  <c r="AC1902" i="1"/>
  <c r="AC1901" i="1" a="1"/>
  <c r="AC1901" i="1"/>
  <c r="AC1900" i="1" a="1"/>
  <c r="AC1900" i="1"/>
  <c r="AC1899" i="1" a="1"/>
  <c r="AC1899" i="1"/>
  <c r="AC1898" i="1" a="1"/>
  <c r="AC1898" i="1"/>
  <c r="AC1897" i="1" a="1"/>
  <c r="AC1897" i="1"/>
  <c r="AC1896" i="1" a="1"/>
  <c r="AC1896" i="1"/>
  <c r="AC1895" i="1" a="1"/>
  <c r="AC1895" i="1"/>
  <c r="AC1894" i="1" a="1"/>
  <c r="AC1894" i="1"/>
  <c r="AC1893" i="1" a="1"/>
  <c r="AC1893" i="1"/>
  <c r="AC1892" i="1" a="1"/>
  <c r="AC1892" i="1"/>
  <c r="AC1891" i="1" a="1"/>
  <c r="AC1891" i="1"/>
  <c r="AC1890" i="1" a="1"/>
  <c r="AC1890" i="1"/>
  <c r="AC1889" i="1" a="1"/>
  <c r="AC1889" i="1"/>
  <c r="AC1888" i="1" a="1"/>
  <c r="AC1888" i="1"/>
  <c r="AC1887" i="1" a="1"/>
  <c r="AC1887" i="1"/>
  <c r="AC1886" i="1" a="1"/>
  <c r="AC1886" i="1"/>
  <c r="AC1885" i="1" a="1"/>
  <c r="AC1885" i="1"/>
  <c r="AC1884" i="1" a="1"/>
  <c r="AC1884" i="1"/>
  <c r="AC1883" i="1" a="1"/>
  <c r="AC1883" i="1"/>
  <c r="AC1882" i="1" a="1"/>
  <c r="AC1882" i="1"/>
  <c r="AC1881" i="1" a="1"/>
  <c r="AC1881" i="1"/>
  <c r="AC1880" i="1" a="1"/>
  <c r="AC1880" i="1"/>
  <c r="AC1879" i="1" a="1"/>
  <c r="AC1879" i="1"/>
  <c r="AC1878" i="1" a="1"/>
  <c r="AC1878" i="1"/>
  <c r="AC1877" i="1" a="1"/>
  <c r="AC1877" i="1"/>
  <c r="AC1876" i="1" a="1"/>
  <c r="AC1876" i="1"/>
  <c r="AC1875" i="1" a="1"/>
  <c r="AC1875" i="1"/>
  <c r="AC1874" i="1" a="1"/>
  <c r="AC1874" i="1"/>
  <c r="AC1873" i="1" a="1"/>
  <c r="AC1873" i="1"/>
  <c r="AC1872" i="1" a="1"/>
  <c r="AC1872" i="1"/>
  <c r="AC1871" i="1" a="1"/>
  <c r="AC1871" i="1"/>
  <c r="AC1870" i="1" a="1"/>
  <c r="AC1870" i="1"/>
  <c r="AC1869" i="1" a="1"/>
  <c r="AC1869" i="1"/>
  <c r="AC1868" i="1" a="1"/>
  <c r="AC1868" i="1"/>
  <c r="AC1867" i="1" a="1"/>
  <c r="AC1867" i="1"/>
  <c r="AC1866" i="1" a="1"/>
  <c r="AC1866" i="1"/>
  <c r="AC1865" i="1" a="1"/>
  <c r="AC1865" i="1"/>
  <c r="AC1864" i="1" a="1"/>
  <c r="AC1864" i="1"/>
  <c r="AC1863" i="1" a="1"/>
  <c r="AC1863" i="1"/>
  <c r="AC1862" i="1" a="1"/>
  <c r="AC1862" i="1"/>
  <c r="AC1861" i="1" a="1"/>
  <c r="AC1861" i="1"/>
  <c r="AC1860" i="1" a="1"/>
  <c r="AC1860" i="1"/>
  <c r="AC1859" i="1" a="1"/>
  <c r="AC1859" i="1"/>
  <c r="AC1858" i="1" a="1"/>
  <c r="AC1858" i="1"/>
  <c r="AC1857" i="1" a="1"/>
  <c r="AC1857" i="1"/>
  <c r="AC1856" i="1" a="1"/>
  <c r="AC1856" i="1"/>
  <c r="AC1855" i="1" a="1"/>
  <c r="AC1855" i="1"/>
  <c r="AC1854" i="1" a="1"/>
  <c r="AC1854" i="1"/>
  <c r="AC1853" i="1" a="1"/>
  <c r="AC1853" i="1"/>
  <c r="AC1852" i="1" a="1"/>
  <c r="AC1852" i="1"/>
  <c r="AC1851" i="1" a="1"/>
  <c r="AC1851" i="1"/>
  <c r="AC1850" i="1" a="1"/>
  <c r="AC1850" i="1"/>
  <c r="AC1849" i="1" a="1"/>
  <c r="AC1849" i="1"/>
  <c r="AC1848" i="1" a="1"/>
  <c r="AC1848" i="1"/>
  <c r="AC1847" i="1" a="1"/>
  <c r="AC1847" i="1"/>
  <c r="AC1846" i="1" a="1"/>
  <c r="AC1846" i="1"/>
  <c r="AC1845" i="1" a="1"/>
  <c r="AC1845" i="1"/>
  <c r="AC1844" i="1" a="1"/>
  <c r="AC1844" i="1"/>
  <c r="AC1843" i="1" a="1"/>
  <c r="AC1843" i="1"/>
  <c r="AC1842" i="1" a="1"/>
  <c r="AC1842" i="1"/>
  <c r="AC1841" i="1" a="1"/>
  <c r="AC1841" i="1"/>
  <c r="AC1840" i="1" a="1"/>
  <c r="AC1840" i="1"/>
  <c r="AC1839" i="1" a="1"/>
  <c r="AC1839" i="1"/>
  <c r="AC1838" i="1" a="1"/>
  <c r="AC1838" i="1"/>
  <c r="AC1837" i="1" a="1"/>
  <c r="AC1837" i="1"/>
  <c r="AC1836" i="1" a="1"/>
  <c r="AC1836" i="1"/>
  <c r="AC1835" i="1" a="1"/>
  <c r="AC1835" i="1"/>
  <c r="AC1834" i="1" a="1"/>
  <c r="AC1834" i="1"/>
  <c r="AC1833" i="1" a="1"/>
  <c r="AC1833" i="1"/>
  <c r="AC1832" i="1" a="1"/>
  <c r="AC1832" i="1"/>
  <c r="AC1831" i="1" a="1"/>
  <c r="AC1831" i="1"/>
  <c r="AC1830" i="1" a="1"/>
  <c r="AC1830" i="1"/>
  <c r="AC1829" i="1" a="1"/>
  <c r="AC1829" i="1"/>
  <c r="AC1828" i="1" a="1"/>
  <c r="AC1828" i="1"/>
  <c r="AC1827" i="1" a="1"/>
  <c r="AC1827" i="1"/>
  <c r="AC1826" i="1" a="1"/>
  <c r="AC1826" i="1"/>
  <c r="AC1825" i="1" a="1"/>
  <c r="AC1825" i="1"/>
  <c r="AC1824" i="1" a="1"/>
  <c r="AC1824" i="1"/>
  <c r="AC1823" i="1" a="1"/>
  <c r="AC1823" i="1"/>
  <c r="AC1822" i="1" a="1"/>
  <c r="AC1822" i="1"/>
  <c r="AC1821" i="1" a="1"/>
  <c r="AC1821" i="1"/>
  <c r="AC1820" i="1" a="1"/>
  <c r="AC1820" i="1"/>
  <c r="AC1819" i="1" a="1"/>
  <c r="AC1819" i="1"/>
  <c r="AC1818" i="1" a="1"/>
  <c r="AC1818" i="1"/>
  <c r="AC1817" i="1" a="1"/>
  <c r="AC1817" i="1"/>
  <c r="AC1816" i="1" a="1"/>
  <c r="AC1816" i="1"/>
  <c r="AC1815" i="1" a="1"/>
  <c r="AC1815" i="1"/>
  <c r="AC1814" i="1" a="1"/>
  <c r="AC1814" i="1"/>
  <c r="AC1813" i="1" a="1"/>
  <c r="AC1813" i="1"/>
  <c r="AC1812" i="1" a="1"/>
  <c r="AC1812" i="1"/>
  <c r="AC1811" i="1" a="1"/>
  <c r="AC1811" i="1"/>
  <c r="AC1810" i="1" a="1"/>
  <c r="AC1810" i="1"/>
  <c r="AC1809" i="1" a="1"/>
  <c r="AC1809" i="1"/>
  <c r="AC1808" i="1" a="1"/>
  <c r="AC1808" i="1"/>
  <c r="AC1807" i="1" a="1"/>
  <c r="AC1807" i="1"/>
  <c r="AC1806" i="1" a="1"/>
  <c r="AC1806" i="1"/>
  <c r="AC1805" i="1" a="1"/>
  <c r="AC1805" i="1"/>
  <c r="AC1804" i="1" a="1"/>
  <c r="AC1804" i="1"/>
  <c r="AC1803" i="1" a="1"/>
  <c r="AC1803" i="1"/>
  <c r="AC1802" i="1" a="1"/>
  <c r="AC1802" i="1"/>
  <c r="AC1801" i="1" a="1"/>
  <c r="AC1801" i="1"/>
  <c r="AC1800" i="1" a="1"/>
  <c r="AC1800" i="1"/>
  <c r="AC1799" i="1" a="1"/>
  <c r="AC1799" i="1"/>
  <c r="AC1798" i="1" a="1"/>
  <c r="AC1798" i="1"/>
  <c r="AC1797" i="1" a="1"/>
  <c r="AC1797" i="1"/>
  <c r="AC1796" i="1" a="1"/>
  <c r="AC1796" i="1"/>
  <c r="AC1795" i="1" a="1"/>
  <c r="AC1795" i="1"/>
  <c r="AC1794" i="1" a="1"/>
  <c r="AC1794" i="1"/>
  <c r="AC1793" i="1" a="1"/>
  <c r="AC1793" i="1"/>
  <c r="AC1792" i="1" a="1"/>
  <c r="AC1792" i="1"/>
  <c r="AC1791" i="1" a="1"/>
  <c r="AC1791" i="1"/>
  <c r="AC1790" i="1" a="1"/>
  <c r="AC1790" i="1"/>
  <c r="AC1789" i="1" a="1"/>
  <c r="AC1789" i="1"/>
  <c r="AC1788" i="1" a="1"/>
  <c r="AC1788" i="1"/>
  <c r="AC1787" i="1" a="1"/>
  <c r="AC1787" i="1"/>
  <c r="AC1786" i="1" a="1"/>
  <c r="AC1786" i="1"/>
  <c r="AC1785" i="1" a="1"/>
  <c r="AC1785" i="1"/>
  <c r="AC1784" i="1" a="1"/>
  <c r="AC1784" i="1"/>
  <c r="AC1783" i="1" a="1"/>
  <c r="AC1783" i="1"/>
  <c r="AC1782" i="1" a="1"/>
  <c r="AC1782" i="1"/>
  <c r="AC1781" i="1" a="1"/>
  <c r="AC1781" i="1"/>
  <c r="AC1780" i="1" a="1"/>
  <c r="AC1780" i="1"/>
  <c r="AC1779" i="1" a="1"/>
  <c r="AC1779" i="1"/>
  <c r="AC1778" i="1" a="1"/>
  <c r="AC1778" i="1"/>
  <c r="AC1777" i="1" a="1"/>
  <c r="AC1777" i="1"/>
  <c r="AC1776" i="1" a="1"/>
  <c r="AC1776" i="1"/>
  <c r="AC1775" i="1" a="1"/>
  <c r="AC1775" i="1"/>
  <c r="AC1774" i="1" a="1"/>
  <c r="AC1774" i="1"/>
  <c r="AC1773" i="1" a="1"/>
  <c r="AC1773" i="1"/>
  <c r="AC1772" i="1" a="1"/>
  <c r="AC1772" i="1"/>
  <c r="AC1771" i="1" a="1"/>
  <c r="AC1771" i="1"/>
  <c r="AC1770" i="1" a="1"/>
  <c r="AC1770" i="1"/>
  <c r="AC1769" i="1" a="1"/>
  <c r="AC1769" i="1"/>
  <c r="AC1768" i="1" a="1"/>
  <c r="AC1768" i="1"/>
  <c r="AC1767" i="1" a="1"/>
  <c r="AC1767" i="1"/>
  <c r="AC1766" i="1" a="1"/>
  <c r="AC1766" i="1"/>
  <c r="AC1765" i="1" a="1"/>
  <c r="AC1765" i="1"/>
  <c r="AC1764" i="1" a="1"/>
  <c r="AC1764" i="1"/>
  <c r="AC1763" i="1" a="1"/>
  <c r="AC1763" i="1"/>
  <c r="AC1762" i="1" a="1"/>
  <c r="AC1762" i="1"/>
  <c r="AC1761" i="1" a="1"/>
  <c r="AC1761" i="1"/>
  <c r="AC1760" i="1" a="1"/>
  <c r="AC1760" i="1"/>
  <c r="AC1759" i="1" a="1"/>
  <c r="AC1759" i="1"/>
  <c r="AC1758" i="1" a="1"/>
  <c r="AC1758" i="1"/>
  <c r="AC1757" i="1" a="1"/>
  <c r="AC1757" i="1"/>
  <c r="AC1756" i="1" a="1"/>
  <c r="AC1756" i="1"/>
  <c r="AC1755" i="1" a="1"/>
  <c r="AC1755" i="1"/>
  <c r="AC1754" i="1" a="1"/>
  <c r="AC1754" i="1"/>
  <c r="AC1753" i="1" a="1"/>
  <c r="AC1753" i="1"/>
  <c r="AC1752" i="1" a="1"/>
  <c r="AC1752" i="1"/>
  <c r="AC1751" i="1" a="1"/>
  <c r="AC1751" i="1"/>
  <c r="AC1750" i="1" a="1"/>
  <c r="AC1750" i="1"/>
  <c r="AC1749" i="1" a="1"/>
  <c r="AC1749" i="1"/>
  <c r="AC1748" i="1" a="1"/>
  <c r="AC1748" i="1"/>
  <c r="AC1747" i="1" a="1"/>
  <c r="AC1747" i="1"/>
  <c r="AC1746" i="1" a="1"/>
  <c r="AC1746" i="1"/>
  <c r="AC1745" i="1" a="1"/>
  <c r="AC1745" i="1"/>
  <c r="AC1744" i="1" a="1"/>
  <c r="AC1744" i="1"/>
  <c r="AC1743" i="1" a="1"/>
  <c r="AC1743" i="1"/>
  <c r="AC1742" i="1" a="1"/>
  <c r="AC1742" i="1"/>
  <c r="AC1741" i="1" a="1"/>
  <c r="AC1741" i="1"/>
  <c r="AC1740" i="1" a="1"/>
  <c r="AC1740" i="1"/>
  <c r="AC1739" i="1" a="1"/>
  <c r="AC1739" i="1"/>
  <c r="AC1738" i="1" a="1"/>
  <c r="AC1738" i="1"/>
  <c r="AC1737" i="1" a="1"/>
  <c r="AC1737" i="1"/>
  <c r="AC1736" i="1" a="1"/>
  <c r="AC1736" i="1"/>
  <c r="AC1735" i="1" a="1"/>
  <c r="AC1735" i="1"/>
  <c r="AC1734" i="1" a="1"/>
  <c r="AC1734" i="1"/>
  <c r="AC1733" i="1" a="1"/>
  <c r="AC1733" i="1"/>
  <c r="AC1732" i="1" a="1"/>
  <c r="AC1732" i="1"/>
  <c r="AC1731" i="1" a="1"/>
  <c r="AC1731" i="1"/>
  <c r="AC1730" i="1" a="1"/>
  <c r="AC1730" i="1"/>
  <c r="AC1729" i="1" a="1"/>
  <c r="AC1729" i="1"/>
  <c r="AC1728" i="1" a="1"/>
  <c r="AC1728" i="1"/>
  <c r="AC1727" i="1" a="1"/>
  <c r="AC1727" i="1"/>
  <c r="AC1726" i="1" a="1"/>
  <c r="AC1726" i="1"/>
  <c r="AC1725" i="1" a="1"/>
  <c r="AC1725" i="1"/>
  <c r="AC1724" i="1" a="1"/>
  <c r="AC1724" i="1"/>
  <c r="AC1723" i="1" a="1"/>
  <c r="AC1723" i="1"/>
  <c r="AC1722" i="1" a="1"/>
  <c r="AC1722" i="1"/>
  <c r="AC1721" i="1" a="1"/>
  <c r="AC1721" i="1"/>
  <c r="AC1720" i="1" a="1"/>
  <c r="AC1720" i="1"/>
  <c r="AC1719" i="1" a="1"/>
  <c r="AC1719" i="1"/>
  <c r="AC1718" i="1" a="1"/>
  <c r="AC1718" i="1"/>
  <c r="AC1717" i="1" a="1"/>
  <c r="AC1717" i="1"/>
  <c r="AC1716" i="1" a="1"/>
  <c r="AC1716" i="1"/>
  <c r="AC1715" i="1" a="1"/>
  <c r="AC1715" i="1"/>
  <c r="AC1714" i="1" a="1"/>
  <c r="AC1714" i="1"/>
  <c r="AC1713" i="1" a="1"/>
  <c r="AC1713" i="1"/>
  <c r="AC1712" i="1" a="1"/>
  <c r="AC1712" i="1"/>
  <c r="AC1711" i="1" a="1"/>
  <c r="AC1711" i="1"/>
  <c r="AC1710" i="1" a="1"/>
  <c r="AC1710" i="1"/>
  <c r="AC1709" i="1" a="1"/>
  <c r="AC1709" i="1"/>
  <c r="AC1708" i="1" a="1"/>
  <c r="AC1708" i="1"/>
  <c r="AC1707" i="1" a="1"/>
  <c r="AC1707" i="1"/>
  <c r="AC1706" i="1" a="1"/>
  <c r="AC1706" i="1"/>
  <c r="AC1705" i="1" a="1"/>
  <c r="AC1705" i="1"/>
  <c r="AC1704" i="1" a="1"/>
  <c r="AC1704" i="1"/>
  <c r="AC1703" i="1" a="1"/>
  <c r="AC1703" i="1"/>
  <c r="AC1702" i="1" a="1"/>
  <c r="AC1702" i="1"/>
  <c r="AC1701" i="1" a="1"/>
  <c r="AC1701" i="1"/>
  <c r="AC1700" i="1" a="1"/>
  <c r="AC1700" i="1"/>
  <c r="AC1699" i="1" a="1"/>
  <c r="AC1699" i="1"/>
  <c r="AC1698" i="1" a="1"/>
  <c r="AC1698" i="1"/>
  <c r="AC1697" i="1" a="1"/>
  <c r="AC1697" i="1"/>
  <c r="AC1696" i="1" a="1"/>
  <c r="AC1696" i="1"/>
  <c r="AC1695" i="1" a="1"/>
  <c r="AC1695" i="1"/>
  <c r="AC1694" i="1" a="1"/>
  <c r="AC1694" i="1"/>
  <c r="AC1693" i="1" a="1"/>
  <c r="AC1693" i="1"/>
  <c r="AC1692" i="1" a="1"/>
  <c r="AC1692" i="1"/>
  <c r="AC1691" i="1" a="1"/>
  <c r="AC1691" i="1"/>
  <c r="AC1690" i="1" a="1"/>
  <c r="AC1690" i="1"/>
  <c r="AC1689" i="1" a="1"/>
  <c r="AC1689" i="1"/>
  <c r="AC1688" i="1" a="1"/>
  <c r="AC1688" i="1"/>
  <c r="AC1687" i="1" a="1"/>
  <c r="AC1687" i="1"/>
  <c r="AC1686" i="1" a="1"/>
  <c r="AC1686" i="1"/>
  <c r="AC1685" i="1" a="1"/>
  <c r="AC1685" i="1"/>
  <c r="AC1684" i="1" a="1"/>
  <c r="AC1684" i="1"/>
  <c r="AC1683" i="1" a="1"/>
  <c r="AC1683" i="1"/>
  <c r="AC1682" i="1" a="1"/>
  <c r="AC1682" i="1"/>
  <c r="AC1681" i="1" a="1"/>
  <c r="AC1681" i="1"/>
  <c r="AC1680" i="1" a="1"/>
  <c r="AC1680" i="1"/>
  <c r="AC1679" i="1" a="1"/>
  <c r="AC1679" i="1"/>
  <c r="AC1678" i="1" a="1"/>
  <c r="AC1678" i="1"/>
  <c r="AC1677" i="1" a="1"/>
  <c r="AC1677" i="1"/>
  <c r="AC1676" i="1" a="1"/>
  <c r="AC1676" i="1"/>
  <c r="AC1675" i="1" a="1"/>
  <c r="AC1675" i="1"/>
  <c r="AC1674" i="1" a="1"/>
  <c r="AC1674" i="1"/>
  <c r="AC1673" i="1" a="1"/>
  <c r="AC1673" i="1"/>
  <c r="AC1672" i="1" a="1"/>
  <c r="AC1672" i="1"/>
  <c r="AC1671" i="1" a="1"/>
  <c r="AC1671" i="1"/>
  <c r="AC1670" i="1" a="1"/>
  <c r="AC1670" i="1"/>
  <c r="AC1669" i="1" a="1"/>
  <c r="AC1669" i="1"/>
  <c r="AC1668" i="1" a="1"/>
  <c r="AC1668" i="1"/>
  <c r="AC1667" i="1" a="1"/>
  <c r="AC1667" i="1"/>
  <c r="AC1666" i="1" a="1"/>
  <c r="AC1666" i="1"/>
  <c r="AC1665" i="1" a="1"/>
  <c r="AC1665" i="1"/>
  <c r="AC1664" i="1" a="1"/>
  <c r="AC1664" i="1"/>
  <c r="AC1663" i="1" a="1"/>
  <c r="AC1663" i="1"/>
  <c r="AC1662" i="1" a="1"/>
  <c r="AC1662" i="1"/>
  <c r="AC1661" i="1" a="1"/>
  <c r="AC1661" i="1"/>
  <c r="AC1660" i="1" a="1"/>
  <c r="AC1660" i="1"/>
  <c r="AC1659" i="1" a="1"/>
  <c r="AC1659" i="1"/>
  <c r="AC1658" i="1" a="1"/>
  <c r="AC1658" i="1"/>
  <c r="AC1657" i="1" a="1"/>
  <c r="AC1657" i="1"/>
  <c r="AC1656" i="1" a="1"/>
  <c r="AC1656" i="1"/>
  <c r="AC1655" i="1" a="1"/>
  <c r="AC1655" i="1"/>
  <c r="AC1654" i="1" a="1"/>
  <c r="AC1654" i="1"/>
  <c r="AC1653" i="1" a="1"/>
  <c r="AC1653" i="1"/>
  <c r="AC1652" i="1"/>
  <c r="AC1651" i="1"/>
  <c r="AC1650" i="1"/>
  <c r="AC1649" i="1"/>
  <c r="AC1648" i="1"/>
  <c r="AC1647" i="1"/>
  <c r="AC1646" i="1"/>
  <c r="AC1645" i="1"/>
  <c r="AC1644" i="1"/>
  <c r="AC1643" i="1"/>
  <c r="AC1642" i="1"/>
  <c r="AC1641" i="1"/>
  <c r="AC1640" i="1"/>
  <c r="AC1639" i="1"/>
  <c r="AC1638" i="1"/>
  <c r="AC1637" i="1"/>
  <c r="AC1636" i="1"/>
  <c r="AC1635" i="1"/>
  <c r="AC1634" i="1"/>
  <c r="AC1633" i="1"/>
  <c r="AC1632" i="1"/>
  <c r="AC1631" i="1"/>
  <c r="AC1630" i="1"/>
  <c r="AC1629" i="1"/>
  <c r="AC1628" i="1"/>
  <c r="AC1627" i="1"/>
  <c r="AC1626" i="1"/>
  <c r="AC1625" i="1"/>
  <c r="AC1624" i="1"/>
  <c r="AC1623" i="1"/>
  <c r="AD999" i="1" a="1"/>
  <c r="AD999" i="1"/>
  <c r="AD998" i="1" a="1"/>
  <c r="AD998" i="1"/>
  <c r="AD997" i="1" a="1"/>
  <c r="AD997" i="1"/>
  <c r="AD996" i="1" a="1"/>
  <c r="AD996" i="1"/>
  <c r="AD995" i="1" a="1"/>
  <c r="AD995" i="1"/>
  <c r="AD994" i="1" a="1"/>
  <c r="AD994" i="1"/>
  <c r="AD993" i="1" a="1"/>
  <c r="AD993" i="1"/>
  <c r="AD992" i="1" a="1"/>
  <c r="AD992" i="1"/>
  <c r="AD991" i="1" a="1"/>
  <c r="AD991" i="1"/>
  <c r="AD990" i="1" a="1"/>
  <c r="AD990" i="1"/>
  <c r="AD99" i="1" a="1"/>
  <c r="AD99" i="1"/>
  <c r="AD989" i="1" a="1"/>
  <c r="AD989" i="1"/>
  <c r="AD988" i="1" a="1"/>
  <c r="AD988" i="1"/>
  <c r="AD987" i="1" a="1"/>
  <c r="AD987" i="1"/>
  <c r="AD986" i="1" a="1"/>
  <c r="AD986" i="1"/>
  <c r="AD985" i="1" a="1"/>
  <c r="AD985" i="1"/>
  <c r="AD984" i="1" a="1"/>
  <c r="AD984" i="1"/>
  <c r="AD983" i="1" a="1"/>
  <c r="AD983" i="1"/>
  <c r="AD982" i="1" a="1"/>
  <c r="AD982" i="1"/>
  <c r="AD981" i="1" a="1"/>
  <c r="AD981" i="1"/>
  <c r="AD980" i="1" a="1"/>
  <c r="AD980" i="1"/>
  <c r="AD98" i="1" a="1"/>
  <c r="AD98" i="1"/>
  <c r="AD979" i="1" a="1"/>
  <c r="AD979" i="1"/>
  <c r="AD978" i="1" a="1"/>
  <c r="AD978" i="1"/>
  <c r="AD977" i="1" a="1"/>
  <c r="AD977" i="1"/>
  <c r="AD976" i="1" a="1"/>
  <c r="AD976" i="1"/>
  <c r="AD975" i="1" a="1"/>
  <c r="AD975" i="1"/>
  <c r="AD974" i="1" a="1"/>
  <c r="AD974" i="1"/>
  <c r="AD973" i="1" a="1"/>
  <c r="AD973" i="1"/>
  <c r="AD972" i="1" a="1"/>
  <c r="AD972" i="1"/>
  <c r="AD971" i="1" a="1"/>
  <c r="AD971" i="1"/>
  <c r="AD970" i="1" a="1"/>
  <c r="AD970" i="1"/>
  <c r="AD97" i="1" a="1"/>
  <c r="AD97" i="1"/>
  <c r="AD969" i="1" a="1"/>
  <c r="AD969" i="1"/>
  <c r="AD968" i="1" a="1"/>
  <c r="AD968" i="1"/>
  <c r="AD967" i="1" a="1"/>
  <c r="AD967" i="1"/>
  <c r="AD966" i="1" a="1"/>
  <c r="AD966" i="1"/>
  <c r="AD965" i="1" a="1"/>
  <c r="AD965" i="1"/>
  <c r="AD964" i="1" a="1"/>
  <c r="AD964" i="1"/>
  <c r="AD963" i="1" a="1"/>
  <c r="AD963" i="1"/>
  <c r="AD962" i="1" a="1"/>
  <c r="AD962" i="1"/>
  <c r="AD961" i="1" a="1"/>
  <c r="AD961" i="1"/>
  <c r="AD960" i="1" a="1"/>
  <c r="AD960" i="1"/>
  <c r="AD96" i="1" a="1"/>
  <c r="AD96" i="1"/>
  <c r="AD959" i="1" a="1"/>
  <c r="AD959" i="1"/>
  <c r="AD958" i="1" a="1"/>
  <c r="AD958" i="1"/>
  <c r="AD957" i="1" a="1"/>
  <c r="AD957" i="1"/>
  <c r="AD956" i="1" a="1"/>
  <c r="AD956" i="1"/>
  <c r="AD955" i="1" a="1"/>
  <c r="AD955" i="1"/>
  <c r="AD954" i="1" a="1"/>
  <c r="AD954" i="1"/>
  <c r="AD953" i="1" a="1"/>
  <c r="AD953" i="1"/>
  <c r="AD952" i="1" a="1"/>
  <c r="AD952" i="1"/>
  <c r="AD951" i="1" a="1"/>
  <c r="AD951" i="1"/>
  <c r="AD950" i="1" a="1"/>
  <c r="AD950" i="1"/>
  <c r="AD95" i="1" a="1"/>
  <c r="AD95" i="1"/>
  <c r="AD949" i="1" a="1"/>
  <c r="AD949" i="1"/>
  <c r="AD948" i="1" a="1"/>
  <c r="AD948" i="1"/>
  <c r="AD947" i="1" a="1"/>
  <c r="AD947" i="1"/>
  <c r="AD946" i="1" a="1"/>
  <c r="AD946" i="1"/>
  <c r="AD945" i="1" a="1"/>
  <c r="AD945" i="1"/>
  <c r="AD944" i="1" a="1"/>
  <c r="AD944" i="1"/>
  <c r="AD943" i="1" a="1"/>
  <c r="AD943" i="1"/>
  <c r="AD942" i="1" a="1"/>
  <c r="AD942" i="1"/>
  <c r="AD941" i="1" a="1"/>
  <c r="AD941" i="1"/>
  <c r="AD940" i="1" a="1"/>
  <c r="AD940" i="1"/>
  <c r="AD94" i="1" a="1"/>
  <c r="AD94" i="1"/>
  <c r="AD939" i="1" a="1"/>
  <c r="AD939" i="1"/>
  <c r="AD938" i="1" a="1"/>
  <c r="AD938" i="1"/>
  <c r="AD937" i="1" a="1"/>
  <c r="AD937" i="1"/>
  <c r="AD936" i="1" a="1"/>
  <c r="AD936" i="1"/>
  <c r="AD935" i="1" a="1"/>
  <c r="AD935" i="1"/>
  <c r="AD934" i="1" a="1"/>
  <c r="AD934" i="1"/>
  <c r="AD933" i="1" a="1"/>
  <c r="AD933" i="1"/>
  <c r="AD932" i="1" a="1"/>
  <c r="AD932" i="1"/>
  <c r="AD931" i="1" a="1"/>
  <c r="AD931" i="1"/>
  <c r="AD930" i="1" a="1"/>
  <c r="AD930" i="1"/>
  <c r="AD93" i="1" a="1"/>
  <c r="AD93" i="1"/>
  <c r="AD929" i="1" a="1"/>
  <c r="AD929" i="1"/>
  <c r="AD928" i="1" a="1"/>
  <c r="AD928" i="1"/>
  <c r="AD927" i="1" a="1"/>
  <c r="AD927" i="1"/>
  <c r="AD926" i="1" a="1"/>
  <c r="AD926" i="1"/>
  <c r="AD925" i="1" a="1"/>
  <c r="AD925" i="1"/>
  <c r="AD924" i="1" a="1"/>
  <c r="AD924" i="1"/>
  <c r="AD923" i="1" a="1"/>
  <c r="AD923" i="1"/>
  <c r="AD922" i="1" a="1"/>
  <c r="AD922" i="1"/>
  <c r="AD921" i="1" a="1"/>
  <c r="AD921" i="1"/>
  <c r="AD920" i="1" a="1"/>
  <c r="AD920" i="1"/>
  <c r="AD92" i="1" a="1"/>
  <c r="AD92" i="1"/>
  <c r="AD919" i="1" a="1"/>
  <c r="AD919" i="1"/>
  <c r="AD918" i="1" a="1"/>
  <c r="AD918" i="1"/>
  <c r="AD917" i="1" a="1"/>
  <c r="AD917" i="1"/>
  <c r="AD916" i="1" a="1"/>
  <c r="AD916" i="1"/>
  <c r="AD915" i="1" a="1"/>
  <c r="AD915" i="1"/>
  <c r="AD914" i="1" a="1"/>
  <c r="AD914" i="1"/>
  <c r="AD913" i="1" a="1"/>
  <c r="AD913" i="1"/>
  <c r="AD912" i="1" a="1"/>
  <c r="AD912" i="1"/>
  <c r="AD911" i="1" a="1"/>
  <c r="AD911" i="1"/>
  <c r="AD910" i="1" a="1"/>
  <c r="AD910" i="1"/>
  <c r="AD91" i="1" a="1"/>
  <c r="AD91" i="1"/>
  <c r="AD909" i="1" a="1"/>
  <c r="AD909" i="1"/>
  <c r="AD908" i="1" a="1"/>
  <c r="AD908" i="1"/>
  <c r="AD907" i="1" a="1"/>
  <c r="AD907" i="1"/>
  <c r="AD906" i="1" a="1"/>
  <c r="AD906" i="1"/>
  <c r="AD905" i="1" a="1"/>
  <c r="AD905" i="1"/>
  <c r="AD904" i="1" a="1"/>
  <c r="AD904" i="1"/>
  <c r="AD903" i="1" a="1"/>
  <c r="AD903" i="1"/>
  <c r="AD902" i="1" a="1"/>
  <c r="AD902" i="1"/>
  <c r="AD901" i="1" a="1"/>
  <c r="AD901" i="1"/>
  <c r="AD900" i="1" a="1"/>
  <c r="AD900" i="1"/>
  <c r="AD90" i="1" a="1"/>
  <c r="AD90" i="1"/>
  <c r="AD9" i="1" a="1"/>
  <c r="AD9" i="1"/>
  <c r="AD899" i="1" a="1"/>
  <c r="AD899" i="1"/>
  <c r="AD898" i="1" a="1"/>
  <c r="AD898" i="1"/>
  <c r="AD897" i="1" a="1"/>
  <c r="AD897" i="1"/>
  <c r="AD896" i="1" a="1"/>
  <c r="AD896" i="1"/>
  <c r="AD895" i="1" a="1"/>
  <c r="AD895" i="1"/>
  <c r="AD894" i="1" a="1"/>
  <c r="AD894" i="1"/>
  <c r="AD893" i="1" a="1"/>
  <c r="AD893" i="1"/>
  <c r="AD892" i="1" a="1"/>
  <c r="AD892" i="1"/>
  <c r="AD891" i="1" a="1"/>
  <c r="AD891" i="1"/>
  <c r="AD890" i="1" a="1"/>
  <c r="AD890" i="1"/>
  <c r="AD89" i="1" a="1"/>
  <c r="AD89" i="1"/>
  <c r="AD889" i="1" a="1"/>
  <c r="AD889" i="1"/>
  <c r="AD888" i="1" a="1"/>
  <c r="AD888" i="1"/>
  <c r="AD887" i="1" a="1"/>
  <c r="AD887" i="1"/>
  <c r="AD886" i="1" a="1"/>
  <c r="AD886" i="1"/>
  <c r="AD885" i="1" a="1"/>
  <c r="AD885" i="1"/>
  <c r="AD884" i="1" a="1"/>
  <c r="AD884" i="1"/>
  <c r="AD883" i="1" a="1"/>
  <c r="AD883" i="1"/>
  <c r="AD882" i="1" a="1"/>
  <c r="AD882" i="1"/>
  <c r="AD881" i="1" a="1"/>
  <c r="AD881" i="1"/>
  <c r="AD880" i="1" a="1"/>
  <c r="AD880" i="1"/>
  <c r="AD88" i="1" a="1"/>
  <c r="AD88" i="1"/>
  <c r="AD879" i="1" a="1"/>
  <c r="AD879" i="1"/>
  <c r="AD878" i="1" a="1"/>
  <c r="AD878" i="1"/>
  <c r="AD877" i="1" a="1"/>
  <c r="AD877" i="1"/>
  <c r="AD876" i="1" a="1"/>
  <c r="AD876" i="1"/>
  <c r="AD875" i="1" a="1"/>
  <c r="AD875" i="1"/>
  <c r="AD874" i="1" a="1"/>
  <c r="AD874" i="1"/>
  <c r="AD873" i="1" a="1"/>
  <c r="AD873" i="1"/>
  <c r="AD872" i="1" a="1"/>
  <c r="AD872" i="1"/>
  <c r="AD871" i="1" a="1"/>
  <c r="AD871" i="1"/>
  <c r="AD870" i="1" a="1"/>
  <c r="AD870" i="1"/>
  <c r="AD87" i="1" a="1"/>
  <c r="AD87" i="1"/>
  <c r="AD869" i="1" a="1"/>
  <c r="AD869" i="1"/>
  <c r="AD868" i="1" a="1"/>
  <c r="AD868" i="1"/>
  <c r="AD867" i="1" a="1"/>
  <c r="AD867" i="1"/>
  <c r="AD866" i="1" a="1"/>
  <c r="AD866" i="1"/>
  <c r="AD865" i="1" a="1"/>
  <c r="AD865" i="1"/>
  <c r="AD864" i="1" a="1"/>
  <c r="AD864" i="1"/>
  <c r="AD863" i="1" a="1"/>
  <c r="AD863" i="1"/>
  <c r="AD862" i="1" a="1"/>
  <c r="AD862" i="1"/>
  <c r="AD861" i="1" a="1"/>
  <c r="AD861" i="1"/>
  <c r="AD860" i="1" a="1"/>
  <c r="AD860" i="1"/>
  <c r="AD86" i="1" a="1"/>
  <c r="AD86" i="1"/>
  <c r="AD859" i="1" a="1"/>
  <c r="AD859" i="1"/>
  <c r="AD858" i="1" a="1"/>
  <c r="AD858" i="1"/>
  <c r="AD857" i="1" a="1"/>
  <c r="AD857" i="1"/>
  <c r="AD856" i="1" a="1"/>
  <c r="AD856" i="1"/>
  <c r="AD855" i="1" a="1"/>
  <c r="AD855" i="1"/>
  <c r="AD854" i="1" a="1"/>
  <c r="AD854" i="1"/>
  <c r="AD853" i="1" a="1"/>
  <c r="AD853" i="1"/>
  <c r="AD852" i="1" a="1"/>
  <c r="AD852" i="1"/>
  <c r="AD851" i="1" a="1"/>
  <c r="AD851" i="1"/>
  <c r="AD850" i="1" a="1"/>
  <c r="AD850" i="1"/>
  <c r="AD85" i="1" a="1"/>
  <c r="AD85" i="1"/>
  <c r="AD849" i="1" a="1"/>
  <c r="AD849" i="1"/>
  <c r="AD848" i="1" a="1"/>
  <c r="AD848" i="1"/>
  <c r="AD847" i="1" a="1"/>
  <c r="AD847" i="1"/>
  <c r="AD846" i="1" a="1"/>
  <c r="AD846" i="1"/>
  <c r="AD845" i="1" a="1"/>
  <c r="AD845" i="1"/>
  <c r="AD844" i="1" a="1"/>
  <c r="AD844" i="1"/>
  <c r="AD843" i="1" a="1"/>
  <c r="AD843" i="1"/>
  <c r="AD842" i="1" a="1"/>
  <c r="AD842" i="1"/>
  <c r="AD841" i="1" a="1"/>
  <c r="AD841" i="1"/>
  <c r="AD840" i="1" a="1"/>
  <c r="AD840" i="1"/>
  <c r="AD84" i="1" a="1"/>
  <c r="AD84" i="1"/>
  <c r="AD839" i="1" a="1"/>
  <c r="AD839" i="1"/>
  <c r="AD838" i="1" a="1"/>
  <c r="AD838" i="1"/>
  <c r="AD837" i="1" a="1"/>
  <c r="AD837" i="1"/>
  <c r="AD836" i="1" a="1"/>
  <c r="AD836" i="1"/>
  <c r="AD835" i="1" a="1"/>
  <c r="AD835" i="1"/>
  <c r="AD834" i="1" a="1"/>
  <c r="AD834" i="1"/>
  <c r="AD833" i="1" a="1"/>
  <c r="AD833" i="1"/>
  <c r="AD832" i="1" a="1"/>
  <c r="AD832" i="1"/>
  <c r="AD831" i="1" a="1"/>
  <c r="AD831" i="1"/>
  <c r="AD830" i="1" a="1"/>
  <c r="AD830" i="1"/>
  <c r="AD83" i="1" a="1"/>
  <c r="AD83" i="1"/>
  <c r="AD829" i="1" a="1"/>
  <c r="AD829" i="1"/>
  <c r="AD828" i="1" a="1"/>
  <c r="AD828" i="1"/>
  <c r="AD827" i="1" a="1"/>
  <c r="AD827" i="1"/>
  <c r="AD826" i="1" a="1"/>
  <c r="AD826" i="1"/>
  <c r="AD825" i="1" a="1"/>
  <c r="AD825" i="1"/>
  <c r="AD824" i="1" a="1"/>
  <c r="AD824" i="1"/>
  <c r="AD823" i="1" a="1"/>
  <c r="AD823" i="1"/>
  <c r="AD822" i="1" a="1"/>
  <c r="AD822" i="1"/>
  <c r="AD821" i="1" a="1"/>
  <c r="AD821" i="1"/>
  <c r="AD820" i="1" a="1"/>
  <c r="AD820" i="1"/>
  <c r="AD82" i="1" a="1"/>
  <c r="AD82" i="1"/>
  <c r="AD819" i="1" a="1"/>
  <c r="AD819" i="1"/>
  <c r="AD818" i="1" a="1"/>
  <c r="AD818" i="1"/>
  <c r="AD817" i="1" a="1"/>
  <c r="AD817" i="1"/>
  <c r="AD816" i="1" a="1"/>
  <c r="AD816" i="1"/>
  <c r="AD815" i="1" a="1"/>
  <c r="AD815" i="1"/>
  <c r="AD814" i="1" a="1"/>
  <c r="AD814" i="1"/>
  <c r="AD813" i="1" a="1"/>
  <c r="AD813" i="1"/>
  <c r="AD812" i="1" a="1"/>
  <c r="AD812" i="1"/>
  <c r="AD811" i="1" a="1"/>
  <c r="AD811" i="1"/>
  <c r="AD810" i="1" a="1"/>
  <c r="AD810" i="1"/>
  <c r="AD81" i="1" a="1"/>
  <c r="AD81" i="1"/>
  <c r="AD809" i="1" a="1"/>
  <c r="AD809" i="1"/>
  <c r="AD808" i="1" a="1"/>
  <c r="AD808" i="1"/>
  <c r="AD807" i="1" a="1"/>
  <c r="AD807" i="1"/>
  <c r="AD806" i="1" a="1"/>
  <c r="AD806" i="1"/>
  <c r="AD805" i="1" a="1"/>
  <c r="AD805" i="1"/>
  <c r="AD804" i="1" a="1"/>
  <c r="AD804" i="1"/>
  <c r="AD803" i="1" a="1"/>
  <c r="AD803" i="1"/>
  <c r="AD802" i="1" a="1"/>
  <c r="AD802" i="1"/>
  <c r="AD801" i="1" a="1"/>
  <c r="AD801" i="1"/>
  <c r="AD800" i="1" a="1"/>
  <c r="AD800" i="1"/>
  <c r="AD80" i="1" a="1"/>
  <c r="AD80" i="1"/>
  <c r="AD8" i="1" a="1"/>
  <c r="AD8" i="1"/>
  <c r="AD799" i="1" a="1"/>
  <c r="AD799" i="1"/>
  <c r="AD798" i="1" a="1"/>
  <c r="AD798" i="1"/>
  <c r="AD797" i="1" a="1"/>
  <c r="AD797" i="1"/>
  <c r="AD796" i="1" a="1"/>
  <c r="AD796" i="1"/>
  <c r="AD795" i="1" a="1"/>
  <c r="AD795" i="1"/>
  <c r="AD794" i="1" a="1"/>
  <c r="AD794" i="1"/>
  <c r="AD793" i="1" a="1"/>
  <c r="AD793" i="1"/>
  <c r="AD792" i="1" a="1"/>
  <c r="AD792" i="1"/>
  <c r="AD791" i="1" a="1"/>
  <c r="AD791" i="1"/>
  <c r="AD790" i="1" a="1"/>
  <c r="AD790" i="1"/>
  <c r="AD79" i="1" a="1"/>
  <c r="AD79" i="1"/>
  <c r="AD789" i="1" a="1"/>
  <c r="AD789" i="1"/>
  <c r="AD788" i="1" a="1"/>
  <c r="AD788" i="1"/>
  <c r="AD787" i="1" a="1"/>
  <c r="AD787" i="1"/>
  <c r="AD786" i="1" a="1"/>
  <c r="AD786" i="1"/>
  <c r="AD785" i="1" a="1"/>
  <c r="AD785" i="1"/>
  <c r="AD784" i="1" a="1"/>
  <c r="AD784" i="1"/>
  <c r="AD783" i="1" a="1"/>
  <c r="AD783" i="1"/>
  <c r="AD782" i="1" a="1"/>
  <c r="AD782" i="1"/>
  <c r="AD781" i="1" a="1"/>
  <c r="AD781" i="1"/>
  <c r="AD780" i="1" a="1"/>
  <c r="AD780" i="1"/>
  <c r="AD78" i="1" a="1"/>
  <c r="AD78" i="1"/>
  <c r="AD779" i="1" a="1"/>
  <c r="AD779" i="1"/>
  <c r="AD778" i="1" a="1"/>
  <c r="AD778" i="1"/>
  <c r="AD777" i="1" a="1"/>
  <c r="AD777" i="1"/>
  <c r="AD776" i="1" a="1"/>
  <c r="AD776" i="1"/>
  <c r="AD775" i="1" a="1"/>
  <c r="AD775" i="1"/>
  <c r="AD774" i="1" a="1"/>
  <c r="AD774" i="1"/>
  <c r="AD773" i="1" a="1"/>
  <c r="AD773" i="1"/>
  <c r="AD772" i="1" a="1"/>
  <c r="AD772" i="1"/>
  <c r="AD771" i="1" a="1"/>
  <c r="AD771" i="1"/>
  <c r="AD770" i="1" a="1"/>
  <c r="AD770" i="1"/>
  <c r="AD77" i="1" a="1"/>
  <c r="AD77" i="1"/>
  <c r="AD769" i="1" a="1"/>
  <c r="AD769" i="1"/>
  <c r="AD768" i="1" a="1"/>
  <c r="AD768" i="1"/>
  <c r="AD767" i="1" a="1"/>
  <c r="AD767" i="1"/>
  <c r="AD766" i="1" a="1"/>
  <c r="AD766" i="1"/>
  <c r="AD765" i="1" a="1"/>
  <c r="AD765" i="1"/>
  <c r="AD764" i="1" a="1"/>
  <c r="AD764" i="1"/>
  <c r="AD763" i="1" a="1"/>
  <c r="AD763" i="1"/>
  <c r="AD762" i="1" a="1"/>
  <c r="AD762" i="1"/>
  <c r="AD761" i="1" a="1"/>
  <c r="AD761" i="1"/>
  <c r="AD760" i="1" a="1"/>
  <c r="AD760" i="1"/>
  <c r="AD76" i="1" a="1"/>
  <c r="AD76" i="1"/>
  <c r="AD759" i="1" a="1"/>
  <c r="AD759" i="1"/>
  <c r="AD758" i="1" a="1"/>
  <c r="AD758" i="1"/>
  <c r="AD757" i="1" a="1"/>
  <c r="AD757" i="1"/>
  <c r="AD756" i="1" a="1"/>
  <c r="AD756" i="1"/>
  <c r="AD755" i="1" a="1"/>
  <c r="AD755" i="1"/>
  <c r="AD754" i="1" a="1"/>
  <c r="AD754" i="1"/>
  <c r="AD753" i="1" a="1"/>
  <c r="AD753" i="1"/>
  <c r="AD752" i="1" a="1"/>
  <c r="AD752" i="1"/>
  <c r="AD751" i="1" a="1"/>
  <c r="AD751" i="1"/>
  <c r="AD750" i="1" a="1"/>
  <c r="AD750" i="1"/>
  <c r="AD75" i="1" a="1"/>
  <c r="AD75" i="1"/>
  <c r="AD749" i="1" a="1"/>
  <c r="AD749" i="1"/>
  <c r="AD748" i="1" a="1"/>
  <c r="AD748" i="1"/>
  <c r="AD747" i="1" a="1"/>
  <c r="AD747" i="1"/>
  <c r="AD746" i="1" a="1"/>
  <c r="AD746" i="1"/>
  <c r="AD745" i="1" a="1"/>
  <c r="AD745" i="1"/>
  <c r="AD744" i="1" a="1"/>
  <c r="AD744" i="1"/>
  <c r="AD743" i="1" a="1"/>
  <c r="AD743" i="1"/>
  <c r="AD742" i="1" a="1"/>
  <c r="AD742" i="1"/>
  <c r="AD741" i="1" a="1"/>
  <c r="AD741" i="1"/>
  <c r="AD740" i="1" a="1"/>
  <c r="AD740" i="1"/>
  <c r="AD74" i="1" a="1"/>
  <c r="AD74" i="1"/>
  <c r="AD739" i="1" a="1"/>
  <c r="AD739" i="1"/>
  <c r="AD738" i="1" a="1"/>
  <c r="AD738" i="1"/>
  <c r="AD737" i="1" a="1"/>
  <c r="AD737" i="1"/>
  <c r="AD736" i="1" a="1"/>
  <c r="AD736" i="1"/>
  <c r="AD735" i="1" a="1"/>
  <c r="AD735" i="1"/>
  <c r="AD734" i="1" a="1"/>
  <c r="AD734" i="1"/>
  <c r="AD733" i="1" a="1"/>
  <c r="AD733" i="1"/>
  <c r="AD732" i="1" a="1"/>
  <c r="AD732" i="1"/>
  <c r="AD731" i="1" a="1"/>
  <c r="AD731" i="1"/>
  <c r="AD730" i="1" a="1"/>
  <c r="AD730" i="1"/>
  <c r="AD73" i="1" a="1"/>
  <c r="AD73" i="1"/>
  <c r="AD729" i="1" a="1"/>
  <c r="AD729" i="1"/>
  <c r="AD728" i="1" a="1"/>
  <c r="AD728" i="1"/>
  <c r="AD727" i="1" a="1"/>
  <c r="AD727" i="1"/>
  <c r="AD726" i="1" a="1"/>
  <c r="AD726" i="1"/>
  <c r="AD725" i="1" a="1"/>
  <c r="AD725" i="1"/>
  <c r="AD724" i="1" a="1"/>
  <c r="AD724" i="1"/>
  <c r="AD723" i="1" a="1"/>
  <c r="AD723" i="1"/>
  <c r="AD722" i="1" a="1"/>
  <c r="AD722" i="1"/>
  <c r="AD721" i="1" a="1"/>
  <c r="AD721" i="1"/>
  <c r="AD720" i="1" a="1"/>
  <c r="AD720" i="1"/>
  <c r="AD72" i="1" a="1"/>
  <c r="AD72" i="1"/>
  <c r="AD719" i="1" a="1"/>
  <c r="AD719" i="1"/>
  <c r="AD718" i="1" a="1"/>
  <c r="AD718" i="1"/>
  <c r="AD717" i="1" a="1"/>
  <c r="AD717" i="1"/>
  <c r="AD716" i="1" a="1"/>
  <c r="AD716" i="1"/>
  <c r="AD715" i="1" a="1"/>
  <c r="AD715" i="1"/>
  <c r="AD714" i="1" a="1"/>
  <c r="AD714" i="1"/>
  <c r="AD713" i="1" a="1"/>
  <c r="AD713" i="1"/>
  <c r="AD712" i="1" a="1"/>
  <c r="AD712" i="1"/>
  <c r="AD711" i="1" a="1"/>
  <c r="AD711" i="1"/>
  <c r="AD710" i="1" a="1"/>
  <c r="AD710" i="1"/>
  <c r="AD71" i="1" a="1"/>
  <c r="AD71" i="1"/>
  <c r="AD709" i="1" a="1"/>
  <c r="AD709" i="1"/>
  <c r="AD708" i="1" a="1"/>
  <c r="AD708" i="1"/>
  <c r="AD707" i="1" a="1"/>
  <c r="AD707" i="1"/>
  <c r="AD706" i="1" a="1"/>
  <c r="AD706" i="1"/>
  <c r="AD705" i="1" a="1"/>
  <c r="AD705" i="1"/>
  <c r="AD704" i="1" a="1"/>
  <c r="AD704" i="1"/>
  <c r="AD703" i="1" a="1"/>
  <c r="AD703" i="1"/>
  <c r="AD702" i="1" a="1"/>
  <c r="AD702" i="1"/>
  <c r="AD701" i="1" a="1"/>
  <c r="AD701" i="1"/>
  <c r="AD700" i="1" a="1"/>
  <c r="AD700" i="1"/>
  <c r="AD70" i="1" a="1"/>
  <c r="AD70" i="1"/>
  <c r="AD7" i="1" a="1"/>
  <c r="AD7" i="1"/>
  <c r="AD699" i="1" a="1"/>
  <c r="AD699" i="1"/>
  <c r="AD698" i="1" a="1"/>
  <c r="AD698" i="1"/>
  <c r="AD697" i="1" a="1"/>
  <c r="AD697" i="1"/>
  <c r="AD696" i="1" a="1"/>
  <c r="AD696" i="1"/>
  <c r="AD695" i="1" a="1"/>
  <c r="AD695" i="1"/>
  <c r="AD694" i="1" a="1"/>
  <c r="AD694" i="1"/>
  <c r="AD693" i="1" a="1"/>
  <c r="AD693" i="1"/>
  <c r="AD692" i="1" a="1"/>
  <c r="AD692" i="1"/>
  <c r="AD691" i="1" a="1"/>
  <c r="AD691" i="1"/>
  <c r="AD690" i="1" a="1"/>
  <c r="AD690" i="1"/>
  <c r="AD69" i="1" a="1"/>
  <c r="AD69" i="1"/>
  <c r="AD689" i="1" a="1"/>
  <c r="AD689" i="1"/>
  <c r="AD688" i="1" a="1"/>
  <c r="AD688" i="1"/>
  <c r="AD687" i="1" a="1"/>
  <c r="AD687" i="1"/>
  <c r="AD686" i="1" a="1"/>
  <c r="AD686" i="1"/>
  <c r="AD685" i="1" a="1"/>
  <c r="AD685" i="1"/>
  <c r="AD684" i="1" a="1"/>
  <c r="AD684" i="1"/>
  <c r="AD683" i="1" a="1"/>
  <c r="AD683" i="1"/>
  <c r="AD682" i="1" a="1"/>
  <c r="AD682" i="1"/>
  <c r="AD681" i="1" a="1"/>
  <c r="AD681" i="1"/>
  <c r="AD680" i="1" a="1"/>
  <c r="AD680" i="1"/>
  <c r="AD68" i="1" a="1"/>
  <c r="AD68" i="1"/>
  <c r="AD679" i="1" a="1"/>
  <c r="AD679" i="1"/>
  <c r="AD678" i="1" a="1"/>
  <c r="AD678" i="1"/>
  <c r="AD677" i="1" a="1"/>
  <c r="AD677" i="1"/>
  <c r="AD676" i="1" a="1"/>
  <c r="AD676" i="1"/>
  <c r="AD675" i="1" a="1"/>
  <c r="AD675" i="1"/>
  <c r="AD674" i="1" a="1"/>
  <c r="AD674" i="1"/>
  <c r="AD673" i="1" a="1"/>
  <c r="AD673" i="1"/>
  <c r="AD672" i="1" a="1"/>
  <c r="AD672" i="1"/>
  <c r="AD671" i="1" a="1"/>
  <c r="AD671" i="1"/>
  <c r="AD670" i="1" a="1"/>
  <c r="AD670" i="1"/>
  <c r="AD67" i="1" a="1"/>
  <c r="AD67" i="1"/>
  <c r="AD669" i="1" a="1"/>
  <c r="AD669" i="1"/>
  <c r="AD668" i="1" a="1"/>
  <c r="AD668" i="1"/>
  <c r="AD667" i="1" a="1"/>
  <c r="AD667" i="1"/>
  <c r="AD666" i="1" a="1"/>
  <c r="AD666" i="1"/>
  <c r="AD665" i="1" a="1"/>
  <c r="AD665" i="1"/>
  <c r="AD664" i="1" a="1"/>
  <c r="AD664" i="1"/>
  <c r="AD663" i="1" a="1"/>
  <c r="AD663" i="1"/>
  <c r="AD662" i="1" a="1"/>
  <c r="AD662" i="1"/>
  <c r="AD661" i="1" a="1"/>
  <c r="AD661" i="1"/>
  <c r="AD660" i="1" a="1"/>
  <c r="AD660" i="1"/>
  <c r="AD66" i="1" a="1"/>
  <c r="AD66" i="1"/>
  <c r="AD659" i="1" a="1"/>
  <c r="AD659" i="1"/>
  <c r="AD658" i="1" a="1"/>
  <c r="AD658" i="1"/>
  <c r="AD657" i="1" a="1"/>
  <c r="AD657" i="1"/>
  <c r="AD656" i="1" a="1"/>
  <c r="AD656" i="1"/>
  <c r="AD655" i="1" a="1"/>
  <c r="AD655" i="1"/>
  <c r="AD654" i="1" a="1"/>
  <c r="AD654" i="1"/>
  <c r="AD653" i="1" a="1"/>
  <c r="AD653" i="1"/>
  <c r="AD652" i="1" a="1"/>
  <c r="AD652" i="1"/>
  <c r="AD651" i="1" a="1"/>
  <c r="AD651" i="1"/>
  <c r="AD650" i="1" a="1"/>
  <c r="AD650" i="1"/>
  <c r="AD65" i="1" a="1"/>
  <c r="AD65" i="1"/>
  <c r="AD649" i="1" a="1"/>
  <c r="AD649" i="1"/>
  <c r="AD648" i="1" a="1"/>
  <c r="AD648" i="1"/>
  <c r="AD647" i="1" a="1"/>
  <c r="AD647" i="1"/>
  <c r="AD646" i="1" a="1"/>
  <c r="AD646" i="1"/>
  <c r="AD645" i="1" a="1"/>
  <c r="AD645" i="1"/>
  <c r="AD644" i="1" a="1"/>
  <c r="AD644" i="1"/>
  <c r="AD643" i="1" a="1"/>
  <c r="AD643" i="1"/>
  <c r="AD642" i="1" a="1"/>
  <c r="AD642" i="1"/>
  <c r="AD641" i="1" a="1"/>
  <c r="AD641" i="1"/>
  <c r="AD640" i="1" a="1"/>
  <c r="AD640" i="1"/>
  <c r="AD64" i="1" a="1"/>
  <c r="AD64" i="1"/>
  <c r="AD639" i="1" a="1"/>
  <c r="AD639" i="1"/>
  <c r="AD638" i="1" a="1"/>
  <c r="AD638" i="1"/>
  <c r="AD637" i="1" a="1"/>
  <c r="AD637" i="1"/>
  <c r="AD636" i="1" a="1"/>
  <c r="AD636" i="1"/>
  <c r="AD635" i="1" a="1"/>
  <c r="AD635" i="1"/>
  <c r="AD634" i="1" a="1"/>
  <c r="AD634" i="1"/>
  <c r="AD633" i="1" a="1"/>
  <c r="AD633" i="1"/>
  <c r="AD632" i="1" a="1"/>
  <c r="AD632" i="1"/>
  <c r="AD631" i="1" a="1"/>
  <c r="AD631" i="1"/>
  <c r="AD630" i="1" a="1"/>
  <c r="AD630" i="1"/>
  <c r="AD63" i="1" a="1"/>
  <c r="AD63" i="1"/>
  <c r="AD629" i="1" a="1"/>
  <c r="AD629" i="1"/>
  <c r="AD628" i="1" a="1"/>
  <c r="AD628" i="1"/>
  <c r="AD627" i="1" a="1"/>
  <c r="AD627" i="1"/>
  <c r="AD626" i="1" a="1"/>
  <c r="AD626" i="1"/>
  <c r="AD625" i="1" a="1"/>
  <c r="AD625" i="1"/>
  <c r="AD624" i="1" a="1"/>
  <c r="AD624" i="1"/>
  <c r="AD623" i="1" a="1"/>
  <c r="AD623" i="1"/>
  <c r="AD622" i="1" a="1"/>
  <c r="AD622" i="1"/>
  <c r="AD621" i="1" a="1"/>
  <c r="AD621" i="1"/>
  <c r="AD620" i="1" a="1"/>
  <c r="AD620" i="1"/>
  <c r="AD62" i="1" a="1"/>
  <c r="AD62" i="1"/>
  <c r="AD619" i="1" a="1"/>
  <c r="AD619" i="1"/>
  <c r="AD618" i="1" a="1"/>
  <c r="AD618" i="1"/>
  <c r="AD617" i="1" a="1"/>
  <c r="AD617" i="1"/>
  <c r="AD616" i="1" a="1"/>
  <c r="AD616" i="1"/>
  <c r="AD615" i="1" a="1"/>
  <c r="AD615" i="1"/>
  <c r="AD614" i="1" a="1"/>
  <c r="AD614" i="1"/>
  <c r="AD613" i="1" a="1"/>
  <c r="AD613" i="1"/>
  <c r="AD612" i="1" a="1"/>
  <c r="AD612" i="1"/>
  <c r="AD611" i="1" a="1"/>
  <c r="AD611" i="1"/>
  <c r="AD610" i="1" a="1"/>
  <c r="AD610" i="1"/>
  <c r="AD61" i="1" a="1"/>
  <c r="AD61" i="1"/>
  <c r="AD609" i="1" a="1"/>
  <c r="AD609" i="1"/>
  <c r="AD608" i="1" a="1"/>
  <c r="AD608" i="1"/>
  <c r="AD607" i="1" a="1"/>
  <c r="AD607" i="1"/>
  <c r="AD606" i="1" a="1"/>
  <c r="AD606" i="1"/>
  <c r="AD605" i="1" a="1"/>
  <c r="AD605" i="1"/>
  <c r="AD604" i="1" a="1"/>
  <c r="AD604" i="1"/>
  <c r="AD603" i="1" a="1"/>
  <c r="AD603" i="1"/>
  <c r="AD602" i="1" a="1"/>
  <c r="AD602" i="1"/>
  <c r="AD601" i="1" a="1"/>
  <c r="AD601" i="1"/>
  <c r="AD600" i="1" a="1"/>
  <c r="AD600" i="1"/>
  <c r="AD60" i="1" a="1"/>
  <c r="AD60" i="1"/>
  <c r="AD6" i="1" a="1"/>
  <c r="AD6" i="1"/>
  <c r="AD599" i="1" a="1"/>
  <c r="AD599" i="1"/>
  <c r="AD598" i="1" a="1"/>
  <c r="AD598" i="1"/>
  <c r="AD597" i="1" a="1"/>
  <c r="AD597" i="1"/>
  <c r="AD596" i="1" a="1"/>
  <c r="AD596" i="1"/>
  <c r="AD595" i="1" a="1"/>
  <c r="AD595" i="1"/>
  <c r="AD594" i="1" a="1"/>
  <c r="AD594" i="1"/>
  <c r="AD593" i="1" a="1"/>
  <c r="AD593" i="1"/>
  <c r="AD592" i="1" a="1"/>
  <c r="AD592" i="1"/>
  <c r="AD591" i="1" a="1"/>
  <c r="AD591" i="1"/>
  <c r="AD590" i="1" a="1"/>
  <c r="AD590" i="1"/>
  <c r="AD59" i="1" a="1"/>
  <c r="AD59" i="1"/>
  <c r="AD589" i="1" a="1"/>
  <c r="AD589" i="1"/>
  <c r="AD588" i="1" a="1"/>
  <c r="AD588" i="1"/>
  <c r="AD587" i="1" a="1"/>
  <c r="AD587" i="1"/>
  <c r="AD586" i="1" a="1"/>
  <c r="AD586" i="1"/>
  <c r="AD585" i="1" a="1"/>
  <c r="AD585" i="1"/>
  <c r="AD584" i="1" a="1"/>
  <c r="AD584" i="1"/>
  <c r="AD583" i="1" a="1"/>
  <c r="AD583" i="1"/>
  <c r="AD582" i="1" a="1"/>
  <c r="AD582" i="1"/>
  <c r="AD581" i="1" a="1"/>
  <c r="AD581" i="1"/>
  <c r="AD580" i="1" a="1"/>
  <c r="AD580" i="1"/>
  <c r="AD58" i="1" a="1"/>
  <c r="AD58" i="1"/>
  <c r="AD579" i="1" a="1"/>
  <c r="AD579" i="1"/>
  <c r="AD578" i="1" a="1"/>
  <c r="AD578" i="1"/>
  <c r="AD577" i="1" a="1"/>
  <c r="AD577" i="1"/>
  <c r="AD576" i="1" a="1"/>
  <c r="AD576" i="1"/>
  <c r="AD575" i="1" a="1"/>
  <c r="AD575" i="1"/>
  <c r="AD574" i="1" a="1"/>
  <c r="AD574" i="1"/>
  <c r="AD573" i="1" a="1"/>
  <c r="AD573" i="1"/>
  <c r="AD572" i="1" a="1"/>
  <c r="AD572" i="1"/>
  <c r="AD571" i="1" a="1"/>
  <c r="AD571" i="1"/>
  <c r="AD570" i="1" a="1"/>
  <c r="AD570" i="1"/>
  <c r="AD57" i="1" a="1"/>
  <c r="AD57" i="1"/>
  <c r="AD569" i="1" a="1"/>
  <c r="AD569" i="1"/>
  <c r="AD568" i="1" a="1"/>
  <c r="AD568" i="1"/>
  <c r="AD567" i="1" a="1"/>
  <c r="AD567" i="1"/>
  <c r="AD566" i="1" a="1"/>
  <c r="AD566" i="1"/>
  <c r="AD565" i="1" a="1"/>
  <c r="AD565" i="1"/>
  <c r="AD564" i="1" a="1"/>
  <c r="AD564" i="1"/>
  <c r="AD563" i="1" a="1"/>
  <c r="AD563" i="1"/>
  <c r="AD562" i="1" a="1"/>
  <c r="AD562" i="1"/>
  <c r="AD561" i="1" a="1"/>
  <c r="AD561" i="1"/>
  <c r="AD560" i="1" a="1"/>
  <c r="AD560" i="1"/>
  <c r="AD56" i="1" a="1"/>
  <c r="AD56" i="1"/>
  <c r="AD559" i="1" a="1"/>
  <c r="AD559" i="1"/>
  <c r="AD558" i="1" a="1"/>
  <c r="AD558" i="1"/>
  <c r="AD557" i="1" a="1"/>
  <c r="AD557" i="1"/>
  <c r="AD556" i="1" a="1"/>
  <c r="AD556" i="1"/>
  <c r="AD555" i="1" a="1"/>
  <c r="AD555" i="1"/>
  <c r="AD554" i="1" a="1"/>
  <c r="AD554" i="1"/>
  <c r="AD553" i="1" a="1"/>
  <c r="AD553" i="1"/>
  <c r="AD552" i="1" a="1"/>
  <c r="AD552" i="1"/>
  <c r="AD551" i="1" a="1"/>
  <c r="AD551" i="1"/>
  <c r="AD550" i="1" a="1"/>
  <c r="AD550" i="1"/>
  <c r="AD55" i="1" a="1"/>
  <c r="AD55" i="1"/>
  <c r="AD549" i="1" a="1"/>
  <c r="AD549" i="1"/>
  <c r="AD548" i="1" a="1"/>
  <c r="AD548" i="1"/>
  <c r="AD547" i="1" a="1"/>
  <c r="AD547" i="1"/>
  <c r="AD546" i="1" a="1"/>
  <c r="AD546" i="1"/>
  <c r="AD545" i="1" a="1"/>
  <c r="AD545" i="1"/>
  <c r="AD544" i="1" a="1"/>
  <c r="AD544" i="1"/>
  <c r="AD543" i="1" a="1"/>
  <c r="AD543" i="1"/>
  <c r="AD542" i="1" a="1"/>
  <c r="AD542" i="1"/>
  <c r="AD541" i="1" a="1"/>
  <c r="AD541" i="1"/>
  <c r="AD540" i="1" a="1"/>
  <c r="AD540" i="1"/>
  <c r="AD54" i="1" a="1"/>
  <c r="AD54" i="1"/>
  <c r="AD539" i="1" a="1"/>
  <c r="AD539" i="1"/>
  <c r="AD538" i="1" a="1"/>
  <c r="AD538" i="1"/>
  <c r="AD537" i="1" a="1"/>
  <c r="AD537" i="1"/>
  <c r="AD536" i="1" a="1"/>
  <c r="AD536" i="1"/>
  <c r="AD535" i="1" a="1"/>
  <c r="AD535" i="1"/>
  <c r="AD534" i="1" a="1"/>
  <c r="AD534" i="1"/>
  <c r="AD533" i="1" a="1"/>
  <c r="AD533" i="1"/>
  <c r="AD532" i="1" a="1"/>
  <c r="AD532" i="1"/>
  <c r="AD531" i="1" a="1"/>
  <c r="AD531" i="1"/>
  <c r="AD530" i="1" a="1"/>
  <c r="AD530" i="1"/>
  <c r="AD53" i="1" a="1"/>
  <c r="AD53" i="1"/>
  <c r="AD529" i="1" a="1"/>
  <c r="AD529" i="1"/>
  <c r="AD528" i="1" a="1"/>
  <c r="AD528" i="1"/>
  <c r="AD527" i="1" a="1"/>
  <c r="AD527" i="1"/>
  <c r="AD526" i="1" a="1"/>
  <c r="AD526" i="1"/>
  <c r="AD525" i="1" a="1"/>
  <c r="AD525" i="1"/>
  <c r="AD524" i="1" a="1"/>
  <c r="AD524" i="1"/>
  <c r="AD523" i="1" a="1"/>
  <c r="AD523" i="1"/>
  <c r="AD522" i="1" a="1"/>
  <c r="AD522" i="1"/>
  <c r="AD521" i="1" a="1"/>
  <c r="AD521" i="1"/>
  <c r="AD520" i="1" a="1"/>
  <c r="AD520" i="1"/>
  <c r="AD52" i="1" a="1"/>
  <c r="AD52" i="1"/>
  <c r="AD519" i="1" a="1"/>
  <c r="AD519" i="1"/>
  <c r="AD518" i="1" a="1"/>
  <c r="AD518" i="1"/>
  <c r="AD517" i="1" a="1"/>
  <c r="AD517" i="1"/>
  <c r="AD516" i="1" a="1"/>
  <c r="AD516" i="1"/>
  <c r="AD515" i="1" a="1"/>
  <c r="AD515" i="1"/>
  <c r="AD514" i="1" a="1"/>
  <c r="AD514" i="1"/>
  <c r="AD513" i="1" a="1"/>
  <c r="AD513" i="1"/>
  <c r="AD512" i="1" a="1"/>
  <c r="AD512" i="1"/>
  <c r="AD511" i="1" a="1"/>
  <c r="AD511" i="1"/>
  <c r="AD510" i="1" a="1"/>
  <c r="AD510" i="1"/>
  <c r="AD51" i="1" a="1"/>
  <c r="AD51" i="1"/>
  <c r="AD509" i="1" a="1"/>
  <c r="AD509" i="1"/>
  <c r="AD508" i="1" a="1"/>
  <c r="AD508" i="1"/>
  <c r="AD507" i="1" a="1"/>
  <c r="AD507" i="1"/>
  <c r="AD506" i="1" a="1"/>
  <c r="AD506" i="1"/>
  <c r="AD505" i="1" a="1"/>
  <c r="AD505" i="1"/>
  <c r="AD504" i="1" a="1"/>
  <c r="AD504" i="1"/>
  <c r="AD503" i="1" a="1"/>
  <c r="AD503" i="1"/>
  <c r="AD502" i="1" a="1"/>
  <c r="AD502" i="1"/>
  <c r="AD501" i="1" a="1"/>
  <c r="AD501" i="1"/>
  <c r="AD500" i="1" a="1"/>
  <c r="AD500" i="1"/>
  <c r="AD50" i="1" a="1"/>
  <c r="AD50" i="1"/>
  <c r="AD5" i="1" a="1"/>
  <c r="AD5" i="1"/>
  <c r="AD499" i="1" a="1"/>
  <c r="AD499" i="1"/>
  <c r="AD498" i="1" a="1"/>
  <c r="AD498" i="1"/>
  <c r="AD497" i="1" a="1"/>
  <c r="AD497" i="1"/>
  <c r="AD496" i="1" a="1"/>
  <c r="AD496" i="1"/>
  <c r="AD495" i="1" a="1"/>
  <c r="AD495" i="1"/>
  <c r="AD494" i="1" a="1"/>
  <c r="AD494" i="1"/>
  <c r="AD493" i="1" a="1"/>
  <c r="AD493" i="1"/>
  <c r="AD492" i="1" a="1"/>
  <c r="AD492" i="1"/>
  <c r="AD491" i="1" a="1"/>
  <c r="AD491" i="1"/>
  <c r="AD490" i="1" a="1"/>
  <c r="AD490" i="1"/>
  <c r="AD49" i="1" a="1"/>
  <c r="AD49" i="1"/>
  <c r="AD489" i="1" a="1"/>
  <c r="AD489" i="1"/>
  <c r="AD488" i="1" a="1"/>
  <c r="AD488" i="1"/>
  <c r="AD487" i="1" a="1"/>
  <c r="AD487" i="1"/>
  <c r="AD486" i="1" a="1"/>
  <c r="AD486" i="1"/>
  <c r="AD485" i="1" a="1"/>
  <c r="AD485" i="1"/>
  <c r="AD484" i="1" a="1"/>
  <c r="AD484" i="1"/>
  <c r="AD483" i="1" a="1"/>
  <c r="AD483" i="1"/>
  <c r="AD482" i="1" a="1"/>
  <c r="AD482" i="1"/>
  <c r="AD481" i="1" a="1"/>
  <c r="AD481" i="1"/>
  <c r="AD480" i="1" a="1"/>
  <c r="AD480" i="1"/>
  <c r="AD48" i="1" a="1"/>
  <c r="AD48" i="1"/>
  <c r="AD479" i="1" a="1"/>
  <c r="AD479" i="1"/>
  <c r="AD478" i="1" a="1"/>
  <c r="AD478" i="1"/>
  <c r="AD477" i="1" a="1"/>
  <c r="AD477" i="1"/>
  <c r="AD476" i="1" a="1"/>
  <c r="AD476" i="1"/>
  <c r="AD475" i="1" a="1"/>
  <c r="AD475" i="1"/>
  <c r="AD474" i="1" a="1"/>
  <c r="AD474" i="1"/>
  <c r="AD473" i="1" a="1"/>
  <c r="AD473" i="1"/>
  <c r="AD472" i="1" a="1"/>
  <c r="AD472" i="1"/>
  <c r="AD471" i="1" a="1"/>
  <c r="AD471" i="1"/>
  <c r="AD470" i="1" a="1"/>
  <c r="AD470" i="1"/>
  <c r="AD47" i="1" a="1"/>
  <c r="AD47" i="1"/>
  <c r="AD469" i="1" a="1"/>
  <c r="AD469" i="1"/>
  <c r="AD468" i="1" a="1"/>
  <c r="AD468" i="1"/>
  <c r="AD467" i="1" a="1"/>
  <c r="AD467" i="1"/>
  <c r="AD466" i="1" a="1"/>
  <c r="AD466" i="1"/>
  <c r="AD465" i="1" a="1"/>
  <c r="AD465" i="1"/>
  <c r="AD464" i="1" a="1"/>
  <c r="AD464" i="1"/>
  <c r="AD463" i="1" a="1"/>
  <c r="AD463" i="1"/>
  <c r="AD462" i="1" a="1"/>
  <c r="AD462" i="1"/>
  <c r="AD461" i="1" a="1"/>
  <c r="AD461" i="1"/>
  <c r="AD460" i="1" a="1"/>
  <c r="AD460" i="1"/>
  <c r="AD46" i="1" a="1"/>
  <c r="AD46" i="1"/>
  <c r="AD459" i="1" a="1"/>
  <c r="AD459" i="1"/>
  <c r="AD458" i="1" a="1"/>
  <c r="AD458" i="1"/>
  <c r="AD457" i="1" a="1"/>
  <c r="AD457" i="1"/>
  <c r="AD456" i="1" a="1"/>
  <c r="AD456" i="1"/>
  <c r="AD455" i="1" a="1"/>
  <c r="AD455" i="1"/>
  <c r="AD454" i="1" a="1"/>
  <c r="AD454" i="1"/>
  <c r="AD453" i="1" a="1"/>
  <c r="AD453" i="1"/>
  <c r="AD452" i="1" a="1"/>
  <c r="AD452" i="1"/>
  <c r="AD451" i="1" a="1"/>
  <c r="AD451" i="1"/>
  <c r="AD450" i="1" a="1"/>
  <c r="AD450" i="1"/>
  <c r="AD45" i="1" a="1"/>
  <c r="AD45" i="1"/>
  <c r="AD449" i="1" a="1"/>
  <c r="AD449" i="1"/>
  <c r="AD448" i="1" a="1"/>
  <c r="AD448" i="1"/>
  <c r="AD447" i="1" a="1"/>
  <c r="AD447" i="1"/>
  <c r="AD446" i="1" a="1"/>
  <c r="AD446" i="1"/>
  <c r="AD445" i="1" a="1"/>
  <c r="AD445" i="1"/>
  <c r="AD444" i="1" a="1"/>
  <c r="AD444" i="1"/>
  <c r="AD443" i="1" a="1"/>
  <c r="AD443" i="1"/>
  <c r="AD442" i="1" a="1"/>
  <c r="AD442" i="1"/>
  <c r="AD441" i="1" a="1"/>
  <c r="AD441" i="1"/>
  <c r="AD440" i="1" a="1"/>
  <c r="AD440" i="1"/>
  <c r="AD44" i="1" a="1"/>
  <c r="AD44" i="1"/>
  <c r="AD439" i="1" a="1"/>
  <c r="AD439" i="1"/>
  <c r="AD438" i="1" a="1"/>
  <c r="AD438" i="1"/>
  <c r="AD437" i="1" a="1"/>
  <c r="AD437" i="1"/>
  <c r="AD436" i="1" a="1"/>
  <c r="AD436" i="1"/>
  <c r="AD435" i="1" a="1"/>
  <c r="AD435" i="1"/>
  <c r="AD434" i="1" a="1"/>
  <c r="AD434" i="1"/>
  <c r="AD433" i="1" a="1"/>
  <c r="AD433" i="1"/>
  <c r="AD432" i="1" a="1"/>
  <c r="AD432" i="1"/>
  <c r="AD431" i="1" a="1"/>
  <c r="AD431" i="1"/>
  <c r="AD430" i="1" a="1"/>
  <c r="AD430" i="1"/>
  <c r="AD43" i="1" a="1"/>
  <c r="AD43" i="1"/>
  <c r="AD429" i="1" a="1"/>
  <c r="AD429" i="1"/>
  <c r="AD428" i="1" a="1"/>
  <c r="AD428" i="1"/>
  <c r="AD427" i="1" a="1"/>
  <c r="AD427" i="1"/>
  <c r="AD426" i="1" a="1"/>
  <c r="AD426" i="1"/>
  <c r="AD425" i="1" a="1"/>
  <c r="AD425" i="1"/>
  <c r="AD424" i="1" a="1"/>
  <c r="AD424" i="1"/>
  <c r="AD423" i="1" a="1"/>
  <c r="AD423" i="1"/>
  <c r="AD422" i="1" a="1"/>
  <c r="AD422" i="1"/>
  <c r="AD421" i="1" a="1"/>
  <c r="AD421" i="1"/>
  <c r="AD420" i="1" a="1"/>
  <c r="AD420" i="1"/>
  <c r="AD42" i="1" a="1"/>
  <c r="AD42" i="1"/>
  <c r="AD419" i="1" a="1"/>
  <c r="AD419" i="1"/>
  <c r="AD418" i="1" a="1"/>
  <c r="AD418" i="1"/>
  <c r="AD417" i="1" a="1"/>
  <c r="AD417" i="1"/>
  <c r="AD416" i="1" a="1"/>
  <c r="AD416" i="1"/>
  <c r="AD415" i="1" a="1"/>
  <c r="AD415" i="1"/>
  <c r="AD414" i="1" a="1"/>
  <c r="AD414" i="1"/>
  <c r="AD413" i="1" a="1"/>
  <c r="AD413" i="1"/>
  <c r="AD412" i="1" a="1"/>
  <c r="AD412" i="1"/>
  <c r="AD411" i="1" a="1"/>
  <c r="AD411" i="1"/>
  <c r="AD410" i="1" a="1"/>
  <c r="AD410" i="1"/>
  <c r="AD41" i="1" a="1"/>
  <c r="AD41" i="1"/>
  <c r="AD409" i="1" a="1"/>
  <c r="AD409" i="1"/>
  <c r="AD408" i="1" a="1"/>
  <c r="AD408" i="1"/>
  <c r="AD407" i="1" a="1"/>
  <c r="AD407" i="1"/>
  <c r="AD406" i="1" a="1"/>
  <c r="AD406" i="1"/>
  <c r="AD405" i="1" a="1"/>
  <c r="AD405" i="1"/>
  <c r="AD404" i="1" a="1"/>
  <c r="AD404" i="1"/>
  <c r="AD403" i="1" a="1"/>
  <c r="AD403" i="1"/>
  <c r="AD402" i="1" a="1"/>
  <c r="AD402" i="1"/>
  <c r="AD401" i="1" a="1"/>
  <c r="AD401" i="1"/>
  <c r="AD400" i="1" a="1"/>
  <c r="AD400" i="1"/>
  <c r="AD40" i="1" a="1"/>
  <c r="AD40" i="1"/>
  <c r="AD4" i="1" a="1"/>
  <c r="AD4" i="1"/>
  <c r="AD399" i="1" a="1"/>
  <c r="AD399" i="1"/>
  <c r="AD398" i="1" a="1"/>
  <c r="AD398" i="1"/>
  <c r="AD397" i="1" a="1"/>
  <c r="AD397" i="1"/>
  <c r="AD396" i="1" a="1"/>
  <c r="AD396" i="1"/>
  <c r="AD395" i="1" a="1"/>
  <c r="AD395" i="1"/>
  <c r="AD394" i="1" a="1"/>
  <c r="AD394" i="1"/>
  <c r="AD393" i="1" a="1"/>
  <c r="AD393" i="1"/>
  <c r="AD392" i="1" a="1"/>
  <c r="AD392" i="1"/>
  <c r="AD391" i="1" a="1"/>
  <c r="AD391" i="1"/>
  <c r="AD390" i="1" a="1"/>
  <c r="AD390" i="1"/>
  <c r="AD39" i="1" a="1"/>
  <c r="AD39" i="1"/>
  <c r="AD389" i="1" a="1"/>
  <c r="AD389" i="1"/>
  <c r="AD388" i="1" a="1"/>
  <c r="AD388" i="1"/>
  <c r="AD387" i="1" a="1"/>
  <c r="AD387" i="1"/>
  <c r="AD386" i="1" a="1"/>
  <c r="AD386" i="1"/>
  <c r="AD385" i="1" a="1"/>
  <c r="AD385" i="1"/>
  <c r="AD384" i="1" a="1"/>
  <c r="AD384" i="1"/>
  <c r="AD383" i="1" a="1"/>
  <c r="AD383" i="1"/>
  <c r="AD382" i="1" a="1"/>
  <c r="AD382" i="1"/>
  <c r="AD381" i="1" a="1"/>
  <c r="AD381" i="1"/>
  <c r="AD380" i="1" a="1"/>
  <c r="AD380" i="1"/>
  <c r="AD38" i="1" a="1"/>
  <c r="AD38" i="1"/>
  <c r="AD379" i="1" a="1"/>
  <c r="AD379" i="1"/>
  <c r="AD378" i="1" a="1"/>
  <c r="AD378" i="1"/>
  <c r="AD377" i="1" a="1"/>
  <c r="AD377" i="1"/>
  <c r="AD376" i="1" a="1"/>
  <c r="AD376" i="1"/>
  <c r="AD375" i="1" a="1"/>
  <c r="AD375" i="1"/>
  <c r="AD374" i="1" a="1"/>
  <c r="AD374" i="1"/>
  <c r="AD373" i="1" a="1"/>
  <c r="AD373" i="1"/>
  <c r="AD372" i="1" a="1"/>
  <c r="AD372" i="1"/>
  <c r="AD371" i="1" a="1"/>
  <c r="AD371" i="1"/>
  <c r="AD370" i="1" a="1"/>
  <c r="AD370" i="1"/>
  <c r="AD37" i="1" a="1"/>
  <c r="AD37" i="1"/>
  <c r="AD369" i="1" a="1"/>
  <c r="AD369" i="1"/>
  <c r="AD368" i="1" a="1"/>
  <c r="AD368" i="1"/>
  <c r="AD367" i="1" a="1"/>
  <c r="AD367" i="1"/>
  <c r="AD366" i="1" a="1"/>
  <c r="AD366" i="1"/>
  <c r="AD365" i="1" a="1"/>
  <c r="AD365" i="1"/>
  <c r="AD364" i="1" a="1"/>
  <c r="AD364" i="1"/>
  <c r="AD363" i="1" a="1"/>
  <c r="AD363" i="1"/>
  <c r="AD362" i="1" a="1"/>
  <c r="AD362" i="1"/>
  <c r="AD361" i="1" a="1"/>
  <c r="AD361" i="1"/>
  <c r="AD360" i="1" a="1"/>
  <c r="AD360" i="1"/>
  <c r="AD36" i="1" a="1"/>
  <c r="AD36" i="1"/>
  <c r="AD359" i="1" a="1"/>
  <c r="AD359" i="1"/>
  <c r="AD358" i="1" a="1"/>
  <c r="AD358" i="1"/>
  <c r="AD357" i="1" a="1"/>
  <c r="AD357" i="1"/>
  <c r="AD356" i="1" a="1"/>
  <c r="AD356" i="1"/>
  <c r="AD355" i="1" a="1"/>
  <c r="AD355" i="1"/>
  <c r="AD354" i="1" a="1"/>
  <c r="AD354" i="1"/>
  <c r="AD353" i="1" a="1"/>
  <c r="AD353" i="1"/>
  <c r="AD352" i="1" a="1"/>
  <c r="AD352" i="1"/>
  <c r="AD351" i="1" a="1"/>
  <c r="AD351" i="1"/>
  <c r="AD350" i="1" a="1"/>
  <c r="AD350" i="1"/>
  <c r="AD35" i="1" a="1"/>
  <c r="AD35" i="1"/>
  <c r="AD349" i="1" a="1"/>
  <c r="AD349" i="1"/>
  <c r="AD348" i="1" a="1"/>
  <c r="AD348" i="1"/>
  <c r="AD347" i="1" a="1"/>
  <c r="AD347" i="1"/>
  <c r="AD346" i="1" a="1"/>
  <c r="AD346" i="1"/>
  <c r="AD345" i="1" a="1"/>
  <c r="AD345" i="1"/>
  <c r="AD344" i="1" a="1"/>
  <c r="AD344" i="1"/>
  <c r="AD343" i="1" a="1"/>
  <c r="AD343" i="1"/>
  <c r="AD342" i="1" a="1"/>
  <c r="AD342" i="1"/>
  <c r="AD341" i="1" a="1"/>
  <c r="AD341" i="1"/>
  <c r="AD340" i="1" a="1"/>
  <c r="AD340" i="1"/>
  <c r="AD34" i="1" a="1"/>
  <c r="AD34" i="1"/>
  <c r="AD339" i="1" a="1"/>
  <c r="AD339" i="1"/>
  <c r="AD338" i="1" a="1"/>
  <c r="AD338" i="1"/>
  <c r="AD337" i="1" a="1"/>
  <c r="AD337" i="1"/>
  <c r="AD336" i="1" a="1"/>
  <c r="AD336" i="1"/>
  <c r="AD335" i="1" a="1"/>
  <c r="AD335" i="1"/>
  <c r="AD334" i="1" a="1"/>
  <c r="AD334" i="1"/>
  <c r="AD333" i="1" a="1"/>
  <c r="AD333" i="1"/>
  <c r="AD332" i="1" a="1"/>
  <c r="AD332" i="1"/>
  <c r="AD331" i="1" a="1"/>
  <c r="AD331" i="1"/>
  <c r="AD330" i="1" a="1"/>
  <c r="AD330" i="1"/>
  <c r="AD33" i="1" a="1"/>
  <c r="AD33" i="1"/>
  <c r="AD329" i="1" a="1"/>
  <c r="AD329" i="1"/>
  <c r="AD328" i="1" a="1"/>
  <c r="AD328" i="1"/>
  <c r="AD327" i="1" a="1"/>
  <c r="AD327" i="1"/>
  <c r="AD326" i="1" a="1"/>
  <c r="AD326" i="1"/>
  <c r="AD325" i="1" a="1"/>
  <c r="AD325" i="1"/>
  <c r="AD324" i="1" a="1"/>
  <c r="AD324" i="1"/>
  <c r="AD323" i="1" a="1"/>
  <c r="AD323" i="1"/>
  <c r="AD322" i="1" a="1"/>
  <c r="AD322" i="1"/>
  <c r="AD321" i="1" a="1"/>
  <c r="AD321" i="1"/>
  <c r="AD320" i="1" a="1"/>
  <c r="AD320" i="1"/>
  <c r="AD32" i="1" a="1"/>
  <c r="AD32" i="1"/>
  <c r="AD319" i="1" a="1"/>
  <c r="AD319" i="1"/>
  <c r="AD318" i="1" a="1"/>
  <c r="AD318" i="1"/>
  <c r="AD317" i="1" a="1"/>
  <c r="AD317" i="1"/>
  <c r="AD316" i="1" a="1"/>
  <c r="AD316" i="1"/>
  <c r="AD315" i="1" a="1"/>
  <c r="AD315" i="1"/>
  <c r="AD314" i="1" a="1"/>
  <c r="AD314" i="1"/>
  <c r="AD313" i="1" a="1"/>
  <c r="AD313" i="1"/>
  <c r="AD312" i="1" a="1"/>
  <c r="AD312" i="1"/>
  <c r="AD311" i="1" a="1"/>
  <c r="AD311" i="1"/>
  <c r="AD310" i="1" a="1"/>
  <c r="AD310" i="1"/>
  <c r="AD31" i="1" a="1"/>
  <c r="AD31" i="1"/>
  <c r="AD309" i="1" a="1"/>
  <c r="AD309" i="1"/>
  <c r="AD308" i="1" a="1"/>
  <c r="AD308" i="1"/>
  <c r="AD307" i="1" a="1"/>
  <c r="AD307" i="1"/>
  <c r="AD306" i="1" a="1"/>
  <c r="AD306" i="1"/>
  <c r="AD305" i="1" a="1"/>
  <c r="AD305" i="1"/>
  <c r="AD304" i="1" a="1"/>
  <c r="AD304" i="1"/>
  <c r="AD303" i="1" a="1"/>
  <c r="AD303" i="1"/>
  <c r="AD302" i="1" a="1"/>
  <c r="AD302" i="1"/>
  <c r="AD301" i="1" a="1"/>
  <c r="AD301" i="1"/>
  <c r="AD300" i="1" a="1"/>
  <c r="AD300" i="1"/>
  <c r="AD30" i="1" a="1"/>
  <c r="AD30" i="1"/>
  <c r="AD299" i="1" a="1"/>
  <c r="AD299" i="1"/>
  <c r="AD298" i="1" a="1"/>
  <c r="AD298" i="1"/>
  <c r="AD297" i="1" a="1"/>
  <c r="AD297" i="1"/>
  <c r="AD296" i="1" a="1"/>
  <c r="AD296" i="1"/>
  <c r="AD295" i="1" a="1"/>
  <c r="AD295" i="1"/>
  <c r="AD294" i="1" a="1"/>
  <c r="AD294" i="1"/>
  <c r="AD293" i="1" a="1"/>
  <c r="AD293" i="1"/>
  <c r="AD292" i="1" a="1"/>
  <c r="AD292" i="1"/>
  <c r="AD291" i="1" a="1"/>
  <c r="AD291" i="1"/>
  <c r="AD290" i="1" a="1"/>
  <c r="AD290" i="1"/>
  <c r="AD29" i="1" a="1"/>
  <c r="AD29" i="1"/>
  <c r="AD289" i="1" a="1"/>
  <c r="AD289" i="1"/>
  <c r="AD288" i="1" a="1"/>
  <c r="AD288" i="1"/>
  <c r="AD287" i="1" a="1"/>
  <c r="AD287" i="1"/>
  <c r="AD286" i="1" a="1"/>
  <c r="AD286" i="1"/>
  <c r="AD285" i="1" a="1"/>
  <c r="AD285" i="1"/>
  <c r="AD284" i="1" a="1"/>
  <c r="AD284" i="1"/>
  <c r="AD283" i="1" a="1"/>
  <c r="AD283" i="1"/>
  <c r="AD282" i="1" a="1"/>
  <c r="AD282" i="1"/>
  <c r="AD281" i="1" a="1"/>
  <c r="AD281" i="1"/>
  <c r="AD280" i="1" a="1"/>
  <c r="AD280" i="1"/>
  <c r="AD28" i="1" a="1"/>
  <c r="AD28" i="1"/>
  <c r="AD279" i="1" a="1"/>
  <c r="AD279" i="1"/>
  <c r="AD278" i="1" a="1"/>
  <c r="AD278" i="1"/>
  <c r="AD277" i="1" a="1"/>
  <c r="AD277" i="1"/>
  <c r="AD276" i="1" a="1"/>
  <c r="AD276" i="1"/>
  <c r="AD275" i="1" a="1"/>
  <c r="AD275" i="1"/>
  <c r="AD274" i="1" a="1"/>
  <c r="AD274" i="1"/>
  <c r="AD273" i="1" a="1"/>
  <c r="AD273" i="1"/>
  <c r="AD272" i="1" a="1"/>
  <c r="AD272" i="1"/>
  <c r="AD271" i="1" a="1"/>
  <c r="AD271" i="1"/>
  <c r="AD270" i="1" a="1"/>
  <c r="AD270" i="1"/>
  <c r="AD27" i="1" a="1"/>
  <c r="AD27" i="1"/>
  <c r="AD269" i="1" a="1"/>
  <c r="AD269" i="1"/>
  <c r="AD268" i="1" a="1"/>
  <c r="AD268" i="1"/>
  <c r="AD267" i="1" a="1"/>
  <c r="AD267" i="1"/>
  <c r="AD266" i="1" a="1"/>
  <c r="AD266" i="1"/>
  <c r="AD265" i="1" a="1"/>
  <c r="AD265" i="1"/>
  <c r="AD264" i="1" a="1"/>
  <c r="AD264" i="1"/>
  <c r="AD263" i="1" a="1"/>
  <c r="AD263" i="1"/>
  <c r="AD262" i="1" a="1"/>
  <c r="AD262" i="1"/>
  <c r="AD261" i="1" a="1"/>
  <c r="AD261" i="1"/>
  <c r="AD260" i="1" a="1"/>
  <c r="AD260" i="1"/>
  <c r="AD26" i="1" a="1"/>
  <c r="AD26" i="1"/>
  <c r="AD259" i="1" a="1"/>
  <c r="AD259" i="1"/>
  <c r="AD258" i="1" a="1"/>
  <c r="AD258" i="1"/>
  <c r="AD257" i="1" a="1"/>
  <c r="AD257" i="1"/>
  <c r="AD256" i="1" a="1"/>
  <c r="AD256" i="1"/>
  <c r="AD255" i="1" a="1"/>
  <c r="AD255" i="1"/>
  <c r="AD254" i="1" a="1"/>
  <c r="AD254" i="1"/>
  <c r="AD253" i="1" a="1"/>
  <c r="AD253" i="1"/>
  <c r="AD252" i="1" a="1"/>
  <c r="AD252" i="1"/>
  <c r="AD251" i="1" a="1"/>
  <c r="AD251" i="1"/>
  <c r="AD250" i="1" a="1"/>
  <c r="AD250" i="1"/>
  <c r="AD25" i="1" a="1"/>
  <c r="AD25" i="1"/>
  <c r="AD249" i="1" a="1"/>
  <c r="AD249" i="1"/>
  <c r="AD248" i="1" a="1"/>
  <c r="AD248" i="1"/>
  <c r="AD247" i="1" a="1"/>
  <c r="AD247" i="1"/>
  <c r="AD246" i="1" a="1"/>
  <c r="AD246" i="1"/>
  <c r="AD245" i="1" a="1"/>
  <c r="AD245" i="1"/>
  <c r="AD244" i="1" a="1"/>
  <c r="AD244" i="1"/>
  <c r="AD243" i="1" a="1"/>
  <c r="AD243" i="1"/>
  <c r="AD242" i="1" a="1"/>
  <c r="AD242" i="1"/>
  <c r="AD241" i="1" a="1"/>
  <c r="AD241" i="1"/>
  <c r="AD240" i="1" a="1"/>
  <c r="AD240" i="1"/>
  <c r="AD24" i="1" a="1"/>
  <c r="AD24" i="1"/>
  <c r="AD239" i="1" a="1"/>
  <c r="AD239" i="1"/>
  <c r="AD238" i="1" a="1"/>
  <c r="AD238" i="1"/>
  <c r="AD237" i="1" a="1"/>
  <c r="AD237" i="1"/>
  <c r="AD236" i="1" a="1"/>
  <c r="AD236" i="1"/>
  <c r="AD235" i="1" a="1"/>
  <c r="AD235" i="1"/>
  <c r="AD234" i="1" a="1"/>
  <c r="AD234" i="1"/>
  <c r="AD233" i="1" a="1"/>
  <c r="AD233" i="1"/>
  <c r="AD232" i="1" a="1"/>
  <c r="AD232" i="1"/>
  <c r="AD231" i="1" a="1"/>
  <c r="AD231" i="1"/>
  <c r="AD230" i="1" a="1"/>
  <c r="AD230" i="1"/>
  <c r="AD23" i="1" a="1"/>
  <c r="AD23" i="1"/>
  <c r="AD229" i="1" a="1"/>
  <c r="AD229" i="1"/>
  <c r="AD228" i="1" a="1"/>
  <c r="AD228" i="1"/>
  <c r="AD227" i="1" a="1"/>
  <c r="AD227" i="1"/>
  <c r="AD226" i="1" a="1"/>
  <c r="AD226" i="1"/>
  <c r="AD225" i="1" a="1"/>
  <c r="AD225" i="1"/>
  <c r="AD224" i="1" a="1"/>
  <c r="AD224" i="1"/>
  <c r="AD223" i="1" a="1"/>
  <c r="AD223" i="1"/>
  <c r="AD222" i="1" a="1"/>
  <c r="AD222" i="1"/>
  <c r="AD221" i="1" a="1"/>
  <c r="AD221" i="1"/>
  <c r="AD220" i="1" a="1"/>
  <c r="AD220" i="1"/>
  <c r="AD22" i="1" a="1"/>
  <c r="AD22" i="1"/>
  <c r="AD219" i="1" a="1"/>
  <c r="AD219" i="1"/>
  <c r="AD218" i="1" a="1"/>
  <c r="AD218" i="1"/>
  <c r="AD217" i="1" a="1"/>
  <c r="AD217" i="1"/>
  <c r="AD216" i="1" a="1"/>
  <c r="AD216" i="1"/>
  <c r="AD215" i="1" a="1"/>
  <c r="AD215" i="1"/>
  <c r="AD214" i="1" a="1"/>
  <c r="AD214" i="1"/>
  <c r="AD213" i="1" a="1"/>
  <c r="AD213" i="1"/>
  <c r="AD212" i="1" a="1"/>
  <c r="AD212" i="1"/>
  <c r="AD211" i="1" a="1"/>
  <c r="AD211" i="1"/>
  <c r="AD210" i="1" a="1"/>
  <c r="AD210" i="1"/>
  <c r="AD21" i="1" a="1"/>
  <c r="AD21" i="1"/>
  <c r="AD209" i="1" a="1"/>
  <c r="AD209" i="1"/>
  <c r="AD208" i="1" a="1"/>
  <c r="AD208" i="1"/>
  <c r="AD207" i="1" a="1"/>
  <c r="AD207" i="1"/>
  <c r="AD206" i="1" a="1"/>
  <c r="AD206" i="1"/>
  <c r="AD205" i="1" a="1"/>
  <c r="AD205" i="1"/>
  <c r="AD204" i="1" a="1"/>
  <c r="AD204" i="1"/>
  <c r="AD203" i="1" a="1"/>
  <c r="AD203" i="1"/>
  <c r="AD202" i="1" a="1"/>
  <c r="AD202" i="1"/>
  <c r="AD201" i="1" a="1"/>
  <c r="AD201" i="1"/>
  <c r="AD2001" i="1" a="1"/>
  <c r="AD2001" i="1"/>
  <c r="AD2000" i="1" a="1"/>
  <c r="AD2000" i="1"/>
  <c r="AD200" i="1" a="1"/>
  <c r="AD200" i="1"/>
  <c r="AD20" i="1" a="1"/>
  <c r="AD20" i="1"/>
  <c r="AD1999" i="1" a="1"/>
  <c r="AD1999" i="1"/>
  <c r="AD1998" i="1" a="1"/>
  <c r="AD1998" i="1"/>
  <c r="AD1997" i="1" a="1"/>
  <c r="AD1997" i="1"/>
  <c r="AD1996" i="1" a="1"/>
  <c r="AD1996" i="1"/>
  <c r="AD1995" i="1" a="1"/>
  <c r="AD1995" i="1"/>
  <c r="AD1994" i="1" a="1"/>
  <c r="AD1994" i="1"/>
  <c r="AD1993" i="1" a="1"/>
  <c r="AD1993" i="1"/>
  <c r="AD1992" i="1" a="1"/>
  <c r="AD1992" i="1"/>
  <c r="AD1991" i="1" a="1"/>
  <c r="AD1991" i="1"/>
  <c r="AD1990" i="1" a="1"/>
  <c r="AD1990" i="1"/>
  <c r="AD199" i="1" a="1"/>
  <c r="AD199" i="1"/>
  <c r="AD1989" i="1" a="1"/>
  <c r="AD1989" i="1"/>
  <c r="AD1988" i="1" a="1"/>
  <c r="AD1988" i="1"/>
  <c r="AD1987" i="1" a="1"/>
  <c r="AD1987" i="1"/>
  <c r="AD1986" i="1" a="1"/>
  <c r="AD1986" i="1"/>
  <c r="AD1985" i="1" a="1"/>
  <c r="AD1985" i="1"/>
  <c r="AD1984" i="1" a="1"/>
  <c r="AD1984" i="1"/>
  <c r="AD1983" i="1" a="1"/>
  <c r="AD1983" i="1"/>
  <c r="AD1982" i="1" a="1"/>
  <c r="AD1982" i="1"/>
  <c r="AD1981" i="1" a="1"/>
  <c r="AD1981" i="1"/>
  <c r="AD1980" i="1" a="1"/>
  <c r="AD1980" i="1"/>
  <c r="AD198" i="1" a="1"/>
  <c r="AD198" i="1"/>
  <c r="AD1979" i="1" a="1"/>
  <c r="AD1979" i="1"/>
  <c r="AD1978" i="1" a="1"/>
  <c r="AD1978" i="1"/>
  <c r="AD1977" i="1" a="1"/>
  <c r="AD1977" i="1"/>
  <c r="AD1976" i="1" a="1"/>
  <c r="AD1976" i="1"/>
  <c r="AD1975" i="1" a="1"/>
  <c r="AD1975" i="1"/>
  <c r="AD1974" i="1" a="1"/>
  <c r="AD1974" i="1"/>
  <c r="AD1973" i="1" a="1"/>
  <c r="AD1973" i="1"/>
  <c r="AD1972" i="1" a="1"/>
  <c r="AD1972" i="1"/>
  <c r="AD1971" i="1" a="1"/>
  <c r="AD1971" i="1"/>
  <c r="AD1970" i="1" a="1"/>
  <c r="AD1970" i="1"/>
  <c r="AD197" i="1" a="1"/>
  <c r="AD197" i="1"/>
  <c r="AD1969" i="1" a="1"/>
  <c r="AD1969" i="1"/>
  <c r="AD1968" i="1" a="1"/>
  <c r="AD1968" i="1"/>
  <c r="AD1967" i="1" a="1"/>
  <c r="AD1967" i="1"/>
  <c r="AD1966" i="1" a="1"/>
  <c r="AD1966" i="1"/>
  <c r="AD1965" i="1" a="1"/>
  <c r="AD1965" i="1"/>
  <c r="AD1964" i="1" a="1"/>
  <c r="AD1964" i="1"/>
  <c r="AD1963" i="1" a="1"/>
  <c r="AD1963" i="1"/>
  <c r="AD1962" i="1" a="1"/>
  <c r="AD1962" i="1"/>
  <c r="AD1961" i="1" a="1"/>
  <c r="AD1961" i="1"/>
  <c r="AD1960" i="1" a="1"/>
  <c r="AD1960" i="1"/>
  <c r="AD196" i="1" a="1"/>
  <c r="AD196" i="1"/>
  <c r="AD1959" i="1" a="1"/>
  <c r="AD1959" i="1"/>
  <c r="AD1958" i="1" a="1"/>
  <c r="AD1958" i="1"/>
  <c r="AD1957" i="1" a="1"/>
  <c r="AD1957" i="1"/>
  <c r="AD1956" i="1" a="1"/>
  <c r="AD1956" i="1"/>
  <c r="AD1955" i="1" a="1"/>
  <c r="AD1955" i="1"/>
  <c r="AD1954" i="1" a="1"/>
  <c r="AD1954" i="1"/>
  <c r="AD1953" i="1" a="1"/>
  <c r="AD1953" i="1"/>
  <c r="AD1952" i="1" a="1"/>
  <c r="AD1952" i="1"/>
  <c r="AD1951" i="1" a="1"/>
  <c r="AD1951" i="1"/>
  <c r="AD1950" i="1" a="1"/>
  <c r="AD1950" i="1"/>
  <c r="AD195" i="1" a="1"/>
  <c r="AD195" i="1"/>
  <c r="AD1949" i="1" a="1"/>
  <c r="AD1949" i="1"/>
  <c r="AD1948" i="1" a="1"/>
  <c r="AD1948" i="1"/>
  <c r="AD1947" i="1" a="1"/>
  <c r="AD1947" i="1"/>
  <c r="AD1946" i="1" a="1"/>
  <c r="AD1946" i="1"/>
  <c r="AD1945" i="1" a="1"/>
  <c r="AD1945" i="1"/>
  <c r="AD1944" i="1" a="1"/>
  <c r="AD1944" i="1"/>
  <c r="AD1943" i="1" a="1"/>
  <c r="AD1943" i="1"/>
  <c r="AD1942" i="1" a="1"/>
  <c r="AD1942" i="1"/>
  <c r="AD1941" i="1" a="1"/>
  <c r="AD1941" i="1"/>
  <c r="AD1940" i="1" a="1"/>
  <c r="AD1940" i="1"/>
  <c r="AD194" i="1" a="1"/>
  <c r="AD194" i="1"/>
  <c r="AD1939" i="1" a="1"/>
  <c r="AD1939" i="1"/>
  <c r="AD1938" i="1" a="1"/>
  <c r="AD1938" i="1"/>
  <c r="AD1937" i="1" a="1"/>
  <c r="AD1937" i="1"/>
  <c r="AD1936" i="1" a="1"/>
  <c r="AD1936" i="1"/>
  <c r="AD1935" i="1" a="1"/>
  <c r="AD1935" i="1"/>
  <c r="AD1934" i="1" a="1"/>
  <c r="AD1934" i="1"/>
  <c r="AD1933" i="1" a="1"/>
  <c r="AD1933" i="1"/>
  <c r="AD1932" i="1" a="1"/>
  <c r="AD1932" i="1"/>
  <c r="AD1931" i="1" a="1"/>
  <c r="AD1931" i="1"/>
  <c r="AD1930" i="1" a="1"/>
  <c r="AD1930" i="1"/>
  <c r="AD193" i="1" a="1"/>
  <c r="AD193" i="1"/>
  <c r="AD1929" i="1" a="1"/>
  <c r="AD1929" i="1"/>
  <c r="AD1928" i="1" a="1"/>
  <c r="AD1928" i="1"/>
  <c r="AD1927" i="1" a="1"/>
  <c r="AD1927" i="1"/>
  <c r="AD1926" i="1" a="1"/>
  <c r="AD1926" i="1"/>
  <c r="AD1925" i="1" a="1"/>
  <c r="AD1925" i="1"/>
  <c r="AD1924" i="1" a="1"/>
  <c r="AD1924" i="1"/>
  <c r="AD1923" i="1" a="1"/>
  <c r="AD1923" i="1"/>
  <c r="AD1922" i="1" a="1"/>
  <c r="AD1922" i="1"/>
  <c r="AD1921" i="1" a="1"/>
  <c r="AD1921" i="1"/>
  <c r="AD1920" i="1" a="1"/>
  <c r="AD1920" i="1"/>
  <c r="AD192" i="1" a="1"/>
  <c r="AD192" i="1"/>
  <c r="AD1919" i="1" a="1"/>
  <c r="AD1919" i="1"/>
  <c r="AD1918" i="1" a="1"/>
  <c r="AD1918" i="1"/>
  <c r="AD1917" i="1" a="1"/>
  <c r="AD1917" i="1"/>
  <c r="AD1916" i="1" a="1"/>
  <c r="AD1916" i="1"/>
  <c r="AD1915" i="1" a="1"/>
  <c r="AD1915" i="1"/>
  <c r="AD1914" i="1" a="1"/>
  <c r="AD1914" i="1"/>
  <c r="AD1913" i="1" a="1"/>
  <c r="AD1913" i="1"/>
  <c r="AD1912" i="1" a="1"/>
  <c r="AD1912" i="1"/>
  <c r="AD1911" i="1" a="1"/>
  <c r="AD1911" i="1"/>
  <c r="AD1910" i="1" a="1"/>
  <c r="AD1910" i="1"/>
  <c r="AD191" i="1" a="1"/>
  <c r="AD191" i="1"/>
  <c r="AD1909" i="1" a="1"/>
  <c r="AD1909" i="1"/>
  <c r="AD1908" i="1" a="1"/>
  <c r="AD1908" i="1"/>
  <c r="AD1907" i="1" a="1"/>
  <c r="AD1907" i="1"/>
  <c r="AD1906" i="1" a="1"/>
  <c r="AD1906" i="1"/>
  <c r="AD1905" i="1" a="1"/>
  <c r="AD1905" i="1"/>
  <c r="AD1904" i="1" a="1"/>
  <c r="AD1904" i="1"/>
  <c r="AD1903" i="1" a="1"/>
  <c r="AD1903" i="1"/>
  <c r="AD1902" i="1" a="1"/>
  <c r="AD1902" i="1"/>
  <c r="AD1901" i="1" a="1"/>
  <c r="AD1901" i="1"/>
  <c r="AD1900" i="1" a="1"/>
  <c r="AD1900" i="1"/>
  <c r="AD190" i="1" a="1"/>
  <c r="AD190" i="1"/>
  <c r="AD19" i="1" a="1"/>
  <c r="AD19" i="1"/>
  <c r="AD1899" i="1" a="1"/>
  <c r="AD1899" i="1"/>
  <c r="AD1898" i="1" a="1"/>
  <c r="AD1898" i="1"/>
  <c r="AD1897" i="1" a="1"/>
  <c r="AD1897" i="1"/>
  <c r="AD1896" i="1" a="1"/>
  <c r="AD1896" i="1"/>
  <c r="AD1895" i="1" a="1"/>
  <c r="AD1895" i="1"/>
  <c r="AD1894" i="1" a="1"/>
  <c r="AD1894" i="1"/>
  <c r="AD1893" i="1" a="1"/>
  <c r="AD1893" i="1"/>
  <c r="AD1892" i="1" a="1"/>
  <c r="AD1892" i="1"/>
  <c r="AD1891" i="1" a="1"/>
  <c r="AD1891" i="1"/>
  <c r="AD1890" i="1" a="1"/>
  <c r="AD1890" i="1"/>
  <c r="AD189" i="1" a="1"/>
  <c r="AD189" i="1"/>
  <c r="AD1889" i="1" a="1"/>
  <c r="AD1889" i="1"/>
  <c r="AD1888" i="1" a="1"/>
  <c r="AD1888" i="1"/>
  <c r="AD1887" i="1" a="1"/>
  <c r="AD1887" i="1"/>
  <c r="AD1886" i="1" a="1"/>
  <c r="AD1886" i="1"/>
  <c r="AD1885" i="1" a="1"/>
  <c r="AD1885" i="1"/>
  <c r="AD1884" i="1" a="1"/>
  <c r="AD1884" i="1"/>
  <c r="AD1883" i="1" a="1"/>
  <c r="AD1883" i="1"/>
  <c r="AD1882" i="1" a="1"/>
  <c r="AD1882" i="1"/>
  <c r="AD1881" i="1" a="1"/>
  <c r="AD1881" i="1"/>
  <c r="AD1880" i="1" a="1"/>
  <c r="AD1880" i="1"/>
  <c r="AD188" i="1" a="1"/>
  <c r="AD188" i="1"/>
  <c r="AD1879" i="1" a="1"/>
  <c r="AD1879" i="1"/>
  <c r="AD1878" i="1" a="1"/>
  <c r="AD1878" i="1"/>
  <c r="AD1877" i="1" a="1"/>
  <c r="AD1877" i="1"/>
  <c r="AD1876" i="1" a="1"/>
  <c r="AD1876" i="1"/>
  <c r="AD1875" i="1" a="1"/>
  <c r="AD1875" i="1"/>
  <c r="AD1874" i="1" a="1"/>
  <c r="AD1874" i="1"/>
  <c r="AD1873" i="1" a="1"/>
  <c r="AD1873" i="1"/>
  <c r="AD1872" i="1" a="1"/>
  <c r="AD1872" i="1"/>
  <c r="AD1871" i="1" a="1"/>
  <c r="AD1871" i="1"/>
  <c r="AD1870" i="1" a="1"/>
  <c r="AD1870" i="1"/>
  <c r="AD187" i="1" a="1"/>
  <c r="AD187" i="1"/>
  <c r="AD1869" i="1" a="1"/>
  <c r="AD1869" i="1"/>
  <c r="AD1868" i="1" a="1"/>
  <c r="AD1868" i="1"/>
  <c r="AD1867" i="1" a="1"/>
  <c r="AD1867" i="1"/>
  <c r="AD1866" i="1" a="1"/>
  <c r="AD1866" i="1"/>
  <c r="AD1865" i="1" a="1"/>
  <c r="AD1865" i="1"/>
  <c r="AD1864" i="1" a="1"/>
  <c r="AD1864" i="1"/>
  <c r="AD1863" i="1" a="1"/>
  <c r="AD1863" i="1"/>
  <c r="AD1862" i="1" a="1"/>
  <c r="AD1862" i="1"/>
  <c r="AD1861" i="1" a="1"/>
  <c r="AD1861" i="1"/>
  <c r="AD1860" i="1" a="1"/>
  <c r="AD1860" i="1"/>
  <c r="AD186" i="1" a="1"/>
  <c r="AD186" i="1"/>
  <c r="AD1859" i="1" a="1"/>
  <c r="AD1859" i="1"/>
  <c r="AD1858" i="1" a="1"/>
  <c r="AD1858" i="1"/>
  <c r="AD1857" i="1" a="1"/>
  <c r="AD1857" i="1"/>
  <c r="AD1856" i="1" a="1"/>
  <c r="AD1856" i="1"/>
  <c r="AD1855" i="1" a="1"/>
  <c r="AD1855" i="1"/>
  <c r="AD1854" i="1" a="1"/>
  <c r="AD1854" i="1"/>
  <c r="AD1853" i="1" a="1"/>
  <c r="AD1853" i="1"/>
  <c r="AD1852" i="1" a="1"/>
  <c r="AD1852" i="1"/>
  <c r="AD1851" i="1" a="1"/>
  <c r="AD1851" i="1"/>
  <c r="AD1850" i="1" a="1"/>
  <c r="AD1850" i="1"/>
  <c r="AD185" i="1" a="1"/>
  <c r="AD185" i="1"/>
  <c r="AD1849" i="1" a="1"/>
  <c r="AD1849" i="1"/>
  <c r="AD1848" i="1" a="1"/>
  <c r="AD1848" i="1"/>
  <c r="AD1847" i="1" a="1"/>
  <c r="AD1847" i="1"/>
  <c r="AD1846" i="1" a="1"/>
  <c r="AD1846" i="1"/>
  <c r="AD1845" i="1" a="1"/>
  <c r="AD1845" i="1"/>
  <c r="AD1844" i="1" a="1"/>
  <c r="AD1844" i="1"/>
  <c r="AD1843" i="1" a="1"/>
  <c r="AD1843" i="1"/>
  <c r="AD1842" i="1" a="1"/>
  <c r="AD1842" i="1"/>
  <c r="AD1841" i="1" a="1"/>
  <c r="AD1841" i="1"/>
  <c r="AD1840" i="1" a="1"/>
  <c r="AD1840" i="1"/>
  <c r="AD184" i="1" a="1"/>
  <c r="AD184" i="1"/>
  <c r="AD1839" i="1" a="1"/>
  <c r="AD1839" i="1"/>
  <c r="AD1838" i="1" a="1"/>
  <c r="AD1838" i="1"/>
  <c r="AD1837" i="1" a="1"/>
  <c r="AD1837" i="1"/>
  <c r="AD1836" i="1" a="1"/>
  <c r="AD1836" i="1"/>
  <c r="AD1835" i="1" a="1"/>
  <c r="AD1835" i="1"/>
  <c r="AD1834" i="1" a="1"/>
  <c r="AD1834" i="1"/>
  <c r="AD1833" i="1" a="1"/>
  <c r="AD1833" i="1"/>
  <c r="AD1832" i="1" a="1"/>
  <c r="AD1832" i="1"/>
  <c r="AD1831" i="1" a="1"/>
  <c r="AD1831" i="1"/>
  <c r="AD1830" i="1" a="1"/>
  <c r="AD1830" i="1"/>
  <c r="AD183" i="1" a="1"/>
  <c r="AD183" i="1"/>
  <c r="AD1829" i="1" a="1"/>
  <c r="AD1829" i="1"/>
  <c r="AD1828" i="1" a="1"/>
  <c r="AD1828" i="1"/>
  <c r="AD1827" i="1" a="1"/>
  <c r="AD1827" i="1"/>
  <c r="AD1826" i="1" a="1"/>
  <c r="AD1826" i="1"/>
  <c r="AD1825" i="1" a="1"/>
  <c r="AD1825" i="1"/>
  <c r="AD1824" i="1" a="1"/>
  <c r="AD1824" i="1"/>
  <c r="AD1823" i="1" a="1"/>
  <c r="AD1823" i="1"/>
  <c r="AD1822" i="1" a="1"/>
  <c r="AD1822" i="1"/>
  <c r="AD1821" i="1" a="1"/>
  <c r="AD1821" i="1"/>
  <c r="AD1820" i="1" a="1"/>
  <c r="AD1820" i="1"/>
  <c r="AD182" i="1" a="1"/>
  <c r="AD182" i="1"/>
  <c r="AD1819" i="1" a="1"/>
  <c r="AD1819" i="1"/>
  <c r="AD1818" i="1" a="1"/>
  <c r="AD1818" i="1"/>
  <c r="AD1817" i="1" a="1"/>
  <c r="AD1817" i="1"/>
  <c r="AD1816" i="1" a="1"/>
  <c r="AD1816" i="1"/>
  <c r="AD1815" i="1" a="1"/>
  <c r="AD1815" i="1"/>
  <c r="AD1814" i="1" a="1"/>
  <c r="AD1814" i="1"/>
  <c r="AD1813" i="1" a="1"/>
  <c r="AD1813" i="1"/>
  <c r="AD1812" i="1" a="1"/>
  <c r="AD1812" i="1"/>
  <c r="AD1811" i="1" a="1"/>
  <c r="AD1811" i="1"/>
  <c r="AD1810" i="1" a="1"/>
  <c r="AD1810" i="1"/>
  <c r="AD181" i="1" a="1"/>
  <c r="AD181" i="1"/>
  <c r="AD1809" i="1" a="1"/>
  <c r="AD1809" i="1"/>
  <c r="AD1808" i="1" a="1"/>
  <c r="AD1808" i="1"/>
  <c r="AD1807" i="1" a="1"/>
  <c r="AD1807" i="1"/>
  <c r="AD1806" i="1" a="1"/>
  <c r="AD1806" i="1"/>
  <c r="AD1805" i="1" a="1"/>
  <c r="AD1805" i="1"/>
  <c r="AD1804" i="1" a="1"/>
  <c r="AD1804" i="1"/>
  <c r="AD1803" i="1" a="1"/>
  <c r="AD1803" i="1"/>
  <c r="AD1802" i="1" a="1"/>
  <c r="AD1802" i="1"/>
  <c r="AD1801" i="1" a="1"/>
  <c r="AD1801" i="1"/>
  <c r="AD1800" i="1" a="1"/>
  <c r="AD1800" i="1"/>
  <c r="AD180" i="1" a="1"/>
  <c r="AD180" i="1"/>
  <c r="AD18" i="1" a="1"/>
  <c r="AD18" i="1"/>
  <c r="AD1799" i="1" a="1"/>
  <c r="AD1799" i="1"/>
  <c r="AD1798" i="1" a="1"/>
  <c r="AD1798" i="1"/>
  <c r="AD1797" i="1" a="1"/>
  <c r="AD1797" i="1"/>
  <c r="AD1796" i="1" a="1"/>
  <c r="AD1796" i="1"/>
  <c r="AD1795" i="1" a="1"/>
  <c r="AD1795" i="1"/>
  <c r="AD1794" i="1" a="1"/>
  <c r="AD1794" i="1"/>
  <c r="AD1793" i="1" a="1"/>
  <c r="AD1793" i="1"/>
  <c r="AD1792" i="1" a="1"/>
  <c r="AD1792" i="1"/>
  <c r="AD1791" i="1" a="1"/>
  <c r="AD1791" i="1"/>
  <c r="AD1790" i="1" a="1"/>
  <c r="AD1790" i="1"/>
  <c r="AD179" i="1" a="1"/>
  <c r="AD179" i="1"/>
  <c r="AD1789" i="1" a="1"/>
  <c r="AD1789" i="1"/>
  <c r="AD1788" i="1" a="1"/>
  <c r="AD1788" i="1"/>
  <c r="AD1787" i="1" a="1"/>
  <c r="AD1787" i="1"/>
  <c r="AD1786" i="1" a="1"/>
  <c r="AD1786" i="1"/>
  <c r="AD1785" i="1" a="1"/>
  <c r="AD1785" i="1"/>
  <c r="AD1784" i="1" a="1"/>
  <c r="AD1784" i="1"/>
  <c r="AD1783" i="1" a="1"/>
  <c r="AD1783" i="1"/>
  <c r="AD1782" i="1" a="1"/>
  <c r="AD1782" i="1"/>
  <c r="AD1781" i="1" a="1"/>
  <c r="AD1781" i="1"/>
  <c r="AD1780" i="1" a="1"/>
  <c r="AD1780" i="1"/>
  <c r="AD178" i="1" a="1"/>
  <c r="AD178" i="1"/>
  <c r="AD1779" i="1" a="1"/>
  <c r="AD1779" i="1"/>
  <c r="AD1778" i="1" a="1"/>
  <c r="AD1778" i="1"/>
  <c r="AD1777" i="1" a="1"/>
  <c r="AD1777" i="1"/>
  <c r="AD1776" i="1" a="1"/>
  <c r="AD1776" i="1"/>
  <c r="AD1775" i="1" a="1"/>
  <c r="AD1775" i="1"/>
  <c r="AD1774" i="1" a="1"/>
  <c r="AD1774" i="1"/>
  <c r="AD1773" i="1" a="1"/>
  <c r="AD1773" i="1"/>
  <c r="AD1772" i="1" a="1"/>
  <c r="AD1772" i="1"/>
  <c r="AD1771" i="1" a="1"/>
  <c r="AD1771" i="1"/>
  <c r="AD1770" i="1" a="1"/>
  <c r="AD1770" i="1"/>
  <c r="AD177" i="1" a="1"/>
  <c r="AD177" i="1"/>
  <c r="AD1769" i="1" a="1"/>
  <c r="AD1769" i="1"/>
  <c r="AD1768" i="1" a="1"/>
  <c r="AD1768" i="1"/>
  <c r="AD1767" i="1" a="1"/>
  <c r="AD1767" i="1"/>
  <c r="AD1766" i="1" a="1"/>
  <c r="AD1766" i="1"/>
  <c r="AD1765" i="1" a="1"/>
  <c r="AD1765" i="1"/>
  <c r="AD1764" i="1" a="1"/>
  <c r="AD1764" i="1"/>
  <c r="AD1763" i="1" a="1"/>
  <c r="AD1763" i="1"/>
  <c r="AD1762" i="1" a="1"/>
  <c r="AD1762" i="1"/>
  <c r="AD1761" i="1" a="1"/>
  <c r="AD1761" i="1"/>
  <c r="AD1760" i="1" a="1"/>
  <c r="AD1760" i="1"/>
  <c r="AD176" i="1" a="1"/>
  <c r="AD176" i="1"/>
  <c r="AD1759" i="1" a="1"/>
  <c r="AD1759" i="1"/>
  <c r="AD1758" i="1" a="1"/>
  <c r="AD1758" i="1"/>
  <c r="AD1757" i="1" a="1"/>
  <c r="AD1757" i="1"/>
  <c r="AD1756" i="1" a="1"/>
  <c r="AD1756" i="1"/>
  <c r="AD1755" i="1" a="1"/>
  <c r="AD1755" i="1"/>
  <c r="AD1754" i="1" a="1"/>
  <c r="AD1754" i="1"/>
  <c r="AD1753" i="1" a="1"/>
  <c r="AD1753" i="1"/>
  <c r="AD1752" i="1" a="1"/>
  <c r="AD1752" i="1"/>
  <c r="AD1751" i="1" a="1"/>
  <c r="AD1751" i="1"/>
  <c r="AD1750" i="1" a="1"/>
  <c r="AD1750" i="1"/>
  <c r="AD175" i="1" a="1"/>
  <c r="AD175" i="1"/>
  <c r="AD1749" i="1" a="1"/>
  <c r="AD1749" i="1"/>
  <c r="AD1748" i="1" a="1"/>
  <c r="AD1748" i="1"/>
  <c r="AD1747" i="1" a="1"/>
  <c r="AD1747" i="1"/>
  <c r="AD1746" i="1" a="1"/>
  <c r="AD1746" i="1"/>
  <c r="AD1745" i="1" a="1"/>
  <c r="AD1745" i="1"/>
  <c r="AD1744" i="1" a="1"/>
  <c r="AD1744" i="1"/>
  <c r="AD1743" i="1" a="1"/>
  <c r="AD1743" i="1"/>
  <c r="AD1742" i="1" a="1"/>
  <c r="AD1742" i="1"/>
  <c r="AD1741" i="1" a="1"/>
  <c r="AD1741" i="1"/>
  <c r="AD1740" i="1" a="1"/>
  <c r="AD1740" i="1"/>
  <c r="AD174" i="1" a="1"/>
  <c r="AD174" i="1"/>
  <c r="AD1739" i="1" a="1"/>
  <c r="AD1739" i="1"/>
  <c r="AD1738" i="1" a="1"/>
  <c r="AD1738" i="1"/>
  <c r="AD1737" i="1" a="1"/>
  <c r="AD1737" i="1"/>
  <c r="AD1736" i="1" a="1"/>
  <c r="AD1736" i="1"/>
  <c r="AD1735" i="1" a="1"/>
  <c r="AD1735" i="1"/>
  <c r="AD1734" i="1" a="1"/>
  <c r="AD1734" i="1"/>
  <c r="AD1733" i="1" a="1"/>
  <c r="AD1733" i="1"/>
  <c r="AD1732" i="1" a="1"/>
  <c r="AD1732" i="1"/>
  <c r="AD1731" i="1" a="1"/>
  <c r="AD1731" i="1"/>
  <c r="AD1730" i="1" a="1"/>
  <c r="AD1730" i="1"/>
  <c r="AD173" i="1" a="1"/>
  <c r="AD173" i="1"/>
  <c r="AD1729" i="1" a="1"/>
  <c r="AD1729" i="1"/>
  <c r="AD1728" i="1" a="1"/>
  <c r="AD1728" i="1"/>
  <c r="AD1727" i="1" a="1"/>
  <c r="AD1727" i="1"/>
  <c r="AD1726" i="1" a="1"/>
  <c r="AD1726" i="1"/>
  <c r="AD1725" i="1" a="1"/>
  <c r="AD1725" i="1"/>
  <c r="AD1724" i="1" a="1"/>
  <c r="AD1724" i="1"/>
  <c r="AD1723" i="1" a="1"/>
  <c r="AD1723" i="1"/>
  <c r="AD1722" i="1" a="1"/>
  <c r="AD1722" i="1"/>
  <c r="AD1721" i="1" a="1"/>
  <c r="AD1721" i="1"/>
  <c r="AD1720" i="1" a="1"/>
  <c r="AD1720" i="1"/>
  <c r="AD172" i="1" a="1"/>
  <c r="AD172" i="1"/>
  <c r="AD1719" i="1" a="1"/>
  <c r="AD1719" i="1"/>
  <c r="AD1718" i="1" a="1"/>
  <c r="AD1718" i="1"/>
  <c r="AD1717" i="1" a="1"/>
  <c r="AD1717" i="1"/>
  <c r="AD1716" i="1" a="1"/>
  <c r="AD1716" i="1"/>
  <c r="AD1715" i="1" a="1"/>
  <c r="AD1715" i="1"/>
  <c r="AD1714" i="1" a="1"/>
  <c r="AD1714" i="1"/>
  <c r="AD1713" i="1" a="1"/>
  <c r="AD1713" i="1"/>
  <c r="AD1712" i="1" a="1"/>
  <c r="AD1712" i="1"/>
  <c r="AD1711" i="1" a="1"/>
  <c r="AD1711" i="1"/>
  <c r="AD1710" i="1" a="1"/>
  <c r="AD1710" i="1"/>
  <c r="AD171" i="1" a="1"/>
  <c r="AD171" i="1"/>
  <c r="AD1709" i="1" a="1"/>
  <c r="AD1709" i="1"/>
  <c r="AD1708" i="1" a="1"/>
  <c r="AD1708" i="1"/>
  <c r="AD1707" i="1" a="1"/>
  <c r="AD1707" i="1"/>
  <c r="AD1706" i="1" a="1"/>
  <c r="AD1706" i="1"/>
  <c r="AD1705" i="1" a="1"/>
  <c r="AD1705" i="1"/>
  <c r="AD1704" i="1" a="1"/>
  <c r="AD1704" i="1"/>
  <c r="AD1703" i="1" a="1"/>
  <c r="AD1703" i="1"/>
  <c r="AD1702" i="1" a="1"/>
  <c r="AD1702" i="1"/>
  <c r="AD1701" i="1" a="1"/>
  <c r="AD1701" i="1"/>
  <c r="AD1700" i="1" a="1"/>
  <c r="AD1700" i="1"/>
  <c r="AD170" i="1" a="1"/>
  <c r="AD170" i="1"/>
  <c r="AD17" i="1" a="1"/>
  <c r="AD17" i="1"/>
  <c r="AD1699" i="1" a="1"/>
  <c r="AD1699" i="1"/>
  <c r="AD1698" i="1" a="1"/>
  <c r="AD1698" i="1"/>
  <c r="AD1697" i="1" a="1"/>
  <c r="AD1697" i="1"/>
  <c r="AD1696" i="1" a="1"/>
  <c r="AD1696" i="1"/>
  <c r="AD1695" i="1" a="1"/>
  <c r="AD1695" i="1"/>
  <c r="AD1694" i="1" a="1"/>
  <c r="AD1694" i="1"/>
  <c r="AD1693" i="1" a="1"/>
  <c r="AD1693" i="1"/>
  <c r="AD1692" i="1" a="1"/>
  <c r="AD1692" i="1"/>
  <c r="AD1691" i="1" a="1"/>
  <c r="AD1691" i="1"/>
  <c r="AD1690" i="1" a="1"/>
  <c r="AD1690" i="1"/>
  <c r="AD169" i="1" a="1"/>
  <c r="AD169" i="1"/>
  <c r="AD1689" i="1" a="1"/>
  <c r="AD1689" i="1"/>
  <c r="AD1688" i="1" a="1"/>
  <c r="AD1688" i="1"/>
  <c r="AD1687" i="1" a="1"/>
  <c r="AD1687" i="1"/>
  <c r="AD1686" i="1" a="1"/>
  <c r="AD1686" i="1"/>
  <c r="AD1685" i="1" a="1"/>
  <c r="AD1685" i="1"/>
  <c r="AD1684" i="1" a="1"/>
  <c r="AD1684" i="1"/>
  <c r="AD1683" i="1" a="1"/>
  <c r="AD1683" i="1"/>
  <c r="AD1682" i="1" a="1"/>
  <c r="AD1682" i="1"/>
  <c r="AD1681" i="1" a="1"/>
  <c r="AD1681" i="1"/>
  <c r="AD1680" i="1" a="1"/>
  <c r="AD1680" i="1"/>
  <c r="AD168" i="1" a="1"/>
  <c r="AD168" i="1"/>
  <c r="AD1679" i="1" a="1"/>
  <c r="AD1679" i="1"/>
  <c r="AD1678" i="1" a="1"/>
  <c r="AD1678" i="1"/>
  <c r="AD1677" i="1" a="1"/>
  <c r="AD1677" i="1"/>
  <c r="AD1676" i="1" a="1"/>
  <c r="AD1676" i="1"/>
  <c r="AD1675" i="1" a="1"/>
  <c r="AD1675" i="1"/>
  <c r="AD1674" i="1" a="1"/>
  <c r="AD1674" i="1"/>
  <c r="AD1673" i="1" a="1"/>
  <c r="AD1673" i="1"/>
  <c r="AD1672" i="1" a="1"/>
  <c r="AD1672" i="1"/>
  <c r="AD1671" i="1" a="1"/>
  <c r="AD1671" i="1"/>
  <c r="AD1670" i="1" a="1"/>
  <c r="AD1670" i="1"/>
  <c r="AD167" i="1" a="1"/>
  <c r="AD167" i="1"/>
  <c r="AD1669" i="1" a="1"/>
  <c r="AD1669" i="1"/>
  <c r="AD1668" i="1" a="1"/>
  <c r="AD1668" i="1"/>
  <c r="AD1667" i="1" a="1"/>
  <c r="AD1667" i="1"/>
  <c r="AD1666" i="1" a="1"/>
  <c r="AD1666" i="1"/>
  <c r="AD1665" i="1" a="1"/>
  <c r="AD1665" i="1"/>
  <c r="AD1664" i="1" a="1"/>
  <c r="AD1664" i="1"/>
  <c r="AD1663" i="1" a="1"/>
  <c r="AD1663" i="1"/>
  <c r="AD1662" i="1" a="1"/>
  <c r="AD1662" i="1"/>
  <c r="AD1661" i="1" a="1"/>
  <c r="AD1661" i="1"/>
  <c r="AD1660" i="1" a="1"/>
  <c r="AD1660" i="1"/>
  <c r="AD166" i="1" a="1"/>
  <c r="AD166" i="1"/>
  <c r="AD1659" i="1" a="1"/>
  <c r="AD1659" i="1"/>
  <c r="AD1658" i="1" a="1"/>
  <c r="AD1658" i="1"/>
  <c r="AD1657" i="1" a="1"/>
  <c r="AD1657" i="1"/>
  <c r="AD1656" i="1" a="1"/>
  <c r="AD1656" i="1"/>
  <c r="AD1655" i="1" a="1"/>
  <c r="AD1655" i="1"/>
  <c r="AD1654" i="1" a="1"/>
  <c r="AD1654" i="1"/>
  <c r="AD1653" i="1" a="1"/>
  <c r="AD1653" i="1"/>
  <c r="AD1652" i="1" a="1"/>
  <c r="AD1652" i="1"/>
  <c r="AD1651" i="1" a="1"/>
  <c r="AD1651" i="1"/>
  <c r="AD1650" i="1" a="1"/>
  <c r="AD1650" i="1"/>
  <c r="AD165" i="1" a="1"/>
  <c r="AD165" i="1"/>
  <c r="AD1649" i="1" a="1"/>
  <c r="AD1649" i="1"/>
  <c r="AD1648" i="1" a="1"/>
  <c r="AD1648" i="1"/>
  <c r="AD1647" i="1" a="1"/>
  <c r="AD1647" i="1"/>
  <c r="AD1646" i="1" a="1"/>
  <c r="AD1646" i="1"/>
  <c r="AD1645" i="1" a="1"/>
  <c r="AD1645" i="1"/>
  <c r="AD1644" i="1" a="1"/>
  <c r="AD1644" i="1"/>
  <c r="AD1643" i="1" a="1"/>
  <c r="AD1643" i="1"/>
  <c r="AD1642" i="1" a="1"/>
  <c r="AD1642" i="1"/>
  <c r="AD1641" i="1" a="1"/>
  <c r="AD1641" i="1"/>
  <c r="AD1640" i="1" a="1"/>
  <c r="AD1640" i="1"/>
  <c r="AD164" i="1" a="1"/>
  <c r="AD164" i="1"/>
  <c r="AD1639" i="1" a="1"/>
  <c r="AD1639" i="1"/>
  <c r="AD1638" i="1" a="1"/>
  <c r="AD1638" i="1"/>
  <c r="AD1637" i="1" a="1"/>
  <c r="AD1637" i="1"/>
  <c r="AD1636" i="1" a="1"/>
  <c r="AD1636" i="1"/>
  <c r="AD1635" i="1" a="1"/>
  <c r="AD1635" i="1"/>
  <c r="AD1634" i="1" a="1"/>
  <c r="AD1634" i="1"/>
  <c r="AD1633" i="1" a="1"/>
  <c r="AD1633" i="1"/>
  <c r="AD1632" i="1" a="1"/>
  <c r="AD1632" i="1"/>
  <c r="AD1631" i="1" a="1"/>
  <c r="AD1631" i="1"/>
  <c r="AD1630" i="1" a="1"/>
  <c r="AD1630" i="1"/>
  <c r="AD163" i="1" a="1"/>
  <c r="AD163" i="1"/>
  <c r="AD1629" i="1" a="1"/>
  <c r="AD1629" i="1"/>
  <c r="AD1628" i="1" a="1"/>
  <c r="AD1628" i="1"/>
  <c r="AD1627" i="1" a="1"/>
  <c r="AD1627" i="1"/>
  <c r="AD1626" i="1" a="1"/>
  <c r="AD1626" i="1"/>
  <c r="AD1625" i="1" a="1"/>
  <c r="AD1625" i="1"/>
  <c r="AD1624" i="1" a="1"/>
  <c r="AD1624" i="1"/>
  <c r="AD1623" i="1" a="1"/>
  <c r="AD1623" i="1"/>
  <c r="AD1622" i="1" a="1"/>
  <c r="AD1622" i="1"/>
  <c r="AD1621" i="1" a="1"/>
  <c r="AD1621" i="1"/>
  <c r="AD1620" i="1" a="1"/>
  <c r="AD1620" i="1"/>
  <c r="AD162" i="1" a="1"/>
  <c r="AD162" i="1"/>
  <c r="AD1619" i="1" a="1"/>
  <c r="AD1619" i="1"/>
  <c r="AD1618" i="1" a="1"/>
  <c r="AD1618" i="1"/>
  <c r="AD1617" i="1" a="1"/>
  <c r="AD1617" i="1"/>
  <c r="AD1616" i="1" a="1"/>
  <c r="AD1616" i="1"/>
  <c r="AD1615" i="1" a="1"/>
  <c r="AD1615" i="1"/>
  <c r="AD1614" i="1" a="1"/>
  <c r="AD1614" i="1"/>
  <c r="AD1613" i="1" a="1"/>
  <c r="AD1613" i="1"/>
  <c r="AD1612" i="1" a="1"/>
  <c r="AD1612" i="1"/>
  <c r="AD1611" i="1" a="1"/>
  <c r="AD1611" i="1"/>
  <c r="AD1610" i="1" a="1"/>
  <c r="AD1610" i="1"/>
  <c r="AD161" i="1" a="1"/>
  <c r="AD161" i="1"/>
  <c r="AD1609" i="1" a="1"/>
  <c r="AD1609" i="1"/>
  <c r="AD1608" i="1" a="1"/>
  <c r="AD1608" i="1"/>
  <c r="AD1607" i="1" a="1"/>
  <c r="AD1607" i="1"/>
  <c r="AD1606" i="1" a="1"/>
  <c r="AD1606" i="1"/>
  <c r="AD1605" i="1" a="1"/>
  <c r="AD1605" i="1"/>
  <c r="AD1604" i="1" a="1"/>
  <c r="AD1604" i="1"/>
  <c r="AD1603" i="1" a="1"/>
  <c r="AD1603" i="1"/>
  <c r="AD1602" i="1" a="1"/>
  <c r="AD1602" i="1"/>
  <c r="AD1601" i="1" a="1"/>
  <c r="AD1601" i="1"/>
  <c r="AD1600" i="1" a="1"/>
  <c r="AD1600" i="1"/>
  <c r="AD160" i="1" a="1"/>
  <c r="AD160" i="1"/>
  <c r="AD16" i="1" a="1"/>
  <c r="AD16" i="1"/>
  <c r="AD1599" i="1" a="1"/>
  <c r="AD1599" i="1"/>
  <c r="AD1598" i="1" a="1"/>
  <c r="AD1598" i="1"/>
  <c r="AD1597" i="1" a="1"/>
  <c r="AD1597" i="1"/>
  <c r="AD1596" i="1" a="1"/>
  <c r="AD1596" i="1"/>
  <c r="AD1595" i="1" a="1"/>
  <c r="AD1595" i="1"/>
  <c r="AD1594" i="1" a="1"/>
  <c r="AD1594" i="1"/>
  <c r="AD1593" i="1" a="1"/>
  <c r="AD1593" i="1"/>
  <c r="AD1592" i="1" a="1"/>
  <c r="AD1592" i="1"/>
  <c r="AD1591" i="1" a="1"/>
  <c r="AD1591" i="1"/>
  <c r="AD1590" i="1" a="1"/>
  <c r="AD1590" i="1"/>
  <c r="AD159" i="1" a="1"/>
  <c r="AD159" i="1"/>
  <c r="AD1589" i="1" a="1"/>
  <c r="AD1589" i="1"/>
  <c r="AD1588" i="1" a="1"/>
  <c r="AD1588" i="1"/>
  <c r="AD1587" i="1" a="1"/>
  <c r="AD1587" i="1"/>
  <c r="AD1586" i="1" a="1"/>
  <c r="AD1586" i="1"/>
  <c r="AD1585" i="1" a="1"/>
  <c r="AD1585" i="1"/>
  <c r="AD1584" i="1" a="1"/>
  <c r="AD1584" i="1"/>
  <c r="AD1583" i="1" a="1"/>
  <c r="AD1583" i="1"/>
  <c r="AD1582" i="1" a="1"/>
  <c r="AD1582" i="1"/>
  <c r="AD1581" i="1" a="1"/>
  <c r="AD1581" i="1"/>
  <c r="AD1580" i="1" a="1"/>
  <c r="AD1580" i="1"/>
  <c r="AD158" i="1" a="1"/>
  <c r="AD158" i="1"/>
  <c r="AD1579" i="1" a="1"/>
  <c r="AD1579" i="1"/>
  <c r="AD1578" i="1" a="1"/>
  <c r="AD1578" i="1"/>
  <c r="AD1577" i="1" a="1"/>
  <c r="AD1577" i="1"/>
  <c r="AD1576" i="1" a="1"/>
  <c r="AD1576" i="1"/>
  <c r="AD1575" i="1" a="1"/>
  <c r="AD1575" i="1"/>
  <c r="AD1574" i="1" a="1"/>
  <c r="AD1574" i="1"/>
  <c r="AD1573" i="1" a="1"/>
  <c r="AD1573" i="1"/>
  <c r="AD1572" i="1" a="1"/>
  <c r="AD1572" i="1"/>
  <c r="AD1571" i="1" a="1"/>
  <c r="AD1571" i="1"/>
  <c r="AD1570" i="1" a="1"/>
  <c r="AD1570" i="1"/>
  <c r="AD157" i="1" a="1"/>
  <c r="AD157" i="1"/>
  <c r="AD1569" i="1" a="1"/>
  <c r="AD1569" i="1"/>
  <c r="AD1568" i="1" a="1"/>
  <c r="AD1568" i="1"/>
  <c r="AD1567" i="1" a="1"/>
  <c r="AD1567" i="1"/>
  <c r="AD1566" i="1" a="1"/>
  <c r="AD1566" i="1"/>
  <c r="AD1565" i="1" a="1"/>
  <c r="AD1565" i="1"/>
  <c r="AD1564" i="1" a="1"/>
  <c r="AD1564" i="1"/>
  <c r="AD1563" i="1" a="1"/>
  <c r="AD1563" i="1"/>
  <c r="AD1562" i="1" a="1"/>
  <c r="AD1562" i="1"/>
  <c r="AD1561" i="1" a="1"/>
  <c r="AD1561" i="1"/>
  <c r="AD1560" i="1" a="1"/>
  <c r="AD1560" i="1"/>
  <c r="AD156" i="1" a="1"/>
  <c r="AD156" i="1"/>
  <c r="AD1559" i="1" a="1"/>
  <c r="AD1559" i="1"/>
  <c r="AD1558" i="1" a="1"/>
  <c r="AD1558" i="1"/>
  <c r="AD1557" i="1" a="1"/>
  <c r="AD1557" i="1"/>
  <c r="AD1556" i="1" a="1"/>
  <c r="AD1556" i="1"/>
  <c r="AD1555" i="1" a="1"/>
  <c r="AD1555" i="1"/>
  <c r="AD1554" i="1" a="1"/>
  <c r="AD1554" i="1"/>
  <c r="AD1553" i="1" a="1"/>
  <c r="AD1553" i="1"/>
  <c r="AD1552" i="1" a="1"/>
  <c r="AD1552" i="1"/>
  <c r="AD1551" i="1" a="1"/>
  <c r="AD1551" i="1"/>
  <c r="AD1550" i="1" a="1"/>
  <c r="AD1550" i="1"/>
  <c r="AD155" i="1" a="1"/>
  <c r="AD155" i="1"/>
  <c r="AD1549" i="1" a="1"/>
  <c r="AD1549" i="1"/>
  <c r="AD1548" i="1" a="1"/>
  <c r="AD1548" i="1"/>
  <c r="AD1547" i="1" a="1"/>
  <c r="AD1547" i="1"/>
  <c r="AD1546" i="1" a="1"/>
  <c r="AD1546" i="1"/>
  <c r="AD1545" i="1" a="1"/>
  <c r="AD1545" i="1"/>
  <c r="AD1544" i="1" a="1"/>
  <c r="AD1544" i="1"/>
  <c r="AD1543" i="1" a="1"/>
  <c r="AD1543" i="1"/>
  <c r="AD1542" i="1" a="1"/>
  <c r="AD1542" i="1"/>
  <c r="AD1541" i="1" a="1"/>
  <c r="AD1541" i="1"/>
  <c r="AD1540" i="1" a="1"/>
  <c r="AD1540" i="1"/>
  <c r="AD154" i="1" a="1"/>
  <c r="AD154" i="1"/>
  <c r="AD1539" i="1" a="1"/>
  <c r="AD1539" i="1"/>
  <c r="AD1538" i="1" a="1"/>
  <c r="AD1538" i="1"/>
  <c r="AD1537" i="1" a="1"/>
  <c r="AD1537" i="1"/>
  <c r="AD1536" i="1" a="1"/>
  <c r="AD1536" i="1"/>
  <c r="AD1535" i="1" a="1"/>
  <c r="AD1535" i="1"/>
  <c r="AD1534" i="1" a="1"/>
  <c r="AD1534" i="1"/>
  <c r="AD1533" i="1" a="1"/>
  <c r="AD1533" i="1"/>
  <c r="AD1532" i="1" a="1"/>
  <c r="AD1532" i="1"/>
  <c r="AD1531" i="1" a="1"/>
  <c r="AD1531" i="1"/>
  <c r="AD1530" i="1" a="1"/>
  <c r="AD1530" i="1"/>
  <c r="AD153" i="1" a="1"/>
  <c r="AD153" i="1"/>
  <c r="AD1529" i="1" a="1"/>
  <c r="AD1529" i="1"/>
  <c r="AD1528" i="1" a="1"/>
  <c r="AD1528" i="1"/>
  <c r="AD1527" i="1" a="1"/>
  <c r="AD1527" i="1"/>
  <c r="AD1526" i="1" a="1"/>
  <c r="AD1526" i="1"/>
  <c r="AD1525" i="1" a="1"/>
  <c r="AD1525" i="1"/>
  <c r="AD1524" i="1" a="1"/>
  <c r="AD1524" i="1"/>
  <c r="AD1523" i="1" a="1"/>
  <c r="AD1523" i="1"/>
  <c r="AD1522" i="1" a="1"/>
  <c r="AD1522" i="1"/>
  <c r="AD1521" i="1" a="1"/>
  <c r="AD1521" i="1"/>
  <c r="AD1520" i="1" a="1"/>
  <c r="AD1520" i="1"/>
  <c r="AD152" i="1" a="1"/>
  <c r="AD152" i="1"/>
  <c r="AD1519" i="1" a="1"/>
  <c r="AD1519" i="1"/>
  <c r="AD1518" i="1" a="1"/>
  <c r="AD1518" i="1"/>
  <c r="AD1517" i="1" a="1"/>
  <c r="AD1517" i="1"/>
  <c r="AD1516" i="1" a="1"/>
  <c r="AD1516" i="1"/>
  <c r="AD1515" i="1" a="1"/>
  <c r="AD1515" i="1"/>
  <c r="AD1514" i="1" a="1"/>
  <c r="AD1514" i="1"/>
  <c r="AD1513" i="1" a="1"/>
  <c r="AD1513" i="1"/>
  <c r="AD1512" i="1" a="1"/>
  <c r="AD1512" i="1"/>
  <c r="AD1511" i="1" a="1"/>
  <c r="AD1511" i="1"/>
  <c r="AD1510" i="1" a="1"/>
  <c r="AD1510" i="1"/>
  <c r="AD151" i="1" a="1"/>
  <c r="AD151" i="1"/>
  <c r="AD1509" i="1" a="1"/>
  <c r="AD1509" i="1"/>
  <c r="AD1508" i="1" a="1"/>
  <c r="AD1508" i="1"/>
  <c r="AD1507" i="1" a="1"/>
  <c r="AD1507" i="1"/>
  <c r="AD1506" i="1" a="1"/>
  <c r="AD1506" i="1"/>
  <c r="AD1505" i="1" a="1"/>
  <c r="AD1505" i="1"/>
  <c r="AD1504" i="1" a="1"/>
  <c r="AD1504" i="1"/>
  <c r="AD1503" i="1" a="1"/>
  <c r="AD1503" i="1"/>
  <c r="AD1502" i="1" a="1"/>
  <c r="AD1502" i="1"/>
  <c r="AD1501" i="1" a="1"/>
  <c r="AD1501" i="1"/>
  <c r="AD1500" i="1" a="1"/>
  <c r="AD1500" i="1"/>
  <c r="AD150" i="1" a="1"/>
  <c r="AD150" i="1"/>
  <c r="AD15" i="1" a="1"/>
  <c r="AD15" i="1"/>
  <c r="AD1499" i="1" a="1"/>
  <c r="AD1499" i="1"/>
  <c r="AD1498" i="1" a="1"/>
  <c r="AD1498" i="1"/>
  <c r="AD1497" i="1" a="1"/>
  <c r="AD1497" i="1"/>
  <c r="AD1496" i="1" a="1"/>
  <c r="AD1496" i="1"/>
  <c r="AD1495" i="1" a="1"/>
  <c r="AD1495" i="1"/>
  <c r="AD1494" i="1" a="1"/>
  <c r="AD1494" i="1"/>
  <c r="AD1493" i="1" a="1"/>
  <c r="AD1493" i="1"/>
  <c r="AD1492" i="1" a="1"/>
  <c r="AD1492" i="1"/>
  <c r="AD1491" i="1" a="1"/>
  <c r="AD1491" i="1"/>
  <c r="AD1490" i="1" a="1"/>
  <c r="AD1490" i="1"/>
  <c r="AD149" i="1" a="1"/>
  <c r="AD149" i="1"/>
  <c r="AD1489" i="1" a="1"/>
  <c r="AD1489" i="1"/>
  <c r="AD1488" i="1" a="1"/>
  <c r="AD1488" i="1"/>
  <c r="AD1487" i="1" a="1"/>
  <c r="AD1487" i="1"/>
  <c r="AD1486" i="1" a="1"/>
  <c r="AD1486" i="1"/>
  <c r="AD1485" i="1" a="1"/>
  <c r="AD1485" i="1"/>
  <c r="AD1484" i="1" a="1"/>
  <c r="AD1484" i="1"/>
  <c r="AD1483" i="1" a="1"/>
  <c r="AD1483" i="1"/>
  <c r="AD1482" i="1" a="1"/>
  <c r="AD1482" i="1"/>
  <c r="AD1481" i="1" a="1"/>
  <c r="AD1481" i="1"/>
  <c r="AD1480" i="1" a="1"/>
  <c r="AD1480" i="1"/>
  <c r="AD148" i="1" a="1"/>
  <c r="AD148" i="1"/>
  <c r="AD1479" i="1" a="1"/>
  <c r="AD1479" i="1"/>
  <c r="AD1478" i="1" a="1"/>
  <c r="AD1478" i="1"/>
  <c r="AD1477" i="1" a="1"/>
  <c r="AD1477" i="1"/>
  <c r="AD1476" i="1" a="1"/>
  <c r="AD1476" i="1"/>
  <c r="AD1475" i="1" a="1"/>
  <c r="AD1475" i="1"/>
  <c r="AD1474" i="1" a="1"/>
  <c r="AD1474" i="1"/>
  <c r="AD1473" i="1" a="1"/>
  <c r="AD1473" i="1"/>
  <c r="AD1472" i="1" a="1"/>
  <c r="AD1472" i="1"/>
  <c r="AD1471" i="1" a="1"/>
  <c r="AD1471" i="1"/>
  <c r="AD1470" i="1" a="1"/>
  <c r="AD1470" i="1"/>
  <c r="AD147" i="1" a="1"/>
  <c r="AD147" i="1"/>
  <c r="AD1469" i="1" a="1"/>
  <c r="AD1469" i="1"/>
  <c r="AD1468" i="1" a="1"/>
  <c r="AD1468" i="1"/>
  <c r="AD1467" i="1" a="1"/>
  <c r="AD1467" i="1"/>
  <c r="AD1466" i="1" a="1"/>
  <c r="AD1466" i="1"/>
  <c r="AD1465" i="1" a="1"/>
  <c r="AD1465" i="1"/>
  <c r="AD1464" i="1" a="1"/>
  <c r="AD1464" i="1"/>
  <c r="AD1463" i="1" a="1"/>
  <c r="AD1463" i="1"/>
  <c r="AD1462" i="1" a="1"/>
  <c r="AD1462" i="1"/>
  <c r="AD1461" i="1" a="1"/>
  <c r="AD1461" i="1"/>
  <c r="AD1460" i="1" a="1"/>
  <c r="AD1460" i="1"/>
  <c r="AD146" i="1" a="1"/>
  <c r="AD146" i="1"/>
  <c r="AD1459" i="1" a="1"/>
  <c r="AD1459" i="1"/>
  <c r="AD1458" i="1" a="1"/>
  <c r="AD1458" i="1"/>
  <c r="AD1457" i="1" a="1"/>
  <c r="AD1457" i="1"/>
  <c r="AD1456" i="1" a="1"/>
  <c r="AD1456" i="1"/>
  <c r="AD1455" i="1" a="1"/>
  <c r="AD1455" i="1"/>
  <c r="AD1454" i="1" a="1"/>
  <c r="AD1454" i="1"/>
  <c r="AD1453" i="1" a="1"/>
  <c r="AD1453" i="1"/>
  <c r="AD1452" i="1" a="1"/>
  <c r="AD1452" i="1"/>
  <c r="AD1451" i="1" a="1"/>
  <c r="AD1451" i="1"/>
  <c r="AD1450" i="1" a="1"/>
  <c r="AD1450" i="1"/>
  <c r="AD145" i="1" a="1"/>
  <c r="AD145" i="1"/>
  <c r="AD1449" i="1" a="1"/>
  <c r="AD1449" i="1"/>
  <c r="AD1448" i="1" a="1"/>
  <c r="AD1448" i="1"/>
  <c r="AD1447" i="1" a="1"/>
  <c r="AD1447" i="1"/>
  <c r="AD1446" i="1" a="1"/>
  <c r="AD1446" i="1"/>
  <c r="AD1445" i="1" a="1"/>
  <c r="AD1445" i="1"/>
  <c r="AD1444" i="1" a="1"/>
  <c r="AD1444" i="1"/>
  <c r="AD1443" i="1" a="1"/>
  <c r="AD1443" i="1"/>
  <c r="AD1442" i="1" a="1"/>
  <c r="AD1442" i="1"/>
  <c r="AD1441" i="1" a="1"/>
  <c r="AD1441" i="1"/>
  <c r="AD1440" i="1" a="1"/>
  <c r="AD1440" i="1"/>
  <c r="AD144" i="1" a="1"/>
  <c r="AD144" i="1"/>
  <c r="AD1439" i="1" a="1"/>
  <c r="AD1439" i="1"/>
  <c r="AD1438" i="1" a="1"/>
  <c r="AD1438" i="1"/>
  <c r="AD1437" i="1" a="1"/>
  <c r="AD1437" i="1"/>
  <c r="AD1436" i="1" a="1"/>
  <c r="AD1436" i="1"/>
  <c r="AD1435" i="1" a="1"/>
  <c r="AD1435" i="1"/>
  <c r="AD1434" i="1" a="1"/>
  <c r="AD1434" i="1"/>
  <c r="AD1433" i="1" a="1"/>
  <c r="AD1433" i="1"/>
  <c r="AD1432" i="1" a="1"/>
  <c r="AD1432" i="1"/>
  <c r="AD1431" i="1" a="1"/>
  <c r="AD1431" i="1"/>
  <c r="AD1430" i="1" a="1"/>
  <c r="AD1430" i="1"/>
  <c r="AD143" i="1" a="1"/>
  <c r="AD143" i="1"/>
  <c r="AD1429" i="1" a="1"/>
  <c r="AD1429" i="1"/>
  <c r="AD1428" i="1" a="1"/>
  <c r="AD1428" i="1"/>
  <c r="AD1427" i="1" a="1"/>
  <c r="AD1427" i="1"/>
  <c r="AD1426" i="1" a="1"/>
  <c r="AD1426" i="1"/>
  <c r="AD1425" i="1" a="1"/>
  <c r="AD1425" i="1"/>
  <c r="AD1424" i="1" a="1"/>
  <c r="AD1424" i="1"/>
  <c r="AD1423" i="1" a="1"/>
  <c r="AD1423" i="1"/>
  <c r="AD1422" i="1" a="1"/>
  <c r="AD1422" i="1"/>
  <c r="AD1421" i="1" a="1"/>
  <c r="AD1421" i="1"/>
  <c r="AD1420" i="1" a="1"/>
  <c r="AD1420" i="1"/>
  <c r="AD142" i="1" a="1"/>
  <c r="AD142" i="1"/>
  <c r="AD1419" i="1" a="1"/>
  <c r="AD1419" i="1"/>
  <c r="AD1418" i="1" a="1"/>
  <c r="AD1418" i="1"/>
  <c r="AD1417" i="1" a="1"/>
  <c r="AD1417" i="1"/>
  <c r="AD1416" i="1" a="1"/>
  <c r="AD1416" i="1"/>
  <c r="AD1415" i="1" a="1"/>
  <c r="AD1415" i="1"/>
  <c r="AD1414" i="1" a="1"/>
  <c r="AD1414" i="1"/>
  <c r="AD1413" i="1" a="1"/>
  <c r="AD1413" i="1"/>
  <c r="AD1412" i="1" a="1"/>
  <c r="AD1412" i="1"/>
  <c r="AD1411" i="1" a="1"/>
  <c r="AD1411" i="1"/>
  <c r="AD1410" i="1" a="1"/>
  <c r="AD1410" i="1"/>
  <c r="AD141" i="1" a="1"/>
  <c r="AD141" i="1"/>
  <c r="AD1409" i="1" a="1"/>
  <c r="AD1409" i="1"/>
  <c r="AD1408" i="1" a="1"/>
  <c r="AD1408" i="1"/>
  <c r="AD1407" i="1" a="1"/>
  <c r="AD1407" i="1"/>
  <c r="AD1406" i="1" a="1"/>
  <c r="AD1406" i="1"/>
  <c r="AD1405" i="1" a="1"/>
  <c r="AD1405" i="1"/>
  <c r="AD1404" i="1" a="1"/>
  <c r="AD1404" i="1"/>
  <c r="AD1403" i="1" a="1"/>
  <c r="AD1403" i="1"/>
  <c r="AD1402" i="1" a="1"/>
  <c r="AD1402" i="1"/>
  <c r="AD1401" i="1" a="1"/>
  <c r="AD1401" i="1"/>
  <c r="AD1400" i="1" a="1"/>
  <c r="AD1400" i="1"/>
  <c r="AD140" i="1" a="1"/>
  <c r="AD140" i="1"/>
  <c r="AD14" i="1" a="1"/>
  <c r="AD14" i="1"/>
  <c r="AD1399" i="1" a="1"/>
  <c r="AD1399" i="1"/>
  <c r="AD1398" i="1" a="1"/>
  <c r="AD1398" i="1"/>
  <c r="AD1397" i="1" a="1"/>
  <c r="AD1397" i="1"/>
  <c r="AD1396" i="1" a="1"/>
  <c r="AD1396" i="1"/>
  <c r="AD1395" i="1" a="1"/>
  <c r="AD1395" i="1"/>
  <c r="AD1394" i="1" a="1"/>
  <c r="AD1394" i="1"/>
  <c r="AD1393" i="1" a="1"/>
  <c r="AD1393" i="1"/>
  <c r="AD1392" i="1" a="1"/>
  <c r="AD1392" i="1"/>
  <c r="AD1391" i="1" a="1"/>
  <c r="AD1391" i="1"/>
  <c r="AD1390" i="1" a="1"/>
  <c r="AD1390" i="1"/>
  <c r="AD139" i="1" a="1"/>
  <c r="AD139" i="1"/>
  <c r="AD1389" i="1" a="1"/>
  <c r="AD1389" i="1"/>
  <c r="AD1388" i="1" a="1"/>
  <c r="AD1388" i="1"/>
  <c r="AD1387" i="1" a="1"/>
  <c r="AD1387" i="1"/>
  <c r="AD1386" i="1" a="1"/>
  <c r="AD1386" i="1"/>
  <c r="AD1385" i="1" a="1"/>
  <c r="AD1385" i="1"/>
  <c r="AD1384" i="1" a="1"/>
  <c r="AD1384" i="1"/>
  <c r="AD1383" i="1" a="1"/>
  <c r="AD1383" i="1"/>
  <c r="AD1382" i="1" a="1"/>
  <c r="AD1382" i="1"/>
  <c r="AD1381" i="1" a="1"/>
  <c r="AD1381" i="1"/>
  <c r="AD1380" i="1" a="1"/>
  <c r="AD1380" i="1"/>
  <c r="AD138" i="1" a="1"/>
  <c r="AD138" i="1"/>
  <c r="AD1379" i="1" a="1"/>
  <c r="AD1379" i="1"/>
  <c r="AD1378" i="1" a="1"/>
  <c r="AD1378" i="1"/>
  <c r="AD1377" i="1" a="1"/>
  <c r="AD1377" i="1"/>
  <c r="AD1376" i="1" a="1"/>
  <c r="AD1376" i="1"/>
  <c r="AD1375" i="1" a="1"/>
  <c r="AD1375" i="1"/>
  <c r="AD1374" i="1" a="1"/>
  <c r="AD1374" i="1"/>
  <c r="AD1373" i="1" a="1"/>
  <c r="AD1373" i="1"/>
  <c r="AD1372" i="1" a="1"/>
  <c r="AD1372" i="1"/>
  <c r="AD1371" i="1" a="1"/>
  <c r="AD1371" i="1"/>
  <c r="AD1370" i="1" a="1"/>
  <c r="AD1370" i="1"/>
  <c r="AD137" i="1" a="1"/>
  <c r="AD137" i="1"/>
  <c r="AD1369" i="1" a="1"/>
  <c r="AD1369" i="1"/>
  <c r="AD1368" i="1" a="1"/>
  <c r="AD1368" i="1"/>
  <c r="AD1367" i="1" a="1"/>
  <c r="AD1367" i="1"/>
  <c r="AD1366" i="1" a="1"/>
  <c r="AD1366" i="1"/>
  <c r="AD1365" i="1" a="1"/>
  <c r="AD1365" i="1"/>
  <c r="AD1364" i="1" a="1"/>
  <c r="AD1364" i="1"/>
  <c r="AD1363" i="1" a="1"/>
  <c r="AD1363" i="1"/>
  <c r="AD1362" i="1" a="1"/>
  <c r="AD1362" i="1"/>
  <c r="AD1361" i="1" a="1"/>
  <c r="AD1361" i="1"/>
  <c r="AD1360" i="1" a="1"/>
  <c r="AD1360" i="1"/>
  <c r="AD136" i="1" a="1"/>
  <c r="AD136" i="1"/>
  <c r="AD1359" i="1" a="1"/>
  <c r="AD1359" i="1"/>
  <c r="AD1358" i="1" a="1"/>
  <c r="AD1358" i="1"/>
  <c r="AD1357" i="1" a="1"/>
  <c r="AD1357" i="1"/>
  <c r="AD1356" i="1" a="1"/>
  <c r="AD1356" i="1"/>
  <c r="AD1355" i="1" a="1"/>
  <c r="AD1355" i="1"/>
  <c r="AD1354" i="1" a="1"/>
  <c r="AD1354" i="1"/>
  <c r="AD1353" i="1" a="1"/>
  <c r="AD1353" i="1"/>
  <c r="AD1352" i="1" a="1"/>
  <c r="AD1352" i="1"/>
  <c r="AD1351" i="1" a="1"/>
  <c r="AD1351" i="1"/>
  <c r="AD1350" i="1" a="1"/>
  <c r="AD1350" i="1"/>
  <c r="AD135" i="1" a="1"/>
  <c r="AD135" i="1"/>
  <c r="AD1349" i="1" a="1"/>
  <c r="AD1349" i="1"/>
  <c r="AD1348" i="1" a="1"/>
  <c r="AD1348" i="1"/>
  <c r="AD1347" i="1" a="1"/>
  <c r="AD1347" i="1"/>
  <c r="AD1346" i="1" a="1"/>
  <c r="AD1346" i="1"/>
  <c r="AD1345" i="1" a="1"/>
  <c r="AD1345" i="1"/>
  <c r="AD1344" i="1" a="1"/>
  <c r="AD1344" i="1"/>
  <c r="AD1343" i="1" a="1"/>
  <c r="AD1343" i="1"/>
  <c r="AD1342" i="1" a="1"/>
  <c r="AD1342" i="1"/>
  <c r="AD1341" i="1" a="1"/>
  <c r="AD1341" i="1"/>
  <c r="AD1340" i="1" a="1"/>
  <c r="AD1340" i="1"/>
  <c r="AD134" i="1" a="1"/>
  <c r="AD134" i="1"/>
  <c r="AD1339" i="1" a="1"/>
  <c r="AD1339" i="1"/>
  <c r="AD1338" i="1" a="1"/>
  <c r="AD1338" i="1"/>
  <c r="AD1337" i="1" a="1"/>
  <c r="AD1337" i="1"/>
  <c r="AD1336" i="1" a="1"/>
  <c r="AD1336" i="1"/>
  <c r="AD1335" i="1" a="1"/>
  <c r="AD1335" i="1"/>
  <c r="AD1334" i="1" a="1"/>
  <c r="AD1334" i="1"/>
  <c r="AD1333" i="1" a="1"/>
  <c r="AD1333" i="1"/>
  <c r="AD1332" i="1" a="1"/>
  <c r="AD1332" i="1"/>
  <c r="AD1331" i="1" a="1"/>
  <c r="AD1331" i="1"/>
  <c r="AD1330" i="1" a="1"/>
  <c r="AD1330" i="1"/>
  <c r="AD133" i="1" a="1"/>
  <c r="AD133" i="1"/>
  <c r="AD1329" i="1" a="1"/>
  <c r="AD1329" i="1"/>
  <c r="AD1328" i="1" a="1"/>
  <c r="AD1328" i="1"/>
  <c r="AD1327" i="1" a="1"/>
  <c r="AD1327" i="1"/>
  <c r="AD1326" i="1" a="1"/>
  <c r="AD1326" i="1"/>
  <c r="AD1325" i="1" a="1"/>
  <c r="AD1325" i="1"/>
  <c r="AD1324" i="1" a="1"/>
  <c r="AD1324" i="1"/>
  <c r="AD1323" i="1" a="1"/>
  <c r="AD1323" i="1"/>
  <c r="AD1322" i="1" a="1"/>
  <c r="AD1322" i="1"/>
  <c r="AD1321" i="1" a="1"/>
  <c r="AD1321" i="1"/>
  <c r="AD1320" i="1" a="1"/>
  <c r="AD1320" i="1"/>
  <c r="AD132" i="1" a="1"/>
  <c r="AD132" i="1"/>
  <c r="AD1319" i="1" a="1"/>
  <c r="AD1319" i="1"/>
  <c r="AD1318" i="1" a="1"/>
  <c r="AD1318" i="1"/>
  <c r="AD1317" i="1" a="1"/>
  <c r="AD1317" i="1"/>
  <c r="AD1316" i="1" a="1"/>
  <c r="AD1316" i="1"/>
  <c r="AD1315" i="1" a="1"/>
  <c r="AD1315" i="1"/>
  <c r="AD1314" i="1" a="1"/>
  <c r="AD1314" i="1"/>
  <c r="AD1313" i="1" a="1"/>
  <c r="AD1313" i="1"/>
  <c r="AD1312" i="1" a="1"/>
  <c r="AD1312" i="1"/>
  <c r="AD1311" i="1" a="1"/>
  <c r="AD1311" i="1"/>
  <c r="AD1310" i="1" a="1"/>
  <c r="AD1310" i="1"/>
  <c r="AD131" i="1" a="1"/>
  <c r="AD131" i="1"/>
  <c r="AD1309" i="1" a="1"/>
  <c r="AD1309" i="1"/>
  <c r="AD1308" i="1" a="1"/>
  <c r="AD1308" i="1"/>
  <c r="AD1307" i="1" a="1"/>
  <c r="AD1307" i="1"/>
  <c r="AD1306" i="1" a="1"/>
  <c r="AD1306" i="1"/>
  <c r="AD1305" i="1" a="1"/>
  <c r="AD1305" i="1"/>
  <c r="AD1304" i="1" a="1"/>
  <c r="AD1304" i="1"/>
  <c r="AD1303" i="1" a="1"/>
  <c r="AD1303" i="1"/>
  <c r="AD1302" i="1" a="1"/>
  <c r="AD1302" i="1"/>
  <c r="AD1301" i="1" a="1"/>
  <c r="AD1301" i="1"/>
  <c r="AD1300" i="1" a="1"/>
  <c r="AD1300" i="1"/>
  <c r="AD130" i="1" a="1"/>
  <c r="AD130" i="1"/>
  <c r="AD13" i="1" a="1"/>
  <c r="AD13" i="1"/>
  <c r="AD1299" i="1" a="1"/>
  <c r="AD1299" i="1"/>
  <c r="AD1298" i="1" a="1"/>
  <c r="AD1298" i="1"/>
  <c r="AD1297" i="1" a="1"/>
  <c r="AD1297" i="1"/>
  <c r="AD1296" i="1" a="1"/>
  <c r="AD1296" i="1"/>
  <c r="AD1295" i="1" a="1"/>
  <c r="AD1295" i="1"/>
  <c r="AD1294" i="1" a="1"/>
  <c r="AD1294" i="1"/>
  <c r="AD1293" i="1" a="1"/>
  <c r="AD1293" i="1"/>
  <c r="AD1292" i="1" a="1"/>
  <c r="AD1292" i="1"/>
  <c r="AD1291" i="1" a="1"/>
  <c r="AD1291" i="1"/>
  <c r="AD1290" i="1" a="1"/>
  <c r="AD1290" i="1"/>
  <c r="AD129" i="1" a="1"/>
  <c r="AD129" i="1"/>
  <c r="AD1289" i="1" a="1"/>
  <c r="AD1289" i="1"/>
  <c r="AD1288" i="1" a="1"/>
  <c r="AD1288" i="1"/>
  <c r="AD1287" i="1" a="1"/>
  <c r="AD1287" i="1"/>
  <c r="AD1286" i="1" a="1"/>
  <c r="AD1286" i="1"/>
  <c r="AD1285" i="1" a="1"/>
  <c r="AD1285" i="1"/>
  <c r="AD1284" i="1" a="1"/>
  <c r="AD1284" i="1"/>
  <c r="AD1283" i="1" a="1"/>
  <c r="AD1283" i="1"/>
  <c r="AD1282" i="1" a="1"/>
  <c r="AD1282" i="1"/>
  <c r="AD1281" i="1" a="1"/>
  <c r="AD1281" i="1"/>
  <c r="AD1280" i="1" a="1"/>
  <c r="AD1280" i="1"/>
  <c r="AD128" i="1" a="1"/>
  <c r="AD128" i="1"/>
  <c r="AD1279" i="1" a="1"/>
  <c r="AD1279" i="1"/>
  <c r="AD1278" i="1" a="1"/>
  <c r="AD1278" i="1"/>
  <c r="AD1277" i="1" a="1"/>
  <c r="AD1277" i="1"/>
  <c r="AD1276" i="1" a="1"/>
  <c r="AD1276" i="1"/>
  <c r="AD1275" i="1" a="1"/>
  <c r="AD1275" i="1"/>
  <c r="AD1274" i="1" a="1"/>
  <c r="AD1274" i="1"/>
  <c r="AD1273" i="1" a="1"/>
  <c r="AD1273" i="1"/>
  <c r="AD1272" i="1" a="1"/>
  <c r="AD1272" i="1"/>
  <c r="AD1271" i="1" a="1"/>
  <c r="AD1271" i="1"/>
  <c r="AD1270" i="1" a="1"/>
  <c r="AD1270" i="1"/>
  <c r="AD127" i="1" a="1"/>
  <c r="AD127" i="1"/>
  <c r="AD1269" i="1" a="1"/>
  <c r="AD1269" i="1"/>
  <c r="AD1268" i="1" a="1"/>
  <c r="AD1268" i="1"/>
  <c r="AD1267" i="1" a="1"/>
  <c r="AD1267" i="1"/>
  <c r="AD1266" i="1" a="1"/>
  <c r="AD1266" i="1"/>
  <c r="AD1265" i="1" a="1"/>
  <c r="AD1265" i="1"/>
  <c r="AD1264" i="1" a="1"/>
  <c r="AD1264" i="1"/>
  <c r="AD1263" i="1" a="1"/>
  <c r="AD1263" i="1"/>
  <c r="AD1262" i="1" a="1"/>
  <c r="AD1262" i="1"/>
  <c r="AD1261" i="1" a="1"/>
  <c r="AD1261" i="1"/>
  <c r="AD1260" i="1" a="1"/>
  <c r="AD1260" i="1"/>
  <c r="AD126" i="1" a="1"/>
  <c r="AD126" i="1"/>
  <c r="AD1259" i="1" a="1"/>
  <c r="AD1259" i="1"/>
  <c r="AD1258" i="1" a="1"/>
  <c r="AD1258" i="1"/>
  <c r="AD1257" i="1" a="1"/>
  <c r="AD1257" i="1"/>
  <c r="AD1256" i="1" a="1"/>
  <c r="AD1256" i="1"/>
  <c r="AD1255" i="1" a="1"/>
  <c r="AD1255" i="1"/>
  <c r="AD1254" i="1" a="1"/>
  <c r="AD1254" i="1"/>
  <c r="AD1253" i="1" a="1"/>
  <c r="AD1253" i="1"/>
  <c r="AD1252" i="1" a="1"/>
  <c r="AD1252" i="1"/>
  <c r="AD1251" i="1" a="1"/>
  <c r="AD1251" i="1"/>
  <c r="AD1250" i="1" a="1"/>
  <c r="AD1250" i="1"/>
  <c r="AD125" i="1" a="1"/>
  <c r="AD125" i="1"/>
  <c r="AD1249" i="1" a="1"/>
  <c r="AD1249" i="1"/>
  <c r="AD1248" i="1" a="1"/>
  <c r="AD1248" i="1"/>
  <c r="AD1247" i="1" a="1"/>
  <c r="AD1247" i="1"/>
  <c r="AD1246" i="1" a="1"/>
  <c r="AD1246" i="1"/>
  <c r="AD1245" i="1" a="1"/>
  <c r="AD1245" i="1"/>
  <c r="AD1244" i="1" a="1"/>
  <c r="AD1244" i="1"/>
  <c r="AD1243" i="1" a="1"/>
  <c r="AD1243" i="1"/>
  <c r="AD1242" i="1" a="1"/>
  <c r="AD1242" i="1"/>
  <c r="AD1241" i="1" a="1"/>
  <c r="AD1241" i="1"/>
  <c r="AD1240" i="1" a="1"/>
  <c r="AD1240" i="1"/>
  <c r="AD124" i="1" a="1"/>
  <c r="AD124" i="1"/>
  <c r="AD1239" i="1" a="1"/>
  <c r="AD1239" i="1"/>
  <c r="AD1238" i="1" a="1"/>
  <c r="AD1238" i="1"/>
  <c r="AD1237" i="1" a="1"/>
  <c r="AD1237" i="1"/>
  <c r="AD1236" i="1" a="1"/>
  <c r="AD1236" i="1"/>
  <c r="AD1235" i="1" a="1"/>
  <c r="AD1235" i="1"/>
  <c r="AD1234" i="1" a="1"/>
  <c r="AD1234" i="1"/>
  <c r="AD1233" i="1" a="1"/>
  <c r="AD1233" i="1"/>
  <c r="AD1232" i="1" a="1"/>
  <c r="AD1232" i="1"/>
  <c r="AD1231" i="1" a="1"/>
  <c r="AD1231" i="1"/>
  <c r="AD1230" i="1" a="1"/>
  <c r="AD1230" i="1"/>
  <c r="AD123" i="1" a="1"/>
  <c r="AD123" i="1"/>
  <c r="AD1229" i="1" a="1"/>
  <c r="AD1229" i="1"/>
  <c r="AD1228" i="1" a="1"/>
  <c r="AD1228" i="1"/>
  <c r="AD1227" i="1" a="1"/>
  <c r="AD1227" i="1"/>
  <c r="AD1226" i="1" a="1"/>
  <c r="AD1226" i="1"/>
  <c r="AD1225" i="1" a="1"/>
  <c r="AD1225" i="1"/>
  <c r="AD1224" i="1" a="1"/>
  <c r="AD1224" i="1"/>
  <c r="AD1223" i="1" a="1"/>
  <c r="AD1223" i="1"/>
  <c r="AD1222" i="1" a="1"/>
  <c r="AD1222" i="1"/>
  <c r="AD1221" i="1" a="1"/>
  <c r="AD1221" i="1"/>
  <c r="AD1220" i="1" a="1"/>
  <c r="AD1220" i="1"/>
  <c r="AD122" i="1" a="1"/>
  <c r="AD122" i="1"/>
  <c r="AD1219" i="1" a="1"/>
  <c r="AD1219" i="1"/>
  <c r="AD1218" i="1" a="1"/>
  <c r="AD1218" i="1"/>
  <c r="AD1217" i="1" a="1"/>
  <c r="AD1217" i="1"/>
  <c r="AD1216" i="1" a="1"/>
  <c r="AD1216" i="1"/>
  <c r="AD1215" i="1" a="1"/>
  <c r="AD1215" i="1"/>
  <c r="AD1214" i="1" a="1"/>
  <c r="AD1214" i="1"/>
  <c r="AD1213" i="1" a="1"/>
  <c r="AD1213" i="1"/>
  <c r="AD1212" i="1" a="1"/>
  <c r="AD1212" i="1"/>
  <c r="AD1211" i="1" a="1"/>
  <c r="AD1211" i="1"/>
  <c r="AD1210" i="1" a="1"/>
  <c r="AD1210" i="1"/>
  <c r="AD121" i="1" a="1"/>
  <c r="AD121" i="1"/>
  <c r="AD1209" i="1" a="1"/>
  <c r="AD1209" i="1"/>
  <c r="AD1208" i="1" a="1"/>
  <c r="AD1208" i="1"/>
  <c r="AD1207" i="1" a="1"/>
  <c r="AD1207" i="1"/>
  <c r="AD1206" i="1" a="1"/>
  <c r="AD1206" i="1"/>
  <c r="AD1205" i="1" a="1"/>
  <c r="AD1205" i="1"/>
  <c r="AD1204" i="1" a="1"/>
  <c r="AD1204" i="1"/>
  <c r="AD1203" i="1" a="1"/>
  <c r="AD1203" i="1"/>
  <c r="AD1202" i="1" a="1"/>
  <c r="AD1202" i="1"/>
  <c r="AD1201" i="1" a="1"/>
  <c r="AD1201" i="1"/>
  <c r="AD1200" i="1" a="1"/>
  <c r="AD1200" i="1"/>
  <c r="AD120" i="1" a="1"/>
  <c r="AD120" i="1"/>
  <c r="AD12" i="1" a="1"/>
  <c r="AD12" i="1"/>
  <c r="AD1199" i="1" a="1"/>
  <c r="AD1199" i="1"/>
  <c r="AD1198" i="1" a="1"/>
  <c r="AD1198" i="1"/>
  <c r="AD1197" i="1" a="1"/>
  <c r="AD1197" i="1"/>
  <c r="AD1196" i="1" a="1"/>
  <c r="AD1196" i="1"/>
  <c r="AD1195" i="1" a="1"/>
  <c r="AD1195" i="1"/>
  <c r="AD1194" i="1" a="1"/>
  <c r="AD1194" i="1"/>
  <c r="AD1193" i="1" a="1"/>
  <c r="AD1193" i="1"/>
  <c r="AD1192" i="1" a="1"/>
  <c r="AD1192" i="1"/>
  <c r="AD1191" i="1" a="1"/>
  <c r="AD1191" i="1"/>
  <c r="AD1190" i="1" a="1"/>
  <c r="AD1190" i="1"/>
  <c r="AD119" i="1" a="1"/>
  <c r="AD119" i="1"/>
  <c r="AD1189" i="1" a="1"/>
  <c r="AD1189" i="1"/>
  <c r="AD1188" i="1" a="1"/>
  <c r="AD1188" i="1"/>
  <c r="AD1187" i="1" a="1"/>
  <c r="AD1187" i="1"/>
  <c r="AD1186" i="1" a="1"/>
  <c r="AD1186" i="1"/>
  <c r="AD1185" i="1" a="1"/>
  <c r="AD1185" i="1"/>
  <c r="AD1184" i="1" a="1"/>
  <c r="AD1184" i="1"/>
  <c r="AD1183" i="1" a="1"/>
  <c r="AD1183" i="1"/>
  <c r="AD1182" i="1" a="1"/>
  <c r="AD1182" i="1"/>
  <c r="AD1181" i="1" a="1"/>
  <c r="AD1181" i="1"/>
  <c r="AD1180" i="1" a="1"/>
  <c r="AD1180" i="1"/>
  <c r="AD118" i="1" a="1"/>
  <c r="AD118" i="1"/>
  <c r="AD1179" i="1" a="1"/>
  <c r="AD1179" i="1"/>
  <c r="AD1178" i="1" a="1"/>
  <c r="AD1178" i="1"/>
  <c r="AD1177" i="1" a="1"/>
  <c r="AD1177" i="1"/>
  <c r="AD1176" i="1" a="1"/>
  <c r="AD1176" i="1"/>
  <c r="AD1175" i="1" a="1"/>
  <c r="AD1175" i="1"/>
  <c r="AD1174" i="1" a="1"/>
  <c r="AD1174" i="1"/>
  <c r="AD1173" i="1" a="1"/>
  <c r="AD1173" i="1"/>
  <c r="AD1172" i="1" a="1"/>
  <c r="AD1172" i="1"/>
  <c r="AD1171" i="1" a="1"/>
  <c r="AD1171" i="1"/>
  <c r="AD1170" i="1" a="1"/>
  <c r="AD1170" i="1"/>
  <c r="AD117" i="1" a="1"/>
  <c r="AD117" i="1"/>
  <c r="AD1169" i="1" a="1"/>
  <c r="AD1169" i="1"/>
  <c r="AD1168" i="1" a="1"/>
  <c r="AD1168" i="1"/>
  <c r="AD1167" i="1" a="1"/>
  <c r="AD1167" i="1"/>
  <c r="AD1166" i="1" a="1"/>
  <c r="AD1166" i="1"/>
  <c r="AD1165" i="1" a="1"/>
  <c r="AD1165" i="1"/>
  <c r="AD1164" i="1" a="1"/>
  <c r="AD1164" i="1"/>
  <c r="AD1163" i="1" a="1"/>
  <c r="AD1163" i="1"/>
  <c r="AD1162" i="1" a="1"/>
  <c r="AD1162" i="1"/>
  <c r="AD1161" i="1" a="1"/>
  <c r="AD1161" i="1"/>
  <c r="AD1160" i="1" a="1"/>
  <c r="AD1160" i="1"/>
  <c r="AD116" i="1" a="1"/>
  <c r="AD116" i="1"/>
  <c r="AD1159" i="1" a="1"/>
  <c r="AD1159" i="1"/>
  <c r="AD1158" i="1" a="1"/>
  <c r="AD1158" i="1"/>
  <c r="AD1157" i="1" a="1"/>
  <c r="AD1157" i="1"/>
  <c r="AD1156" i="1" a="1"/>
  <c r="AD1156" i="1"/>
  <c r="AD1155" i="1" a="1"/>
  <c r="AD1155" i="1"/>
  <c r="AD1154" i="1" a="1"/>
  <c r="AD1154" i="1"/>
  <c r="AD1153" i="1" a="1"/>
  <c r="AD1153" i="1"/>
  <c r="AD1152" i="1" a="1"/>
  <c r="AD1152" i="1"/>
  <c r="AD1151" i="1" a="1"/>
  <c r="AD1151" i="1"/>
  <c r="AD1150" i="1" a="1"/>
  <c r="AD1150" i="1"/>
  <c r="AD115" i="1" a="1"/>
  <c r="AD115" i="1"/>
  <c r="AD1149" i="1" a="1"/>
  <c r="AD1149" i="1"/>
  <c r="AD1148" i="1" a="1"/>
  <c r="AD1148" i="1"/>
  <c r="AD1147" i="1" a="1"/>
  <c r="AD1147" i="1"/>
  <c r="AD1146" i="1" a="1"/>
  <c r="AD1146" i="1"/>
  <c r="AD1145" i="1" a="1"/>
  <c r="AD1145" i="1"/>
  <c r="AD1144" i="1" a="1"/>
  <c r="AD1144" i="1"/>
  <c r="AD1143" i="1" a="1"/>
  <c r="AD1143" i="1"/>
  <c r="AD1142" i="1" a="1"/>
  <c r="AD1142" i="1"/>
  <c r="AD1141" i="1" a="1"/>
  <c r="AD1141" i="1"/>
  <c r="AD1140" i="1" a="1"/>
  <c r="AD1140" i="1"/>
  <c r="AD114" i="1" a="1"/>
  <c r="AD114" i="1"/>
  <c r="AD1139" i="1" a="1"/>
  <c r="AD1139" i="1"/>
  <c r="AD1138" i="1" a="1"/>
  <c r="AD1138" i="1"/>
  <c r="AD1137" i="1" a="1"/>
  <c r="AD1137" i="1"/>
  <c r="AD1136" i="1" a="1"/>
  <c r="AD1136" i="1"/>
  <c r="AD1135" i="1" a="1"/>
  <c r="AD1135" i="1"/>
  <c r="AD1134" i="1" a="1"/>
  <c r="AD1134" i="1"/>
  <c r="AD1133" i="1" a="1"/>
  <c r="AD1133" i="1"/>
  <c r="AD1132" i="1" a="1"/>
  <c r="AD1132" i="1"/>
  <c r="AD1131" i="1" a="1"/>
  <c r="AD1131" i="1"/>
  <c r="AD1130" i="1" a="1"/>
  <c r="AD1130" i="1"/>
  <c r="AD113" i="1" a="1"/>
  <c r="AD113" i="1"/>
  <c r="AD1129" i="1" a="1"/>
  <c r="AD1129" i="1"/>
  <c r="AD1128" i="1" a="1"/>
  <c r="AD1128" i="1"/>
  <c r="AD1127" i="1" a="1"/>
  <c r="AD1127" i="1"/>
  <c r="AD1126" i="1" a="1"/>
  <c r="AD1126" i="1"/>
  <c r="AD1125" i="1" a="1"/>
  <c r="AD1125" i="1"/>
  <c r="AD1124" i="1" a="1"/>
  <c r="AD1124" i="1"/>
  <c r="AD1123" i="1" a="1"/>
  <c r="AD1123" i="1"/>
  <c r="AD1122" i="1" a="1"/>
  <c r="AD1122" i="1"/>
  <c r="AD1121" i="1" a="1"/>
  <c r="AD1121" i="1"/>
  <c r="AD1120" i="1" a="1"/>
  <c r="AD1120" i="1"/>
  <c r="AD112" i="1" a="1"/>
  <c r="AD112" i="1"/>
  <c r="AD1119" i="1" a="1"/>
  <c r="AD1119" i="1"/>
  <c r="AD1118" i="1" a="1"/>
  <c r="AD1118" i="1"/>
  <c r="AD1117" i="1" a="1"/>
  <c r="AD1117" i="1"/>
  <c r="AD1116" i="1" a="1"/>
  <c r="AD1116" i="1"/>
  <c r="AD1115" i="1" a="1"/>
  <c r="AD1115" i="1"/>
  <c r="AD1114" i="1" a="1"/>
  <c r="AD1114" i="1"/>
  <c r="AD1113" i="1" a="1"/>
  <c r="AD1113" i="1"/>
  <c r="AD1112" i="1" a="1"/>
  <c r="AD1112" i="1"/>
  <c r="AD1111" i="1" a="1"/>
  <c r="AD1111" i="1"/>
  <c r="AD1110" i="1" a="1"/>
  <c r="AD1110" i="1"/>
  <c r="AD111" i="1" a="1"/>
  <c r="AD111" i="1"/>
  <c r="AD1109" i="1" a="1"/>
  <c r="AD1109" i="1"/>
  <c r="AD1108" i="1" a="1"/>
  <c r="AD1108" i="1"/>
  <c r="AD1107" i="1" a="1"/>
  <c r="AD1107" i="1"/>
  <c r="AD1106" i="1" a="1"/>
  <c r="AD1106" i="1"/>
  <c r="AD1105" i="1" a="1"/>
  <c r="AD1105" i="1"/>
  <c r="AD1104" i="1" a="1"/>
  <c r="AD1104" i="1"/>
  <c r="AD1103" i="1" a="1"/>
  <c r="AD1103" i="1"/>
  <c r="AD1102" i="1" a="1"/>
  <c r="AD1102" i="1"/>
  <c r="AD1101" i="1" a="1"/>
  <c r="AD1101" i="1"/>
  <c r="AD1100" i="1" a="1"/>
  <c r="AD1100" i="1"/>
  <c r="AD110" i="1" a="1"/>
  <c r="AD110" i="1"/>
  <c r="AD11" i="1" a="1"/>
  <c r="AD11" i="1"/>
  <c r="AD1099" i="1" a="1"/>
  <c r="AD1099" i="1"/>
  <c r="AD1098" i="1" a="1"/>
  <c r="AD1098" i="1"/>
  <c r="AD1097" i="1" a="1"/>
  <c r="AD1097" i="1"/>
  <c r="AD1096" i="1" a="1"/>
  <c r="AD1096" i="1"/>
  <c r="AD1095" i="1" a="1"/>
  <c r="AD1095" i="1"/>
  <c r="AD1094" i="1" a="1"/>
  <c r="AD1094" i="1"/>
  <c r="AD1093" i="1" a="1"/>
  <c r="AD1093" i="1"/>
  <c r="AD1092" i="1" a="1"/>
  <c r="AD1092" i="1"/>
  <c r="AD1091" i="1" a="1"/>
  <c r="AD1091" i="1"/>
  <c r="AD1090" i="1" a="1"/>
  <c r="AD1090" i="1"/>
  <c r="AD109" i="1" a="1"/>
  <c r="AD109" i="1"/>
  <c r="AD1089" i="1" a="1"/>
  <c r="AD1089" i="1"/>
  <c r="AD1088" i="1" a="1"/>
  <c r="AD1088" i="1"/>
  <c r="AD1087" i="1" a="1"/>
  <c r="AD1087" i="1"/>
  <c r="AD1086" i="1" a="1"/>
  <c r="AD1086" i="1"/>
  <c r="AD1085" i="1" a="1"/>
  <c r="AD1085" i="1"/>
  <c r="AD1084" i="1" a="1"/>
  <c r="AD1084" i="1"/>
  <c r="AD1083" i="1" a="1"/>
  <c r="AD1083" i="1"/>
  <c r="AD1082" i="1" a="1"/>
  <c r="AD1082" i="1"/>
  <c r="AD1081" i="1" a="1"/>
  <c r="AD1081" i="1"/>
  <c r="AD1080" i="1" a="1"/>
  <c r="AD1080" i="1"/>
  <c r="AD108" i="1" a="1"/>
  <c r="AD108" i="1"/>
  <c r="AD1079" i="1" a="1"/>
  <c r="AD1079" i="1"/>
  <c r="AD1078" i="1" a="1"/>
  <c r="AD1078" i="1"/>
  <c r="AD1077" i="1" a="1"/>
  <c r="AD1077" i="1"/>
  <c r="AD1076" i="1" a="1"/>
  <c r="AD1076" i="1"/>
  <c r="AD1075" i="1" a="1"/>
  <c r="AD1075" i="1"/>
  <c r="AD1074" i="1" a="1"/>
  <c r="AD1074" i="1"/>
  <c r="AD1073" i="1" a="1"/>
  <c r="AD1073" i="1"/>
  <c r="AD1072" i="1" a="1"/>
  <c r="AD1072" i="1"/>
  <c r="AD1071" i="1" a="1"/>
  <c r="AD1071" i="1"/>
  <c r="AD1070" i="1" a="1"/>
  <c r="AD1070" i="1"/>
  <c r="AD107" i="1" a="1"/>
  <c r="AD107" i="1"/>
  <c r="AD1069" i="1" a="1"/>
  <c r="AD1069" i="1"/>
  <c r="AD1068" i="1" a="1"/>
  <c r="AD1068" i="1"/>
  <c r="AD1067" i="1" a="1"/>
  <c r="AD1067" i="1"/>
  <c r="AD1066" i="1" a="1"/>
  <c r="AD1066" i="1"/>
  <c r="AD1065" i="1" a="1"/>
  <c r="AD1065" i="1"/>
  <c r="AD1064" i="1" a="1"/>
  <c r="AD1064" i="1"/>
  <c r="AD1063" i="1" a="1"/>
  <c r="AD1063" i="1"/>
  <c r="AD1062" i="1" a="1"/>
  <c r="AD1062" i="1"/>
  <c r="AD1061" i="1" a="1"/>
  <c r="AD1061" i="1"/>
  <c r="AD1060" i="1" a="1"/>
  <c r="AD1060" i="1"/>
  <c r="AD106" i="1" a="1"/>
  <c r="AD106" i="1"/>
  <c r="AD1059" i="1" a="1"/>
  <c r="AD1059" i="1"/>
  <c r="AD1058" i="1" a="1"/>
  <c r="AD1058" i="1"/>
  <c r="AD1057" i="1" a="1"/>
  <c r="AD1057" i="1"/>
  <c r="AD1056" i="1" a="1"/>
  <c r="AD1056" i="1"/>
  <c r="AD1055" i="1" a="1"/>
  <c r="AD1055" i="1"/>
  <c r="AD1054" i="1" a="1"/>
  <c r="AD1054" i="1"/>
  <c r="AD1053" i="1" a="1"/>
  <c r="AD1053" i="1"/>
  <c r="AD1052" i="1" a="1"/>
  <c r="AD1052" i="1"/>
  <c r="AD1051" i="1" a="1"/>
  <c r="AD1051" i="1"/>
  <c r="AD1050" i="1" a="1"/>
  <c r="AD1050" i="1"/>
  <c r="AD105" i="1" a="1"/>
  <c r="AD105" i="1"/>
  <c r="AD1049" i="1" a="1"/>
  <c r="AD1049" i="1"/>
  <c r="AD1048" i="1" a="1"/>
  <c r="AD1048" i="1"/>
  <c r="AD1047" i="1" a="1"/>
  <c r="AD1047" i="1"/>
  <c r="AD1046" i="1" a="1"/>
  <c r="AD1046" i="1"/>
  <c r="AD1045" i="1" a="1"/>
  <c r="AD1045" i="1"/>
  <c r="AD1044" i="1" a="1"/>
  <c r="AD1044" i="1"/>
  <c r="AD1043" i="1" a="1"/>
  <c r="AD1043" i="1"/>
  <c r="AD1042" i="1" a="1"/>
  <c r="AD1042" i="1"/>
  <c r="AD1041" i="1" a="1"/>
  <c r="AD1041" i="1"/>
  <c r="AD1040" i="1" a="1"/>
  <c r="AD1040" i="1"/>
  <c r="AD104" i="1" a="1"/>
  <c r="AD104" i="1"/>
  <c r="AD1039" i="1" a="1"/>
  <c r="AD1039" i="1"/>
  <c r="AD1038" i="1" a="1"/>
  <c r="AD1038" i="1"/>
  <c r="AD1037" i="1" a="1"/>
  <c r="AD1037" i="1"/>
  <c r="AD1036" i="1" a="1"/>
  <c r="AD1036" i="1"/>
  <c r="AD1035" i="1" a="1"/>
  <c r="AD1035" i="1"/>
  <c r="AD1034" i="1" a="1"/>
  <c r="AD1034" i="1"/>
  <c r="AD1033" i="1" a="1"/>
  <c r="AD1033" i="1"/>
  <c r="AD1032" i="1" a="1"/>
  <c r="AD1032" i="1"/>
  <c r="AD1031" i="1" a="1"/>
  <c r="AD1031" i="1"/>
  <c r="AD1030" i="1" a="1"/>
  <c r="AD1030" i="1"/>
  <c r="AD103" i="1" a="1"/>
  <c r="AD103" i="1"/>
  <c r="AD1029" i="1" a="1"/>
  <c r="AD1029" i="1"/>
  <c r="AD1028" i="1" a="1"/>
  <c r="AD1028" i="1"/>
  <c r="AD1027" i="1" a="1"/>
  <c r="AD1027" i="1"/>
  <c r="AD1026" i="1" a="1"/>
  <c r="AD1026" i="1"/>
  <c r="AD1025" i="1" a="1"/>
  <c r="AD1025" i="1"/>
  <c r="AD1024" i="1" a="1"/>
  <c r="AD1024" i="1"/>
  <c r="AD1023" i="1" a="1"/>
  <c r="AD1023" i="1"/>
  <c r="AD1022" i="1" a="1"/>
  <c r="AD1022" i="1"/>
  <c r="AD1021" i="1" a="1"/>
  <c r="AD1021" i="1"/>
  <c r="AD1020" i="1" a="1"/>
  <c r="AD1020" i="1"/>
  <c r="AD102" i="1" a="1"/>
  <c r="AD102" i="1"/>
  <c r="AD1019" i="1" a="1"/>
  <c r="AD1019" i="1"/>
  <c r="AD1018" i="1" a="1"/>
  <c r="AD1018" i="1"/>
  <c r="AD1017" i="1" a="1"/>
  <c r="AD1017" i="1"/>
  <c r="AD1016" i="1" a="1"/>
  <c r="AD1016" i="1"/>
  <c r="AD1015" i="1" a="1"/>
  <c r="AD1015" i="1"/>
  <c r="AD1014" i="1" a="1"/>
  <c r="AD1014" i="1"/>
  <c r="AD1013" i="1" a="1"/>
  <c r="AD1013" i="1"/>
  <c r="AD1012" i="1" a="1"/>
  <c r="AD1012" i="1"/>
  <c r="AD1011" i="1" a="1"/>
  <c r="AD1011" i="1"/>
  <c r="AD1010" i="1" a="1"/>
  <c r="AD1010" i="1"/>
  <c r="AD101" i="1" a="1"/>
  <c r="AD101" i="1"/>
  <c r="AD1009" i="1" a="1"/>
  <c r="AD1009" i="1"/>
  <c r="AD1008" i="1" a="1"/>
  <c r="AD1008" i="1"/>
  <c r="AD1007" i="1" a="1"/>
  <c r="AD1007" i="1"/>
  <c r="AD1006" i="1" a="1"/>
  <c r="AD1006" i="1"/>
  <c r="AD1005" i="1" a="1"/>
  <c r="AD1005" i="1"/>
  <c r="AD1004" i="1" a="1"/>
  <c r="AD1004" i="1"/>
  <c r="AD1003" i="1" a="1"/>
  <c r="AD1003" i="1"/>
  <c r="AD1002" i="1" a="1"/>
  <c r="AD1002" i="1"/>
  <c r="AD1001" i="1" a="1"/>
  <c r="AD1001" i="1"/>
  <c r="AD1000" i="1" a="1"/>
  <c r="AD1000" i="1"/>
  <c r="AD100" i="1" a="1"/>
  <c r="AD100" i="1"/>
  <c r="AD10" i="1" a="1"/>
  <c r="AD10" i="1"/>
  <c r="Y2001" i="1" a="1"/>
  <c r="Y2001" i="1"/>
  <c r="Y2000" i="1" a="1"/>
  <c r="Y2000" i="1"/>
  <c r="Y1999" i="1" a="1"/>
  <c r="Y1999" i="1"/>
  <c r="Y1998" i="1" a="1"/>
  <c r="Y1998" i="1"/>
  <c r="Y1997" i="1" a="1"/>
  <c r="Y1997" i="1"/>
  <c r="Y1996" i="1" a="1"/>
  <c r="Y1996" i="1"/>
  <c r="Y1995" i="1" a="1"/>
  <c r="Y1995" i="1"/>
  <c r="Y1994" i="1" a="1"/>
  <c r="Y1994" i="1"/>
  <c r="Y1993" i="1" a="1"/>
  <c r="Y1993" i="1"/>
  <c r="Y1992" i="1" a="1"/>
  <c r="Y1992" i="1"/>
  <c r="Y1991" i="1" a="1"/>
  <c r="Y1991" i="1"/>
  <c r="Y1990" i="1" a="1"/>
  <c r="Y1990" i="1"/>
  <c r="Y1989" i="1" a="1"/>
  <c r="Y1989" i="1"/>
  <c r="Y1988" i="1" a="1"/>
  <c r="Y1988" i="1"/>
  <c r="Y1987" i="1" a="1"/>
  <c r="Y1987" i="1"/>
  <c r="Y1986" i="1" a="1"/>
  <c r="Y1986" i="1"/>
  <c r="Y1985" i="1" a="1"/>
  <c r="Y1985" i="1"/>
  <c r="Y1984" i="1" a="1"/>
  <c r="Y1984" i="1"/>
  <c r="Y1983" i="1" a="1"/>
  <c r="Y1983" i="1"/>
  <c r="Y1982" i="1" a="1"/>
  <c r="Y1982" i="1"/>
  <c r="Y1981" i="1" a="1"/>
  <c r="Y1981" i="1"/>
  <c r="Y1980" i="1" a="1"/>
  <c r="Y1980" i="1"/>
  <c r="Y1979" i="1" a="1"/>
  <c r="Y1979" i="1"/>
  <c r="Y1978" i="1" a="1"/>
  <c r="Y1978" i="1"/>
  <c r="Y1977" i="1" a="1"/>
  <c r="Y1977" i="1"/>
  <c r="Y1976" i="1" a="1"/>
  <c r="Y1976" i="1"/>
  <c r="Y1975" i="1" a="1"/>
  <c r="Y1975" i="1"/>
  <c r="Y1974" i="1" a="1"/>
  <c r="Y1974" i="1"/>
  <c r="Y1973" i="1" a="1"/>
  <c r="Y1973" i="1"/>
  <c r="Y1972" i="1" a="1"/>
  <c r="Y1972" i="1"/>
  <c r="Y1971" i="1" a="1"/>
  <c r="Y1971" i="1"/>
  <c r="Y1970" i="1" a="1"/>
  <c r="Y1970" i="1"/>
  <c r="Y1969" i="1" a="1"/>
  <c r="Y1969" i="1"/>
  <c r="Y1968" i="1" a="1"/>
  <c r="Y1968" i="1"/>
  <c r="Y1967" i="1" a="1"/>
  <c r="Y1967" i="1"/>
  <c r="Y1966" i="1" a="1"/>
  <c r="Y1966" i="1"/>
  <c r="Y1965" i="1" a="1"/>
  <c r="Y1965" i="1"/>
  <c r="Y1964" i="1" a="1"/>
  <c r="Y1964" i="1"/>
  <c r="Y1963" i="1" a="1"/>
  <c r="Y1963" i="1"/>
  <c r="Y1962" i="1" a="1"/>
  <c r="Y1962" i="1"/>
  <c r="Y1961" i="1" a="1"/>
  <c r="Y1961" i="1"/>
  <c r="Y1960" i="1" a="1"/>
  <c r="Y1960" i="1"/>
  <c r="Y1959" i="1" a="1"/>
  <c r="Y1959" i="1"/>
  <c r="Y1958" i="1" a="1"/>
  <c r="Y1958" i="1"/>
  <c r="Y1957" i="1" a="1"/>
  <c r="Y1957" i="1"/>
  <c r="Y1956" i="1" a="1"/>
  <c r="Y1956" i="1"/>
  <c r="Y1955" i="1" a="1"/>
  <c r="Y1955" i="1"/>
  <c r="Y1954" i="1" a="1"/>
  <c r="Y1954" i="1"/>
  <c r="Y1953" i="1" a="1"/>
  <c r="Y1953" i="1"/>
  <c r="Y1952" i="1" a="1"/>
  <c r="Y1952" i="1"/>
  <c r="Y1951" i="1" a="1"/>
  <c r="Y1951" i="1"/>
  <c r="Y1950" i="1" a="1"/>
  <c r="Y1950" i="1"/>
  <c r="Y1949" i="1" a="1"/>
  <c r="Y1949" i="1"/>
  <c r="Y1948" i="1" a="1"/>
  <c r="Y1948" i="1"/>
  <c r="Y1947" i="1" a="1"/>
  <c r="Y1947" i="1"/>
  <c r="Y1946" i="1" a="1"/>
  <c r="Y1946" i="1"/>
  <c r="Y1945" i="1" a="1"/>
  <c r="Y1945" i="1"/>
  <c r="Y1944" i="1" a="1"/>
  <c r="Y1944" i="1"/>
  <c r="Y1943" i="1" a="1"/>
  <c r="Y1943" i="1"/>
  <c r="Y1942" i="1" a="1"/>
  <c r="Y1942" i="1"/>
  <c r="Y1941" i="1" a="1"/>
  <c r="Y1941" i="1"/>
  <c r="Y1940" i="1" a="1"/>
  <c r="Y1940" i="1"/>
  <c r="Y1939" i="1" a="1"/>
  <c r="Y1939" i="1"/>
  <c r="Y1938" i="1" a="1"/>
  <c r="Y1938" i="1"/>
  <c r="Y1937" i="1" a="1"/>
  <c r="Y1937" i="1"/>
  <c r="Y1936" i="1" a="1"/>
  <c r="Y1936" i="1"/>
  <c r="Y1935" i="1" a="1"/>
  <c r="Y1935" i="1"/>
  <c r="Y1934" i="1" a="1"/>
  <c r="Y1934" i="1"/>
  <c r="Y1933" i="1" a="1"/>
  <c r="Y1933" i="1"/>
  <c r="Y1932" i="1" a="1"/>
  <c r="Y1932" i="1"/>
  <c r="Y1931" i="1" a="1"/>
  <c r="Y1931" i="1"/>
  <c r="Y1930" i="1" a="1"/>
  <c r="Y1930" i="1"/>
  <c r="Y1929" i="1" a="1"/>
  <c r="Y1929" i="1"/>
  <c r="Y1928" i="1" a="1"/>
  <c r="Y1928" i="1"/>
  <c r="Y1927" i="1" a="1"/>
  <c r="Y1927" i="1"/>
  <c r="Y1926" i="1" a="1"/>
  <c r="Y1926" i="1"/>
  <c r="Y1925" i="1" a="1"/>
  <c r="Y1925" i="1"/>
  <c r="Y1924" i="1" a="1"/>
  <c r="Y1924" i="1"/>
  <c r="Y1923" i="1" a="1"/>
  <c r="Y1923" i="1"/>
  <c r="Y1922" i="1" a="1"/>
  <c r="Y1922" i="1"/>
  <c r="Y1921" i="1" a="1"/>
  <c r="Y1921" i="1"/>
  <c r="Y1920" i="1" a="1"/>
  <c r="Y1920" i="1"/>
  <c r="Y1919" i="1" a="1"/>
  <c r="Y1919" i="1"/>
  <c r="Y1918" i="1" a="1"/>
  <c r="Y1918" i="1"/>
  <c r="Y1917" i="1" a="1"/>
  <c r="Y1917" i="1"/>
  <c r="Y1916" i="1" a="1"/>
  <c r="Y1916" i="1"/>
  <c r="Y1915" i="1" a="1"/>
  <c r="Y1915" i="1"/>
  <c r="Y1914" i="1" a="1"/>
  <c r="Y1914" i="1"/>
  <c r="Y1913" i="1" a="1"/>
  <c r="Y1913" i="1"/>
  <c r="Y1912" i="1" a="1"/>
  <c r="Y1912" i="1"/>
  <c r="Y1911" i="1" a="1"/>
  <c r="Y1911" i="1"/>
  <c r="Y1910" i="1" a="1"/>
  <c r="Y1910" i="1"/>
  <c r="Y1909" i="1" a="1"/>
  <c r="Y1909" i="1"/>
  <c r="Y1908" i="1" a="1"/>
  <c r="Y1908" i="1"/>
  <c r="Y1907" i="1" a="1"/>
  <c r="Y1907" i="1"/>
  <c r="Y1906" i="1" a="1"/>
  <c r="Y1906" i="1"/>
  <c r="Y1905" i="1" a="1"/>
  <c r="Y1905" i="1"/>
  <c r="Y1904" i="1" a="1"/>
  <c r="Y1904" i="1"/>
  <c r="Y1903" i="1" a="1"/>
  <c r="Y1903" i="1"/>
  <c r="Y1902" i="1" a="1"/>
  <c r="Y1902" i="1"/>
  <c r="Y1901" i="1" a="1"/>
  <c r="Y1901" i="1"/>
  <c r="Y1900" i="1" a="1"/>
  <c r="Y1900" i="1"/>
  <c r="Y1899" i="1" a="1"/>
  <c r="Y1899" i="1"/>
  <c r="Y1898" i="1" a="1"/>
  <c r="Y1898" i="1"/>
  <c r="Y1897" i="1" a="1"/>
  <c r="Y1897" i="1"/>
  <c r="Y1896" i="1" a="1"/>
  <c r="Y1896" i="1"/>
  <c r="Y1895" i="1" a="1"/>
  <c r="Y1895" i="1"/>
  <c r="Y1894" i="1" a="1"/>
  <c r="Y1894" i="1"/>
  <c r="Y1893" i="1" a="1"/>
  <c r="Y1893" i="1"/>
  <c r="Y1892" i="1" a="1"/>
  <c r="Y1892" i="1"/>
  <c r="Y1891" i="1" a="1"/>
  <c r="Y1891" i="1"/>
  <c r="Y1890" i="1" a="1"/>
  <c r="Y1890" i="1"/>
  <c r="Y1889" i="1" a="1"/>
  <c r="Y1889" i="1"/>
  <c r="Y1888" i="1" a="1"/>
  <c r="Y1888" i="1"/>
  <c r="Y1887" i="1" a="1"/>
  <c r="Y1887" i="1"/>
  <c r="Y1886" i="1" a="1"/>
  <c r="Y1886" i="1"/>
  <c r="Y1885" i="1" a="1"/>
  <c r="Y1885" i="1"/>
  <c r="Y1884" i="1" a="1"/>
  <c r="Y1884" i="1"/>
  <c r="Y1883" i="1" a="1"/>
  <c r="Y1883" i="1"/>
  <c r="Y1882" i="1" a="1"/>
  <c r="Y1882" i="1"/>
  <c r="Y1881" i="1" a="1"/>
  <c r="Y1881" i="1"/>
  <c r="Y1880" i="1" a="1"/>
  <c r="Y1880" i="1"/>
  <c r="Y1879" i="1" a="1"/>
  <c r="Y1879" i="1"/>
  <c r="Y1878" i="1" a="1"/>
  <c r="Y1878" i="1"/>
  <c r="Y1877" i="1" a="1"/>
  <c r="Y1877" i="1"/>
  <c r="Y1876" i="1" a="1"/>
  <c r="Y1876" i="1"/>
  <c r="Y1875" i="1" a="1"/>
  <c r="Y1875" i="1"/>
  <c r="Y1874" i="1" a="1"/>
  <c r="Y1874" i="1"/>
  <c r="Y1873" i="1" a="1"/>
  <c r="Y1873" i="1"/>
  <c r="Y1872" i="1" a="1"/>
  <c r="Y1872" i="1"/>
  <c r="Y1871" i="1" a="1"/>
  <c r="Y1871" i="1"/>
  <c r="Y1870" i="1" a="1"/>
  <c r="Y1870" i="1"/>
  <c r="Y1869" i="1" a="1"/>
  <c r="Y1869" i="1"/>
  <c r="Y1868" i="1" a="1"/>
  <c r="Y1868" i="1"/>
  <c r="Y1867" i="1" a="1"/>
  <c r="Y1867" i="1"/>
  <c r="Y1866" i="1" a="1"/>
  <c r="Y1866" i="1"/>
  <c r="Y1865" i="1" a="1"/>
  <c r="Y1865" i="1"/>
  <c r="Y1864" i="1" a="1"/>
  <c r="Y1864" i="1"/>
  <c r="Y1863" i="1" a="1"/>
  <c r="Y1863" i="1"/>
  <c r="Y1862" i="1" a="1"/>
  <c r="Y1862" i="1"/>
  <c r="Y1861" i="1" a="1"/>
  <c r="Y1861" i="1"/>
  <c r="Y1860" i="1" a="1"/>
  <c r="Y1860" i="1"/>
  <c r="Y1859" i="1" a="1"/>
  <c r="Y1859" i="1"/>
  <c r="Y1858" i="1" a="1"/>
  <c r="Y1858" i="1"/>
  <c r="Y1857" i="1" a="1"/>
  <c r="Y1857" i="1"/>
  <c r="Y1856" i="1" a="1"/>
  <c r="Y1856" i="1"/>
  <c r="Y1855" i="1" a="1"/>
  <c r="Y1855" i="1"/>
  <c r="Y1854" i="1" a="1"/>
  <c r="Y1854" i="1"/>
  <c r="Y1853" i="1" a="1"/>
  <c r="Y1853" i="1"/>
  <c r="Y1852" i="1" a="1"/>
  <c r="Y1852" i="1"/>
  <c r="Y1851" i="1" a="1"/>
  <c r="Y1851" i="1"/>
  <c r="Y1850" i="1" a="1"/>
  <c r="Y1850" i="1"/>
  <c r="Y1849" i="1" a="1"/>
  <c r="Y1849" i="1"/>
  <c r="Y1848" i="1" a="1"/>
  <c r="Y1848" i="1"/>
  <c r="Y1847" i="1" a="1"/>
  <c r="Y1847" i="1"/>
  <c r="Y1846" i="1" a="1"/>
  <c r="Y1846" i="1"/>
  <c r="Y1845" i="1" a="1"/>
  <c r="Y1845" i="1"/>
  <c r="Y1844" i="1" a="1"/>
  <c r="Y1844" i="1"/>
  <c r="Y1843" i="1" a="1"/>
  <c r="Y1843" i="1"/>
  <c r="Y1842" i="1" a="1"/>
  <c r="Y1842" i="1"/>
  <c r="Y1841" i="1" a="1"/>
  <c r="Y1841" i="1"/>
  <c r="Y1840" i="1" a="1"/>
  <c r="Y1840" i="1"/>
  <c r="Y1839" i="1" a="1"/>
  <c r="Y1839" i="1"/>
  <c r="Y1838" i="1" a="1"/>
  <c r="Y1838" i="1"/>
  <c r="Y1837" i="1" a="1"/>
  <c r="Y1837" i="1"/>
  <c r="Y1836" i="1" a="1"/>
  <c r="Y1836" i="1"/>
  <c r="Y1835" i="1" a="1"/>
  <c r="Y1835" i="1"/>
  <c r="Y1834" i="1" a="1"/>
  <c r="Y1834" i="1"/>
  <c r="Y1833" i="1" a="1"/>
  <c r="Y1833" i="1"/>
  <c r="Y1832" i="1" a="1"/>
  <c r="Y1832" i="1"/>
  <c r="Y1831" i="1" a="1"/>
  <c r="Y1831" i="1"/>
  <c r="Y1830" i="1" a="1"/>
  <c r="Y1830" i="1"/>
  <c r="Y1829" i="1" a="1"/>
  <c r="Y1829" i="1"/>
  <c r="Y1828" i="1" a="1"/>
  <c r="Y1828" i="1"/>
  <c r="Y1827" i="1" a="1"/>
  <c r="Y1827" i="1"/>
  <c r="Y1826" i="1" a="1"/>
  <c r="Y1826" i="1"/>
  <c r="Y1825" i="1" a="1"/>
  <c r="Y1825" i="1"/>
  <c r="Y1824" i="1" a="1"/>
  <c r="Y1824" i="1"/>
  <c r="Y1823" i="1" a="1"/>
  <c r="Y1823" i="1"/>
  <c r="Y1822" i="1" a="1"/>
  <c r="Y1822" i="1"/>
  <c r="Y1821" i="1" a="1"/>
  <c r="Y1821" i="1"/>
  <c r="Y1820" i="1" a="1"/>
  <c r="Y1820" i="1"/>
  <c r="Y1819" i="1" a="1"/>
  <c r="Y1819" i="1"/>
  <c r="Y1818" i="1" a="1"/>
  <c r="Y1818" i="1"/>
  <c r="Y1817" i="1" a="1"/>
  <c r="Y1817" i="1"/>
  <c r="Y1816" i="1" a="1"/>
  <c r="Y1816" i="1"/>
  <c r="Y1815" i="1" a="1"/>
  <c r="Y1815" i="1"/>
  <c r="Y1814" i="1" a="1"/>
  <c r="Y1814" i="1"/>
  <c r="Y1813" i="1" a="1"/>
  <c r="Y1813" i="1"/>
  <c r="Y1812" i="1" a="1"/>
  <c r="Y1812" i="1"/>
  <c r="Y1811" i="1" a="1"/>
  <c r="Y1811" i="1"/>
  <c r="Y1810" i="1" a="1"/>
  <c r="Y1810" i="1"/>
  <c r="Y1809" i="1" a="1"/>
  <c r="Y1809" i="1"/>
  <c r="Y1808" i="1" a="1"/>
  <c r="Y1808" i="1"/>
  <c r="Y1807" i="1" a="1"/>
  <c r="Y1807" i="1"/>
  <c r="Y1806" i="1" a="1"/>
  <c r="Y1806" i="1"/>
  <c r="Y1805" i="1" a="1"/>
  <c r="Y1805" i="1"/>
  <c r="Y1804" i="1" a="1"/>
  <c r="Y1804" i="1"/>
  <c r="Y1803" i="1" a="1"/>
  <c r="Y1803" i="1"/>
  <c r="Y1802" i="1" a="1"/>
  <c r="Y1802" i="1"/>
  <c r="Y1801" i="1" a="1"/>
  <c r="Y1801" i="1"/>
  <c r="Y1800" i="1" a="1"/>
  <c r="Y1800" i="1"/>
  <c r="Y1799" i="1" a="1"/>
  <c r="Y1799" i="1"/>
  <c r="Y1798" i="1" a="1"/>
  <c r="Y1798" i="1"/>
  <c r="Y1797" i="1" a="1"/>
  <c r="Y1797" i="1"/>
  <c r="Y1796" i="1" a="1"/>
  <c r="Y1796" i="1"/>
  <c r="Y1795" i="1" a="1"/>
  <c r="Y1795" i="1"/>
  <c r="Y1794" i="1" a="1"/>
  <c r="Y1794" i="1"/>
  <c r="Y1793" i="1" a="1"/>
  <c r="Y1793" i="1"/>
  <c r="Y1792" i="1" a="1"/>
  <c r="Y1792" i="1"/>
  <c r="Y1791" i="1" a="1"/>
  <c r="Y1791" i="1"/>
  <c r="Y1790" i="1" a="1"/>
  <c r="Y1790" i="1"/>
  <c r="Y1789" i="1" a="1"/>
  <c r="Y1789" i="1"/>
  <c r="Y1788" i="1" a="1"/>
  <c r="Y1788" i="1"/>
  <c r="Y1787" i="1" a="1"/>
  <c r="Y1787" i="1"/>
  <c r="Y1786" i="1" a="1"/>
  <c r="Y1786" i="1"/>
  <c r="Y1785" i="1" a="1"/>
  <c r="Y1785" i="1"/>
  <c r="Y1784" i="1" a="1"/>
  <c r="Y1784" i="1"/>
  <c r="Y1783" i="1" a="1"/>
  <c r="Y1783" i="1"/>
  <c r="Y1782" i="1" a="1"/>
  <c r="Y1782" i="1"/>
  <c r="Y1781" i="1" a="1"/>
  <c r="Y1781" i="1"/>
  <c r="Y1780" i="1" a="1"/>
  <c r="Y1780" i="1"/>
  <c r="Y1779" i="1" a="1"/>
  <c r="Y1779" i="1"/>
  <c r="Y1778" i="1" a="1"/>
  <c r="Y1778" i="1"/>
  <c r="Y1777" i="1" a="1"/>
  <c r="Y1777" i="1"/>
  <c r="Y1776" i="1" a="1"/>
  <c r="Y1776" i="1"/>
  <c r="Y1775" i="1" a="1"/>
  <c r="Y1775" i="1"/>
  <c r="Y1774" i="1" a="1"/>
  <c r="Y1774" i="1"/>
  <c r="Y1773" i="1" a="1"/>
  <c r="Y1773" i="1"/>
  <c r="Y1772" i="1" a="1"/>
  <c r="Y1772" i="1"/>
  <c r="Y1771" i="1" a="1"/>
  <c r="Y1771" i="1"/>
  <c r="Y1770" i="1" a="1"/>
  <c r="Y1770" i="1"/>
  <c r="Y1769" i="1" a="1"/>
  <c r="Y1769" i="1"/>
  <c r="Y1768" i="1" a="1"/>
  <c r="Y1768" i="1"/>
  <c r="Y1767" i="1" a="1"/>
  <c r="Y1767" i="1"/>
  <c r="Y1766" i="1" a="1"/>
  <c r="Y1766" i="1"/>
  <c r="Y1765" i="1" a="1"/>
  <c r="Y1765" i="1"/>
  <c r="Y1764" i="1" a="1"/>
  <c r="Y1764" i="1"/>
  <c r="Y1763" i="1" a="1"/>
  <c r="Y1763" i="1"/>
  <c r="Y1762" i="1" a="1"/>
  <c r="Y1762" i="1"/>
  <c r="Y1761" i="1" a="1"/>
  <c r="Y1761" i="1"/>
  <c r="Y1760" i="1" a="1"/>
  <c r="Y1760" i="1"/>
  <c r="Y1759" i="1" a="1"/>
  <c r="Y1759" i="1"/>
  <c r="Y1758" i="1" a="1"/>
  <c r="Y1758" i="1"/>
  <c r="Y1757" i="1" a="1"/>
  <c r="Y1757" i="1"/>
  <c r="Y1756" i="1" a="1"/>
  <c r="Y1756" i="1"/>
  <c r="Y1755" i="1" a="1"/>
  <c r="Y1755" i="1"/>
  <c r="Y1754" i="1" a="1"/>
  <c r="Y1754" i="1"/>
  <c r="Y1753" i="1" a="1"/>
  <c r="Y1753" i="1"/>
  <c r="Y1752" i="1" a="1"/>
  <c r="Y1752" i="1"/>
  <c r="Y1751" i="1" a="1"/>
  <c r="Y1751" i="1"/>
  <c r="Y1750" i="1" a="1"/>
  <c r="Y1750" i="1"/>
  <c r="Y1749" i="1" a="1"/>
  <c r="Y1749" i="1"/>
  <c r="Y1748" i="1" a="1"/>
  <c r="Y1748" i="1"/>
  <c r="Y1747" i="1" a="1"/>
  <c r="Y1747" i="1"/>
  <c r="Y1746" i="1" a="1"/>
  <c r="Y1746" i="1"/>
  <c r="Y1745" i="1" a="1"/>
  <c r="Y1745" i="1"/>
  <c r="Y1744" i="1" a="1"/>
  <c r="Y1744" i="1"/>
  <c r="Y1743" i="1" a="1"/>
  <c r="Y1743" i="1"/>
  <c r="Y1742" i="1" a="1"/>
  <c r="Y1742" i="1"/>
  <c r="Y1741" i="1" a="1"/>
  <c r="Y1741" i="1"/>
  <c r="Y1740" i="1" a="1"/>
  <c r="Y1740" i="1"/>
  <c r="Y1739" i="1" a="1"/>
  <c r="Y1739" i="1"/>
  <c r="Y1738" i="1" a="1"/>
  <c r="Y1738" i="1"/>
  <c r="Y1737" i="1" a="1"/>
  <c r="Y1737" i="1"/>
  <c r="Y1736" i="1" a="1"/>
  <c r="Y1736" i="1"/>
  <c r="Y1735" i="1" a="1"/>
  <c r="Y1735" i="1"/>
  <c r="Y1734" i="1" a="1"/>
  <c r="Y1734" i="1"/>
  <c r="Y1733" i="1" a="1"/>
  <c r="Y1733" i="1"/>
  <c r="Y1732" i="1" a="1"/>
  <c r="Y1732" i="1"/>
  <c r="Y1731" i="1" a="1"/>
  <c r="Y1731" i="1"/>
  <c r="Y1730" i="1" a="1"/>
  <c r="Y1730" i="1"/>
  <c r="Y1729" i="1" a="1"/>
  <c r="Y1729" i="1"/>
  <c r="Y1728" i="1" a="1"/>
  <c r="Y1728" i="1"/>
  <c r="Y1727" i="1" a="1"/>
  <c r="Y1727" i="1"/>
  <c r="Y1726" i="1" a="1"/>
  <c r="Y1726" i="1"/>
  <c r="Y1725" i="1" a="1"/>
  <c r="Y1725" i="1"/>
  <c r="Y1724" i="1" a="1"/>
  <c r="Y1724" i="1"/>
  <c r="Y1723" i="1" a="1"/>
  <c r="Y1723" i="1"/>
  <c r="Y1722" i="1" a="1"/>
  <c r="Y1722" i="1"/>
  <c r="Y1721" i="1" a="1"/>
  <c r="Y1721" i="1"/>
  <c r="Y1720" i="1" a="1"/>
  <c r="Y1720" i="1"/>
  <c r="Y1719" i="1" a="1"/>
  <c r="Y1719" i="1"/>
  <c r="Y1718" i="1" a="1"/>
  <c r="Y1718" i="1"/>
  <c r="Y1717" i="1" a="1"/>
  <c r="Y1717" i="1"/>
  <c r="Y1716" i="1" a="1"/>
  <c r="Y1716" i="1"/>
  <c r="Y1715" i="1" a="1"/>
  <c r="Y1715" i="1"/>
  <c r="Y1714" i="1" a="1"/>
  <c r="Y1714" i="1"/>
  <c r="Y1713" i="1" a="1"/>
  <c r="Y1713" i="1"/>
  <c r="Y1712" i="1" a="1"/>
  <c r="Y1712" i="1"/>
  <c r="Y1711" i="1" a="1"/>
  <c r="Y1711" i="1"/>
  <c r="Y1710" i="1" a="1"/>
  <c r="Y1710" i="1"/>
  <c r="Y1709" i="1" a="1"/>
  <c r="Y1709" i="1"/>
  <c r="Y1708" i="1" a="1"/>
  <c r="Y1708" i="1"/>
  <c r="Y1707" i="1" a="1"/>
  <c r="Y1707" i="1"/>
  <c r="Y1706" i="1" a="1"/>
  <c r="Y1706" i="1"/>
  <c r="Y1705" i="1" a="1"/>
  <c r="Y1705" i="1"/>
  <c r="Y1704" i="1" a="1"/>
  <c r="Y1704" i="1"/>
  <c r="Y1703" i="1" a="1"/>
  <c r="Y1703" i="1"/>
  <c r="Y1702" i="1" a="1"/>
  <c r="Y1702" i="1"/>
  <c r="Y1701" i="1" a="1"/>
  <c r="Y1701" i="1"/>
  <c r="Y1700" i="1" a="1"/>
  <c r="Y1700" i="1"/>
  <c r="Y1699" i="1" a="1"/>
  <c r="Y1699" i="1"/>
  <c r="Y1698" i="1" a="1"/>
  <c r="Y1698" i="1"/>
  <c r="Y1697" i="1" a="1"/>
  <c r="Y1697" i="1"/>
  <c r="Y1696" i="1" a="1"/>
  <c r="Y1696" i="1"/>
  <c r="Y1695" i="1" a="1"/>
  <c r="Y1695" i="1"/>
  <c r="Y1694" i="1" a="1"/>
  <c r="Y1694" i="1"/>
  <c r="Y1693" i="1" a="1"/>
  <c r="Y1693" i="1"/>
  <c r="Y1692" i="1" a="1"/>
  <c r="Y1692" i="1"/>
  <c r="Y1691" i="1" a="1"/>
  <c r="Y1691" i="1"/>
  <c r="Y1690" i="1" a="1"/>
  <c r="Y1690" i="1"/>
  <c r="Y1689" i="1" a="1"/>
  <c r="Y1689" i="1"/>
  <c r="Y1688" i="1" a="1"/>
  <c r="Y1688" i="1"/>
  <c r="Y1687" i="1" a="1"/>
  <c r="Y1687" i="1"/>
  <c r="Y1686" i="1" a="1"/>
  <c r="Y1686" i="1"/>
  <c r="Y1685" i="1" a="1"/>
  <c r="Y1685" i="1"/>
  <c r="Y1684" i="1" a="1"/>
  <c r="Y1684" i="1"/>
  <c r="Y1683" i="1" a="1"/>
  <c r="Y1683" i="1"/>
  <c r="Y1682" i="1" a="1"/>
  <c r="Y1682" i="1"/>
  <c r="Y1681" i="1" a="1"/>
  <c r="Y1681" i="1"/>
  <c r="Y1680" i="1" a="1"/>
  <c r="Y1680" i="1"/>
  <c r="Y1679" i="1" a="1"/>
  <c r="Y1679" i="1"/>
  <c r="Y1678" i="1" a="1"/>
  <c r="Y1678" i="1"/>
  <c r="Y1677" i="1" a="1"/>
  <c r="Y1677" i="1"/>
  <c r="Y1676" i="1" a="1"/>
  <c r="Y1676" i="1"/>
  <c r="Y1675" i="1" a="1"/>
  <c r="Y1675" i="1"/>
  <c r="Y1674" i="1" a="1"/>
  <c r="Y1674" i="1"/>
  <c r="Y1673" i="1" a="1"/>
  <c r="Y1673" i="1"/>
  <c r="Y1672" i="1" a="1"/>
  <c r="Y1672" i="1"/>
  <c r="Y1671" i="1" a="1"/>
  <c r="Y1671" i="1"/>
  <c r="Y1670" i="1" a="1"/>
  <c r="Y1670" i="1"/>
  <c r="Y1669" i="1" a="1"/>
  <c r="Y1669" i="1"/>
  <c r="Y1668" i="1" a="1"/>
  <c r="Y1668" i="1"/>
  <c r="Y1667" i="1" a="1"/>
  <c r="Y1667" i="1"/>
  <c r="Y1666" i="1" a="1"/>
  <c r="Y1666" i="1"/>
  <c r="Y1665" i="1" a="1"/>
  <c r="Y1665" i="1"/>
  <c r="Y1664" i="1" a="1"/>
  <c r="Y1664" i="1"/>
  <c r="Y1663" i="1" a="1"/>
  <c r="Y1663" i="1"/>
  <c r="Y1662" i="1" a="1"/>
  <c r="Y1662" i="1"/>
  <c r="Y1661" i="1" a="1"/>
  <c r="Y1661" i="1"/>
  <c r="Y1660" i="1" a="1"/>
  <c r="Y1660" i="1"/>
  <c r="Y1659" i="1" a="1"/>
  <c r="Y1659" i="1"/>
  <c r="Y1658" i="1" a="1"/>
  <c r="Y1658" i="1"/>
  <c r="Y1657" i="1" a="1"/>
  <c r="Y1657" i="1"/>
  <c r="Y1656" i="1" a="1"/>
  <c r="Y1656" i="1"/>
  <c r="Y1655" i="1" a="1"/>
  <c r="Y1655" i="1"/>
  <c r="Y1654" i="1" a="1"/>
  <c r="Y1654" i="1"/>
  <c r="Y1653" i="1" a="1"/>
  <c r="Y1653" i="1"/>
  <c r="Y1652" i="1"/>
  <c r="Y1651" i="1"/>
  <c r="Y1650" i="1"/>
  <c r="Y1649" i="1"/>
  <c r="Y1648" i="1" a="1"/>
  <c r="Y1648" i="1"/>
  <c r="Y1647" i="1"/>
  <c r="Y1646" i="1"/>
  <c r="Y1645" i="1"/>
  <c r="Y1644" i="1"/>
  <c r="Y1643" i="1"/>
  <c r="Y1642" i="1"/>
  <c r="Y1641" i="1"/>
  <c r="Y1640" i="1"/>
  <c r="Y1639" i="1"/>
  <c r="Y1638" i="1"/>
  <c r="Y1637" i="1"/>
  <c r="Y1636" i="1"/>
  <c r="Y1635" i="1"/>
  <c r="Y1634" i="1"/>
  <c r="Y1633" i="1"/>
  <c r="Y1632" i="1"/>
  <c r="Y1631" i="1"/>
  <c r="Y1630" i="1"/>
  <c r="Y1629" i="1" a="1"/>
  <c r="Y1629" i="1"/>
  <c r="Y1628" i="1"/>
  <c r="Y1627" i="1"/>
  <c r="Y1626" i="1"/>
  <c r="Y1625" i="1"/>
  <c r="Y1624" i="1"/>
  <c r="Y1623" i="1"/>
  <c r="AB2001" i="1" a="1"/>
  <c r="AB2001" i="1"/>
  <c r="AB2000" i="1" a="1"/>
  <c r="AB2000" i="1"/>
  <c r="AB1999" i="1" a="1"/>
  <c r="AB1999" i="1"/>
  <c r="AB1998" i="1" a="1"/>
  <c r="AB1998" i="1"/>
  <c r="AB1997" i="1" a="1"/>
  <c r="AB1997" i="1"/>
  <c r="AB1996" i="1" a="1"/>
  <c r="AB1996" i="1"/>
  <c r="AB1995" i="1" a="1"/>
  <c r="AB1995" i="1"/>
  <c r="AB1994" i="1" a="1"/>
  <c r="AB1994" i="1"/>
  <c r="AB1993" i="1" a="1"/>
  <c r="AB1993" i="1"/>
  <c r="AB1992" i="1" a="1"/>
  <c r="AB1992" i="1"/>
  <c r="AB1991" i="1" a="1"/>
  <c r="AB1991" i="1"/>
  <c r="AB1990" i="1" a="1"/>
  <c r="AB1990" i="1"/>
  <c r="AB1989" i="1" a="1"/>
  <c r="AB1989" i="1"/>
  <c r="AB1988" i="1" a="1"/>
  <c r="AB1988" i="1"/>
  <c r="AB1987" i="1" a="1"/>
  <c r="AB1987" i="1"/>
  <c r="AB1986" i="1" a="1"/>
  <c r="AB1986" i="1"/>
  <c r="AB1985" i="1" a="1"/>
  <c r="AB1985" i="1"/>
  <c r="AB1984" i="1" a="1"/>
  <c r="AB1984" i="1"/>
  <c r="AB1983" i="1" a="1"/>
  <c r="AB1983" i="1"/>
  <c r="AB1982" i="1" a="1"/>
  <c r="AB1982" i="1"/>
  <c r="AB1981" i="1" a="1"/>
  <c r="AB1981" i="1"/>
  <c r="AB1980" i="1" a="1"/>
  <c r="AB1980" i="1"/>
  <c r="AB1979" i="1" a="1"/>
  <c r="AB1979" i="1"/>
  <c r="AB1978" i="1" a="1"/>
  <c r="AB1978" i="1"/>
  <c r="AB1977" i="1" a="1"/>
  <c r="AB1977" i="1"/>
  <c r="AB1976" i="1" a="1"/>
  <c r="AB1976" i="1"/>
  <c r="AB1975" i="1" a="1"/>
  <c r="AB1975" i="1"/>
  <c r="AB1974" i="1" a="1"/>
  <c r="AB1974" i="1"/>
  <c r="AB1973" i="1" a="1"/>
  <c r="AB1973" i="1"/>
  <c r="AB1972" i="1" a="1"/>
  <c r="AB1972" i="1"/>
  <c r="AB1971" i="1" a="1"/>
  <c r="AB1971" i="1"/>
  <c r="AB1970" i="1" a="1"/>
  <c r="AB1970" i="1"/>
  <c r="AB1969" i="1" a="1"/>
  <c r="AB1969" i="1"/>
  <c r="AB1968" i="1" a="1"/>
  <c r="AB1968" i="1"/>
  <c r="AB1967" i="1" a="1"/>
  <c r="AB1967" i="1"/>
  <c r="AB1966" i="1" a="1"/>
  <c r="AB1966" i="1"/>
  <c r="AB1965" i="1" a="1"/>
  <c r="AB1965" i="1"/>
  <c r="AB1964" i="1" a="1"/>
  <c r="AB1964" i="1"/>
  <c r="AB1963" i="1" a="1"/>
  <c r="AB1963" i="1"/>
  <c r="AB1962" i="1" a="1"/>
  <c r="AB1962" i="1"/>
  <c r="AB1961" i="1" a="1"/>
  <c r="AB1961" i="1"/>
  <c r="AB1960" i="1" a="1"/>
  <c r="AB1960" i="1"/>
  <c r="AB1959" i="1" a="1"/>
  <c r="AB1959" i="1"/>
  <c r="AB1958" i="1" a="1"/>
  <c r="AB1958" i="1"/>
  <c r="AB1957" i="1" a="1"/>
  <c r="AB1957" i="1"/>
  <c r="AB1956" i="1" a="1"/>
  <c r="AB1956" i="1"/>
  <c r="AB1955" i="1" a="1"/>
  <c r="AB1955" i="1"/>
  <c r="AB1954" i="1" a="1"/>
  <c r="AB1954" i="1"/>
  <c r="AB1953" i="1" a="1"/>
  <c r="AB1953" i="1"/>
  <c r="AB1952" i="1" a="1"/>
  <c r="AB1952" i="1"/>
  <c r="AB1951" i="1" a="1"/>
  <c r="AB1951" i="1"/>
  <c r="AB1950" i="1" a="1"/>
  <c r="AB1950" i="1"/>
  <c r="AB1949" i="1" a="1"/>
  <c r="AB1949" i="1"/>
  <c r="AB1948" i="1" a="1"/>
  <c r="AB1948" i="1"/>
  <c r="AB1947" i="1" a="1"/>
  <c r="AB1947" i="1"/>
  <c r="AB1946" i="1" a="1"/>
  <c r="AB1946" i="1"/>
  <c r="AB1945" i="1" a="1"/>
  <c r="AB1945" i="1"/>
  <c r="AB1944" i="1" a="1"/>
  <c r="AB1944" i="1"/>
  <c r="AB1943" i="1" a="1"/>
  <c r="AB1943" i="1"/>
  <c r="AB1942" i="1" a="1"/>
  <c r="AB1942" i="1"/>
  <c r="AB1941" i="1" a="1"/>
  <c r="AB1941" i="1"/>
  <c r="AB1940" i="1" a="1"/>
  <c r="AB1940" i="1"/>
  <c r="AB1939" i="1" a="1"/>
  <c r="AB1939" i="1"/>
  <c r="AB1938" i="1" a="1"/>
  <c r="AB1938" i="1"/>
  <c r="AB1937" i="1" a="1"/>
  <c r="AB1937" i="1"/>
  <c r="AB1936" i="1" a="1"/>
  <c r="AB1936" i="1"/>
  <c r="AB1935" i="1" a="1"/>
  <c r="AB1935" i="1"/>
  <c r="AB1934" i="1" a="1"/>
  <c r="AB1934" i="1"/>
  <c r="AB1933" i="1" a="1"/>
  <c r="AB1933" i="1"/>
  <c r="AB1932" i="1" a="1"/>
  <c r="AB1932" i="1"/>
  <c r="AB1931" i="1" a="1"/>
  <c r="AB1931" i="1"/>
  <c r="AB1930" i="1" a="1"/>
  <c r="AB1930" i="1"/>
  <c r="AB1929" i="1" a="1"/>
  <c r="AB1929" i="1"/>
  <c r="AB1928" i="1" a="1"/>
  <c r="AB1928" i="1"/>
  <c r="AB1927" i="1" a="1"/>
  <c r="AB1927" i="1"/>
  <c r="AB1926" i="1" a="1"/>
  <c r="AB1926" i="1"/>
  <c r="AB1925" i="1" a="1"/>
  <c r="AB1925" i="1"/>
  <c r="AB1924" i="1" a="1"/>
  <c r="AB1924" i="1"/>
  <c r="AB1923" i="1" a="1"/>
  <c r="AB1923" i="1"/>
  <c r="AB1922" i="1" a="1"/>
  <c r="AB1922" i="1"/>
  <c r="AB1921" i="1" a="1"/>
  <c r="AB1921" i="1"/>
  <c r="AB1920" i="1" a="1"/>
  <c r="AB1920" i="1"/>
  <c r="AB1919" i="1" a="1"/>
  <c r="AB1919" i="1"/>
  <c r="AB1918" i="1" a="1"/>
  <c r="AB1918" i="1"/>
  <c r="AB1917" i="1" a="1"/>
  <c r="AB1917" i="1"/>
  <c r="AB1916" i="1" a="1"/>
  <c r="AB1916" i="1"/>
  <c r="AB1915" i="1" a="1"/>
  <c r="AB1915" i="1"/>
  <c r="AB1914" i="1" a="1"/>
  <c r="AB1914" i="1"/>
  <c r="AB1913" i="1" a="1"/>
  <c r="AB1913" i="1"/>
  <c r="AB1912" i="1" a="1"/>
  <c r="AB1912" i="1"/>
  <c r="AB1911" i="1" a="1"/>
  <c r="AB1911" i="1"/>
  <c r="AB1910" i="1" a="1"/>
  <c r="AB1910" i="1"/>
  <c r="AB1909" i="1" a="1"/>
  <c r="AB1909" i="1"/>
  <c r="AB1908" i="1" a="1"/>
  <c r="AB1908" i="1"/>
  <c r="AB1907" i="1" a="1"/>
  <c r="AB1907" i="1"/>
  <c r="AB1906" i="1" a="1"/>
  <c r="AB1906" i="1"/>
  <c r="AB1905" i="1" a="1"/>
  <c r="AB1905" i="1"/>
  <c r="AB1904" i="1" a="1"/>
  <c r="AB1904" i="1"/>
  <c r="AB1903" i="1" a="1"/>
  <c r="AB1903" i="1"/>
  <c r="AB1902" i="1" a="1"/>
  <c r="AB1902" i="1"/>
  <c r="AB1901" i="1" a="1"/>
  <c r="AB1901" i="1"/>
  <c r="AB1900" i="1" a="1"/>
  <c r="AB1900" i="1"/>
  <c r="AB1899" i="1" a="1"/>
  <c r="AB1899" i="1"/>
  <c r="AB1898" i="1" a="1"/>
  <c r="AB1898" i="1"/>
  <c r="AB1897" i="1" a="1"/>
  <c r="AB1897" i="1"/>
  <c r="AB1896" i="1" a="1"/>
  <c r="AB1896" i="1"/>
  <c r="AB1895" i="1" a="1"/>
  <c r="AB1895" i="1"/>
  <c r="AB1894" i="1" a="1"/>
  <c r="AB1894" i="1"/>
  <c r="AB1893" i="1" a="1"/>
  <c r="AB1893" i="1"/>
  <c r="AB1892" i="1" a="1"/>
  <c r="AB1892" i="1"/>
  <c r="AB1891" i="1" a="1"/>
  <c r="AB1891" i="1"/>
  <c r="AB1890" i="1" a="1"/>
  <c r="AB1890" i="1"/>
  <c r="AB1889" i="1" a="1"/>
  <c r="AB1889" i="1"/>
  <c r="AB1888" i="1" a="1"/>
  <c r="AB1888" i="1"/>
  <c r="AB1887" i="1" a="1"/>
  <c r="AB1887" i="1"/>
  <c r="AB1886" i="1" a="1"/>
  <c r="AB1886" i="1"/>
  <c r="AB1885" i="1" a="1"/>
  <c r="AB1885" i="1"/>
  <c r="AB1884" i="1" a="1"/>
  <c r="AB1884" i="1"/>
  <c r="AB1883" i="1" a="1"/>
  <c r="AB1883" i="1"/>
  <c r="AB1882" i="1" a="1"/>
  <c r="AB1882" i="1"/>
  <c r="AB1881" i="1" a="1"/>
  <c r="AB1881" i="1"/>
  <c r="AB1880" i="1" a="1"/>
  <c r="AB1880" i="1"/>
  <c r="AB1879" i="1" a="1"/>
  <c r="AB1879" i="1"/>
  <c r="AB1878" i="1" a="1"/>
  <c r="AB1878" i="1"/>
  <c r="AB1877" i="1" a="1"/>
  <c r="AB1877" i="1"/>
  <c r="AB1876" i="1" a="1"/>
  <c r="AB1876" i="1"/>
  <c r="AB1875" i="1" a="1"/>
  <c r="AB1875" i="1"/>
  <c r="AB1874" i="1" a="1"/>
  <c r="AB1874" i="1"/>
  <c r="AB1873" i="1" a="1"/>
  <c r="AB1873" i="1"/>
  <c r="AB1872" i="1" a="1"/>
  <c r="AB1872" i="1"/>
  <c r="AB1871" i="1" a="1"/>
  <c r="AB1871" i="1"/>
  <c r="AB1870" i="1" a="1"/>
  <c r="AB1870" i="1"/>
  <c r="AB1869" i="1" a="1"/>
  <c r="AB1869" i="1"/>
  <c r="AB1868" i="1" a="1"/>
  <c r="AB1868" i="1"/>
  <c r="AB1867" i="1" a="1"/>
  <c r="AB1867" i="1"/>
  <c r="AB1866" i="1" a="1"/>
  <c r="AB1866" i="1"/>
  <c r="AB1865" i="1" a="1"/>
  <c r="AB1865" i="1"/>
  <c r="AB1864" i="1" a="1"/>
  <c r="AB1864" i="1"/>
  <c r="AB1863" i="1" a="1"/>
  <c r="AB1863" i="1"/>
  <c r="AB1862" i="1" a="1"/>
  <c r="AB1862" i="1"/>
  <c r="AB1861" i="1" a="1"/>
  <c r="AB1861" i="1"/>
  <c r="AB1860" i="1" a="1"/>
  <c r="AB1860" i="1"/>
  <c r="AB1859" i="1" a="1"/>
  <c r="AB1859" i="1"/>
  <c r="AB1858" i="1" a="1"/>
  <c r="AB1858" i="1"/>
  <c r="AB1857" i="1" a="1"/>
  <c r="AB1857" i="1"/>
  <c r="AB1856" i="1" a="1"/>
  <c r="AB1856" i="1"/>
  <c r="AB1855" i="1" a="1"/>
  <c r="AB1855" i="1"/>
  <c r="AB1854" i="1" a="1"/>
  <c r="AB1854" i="1"/>
  <c r="AB1853" i="1" a="1"/>
  <c r="AB1853" i="1"/>
  <c r="AB1852" i="1" a="1"/>
  <c r="AB1852" i="1"/>
  <c r="AB1851" i="1" a="1"/>
  <c r="AB1851" i="1"/>
  <c r="AB1850" i="1" a="1"/>
  <c r="AB1850" i="1"/>
  <c r="AB1849" i="1" a="1"/>
  <c r="AB1849" i="1"/>
  <c r="AB1848" i="1" a="1"/>
  <c r="AB1848" i="1"/>
  <c r="AB1847" i="1" a="1"/>
  <c r="AB1847" i="1"/>
  <c r="AB1846" i="1" a="1"/>
  <c r="AB1846" i="1"/>
  <c r="AB1845" i="1" a="1"/>
  <c r="AB1845" i="1"/>
  <c r="AB1844" i="1" a="1"/>
  <c r="AB1844" i="1"/>
  <c r="AB1843" i="1" a="1"/>
  <c r="AB1843" i="1"/>
  <c r="AB1842" i="1" a="1"/>
  <c r="AB1842" i="1"/>
  <c r="AB1841" i="1" a="1"/>
  <c r="AB1841" i="1"/>
  <c r="AB1840" i="1" a="1"/>
  <c r="AB1840" i="1"/>
  <c r="AB1839" i="1" a="1"/>
  <c r="AB1839" i="1"/>
  <c r="AB1838" i="1" a="1"/>
  <c r="AB1838" i="1"/>
  <c r="AB1837" i="1" a="1"/>
  <c r="AB1837" i="1"/>
  <c r="AB1836" i="1" a="1"/>
  <c r="AB1836" i="1"/>
  <c r="AB1835" i="1" a="1"/>
  <c r="AB1835" i="1"/>
  <c r="AB1834" i="1" a="1"/>
  <c r="AB1834" i="1"/>
  <c r="AB1833" i="1" a="1"/>
  <c r="AB1833" i="1"/>
  <c r="AB1832" i="1" a="1"/>
  <c r="AB1832" i="1"/>
  <c r="AB1831" i="1" a="1"/>
  <c r="AB1831" i="1"/>
  <c r="AB1830" i="1" a="1"/>
  <c r="AB1830" i="1"/>
  <c r="AB1829" i="1" a="1"/>
  <c r="AB1829" i="1"/>
  <c r="AB1828" i="1" a="1"/>
  <c r="AB1828" i="1"/>
  <c r="AB1827" i="1" a="1"/>
  <c r="AB1827" i="1"/>
  <c r="AB1826" i="1" a="1"/>
  <c r="AB1826" i="1"/>
  <c r="AB1825" i="1" a="1"/>
  <c r="AB1825" i="1"/>
  <c r="AB1824" i="1" a="1"/>
  <c r="AB1824" i="1"/>
  <c r="AB1823" i="1" a="1"/>
  <c r="AB1823" i="1"/>
  <c r="AB1822" i="1" a="1"/>
  <c r="AB1822" i="1"/>
  <c r="AB1821" i="1" a="1"/>
  <c r="AB1821" i="1"/>
  <c r="AB1820" i="1" a="1"/>
  <c r="AB1820" i="1"/>
  <c r="AB1819" i="1" a="1"/>
  <c r="AB1819" i="1"/>
  <c r="AB1818" i="1" a="1"/>
  <c r="AB1818" i="1"/>
  <c r="AB1817" i="1" a="1"/>
  <c r="AB1817" i="1"/>
  <c r="AB1816" i="1" a="1"/>
  <c r="AB1816" i="1"/>
  <c r="AB1815" i="1" a="1"/>
  <c r="AB1815" i="1"/>
  <c r="AB1814" i="1" a="1"/>
  <c r="AB1814" i="1"/>
  <c r="AB1813" i="1" a="1"/>
  <c r="AB1813" i="1"/>
  <c r="AB1812" i="1" a="1"/>
  <c r="AB1812" i="1"/>
  <c r="AB1811" i="1" a="1"/>
  <c r="AB1811" i="1"/>
  <c r="AB1810" i="1" a="1"/>
  <c r="AB1810" i="1"/>
  <c r="AB1809" i="1" a="1"/>
  <c r="AB1809" i="1"/>
  <c r="AB1808" i="1" a="1"/>
  <c r="AB1808" i="1"/>
  <c r="AB1807" i="1" a="1"/>
  <c r="AB1807" i="1"/>
  <c r="AB1806" i="1" a="1"/>
  <c r="AB1806" i="1"/>
  <c r="AB1805" i="1" a="1"/>
  <c r="AB1805" i="1"/>
  <c r="AB1804" i="1" a="1"/>
  <c r="AB1804" i="1"/>
  <c r="AB1803" i="1" a="1"/>
  <c r="AB1803" i="1"/>
  <c r="AB1802" i="1" a="1"/>
  <c r="AB1802" i="1"/>
  <c r="AB1801" i="1" a="1"/>
  <c r="AB1801" i="1"/>
  <c r="AB1800" i="1" a="1"/>
  <c r="AB1800" i="1"/>
  <c r="AB1799" i="1" a="1"/>
  <c r="AB1799" i="1"/>
  <c r="AB1798" i="1" a="1"/>
  <c r="AB1798" i="1"/>
  <c r="AB1797" i="1" a="1"/>
  <c r="AB1797" i="1"/>
  <c r="AB1796" i="1" a="1"/>
  <c r="AB1796" i="1"/>
  <c r="AB1795" i="1" a="1"/>
  <c r="AB1795" i="1"/>
  <c r="AB1794" i="1" a="1"/>
  <c r="AB1794" i="1"/>
  <c r="AB1793" i="1" a="1"/>
  <c r="AB1793" i="1"/>
  <c r="AB1792" i="1" a="1"/>
  <c r="AB1792" i="1"/>
  <c r="AB1791" i="1" a="1"/>
  <c r="AB1791" i="1"/>
  <c r="AB1790" i="1" a="1"/>
  <c r="AB1790" i="1"/>
  <c r="AB1789" i="1" a="1"/>
  <c r="AB1789" i="1"/>
  <c r="AB1788" i="1" a="1"/>
  <c r="AB1788" i="1"/>
  <c r="AB1787" i="1" a="1"/>
  <c r="AB1787" i="1"/>
  <c r="AB1786" i="1" a="1"/>
  <c r="AB1786" i="1"/>
  <c r="AB1785" i="1" a="1"/>
  <c r="AB1785" i="1"/>
  <c r="AB1784" i="1" a="1"/>
  <c r="AB1784" i="1"/>
  <c r="AB1783" i="1" a="1"/>
  <c r="AB1783" i="1"/>
  <c r="AB1782" i="1" a="1"/>
  <c r="AB1782" i="1"/>
  <c r="AB1781" i="1" a="1"/>
  <c r="AB1781" i="1"/>
  <c r="AB1780" i="1" a="1"/>
  <c r="AB1780" i="1"/>
  <c r="AB1779" i="1" a="1"/>
  <c r="AB1779" i="1"/>
  <c r="AB1778" i="1" a="1"/>
  <c r="AB1778" i="1"/>
  <c r="AB1777" i="1" a="1"/>
  <c r="AB1777" i="1"/>
  <c r="AB1776" i="1" a="1"/>
  <c r="AB1776" i="1"/>
  <c r="AB1775" i="1" a="1"/>
  <c r="AB1775" i="1"/>
  <c r="AB1774" i="1" a="1"/>
  <c r="AB1774" i="1"/>
  <c r="AB1773" i="1" a="1"/>
  <c r="AB1773" i="1"/>
  <c r="AB1772" i="1" a="1"/>
  <c r="AB1772" i="1"/>
  <c r="AB1771" i="1" a="1"/>
  <c r="AB1771" i="1"/>
  <c r="AB1770" i="1" a="1"/>
  <c r="AB1770" i="1"/>
  <c r="AB1769" i="1" a="1"/>
  <c r="AB1769" i="1"/>
  <c r="AB1768" i="1" a="1"/>
  <c r="AB1768" i="1"/>
  <c r="AB1767" i="1" a="1"/>
  <c r="AB1767" i="1"/>
  <c r="AB1766" i="1" a="1"/>
  <c r="AB1766" i="1"/>
  <c r="AB1765" i="1" a="1"/>
  <c r="AB1765" i="1"/>
  <c r="AB1764" i="1" a="1"/>
  <c r="AB1764" i="1"/>
  <c r="AB1763" i="1" a="1"/>
  <c r="AB1763" i="1"/>
  <c r="AB1762" i="1" a="1"/>
  <c r="AB1762" i="1"/>
  <c r="AB1761" i="1" a="1"/>
  <c r="AB1761" i="1"/>
  <c r="AB1760" i="1" a="1"/>
  <c r="AB1760" i="1"/>
  <c r="AB1759" i="1" a="1"/>
  <c r="AB1759" i="1"/>
  <c r="AB1758" i="1" a="1"/>
  <c r="AB1758" i="1"/>
  <c r="AB1757" i="1" a="1"/>
  <c r="AB1757" i="1"/>
  <c r="AB1756" i="1" a="1"/>
  <c r="AB1756" i="1"/>
  <c r="AB1755" i="1" a="1"/>
  <c r="AB1755" i="1"/>
  <c r="AB1754" i="1" a="1"/>
  <c r="AB1754" i="1"/>
  <c r="AB1753" i="1" a="1"/>
  <c r="AB1753" i="1"/>
  <c r="AB1752" i="1" a="1"/>
  <c r="AB1752" i="1"/>
  <c r="AB1751" i="1" a="1"/>
  <c r="AB1751" i="1"/>
  <c r="AB1750" i="1" a="1"/>
  <c r="AB1750" i="1"/>
  <c r="AB1749" i="1" a="1"/>
  <c r="AB1749" i="1"/>
  <c r="AB1748" i="1" a="1"/>
  <c r="AB1748" i="1"/>
  <c r="AB1747" i="1" a="1"/>
  <c r="AB1747" i="1"/>
  <c r="AB1746" i="1" a="1"/>
  <c r="AB1746" i="1"/>
  <c r="AB1745" i="1" a="1"/>
  <c r="AB1745" i="1"/>
  <c r="AB1744" i="1" a="1"/>
  <c r="AB1744" i="1"/>
  <c r="AB1743" i="1" a="1"/>
  <c r="AB1743" i="1"/>
  <c r="AB1742" i="1" a="1"/>
  <c r="AB1742" i="1"/>
  <c r="AB1741" i="1" a="1"/>
  <c r="AB1741" i="1"/>
  <c r="AB1740" i="1" a="1"/>
  <c r="AB1740" i="1"/>
  <c r="AB1739" i="1" a="1"/>
  <c r="AB1739" i="1"/>
  <c r="AB1738" i="1" a="1"/>
  <c r="AB1738" i="1"/>
  <c r="AB1737" i="1" a="1"/>
  <c r="AB1737" i="1"/>
  <c r="AB1736" i="1" a="1"/>
  <c r="AB1736" i="1"/>
  <c r="AB1735" i="1" a="1"/>
  <c r="AB1735" i="1"/>
  <c r="AB1734" i="1" a="1"/>
  <c r="AB1734" i="1"/>
  <c r="AB1733" i="1" a="1"/>
  <c r="AB1733" i="1"/>
  <c r="AB1732" i="1" a="1"/>
  <c r="AB1732" i="1"/>
  <c r="AB1731" i="1" a="1"/>
  <c r="AB1731" i="1"/>
  <c r="AB1730" i="1" a="1"/>
  <c r="AB1730" i="1"/>
  <c r="AB1729" i="1" a="1"/>
  <c r="AB1729" i="1"/>
  <c r="AB1728" i="1" a="1"/>
  <c r="AB1728" i="1"/>
  <c r="AB1727" i="1" a="1"/>
  <c r="AB1727" i="1"/>
  <c r="AB1726" i="1" a="1"/>
  <c r="AB1726" i="1"/>
  <c r="AB1725" i="1" a="1"/>
  <c r="AB1725" i="1"/>
  <c r="AB1724" i="1" a="1"/>
  <c r="AB1724" i="1"/>
  <c r="AB1723" i="1" a="1"/>
  <c r="AB1723" i="1"/>
  <c r="AB1722" i="1" a="1"/>
  <c r="AB1722" i="1"/>
  <c r="AB1721" i="1" a="1"/>
  <c r="AB1721" i="1"/>
  <c r="AB1720" i="1" a="1"/>
  <c r="AB1720" i="1"/>
  <c r="AB1719" i="1" a="1"/>
  <c r="AB1719" i="1"/>
  <c r="AB1718" i="1" a="1"/>
  <c r="AB1718" i="1"/>
  <c r="AB1717" i="1" a="1"/>
  <c r="AB1717" i="1"/>
  <c r="AB1716" i="1" a="1"/>
  <c r="AB1716" i="1"/>
  <c r="AB1715" i="1" a="1"/>
  <c r="AB1715" i="1"/>
  <c r="AB1714" i="1" a="1"/>
  <c r="AB1714" i="1"/>
  <c r="AB1713" i="1" a="1"/>
  <c r="AB1713" i="1"/>
  <c r="AB1712" i="1" a="1"/>
  <c r="AB1712" i="1"/>
  <c r="AB1711" i="1" a="1"/>
  <c r="AB1711" i="1"/>
  <c r="AB1710" i="1" a="1"/>
  <c r="AB1710" i="1"/>
  <c r="AB1709" i="1" a="1"/>
  <c r="AB1709" i="1"/>
  <c r="AB1708" i="1" a="1"/>
  <c r="AB1708" i="1"/>
  <c r="AB1707" i="1" a="1"/>
  <c r="AB1707" i="1"/>
  <c r="AB1706" i="1" a="1"/>
  <c r="AB1706" i="1"/>
  <c r="AB1705" i="1" a="1"/>
  <c r="AB1705" i="1"/>
  <c r="AB1704" i="1" a="1"/>
  <c r="AB1704" i="1"/>
  <c r="AB1703" i="1" a="1"/>
  <c r="AB1703" i="1"/>
  <c r="AB1702" i="1" a="1"/>
  <c r="AB1702" i="1"/>
  <c r="AB1701" i="1" a="1"/>
  <c r="AB1701" i="1"/>
  <c r="AB1700" i="1" a="1"/>
  <c r="AB1700" i="1"/>
  <c r="AB1699" i="1" a="1"/>
  <c r="AB1699" i="1"/>
  <c r="AB1698" i="1" a="1"/>
  <c r="AB1698" i="1"/>
  <c r="AB1697" i="1" a="1"/>
  <c r="AB1697" i="1"/>
  <c r="AB1696" i="1" a="1"/>
  <c r="AB1696" i="1"/>
  <c r="AB1695" i="1" a="1"/>
  <c r="AB1695" i="1"/>
  <c r="AB1694" i="1" a="1"/>
  <c r="AB1694" i="1"/>
  <c r="AB1693" i="1" a="1"/>
  <c r="AB1693" i="1"/>
  <c r="AB1692" i="1" a="1"/>
  <c r="AB1692" i="1"/>
  <c r="AB1691" i="1" a="1"/>
  <c r="AB1691" i="1"/>
  <c r="AB1690" i="1" a="1"/>
  <c r="AB1690" i="1"/>
  <c r="AB1689" i="1" a="1"/>
  <c r="AB1689" i="1"/>
  <c r="AB1688" i="1" a="1"/>
  <c r="AB1688" i="1"/>
  <c r="AB1687" i="1" a="1"/>
  <c r="AB1687" i="1"/>
  <c r="AB1686" i="1" a="1"/>
  <c r="AB1686" i="1"/>
  <c r="AB1685" i="1" a="1"/>
  <c r="AB1685" i="1"/>
  <c r="AB1684" i="1" a="1"/>
  <c r="AB1684" i="1"/>
  <c r="AB1683" i="1" a="1"/>
  <c r="AB1683" i="1"/>
  <c r="AB1682" i="1" a="1"/>
  <c r="AB1682" i="1"/>
  <c r="AB1681" i="1" a="1"/>
  <c r="AB1681" i="1"/>
  <c r="AB1680" i="1" a="1"/>
  <c r="AB1680" i="1"/>
  <c r="AB1679" i="1" a="1"/>
  <c r="AB1679" i="1"/>
  <c r="AB1678" i="1" a="1"/>
  <c r="AB1678" i="1"/>
  <c r="AB1677" i="1" a="1"/>
  <c r="AB1677" i="1"/>
  <c r="AB1676" i="1" a="1"/>
  <c r="AB1676" i="1"/>
  <c r="AB1675" i="1" a="1"/>
  <c r="AB1675" i="1"/>
  <c r="AB1674" i="1" a="1"/>
  <c r="AB1674" i="1"/>
  <c r="AB1673" i="1" a="1"/>
  <c r="AB1673" i="1"/>
  <c r="AB1672" i="1" a="1"/>
  <c r="AB1672" i="1"/>
  <c r="AB1671" i="1" a="1"/>
  <c r="AB1671" i="1"/>
  <c r="AB1670" i="1" a="1"/>
  <c r="AB1670" i="1"/>
  <c r="AB1669" i="1" a="1"/>
  <c r="AB1669" i="1"/>
  <c r="AB1668" i="1" a="1"/>
  <c r="AB1668" i="1"/>
  <c r="AB1667" i="1" a="1"/>
  <c r="AB1667" i="1"/>
  <c r="AB1666" i="1" a="1"/>
  <c r="AB1666" i="1"/>
  <c r="AB1665" i="1" a="1"/>
  <c r="AB1665" i="1"/>
  <c r="AB1664" i="1" a="1"/>
  <c r="AB1664" i="1"/>
  <c r="AB1663" i="1" a="1"/>
  <c r="AB1663" i="1"/>
  <c r="AB1662" i="1" a="1"/>
  <c r="AB1662" i="1"/>
  <c r="AB1661" i="1" a="1"/>
  <c r="AB1661" i="1"/>
  <c r="AB1660" i="1" a="1"/>
  <c r="AB1660" i="1"/>
  <c r="AB1659" i="1" a="1"/>
  <c r="AB1659" i="1"/>
  <c r="AB1658" i="1" a="1"/>
  <c r="AB1658" i="1"/>
  <c r="AB1657" i="1" a="1"/>
  <c r="AB1657" i="1"/>
  <c r="AB1656" i="1" a="1"/>
  <c r="AB1656" i="1"/>
  <c r="AB1655" i="1" a="1"/>
  <c r="AB1655" i="1"/>
  <c r="AB1654" i="1" a="1"/>
  <c r="AB1654" i="1"/>
  <c r="AB1653" i="1" a="1"/>
  <c r="AB1653" i="1"/>
  <c r="AB1652" i="1"/>
  <c r="AB1651" i="1"/>
  <c r="AB1650" i="1"/>
  <c r="AB1649" i="1"/>
  <c r="AB1648" i="1"/>
  <c r="AB1647" i="1"/>
  <c r="AB1646" i="1"/>
  <c r="AB1645" i="1"/>
  <c r="AB1644" i="1"/>
  <c r="AB1643" i="1"/>
  <c r="AB1642" i="1"/>
  <c r="AB1641" i="1"/>
  <c r="AB1640" i="1"/>
  <c r="AB1639" i="1"/>
  <c r="AB1638" i="1"/>
  <c r="AB1637" i="1"/>
  <c r="AB1636" i="1"/>
  <c r="AB1635" i="1"/>
  <c r="AB1634" i="1"/>
  <c r="AB1633" i="1"/>
  <c r="AB1632" i="1"/>
  <c r="AB1631" i="1"/>
  <c r="AB1630" i="1"/>
  <c r="AB1629" i="1"/>
  <c r="AB1628" i="1"/>
  <c r="AB1627" i="1"/>
  <c r="AB1626" i="1"/>
  <c r="AB1625" i="1"/>
  <c r="AB1624" i="1"/>
  <c r="AB1623" i="1"/>
  <c r="A2001" i="1"/>
  <c r="A2000" i="1" l="1"/>
  <c r="A1999" i="1" l="1"/>
  <c r="A1998" i="1" l="1"/>
  <c r="A1997" i="1" l="1"/>
  <c r="A1996" i="1" l="1"/>
  <c r="A1995" i="1" l="1"/>
  <c r="A1994" i="1" l="1"/>
  <c r="A1993" i="1" l="1"/>
  <c r="A1992" i="1" l="1"/>
  <c r="A1991" i="1" l="1"/>
  <c r="A1990" i="1" l="1"/>
  <c r="A1989" i="1" l="1"/>
  <c r="A1988" i="1" l="1"/>
  <c r="A1987" i="1" l="1"/>
  <c r="A1986" i="1" l="1"/>
  <c r="A1985" i="1" l="1"/>
  <c r="A1984" i="1" l="1"/>
  <c r="A1983" i="1" l="1"/>
  <c r="A1982" i="1" l="1"/>
  <c r="A1981" i="1" l="1"/>
  <c r="A1980" i="1" l="1"/>
  <c r="A1979" i="1" l="1"/>
  <c r="A1978" i="1" l="1"/>
  <c r="A1977" i="1" l="1"/>
  <c r="A1976" i="1" l="1"/>
  <c r="A1975" i="1" l="1"/>
  <c r="A1974" i="1" l="1"/>
  <c r="A1973" i="1" l="1"/>
  <c r="A1972" i="1" l="1"/>
  <c r="A1971" i="1" l="1"/>
  <c r="A1970" i="1" l="1"/>
  <c r="A1969" i="1" l="1"/>
  <c r="A1968" i="1" l="1"/>
  <c r="A1967" i="1" l="1"/>
  <c r="A1966" i="1" l="1"/>
  <c r="A1965" i="1" l="1"/>
  <c r="A1964" i="1" l="1"/>
  <c r="A1963" i="1" l="1"/>
  <c r="A1962" i="1" l="1"/>
  <c r="A1961" i="1" l="1"/>
  <c r="A1960" i="1" l="1"/>
  <c r="A1959" i="1" l="1"/>
  <c r="A1958" i="1" l="1"/>
  <c r="A1957" i="1" l="1"/>
  <c r="A1956" i="1" l="1"/>
  <c r="A1955" i="1" l="1"/>
  <c r="A1954" i="1" l="1"/>
  <c r="A1953" i="1" l="1"/>
  <c r="A1952" i="1" l="1"/>
  <c r="A1951" i="1" l="1"/>
  <c r="A1950" i="1" l="1"/>
  <c r="A1949" i="1" l="1"/>
  <c r="A1948" i="1" l="1"/>
  <c r="A1947" i="1" l="1"/>
  <c r="A1946" i="1" l="1"/>
  <c r="A1945" i="1" l="1"/>
  <c r="A1944" i="1" l="1"/>
  <c r="A1943" i="1" l="1"/>
  <c r="A1942" i="1" l="1"/>
  <c r="A1941" i="1" l="1"/>
  <c r="A1940" i="1" l="1"/>
  <c r="A1939" i="1" l="1"/>
  <c r="A1938" i="1" l="1"/>
  <c r="A1937" i="1" l="1"/>
  <c r="A1936" i="1" l="1"/>
  <c r="A1935" i="1" l="1"/>
  <c r="A1934" i="1" l="1"/>
  <c r="A1933" i="1" l="1"/>
  <c r="A1932" i="1" l="1"/>
  <c r="A1931" i="1" l="1"/>
  <c r="A1930" i="1" l="1"/>
  <c r="A1929" i="1" l="1"/>
  <c r="A1928" i="1" l="1"/>
  <c r="A1927" i="1" l="1"/>
  <c r="A1926" i="1" l="1"/>
  <c r="A1925" i="1" l="1"/>
  <c r="A1924" i="1" l="1"/>
  <c r="A1923" i="1" l="1"/>
  <c r="A1922" i="1" l="1"/>
  <c r="A1921" i="1" l="1"/>
  <c r="A1920" i="1" l="1"/>
  <c r="A1919" i="1" l="1"/>
  <c r="A1918" i="1" l="1"/>
  <c r="A1917" i="1" l="1"/>
  <c r="A1916" i="1" l="1"/>
  <c r="A1915" i="1" l="1"/>
  <c r="A1914" i="1" l="1"/>
  <c r="A1913" i="1" l="1"/>
  <c r="A1912" i="1" l="1"/>
  <c r="A1911" i="1" l="1"/>
  <c r="A1910" i="1" l="1"/>
  <c r="A1909" i="1" l="1"/>
  <c r="A1908" i="1" l="1"/>
  <c r="A1907" i="1" l="1"/>
  <c r="A1906" i="1" l="1"/>
  <c r="A1905" i="1" l="1"/>
  <c r="A1904" i="1" l="1"/>
  <c r="A1903" i="1" l="1"/>
  <c r="A1902" i="1" l="1"/>
  <c r="A1901" i="1" l="1"/>
  <c r="A1900" i="1" l="1"/>
  <c r="A1899" i="1" l="1"/>
  <c r="A1898" i="1" l="1"/>
  <c r="A1897" i="1" l="1"/>
  <c r="A1896" i="1" l="1"/>
  <c r="A1895" i="1" l="1"/>
  <c r="A1894" i="1" l="1"/>
  <c r="A1893" i="1" l="1"/>
  <c r="A1892" i="1" l="1"/>
  <c r="A1891" i="1" l="1"/>
  <c r="A1890" i="1" l="1"/>
  <c r="A1889" i="1" l="1"/>
  <c r="A1888" i="1" l="1"/>
  <c r="A1887" i="1" l="1"/>
  <c r="A1886" i="1" l="1"/>
  <c r="A1885" i="1" l="1"/>
  <c r="A1884" i="1" l="1"/>
  <c r="A1883" i="1" l="1"/>
  <c r="A1882" i="1" l="1"/>
  <c r="A1881" i="1" l="1"/>
  <c r="A1880" i="1" l="1"/>
  <c r="A1879" i="1" l="1"/>
  <c r="A1878" i="1" l="1"/>
  <c r="A1877" i="1" l="1"/>
  <c r="A1876" i="1" l="1"/>
  <c r="A1875" i="1" l="1"/>
  <c r="A1874" i="1" l="1"/>
  <c r="A1873" i="1" l="1"/>
  <c r="A1872" i="1" l="1"/>
  <c r="A1871" i="1" l="1"/>
  <c r="A1870" i="1" l="1"/>
  <c r="A1869" i="1" l="1"/>
  <c r="A1868" i="1" l="1"/>
  <c r="A1867" i="1" l="1"/>
  <c r="A1866" i="1" l="1"/>
  <c r="A1865" i="1" l="1"/>
  <c r="A1864" i="1" l="1"/>
  <c r="A1863" i="1" l="1"/>
  <c r="A1862" i="1" l="1"/>
  <c r="A1861" i="1" l="1"/>
  <c r="A1860" i="1" l="1"/>
  <c r="A1859" i="1" l="1"/>
  <c r="A1858" i="1" l="1"/>
  <c r="A1857" i="1" l="1"/>
  <c r="A1856" i="1" l="1"/>
  <c r="A1855" i="1" l="1"/>
  <c r="A1854" i="1" l="1"/>
  <c r="A1853" i="1" l="1"/>
  <c r="A1852" i="1" l="1"/>
  <c r="A1851" i="1" l="1"/>
  <c r="A1850" i="1" l="1"/>
  <c r="A1849" i="1" l="1"/>
  <c r="A1848" i="1" l="1"/>
  <c r="A1847" i="1" l="1"/>
  <c r="A1846" i="1" l="1"/>
  <c r="A1845" i="1" l="1"/>
  <c r="A1844" i="1" l="1"/>
  <c r="A1843" i="1" l="1"/>
  <c r="A1842" i="1" l="1"/>
  <c r="A1841" i="1" l="1"/>
  <c r="A1840" i="1" l="1"/>
  <c r="A1839" i="1" l="1"/>
  <c r="A1838" i="1" l="1"/>
  <c r="A1837" i="1" l="1"/>
  <c r="A1836" i="1" l="1"/>
  <c r="A1835" i="1" l="1"/>
  <c r="A1834" i="1" l="1"/>
  <c r="A1833" i="1" l="1"/>
  <c r="A1832" i="1" l="1"/>
  <c r="A1831" i="1" l="1"/>
  <c r="A1830" i="1" l="1"/>
  <c r="A1829" i="1" l="1"/>
  <c r="A1828" i="1" l="1"/>
  <c r="A1827" i="1" l="1"/>
  <c r="A1826" i="1" l="1"/>
  <c r="A1825" i="1" l="1"/>
  <c r="A1824" i="1" l="1"/>
  <c r="A1823" i="1" l="1"/>
  <c r="A1822" i="1" l="1"/>
  <c r="A1821" i="1" l="1"/>
  <c r="A1820" i="1" l="1"/>
  <c r="A1819" i="1" l="1"/>
  <c r="A1818" i="1" l="1"/>
  <c r="A1817" i="1" l="1"/>
  <c r="A1816" i="1" l="1"/>
  <c r="A1815" i="1" l="1"/>
  <c r="A1814" i="1" l="1"/>
  <c r="A1813" i="1" l="1"/>
  <c r="A1812" i="1" l="1"/>
  <c r="A1811" i="1" l="1"/>
  <c r="A1810" i="1" l="1"/>
  <c r="A1809" i="1" l="1"/>
  <c r="A1808" i="1" l="1"/>
  <c r="A1807" i="1" l="1"/>
  <c r="A1806" i="1" l="1"/>
  <c r="A1805" i="1" l="1"/>
  <c r="A1804" i="1" l="1"/>
  <c r="A1803" i="1" l="1"/>
  <c r="A1802" i="1" l="1"/>
  <c r="A1801" i="1" l="1"/>
  <c r="A1800" i="1" l="1"/>
  <c r="A1799" i="1" l="1"/>
  <c r="A1798" i="1" l="1"/>
  <c r="A1797" i="1" l="1"/>
  <c r="A1796" i="1" l="1"/>
  <c r="A1795" i="1" l="1"/>
  <c r="A1794" i="1" l="1"/>
  <c r="A1793" i="1" l="1"/>
  <c r="A1792" i="1" l="1"/>
  <c r="A1791" i="1" l="1"/>
  <c r="A1790" i="1" l="1"/>
  <c r="A1789" i="1" l="1"/>
  <c r="A1788" i="1" l="1"/>
  <c r="A1787" i="1" l="1"/>
  <c r="A1786" i="1" l="1"/>
  <c r="A1785" i="1" l="1"/>
  <c r="A1784" i="1" l="1"/>
  <c r="A1783" i="1" l="1"/>
  <c r="A1782" i="1" l="1"/>
  <c r="A1781" i="1" l="1"/>
  <c r="A1780" i="1" l="1"/>
  <c r="A1779" i="1" l="1"/>
  <c r="A1778" i="1" l="1"/>
  <c r="A1777" i="1" l="1"/>
  <c r="A1776" i="1" l="1"/>
  <c r="A1775" i="1" l="1"/>
  <c r="A1774" i="1" l="1"/>
  <c r="A1773" i="1" l="1"/>
  <c r="A1772" i="1" l="1"/>
  <c r="A1771" i="1" l="1"/>
  <c r="A1770" i="1" l="1"/>
  <c r="A1769" i="1" l="1"/>
  <c r="A1768" i="1" l="1"/>
  <c r="A1767" i="1" l="1"/>
  <c r="A1766" i="1" l="1"/>
  <c r="A1765" i="1" l="1"/>
  <c r="A1764" i="1" l="1"/>
  <c r="A1763" i="1" l="1"/>
  <c r="A1762" i="1" l="1"/>
  <c r="A1761" i="1" l="1"/>
  <c r="A1760" i="1" l="1"/>
  <c r="A1759" i="1" l="1"/>
  <c r="A1758" i="1" l="1"/>
  <c r="A1757" i="1" l="1"/>
  <c r="A1756" i="1" l="1"/>
  <c r="A1755" i="1" l="1"/>
  <c r="A1754" i="1" l="1"/>
  <c r="A1753" i="1" l="1"/>
  <c r="A1752" i="1" l="1"/>
  <c r="A1751" i="1" l="1"/>
  <c r="A1750" i="1" l="1"/>
  <c r="A1749" i="1" l="1"/>
  <c r="A1748" i="1" l="1"/>
  <c r="A1747" i="1" l="1"/>
  <c r="A1746" i="1" l="1"/>
  <c r="A1745" i="1" l="1"/>
  <c r="A1744" i="1" l="1"/>
  <c r="A1743" i="1" l="1"/>
  <c r="A1742" i="1" l="1"/>
  <c r="A1741" i="1" l="1"/>
  <c r="A1740" i="1" l="1"/>
  <c r="A1739" i="1" l="1"/>
  <c r="A1738" i="1" l="1"/>
  <c r="A1737" i="1" l="1"/>
  <c r="A1736" i="1" l="1"/>
  <c r="A1735" i="1" l="1"/>
  <c r="A1734" i="1" l="1"/>
  <c r="A1733" i="1" l="1"/>
  <c r="A1732" i="1" l="1"/>
  <c r="A1731" i="1" l="1"/>
  <c r="A1730" i="1" l="1"/>
  <c r="A1729" i="1" l="1"/>
  <c r="A1728" i="1" l="1"/>
  <c r="A1727" i="1" l="1"/>
  <c r="A1726" i="1" l="1"/>
  <c r="A1725" i="1" l="1"/>
  <c r="A1724" i="1" l="1"/>
  <c r="A1723" i="1" l="1"/>
  <c r="A1722" i="1" l="1"/>
  <c r="A1721" i="1" l="1"/>
  <c r="A1720" i="1" l="1"/>
  <c r="A1719" i="1" l="1"/>
  <c r="A1718" i="1" l="1"/>
  <c r="A1717" i="1" l="1"/>
  <c r="A1716" i="1" l="1"/>
  <c r="A1715" i="1" l="1"/>
  <c r="A1714" i="1" l="1"/>
  <c r="A1713" i="1" l="1"/>
  <c r="A1712" i="1" l="1"/>
  <c r="A1711" i="1" l="1"/>
  <c r="A1710" i="1" l="1"/>
  <c r="A1709" i="1" l="1"/>
  <c r="A1708" i="1" l="1"/>
  <c r="A1707" i="1" l="1"/>
  <c r="A1706" i="1" l="1"/>
  <c r="A1705" i="1" l="1"/>
  <c r="A1704" i="1" l="1"/>
  <c r="A1703" i="1" l="1"/>
  <c r="A1702" i="1" l="1"/>
  <c r="A1701" i="1" l="1"/>
  <c r="A1700" i="1" l="1"/>
  <c r="A1699" i="1" l="1"/>
  <c r="A1698" i="1" l="1"/>
  <c r="A1697" i="1" l="1"/>
  <c r="A1696" i="1" l="1"/>
  <c r="A1695" i="1" l="1"/>
  <c r="A1694" i="1" l="1"/>
  <c r="A1693" i="1" l="1"/>
  <c r="A1692" i="1" l="1"/>
  <c r="A1691" i="1" l="1"/>
  <c r="A1690" i="1" l="1"/>
  <c r="A1689" i="1" l="1"/>
  <c r="A1688" i="1" l="1"/>
  <c r="A1687" i="1" l="1"/>
  <c r="A1686" i="1" l="1"/>
  <c r="A1685" i="1" l="1"/>
  <c r="A1684" i="1" l="1"/>
  <c r="A1683" i="1" l="1"/>
  <c r="A1682" i="1" l="1"/>
  <c r="A1681" i="1" l="1"/>
  <c r="A1680" i="1" l="1"/>
  <c r="A1679" i="1" l="1"/>
  <c r="A1678" i="1" l="1"/>
  <c r="A1677" i="1" l="1"/>
  <c r="A1676" i="1" l="1"/>
  <c r="A1675" i="1" l="1"/>
  <c r="A1674" i="1" l="1"/>
  <c r="A1673" i="1" l="1"/>
  <c r="A1672" i="1" l="1"/>
  <c r="A1671" i="1" l="1"/>
  <c r="A1670" i="1" l="1"/>
  <c r="A1669" i="1" l="1"/>
  <c r="A1668" i="1" l="1"/>
  <c r="A1667" i="1" l="1"/>
  <c r="A1666" i="1" l="1"/>
  <c r="A1665" i="1" l="1"/>
  <c r="A1664" i="1" l="1"/>
  <c r="A1663" i="1" l="1"/>
  <c r="A1662" i="1" l="1"/>
  <c r="A1661" i="1" l="1"/>
  <c r="A1660" i="1" l="1"/>
  <c r="A1659" i="1" l="1"/>
  <c r="A1658" i="1" l="1"/>
  <c r="A1657" i="1" l="1"/>
  <c r="A1656" i="1" l="1"/>
  <c r="A1655" i="1" l="1"/>
  <c r="A1654" i="1" l="1"/>
  <c r="A1653" i="1" l="1"/>
  <c r="A1652" i="1" l="1"/>
  <c r="A1651" i="1" l="1"/>
  <c r="A1650" i="1" l="1"/>
  <c r="A1649" i="1" l="1"/>
  <c r="A1648" i="1" l="1"/>
  <c r="A1647" i="1" l="1"/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<sst xmlns="http://schemas.openxmlformats.org/spreadsheetml/2006/main" count="9638" uniqueCount="3313">
  <si>
    <t>Biotech Master Universe (Low Quality Filter)</t>
  </si>
  <si>
    <t>AsOfDate</t>
  </si>
  <si>
    <t>BbgTicker</t>
  </si>
  <si>
    <t>Ticker</t>
  </si>
  <si>
    <t>SecName</t>
  </si>
  <si>
    <t>Crncy</t>
  </si>
  <si>
    <t>CntryCode</t>
  </si>
  <si>
    <t>Market Cap</t>
  </si>
  <si>
    <t>Enterprise Value</t>
  </si>
  <si>
    <t>Price</t>
  </si>
  <si>
    <t>SL Date</t>
  </si>
  <si>
    <t>SL Availability</t>
  </si>
  <si>
    <t>SL Rate</t>
  </si>
  <si>
    <t>SL Type</t>
  </si>
  <si>
    <t>Avg Vol Date</t>
  </si>
  <si>
    <t>Avg Vol 30d</t>
  </si>
  <si>
    <t>Avg Vol 90d</t>
  </si>
  <si>
    <t>Avg Vol 180d</t>
  </si>
  <si>
    <t>MktCap Check</t>
  </si>
  <si>
    <t>Price Check</t>
  </si>
  <si>
    <t>VOLUME_AVG_30D</t>
  </si>
  <si>
    <t>VOLUME_AVG_6M</t>
  </si>
  <si>
    <t>VOLUME_AVG_3M</t>
  </si>
  <si>
    <t>VOLUME_AVG_10D</t>
  </si>
  <si>
    <t>VOLUME_AVG_12M</t>
  </si>
  <si>
    <t>LAST_PRICE</t>
  </si>
  <si>
    <t>LIST OF VIEWS</t>
  </si>
  <si>
    <t>Biotech Master Universe</t>
  </si>
  <si>
    <t>Tag Value</t>
  </si>
  <si>
    <t>Tag Date</t>
  </si>
  <si>
    <t>EntValue Check</t>
  </si>
  <si>
    <t>TXG US Equity</t>
  </si>
  <si>
    <t>10X Genomics Inc</t>
  </si>
  <si>
    <t>USD</t>
  </si>
  <si>
    <t>US</t>
  </si>
  <si>
    <t>Rebate</t>
  </si>
  <si>
    <t>ATNF US Equity</t>
  </si>
  <si>
    <t>180 Life Sciences Corp</t>
  </si>
  <si>
    <t>TGIF CN Equity</t>
  </si>
  <si>
    <t>1933 Industries Inc</t>
  </si>
  <si>
    <t>CAD</t>
  </si>
  <si>
    <t>CN</t>
  </si>
  <si>
    <t>EPIC CN Equity</t>
  </si>
  <si>
    <t>1CM Inc</t>
  </si>
  <si>
    <t>TSVT US Equity</t>
  </si>
  <si>
    <t>2seventy bio Inc</t>
  </si>
  <si>
    <t>ONCOLOGY</t>
  </si>
  <si>
    <t>FDMT US Equity</t>
  </si>
  <si>
    <t>4D Molecular Therapeutics Inc</t>
  </si>
  <si>
    <t>OPHTHALMOLOGY</t>
  </si>
  <si>
    <t>FFNT CN Equity</t>
  </si>
  <si>
    <t>4Front Ventures Corp</t>
  </si>
  <si>
    <t>SXTP US Equity</t>
  </si>
  <si>
    <t>60 Degrees Pharmaceuticals Inc</t>
  </si>
  <si>
    <t>ETNB US Equity</t>
  </si>
  <si>
    <t>89bio Inc</t>
  </si>
  <si>
    <t>HEPATOLOGY</t>
  </si>
  <si>
    <t>AADI US Equity</t>
  </si>
  <si>
    <t>Aadi Bioscience Inc</t>
  </si>
  <si>
    <t>ABT US Equity</t>
  </si>
  <si>
    <t>Abbott Laboratories</t>
  </si>
  <si>
    <t>ABBV US Equity</t>
  </si>
  <si>
    <t>AbbVie Inc</t>
  </si>
  <si>
    <t>GENERAL MED</t>
  </si>
  <si>
    <t>ABCL US Equity</t>
  </si>
  <si>
    <t>AbCellera Biologics Inc</t>
  </si>
  <si>
    <t>ABEO US Equity</t>
  </si>
  <si>
    <t>Abeona Therapeutics Inc</t>
  </si>
  <si>
    <t>GENETIC MEDICINE</t>
  </si>
  <si>
    <t>ABP US Equity</t>
  </si>
  <si>
    <t>Abpro Holdings Inc</t>
  </si>
  <si>
    <t>ABSI US Equity</t>
  </si>
  <si>
    <t>Absci Corp</t>
  </si>
  <si>
    <t>I&amp;I</t>
  </si>
  <si>
    <t>ABVC US Equity</t>
  </si>
  <si>
    <t>ABVC BioPharma Inc</t>
  </si>
  <si>
    <t>ACIU US Equity</t>
  </si>
  <si>
    <t>AC Immune SA</t>
  </si>
  <si>
    <t>ACHC US Equity</t>
  </si>
  <si>
    <t>Acadia Healthcare Co Inc</t>
  </si>
  <si>
    <t>ACAD US Equity</t>
  </si>
  <si>
    <t>ACADIA Pharmaceuticals Inc</t>
  </si>
  <si>
    <t>NEUROSCIENCE</t>
  </si>
  <si>
    <t>CAVG US Equity</t>
  </si>
  <si>
    <t>ACC Aviation Holdings Ltd</t>
  </si>
  <si>
    <t>AXDX US Equity</t>
  </si>
  <si>
    <t>Accelerate Diagnostics Inc</t>
  </si>
  <si>
    <t>ACCD US Equity</t>
  </si>
  <si>
    <t>Accolade Inc</t>
  </si>
  <si>
    <t>ARAY US Equity</t>
  </si>
  <si>
    <t>Accuray Inc</t>
  </si>
  <si>
    <t>ACUT US Equity</t>
  </si>
  <si>
    <t>Accustem Sciences Inc</t>
  </si>
  <si>
    <t>SLRN US Equity</t>
  </si>
  <si>
    <t>ACELYRIN Inc</t>
  </si>
  <si>
    <t>ACHV US Equity</t>
  </si>
  <si>
    <t>Achieve Life Sciences Inc</t>
  </si>
  <si>
    <t>NEUROPSYCH</t>
  </si>
  <si>
    <t>ACON US Equity</t>
  </si>
  <si>
    <t>Aclarion Inc</t>
  </si>
  <si>
    <t>ACRS US Equity</t>
  </si>
  <si>
    <t>Aclaris Therapeutics Inc</t>
  </si>
  <si>
    <t>ACRV US Equity</t>
  </si>
  <si>
    <t>Acrivon Therapeutics Inc</t>
  </si>
  <si>
    <t>ACBM US Equity</t>
  </si>
  <si>
    <t>Acro Biomedical Co Ltd</t>
  </si>
  <si>
    <t>RASP US Equity</t>
  </si>
  <si>
    <t>Actavia Life Sciences Inc</t>
  </si>
  <si>
    <t>ATNM US Equity</t>
  </si>
  <si>
    <t>Actinium Pharmaceuticals Inc</t>
  </si>
  <si>
    <t>ACTU US Equity</t>
  </si>
  <si>
    <t>Actuate Therapeutics Inc</t>
  </si>
  <si>
    <t>ABOS US Equity</t>
  </si>
  <si>
    <t>Acumen Pharmaceuticals Inc</t>
  </si>
  <si>
    <t>ACUR US Equity</t>
  </si>
  <si>
    <t>Acura Pharmaceuticals Inc</t>
  </si>
  <si>
    <t>ACXP US Equity</t>
  </si>
  <si>
    <t>Acurx Pharmaceuticals Inc</t>
  </si>
  <si>
    <t>ACUS US Equity</t>
  </si>
  <si>
    <t>Acusphere Inc</t>
  </si>
  <si>
    <t>AFIB US Equity</t>
  </si>
  <si>
    <t>Acutus Medical Inc</t>
  </si>
  <si>
    <t>ADAG US Equity</t>
  </si>
  <si>
    <t>Adagene Inc</t>
  </si>
  <si>
    <t>ADGM US Equity</t>
  </si>
  <si>
    <t>Adagio Medical Holdings Inc</t>
  </si>
  <si>
    <t>AHCO US Equity</t>
  </si>
  <si>
    <t>AdaptHealth Corp</t>
  </si>
  <si>
    <t>ADAP US Equity</t>
  </si>
  <si>
    <t>Adaptimmune Therapeutics Plc</t>
  </si>
  <si>
    <t>ADPT US Equity</t>
  </si>
  <si>
    <t>Adaptive Biotechnologies Corp</t>
  </si>
  <si>
    <t>ADCT US Equity</t>
  </si>
  <si>
    <t>ADC Therapeutics SA</t>
  </si>
  <si>
    <t>ADUS US Equity</t>
  </si>
  <si>
    <t>Addus HomeCare Corp</t>
  </si>
  <si>
    <t>ATRX US Equity</t>
  </si>
  <si>
    <t>Adhera Therapeutics Inc</t>
  </si>
  <si>
    <t>ADIL US Equity</t>
  </si>
  <si>
    <t>Adial Pharmaceuticals Inc</t>
  </si>
  <si>
    <t>ACET US Equity</t>
  </si>
  <si>
    <t>Adicet Bio Inc</t>
  </si>
  <si>
    <t>ADTX US Equity</t>
  </si>
  <si>
    <t>Aditxt Inc</t>
  </si>
  <si>
    <t>ANL US Equity</t>
  </si>
  <si>
    <t>Adlai Nortye Ltd</t>
  </si>
  <si>
    <t>ADMA US Equity</t>
  </si>
  <si>
    <t>ADMA Biologics Inc</t>
  </si>
  <si>
    <t>ABMT US Equity</t>
  </si>
  <si>
    <t>Advanced BioMedical Technologi</t>
  </si>
  <si>
    <t>ADVT US Equity</t>
  </si>
  <si>
    <t>Advantis Corp</t>
  </si>
  <si>
    <t>ADVM US Equity</t>
  </si>
  <si>
    <t>Adverum Biotechnologies Inc</t>
  </si>
  <si>
    <t>ADYX US Equity</t>
  </si>
  <si>
    <t>Adynxx Inc</t>
  </si>
  <si>
    <t>AOLS US Equity</t>
  </si>
  <si>
    <t>Aeolus Pharmaceuticals Inc</t>
  </si>
  <si>
    <t>AEON US Equity</t>
  </si>
  <si>
    <t>AEON Biopharma Inc</t>
  </si>
  <si>
    <t>AQS CN Equity</t>
  </si>
  <si>
    <t>Aequus Pharmaceuticals Inc</t>
  </si>
  <si>
    <t>AVTE US Equity</t>
  </si>
  <si>
    <t>Aerovate Therapeutics Inc</t>
  </si>
  <si>
    <t>RESPIRATORY</t>
  </si>
  <si>
    <t>AEMD US Equity</t>
  </si>
  <si>
    <t>Aethlon Medical Inc</t>
  </si>
  <si>
    <t>AFMD US Equity</t>
  </si>
  <si>
    <t>Affimed NV</t>
  </si>
  <si>
    <t>ATPC US Equity</t>
  </si>
  <si>
    <t>Agape ATP Corp</t>
  </si>
  <si>
    <t>AGEN US Equity</t>
  </si>
  <si>
    <t>Agenus Inc</t>
  </si>
  <si>
    <t>AGL US Equity</t>
  </si>
  <si>
    <t>agilon health Inc</t>
  </si>
  <si>
    <t>AGIO US Equity</t>
  </si>
  <si>
    <t>Agios Pharmaceuticals Inc</t>
  </si>
  <si>
    <t>RARE DISEASE</t>
  </si>
  <si>
    <t>AIDA US Equity</t>
  </si>
  <si>
    <t>AIDA Pharmaceuticals Inc</t>
  </si>
  <si>
    <t>AIM US Equity</t>
  </si>
  <si>
    <t>AIM ImmunoTech Inc</t>
  </si>
  <si>
    <t>AIMD US Equity</t>
  </si>
  <si>
    <t>Ainos Inc</t>
  </si>
  <si>
    <t>AIRS US Equity</t>
  </si>
  <si>
    <t>AirSculpt Technologies Inc</t>
  </si>
  <si>
    <t>AKAN US Equity</t>
  </si>
  <si>
    <t>Akanda Corp</t>
  </si>
  <si>
    <t>AKTX US Equity</t>
  </si>
  <si>
    <t>Akari Therapeutics PLC</t>
  </si>
  <si>
    <t>AKBA US Equity</t>
  </si>
  <si>
    <t>Akebia Therapeutics Inc</t>
  </si>
  <si>
    <t>RENAL</t>
  </si>
  <si>
    <t>AKRO US Equity</t>
  </si>
  <si>
    <t>Akero Therapeutics Inc</t>
  </si>
  <si>
    <t>METABOLISM</t>
  </si>
  <si>
    <t>AKYA US Equity</t>
  </si>
  <si>
    <t>Akoya Biosciences Inc</t>
  </si>
  <si>
    <t>LIFE SCIENCE TOOLS</t>
  </si>
  <si>
    <t>AHG US Equity</t>
  </si>
  <si>
    <t>Akso Health Group</t>
  </si>
  <si>
    <t>TCRT US Equity</t>
  </si>
  <si>
    <t>Alaunos Therapeutics Inc</t>
  </si>
  <si>
    <t>ALDX US Equity</t>
  </si>
  <si>
    <t>Aldeyra Therapeutics Inc</t>
  </si>
  <si>
    <t>ALEC US Equity</t>
  </si>
  <si>
    <t>Alector Inc</t>
  </si>
  <si>
    <t>ALGN US Equity</t>
  </si>
  <si>
    <t>Align Technology Inc</t>
  </si>
  <si>
    <t>ALHC US Equity</t>
  </si>
  <si>
    <t>Alignment Healthcare Inc</t>
  </si>
  <si>
    <t>ALGS US Equity</t>
  </si>
  <si>
    <t>Aligos Therapeutics Inc</t>
  </si>
  <si>
    <t>ALKS US Equity</t>
  </si>
  <si>
    <t>Alkermes PLC</t>
  </si>
  <si>
    <t>ALLK US Equity</t>
  </si>
  <si>
    <t>Allakos Inc</t>
  </si>
  <si>
    <t>I&amp;I/DERM</t>
  </si>
  <si>
    <t>ALLR US Equity</t>
  </si>
  <si>
    <t>Allarity Therapeutics Inc</t>
  </si>
  <si>
    <t>ALID US Equity</t>
  </si>
  <si>
    <t>Allied Corp</t>
  </si>
  <si>
    <t>ALLO US Equity</t>
  </si>
  <si>
    <t>Allogene Therapeutics Inc</t>
  </si>
  <si>
    <t>ALVR US Equity</t>
  </si>
  <si>
    <t>Allovir Inc</t>
  </si>
  <si>
    <t>ALNY US Equity</t>
  </si>
  <si>
    <t>Alnylam Pharmaceuticals Inc</t>
  </si>
  <si>
    <t>DRTS US Equity</t>
  </si>
  <si>
    <t>Alpha Tau Medical Ltd</t>
  </si>
  <si>
    <t>TKNO US Equity</t>
  </si>
  <si>
    <t>Alpha Teknova Inc</t>
  </si>
  <si>
    <t>ATEC US Equity</t>
  </si>
  <si>
    <t>Alphatec Holdings Inc</t>
  </si>
  <si>
    <t>ALTS US Equity</t>
  </si>
  <si>
    <t>ALT5 Sigma Corp</t>
  </si>
  <si>
    <t>ALT US Equity</t>
  </si>
  <si>
    <t>Altimmune Inc</t>
  </si>
  <si>
    <t>ANRO US Equity</t>
  </si>
  <si>
    <t>Alto Neuroscience Inc</t>
  </si>
  <si>
    <t>ALMS US Equity</t>
  </si>
  <si>
    <t>Alumis Inc</t>
  </si>
  <si>
    <t>ALVO US Equity</t>
  </si>
  <si>
    <t>Alvotech SA</t>
  </si>
  <si>
    <t>ALXO US Equity</t>
  </si>
  <si>
    <t>ALX Oncology Holdings Inc</t>
  </si>
  <si>
    <t>ALZN US Equity</t>
  </si>
  <si>
    <t>Alzamend Neuro Inc</t>
  </si>
  <si>
    <t>ACGI US Equity</t>
  </si>
  <si>
    <t>Amacore Group Inc/The</t>
  </si>
  <si>
    <t>AMBS US Equity</t>
  </si>
  <si>
    <t>Amarantus Bioscience Holdings</t>
  </si>
  <si>
    <t>AMRN US Equity</t>
  </si>
  <si>
    <t>Amarin Corp PLC</t>
  </si>
  <si>
    <t>CARDIOVASCULAR</t>
  </si>
  <si>
    <t>AMED US Equity</t>
  </si>
  <si>
    <t>Amedisys Inc</t>
  </si>
  <si>
    <t>ABMC US Equity</t>
  </si>
  <si>
    <t>American Bio Medica Corp</t>
  </si>
  <si>
    <t>ADHC US Equity</t>
  </si>
  <si>
    <t>American Diversified Holdings</t>
  </si>
  <si>
    <t>ERBB US Equity</t>
  </si>
  <si>
    <t>American Green Inc</t>
  </si>
  <si>
    <t>ADLI US Equity</t>
  </si>
  <si>
    <t>American Medical Technologies</t>
  </si>
  <si>
    <t>AMBD US Equity</t>
  </si>
  <si>
    <t>American Mobile Dental Corp</t>
  </si>
  <si>
    <t>AONC US Equity</t>
  </si>
  <si>
    <t>American Oncology Network Inc</t>
  </si>
  <si>
    <t>AMS US Equity</t>
  </si>
  <si>
    <t>American Shared Hospital Servi</t>
  </si>
  <si>
    <t>AMWL US Equity</t>
  </si>
  <si>
    <t>American Well Corp</t>
  </si>
  <si>
    <t>ACAN US Equity</t>
  </si>
  <si>
    <t>Americann Inc</t>
  </si>
  <si>
    <t>AXRX US Equity</t>
  </si>
  <si>
    <t>Amexdrug Corp</t>
  </si>
  <si>
    <t>AMGN US Equity</t>
  </si>
  <si>
    <t>Amgen Inc</t>
  </si>
  <si>
    <t>FOLD US Equity</t>
  </si>
  <si>
    <t>Amicus Therapeutics Inc</t>
  </si>
  <si>
    <t>AMN US Equity</t>
  </si>
  <si>
    <t>AMN Healthcare Services Inc</t>
  </si>
  <si>
    <t>AMRX US Equity</t>
  </si>
  <si>
    <t>Amneal Pharmaceuticals Inc</t>
  </si>
  <si>
    <t>GENERICS</t>
  </si>
  <si>
    <t>AMPH US Equity</t>
  </si>
  <si>
    <t>Amphastar Pharmaceuticals Inc</t>
  </si>
  <si>
    <t>AMPE US Equity</t>
  </si>
  <si>
    <t>Ampio Pharmaceuticals Inc</t>
  </si>
  <si>
    <t>AMLX US Equity</t>
  </si>
  <si>
    <t>Amylyx Pharmaceuticals Inc</t>
  </si>
  <si>
    <t>ANTX US Equity</t>
  </si>
  <si>
    <t>AN2 Therapeutics Inc</t>
  </si>
  <si>
    <t>ANAB US Equity</t>
  </si>
  <si>
    <t>AnaptysBio Inc</t>
  </si>
  <si>
    <t>AVXL US Equity</t>
  </si>
  <si>
    <t>Anavex Life Sciences Corp</t>
  </si>
  <si>
    <t>SYUP US Equity</t>
  </si>
  <si>
    <t>ANBC Inc</t>
  </si>
  <si>
    <t>AND CN Equity</t>
  </si>
  <si>
    <t>Andlauer Healthcare Group Inc</t>
  </si>
  <si>
    <t>ANEB US Equity</t>
  </si>
  <si>
    <t>Anebulo Pharmaceuticals Inc</t>
  </si>
  <si>
    <t>ANGO US Equity</t>
  </si>
  <si>
    <t>AngioDynamics Inc</t>
  </si>
  <si>
    <t>ANIP US Equity</t>
  </si>
  <si>
    <t>ANI Pharmaceuticals Inc</t>
  </si>
  <si>
    <t>ANIK US Equity</t>
  </si>
  <si>
    <t>Anika Therapeutics Inc</t>
  </si>
  <si>
    <t>MED DEVICE</t>
  </si>
  <si>
    <t>ANIX US Equity</t>
  </si>
  <si>
    <t>Anixa Biosciences Inc</t>
  </si>
  <si>
    <t>ANNX US Equity</t>
  </si>
  <si>
    <t>Annexon Inc</t>
  </si>
  <si>
    <t>ANVS US Equity</t>
  </si>
  <si>
    <t>Annovis Bio Inc</t>
  </si>
  <si>
    <t>AVR US Equity</t>
  </si>
  <si>
    <t>Anteris Technologies Global Co</t>
  </si>
  <si>
    <t>ANTH US Equity</t>
  </si>
  <si>
    <t>Anthera Pharmaceuticals Inc</t>
  </si>
  <si>
    <t>AOXG US Equity</t>
  </si>
  <si>
    <t>Aoxing Pharmaceutical Co Inc</t>
  </si>
  <si>
    <t>APLS US Equity</t>
  </si>
  <si>
    <t>Apellis Pharmaceuticals Inc</t>
  </si>
  <si>
    <t>APGE US Equity</t>
  </si>
  <si>
    <t>Apogee Therapeutics Inc</t>
  </si>
  <si>
    <t>APLM US Equity</t>
  </si>
  <si>
    <t>Apollomics Inc</t>
  </si>
  <si>
    <t>APLI CN Equity</t>
  </si>
  <si>
    <t>Appili Therapeutics Inc</t>
  </si>
  <si>
    <t>APPB US Equity</t>
  </si>
  <si>
    <t>Applied Biosciences Corp</t>
  </si>
  <si>
    <t>APDN US Equity</t>
  </si>
  <si>
    <t>Applied DNA Sciences Inc</t>
  </si>
  <si>
    <t>APLT US Equity</t>
  </si>
  <si>
    <t>Applied Therapeutics Inc</t>
  </si>
  <si>
    <t>APRE US Equity</t>
  </si>
  <si>
    <t>Aprea Therapeutics Inc</t>
  </si>
  <si>
    <t>APVO US Equity</t>
  </si>
  <si>
    <t>Aptevo Therapeutics Inc</t>
  </si>
  <si>
    <t>APM US Equity</t>
  </si>
  <si>
    <t>Aptorum Group Ltd</t>
  </si>
  <si>
    <t>APS CN Equity</t>
  </si>
  <si>
    <t>Aptose Biosciences Inc</t>
  </si>
  <si>
    <t>APYX US Equity</t>
  </si>
  <si>
    <t>Apyx Medical Corp</t>
  </si>
  <si>
    <t>AQB US Equity</t>
  </si>
  <si>
    <t>AquaBounty Technologies Inc</t>
  </si>
  <si>
    <t>AQST US Equity</t>
  </si>
  <si>
    <t>Aquestive Therapeutics Inc</t>
  </si>
  <si>
    <t>ABUS US Equity</t>
  </si>
  <si>
    <t>Arbutus Biopharma Corp</t>
  </si>
  <si>
    <t>INFECTIOUS DISEASE</t>
  </si>
  <si>
    <t>ACLX US Equity</t>
  </si>
  <si>
    <t>Arcellx Inc</t>
  </si>
  <si>
    <t>ARCH CN Equity</t>
  </si>
  <si>
    <t>Arch Biopartners Inc</t>
  </si>
  <si>
    <t>ARTH US Equity</t>
  </si>
  <si>
    <t>Arch Therapeutics Inc</t>
  </si>
  <si>
    <t>ARC CN Equity</t>
  </si>
  <si>
    <t>ARCpoint Inc</t>
  </si>
  <si>
    <t>ARCT US Equity</t>
  </si>
  <si>
    <t>Arcturus Therapeutics Holdings</t>
  </si>
  <si>
    <t>RCUS US Equity</t>
  </si>
  <si>
    <t>Arcus Biosciences Inc</t>
  </si>
  <si>
    <t>ARQT US Equity</t>
  </si>
  <si>
    <t>Arcutis Biotherapeutics Inc</t>
  </si>
  <si>
    <t>ARDX US Equity</t>
  </si>
  <si>
    <t>Ardelyx Inc</t>
  </si>
  <si>
    <t>ARDT US Equity</t>
  </si>
  <si>
    <t>Ardent Health Partners Inc</t>
  </si>
  <si>
    <t>ARDS US Equity</t>
  </si>
  <si>
    <t>Aridis Pharmaceuticals Inc</t>
  </si>
  <si>
    <t>ARMP US Equity</t>
  </si>
  <si>
    <t>Armata Pharmaceuticals Inc</t>
  </si>
  <si>
    <t>ARNI US Equity</t>
  </si>
  <si>
    <t>Arno Therapeutics Inc</t>
  </si>
  <si>
    <t>ARYC US Equity</t>
  </si>
  <si>
    <t>Arrayit Corp</t>
  </si>
  <si>
    <t>AVBP US Equity</t>
  </si>
  <si>
    <t>ArriVent Biopharma Inc</t>
  </si>
  <si>
    <t>ARWR US Equity</t>
  </si>
  <si>
    <t>Arrowhead Pharmaceuticals Inc</t>
  </si>
  <si>
    <t>SPRY US Equity</t>
  </si>
  <si>
    <t>ARS Pharmaceuticals Inc</t>
  </si>
  <si>
    <t>ARTL US Equity</t>
  </si>
  <si>
    <t>Artelo Biosciences Inc</t>
  </si>
  <si>
    <t>ARTV US Equity</t>
  </si>
  <si>
    <t>Artiva Biotherapeutics Inc</t>
  </si>
  <si>
    <t>AORT US Equity</t>
  </si>
  <si>
    <t>Artivion Inc</t>
  </si>
  <si>
    <t>ARVN US Equity</t>
  </si>
  <si>
    <t>Arvinas Inc</t>
  </si>
  <si>
    <t>ARYX US Equity</t>
  </si>
  <si>
    <t>ARYx Therapeutics Inc</t>
  </si>
  <si>
    <t>ASND US Equity</t>
  </si>
  <si>
    <t>Ascendis Pharma A/S</t>
  </si>
  <si>
    <t>AWH US Equity</t>
  </si>
  <si>
    <t>Aspira Women`s Health Inc</t>
  </si>
  <si>
    <t>APYI US Equity</t>
  </si>
  <si>
    <t>Aspyra Inc</t>
  </si>
  <si>
    <t>ASMB US Equity</t>
  </si>
  <si>
    <t>Assembly Biosciences Inc</t>
  </si>
  <si>
    <t>ASRT US Equity</t>
  </si>
  <si>
    <t>Assertio Holdings Inc</t>
  </si>
  <si>
    <t>IONM US Equity</t>
  </si>
  <si>
    <t>Assure Holdings Corp</t>
  </si>
  <si>
    <t>ASTH US Equity</t>
  </si>
  <si>
    <t>Astrana Health Inc</t>
  </si>
  <si>
    <t>ATXS US Equity</t>
  </si>
  <si>
    <t>Astria Therapeutics Inc</t>
  </si>
  <si>
    <t>ATAI US Equity</t>
  </si>
  <si>
    <t>ATAI Life Sciences NV</t>
  </si>
  <si>
    <t>ATRA US Equity</t>
  </si>
  <si>
    <t>Atara Biotherapeutics Inc</t>
  </si>
  <si>
    <t>AVIR US Equity</t>
  </si>
  <si>
    <t>Atea Pharmaceuticals Inc</t>
  </si>
  <si>
    <t>ATHA US Equity</t>
  </si>
  <si>
    <t>Athira Pharma Inc</t>
  </si>
  <si>
    <t>ATIP US Equity</t>
  </si>
  <si>
    <t>ATI Physical Therapy Inc</t>
  </si>
  <si>
    <t>ATLN US Equity</t>
  </si>
  <si>
    <t>Atlantic International Corp</t>
  </si>
  <si>
    <t>ATOS US Equity</t>
  </si>
  <si>
    <t>Atossa Therapeutics Inc</t>
  </si>
  <si>
    <t>ATRC US Equity</t>
  </si>
  <si>
    <t>AtriCure Inc</t>
  </si>
  <si>
    <t>ATYR US Equity</t>
  </si>
  <si>
    <t>aTyr Pharma Inc</t>
  </si>
  <si>
    <t>AUNA US Equity</t>
  </si>
  <si>
    <t>Auna SA</t>
  </si>
  <si>
    <t>AURA US Equity</t>
  </si>
  <si>
    <t>Aura Biosciences Inc</t>
  </si>
  <si>
    <t>AUPH US Equity</t>
  </si>
  <si>
    <t>Aurinia Pharmaceuticals Inc</t>
  </si>
  <si>
    <t>ACB CN Equity</t>
  </si>
  <si>
    <t>Aurora Cannabis Inc</t>
  </si>
  <si>
    <t>ASG CN Equity</t>
  </si>
  <si>
    <t>Aurora Spine Corp</t>
  </si>
  <si>
    <t>AUSA CN Equity</t>
  </si>
  <si>
    <t>Australis Capital Inc</t>
  </si>
  <si>
    <t>AUTL US Equity</t>
  </si>
  <si>
    <t>Autolus Therapeutics PLC</t>
  </si>
  <si>
    <t>AMIX US Equity</t>
  </si>
  <si>
    <t>Autonomix Medical Inc</t>
  </si>
  <si>
    <t>XLY CN Equity</t>
  </si>
  <si>
    <t>Auxly Cannabis Group Inc</t>
  </si>
  <si>
    <t>AVDL US Equity</t>
  </si>
  <si>
    <t>Avadel Pharmaceuticals PLC</t>
  </si>
  <si>
    <t>AVTX US Equity</t>
  </si>
  <si>
    <t>Avalo Therapeutics Inc</t>
  </si>
  <si>
    <t>AVNS US Equity</t>
  </si>
  <si>
    <t>Avanos Medical Inc</t>
  </si>
  <si>
    <t>AVNT CN Equity</t>
  </si>
  <si>
    <t>Avant Brands Inc</t>
  </si>
  <si>
    <t>AVTR US Equity</t>
  </si>
  <si>
    <t>Avantor Inc</t>
  </si>
  <si>
    <t>AVXT US Equity</t>
  </si>
  <si>
    <t>Avax Technologies Inc</t>
  </si>
  <si>
    <t>AVAH US Equity</t>
  </si>
  <si>
    <t>Aveanna Healthcare Holdings In</t>
  </si>
  <si>
    <t>AVRW US Equity</t>
  </si>
  <si>
    <t>Avenir Wellness Solutions Inc</t>
  </si>
  <si>
    <t>ATXI US Equity</t>
  </si>
  <si>
    <t>Avenue Therapeutics Inc</t>
  </si>
  <si>
    <t>AVCN CN Equity</t>
  </si>
  <si>
    <t>Avicanna Inc</t>
  </si>
  <si>
    <t>SERVICES</t>
  </si>
  <si>
    <t>RNA US Equity</t>
  </si>
  <si>
    <t>Avidity Biosciences Inc</t>
  </si>
  <si>
    <t>AVGR US Equity</t>
  </si>
  <si>
    <t>Avinger Inc</t>
  </si>
  <si>
    <t>RCEL US Equity</t>
  </si>
  <si>
    <t>Avita Medical Inc</t>
  </si>
  <si>
    <t>AVTI US Equity</t>
  </si>
  <si>
    <t>Avitar Inc</t>
  </si>
  <si>
    <t>AVCR CN Equity</t>
  </si>
  <si>
    <t>Avricore Health Inc</t>
  </si>
  <si>
    <t>AWKN CN Equity</t>
  </si>
  <si>
    <t>AWAKN Life Sciences Corp</t>
  </si>
  <si>
    <t>AXIM US Equity</t>
  </si>
  <si>
    <t>Axim Biotechnologies Inc</t>
  </si>
  <si>
    <t>AXMP US Equity</t>
  </si>
  <si>
    <t>AXM Pharma Inc</t>
  </si>
  <si>
    <t>AXGN US Equity</t>
  </si>
  <si>
    <t>Axogen Inc</t>
  </si>
  <si>
    <t>AXSM US Equity</t>
  </si>
  <si>
    <t>Axsome Therapeutics Inc</t>
  </si>
  <si>
    <t>ADXS US Equity</t>
  </si>
  <si>
    <t>Ayala Pharmaceuticals Inc</t>
  </si>
  <si>
    <t>AYTU US Equity</t>
  </si>
  <si>
    <t>Aytu BioPharma Inc</t>
  </si>
  <si>
    <t>AJOY US Equity</t>
  </si>
  <si>
    <t>Ayujoy Herbals Ltd</t>
  </si>
  <si>
    <t>AZTA US Equity</t>
  </si>
  <si>
    <t>Azenta Inc</t>
  </si>
  <si>
    <t>AZTR US Equity</t>
  </si>
  <si>
    <t>Azitra Inc</t>
  </si>
  <si>
    <t>BDMD US Equity</t>
  </si>
  <si>
    <t>Baird Medical Investment Holdi</t>
  </si>
  <si>
    <t>BKUH US Equity</t>
  </si>
  <si>
    <t>Bakhu Holdings Corp</t>
  </si>
  <si>
    <t>BFGX US Equity</t>
  </si>
  <si>
    <t>Bangfu Technology Group Co Ltd</t>
  </si>
  <si>
    <t>BNYN US Equity</t>
  </si>
  <si>
    <t>Banyan Corp/Oregon</t>
  </si>
  <si>
    <t>BRNS US Equity</t>
  </si>
  <si>
    <t>Barinthus Biotherapeutics PLC</t>
  </si>
  <si>
    <t>BLCO CN Equity</t>
  </si>
  <si>
    <t>Bausch + Lomb Corp</t>
  </si>
  <si>
    <t>BHC CN Equity</t>
  </si>
  <si>
    <t>Bausch Health Cos Inc</t>
  </si>
  <si>
    <t>BAX US Equity</t>
  </si>
  <si>
    <t>Baxter International Inc</t>
  </si>
  <si>
    <t>BEAM US Equity</t>
  </si>
  <si>
    <t>Beam Therapeutics Inc</t>
  </si>
  <si>
    <t>GENE THERAPY</t>
  </si>
  <si>
    <t>BDX US Equity</t>
  </si>
  <si>
    <t>Becton Dickinson &amp; Co</t>
  </si>
  <si>
    <t>BeiGene Ltd</t>
  </si>
  <si>
    <t>BLTE US Equity</t>
  </si>
  <si>
    <t>Belite Bio Inc</t>
  </si>
  <si>
    <t>BNTC US Equity</t>
  </si>
  <si>
    <t>Benitec Biopharma Inc</t>
  </si>
  <si>
    <t>BSPK US Equity</t>
  </si>
  <si>
    <t>Bespoke Extracts Inc</t>
  </si>
  <si>
    <t>BTTX US Equity</t>
  </si>
  <si>
    <t>Better Therapeutics Inc</t>
  </si>
  <si>
    <t>BETR CN Equity</t>
  </si>
  <si>
    <t>BetterLife Pharma Inc</t>
  </si>
  <si>
    <t>XAIR US Equity</t>
  </si>
  <si>
    <t>Beyond Air Inc</t>
  </si>
  <si>
    <t>RESPIRATORY DISEASE</t>
  </si>
  <si>
    <t>BYSI US Equity</t>
  </si>
  <si>
    <t>Beyondspring Inc</t>
  </si>
  <si>
    <t>BGMD US Equity</t>
  </si>
  <si>
    <t>BG Medicine Inc</t>
  </si>
  <si>
    <t>BGM US Equity</t>
  </si>
  <si>
    <t>BGM Group Ltd</t>
  </si>
  <si>
    <t>BCAX US Equity</t>
  </si>
  <si>
    <t>Bicara Therapeutics Inc</t>
  </si>
  <si>
    <t>BCYC US Equity</t>
  </si>
  <si>
    <t>Bicycle Therapeutics PLC</t>
  </si>
  <si>
    <t>BIMI US Equity</t>
  </si>
  <si>
    <t>BIMI International Medical Inc</t>
  </si>
  <si>
    <t>BPTH US Equity</t>
  </si>
  <si>
    <t>Bio-Path Holdings Inc</t>
  </si>
  <si>
    <t>BIO US Equity</t>
  </si>
  <si>
    <t>Bio-Rad Laboratories Inc</t>
  </si>
  <si>
    <t>ROYALTY</t>
  </si>
  <si>
    <t>TECH US Equity</t>
  </si>
  <si>
    <t>Bio-Techne Corp</t>
  </si>
  <si>
    <t>BIAF US Equity</t>
  </si>
  <si>
    <t>bioAffinity Technologies Inc</t>
  </si>
  <si>
    <t>BIOA US Equity</t>
  </si>
  <si>
    <t>BioAge Labs Inc</t>
  </si>
  <si>
    <t>BCAB US Equity</t>
  </si>
  <si>
    <t>BioAtla Inc</t>
  </si>
  <si>
    <t>BCDA US Equity</t>
  </si>
  <si>
    <t>BioCardia Inc</t>
  </si>
  <si>
    <t>BICX US Equity</t>
  </si>
  <si>
    <t>BioCorRx Inc</t>
  </si>
  <si>
    <t>BCRX US Equity</t>
  </si>
  <si>
    <t>BioCryst Pharmaceuticals Inc</t>
  </si>
  <si>
    <t>BDSX US Equity</t>
  </si>
  <si>
    <t>Biodesix Inc</t>
  </si>
  <si>
    <t>BFRI US Equity</t>
  </si>
  <si>
    <t>Biofrontera Inc</t>
  </si>
  <si>
    <t>BIIB US Equity</t>
  </si>
  <si>
    <t>Biogen Inc</t>
  </si>
  <si>
    <t>BHVN US Equity</t>
  </si>
  <si>
    <t>Biohaven Ltd</t>
  </si>
  <si>
    <t>BLFE US Equity</t>
  </si>
  <si>
    <t>Biolife Sciences Inc</t>
  </si>
  <si>
    <t>BLFS US Equity</t>
  </si>
  <si>
    <t>BioLife Solutions Inc</t>
  </si>
  <si>
    <t>BMGP US Equity</t>
  </si>
  <si>
    <t>Biomagnetics Diagnostics Corp</t>
  </si>
  <si>
    <t>BMRN US Equity</t>
  </si>
  <si>
    <t>BioMarin Pharmaceutical Inc</t>
  </si>
  <si>
    <t>BIO CN Equity</t>
  </si>
  <si>
    <t>Biome Grow Inc</t>
  </si>
  <si>
    <t>BMEA US Equity</t>
  </si>
  <si>
    <t>Biomea Fusion Inc</t>
  </si>
  <si>
    <t>ENDOCRINOLOGY</t>
  </si>
  <si>
    <t>BMRA US Equity</t>
  </si>
  <si>
    <t>Biomerica Inc</t>
  </si>
  <si>
    <t>BMND CN Equity</t>
  </si>
  <si>
    <t>Biomind Labs Inc</t>
  </si>
  <si>
    <t>BNGO US Equity</t>
  </si>
  <si>
    <t>Bionano Genomics Inc</t>
  </si>
  <si>
    <t>BNKL US Equity</t>
  </si>
  <si>
    <t>Bionik Laboratories Corp</t>
  </si>
  <si>
    <t>BIIO US Equity</t>
  </si>
  <si>
    <t>Bionovate Technologies Corp</t>
  </si>
  <si>
    <t>BNTX US Equity</t>
  </si>
  <si>
    <t>BioNTech SE</t>
  </si>
  <si>
    <t>BNXT CN Equity</t>
  </si>
  <si>
    <t>BioNxt Solutions Inc</t>
  </si>
  <si>
    <t>BRTX US Equity</t>
  </si>
  <si>
    <t>BioRestorative Therapies Inc</t>
  </si>
  <si>
    <t>BSGM US Equity</t>
  </si>
  <si>
    <t>BioSig Technologies Inc</t>
  </si>
  <si>
    <t>BSPM US Equity</t>
  </si>
  <si>
    <t>Biostar Pharmaceuticals Inc</t>
  </si>
  <si>
    <t>BTAX US Equity</t>
  </si>
  <si>
    <t>Biostax Corp</t>
  </si>
  <si>
    <t>BSEM US Equity</t>
  </si>
  <si>
    <t>BioStem Technologies Inc</t>
  </si>
  <si>
    <t>BSYI US Equity</t>
  </si>
  <si>
    <t>BioSyntech Inc</t>
  </si>
  <si>
    <t>BTMD US Equity</t>
  </si>
  <si>
    <t>Biote Corp</t>
  </si>
  <si>
    <t>BTCY US Equity</t>
  </si>
  <si>
    <t>Biotricity Inc</t>
  </si>
  <si>
    <t>BVS US Equity</t>
  </si>
  <si>
    <t>Bioventus Inc</t>
  </si>
  <si>
    <t>BIVI US Equity</t>
  </si>
  <si>
    <t>BioVie Inc</t>
  </si>
  <si>
    <t>BTAI US Equity</t>
  </si>
  <si>
    <t>Bioxcel Therapeutics Inc</t>
  </si>
  <si>
    <t>BIXT US Equity</t>
  </si>
  <si>
    <t>Bioxytran Inc</t>
  </si>
  <si>
    <t>BDTX US Equity</t>
  </si>
  <si>
    <t>Black Diamond Therapeutics Inc</t>
  </si>
  <si>
    <t>BBM CN Equity</t>
  </si>
  <si>
    <t>Blueberries Medical Corp</t>
  </si>
  <si>
    <t>BLUE US Equity</t>
  </si>
  <si>
    <t>Bluebird Bio Inc</t>
  </si>
  <si>
    <t>BPMC US Equity</t>
  </si>
  <si>
    <t>Blueprint Medicines Corp</t>
  </si>
  <si>
    <t>BMMJ US Equity</t>
  </si>
  <si>
    <t>Body and Mind Inc</t>
  </si>
  <si>
    <t>BOLT US Equity</t>
  </si>
  <si>
    <t>Bolt Biotherapeutics Inc</t>
  </si>
  <si>
    <t>BBLG US Equity</t>
  </si>
  <si>
    <t>Bone Biologics Corp</t>
  </si>
  <si>
    <t>BRRN US Equity</t>
  </si>
  <si>
    <t>Born Inc</t>
  </si>
  <si>
    <t>BSX US Equity</t>
  </si>
  <si>
    <t>Boston Scientific Corp</t>
  </si>
  <si>
    <t>BOLD US Equity</t>
  </si>
  <si>
    <t>Boundless Bio Inc</t>
  </si>
  <si>
    <t>BRSF US Equity</t>
  </si>
  <si>
    <t>Brain Scientific Inc</t>
  </si>
  <si>
    <t>BCLI US Equity</t>
  </si>
  <si>
    <t>BrainStorm Cell Therapeutics I</t>
  </si>
  <si>
    <t>BCT CN Equity</t>
  </si>
  <si>
    <t>BriaCell Therapeutics Corp</t>
  </si>
  <si>
    <t>BBIO US Equity</t>
  </si>
  <si>
    <t>Bridgebio Pharma Inc</t>
  </si>
  <si>
    <t>BGXX US Equity</t>
  </si>
  <si>
    <t>Bright Green Corp</t>
  </si>
  <si>
    <t>DRUG CN Equity</t>
  </si>
  <si>
    <t>Bright Minds Biosciences Inc</t>
  </si>
  <si>
    <t>BTSG US Equity</t>
  </si>
  <si>
    <t>BrightSpring Health Services I</t>
  </si>
  <si>
    <t>BMY US Equity</t>
  </si>
  <si>
    <t>Bristol-Myers Squibb Co</t>
  </si>
  <si>
    <t>PHARMA</t>
  </si>
  <si>
    <t>BLAB CN Equity</t>
  </si>
  <si>
    <t>Britannia Life Sciences Inc</t>
  </si>
  <si>
    <t>BKD US Equity</t>
  </si>
  <si>
    <t>Brookdale Senior Living Inc</t>
  </si>
  <si>
    <t>BRKR US Equity</t>
  </si>
  <si>
    <t>Bruker Corp</t>
  </si>
  <si>
    <t>BFRG US Equity</t>
  </si>
  <si>
    <t>Bullfrog AI Holdings Inc</t>
  </si>
  <si>
    <t>BNR US Equity</t>
  </si>
  <si>
    <t>Burning Rock Biotech Ltd</t>
  </si>
  <si>
    <t>DIAGNOSTICS</t>
  </si>
  <si>
    <t>BZYR US Equity</t>
  </si>
  <si>
    <t>Burzynski Research Institute I</t>
  </si>
  <si>
    <t>BFLY US Equity</t>
  </si>
  <si>
    <t>Butterfly Network Inc</t>
  </si>
  <si>
    <t>CXXI CN Equity</t>
  </si>
  <si>
    <t>C21 Investments Inc</t>
  </si>
  <si>
    <t>CCCC US Equity</t>
  </si>
  <si>
    <t>C4 Therapeutics Inc</t>
  </si>
  <si>
    <t>CABA US Equity</t>
  </si>
  <si>
    <t>Cabaletta Bio Inc</t>
  </si>
  <si>
    <t>CVKD US Equity</t>
  </si>
  <si>
    <t>Cadrenal Therapeutics Inc</t>
  </si>
  <si>
    <t>CSOC US Equity</t>
  </si>
  <si>
    <t>Caduceus Software Systems Corp</t>
  </si>
  <si>
    <t>CALC US Equity</t>
  </si>
  <si>
    <t>CalciMedica Inc</t>
  </si>
  <si>
    <t>LCDX US Equity</t>
  </si>
  <si>
    <t>Caliber Imaging &amp; Diagnostics</t>
  </si>
  <si>
    <t>CLDI US Equity</t>
  </si>
  <si>
    <t>Calidi Biotherapeutics Inc</t>
  </si>
  <si>
    <t>CALA US Equity</t>
  </si>
  <si>
    <t>Calithera Biosciences Inc</t>
  </si>
  <si>
    <t>CAMP US Equity</t>
  </si>
  <si>
    <t>CAMP4 Therapeutics Corp</t>
  </si>
  <si>
    <t>CANB US Equity</t>
  </si>
  <si>
    <t>Can B Corp</t>
  </si>
  <si>
    <t>CANB CN Equity</t>
  </si>
  <si>
    <t>CanadaBis Capital Inc</t>
  </si>
  <si>
    <t>CADL US Equity</t>
  </si>
  <si>
    <t>Candel Therapeutics Inc</t>
  </si>
  <si>
    <t>CBIH US Equity</t>
  </si>
  <si>
    <t>Cannabis Bioscience Internatio</t>
  </si>
  <si>
    <t>CBGL US Equity</t>
  </si>
  <si>
    <t>Cannabis Global Inc</t>
  </si>
  <si>
    <t>CBDS US Equity</t>
  </si>
  <si>
    <t>Cannabis Sativa Inc</t>
  </si>
  <si>
    <t>NUGS US Equity</t>
  </si>
  <si>
    <t>Cannabis Strategic Ventures</t>
  </si>
  <si>
    <t>CBST CN Equity</t>
  </si>
  <si>
    <t>Cannabist Co Holdings Inc/The</t>
  </si>
  <si>
    <t>CNLK US Equity</t>
  </si>
  <si>
    <t>Cannalink Inc</t>
  </si>
  <si>
    <t>CPMD US Equity</t>
  </si>
  <si>
    <t>CannaPharmaRX Inc</t>
  </si>
  <si>
    <t>CANL US Equity</t>
  </si>
  <si>
    <t>CannLabs Inc</t>
  </si>
  <si>
    <t>CBIA US Equity</t>
  </si>
  <si>
    <t>Canopus Biopharma Inc</t>
  </si>
  <si>
    <t>WEED CN Equity</t>
  </si>
  <si>
    <t>Canopy Growth Corp</t>
  </si>
  <si>
    <t>CAPR US Equity</t>
  </si>
  <si>
    <t>Capricor Therapeutics Inc</t>
  </si>
  <si>
    <t>CAPS US Equity</t>
  </si>
  <si>
    <t>Capstone Therapeutics Corp</t>
  </si>
  <si>
    <t>CPTR CN Equity</t>
  </si>
  <si>
    <t>Captor Capital Corp</t>
  </si>
  <si>
    <t>CARA US Equity</t>
  </si>
  <si>
    <t>Cara Therapeutics Inc</t>
  </si>
  <si>
    <t>CDXI US Equity</t>
  </si>
  <si>
    <t>Cardax Inc</t>
  </si>
  <si>
    <t>CDIX US Equity</t>
  </si>
  <si>
    <t>Cardiff Lexington Corp</t>
  </si>
  <si>
    <t>CRDF US Equity</t>
  </si>
  <si>
    <t>Cardiff Oncology Inc</t>
  </si>
  <si>
    <t>CAH US Equity</t>
  </si>
  <si>
    <t>Cardinal Health Inc</t>
  </si>
  <si>
    <t>CDIO US Equity</t>
  </si>
  <si>
    <t>Cardio Diagnostics Holdings In</t>
  </si>
  <si>
    <t>EKG CN Equity</t>
  </si>
  <si>
    <t>CardioComm Solutions Inc</t>
  </si>
  <si>
    <t>CGNH US Equity</t>
  </si>
  <si>
    <t>CardioGenics Holdings Inc</t>
  </si>
  <si>
    <t>CRDL CN Equity</t>
  </si>
  <si>
    <t>Cardiol Therapeutics Inc</t>
  </si>
  <si>
    <t>CVSC US Equity</t>
  </si>
  <si>
    <t>Cardiovascular Sciences Inc</t>
  </si>
  <si>
    <t>CRBK CN Equity</t>
  </si>
  <si>
    <t>Carebook Technologies Inc</t>
  </si>
  <si>
    <t>CCLD US Equity</t>
  </si>
  <si>
    <t>CareCloud Inc</t>
  </si>
  <si>
    <t>CDNA US Equity</t>
  </si>
  <si>
    <t>CareDx Inc</t>
  </si>
  <si>
    <t>SOFE US Equity</t>
  </si>
  <si>
    <t>Carepay Inc</t>
  </si>
  <si>
    <t>CPYT US Equity</t>
  </si>
  <si>
    <t>CarePayment Technologies Inc</t>
  </si>
  <si>
    <t>CRVW US Equity</t>
  </si>
  <si>
    <t>CareView Communications Inc</t>
  </si>
  <si>
    <t>CRGX US Equity</t>
  </si>
  <si>
    <t>Cargo Therapeutics Inc</t>
  </si>
  <si>
    <t>CRBU US Equity</t>
  </si>
  <si>
    <t>Caribou Biosciences Inc</t>
  </si>
  <si>
    <t>CARM US Equity</t>
  </si>
  <si>
    <t>Carisma Therapeutics Inc</t>
  </si>
  <si>
    <t>CTCX US Equity</t>
  </si>
  <si>
    <t>Carmell Corp</t>
  </si>
  <si>
    <t>RNAC US Equity</t>
  </si>
  <si>
    <t>Cartesian Therapeutics Inc</t>
  </si>
  <si>
    <t>CASI US Equity</t>
  </si>
  <si>
    <t>CASI Pharmaceuticals Holdings</t>
  </si>
  <si>
    <t>SAVA US Equity</t>
  </si>
  <si>
    <t>Cassava Sciences Inc</t>
  </si>
  <si>
    <t>CSTL US Equity</t>
  </si>
  <si>
    <t>Castle Biosciences Inc</t>
  </si>
  <si>
    <t>CPRX US Equity</t>
  </si>
  <si>
    <t>Catalyst Pharmaceuticals Inc</t>
  </si>
  <si>
    <t>VTAK US Equity</t>
  </si>
  <si>
    <t>Catheter Precision Inc</t>
  </si>
  <si>
    <t>CBSC US Equity</t>
  </si>
  <si>
    <t>CB Scientific Inc</t>
  </si>
  <si>
    <t>YCBD US Equity</t>
  </si>
  <si>
    <t>cbdMD Inc</t>
  </si>
  <si>
    <t>CEOS US Equity</t>
  </si>
  <si>
    <t>CeCors Inc</t>
  </si>
  <si>
    <t>CVM US Equity</t>
  </si>
  <si>
    <t>CEL-SCI Corp</t>
  </si>
  <si>
    <t>CELC US Equity</t>
  </si>
  <si>
    <t>Celcuity Inc</t>
  </si>
  <si>
    <t>CLCS US Equity</t>
  </si>
  <si>
    <t>Cell Source Inc</t>
  </si>
  <si>
    <t>CLDX US Equity</t>
  </si>
  <si>
    <t>Celldex Therapeutics Inc</t>
  </si>
  <si>
    <t>CLRB US Equity</t>
  </si>
  <si>
    <t>Cellectar Biosciences Inc</t>
  </si>
  <si>
    <t>CELU US Equity</t>
  </si>
  <si>
    <t>Celularity Inc</t>
  </si>
  <si>
    <t>COR US Equity</t>
  </si>
  <si>
    <t>Cencora Inc</t>
  </si>
  <si>
    <t>CNC US Equity</t>
  </si>
  <si>
    <t>Centene Corp</t>
  </si>
  <si>
    <t>CNTA US Equity</t>
  </si>
  <si>
    <t>Centessa Pharmaceuticals PLC</t>
  </si>
  <si>
    <t>IPSC US Equity</t>
  </si>
  <si>
    <t>Century Therapeutics Inc</t>
  </si>
  <si>
    <t>CBLL US Equity</t>
  </si>
  <si>
    <t>Ceribell Inc</t>
  </si>
  <si>
    <t>CERO US Equity</t>
  </si>
  <si>
    <t>CERo Therapeutics Holdings Inc</t>
  </si>
  <si>
    <t>CERT US Equity</t>
  </si>
  <si>
    <t>Certara Inc</t>
  </si>
  <si>
    <t>CERS US Equity</t>
  </si>
  <si>
    <t>Cerus Corp</t>
  </si>
  <si>
    <t>CRVO US Equity</t>
  </si>
  <si>
    <t>CervoMed Inc</t>
  </si>
  <si>
    <t>CGON US Equity</t>
  </si>
  <si>
    <t>CG oncology Inc</t>
  </si>
  <si>
    <t>CSBR US Equity</t>
  </si>
  <si>
    <t>Champions Oncology Inc</t>
  </si>
  <si>
    <t>CRO</t>
  </si>
  <si>
    <t>CHRO US Equity</t>
  </si>
  <si>
    <t>Channel Therapeutics Corp</t>
  </si>
  <si>
    <t>CRL US Equity</t>
  </si>
  <si>
    <t>Charles River Laboratories Int</t>
  </si>
  <si>
    <t>CWEB CN Equity</t>
  </si>
  <si>
    <t>Charlottes Web Holdings Inc</t>
  </si>
  <si>
    <t>CHEK US Equity</t>
  </si>
  <si>
    <t>Check Cap Ltd</t>
  </si>
  <si>
    <t>CKPT US Equity</t>
  </si>
  <si>
    <t>Checkpoint Therapeutics Inc</t>
  </si>
  <si>
    <t>CHE US Equity</t>
  </si>
  <si>
    <t>Chemed Corp</t>
  </si>
  <si>
    <t>CMMB US Equity</t>
  </si>
  <si>
    <t>Chemomab Therapeutics Ltd</t>
  </si>
  <si>
    <t>CMRX US Equity</t>
  </si>
  <si>
    <t>Chimerix Inc</t>
  </si>
  <si>
    <t>CNBI US Equity</t>
  </si>
  <si>
    <t>China BCT Pharmacy Group Inc</t>
  </si>
  <si>
    <t>CHME US Equity</t>
  </si>
  <si>
    <t>China Medicine Corp</t>
  </si>
  <si>
    <t>CPHI US Equity</t>
  </si>
  <si>
    <t>China Pharma Holdings Inc</t>
  </si>
  <si>
    <t>SXTC US Equity</t>
  </si>
  <si>
    <t>China SXT Pharmaceuticals Inc</t>
  </si>
  <si>
    <t>CDXC US Equity</t>
  </si>
  <si>
    <t>ChromaDex Corp</t>
  </si>
  <si>
    <t>NEUTRACEUTICAL</t>
  </si>
  <si>
    <t>KKUR US Equity</t>
  </si>
  <si>
    <t>Chromocure Inc</t>
  </si>
  <si>
    <t>CBUS US Equity</t>
  </si>
  <si>
    <t>Cibus Inc</t>
  </si>
  <si>
    <t>CDTX US Equity</t>
  </si>
  <si>
    <t>Cidara Therapeutics Inc</t>
  </si>
  <si>
    <t>CING US Equity</t>
  </si>
  <si>
    <t>Cingulate Inc</t>
  </si>
  <si>
    <t>CPH CN Equity</t>
  </si>
  <si>
    <t>Cipher Pharmaceuticals Inc</t>
  </si>
  <si>
    <t>CTOR US Equity</t>
  </si>
  <si>
    <t>Citius Oncology Inc</t>
  </si>
  <si>
    <t>CTXR US Equity</t>
  </si>
  <si>
    <t>Citius Pharmaceuticals Inc</t>
  </si>
  <si>
    <t>CVGR CN Equity</t>
  </si>
  <si>
    <t>City View Green Holdings Inc</t>
  </si>
  <si>
    <t>CLRD US Equity</t>
  </si>
  <si>
    <t>Clearday Inc</t>
  </si>
  <si>
    <t>CMND US Equity</t>
  </si>
  <si>
    <t>Clearmind Medicine Inc</t>
  </si>
  <si>
    <t>CLPT US Equity</t>
  </si>
  <si>
    <t>ClearPoint Neuro Inc</t>
  </si>
  <si>
    <t>CLSD US Equity</t>
  </si>
  <si>
    <t>Clearside Biomedical Inc</t>
  </si>
  <si>
    <t>CLNN US Equity</t>
  </si>
  <si>
    <t>Clene Inc</t>
  </si>
  <si>
    <t>CLVR US Equity</t>
  </si>
  <si>
    <t>Clever Leaves Holdings Inc</t>
  </si>
  <si>
    <t>CLYM US Equity</t>
  </si>
  <si>
    <t>Climb Bio Inc</t>
  </si>
  <si>
    <t>CLOV US Equity</t>
  </si>
  <si>
    <t>Clover Health Investments Corp</t>
  </si>
  <si>
    <t>CNBX US Equity</t>
  </si>
  <si>
    <t>CNBX Pharmaceuticals Inc</t>
  </si>
  <si>
    <t>CNSP US Equity</t>
  </si>
  <si>
    <t>CNS Pharmaceuticals Inc</t>
  </si>
  <si>
    <t>CODX US Equity</t>
  </si>
  <si>
    <t>Co-Diagnostics Inc</t>
  </si>
  <si>
    <t>COCP US Equity</t>
  </si>
  <si>
    <t>Cocrystal Pharma Inc</t>
  </si>
  <si>
    <t>CDXS US Equity</t>
  </si>
  <si>
    <t>Codexis Inc</t>
  </si>
  <si>
    <t>COEP US Equity</t>
  </si>
  <si>
    <t>Coeptis Therapeutics Holdings</t>
  </si>
  <si>
    <t>COGT US Equity</t>
  </si>
  <si>
    <t>Cogent Biosciences Inc</t>
  </si>
  <si>
    <t>CGTX US Equity</t>
  </si>
  <si>
    <t>Cognition Therapeutics Inc</t>
  </si>
  <si>
    <t>CHRS US Equity</t>
  </si>
  <si>
    <t>Coherus Biosciences Inc</t>
  </si>
  <si>
    <t>COLL US Equity</t>
  </si>
  <si>
    <t>Collegium Pharmaceutical Inc</t>
  </si>
  <si>
    <t>CLGN US Equity</t>
  </si>
  <si>
    <t>Collplant Biotechnologies Ltd</t>
  </si>
  <si>
    <t>CMRA US Equity</t>
  </si>
  <si>
    <t>Comera Life Sciences Holdings</t>
  </si>
  <si>
    <t>CYH US Equity</t>
  </si>
  <si>
    <t>Community Health Systems Inc</t>
  </si>
  <si>
    <t>CMPS US Equity</t>
  </si>
  <si>
    <t>Compass Pathways Plc</t>
  </si>
  <si>
    <t>CMPX US Equity</t>
  </si>
  <si>
    <t>Compass Therapeutics Inc</t>
  </si>
  <si>
    <t>CHS CN Equity</t>
  </si>
  <si>
    <t>Comprehensive Healthcare Syste</t>
  </si>
  <si>
    <t>CGEN US Equity</t>
  </si>
  <si>
    <t>Compugen Ltd</t>
  </si>
  <si>
    <t>CMPD US Equity</t>
  </si>
  <si>
    <t>Compumed Inc</t>
  </si>
  <si>
    <t>CNVI CN Equity</t>
  </si>
  <si>
    <t>Conavi Medical Corp</t>
  </si>
  <si>
    <t>CON US Equity</t>
  </si>
  <si>
    <t>Concentra Group Holdings Paren</t>
  </si>
  <si>
    <t>CCM US Equity</t>
  </si>
  <si>
    <t>Concord Medical Services Holdi</t>
  </si>
  <si>
    <t>CDT US Equity</t>
  </si>
  <si>
    <t>Conduit Pharmaceuticals Inc</t>
  </si>
  <si>
    <t>CNMD US Equity</t>
  </si>
  <si>
    <t>CONMED Corp</t>
  </si>
  <si>
    <t>CNTB US Equity</t>
  </si>
  <si>
    <t>Connect Biopharma Holdings Ltd</t>
  </si>
  <si>
    <t>CNTX US Equity</t>
  </si>
  <si>
    <t>Context Therapeutics Inc</t>
  </si>
  <si>
    <t>CTNM US Equity</t>
  </si>
  <si>
    <t>Contineum Therapeutics Inc</t>
  </si>
  <si>
    <t>COO US Equity</t>
  </si>
  <si>
    <t>Cooper Cos Inc/The</t>
  </si>
  <si>
    <t>CRBP US Equity</t>
  </si>
  <si>
    <t>Corbus Pharmaceuticals Holding</t>
  </si>
  <si>
    <t>CORT US Equity</t>
  </si>
  <si>
    <t>Corcept Therapeutics Inc</t>
  </si>
  <si>
    <t>COOL CN Equity</t>
  </si>
  <si>
    <t>Core One Labs Inc</t>
  </si>
  <si>
    <t>CXBS US Equity</t>
  </si>
  <si>
    <t>Corix Bioscience Inc</t>
  </si>
  <si>
    <t>CRMD US Equity</t>
  </si>
  <si>
    <t>CorMedix Inc</t>
  </si>
  <si>
    <t>CRVL US Equity</t>
  </si>
  <si>
    <t>CorVel Corp</t>
  </si>
  <si>
    <t>CRVS US Equity</t>
  </si>
  <si>
    <t>Corvus Pharmaceuticals Inc</t>
  </si>
  <si>
    <t>CSCI CN Equity</t>
  </si>
  <si>
    <t>COSCIENS Biopharma Inc</t>
  </si>
  <si>
    <t>COSM US Equity</t>
  </si>
  <si>
    <t>Cosmos Health Inc</t>
  </si>
  <si>
    <t>COV CN Equity</t>
  </si>
  <si>
    <t>Covalon Technologies Ltd</t>
  </si>
  <si>
    <t>COYA US Equity</t>
  </si>
  <si>
    <t>Coya Therapeutics Inc</t>
  </si>
  <si>
    <t>CELZ US Equity</t>
  </si>
  <si>
    <t>Creative Medical Technology Ho</t>
  </si>
  <si>
    <t>CTX CN Equity</t>
  </si>
  <si>
    <t>Crescita Therapeutics Inc</t>
  </si>
  <si>
    <t>CRNX US Equity</t>
  </si>
  <si>
    <t>Crinetics Pharmaceuticals Inc</t>
  </si>
  <si>
    <t>CRSP US Equity</t>
  </si>
  <si>
    <t>CRISPR Therapeutics AG</t>
  </si>
  <si>
    <t>CRON CN Equity</t>
  </si>
  <si>
    <t>Cronos Group Inc</t>
  </si>
  <si>
    <t>CCRN US Equity</t>
  </si>
  <si>
    <t>Cross Country Healthcare Inc</t>
  </si>
  <si>
    <t>CCEL US Equity</t>
  </si>
  <si>
    <t>Cryo-Cell International Inc</t>
  </si>
  <si>
    <t>CYRX US Equity</t>
  </si>
  <si>
    <t>CryoPort Inc</t>
  </si>
  <si>
    <t>CSDX US Equity</t>
  </si>
  <si>
    <t>CS Diagnostics Corp</t>
  </si>
  <si>
    <t>CTTH US Equity</t>
  </si>
  <si>
    <t>CTT Pharmaceutical Holdings In</t>
  </si>
  <si>
    <t>CUE US Equity</t>
  </si>
  <si>
    <t>Cue Biopharma Inc</t>
  </si>
  <si>
    <t>CGEM US Equity</t>
  </si>
  <si>
    <t>Cullinan Therapeutics Inc</t>
  </si>
  <si>
    <t>CPIX US Equity</t>
  </si>
  <si>
    <t>Cumberland Pharmaceuticals Inc</t>
  </si>
  <si>
    <t>CURA CN Equity</t>
  </si>
  <si>
    <t>Curaleaf Holdings Inc</t>
  </si>
  <si>
    <t>CBDX US Equity</t>
  </si>
  <si>
    <t>Curative Biosciences Inc</t>
  </si>
  <si>
    <t>CVAC US Equity</t>
  </si>
  <si>
    <t>CureVac NV</t>
  </si>
  <si>
    <t>CRIS US Equity</t>
  </si>
  <si>
    <t>Curis Inc</t>
  </si>
  <si>
    <t>CUTR US Equity</t>
  </si>
  <si>
    <t>Cutera Inc</t>
  </si>
  <si>
    <t>CVRX US Equity</t>
  </si>
  <si>
    <t>CVRx Inc</t>
  </si>
  <si>
    <t>CVS US Equity</t>
  </si>
  <si>
    <t>CVS Health Corp</t>
  </si>
  <si>
    <t>CBRF US Equity</t>
  </si>
  <si>
    <t>Cyberfuels Holding Company Inc</t>
  </si>
  <si>
    <t>CYBN CN Equity</t>
  </si>
  <si>
    <t>Cybin Inc</t>
  </si>
  <si>
    <t>CYCC US Equity</t>
  </si>
  <si>
    <t>Cyclacel Pharmaceuticals Inc</t>
  </si>
  <si>
    <t>CYCN US Equity</t>
  </si>
  <si>
    <t>Cyclerion Therapeutics Inc</t>
  </si>
  <si>
    <t>CYTH US Equity</t>
  </si>
  <si>
    <t>Cyclo Therapeutics Inc</t>
  </si>
  <si>
    <t>CYDX US Equity</t>
  </si>
  <si>
    <t>CYduct Diagnostics Inc</t>
  </si>
  <si>
    <t>CTKB US Equity</t>
  </si>
  <si>
    <t>Cytek Biosciences Inc</t>
  </si>
  <si>
    <t>CYDY US Equity</t>
  </si>
  <si>
    <t>CytoDyn Inc</t>
  </si>
  <si>
    <t>CYTK US Equity</t>
  </si>
  <si>
    <t>Cytokinetics Inc</t>
  </si>
  <si>
    <t>GDTC US Equity</t>
  </si>
  <si>
    <t>Cytomed Therapeutics Ltd</t>
  </si>
  <si>
    <t>CTMX US Equity</t>
  </si>
  <si>
    <t>CytomX Therapeutics Inc</t>
  </si>
  <si>
    <t>CTSO US Equity</t>
  </si>
  <si>
    <t>CytoSorbents Corp</t>
  </si>
  <si>
    <t>DHR US Equity</t>
  </si>
  <si>
    <t>Danaher Corp</t>
  </si>
  <si>
    <t>DARE US Equity</t>
  </si>
  <si>
    <t>Dare Bioscience Inc</t>
  </si>
  <si>
    <t>WOMEN`S HEALTH</t>
  </si>
  <si>
    <t>DRIO US Equity</t>
  </si>
  <si>
    <t>DarioHealth Corp</t>
  </si>
  <si>
    <t>DTRK US Equity</t>
  </si>
  <si>
    <t>DATATRAK International Inc</t>
  </si>
  <si>
    <t>DVA US Equity</t>
  </si>
  <si>
    <t>DaVita Inc</t>
  </si>
  <si>
    <t>DXR US Equity</t>
  </si>
  <si>
    <t>Daxor Corp</t>
  </si>
  <si>
    <t>DAWN US Equity</t>
  </si>
  <si>
    <t>Day One Biopharmaceuticals Inc</t>
  </si>
  <si>
    <t>DECN US Equity</t>
  </si>
  <si>
    <t>Decision Diagnostics Corp</t>
  </si>
  <si>
    <t>DTC CN Equity</t>
  </si>
  <si>
    <t>Defence Therapeutics Inc</t>
  </si>
  <si>
    <t>DCTH US Equity</t>
  </si>
  <si>
    <t>Delcath Systems Inc</t>
  </si>
  <si>
    <t>DHB CN Equity</t>
  </si>
  <si>
    <t>Delivra Health Brands Inc</t>
  </si>
  <si>
    <t>DNLI US Equity</t>
  </si>
  <si>
    <t>Denali Therapeutics Inc</t>
  </si>
  <si>
    <t>DPAT US Equity</t>
  </si>
  <si>
    <t>Dental Patient Care America In</t>
  </si>
  <si>
    <t>DNTL CN Equity</t>
  </si>
  <si>
    <t>dentalcorp Holdings Ltd</t>
  </si>
  <si>
    <t>XRAY US Equity</t>
  </si>
  <si>
    <t>DENTSPLY SIRONA Inc</t>
  </si>
  <si>
    <t>DRMA US Equity</t>
  </si>
  <si>
    <t>Dermata Therapeutics Inc</t>
  </si>
  <si>
    <t>DSGN US Equity</t>
  </si>
  <si>
    <t>Design Therapeutics Inc</t>
  </si>
  <si>
    <t>DVTC US Equity</t>
  </si>
  <si>
    <t>Development Technologies Corp</t>
  </si>
  <si>
    <t>GSD CN Equity</t>
  </si>
  <si>
    <t>Devonian Health Group Inc</t>
  </si>
  <si>
    <t>DXCM US Equity</t>
  </si>
  <si>
    <t>Dexcom Inc</t>
  </si>
  <si>
    <t>ADK CN Equity</t>
  </si>
  <si>
    <t>DIAGNOS Inc/Canada</t>
  </si>
  <si>
    <t>DMAC US Equity</t>
  </si>
  <si>
    <t>DiaMedica Therapeutics Inc</t>
  </si>
  <si>
    <t>DNTH US Equity</t>
  </si>
  <si>
    <t>Dianthus Therapeutics Inc</t>
  </si>
  <si>
    <t>DYXC US Equity</t>
  </si>
  <si>
    <t>DiaSys Corp</t>
  </si>
  <si>
    <t>DHAI US Equity</t>
  </si>
  <si>
    <t>DIH Holdings US Inc</t>
  </si>
  <si>
    <t>IRON US Equity</t>
  </si>
  <si>
    <t>Disc Medicine Inc</t>
  </si>
  <si>
    <t>DNAG US Equity</t>
  </si>
  <si>
    <t>DNAPrint Genomics Inc</t>
  </si>
  <si>
    <t>DCGO US Equity</t>
  </si>
  <si>
    <t>DocGo Inc</t>
  </si>
  <si>
    <t>DWTX US Equity</t>
  </si>
  <si>
    <t>Dogwood Therapeutics Inc</t>
  </si>
  <si>
    <t>DFHL US Equity</t>
  </si>
  <si>
    <t>Dong Fang Hui Le Inc</t>
  </si>
  <si>
    <t>DOCS US Equity</t>
  </si>
  <si>
    <t>Doximity Inc</t>
  </si>
  <si>
    <t>DSOL US Equity</t>
  </si>
  <si>
    <t>Drug Free Solution Inc</t>
  </si>
  <si>
    <t>DRRX US Equity</t>
  </si>
  <si>
    <t>Durect Corp</t>
  </si>
  <si>
    <t>DYAI US Equity</t>
  </si>
  <si>
    <t>Dyadic International Inc</t>
  </si>
  <si>
    <t>DYNT US Equity</t>
  </si>
  <si>
    <t>Dynatronics Corp</t>
  </si>
  <si>
    <t>DVAX US Equity</t>
  </si>
  <si>
    <t>Dynavax Technologies Corp</t>
  </si>
  <si>
    <t>DYN US Equity</t>
  </si>
  <si>
    <t>Dyne Therapeutics Inc</t>
  </si>
  <si>
    <t>EMDF US Equity</t>
  </si>
  <si>
    <t>E Med Future Inc</t>
  </si>
  <si>
    <t>EGRX US Equity</t>
  </si>
  <si>
    <t>Eagle Pharmaceuticals Inc/DE</t>
  </si>
  <si>
    <t>ETST US Equity</t>
  </si>
  <si>
    <t>Earth Science Tech Inc</t>
  </si>
  <si>
    <t>EAPH US Equity</t>
  </si>
  <si>
    <t>Easton Pharmaceuticals Inc</t>
  </si>
  <si>
    <t>EBM CN Equity</t>
  </si>
  <si>
    <t>Eastwood Bio-Medical Canada In</t>
  </si>
  <si>
    <t>ECGI US Equity</t>
  </si>
  <si>
    <t>ECGI Holdings Inc</t>
  </si>
  <si>
    <t>ESSI US Equity</t>
  </si>
  <si>
    <t>Eco Science Solutions Inc</t>
  </si>
  <si>
    <t>ECGS US Equity</t>
  </si>
  <si>
    <t>Eco-Growth Strategies Inc</t>
  </si>
  <si>
    <t>EDAP US Equity</t>
  </si>
  <si>
    <t>EDAP TMS SA</t>
  </si>
  <si>
    <t>EDSA US Equity</t>
  </si>
  <si>
    <t>Edesa Biotech Inc</t>
  </si>
  <si>
    <t>EWTX US Equity</t>
  </si>
  <si>
    <t>Edgewise Therapeutics Inc</t>
  </si>
  <si>
    <t>EDIT US Equity</t>
  </si>
  <si>
    <t>Editas Medicine Inc</t>
  </si>
  <si>
    <t>EFTR US Equity</t>
  </si>
  <si>
    <t>eFFECTOR Therapeutics Inc</t>
  </si>
  <si>
    <t>EKSO US Equity</t>
  </si>
  <si>
    <t>Ekso Bionics Holdings Inc</t>
  </si>
  <si>
    <t>ELAN US Equity</t>
  </si>
  <si>
    <t>Elanco Animal Health Inc</t>
  </si>
  <si>
    <t>ANIMAL HEALTH</t>
  </si>
  <si>
    <t>ECOR US Equity</t>
  </si>
  <si>
    <t>ElectroCore Inc</t>
  </si>
  <si>
    <t>ELMD US Equity</t>
  </si>
  <si>
    <t>Electromed Inc</t>
  </si>
  <si>
    <t>ELDN US Equity</t>
  </si>
  <si>
    <t>Eledon Pharmaceuticals Inc</t>
  </si>
  <si>
    <t>ELV US Equity</t>
  </si>
  <si>
    <t>Elevance Health Inc</t>
  </si>
  <si>
    <t>ELEV US Equity</t>
  </si>
  <si>
    <t>Elevation Oncology Inc</t>
  </si>
  <si>
    <t>LLY US Equity</t>
  </si>
  <si>
    <t>Eli Lilly &amp; Co</t>
  </si>
  <si>
    <t>ELTX US Equity</t>
  </si>
  <si>
    <t>Elicio Therapeutics Inc</t>
  </si>
  <si>
    <t>ELTP US Equity</t>
  </si>
  <si>
    <t>Elite Pharmaceuticals Inc</t>
  </si>
  <si>
    <t>ELOX US Equity</t>
  </si>
  <si>
    <t>Eloxx Pharmaceuticals Inc</t>
  </si>
  <si>
    <t>ELUT US Equity</t>
  </si>
  <si>
    <t>Elutia Inc</t>
  </si>
  <si>
    <t>EMBC US Equity</t>
  </si>
  <si>
    <t>Embecta Corp</t>
  </si>
  <si>
    <t>EBS US Equity</t>
  </si>
  <si>
    <t>Emergent BioSolutions Inc</t>
  </si>
  <si>
    <t>EMMA US Equity</t>
  </si>
  <si>
    <t>Emmaus Life Sciences Inc</t>
  </si>
  <si>
    <t>ENTA US Equity</t>
  </si>
  <si>
    <t>Enanta Pharmaceuticals Inc</t>
  </si>
  <si>
    <t>ECIA US Equity</t>
  </si>
  <si>
    <t>Encision Inc</t>
  </si>
  <si>
    <t>EHC US Equity</t>
  </si>
  <si>
    <t>Encompass Health Corp</t>
  </si>
  <si>
    <t>EDXC US Equity</t>
  </si>
  <si>
    <t>Endexx Corp</t>
  </si>
  <si>
    <t>ENDV US Equity</t>
  </si>
  <si>
    <t>Endonovo Therapeutics Inc</t>
  </si>
  <si>
    <t>NDRA US Equity</t>
  </si>
  <si>
    <t>ENDRA Life Sciences Inc</t>
  </si>
  <si>
    <t>ENGN US Equity</t>
  </si>
  <si>
    <t>Engene Holdings Inc</t>
  </si>
  <si>
    <t>EHAB US Equity</t>
  </si>
  <si>
    <t>Enhabit Inc</t>
  </si>
  <si>
    <t>ELVN US Equity</t>
  </si>
  <si>
    <t>Enliven Therapeutics Inc</t>
  </si>
  <si>
    <t>ENLV US Equity</t>
  </si>
  <si>
    <t>Enlivex Therapeutics Ltd</t>
  </si>
  <si>
    <t>ENOV US Equity</t>
  </si>
  <si>
    <t>Enovis Corp</t>
  </si>
  <si>
    <t>ENSG US Equity</t>
  </si>
  <si>
    <t>Ensign Group Inc/The</t>
  </si>
  <si>
    <t>ENSC US Equity</t>
  </si>
  <si>
    <t>Ensysce Biosciences Inc</t>
  </si>
  <si>
    <t>ENTX US Equity</t>
  </si>
  <si>
    <t>Entera Bio Ltd</t>
  </si>
  <si>
    <t>ENTO US Equity</t>
  </si>
  <si>
    <t>Entero Therapeutics Inc</t>
  </si>
  <si>
    <t>ENTG CN Equity</t>
  </si>
  <si>
    <t>Entourage Health Corp</t>
  </si>
  <si>
    <t>TRDA US Equity</t>
  </si>
  <si>
    <t>Entrada Therapeutics Inc</t>
  </si>
  <si>
    <t>ENVB US Equity</t>
  </si>
  <si>
    <t>Enveric Biosciences Inc</t>
  </si>
  <si>
    <t>NVST US Equity</t>
  </si>
  <si>
    <t>Envista Holdings Corp</t>
  </si>
  <si>
    <t>COCH US Equity</t>
  </si>
  <si>
    <t>Envoy Medical Inc</t>
  </si>
  <si>
    <t>NVNO US Equity</t>
  </si>
  <si>
    <t>enVVeno Medical Corp</t>
  </si>
  <si>
    <t>ENZ US Equity</t>
  </si>
  <si>
    <t>Enzo Biochem Inc</t>
  </si>
  <si>
    <t>ENZN US Equity</t>
  </si>
  <si>
    <t>Enzon Pharmaceuticals Inc</t>
  </si>
  <si>
    <t>IMUC US Equity</t>
  </si>
  <si>
    <t>Eom Pharmaceutical Holdings In</t>
  </si>
  <si>
    <t>ERUC US Equity</t>
  </si>
  <si>
    <t>ER Urgent Care Holdings Inc</t>
  </si>
  <si>
    <t>ERAS US Equity</t>
  </si>
  <si>
    <t>Erasca Inc</t>
  </si>
  <si>
    <t>ESMC US Equity</t>
  </si>
  <si>
    <t>Escalon Medical Corp</t>
  </si>
  <si>
    <t>ESPR US Equity</t>
  </si>
  <si>
    <t>Esperion Therapeutics Inc</t>
  </si>
  <si>
    <t>EPIX US Equity</t>
  </si>
  <si>
    <t>Essa Pharma Inc</t>
  </si>
  <si>
    <t>ESTA US Equity</t>
  </si>
  <si>
    <t>Establishment Labs Holdings In</t>
  </si>
  <si>
    <t>ESLA US Equity</t>
  </si>
  <si>
    <t>Estrella Immunopharma Inc</t>
  </si>
  <si>
    <t>ERNA US Equity</t>
  </si>
  <si>
    <t>Eterna Therapeutics Inc</t>
  </si>
  <si>
    <t>GRST US Equity</t>
  </si>
  <si>
    <t>Ethema Health Corp</t>
  </si>
  <si>
    <t>ETON US Equity</t>
  </si>
  <si>
    <t>Eton Pharmaceuticals Inc</t>
  </si>
  <si>
    <t>EUDA US Equity</t>
  </si>
  <si>
    <t>Euda Health Holdings Ltd</t>
  </si>
  <si>
    <t>EPRX CN Equity</t>
  </si>
  <si>
    <t>Eupraxia Pharmaceuticals Inc</t>
  </si>
  <si>
    <t>EVAX US Equity</t>
  </si>
  <si>
    <t>Evaxion Biotech A/S</t>
  </si>
  <si>
    <t>EVLO US Equity</t>
  </si>
  <si>
    <t>Evelo Biosciences Inc</t>
  </si>
  <si>
    <t>EVIO US Equity</t>
  </si>
  <si>
    <t>EVIO Inc</t>
  </si>
  <si>
    <t>EVFM US Equity</t>
  </si>
  <si>
    <t>Evofem Biosciences Inc</t>
  </si>
  <si>
    <t>OKAI CN Equity</t>
  </si>
  <si>
    <t>EvokAI Creative Labs Inc</t>
  </si>
  <si>
    <t>EVOK US Equity</t>
  </si>
  <si>
    <t>Evoke Pharma Inc</t>
  </si>
  <si>
    <t>EVH US Equity</t>
  </si>
  <si>
    <t>Evolent Health Inc</t>
  </si>
  <si>
    <t>EOLS US Equity</t>
  </si>
  <si>
    <t>Evolus Inc</t>
  </si>
  <si>
    <t>ASTHETICS</t>
  </si>
  <si>
    <t>EVMT CN Equity</t>
  </si>
  <si>
    <t>Evome Medical Technologies Inc</t>
  </si>
  <si>
    <t>EWLL US Equity</t>
  </si>
  <si>
    <t>eWellness Healthcare Corp</t>
  </si>
  <si>
    <t>EXAS US Equity</t>
  </si>
  <si>
    <t>Exact Sciences Corp</t>
  </si>
  <si>
    <t>XGN US Equity</t>
  </si>
  <si>
    <t>Exagen Inc</t>
  </si>
  <si>
    <t>EXEL US Equity</t>
  </si>
  <si>
    <t>Exelixis Inc</t>
  </si>
  <si>
    <t>XCUR US Equity</t>
  </si>
  <si>
    <t>Exicure Inc</t>
  </si>
  <si>
    <t>EXHI US Equity</t>
  </si>
  <si>
    <t>Exlites Holdings International</t>
  </si>
  <si>
    <t>EXE CN Equity</t>
  </si>
  <si>
    <t>Extendicare Inc</t>
  </si>
  <si>
    <t>EYEN US Equity</t>
  </si>
  <si>
    <t>Eyenovia Inc</t>
  </si>
  <si>
    <t>EYPT US Equity</t>
  </si>
  <si>
    <t>EyePoint Pharmaceuticals Inc</t>
  </si>
  <si>
    <t>FATE US Equity</t>
  </si>
  <si>
    <t>Fate Therapeutics Inc</t>
  </si>
  <si>
    <t>FEMY US Equity</t>
  </si>
  <si>
    <t>Femasys Inc</t>
  </si>
  <si>
    <t>FRX CN Equity</t>
  </si>
  <si>
    <t>Fennec Pharmaceuticals Inc</t>
  </si>
  <si>
    <t>FBLG US Equity</t>
  </si>
  <si>
    <t>Fibrobiologics Inc</t>
  </si>
  <si>
    <t>FGEN US Equity</t>
  </si>
  <si>
    <t>FibroGen Inc</t>
  </si>
  <si>
    <t>FNCH US Equity</t>
  </si>
  <si>
    <t>Finch Therapeutics Group Inc</t>
  </si>
  <si>
    <t>N/A</t>
  </si>
  <si>
    <t>AIFF US Equity</t>
  </si>
  <si>
    <t>Firefly Neuroscience Inc</t>
  </si>
  <si>
    <t>FCHS US Equity</t>
  </si>
  <si>
    <t>First Choice Healthcare Soluti</t>
  </si>
  <si>
    <t>FPCG US Equity</t>
  </si>
  <si>
    <t>First Physicians Capital Group</t>
  </si>
  <si>
    <t>FPMI US Equity</t>
  </si>
  <si>
    <t>FluoroPharma Medical Inc</t>
  </si>
  <si>
    <t>FHTX US Equity</t>
  </si>
  <si>
    <t>Foghorn Therapeutics Inc</t>
  </si>
  <si>
    <t>FONR US Equity</t>
  </si>
  <si>
    <t>FONAR Corp</t>
  </si>
  <si>
    <t>FORA US Equity</t>
  </si>
  <si>
    <t>Forian Inc</t>
  </si>
  <si>
    <t>FBRX US Equity</t>
  </si>
  <si>
    <t>Forte Biosciences Inc</t>
  </si>
  <si>
    <t>FTRE US Equity</t>
  </si>
  <si>
    <t>Fortrea Holdings Inc</t>
  </si>
  <si>
    <t>FBIO US Equity</t>
  </si>
  <si>
    <t>Fortress Biotech Inc</t>
  </si>
  <si>
    <t>FORZ US Equity</t>
  </si>
  <si>
    <t>Forza Innovations Inc</t>
  </si>
  <si>
    <t>GUTS US Equity</t>
  </si>
  <si>
    <t>Fractyl Health Inc</t>
  </si>
  <si>
    <t>FRLI US Equity</t>
  </si>
  <si>
    <t>Frelii Inc</t>
  </si>
  <si>
    <t>FRTX US Equity</t>
  </si>
  <si>
    <t>Fresh Tracks Therapeutics Inc</t>
  </si>
  <si>
    <t>FULC US Equity</t>
  </si>
  <si>
    <t>Fulcrum Therapeutics Inc</t>
  </si>
  <si>
    <t>FLGT US Equity</t>
  </si>
  <si>
    <t>Fulgent Genetics Inc</t>
  </si>
  <si>
    <t>FZMD US Equity</t>
  </si>
  <si>
    <t>Fuse Medical Inc</t>
  </si>
  <si>
    <t>GANX US Equity</t>
  </si>
  <si>
    <t>Gain Therapeutics Inc</t>
  </si>
  <si>
    <t>GALT US Equity</t>
  </si>
  <si>
    <t>Galectin Therapeutics Inc</t>
  </si>
  <si>
    <t>GLTO US Equity</t>
  </si>
  <si>
    <t>Galecto Inc</t>
  </si>
  <si>
    <t>GRTX US Equity</t>
  </si>
  <si>
    <t>Galera Therapeutics Inc</t>
  </si>
  <si>
    <t>GLMD US Equity</t>
  </si>
  <si>
    <t>Galmed Pharmaceuticals Ltd</t>
  </si>
  <si>
    <t>GBLX US Equity</t>
  </si>
  <si>
    <t>GB Sciences Inc</t>
  </si>
  <si>
    <t>GEHC US Equity</t>
  </si>
  <si>
    <t>GE HealthCare Technologies Inc</t>
  </si>
  <si>
    <t>GELS US Equity</t>
  </si>
  <si>
    <t>Gelteq Ltd</t>
  </si>
  <si>
    <t>WGS US Equity</t>
  </si>
  <si>
    <t>GeneDx Holdings Corp</t>
  </si>
  <si>
    <t>GNLX US Equity</t>
  </si>
  <si>
    <t>Genelux Corp</t>
  </si>
  <si>
    <t>GNTA US Equity</t>
  </si>
  <si>
    <t>Genenta Science S.P.A.</t>
  </si>
  <si>
    <t>GBIO US Equity</t>
  </si>
  <si>
    <t>Generation Bio Co</t>
  </si>
  <si>
    <t>GENN US Equity</t>
  </si>
  <si>
    <t>Genesis Healthcare Inc</t>
  </si>
  <si>
    <t>GTHR US Equity</t>
  </si>
  <si>
    <t>GeneThera Inc</t>
  </si>
  <si>
    <t>GENX US Equity</t>
  </si>
  <si>
    <t>Genex Pharmaceutical Inc</t>
  </si>
  <si>
    <t>GNPX US Equity</t>
  </si>
  <si>
    <t>Genprex Inc</t>
  </si>
  <si>
    <t>GOVX US Equity</t>
  </si>
  <si>
    <t>GeoVax Labs Inc</t>
  </si>
  <si>
    <t>GERN US Equity</t>
  </si>
  <si>
    <t>Geron Corp</t>
  </si>
  <si>
    <t>GHRS US Equity</t>
  </si>
  <si>
    <t>GH Research PLC</t>
  </si>
  <si>
    <t>GILD US Equity</t>
  </si>
  <si>
    <t>Gilead Sciences Inc</t>
  </si>
  <si>
    <t>GKOS US Equity</t>
  </si>
  <si>
    <t>Glaukos Corp</t>
  </si>
  <si>
    <t>MJRX CN Equity</t>
  </si>
  <si>
    <t>Global Health Clinics Ltd</t>
  </si>
  <si>
    <t>GLBH US Equity</t>
  </si>
  <si>
    <t>Globaltech Holdings Inc</t>
  </si>
  <si>
    <t>GBIM US Equity</t>
  </si>
  <si>
    <t>GlobeImmune Inc</t>
  </si>
  <si>
    <t>GSTC US Equity</t>
  </si>
  <si>
    <t>GlobeStar Therapeutics Corp</t>
  </si>
  <si>
    <t>GMED US Equity</t>
  </si>
  <si>
    <t>Globus Medical Inc</t>
  </si>
  <si>
    <t>GCTK US Equity</t>
  </si>
  <si>
    <t>GlucoTrack Inc</t>
  </si>
  <si>
    <t>GLYC US Equity</t>
  </si>
  <si>
    <t>GlycoMimetics Inc</t>
  </si>
  <si>
    <t>GDRX US Equity</t>
  </si>
  <si>
    <t>GoodRx Holdings Inc</t>
  </si>
  <si>
    <t>GOSS US Equity</t>
  </si>
  <si>
    <t>Gossamer Bio Inc</t>
  </si>
  <si>
    <t>GRCE US Equity</t>
  </si>
  <si>
    <t>Grace Therapeutics Inc</t>
  </si>
  <si>
    <t>GRAL US Equity</t>
  </si>
  <si>
    <t>GRAIL Inc</t>
  </si>
  <si>
    <t>GPFT US Equity</t>
  </si>
  <si>
    <t>Grapefruit USA Inc</t>
  </si>
  <si>
    <t>GTII CN Equity</t>
  </si>
  <si>
    <t>Green Thumb Industries Inc</t>
  </si>
  <si>
    <t>XCX CN Equity</t>
  </si>
  <si>
    <t>Greenrise Global Brands Inc</t>
  </si>
  <si>
    <t>GLSI US Equity</t>
  </si>
  <si>
    <t>Greenwich Lifesciences Inc</t>
  </si>
  <si>
    <t>GRI US Equity</t>
  </si>
  <si>
    <t>GRI Bio Inc</t>
  </si>
  <si>
    <t>GTBP US Equity</t>
  </si>
  <si>
    <t>GT Biopharma Inc</t>
  </si>
  <si>
    <t>GTHP US Equity</t>
  </si>
  <si>
    <t>Guided Therapeutics Inc</t>
  </si>
  <si>
    <t>GYRE US Equity</t>
  </si>
  <si>
    <t>Gyre Therapeutics Inc</t>
  </si>
  <si>
    <t>HAE US Equity</t>
  </si>
  <si>
    <t>Haemonetics Corp</t>
  </si>
  <si>
    <t>HALO US Equity</t>
  </si>
  <si>
    <t>Halozyme Therapeutics Inc</t>
  </si>
  <si>
    <t>HRMY US Equity</t>
  </si>
  <si>
    <t>Harmony Biosciences Holdings I</t>
  </si>
  <si>
    <t>HROW US Equity</t>
  </si>
  <si>
    <t>Harrow Inc</t>
  </si>
  <si>
    <t>HRGN US Equity</t>
  </si>
  <si>
    <t>Harvard Apparatus Regenerative</t>
  </si>
  <si>
    <t>HBIO US Equity</t>
  </si>
  <si>
    <t>Harvard Bioscience Inc</t>
  </si>
  <si>
    <t>HCA US Equity</t>
  </si>
  <si>
    <t>HCA Healthcare Inc</t>
  </si>
  <si>
    <t>HCWB US Equity</t>
  </si>
  <si>
    <t>HCW Biologics Inc</t>
  </si>
  <si>
    <t>HCAT US Equity</t>
  </si>
  <si>
    <t>Health Catalyst Inc</t>
  </si>
  <si>
    <t>HDVY US Equity</t>
  </si>
  <si>
    <t>Health Discovery Corp</t>
  </si>
  <si>
    <t>HITC US Equity</t>
  </si>
  <si>
    <t>Healthcare Integrated Technolo</t>
  </si>
  <si>
    <t>HCTI US Equity</t>
  </si>
  <si>
    <t>Healthcare Triangle Inc</t>
  </si>
  <si>
    <t>HQY US Equity</t>
  </si>
  <si>
    <t>HealthEquity Inc</t>
  </si>
  <si>
    <t>HLYK US Equity</t>
  </si>
  <si>
    <t>HealthLynked Corp</t>
  </si>
  <si>
    <t>HSTM US Equity</t>
  </si>
  <si>
    <t>HealthStream Inc</t>
  </si>
  <si>
    <t>AIDX CN Equity</t>
  </si>
  <si>
    <t>HealWELL AI Inc</t>
  </si>
  <si>
    <t>HRTT US Equity</t>
  </si>
  <si>
    <t>Heart Tronics Inc</t>
  </si>
  <si>
    <t>BEAT US Equity</t>
  </si>
  <si>
    <t>HeartBeam inc</t>
  </si>
  <si>
    <t>HSCS US Equity</t>
  </si>
  <si>
    <t>HeartSciences Inc</t>
  </si>
  <si>
    <t>HSDT US Equity</t>
  </si>
  <si>
    <t>Helius Medical Technologies In</t>
  </si>
  <si>
    <t>HXBM US Equity</t>
  </si>
  <si>
    <t>Helix Biomedix Inc</t>
  </si>
  <si>
    <t>HBP CN Equity</t>
  </si>
  <si>
    <t>Helix BioPharma Corp</t>
  </si>
  <si>
    <t>HMGN US Equity</t>
  </si>
  <si>
    <t>Hemagen Diagnostics Inc</t>
  </si>
  <si>
    <t>HEM CN Equity</t>
  </si>
  <si>
    <t>Hemostemix Inc</t>
  </si>
  <si>
    <t>HSIC US Equity</t>
  </si>
  <si>
    <t>Henry Schein Inc</t>
  </si>
  <si>
    <t>HEPA US Equity</t>
  </si>
  <si>
    <t>Hepion Pharmaceuticals Inc</t>
  </si>
  <si>
    <t>HERB CN Equity</t>
  </si>
  <si>
    <t>Herbal Dispatch Inc</t>
  </si>
  <si>
    <t>HENC US Equity</t>
  </si>
  <si>
    <t>Hero Technologies Inc</t>
  </si>
  <si>
    <t>HRTX US Equity</t>
  </si>
  <si>
    <t>Heron Therapeutics Inc</t>
  </si>
  <si>
    <t>HITI CN Equity</t>
  </si>
  <si>
    <t>High Tide Inc</t>
  </si>
  <si>
    <t>HLVX US Equity</t>
  </si>
  <si>
    <t>HilleVax Inc</t>
  </si>
  <si>
    <t>HIMS US Equity</t>
  </si>
  <si>
    <t>Hims &amp; Hers Health Inc</t>
  </si>
  <si>
    <t>HLS CN Equity</t>
  </si>
  <si>
    <t>HLS Therapeutics Inc</t>
  </si>
  <si>
    <t>HOLX US Equity</t>
  </si>
  <si>
    <t>Hologic Inc</t>
  </si>
  <si>
    <t>HOOK US Equity</t>
  </si>
  <si>
    <t>Hookipa Pharma Inc</t>
  </si>
  <si>
    <t>HOTH US Equity</t>
  </si>
  <si>
    <t>Hoth Therapeutics Inc</t>
  </si>
  <si>
    <t>HSTC US Equity</t>
  </si>
  <si>
    <t>HST Global Inc</t>
  </si>
  <si>
    <t>HUMA US Equity</t>
  </si>
  <si>
    <t>Humacyte Inc</t>
  </si>
  <si>
    <t>MED TECH</t>
  </si>
  <si>
    <t>HUM US Equity</t>
  </si>
  <si>
    <t>Humana Inc</t>
  </si>
  <si>
    <t>HYPR US Equity</t>
  </si>
  <si>
    <t>Hyperfine Inc</t>
  </si>
  <si>
    <t>HDII US Equity</t>
  </si>
  <si>
    <t>Hypertension Diagnostics Inc</t>
  </si>
  <si>
    <t>FUNI US Equity</t>
  </si>
  <si>
    <t>Hypha Labs Inc</t>
  </si>
  <si>
    <t>IMAB US Equity</t>
  </si>
  <si>
    <t>I-Mab</t>
  </si>
  <si>
    <t>IAN CN Equity</t>
  </si>
  <si>
    <t>iAnthus Capital Holdings Inc</t>
  </si>
  <si>
    <t>IBIO US Equity</t>
  </si>
  <si>
    <t>iBio Inc</t>
  </si>
  <si>
    <t>ICAD US Equity</t>
  </si>
  <si>
    <t>iCAD Inc</t>
  </si>
  <si>
    <t>ICCM US Equity</t>
  </si>
  <si>
    <t>Icecure Medical Ltd</t>
  </si>
  <si>
    <t>ICLR US Equity</t>
  </si>
  <si>
    <t>ICON PLC</t>
  </si>
  <si>
    <t>ICCT US Equity</t>
  </si>
  <si>
    <t>iCoreConnect Inc</t>
  </si>
  <si>
    <t>ICUI US Equity</t>
  </si>
  <si>
    <t>ICU Medical Inc</t>
  </si>
  <si>
    <t>IDYA US Equity</t>
  </si>
  <si>
    <t>Ideaya Biosciences Inc</t>
  </si>
  <si>
    <t>IDXX US Equity</t>
  </si>
  <si>
    <t>IDEXX Laboratories Inc</t>
  </si>
  <si>
    <t>IGC US Equity</t>
  </si>
  <si>
    <t>IGC Pharma Inc</t>
  </si>
  <si>
    <t>IGMS US Equity</t>
  </si>
  <si>
    <t>IGM Biosciences Inc</t>
  </si>
  <si>
    <t>IKNA US Equity</t>
  </si>
  <si>
    <t>Ikena Oncology Inc</t>
  </si>
  <si>
    <t>ILMN US Equity</t>
  </si>
  <si>
    <t>Illumina Inc</t>
  </si>
  <si>
    <t>IMCC CN Equity</t>
  </si>
  <si>
    <t>IM Cannabis Corp</t>
  </si>
  <si>
    <t>BACK US Equity</t>
  </si>
  <si>
    <t>Imac Holdings Inc</t>
  </si>
  <si>
    <t>IME CN Equity</t>
  </si>
  <si>
    <t>Imagin Medical Inc</t>
  </si>
  <si>
    <t>IDL CN Equity</t>
  </si>
  <si>
    <t>Imaging Dynamics Co Ltd</t>
  </si>
  <si>
    <t>IMTX US Equity</t>
  </si>
  <si>
    <t>Immatics NV</t>
  </si>
  <si>
    <t>IMMX US Equity</t>
  </si>
  <si>
    <t>Immix Biopharma Inc</t>
  </si>
  <si>
    <t>ICCC US Equity</t>
  </si>
  <si>
    <t>ImmuCell Corp</t>
  </si>
  <si>
    <t>IMRX US Equity</t>
  </si>
  <si>
    <t>Immuneering Corp</t>
  </si>
  <si>
    <t>IMUX US Equity</t>
  </si>
  <si>
    <t>Immunic Inc</t>
  </si>
  <si>
    <t>IBRX US Equity</t>
  </si>
  <si>
    <t>ImmunityBio Inc</t>
  </si>
  <si>
    <t>IMCR US Equity</t>
  </si>
  <si>
    <t>Immunocore Holdings PLC</t>
  </si>
  <si>
    <t>IMNM US Equity</t>
  </si>
  <si>
    <t>Immunome Inc</t>
  </si>
  <si>
    <t>IPA US Equity</t>
  </si>
  <si>
    <t>ImmunoPrecise Antibodies Ltd</t>
  </si>
  <si>
    <t>IMMB US Equity</t>
  </si>
  <si>
    <t>Immunotech Laboratories Inc</t>
  </si>
  <si>
    <t>IMVT US Equity</t>
  </si>
  <si>
    <t>Immunovant Inc</t>
  </si>
  <si>
    <t>IMNN US Equity</t>
  </si>
  <si>
    <t>Imunon Inc</t>
  </si>
  <si>
    <t>INAB US Equity</t>
  </si>
  <si>
    <t>IN8bio Inc</t>
  </si>
  <si>
    <t>NARI US Equity</t>
  </si>
  <si>
    <t>Inari Medical Inc</t>
  </si>
  <si>
    <t>IXHL US Equity</t>
  </si>
  <si>
    <t>Incannex Healthcare Inc</t>
  </si>
  <si>
    <t>INCY US Equity</t>
  </si>
  <si>
    <t>Incyte Corp</t>
  </si>
  <si>
    <t>INDP US Equity</t>
  </si>
  <si>
    <t>Indaptus Therapeutics Inc</t>
  </si>
  <si>
    <t>IFRX US Equity</t>
  </si>
  <si>
    <t>InflaRx NV</t>
  </si>
  <si>
    <t>INFU US Equity</t>
  </si>
  <si>
    <t>InfuSystem Holdings Inc</t>
  </si>
  <si>
    <t>IGNT US Equity</t>
  </si>
  <si>
    <t>Ingen Technologies Inc</t>
  </si>
  <si>
    <t>IKT US Equity</t>
  </si>
  <si>
    <t>Inhibikase Therapeutics Inc</t>
  </si>
  <si>
    <t>INTI US Equity</t>
  </si>
  <si>
    <t>Inhibitor Therapeutics Inc</t>
  </si>
  <si>
    <t>INBX US Equity</t>
  </si>
  <si>
    <t>Inhibrx Biosciences Inc</t>
  </si>
  <si>
    <t>INM US Equity</t>
  </si>
  <si>
    <t>InMed Pharmaceuticals Inc</t>
  </si>
  <si>
    <t>INMD US Equity</t>
  </si>
  <si>
    <t>Inmode Ltd</t>
  </si>
  <si>
    <t>INMB US Equity</t>
  </si>
  <si>
    <t>Inmune Bio Inc</t>
  </si>
  <si>
    <t>INNO CN Equity</t>
  </si>
  <si>
    <t>InnoCan Pharma Corp</t>
  </si>
  <si>
    <t>INNV US Equity</t>
  </si>
  <si>
    <t>Innovage Holding Corp</t>
  </si>
  <si>
    <t>INQR US Equity</t>
  </si>
  <si>
    <t>InnovaQor Inc</t>
  </si>
  <si>
    <t>IPIX US Equity</t>
  </si>
  <si>
    <t>Innovation Pharmaceuticals Inc</t>
  </si>
  <si>
    <t>IVBT US Equity</t>
  </si>
  <si>
    <t>Innovation1 Biotech Inc</t>
  </si>
  <si>
    <t>IHAI US Equity</t>
  </si>
  <si>
    <t>Innovative Holdings Alliance I</t>
  </si>
  <si>
    <t>IMTH US Equity</t>
  </si>
  <si>
    <t>Innovative MedTech Inc</t>
  </si>
  <si>
    <t>IVRN US Equity</t>
  </si>
  <si>
    <t>Innoveren Scientific Inc</t>
  </si>
  <si>
    <t>INVA US Equity</t>
  </si>
  <si>
    <t>Innoviva Inc</t>
  </si>
  <si>
    <t>IOT CN Equity</t>
  </si>
  <si>
    <t>Innovotech Inc</t>
  </si>
  <si>
    <t>INGN US Equity</t>
  </si>
  <si>
    <t>Inogen Inc</t>
  </si>
  <si>
    <t>NOTV US Equity</t>
  </si>
  <si>
    <t>Inotiv Inc</t>
  </si>
  <si>
    <t>INO US Equity</t>
  </si>
  <si>
    <t>Inovio Pharmaceuticals Inc</t>
  </si>
  <si>
    <t>INZY US Equity</t>
  </si>
  <si>
    <t>Inozyme Pharma Inc</t>
  </si>
  <si>
    <t>INSM US Equity</t>
  </si>
  <si>
    <t>Insmed Inc</t>
  </si>
  <si>
    <t>IINN US Equity</t>
  </si>
  <si>
    <t>Inspira Technologies Oxy BHN L</t>
  </si>
  <si>
    <t>INSP US Equity</t>
  </si>
  <si>
    <t>Inspire Medical Systems Inc</t>
  </si>
  <si>
    <t>IVP US Equity</t>
  </si>
  <si>
    <t>Inspire Veterinary Partners In</t>
  </si>
  <si>
    <t>NSPR US Equity</t>
  </si>
  <si>
    <t>InspireMD Inc</t>
  </si>
  <si>
    <t>TIL US Equity</t>
  </si>
  <si>
    <t>Instil Bio Inc</t>
  </si>
  <si>
    <t>PODD US Equity</t>
  </si>
  <si>
    <t>Insulet Corp</t>
  </si>
  <si>
    <t>ITGR US Equity</t>
  </si>
  <si>
    <t>Integer Holdings Corp</t>
  </si>
  <si>
    <t>IART US Equity</t>
  </si>
  <si>
    <t>Integra LifeSciences Holdings</t>
  </si>
  <si>
    <t>IHTI US Equity</t>
  </si>
  <si>
    <t>Integrative Health Technologie</t>
  </si>
  <si>
    <t>IGXT US Equity</t>
  </si>
  <si>
    <t>IntelGenx Technologies Corp</t>
  </si>
  <si>
    <t>NTLA US Equity</t>
  </si>
  <si>
    <t>Intellia Therapeutics Inc</t>
  </si>
  <si>
    <t>INBS US Equity</t>
  </si>
  <si>
    <t>Intelligent Bio Solutions Inc</t>
  </si>
  <si>
    <t>INTS US Equity</t>
  </si>
  <si>
    <t>Intensity Therapeutics Inc</t>
  </si>
  <si>
    <t>INIS US Equity</t>
  </si>
  <si>
    <t>International Isotopes Inc</t>
  </si>
  <si>
    <t>ISCO US Equity</t>
  </si>
  <si>
    <t>International Stem Cell Corp</t>
  </si>
  <si>
    <t>IDXG US Equity</t>
  </si>
  <si>
    <t>Interpace Biosciences Inc</t>
  </si>
  <si>
    <t>IPAH US Equity</t>
  </si>
  <si>
    <t>Interpharm Holdings Inc</t>
  </si>
  <si>
    <t>ITCI US Equity</t>
  </si>
  <si>
    <t>Intra-Cellular Therapies Inc</t>
  </si>
  <si>
    <t>ISRG US Equity</t>
  </si>
  <si>
    <t>Intuitive Surgical Inc</t>
  </si>
  <si>
    <t>IVVD US Equity</t>
  </si>
  <si>
    <t>Invivyd Inc</t>
  </si>
  <si>
    <t>IZTC US Equity</t>
  </si>
  <si>
    <t>IYXI US Equity</t>
  </si>
  <si>
    <t>Inyx Inc</t>
  </si>
  <si>
    <t>IOBT US Equity</t>
  </si>
  <si>
    <t>IO Biotech Inc</t>
  </si>
  <si>
    <t>IONS US Equity</t>
  </si>
  <si>
    <t>Ionis Pharmaceuticals Inc</t>
  </si>
  <si>
    <t>IOVA US Equity</t>
  </si>
  <si>
    <t>Iovance Biotherapeutics Inc</t>
  </si>
  <si>
    <t>IQV US Equity</t>
  </si>
  <si>
    <t>IQVIA Holdings Inc</t>
  </si>
  <si>
    <t>IRBS US Equity</t>
  </si>
  <si>
    <t>IR Biosciences Holdings Inc</t>
  </si>
  <si>
    <t>IRME US Equity</t>
  </si>
  <si>
    <t>IR-Med Inc</t>
  </si>
  <si>
    <t>IRMD US Equity</t>
  </si>
  <si>
    <t>iRadimed Corp</t>
  </si>
  <si>
    <t>IRTC US Equity</t>
  </si>
  <si>
    <t>iRhythm Technologies Inc</t>
  </si>
  <si>
    <t>IRIX US Equity</t>
  </si>
  <si>
    <t>IRIDEX Corp</t>
  </si>
  <si>
    <t>IRWD US Equity</t>
  </si>
  <si>
    <t>Ironwood Pharmaceuticals Inc</t>
  </si>
  <si>
    <t>ISPC US Equity</t>
  </si>
  <si>
    <t>iSpecimen Inc</t>
  </si>
  <si>
    <t>INLB US Equity</t>
  </si>
  <si>
    <t>Item 9 Labs Corp</t>
  </si>
  <si>
    <t>ITOS US Equity</t>
  </si>
  <si>
    <t>iTeos Therapeutics Inc</t>
  </si>
  <si>
    <t>ITRM US Equity</t>
  </si>
  <si>
    <t>Iterum Therapeutics plc</t>
  </si>
  <si>
    <t>ITNS US Equity</t>
  </si>
  <si>
    <t>ITonis Inc</t>
  </si>
  <si>
    <t>IVVI US Equity</t>
  </si>
  <si>
    <t>Ivivi Technologies Inc</t>
  </si>
  <si>
    <t>JNH CN Equity</t>
  </si>
  <si>
    <t>Jack Nathan Medical Corp</t>
  </si>
  <si>
    <t>JAGX US Equity</t>
  </si>
  <si>
    <t>Jaguar Health Inc</t>
  </si>
  <si>
    <t>JANX US Equity</t>
  </si>
  <si>
    <t>Janux Therapeutics Inc</t>
  </si>
  <si>
    <t>JSPR US Equity</t>
  </si>
  <si>
    <t>Jasper Therapeutics Inc</t>
  </si>
  <si>
    <t>JAZZ US Equity</t>
  </si>
  <si>
    <t>Jazz Pharmaceuticals PLC</t>
  </si>
  <si>
    <t>JTBK US Equity</t>
  </si>
  <si>
    <t>Jetblack Corp</t>
  </si>
  <si>
    <t>ZJYL US Equity</t>
  </si>
  <si>
    <t>Jin Medical International Ltd</t>
  </si>
  <si>
    <t>JNJ US Equity</t>
  </si>
  <si>
    <t>Johnson &amp; Johnson</t>
  </si>
  <si>
    <t>JYNT US Equity</t>
  </si>
  <si>
    <t>Joint Corp/The</t>
  </si>
  <si>
    <t>DERM US Equity</t>
  </si>
  <si>
    <t>Journey Medical Corp</t>
  </si>
  <si>
    <t>JUNS US Equity</t>
  </si>
  <si>
    <t>Jupiter Neurosciences Inc</t>
  </si>
  <si>
    <t>JUSH CN Equity</t>
  </si>
  <si>
    <t>Jushi Holdings Inc</t>
  </si>
  <si>
    <t>KAPA US Equity</t>
  </si>
  <si>
    <t>Kairos Pharma Ltd</t>
  </si>
  <si>
    <t>KALA US Equity</t>
  </si>
  <si>
    <t>KALA BIO Inc</t>
  </si>
  <si>
    <t>KLDO US Equity</t>
  </si>
  <si>
    <t>Kaleido Biosciences Inc</t>
  </si>
  <si>
    <t>KALY US Equity</t>
  </si>
  <si>
    <t>Kali Inc</t>
  </si>
  <si>
    <t>KALV US Equity</t>
  </si>
  <si>
    <t>KalVista Pharmaceuticals Inc</t>
  </si>
  <si>
    <t>KNE CN Equity</t>
  </si>
  <si>
    <t>Kane Biotech Inc</t>
  </si>
  <si>
    <t>KPTI US Equity</t>
  </si>
  <si>
    <t>Karyopharm Therapeutics Inc</t>
  </si>
  <si>
    <t>KAYS US Equity</t>
  </si>
  <si>
    <t>Kaya Holdings Inc</t>
  </si>
  <si>
    <t>KDA CN Equity</t>
  </si>
  <si>
    <t>KDA Group Inc</t>
  </si>
  <si>
    <t>KVMD US Equity</t>
  </si>
  <si>
    <t>Kelvin Medical Inc</t>
  </si>
  <si>
    <t>KENS US Equity</t>
  </si>
  <si>
    <t>Kenilworth Systems Corp</t>
  </si>
  <si>
    <t>KROS US Equity</t>
  </si>
  <si>
    <t>Keros Therapeutics Inc</t>
  </si>
  <si>
    <t>KEQU US Equity</t>
  </si>
  <si>
    <t>Kewaunee Scientific Corp</t>
  </si>
  <si>
    <t>KZR US Equity</t>
  </si>
  <si>
    <t>Kezar Life Sciences Inc</t>
  </si>
  <si>
    <t>KDCE US Equity</t>
  </si>
  <si>
    <t>Kid Castle Educational Corp</t>
  </si>
  <si>
    <t>KDLY US Equity</t>
  </si>
  <si>
    <t>Kindly MD Inc</t>
  </si>
  <si>
    <t>KANT US Equity</t>
  </si>
  <si>
    <t>Kineta Inc</t>
  </si>
  <si>
    <t>KNSA US Equity</t>
  </si>
  <si>
    <t>Kiniksa Pharmaceuticals Intern</t>
  </si>
  <si>
    <t>KPRX US Equity</t>
  </si>
  <si>
    <t>Kiora Pharmaceuticals Inc</t>
  </si>
  <si>
    <t>KRBP US Equity</t>
  </si>
  <si>
    <t>Kiromic BioPharma Inc</t>
  </si>
  <si>
    <t>KLTO US Equity</t>
  </si>
  <si>
    <t>Klotho Neurosciences Inc</t>
  </si>
  <si>
    <t>MCDA US Equity</t>
  </si>
  <si>
    <t>KMA Holding Inc</t>
  </si>
  <si>
    <t>KSI CN Equity</t>
  </si>
  <si>
    <t>kneat.com inc</t>
  </si>
  <si>
    <t>GUD CN Equity</t>
  </si>
  <si>
    <t>Knight Therapeutics Inc</t>
  </si>
  <si>
    <t>Know Labs Inc</t>
  </si>
  <si>
    <t>KOD US Equity</t>
  </si>
  <si>
    <t>Kodiak Sciences Inc</t>
  </si>
  <si>
    <t>KRRO US Equity</t>
  </si>
  <si>
    <t>Korro Bio Inc</t>
  </si>
  <si>
    <t>KRMD US Equity</t>
  </si>
  <si>
    <t>KORU Medical Systems Inc</t>
  </si>
  <si>
    <t>KOVR US Equity</t>
  </si>
  <si>
    <t>Korver Corp</t>
  </si>
  <si>
    <t>KRON US Equity</t>
  </si>
  <si>
    <t>Kronos Bio Inc</t>
  </si>
  <si>
    <t>KRTL US Equity</t>
  </si>
  <si>
    <t>KRTL Holding Group Inc</t>
  </si>
  <si>
    <t>KRYS US Equity</t>
  </si>
  <si>
    <t>Krystal Biotech Inc</t>
  </si>
  <si>
    <t>KPEA US Equity</t>
  </si>
  <si>
    <t>Kun Peng International Ltd</t>
  </si>
  <si>
    <t>KURA US Equity</t>
  </si>
  <si>
    <t>Kura Oncology Inc</t>
  </si>
  <si>
    <t>KYMR US Equity</t>
  </si>
  <si>
    <t>Kymera Therapeutics Inc</t>
  </si>
  <si>
    <t>KYTX US Equity</t>
  </si>
  <si>
    <t>Kyverna Therapeutics Inc</t>
  </si>
  <si>
    <t>LADX US Equity</t>
  </si>
  <si>
    <t>LadRx Corp</t>
  </si>
  <si>
    <t>LSB US Equity</t>
  </si>
  <si>
    <t>LakeShore Biopharma Co Ltd</t>
  </si>
  <si>
    <t>LTRN US Equity</t>
  </si>
  <si>
    <t>Lantern Pharma Inc</t>
  </si>
  <si>
    <t>LNTH US Equity</t>
  </si>
  <si>
    <t>Lantheus Holdings Inc</t>
  </si>
  <si>
    <t>LRMR US Equity</t>
  </si>
  <si>
    <t>Larimar Therapeutics Inc</t>
  </si>
  <si>
    <t>LVTX US Equity</t>
  </si>
  <si>
    <t>LAVA Therapeutics NV</t>
  </si>
  <si>
    <t>LPTX US Equity</t>
  </si>
  <si>
    <t>Leap Therapeutics Inc</t>
  </si>
  <si>
    <t>LEGN US Equity</t>
  </si>
  <si>
    <t>Legend Biotech Corp</t>
  </si>
  <si>
    <t>LMAT US Equity</t>
  </si>
  <si>
    <t>LeMaitre Vascular Inc</t>
  </si>
  <si>
    <t>LNSR US Equity</t>
  </si>
  <si>
    <t>LENSAR Inc</t>
  </si>
  <si>
    <t>LENZ US Equity</t>
  </si>
  <si>
    <t>LENZ Therapeutics Inc</t>
  </si>
  <si>
    <t>LEXX US Equity</t>
  </si>
  <si>
    <t>Lexaria Bioscience Corp</t>
  </si>
  <si>
    <t>LXEO US Equity</t>
  </si>
  <si>
    <t>Lexeo Therapeutics Inc</t>
  </si>
  <si>
    <t>LXRX US Equity</t>
  </si>
  <si>
    <t>Lexicon Pharmaceuticals Inc</t>
  </si>
  <si>
    <t>LFCR US Equity</t>
  </si>
  <si>
    <t>Lifecore Biomedical Inc</t>
  </si>
  <si>
    <t>LHRP US Equity</t>
  </si>
  <si>
    <t>LifeHouse Retirement Propertie</t>
  </si>
  <si>
    <t>LLBO US Equity</t>
  </si>
  <si>
    <t>Lifeline Biotechnologies Inc</t>
  </si>
  <si>
    <t>LFMD US Equity</t>
  </si>
  <si>
    <t>LifeMD Inc</t>
  </si>
  <si>
    <t>LFPI US Equity</t>
  </si>
  <si>
    <t>LifePoint Inc</t>
  </si>
  <si>
    <t>LFST US Equity</t>
  </si>
  <si>
    <t>LifeStance Health Group Inc</t>
  </si>
  <si>
    <t>LFWD US Equity</t>
  </si>
  <si>
    <t>Lifeward Ltd</t>
  </si>
  <si>
    <t>LGND US Equity</t>
  </si>
  <si>
    <t>Ligand Pharmaceuticals Inc</t>
  </si>
  <si>
    <t>ROYALTIES</t>
  </si>
  <si>
    <t>LCTX US Equity</t>
  </si>
  <si>
    <t>Lineage Cell Therapeutics Inc</t>
  </si>
  <si>
    <t>LIPO US Equity</t>
  </si>
  <si>
    <t>Lipella Pharmaceuticals Inc</t>
  </si>
  <si>
    <t>LPCN US Equity</t>
  </si>
  <si>
    <t>Lipocine Inc</t>
  </si>
  <si>
    <t>LQDA US Equity</t>
  </si>
  <si>
    <t>Liquidia Corp</t>
  </si>
  <si>
    <t>LSTA US Equity</t>
  </si>
  <si>
    <t>Lisata Therapeutics Inc</t>
  </si>
  <si>
    <t>LIVN US Equity</t>
  </si>
  <si>
    <t>LivaNova PLC</t>
  </si>
  <si>
    <t>LIXT US Equity</t>
  </si>
  <si>
    <t>Lixte Biotechnology Holdings I</t>
  </si>
  <si>
    <t>LGMK US Equity</t>
  </si>
  <si>
    <t>LogicMark Inc</t>
  </si>
  <si>
    <t>LDDD US Equity</t>
  </si>
  <si>
    <t>Longduoduo Co Ltd</t>
  </si>
  <si>
    <t>LGVN US Equity</t>
  </si>
  <si>
    <t>Longeveron Inc</t>
  </si>
  <si>
    <t>LPTI US Equity</t>
  </si>
  <si>
    <t>Longport Inc</t>
  </si>
  <si>
    <t>LTUS US Equity</t>
  </si>
  <si>
    <t>Lotus Pharmaceuticals Inc</t>
  </si>
  <si>
    <t>LOWL CN Equity</t>
  </si>
  <si>
    <t>Lowell Farms Inc</t>
  </si>
  <si>
    <t>LUCD US Equity</t>
  </si>
  <si>
    <t>Lucid Diagnostics Inc</t>
  </si>
  <si>
    <t>LUDG US Equity</t>
  </si>
  <si>
    <t>Ludwig Enterprises Inc</t>
  </si>
  <si>
    <t>LYEL US Equity</t>
  </si>
  <si>
    <t>Lyell Immunopharma Inc</t>
  </si>
  <si>
    <t>LYRA US Equity</t>
  </si>
  <si>
    <t>Lyra Therapeutics Inc</t>
  </si>
  <si>
    <t>WUHN US Equity</t>
  </si>
  <si>
    <t>M2bio Sciences Inc</t>
  </si>
  <si>
    <t>MBCI US Equity</t>
  </si>
  <si>
    <t>MabCure Inc</t>
  </si>
  <si>
    <t>MGNX US Equity</t>
  </si>
  <si>
    <t>MacroGenics Inc</t>
  </si>
  <si>
    <t>MDGL US Equity</t>
  </si>
  <si>
    <t>Madrigal Pharmaceuticals Inc</t>
  </si>
  <si>
    <t>MAIA US Equity</t>
  </si>
  <si>
    <t>MAIA Biotechnology Inc</t>
  </si>
  <si>
    <t>MYNZ US Equity</t>
  </si>
  <si>
    <t>Mainz Biomed NV</t>
  </si>
  <si>
    <t>MHTX US Equity</t>
  </si>
  <si>
    <t>Manhattan Scientifics Inc</t>
  </si>
  <si>
    <t>MNKD US Equity</t>
  </si>
  <si>
    <t>MannKind Corp</t>
  </si>
  <si>
    <t>MNZO US Equity</t>
  </si>
  <si>
    <t>Manzo Pharmaceuticals Inc</t>
  </si>
  <si>
    <t>MGW CN Equity</t>
  </si>
  <si>
    <t>Maple Leaf Green World Inc</t>
  </si>
  <si>
    <t>MRVI US Equity</t>
  </si>
  <si>
    <t>Maravai LifeSciences Holdings</t>
  </si>
  <si>
    <t>MRMD US Equity</t>
  </si>
  <si>
    <t>MariMed Inc</t>
  </si>
  <si>
    <t>MRNS US Equity</t>
  </si>
  <si>
    <t>Marinus Pharmaceuticals Inc</t>
  </si>
  <si>
    <t>MRZM US Equity</t>
  </si>
  <si>
    <t>Marizyme Inc</t>
  </si>
  <si>
    <t>MRKR US Equity</t>
  </si>
  <si>
    <t>Marker Therapeutics Inc</t>
  </si>
  <si>
    <t>MASI US Equity</t>
  </si>
  <si>
    <t>Masimo Corp</t>
  </si>
  <si>
    <t>MTNB US Equity</t>
  </si>
  <si>
    <t>Matinas BioPharma Holdings Inc</t>
  </si>
  <si>
    <t>MBX US Equity</t>
  </si>
  <si>
    <t>MBX Biosciences Inc</t>
  </si>
  <si>
    <t>MCK US Equity</t>
  </si>
  <si>
    <t>McKesson Corp</t>
  </si>
  <si>
    <t>MDWK US Equity</t>
  </si>
  <si>
    <t>MDwerks Inc</t>
  </si>
  <si>
    <t>MDXH US Equity</t>
  </si>
  <si>
    <t>MDxHealth SA</t>
  </si>
  <si>
    <t>MDP CN Equity</t>
  </si>
  <si>
    <t>Medexus Pharmaceuticals Inc</t>
  </si>
  <si>
    <t>MDIN US Equity</t>
  </si>
  <si>
    <t>MedGen Inc</t>
  </si>
  <si>
    <t>MDCE US Equity</t>
  </si>
  <si>
    <t>Medical Care Technologies Inc</t>
  </si>
  <si>
    <t>MCTH US Equity</t>
  </si>
  <si>
    <t>Medical Connections Holdings I</t>
  </si>
  <si>
    <t>MDLH US Equity</t>
  </si>
  <si>
    <t>Medical International Technolo</t>
  </si>
  <si>
    <t>MJNA US Equity</t>
  </si>
  <si>
    <t>Medical Marijuana Inc</t>
  </si>
  <si>
    <t>MDCN US Equity</t>
  </si>
  <si>
    <t>Medican Enterprises Inc</t>
  </si>
  <si>
    <t>MDNA CN Equity</t>
  </si>
  <si>
    <t>Medicenna Therapeutics Corp</t>
  </si>
  <si>
    <t>SHWZ US Equity</t>
  </si>
  <si>
    <t>Medicine Man Technologies Inc</t>
  </si>
  <si>
    <t>MNOV US Equity</t>
  </si>
  <si>
    <t>MediciNova Inc</t>
  </si>
  <si>
    <t>MPH CN Equity</t>
  </si>
  <si>
    <t>Medicure Inc</t>
  </si>
  <si>
    <t>MDCX CN Equity</t>
  </si>
  <si>
    <t>Medicus Pharma Ltd</t>
  </si>
  <si>
    <t>LABS CN Equity</t>
  </si>
  <si>
    <t>MediPharm Labs Corp</t>
  </si>
  <si>
    <t>MDIT US Equity</t>
  </si>
  <si>
    <t>MEDITE Cancer Diagnostics Inc</t>
  </si>
  <si>
    <t>MDWD US Equity</t>
  </si>
  <si>
    <t>MediWound Ltd</t>
  </si>
  <si>
    <t>MDXL US Equity</t>
  </si>
  <si>
    <t>MediXall Group Inc</t>
  </si>
  <si>
    <t>MIR CN Equity</t>
  </si>
  <si>
    <t>MedMira Inc</t>
  </si>
  <si>
    <t>MEDP US Equity</t>
  </si>
  <si>
    <t>Medpace Holdings Inc</t>
  </si>
  <si>
    <t>MDT US Equity</t>
  </si>
  <si>
    <t>Medtronic PLC</t>
  </si>
  <si>
    <t>MDX CN Equity</t>
  </si>
  <si>
    <t>MedX Health Corp</t>
  </si>
  <si>
    <t>MGON US Equity</t>
  </si>
  <si>
    <t>Megola Inc</t>
  </si>
  <si>
    <t>MEIP US Equity</t>
  </si>
  <si>
    <t>MEI Pharma Inc</t>
  </si>
  <si>
    <t>MHUA US Equity</t>
  </si>
  <si>
    <t>Meihua International Medical T</t>
  </si>
  <si>
    <t>MGTX US Equity</t>
  </si>
  <si>
    <t>MeiraGTx Holdings plc</t>
  </si>
  <si>
    <t>MRPI US Equity</t>
  </si>
  <si>
    <t>Mera Pharmaceuticals Inc</t>
  </si>
  <si>
    <t>MRK US Equity</t>
  </si>
  <si>
    <t>Merck &amp; Co Inc</t>
  </si>
  <si>
    <t>MREO US Equity</t>
  </si>
  <si>
    <t>Mereo Biopharma Group PLC</t>
  </si>
  <si>
    <t>MRDH US Equity</t>
  </si>
  <si>
    <t>Meridian Holdings Inc</t>
  </si>
  <si>
    <t>MMSI US Equity</t>
  </si>
  <si>
    <t>Merit Medical Systems Inc</t>
  </si>
  <si>
    <t>MRSN US Equity</t>
  </si>
  <si>
    <t>Mersana Therapeutics Inc</t>
  </si>
  <si>
    <t>MRUS US Equity</t>
  </si>
  <si>
    <t>Merus NV</t>
  </si>
  <si>
    <t>MLAB US Equity</t>
  </si>
  <si>
    <t>Mesa Laboratories Inc</t>
  </si>
  <si>
    <t>MGX US Equity</t>
  </si>
  <si>
    <t>Metagenomi Inc</t>
  </si>
  <si>
    <t>MTST US Equity</t>
  </si>
  <si>
    <t>MetaStat Inc</t>
  </si>
  <si>
    <t>MTVA US Equity</t>
  </si>
  <si>
    <t>MetaVia Inc</t>
  </si>
  <si>
    <t>MTD US Equity</t>
  </si>
  <si>
    <t>Mettler-Toledo International I</t>
  </si>
  <si>
    <t>MBX CN Equity</t>
  </si>
  <si>
    <t>Microbix Biosystems Inc</t>
  </si>
  <si>
    <t>MBOT US Equity</t>
  </si>
  <si>
    <t>Microbot Medical Inc</t>
  </si>
  <si>
    <t>MIST US Equity</t>
  </si>
  <si>
    <t>Milestone Pharmaceuticals Inc</t>
  </si>
  <si>
    <t>MLSS US Equity</t>
  </si>
  <si>
    <t>Milestone Scientific Inc</t>
  </si>
  <si>
    <t>MDXG US Equity</t>
  </si>
  <si>
    <t>MiMedx Group Inc</t>
  </si>
  <si>
    <t>ACUTE CARE</t>
  </si>
  <si>
    <t>MNMD US Equity</t>
  </si>
  <si>
    <t>Mind Medicine MindMed Inc</t>
  </si>
  <si>
    <t>VOIS US Equity</t>
  </si>
  <si>
    <t>Mind Solutions Inc/United Stat</t>
  </si>
  <si>
    <t>MLYS US Equity</t>
  </si>
  <si>
    <t>Mineralys Therapeutics Inc</t>
  </si>
  <si>
    <t>NERV US Equity</t>
  </si>
  <si>
    <t>Minerva Neurosciences Inc</t>
  </si>
  <si>
    <t>UTRS US Equity</t>
  </si>
  <si>
    <t>Minerva Surgical Inc</t>
  </si>
  <si>
    <t>INKT US Equity</t>
  </si>
  <si>
    <t>MiNK Therapeutics Inc</t>
  </si>
  <si>
    <t>MIRA US Equity</t>
  </si>
  <si>
    <t>Mira Pharmaceuticals Inc</t>
  </si>
  <si>
    <t>MIRM US Equity</t>
  </si>
  <si>
    <t>Mirum Pharmaceuticals Inc</t>
  </si>
  <si>
    <t>MITI US Equity</t>
  </si>
  <si>
    <t>Mitesco Inc</t>
  </si>
  <si>
    <t>MJNE US Equity</t>
  </si>
  <si>
    <t>MJ Holdings Inc</t>
  </si>
  <si>
    <t>MNDR US Equity</t>
  </si>
  <si>
    <t>Mobile-Health Network Solution</t>
  </si>
  <si>
    <t>MRNA US Equity</t>
  </si>
  <si>
    <t>Moderna Inc</t>
  </si>
  <si>
    <t>MODV US Equity</t>
  </si>
  <si>
    <t>ModivCare Inc</t>
  </si>
  <si>
    <t>MODD US Equity</t>
  </si>
  <si>
    <t>Modular Medical Inc</t>
  </si>
  <si>
    <t>MTEM US Equity</t>
  </si>
  <si>
    <t>Molecular Templates Inc</t>
  </si>
  <si>
    <t>MLCL CN Equity</t>
  </si>
  <si>
    <t>Molecule Holdings Inc</t>
  </si>
  <si>
    <t>MBRX US Equity</t>
  </si>
  <si>
    <t>Moleculin Biotech Inc</t>
  </si>
  <si>
    <t>MOH US Equity</t>
  </si>
  <si>
    <t>Molina Healthcare Inc</t>
  </si>
  <si>
    <t>MSTF US Equity</t>
  </si>
  <si>
    <t>Monarch Staffing Inc</t>
  </si>
  <si>
    <t>MGRM US Equity</t>
  </si>
  <si>
    <t>Monogram Technologies Inc</t>
  </si>
  <si>
    <t>MNPR US Equity</t>
  </si>
  <si>
    <t>Monopar Therapeutics Inc</t>
  </si>
  <si>
    <t>GLUE US Equity</t>
  </si>
  <si>
    <t>Monte Rosa Therapeutics Inc</t>
  </si>
  <si>
    <t>MLTX US Equity</t>
  </si>
  <si>
    <t>MoonLake Immunotherapeutics</t>
  </si>
  <si>
    <t>MOTS US Equity</t>
  </si>
  <si>
    <t>Motus GI Holdings Inc</t>
  </si>
  <si>
    <t>MSPR US Equity</t>
  </si>
  <si>
    <t>MSP Recovery Inc</t>
  </si>
  <si>
    <t>MTLC CN Equity</t>
  </si>
  <si>
    <t>MTL Cannabis Corp</t>
  </si>
  <si>
    <t>MCET US Equity</t>
  </si>
  <si>
    <t>MultiCell Technologies Inc</t>
  </si>
  <si>
    <t>MCIC US Equity</t>
  </si>
  <si>
    <t>Multicorp International Inc</t>
  </si>
  <si>
    <t>MPLN US Equity</t>
  </si>
  <si>
    <t>Multiplan Corp</t>
  </si>
  <si>
    <t>MURA US Equity</t>
  </si>
  <si>
    <t>Mural Oncology PLC</t>
  </si>
  <si>
    <t>MBIO US Equity</t>
  </si>
  <si>
    <t>Mustang Bio Inc</t>
  </si>
  <si>
    <t>MYCO CN Equity</t>
  </si>
  <si>
    <t>Mydecine Innovations Group Inc</t>
  </si>
  <si>
    <t>MYMX US Equity</t>
  </si>
  <si>
    <t>Mymetics Corp</t>
  </si>
  <si>
    <t>MYO US Equity</t>
  </si>
  <si>
    <t>Myomo Inc</t>
  </si>
  <si>
    <t>MYRX US Equity</t>
  </si>
  <si>
    <t>Myrexis Inc</t>
  </si>
  <si>
    <t>MYGN US Equity</t>
  </si>
  <si>
    <t>Myriad Genetics Inc</t>
  </si>
  <si>
    <t>MSTH US Equity</t>
  </si>
  <si>
    <t>Mystic Holdings Inc</t>
  </si>
  <si>
    <t>NSCI CN Equity</t>
  </si>
  <si>
    <t>Nanalysis Scientific Corp</t>
  </si>
  <si>
    <t>NNOX US Equity</t>
  </si>
  <si>
    <t>Nano-X Imaging Ltd</t>
  </si>
  <si>
    <t>NNBP US Equity</t>
  </si>
  <si>
    <t>Nanobac Pharmaceuticals Inc</t>
  </si>
  <si>
    <t>NNLX US Equity</t>
  </si>
  <si>
    <t>NanoLogix Inc</t>
  </si>
  <si>
    <t>NNMX US Equity</t>
  </si>
  <si>
    <t>Nanomix Corp</t>
  </si>
  <si>
    <t>NSHS CN Equity</t>
  </si>
  <si>
    <t>NanoSphere Health Sciences Inc</t>
  </si>
  <si>
    <t>NAOV US Equity</t>
  </si>
  <si>
    <t>NanoVibronix Inc</t>
  </si>
  <si>
    <t>NNVC US Equity</t>
  </si>
  <si>
    <t>NanoViricides Inc</t>
  </si>
  <si>
    <t>NHIQ US Equity</t>
  </si>
  <si>
    <t>NantHealth Inc</t>
  </si>
  <si>
    <t>NTRA US Equity</t>
  </si>
  <si>
    <t>Natera Inc</t>
  </si>
  <si>
    <t>NGRC US Equity</t>
  </si>
  <si>
    <t>National Graphite Corp</t>
  </si>
  <si>
    <t>NHC US Equity</t>
  </si>
  <si>
    <t>National HealthCare Corp</t>
  </si>
  <si>
    <t>NRC US Equity</t>
  </si>
  <si>
    <t>National Research Corp</t>
  </si>
  <si>
    <t>NHEL US Equity</t>
  </si>
  <si>
    <t>Natural Health Farm Holdings I</t>
  </si>
  <si>
    <t>NAUT US Equity</t>
  </si>
  <si>
    <t>Nautilus Biotechnology Inc</t>
  </si>
  <si>
    <t>NAVB US Equity</t>
  </si>
  <si>
    <t>Navidea Biopharmaceuticals Inc</t>
  </si>
  <si>
    <t>NAYA US Equity</t>
  </si>
  <si>
    <t>NAYA Biosciences Inc</t>
  </si>
  <si>
    <t>NKTR US Equity</t>
  </si>
  <si>
    <t>Nektar Therapeutics</t>
  </si>
  <si>
    <t>NMRD US Equity</t>
  </si>
  <si>
    <t>Nemaura Medical Inc</t>
  </si>
  <si>
    <t>NEOG US Equity</t>
  </si>
  <si>
    <t>Neogen Corp</t>
  </si>
  <si>
    <t>NEO US Equity</t>
  </si>
  <si>
    <t>NeoGenomics Inc</t>
  </si>
  <si>
    <t>NGEN CN Equity</t>
  </si>
  <si>
    <t>NervGen Pharma Corp</t>
  </si>
  <si>
    <t>NMXS US Equity</t>
  </si>
  <si>
    <t>Net Medical Xpress Solutions I</t>
  </si>
  <si>
    <t>NTHD US Equity</t>
  </si>
  <si>
    <t>NetImpact Holdings Inc</t>
  </si>
  <si>
    <t>AIAI CN Equity</t>
  </si>
  <si>
    <t>NetraMark Holdings Inc</t>
  </si>
  <si>
    <t>NEUE US Equity</t>
  </si>
  <si>
    <t>NeueHealth Inc</t>
  </si>
  <si>
    <t>NMRA US Equity</t>
  </si>
  <si>
    <t>Neumora Therapeutics Inc</t>
  </si>
  <si>
    <t>NPTH CN Equity</t>
  </si>
  <si>
    <t>NeuPath Health Inc</t>
  </si>
  <si>
    <t>NRXS US Equity</t>
  </si>
  <si>
    <t>Neuraxis Inc</t>
  </si>
  <si>
    <t>NTII US Equity</t>
  </si>
  <si>
    <t>Neurobiological Technologies I</t>
  </si>
  <si>
    <t>NBIX US Equity</t>
  </si>
  <si>
    <t>Neurocrine Biosciences Inc</t>
  </si>
  <si>
    <t>NGNE US Equity</t>
  </si>
  <si>
    <t>Neurogene Inc</t>
  </si>
  <si>
    <t>NURO US Equity</t>
  </si>
  <si>
    <t>NeuroMetrix Inc</t>
  </si>
  <si>
    <t>STIM US Equity</t>
  </si>
  <si>
    <t>Neuronetics Inc</t>
  </si>
  <si>
    <t>NMTC US Equity</t>
  </si>
  <si>
    <t>NeuroOne Medical Technologies</t>
  </si>
  <si>
    <t>NPCE US Equity</t>
  </si>
  <si>
    <t>NeuroPace Inc</t>
  </si>
  <si>
    <t>NRSN US Equity</t>
  </si>
  <si>
    <t>NeuroSense Therapeutics Ltd</t>
  </si>
  <si>
    <t>NVRO US Equity</t>
  </si>
  <si>
    <t>Nevro Corp</t>
  </si>
  <si>
    <t>BBAL US Equity</t>
  </si>
  <si>
    <t>New York Health Care Inc</t>
  </si>
  <si>
    <t>NAMS US Equity</t>
  </si>
  <si>
    <t>Newamsterdam Pharma Co NV</t>
  </si>
  <si>
    <t>NWCI US Equity</t>
  </si>
  <si>
    <t>NewCardio Inc</t>
  </si>
  <si>
    <t>NIVF US Equity</t>
  </si>
  <si>
    <t>NewGenIvf Group Ltd</t>
  </si>
  <si>
    <t>NEWU CN Equity</t>
  </si>
  <si>
    <t>Newtopia Inc</t>
  </si>
  <si>
    <t>NXL US Equity</t>
  </si>
  <si>
    <t>Nexalin Technology Inc</t>
  </si>
  <si>
    <t>NXGL US Equity</t>
  </si>
  <si>
    <t>Nexgel Inc</t>
  </si>
  <si>
    <t>NXEN US Equity</t>
  </si>
  <si>
    <t>Nexien BioPharma Inc</t>
  </si>
  <si>
    <t>NEXI US Equity</t>
  </si>
  <si>
    <t>NexImmune Inc</t>
  </si>
  <si>
    <t>NXTC US Equity</t>
  </si>
  <si>
    <t>NextCure Inc</t>
  </si>
  <si>
    <t>OILS CN Equity</t>
  </si>
  <si>
    <t>Nextleaf Solutions Ltd</t>
  </si>
  <si>
    <t>NIKA US Equity</t>
  </si>
  <si>
    <t>Nika Pharmaceuticals Inc</t>
  </si>
  <si>
    <t>NKTX US Equity</t>
  </si>
  <si>
    <t>Nkarta Inc</t>
  </si>
  <si>
    <t>NKGN US Equity</t>
  </si>
  <si>
    <t>NKGen Biotech Inc</t>
  </si>
  <si>
    <t>NLSP US Equity</t>
  </si>
  <si>
    <t>NLS Pharmaceutics Ltd</t>
  </si>
  <si>
    <t>NIMU US Equity</t>
  </si>
  <si>
    <t>Non-Invasive Monitoring System</t>
  </si>
  <si>
    <t>NWBO US Equity</t>
  </si>
  <si>
    <t>Northwest Biotherapeutics Inc</t>
  </si>
  <si>
    <t>NOUV US Equity</t>
  </si>
  <si>
    <t>Nouveau Life Pharmaceuticals I</t>
  </si>
  <si>
    <t>NLH CN Equity</t>
  </si>
  <si>
    <t>Nova Leap Health Corp</t>
  </si>
  <si>
    <t>NBY US Equity</t>
  </si>
  <si>
    <t>NovaBay Pharmaceuticals Inc</t>
  </si>
  <si>
    <t>XSNX US Equity</t>
  </si>
  <si>
    <t>Novaccess Global Inc</t>
  </si>
  <si>
    <t>NOHO US Equity</t>
  </si>
  <si>
    <t>Novation Holdings Inc</t>
  </si>
  <si>
    <t>NVAX US Equity</t>
  </si>
  <si>
    <t>Novavax Inc</t>
  </si>
  <si>
    <t>NSTM US Equity</t>
  </si>
  <si>
    <t>NovelStem International Corp</t>
  </si>
  <si>
    <t>NVOS US Equity</t>
  </si>
  <si>
    <t>Novo Integrated Sciences Inc</t>
  </si>
  <si>
    <t>NVCR US Equity</t>
  </si>
  <si>
    <t>Novocure Ltd</t>
  </si>
  <si>
    <t>NRXP US Equity</t>
  </si>
  <si>
    <t>NRX Pharmaceuticals Inc</t>
  </si>
  <si>
    <t>NCNA US Equity</t>
  </si>
  <si>
    <t>NuCana PLC</t>
  </si>
  <si>
    <t>NUMI CN Equity</t>
  </si>
  <si>
    <t>Numinus Wellness Inc</t>
  </si>
  <si>
    <t>NRIX US Equity</t>
  </si>
  <si>
    <t>Nurix Therapeutics Inc</t>
  </si>
  <si>
    <t>NUTX US Equity</t>
  </si>
  <si>
    <t>Nutex Health Inc</t>
  </si>
  <si>
    <t>NPHC US Equity</t>
  </si>
  <si>
    <t>Nutra Pharma Corp</t>
  </si>
  <si>
    <t>NTRB US Equity</t>
  </si>
  <si>
    <t>Nutriband Inc</t>
  </si>
  <si>
    <t>NUVL US Equity</t>
  </si>
  <si>
    <t>Nuvalent Inc</t>
  </si>
  <si>
    <t>NUVB US Equity</t>
  </si>
  <si>
    <t>Nuvation Bio Inc</t>
  </si>
  <si>
    <t>NVCT US Equity</t>
  </si>
  <si>
    <t>Nuvectis Pharma Inc</t>
  </si>
  <si>
    <t>NUWE US Equity</t>
  </si>
  <si>
    <t>Nuwellis Inc</t>
  </si>
  <si>
    <t>OCEA US Equity</t>
  </si>
  <si>
    <t>Ocean Biomedical Inc</t>
  </si>
  <si>
    <t>OCGN US Equity</t>
  </si>
  <si>
    <t>Ocugen Inc</t>
  </si>
  <si>
    <t>OCUL US Equity</t>
  </si>
  <si>
    <t>Ocular Therapeutix Inc</t>
  </si>
  <si>
    <t>OCS US Equity</t>
  </si>
  <si>
    <t>Oculis Holding AG</t>
  </si>
  <si>
    <t>OTC CN Equity</t>
  </si>
  <si>
    <t>Ocumetics Technology Corp</t>
  </si>
  <si>
    <t>OKYO US Equity</t>
  </si>
  <si>
    <t>OKYO Pharma Ltd</t>
  </si>
  <si>
    <t>OLMA US Equity</t>
  </si>
  <si>
    <t>Olema Pharmaceuticals Inc</t>
  </si>
  <si>
    <t>OMGA US Equity</t>
  </si>
  <si>
    <t>Omega Therapeutics Inc</t>
  </si>
  <si>
    <t>OMER US Equity</t>
  </si>
  <si>
    <t>Omeros Corp</t>
  </si>
  <si>
    <t>OMWS US Equity</t>
  </si>
  <si>
    <t>Omnia Wellness Inc</t>
  </si>
  <si>
    <t>OABI US Equity</t>
  </si>
  <si>
    <t>OmniAb Inc</t>
  </si>
  <si>
    <t>CDMO</t>
  </si>
  <si>
    <t>OMCL US Equity</t>
  </si>
  <si>
    <t>Omnicell Inc</t>
  </si>
  <si>
    <t>OMMH US Equity</t>
  </si>
  <si>
    <t>Omnimmune Holdings Inc</t>
  </si>
  <si>
    <t>OCX US Equity</t>
  </si>
  <si>
    <t>Oncocyte Corp</t>
  </si>
  <si>
    <t>OCLG US Equity</t>
  </si>
  <si>
    <t>Oncologix Tech Inc</t>
  </si>
  <si>
    <t>TOI US Equity</t>
  </si>
  <si>
    <t>Oncology Institute Inc/The</t>
  </si>
  <si>
    <t>ONPH US Equity</t>
  </si>
  <si>
    <t>Oncology Pharma Inc</t>
  </si>
  <si>
    <t>ONC CN Equity</t>
  </si>
  <si>
    <t>Oncolytics Biotech Inc</t>
  </si>
  <si>
    <t>ONCO US Equity</t>
  </si>
  <si>
    <t>Onconetix Inc</t>
  </si>
  <si>
    <t>OTLC US Equity</t>
  </si>
  <si>
    <t>Oncotelic Therapeutics Inc</t>
  </si>
  <si>
    <t>OVIT US Equity</t>
  </si>
  <si>
    <t>OncoVista Innovative Therapies</t>
  </si>
  <si>
    <t>OWPC US Equity</t>
  </si>
  <si>
    <t>One World Products Inc</t>
  </si>
  <si>
    <t>OLMM US Equity</t>
  </si>
  <si>
    <t>OneLife Technologies Corp</t>
  </si>
  <si>
    <t>ONMD US Equity</t>
  </si>
  <si>
    <t>OneMedNet Corp</t>
  </si>
  <si>
    <t>OKUR US Equity</t>
  </si>
  <si>
    <t>OnKure Therapeutics Inc</t>
  </si>
  <si>
    <t>OTRK US Equity</t>
  </si>
  <si>
    <t>Ontrak Inc</t>
  </si>
  <si>
    <t>OPGN US Equity</t>
  </si>
  <si>
    <t>OpGen Inc</t>
  </si>
  <si>
    <t>OPK US Equity</t>
  </si>
  <si>
    <t>OPKO Health Inc</t>
  </si>
  <si>
    <t>OPRX US Equity</t>
  </si>
  <si>
    <t>OptimizeRx Corp</t>
  </si>
  <si>
    <t>OPTN US Equity</t>
  </si>
  <si>
    <t>Optinose Inc</t>
  </si>
  <si>
    <t>OPCH US Equity</t>
  </si>
  <si>
    <t>Option Care Health Inc</t>
  </si>
  <si>
    <t>IRD US Equity</t>
  </si>
  <si>
    <t>Opus Genetics Inc</t>
  </si>
  <si>
    <t>OGEN US Equity</t>
  </si>
  <si>
    <t>Oragenics Inc</t>
  </si>
  <si>
    <t>ORMP US Equity</t>
  </si>
  <si>
    <t>Oramed Pharmaceuticals Inc</t>
  </si>
  <si>
    <t>OSUR US Equity</t>
  </si>
  <si>
    <t>OraSure Technologies Inc</t>
  </si>
  <si>
    <t>OBIO US Equity</t>
  </si>
  <si>
    <t>Orchestra BioMed Holdings Inc</t>
  </si>
  <si>
    <t>OGI CN Equity</t>
  </si>
  <si>
    <t>Organigram Holdings Inc</t>
  </si>
  <si>
    <t>ORGO US Equity</t>
  </si>
  <si>
    <t>Organogenesis Holdings Inc</t>
  </si>
  <si>
    <t>OGN US Equity</t>
  </si>
  <si>
    <t>Organon &amp; Co</t>
  </si>
  <si>
    <t>ONVO US Equity</t>
  </si>
  <si>
    <t>Organovo Holdings Inc</t>
  </si>
  <si>
    <t>ORGS US Equity</t>
  </si>
  <si>
    <t>Orgenesis Inc</t>
  </si>
  <si>
    <t>ORHB US Equity</t>
  </si>
  <si>
    <t>ORHUB Inc</t>
  </si>
  <si>
    <t>ORIC US Equity</t>
  </si>
  <si>
    <t>ORIC Pharmaceuticals Inc</t>
  </si>
  <si>
    <t>OFIX US Equity</t>
  </si>
  <si>
    <t>Orthofix Medical Inc</t>
  </si>
  <si>
    <t>OMRX US Equity</t>
  </si>
  <si>
    <t>Orthometrix Inc</t>
  </si>
  <si>
    <t>KIDS US Equity</t>
  </si>
  <si>
    <t>OrthoPediatrics Corp</t>
  </si>
  <si>
    <t>ORKA US Equity</t>
  </si>
  <si>
    <t>Oruka Therapeutics Inc</t>
  </si>
  <si>
    <t>OSTX US Equity</t>
  </si>
  <si>
    <t>OS Therapies Inc</t>
  </si>
  <si>
    <t>OTLK US Equity</t>
  </si>
  <si>
    <t>Outlook Therapeutics Inc</t>
  </si>
  <si>
    <t>OVID US Equity</t>
  </si>
  <si>
    <t>Ovid therapeutics Inc</t>
  </si>
  <si>
    <t>OMI US Equity</t>
  </si>
  <si>
    <t>Owens &amp; Minor Inc</t>
  </si>
  <si>
    <t>OWLT US Equity</t>
  </si>
  <si>
    <t>Owlet Inc</t>
  </si>
  <si>
    <t>PIII US Equity</t>
  </si>
  <si>
    <t>P3 Health Partners Inc</t>
  </si>
  <si>
    <t>PACB US Equity</t>
  </si>
  <si>
    <t>Pacific Biosciences of Califor</t>
  </si>
  <si>
    <t>PFHO US Equity</t>
  </si>
  <si>
    <t>Pacific Health Care Organizati</t>
  </si>
  <si>
    <t>PCRX US Equity</t>
  </si>
  <si>
    <t>Pacira BioSciences Inc</t>
  </si>
  <si>
    <t>PACS US Equity</t>
  </si>
  <si>
    <t>PACS Group Inc</t>
  </si>
  <si>
    <t>PRFX US Equity</t>
  </si>
  <si>
    <t>PainReform Ltd</t>
  </si>
  <si>
    <t>PTN US Equity</t>
  </si>
  <si>
    <t>Palatin Technologies Inc</t>
  </si>
  <si>
    <t>PALI US Equity</t>
  </si>
  <si>
    <t>Palisade Bio Inc</t>
  </si>
  <si>
    <t>Palvella Therapeutics Inc</t>
  </si>
  <si>
    <t>PLSH US Equity</t>
  </si>
  <si>
    <t>Panacea Life Sciences Hldgs In</t>
  </si>
  <si>
    <t>PANC US Equity</t>
  </si>
  <si>
    <t>Panacos Pharmaceuticals Inc</t>
  </si>
  <si>
    <t>PBLA US Equity</t>
  </si>
  <si>
    <t>Panbela Therapeutics Inc</t>
  </si>
  <si>
    <t>PDMI US Equity</t>
  </si>
  <si>
    <t>Paradigm Medical Industries In</t>
  </si>
  <si>
    <t>FNA US Equity</t>
  </si>
  <si>
    <t>Paragon 28 Inc</t>
  </si>
  <si>
    <t>KTTA US Equity</t>
  </si>
  <si>
    <t>Pasithea Therapeutics Corp</t>
  </si>
  <si>
    <t>PASG US Equity</t>
  </si>
  <si>
    <t>Passage Bio Inc</t>
  </si>
  <si>
    <t>PFND US Equity</t>
  </si>
  <si>
    <t>Pathfinder Cell Therapy Inc</t>
  </si>
  <si>
    <t>PDCO US Equity</t>
  </si>
  <si>
    <t>Patterson Cos Inc</t>
  </si>
  <si>
    <t>PAVM US Equity</t>
  </si>
  <si>
    <t>PAVmed Inc</t>
  </si>
  <si>
    <t>PXMD US Equity</t>
  </si>
  <si>
    <t>PaxMedica Inc</t>
  </si>
  <si>
    <t>PDRX US Equity</t>
  </si>
  <si>
    <t>Pd-Rx Pharmaceuticals Inc</t>
  </si>
  <si>
    <t>PDSB US Equity</t>
  </si>
  <si>
    <t>PDS Biotechnology Corp</t>
  </si>
  <si>
    <t>PNTG US Equity</t>
  </si>
  <si>
    <t>Pennant Group Inc/The</t>
  </si>
  <si>
    <t>PEN US Equity</t>
  </si>
  <si>
    <t>Penumbra Inc</t>
  </si>
  <si>
    <t>PEPG US Equity</t>
  </si>
  <si>
    <t>PepGen Inc</t>
  </si>
  <si>
    <t>Performant Healthcare Inc</t>
  </si>
  <si>
    <t>PINK CN Equity</t>
  </si>
  <si>
    <t>Perimeter Medical Imaging AI I</t>
  </si>
  <si>
    <t>PRGO US Equity</t>
  </si>
  <si>
    <t>Perrigo Co PLC</t>
  </si>
  <si>
    <t>OTC</t>
  </si>
  <si>
    <t>PSNL US Equity</t>
  </si>
  <si>
    <t>Personalis Inc</t>
  </si>
  <si>
    <t>CATX US Equity</t>
  </si>
  <si>
    <t>Perspective Therapeutics Inc</t>
  </si>
  <si>
    <t>PTPI US Equity</t>
  </si>
  <si>
    <t>Petros Pharmaceuticals Inc</t>
  </si>
  <si>
    <t>PETV US Equity</t>
  </si>
  <si>
    <t>PetVivo Holdings Inc</t>
  </si>
  <si>
    <t>PFE US Equity</t>
  </si>
  <si>
    <t>Pfizer Inc</t>
  </si>
  <si>
    <t>PBSV US Equity</t>
  </si>
  <si>
    <t>Pharma-Bio Serv Inc</t>
  </si>
  <si>
    <t>PCLO CN Equity</t>
  </si>
  <si>
    <t>PharmaCielo Ltd</t>
  </si>
  <si>
    <t>PHMB US Equity</t>
  </si>
  <si>
    <t>PharmaCom BioVet Inc</t>
  </si>
  <si>
    <t>PMCB US Equity</t>
  </si>
  <si>
    <t>PharmaCyte Biotech Inc</t>
  </si>
  <si>
    <t>PHRX US Equity</t>
  </si>
  <si>
    <t>Pharmagen Inc</t>
  </si>
  <si>
    <t>PHBI US Equity</t>
  </si>
  <si>
    <t>Pharmagreen Biotech Inc</t>
  </si>
  <si>
    <t>PHVS US Equity</t>
  </si>
  <si>
    <t>Pharvaris NV</t>
  </si>
  <si>
    <t>PHAT US Equity</t>
  </si>
  <si>
    <t>Phathom Pharmaceuticals Inc</t>
  </si>
  <si>
    <t>PTHL US Equity</t>
  </si>
  <si>
    <t>Pheton Holdings Ltd</t>
  </si>
  <si>
    <t>PAHC US Equity</t>
  </si>
  <si>
    <t>Phibro Animal Health Corp</t>
  </si>
  <si>
    <t>PHIO US Equity</t>
  </si>
  <si>
    <t>Phio Pharmaceuticals Corp</t>
  </si>
  <si>
    <t>PHR US Equity</t>
  </si>
  <si>
    <t>Phreesia Inc</t>
  </si>
  <si>
    <t>PLPL US Equity</t>
  </si>
  <si>
    <t>Plandai Biotechnology Inc</t>
  </si>
  <si>
    <t>PLTH CN Equity</t>
  </si>
  <si>
    <t>Planet 13 Holdings Inc</t>
  </si>
  <si>
    <t>PLRX US Equity</t>
  </si>
  <si>
    <t>Pliant Therapeutics Inc</t>
  </si>
  <si>
    <t>PLUR US Equity</t>
  </si>
  <si>
    <t>Pluri Inc</t>
  </si>
  <si>
    <t>PSTV US Equity</t>
  </si>
  <si>
    <t>Plus Therapeutics Inc</t>
  </si>
  <si>
    <t>PMVP US Equity</t>
  </si>
  <si>
    <t>PMV Pharmaceuticals Inc</t>
  </si>
  <si>
    <t>PYPD US Equity</t>
  </si>
  <si>
    <t>PolyPid Ltd</t>
  </si>
  <si>
    <t>PLRZ US Equity</t>
  </si>
  <si>
    <t>Polyrizon Ltd</t>
  </si>
  <si>
    <t>PARD US Equity</t>
  </si>
  <si>
    <t>Poniard Pharmaceuticals Inc</t>
  </si>
  <si>
    <t>PRTG US Equity</t>
  </si>
  <si>
    <t>Portage Biotech Inc</t>
  </si>
  <si>
    <t>POSC US Equity</t>
  </si>
  <si>
    <t>Positron Corp</t>
  </si>
  <si>
    <t>PPJE US Equity</t>
  </si>
  <si>
    <t>PPJ Healthcare Enterprises Inc</t>
  </si>
  <si>
    <t>PRAX US Equity</t>
  </si>
  <si>
    <t>Praxis Precision Medicines Inc</t>
  </si>
  <si>
    <t>PGEN US Equity</t>
  </si>
  <si>
    <t>Precigen Inc</t>
  </si>
  <si>
    <t>PRPO US Equity</t>
  </si>
  <si>
    <t>Precipio Inc</t>
  </si>
  <si>
    <t>DTIL US Equity</t>
  </si>
  <si>
    <t>Precision BioSciences Inc</t>
  </si>
  <si>
    <t>POCI US Equity</t>
  </si>
  <si>
    <t>Precision Optics Corp Inc/Mass</t>
  </si>
  <si>
    <t>POAI US Equity</t>
  </si>
  <si>
    <t>Predictive Oncology Inc</t>
  </si>
  <si>
    <t>PRLD US Equity</t>
  </si>
  <si>
    <t>Prelude Therapeutics Inc</t>
  </si>
  <si>
    <t>BIEI US Equity</t>
  </si>
  <si>
    <t>Premier Biomedical Inc</t>
  </si>
  <si>
    <t>PHA CN Equity</t>
  </si>
  <si>
    <t>Premier Health of America Inc</t>
  </si>
  <si>
    <t>PINC US Equity</t>
  </si>
  <si>
    <t>Premier Inc</t>
  </si>
  <si>
    <t>PRE US Equity</t>
  </si>
  <si>
    <t>Prenetics Global Ltd</t>
  </si>
  <si>
    <t>PBIO US Equity</t>
  </si>
  <si>
    <t>Pressure BioSciences Inc</t>
  </si>
  <si>
    <t>PBH US Equity</t>
  </si>
  <si>
    <t>Prestige Consumer Healthcare I</t>
  </si>
  <si>
    <t>PRME US Equity</t>
  </si>
  <si>
    <t>Prime Medicine Inc</t>
  </si>
  <si>
    <t>PRVA US Equity</t>
  </si>
  <si>
    <t>Privia Health Group Inc</t>
  </si>
  <si>
    <t>PDEX US Equity</t>
  </si>
  <si>
    <t>Pro-Dex Inc</t>
  </si>
  <si>
    <t>PRCT US Equity</t>
  </si>
  <si>
    <t>PROCEPT BioRobotics Corp</t>
  </si>
  <si>
    <t>PCSA US Equity</t>
  </si>
  <si>
    <t>Processa Pharmaceuticals Inc</t>
  </si>
  <si>
    <t>PCYN US Equity</t>
  </si>
  <si>
    <t>Procyon Corp</t>
  </si>
  <si>
    <t>PSIQ US Equity</t>
  </si>
  <si>
    <t>Profile Solutions Inc</t>
  </si>
  <si>
    <t>PRN CN Equity</t>
  </si>
  <si>
    <t>Profound Medical Corp</t>
  </si>
  <si>
    <t>PGNY US Equity</t>
  </si>
  <si>
    <t>Progyny Inc</t>
  </si>
  <si>
    <t>PROK US Equity</t>
  </si>
  <si>
    <t>ProKidney Corp</t>
  </si>
  <si>
    <t>PMN US Equity</t>
  </si>
  <si>
    <t>ProMIS Neurosciences Inc</t>
  </si>
  <si>
    <t>PRPH US Equity</t>
  </si>
  <si>
    <t>ProPhase Labs Inc</t>
  </si>
  <si>
    <t>PRQR US Equity</t>
  </si>
  <si>
    <t>ProQR Therapeutics NV</t>
  </si>
  <si>
    <t>PTIX US Equity</t>
  </si>
  <si>
    <t>Protagenic Therapeutics Inc</t>
  </si>
  <si>
    <t>PTGX US Equity</t>
  </si>
  <si>
    <t>Protagonist Therapeutics Inc</t>
  </si>
  <si>
    <t>PLX US Equity</t>
  </si>
  <si>
    <t>Protalix BioTherapeutics Inc</t>
  </si>
  <si>
    <t>TARA US Equity</t>
  </si>
  <si>
    <t>Protara Therapeutics Inc</t>
  </si>
  <si>
    <t>PRTT US Equity</t>
  </si>
  <si>
    <t>Protect Pharmaceutical Corp</t>
  </si>
  <si>
    <t>PROT US Equity</t>
  </si>
  <si>
    <t>Proteonomix Inc</t>
  </si>
  <si>
    <t>TXTM US Equity</t>
  </si>
  <si>
    <t>ProText Mobility Inc</t>
  </si>
  <si>
    <t>PRTA US Equity</t>
  </si>
  <si>
    <t>Prothena Corp PLC</t>
  </si>
  <si>
    <t>PKTX US Equity</t>
  </si>
  <si>
    <t>ProtoKinetix Inc</t>
  </si>
  <si>
    <t>PVCT US Equity</t>
  </si>
  <si>
    <t>Provectus Biopharmaceuticals I</t>
  </si>
  <si>
    <t>PMDI US Equity</t>
  </si>
  <si>
    <t>Psychemedics Corp</t>
  </si>
  <si>
    <t>PBM US Equity</t>
  </si>
  <si>
    <t>Psyence Biomedical Ltd</t>
  </si>
  <si>
    <t>PSYG CN Equity</t>
  </si>
  <si>
    <t>Psyence Group Inc</t>
  </si>
  <si>
    <t>PTCT US Equity</t>
  </si>
  <si>
    <t>PTC Therapeutics Inc</t>
  </si>
  <si>
    <t>PULM US Equity</t>
  </si>
  <si>
    <t>Pulmatrix Inc</t>
  </si>
  <si>
    <t>LUNG US Equity</t>
  </si>
  <si>
    <t>Pulmonx Corp</t>
  </si>
  <si>
    <t>PLSE US Equity</t>
  </si>
  <si>
    <t>Pulse Biosciences Inc</t>
  </si>
  <si>
    <t>PBYI US Equity</t>
  </si>
  <si>
    <t>Puma Biotechnology Inc</t>
  </si>
  <si>
    <t>PYXS US Equity</t>
  </si>
  <si>
    <t>Pyxis Oncology Inc</t>
  </si>
  <si>
    <t>QBIO US Equity</t>
  </si>
  <si>
    <t>Q BioMed Inc</t>
  </si>
  <si>
    <t>QTTB US Equity</t>
  </si>
  <si>
    <t>Q32 Bio Inc</t>
  </si>
  <si>
    <t>QRON US Equity</t>
  </si>
  <si>
    <t>Qrons Inc</t>
  </si>
  <si>
    <t>QT Imaging Holdings Inc</t>
  </si>
  <si>
    <t>QLGN US Equity</t>
  </si>
  <si>
    <t>Qualigen Therapeutics Inc</t>
  </si>
  <si>
    <t>QTRX US Equity</t>
  </si>
  <si>
    <t>Quanterix Corp</t>
  </si>
  <si>
    <t>QTXB US Equity</t>
  </si>
  <si>
    <t>QuantRx Biomedical Corp</t>
  </si>
  <si>
    <t>QNTM CN Equity</t>
  </si>
  <si>
    <t>Quantum BioPharma Ltd</t>
  </si>
  <si>
    <t>DRWN US Equity</t>
  </si>
  <si>
    <t>Quantum Medical Transport Inc</t>
  </si>
  <si>
    <t>QSI US Equity</t>
  </si>
  <si>
    <t>Quantum-Si Inc</t>
  </si>
  <si>
    <t>DGX US Equity</t>
  </si>
  <si>
    <t>Quest Diagnostics Inc</t>
  </si>
  <si>
    <t>QPT CN Equity</t>
  </si>
  <si>
    <t>Quest PharmaTech Inc</t>
  </si>
  <si>
    <t>QMDT US Equity</t>
  </si>
  <si>
    <t>Quick-Med Technologies Inc</t>
  </si>
  <si>
    <t>QDEL US Equity</t>
  </si>
  <si>
    <t>QuidelOrtho Corp</t>
  </si>
  <si>
    <t>QNCX US Equity</t>
  </si>
  <si>
    <t>Quince Therapeutics Inc</t>
  </si>
  <si>
    <t>QIPT CN Equity</t>
  </si>
  <si>
    <t>Quipt Home Medical Corp</t>
  </si>
  <si>
    <t>QNRX US Equity</t>
  </si>
  <si>
    <t>Quoin Pharmaceuticals Ltd</t>
  </si>
  <si>
    <t>RDNT US Equity</t>
  </si>
  <si>
    <t>RadNet Inc</t>
  </si>
  <si>
    <t>VICA US Equity</t>
  </si>
  <si>
    <t>Rafina Innovations Inc</t>
  </si>
  <si>
    <t>RLYB US Equity</t>
  </si>
  <si>
    <t>Rallybio Corp</t>
  </si>
  <si>
    <t>RAMM CN Equity</t>
  </si>
  <si>
    <t>Ramm Pharma Corp</t>
  </si>
  <si>
    <t>RANI US Equity</t>
  </si>
  <si>
    <t>Rani Therapeutics Holdings Inc</t>
  </si>
  <si>
    <t>RPID US Equity</t>
  </si>
  <si>
    <t>Rapid Micro Biosystems Inc</t>
  </si>
  <si>
    <t>RTSL US Equity</t>
  </si>
  <si>
    <t>Rapid Therapeutic Science Labo</t>
  </si>
  <si>
    <t>RAPP US Equity</t>
  </si>
  <si>
    <t>Rapport Therapeutics Inc</t>
  </si>
  <si>
    <t>RAPT US Equity</t>
  </si>
  <si>
    <t>RAPT Therapeutics Inc</t>
  </si>
  <si>
    <t>RLBD US Equity</t>
  </si>
  <si>
    <t>Real Brands Inc</t>
  </si>
  <si>
    <t>RBSH US Equity</t>
  </si>
  <si>
    <t>Rebus Holdings Inc</t>
  </si>
  <si>
    <t>RXRX US Equity</t>
  </si>
  <si>
    <t>Recursion Pharmaceuticals Inc</t>
  </si>
  <si>
    <t>RSCF US Equity</t>
  </si>
  <si>
    <t>Reflect Scientific Inc</t>
  </si>
  <si>
    <t>RFCS US Equity</t>
  </si>
  <si>
    <t>Refocus Group Inc</t>
  </si>
  <si>
    <t>RGC US Equity</t>
  </si>
  <si>
    <t>Regencell Bioscience Holdings</t>
  </si>
  <si>
    <t>REGN US Equity</t>
  </si>
  <si>
    <t>Regeneron Pharmaceuticals Inc</t>
  </si>
  <si>
    <t>RGRX US Equity</t>
  </si>
  <si>
    <t>RegeneRx Biopharmaceuticals In</t>
  </si>
  <si>
    <t>RGNX US Equity</t>
  </si>
  <si>
    <t>REGENXBIO Inc</t>
  </si>
  <si>
    <t>Regional Health Properties Inc</t>
  </si>
  <si>
    <t>RGLS US Equity</t>
  </si>
  <si>
    <t>Regulus Therapeutics Inc</t>
  </si>
  <si>
    <t>RLAY US Equity</t>
  </si>
  <si>
    <t>Relay Therapeutics Inc</t>
  </si>
  <si>
    <t>RLMD US Equity</t>
  </si>
  <si>
    <t>Relmada Therapeutics Inc</t>
  </si>
  <si>
    <t>REMI US Equity</t>
  </si>
  <si>
    <t>Remedent Inc</t>
  </si>
  <si>
    <t>RMSL US Equity</t>
  </si>
  <si>
    <t>RemSleep Holdings Inc</t>
  </si>
  <si>
    <t>RNVA US Equity</t>
  </si>
  <si>
    <t>Rennova Health Inc</t>
  </si>
  <si>
    <t>RCAR US Equity</t>
  </si>
  <si>
    <t>RenovaCare Inc</t>
  </si>
  <si>
    <t>RENB US Equity</t>
  </si>
  <si>
    <t>Renovaro Inc</t>
  </si>
  <si>
    <t>RNXT US Equity</t>
  </si>
  <si>
    <t>RenovoRx Inc</t>
  </si>
  <si>
    <t>RPTX US Equity</t>
  </si>
  <si>
    <t>Repare Therapeutics Inc</t>
  </si>
  <si>
    <t>RGEN US Equity</t>
  </si>
  <si>
    <t>Repligen Corp</t>
  </si>
  <si>
    <t>REPL US Equity</t>
  </si>
  <si>
    <t>Replimune Group Inc</t>
  </si>
  <si>
    <t>RSLS US Equity</t>
  </si>
  <si>
    <t>ReShape Lifesciences Inc</t>
  </si>
  <si>
    <t>RMD US Equity</t>
  </si>
  <si>
    <t>ResMed Inc</t>
  </si>
  <si>
    <t>KOAN US Equity</t>
  </si>
  <si>
    <t>Resonate Blends Inc</t>
  </si>
  <si>
    <t>RSPI US Equity</t>
  </si>
  <si>
    <t>RespireRx Pharmaceuticals Inc</t>
  </si>
  <si>
    <t>RVX CN Equity</t>
  </si>
  <si>
    <t>Resverlogix Corp</t>
  </si>
  <si>
    <t>RTGN US Equity</t>
  </si>
  <si>
    <t>RetinalGenix Technologies Inc</t>
  </si>
  <si>
    <t>RVP US Equity</t>
  </si>
  <si>
    <t>Retractable Technologies Inc</t>
  </si>
  <si>
    <t>RMHI US Equity</t>
  </si>
  <si>
    <t>Retrieve Medical Holdings Inc</t>
  </si>
  <si>
    <t>BSSP US Equity</t>
  </si>
  <si>
    <t>Reve Technologies Inc</t>
  </si>
  <si>
    <t>REVB US Equity</t>
  </si>
  <si>
    <t>Revelation Biosciences Inc</t>
  </si>
  <si>
    <t>RVPH US Equity</t>
  </si>
  <si>
    <t>Reviva Pharmaceuticals Holding</t>
  </si>
  <si>
    <t>RVV CN Equity</t>
  </si>
  <si>
    <t>Revive Therapeutics Ltd</t>
  </si>
  <si>
    <t>RVMD US Equity</t>
  </si>
  <si>
    <t>RVTY US Equity</t>
  </si>
  <si>
    <t>Revvity Inc</t>
  </si>
  <si>
    <t>RZLT US Equity</t>
  </si>
  <si>
    <t>Rezolute Inc</t>
  </si>
  <si>
    <t>RYTM US Equity</t>
  </si>
  <si>
    <t>Rhythm Pharmaceuticals Inc</t>
  </si>
  <si>
    <t>RTGC US Equity</t>
  </si>
  <si>
    <t>Ridder Titan Genesis Corp</t>
  </si>
  <si>
    <t>RIGL US Equity</t>
  </si>
  <si>
    <t>Rigel Pharmaceuticals Inc</t>
  </si>
  <si>
    <t>RBII US Equity</t>
  </si>
  <si>
    <t>Rising Biosciences Inc</t>
  </si>
  <si>
    <t>RCKT US Equity</t>
  </si>
  <si>
    <t>Rocket Pharmaceuticals Inc</t>
  </si>
  <si>
    <t>RMTI US Equity</t>
  </si>
  <si>
    <t>Rockwell Medical Inc</t>
  </si>
  <si>
    <t>RMTN US Equity</t>
  </si>
  <si>
    <t>Rocky Mountain Ayre Inc</t>
  </si>
  <si>
    <t>ROIV US Equity</t>
  </si>
  <si>
    <t>Roivant Sciences Ltd</t>
  </si>
  <si>
    <t>RPRX US Equity</t>
  </si>
  <si>
    <t>Royalty Pharma PLC</t>
  </si>
  <si>
    <t>ROMJ CN Equity</t>
  </si>
  <si>
    <t>Rubicon Organics Inc</t>
  </si>
  <si>
    <t>RXST US Equity</t>
  </si>
  <si>
    <t>RxSight Inc</t>
  </si>
  <si>
    <t>SABS US Equity</t>
  </si>
  <si>
    <t>SAB Biotherapeutics Inc</t>
  </si>
  <si>
    <t>ACAI US Equity</t>
  </si>
  <si>
    <t>Safeplus International Holding</t>
  </si>
  <si>
    <t>SAGE US Equity</t>
  </si>
  <si>
    <t>Sage Therapeutics Inc</t>
  </si>
  <si>
    <t>SGMT US Equity</t>
  </si>
  <si>
    <t>Sagimet Biosciences Inc</t>
  </si>
  <si>
    <t>SLRX US Equity</t>
  </si>
  <si>
    <t>Salarius Pharmaceuticals Inc</t>
  </si>
  <si>
    <t>SANA US Equity</t>
  </si>
  <si>
    <t>Sana Biotechnology Inc</t>
  </si>
  <si>
    <t>SMTI US Equity</t>
  </si>
  <si>
    <t>Sanara Medtech Inc</t>
  </si>
  <si>
    <t>SGMO US Equity</t>
  </si>
  <si>
    <t>Sangamo Therapeutics Inc</t>
  </si>
  <si>
    <t>SGBI US Equity</t>
  </si>
  <si>
    <t>Sangui Biotech International I</t>
  </si>
  <si>
    <t>SNWV US Equity</t>
  </si>
  <si>
    <t>SANUWAVE Health Inc</t>
  </si>
  <si>
    <t>SRPT US Equity</t>
  </si>
  <si>
    <t>Sarepta Therapeutics Inc</t>
  </si>
  <si>
    <t>MSCL CN Equity</t>
  </si>
  <si>
    <t>Satellos Bioscience Inc</t>
  </si>
  <si>
    <t>SVRA US Equity</t>
  </si>
  <si>
    <t>Savara Inc</t>
  </si>
  <si>
    <t>SBC US Equity</t>
  </si>
  <si>
    <t>SBC Medical Group Holdings Inc</t>
  </si>
  <si>
    <t>SRRK US Equity</t>
  </si>
  <si>
    <t>Scholar Rock Holding Corp</t>
  </si>
  <si>
    <t>SDGR US Equity</t>
  </si>
  <si>
    <t>Schrodinger Inc/United States</t>
  </si>
  <si>
    <t>AI/ML</t>
  </si>
  <si>
    <t>SCND US Equity</t>
  </si>
  <si>
    <t>Scientific Industries Inc</t>
  </si>
  <si>
    <t>SCNX US Equity</t>
  </si>
  <si>
    <t>Scienture Holdings Inc</t>
  </si>
  <si>
    <t>SCLX US Equity</t>
  </si>
  <si>
    <t>Scilex Holding Co</t>
  </si>
  <si>
    <t>SCNI US Equity</t>
  </si>
  <si>
    <t>Scinai Immunotherapeutics Ltd</t>
  </si>
  <si>
    <t>SPRC US Equity</t>
  </si>
  <si>
    <t>SciSparc Ltd</t>
  </si>
  <si>
    <t>SCPS US Equity</t>
  </si>
  <si>
    <t>Scopus Biopharma Inc</t>
  </si>
  <si>
    <t>SCPX US Equity</t>
  </si>
  <si>
    <t>Scorpius Holdings Inc</t>
  </si>
  <si>
    <t>SCPH US Equity</t>
  </si>
  <si>
    <t>scPharmaceuticals Inc</t>
  </si>
  <si>
    <t>SCYB CN Equity</t>
  </si>
  <si>
    <t>Scryb Inc</t>
  </si>
  <si>
    <t>WORX US Equity</t>
  </si>
  <si>
    <t>SCWorx Corp</t>
  </si>
  <si>
    <t>SCYX US Equity</t>
  </si>
  <si>
    <t>SCYNEXIS Inc</t>
  </si>
  <si>
    <t>ICU US Equity</t>
  </si>
  <si>
    <t>SeaStar Medical Holding Corp</t>
  </si>
  <si>
    <t>SEER US Equity</t>
  </si>
  <si>
    <t>Seer Inc</t>
  </si>
  <si>
    <t>SEM US Equity</t>
  </si>
  <si>
    <t>Select Medical Holdings Corp</t>
  </si>
  <si>
    <t>SLS US Equity</t>
  </si>
  <si>
    <t>SELLAS Life Sciences Group Inc</t>
  </si>
  <si>
    <t>SMLR US Equity</t>
  </si>
  <si>
    <t>Semler Scientific Inc</t>
  </si>
  <si>
    <t>SNES US Equity</t>
  </si>
  <si>
    <t>Senestech Inc</t>
  </si>
  <si>
    <t>SNSE US Equity</t>
  </si>
  <si>
    <t>Sensei Biotherapeutics Inc</t>
  </si>
  <si>
    <t>SENS US Equity</t>
  </si>
  <si>
    <t>Senseonics Holdings Inc</t>
  </si>
  <si>
    <t>SRTS US Equity</t>
  </si>
  <si>
    <t>Sensus Healthcare Inc</t>
  </si>
  <si>
    <t>SNTI US Equity</t>
  </si>
  <si>
    <t>Senti Biosciences Inc</t>
  </si>
  <si>
    <t>SEPN US Equity</t>
  </si>
  <si>
    <t>Septerna Inc</t>
  </si>
  <si>
    <t>SERA US Equity</t>
  </si>
  <si>
    <t>Sera Prognostics Inc</t>
  </si>
  <si>
    <t>MCRB US Equity</t>
  </si>
  <si>
    <t>Seres Therapeutics Inc</t>
  </si>
  <si>
    <t>SER US Equity</t>
  </si>
  <si>
    <t>Serina Therapeutics Inc</t>
  </si>
  <si>
    <t>SVA CN Equity</t>
  </si>
  <si>
    <t>SETO US Equity</t>
  </si>
  <si>
    <t>SETO Holdings Inc</t>
  </si>
  <si>
    <t>STSS US Equity</t>
  </si>
  <si>
    <t>Sharps Technology Inc</t>
  </si>
  <si>
    <t>STTK US Equity</t>
  </si>
  <si>
    <t>Shattuck Labs Inc</t>
  </si>
  <si>
    <t>SVSO US Equity</t>
  </si>
  <si>
    <t>SheerVision Inc</t>
  </si>
  <si>
    <t>SHPH US Equity</t>
  </si>
  <si>
    <t>Shuttle Pharmaceuticals Holdin</t>
  </si>
  <si>
    <t>SIBN US Equity</t>
  </si>
  <si>
    <t>SI-BONE Inc</t>
  </si>
  <si>
    <t>SIA CN Equity</t>
  </si>
  <si>
    <t>Sienna Senior Living Inc</t>
  </si>
  <si>
    <t>SIGA US Equity</t>
  </si>
  <si>
    <t>SIGA Technologies Inc</t>
  </si>
  <si>
    <t>SGHT US Equity</t>
  </si>
  <si>
    <t>Sight Sciences Inc</t>
  </si>
  <si>
    <t>SLN US Equity</t>
  </si>
  <si>
    <t>Silence Therapeutics PLC</t>
  </si>
  <si>
    <t>SLXN US Equity</t>
  </si>
  <si>
    <t>Silexion Therapeutics Corp</t>
  </si>
  <si>
    <t>SILO US Equity</t>
  </si>
  <si>
    <t>Silo Pharma Inc</t>
  </si>
  <si>
    <t>SBBC CN Equity</t>
  </si>
  <si>
    <t>Simply Better Brands Corp</t>
  </si>
  <si>
    <t>SLP US Equity</t>
  </si>
  <si>
    <t>Simulations Plus Inc</t>
  </si>
  <si>
    <t>OMIC US Equity</t>
  </si>
  <si>
    <t>Singular Genomics Systems Inc</t>
  </si>
  <si>
    <t>SVA US Equity</t>
  </si>
  <si>
    <t>Sinovac Biotech Ltd</t>
  </si>
  <si>
    <t>SINT US Equity</t>
  </si>
  <si>
    <t>SiNtx Technologies Inc</t>
  </si>
  <si>
    <t>SBM CN Equity</t>
  </si>
  <si>
    <t>Sirona Biochem Corp</t>
  </si>
  <si>
    <t>SKTO US Equity</t>
  </si>
  <si>
    <t>SK3 Group Inc</t>
  </si>
  <si>
    <t>SKYE US Equity</t>
  </si>
  <si>
    <t>Skye Bioscience Inc</t>
  </si>
  <si>
    <t>OBESITY</t>
  </si>
  <si>
    <t>SNDL US Equity</t>
  </si>
  <si>
    <t>SNDL Inc</t>
  </si>
  <si>
    <t>SOL CN Equity</t>
  </si>
  <si>
    <t>SOL Global Investments Corp</t>
  </si>
  <si>
    <t>SLGL US Equity</t>
  </si>
  <si>
    <t>Sol-Gel Technologies Ltd</t>
  </si>
  <si>
    <t>SLNO US Equity</t>
  </si>
  <si>
    <t>Soleno Therapeutics Inc</t>
  </si>
  <si>
    <t>SLDB US Equity</t>
  </si>
  <si>
    <t>Solid Biosciences Inc</t>
  </si>
  <si>
    <t>SNGX US Equity</t>
  </si>
  <si>
    <t>Soligenix Inc</t>
  </si>
  <si>
    <t>SOLV US Equity</t>
  </si>
  <si>
    <t>Solventum Corp</t>
  </si>
  <si>
    <t>SMAS US Equity</t>
  </si>
  <si>
    <t>Somatic Systems Inc</t>
  </si>
  <si>
    <t>SONA CN Equity</t>
  </si>
  <si>
    <t>Sona Nanotech Inc</t>
  </si>
  <si>
    <t>SONX US Equity</t>
  </si>
  <si>
    <t>Sonendo Inc</t>
  </si>
  <si>
    <t>SNDA US Equity</t>
  </si>
  <si>
    <t>Sonida Senior Living Inc</t>
  </si>
  <si>
    <t>SONN US Equity</t>
  </si>
  <si>
    <t>Sonnet BioTherapeutics Holding</t>
  </si>
  <si>
    <t>SNOA US Equity</t>
  </si>
  <si>
    <t>Sonoma Pharmaceuticals Inc</t>
  </si>
  <si>
    <t>SOPH US Equity</t>
  </si>
  <si>
    <t>Sophia Genetics SA</t>
  </si>
  <si>
    <t>SRNE US Equity</t>
  </si>
  <si>
    <t>Sorrento Therapeutics Inc</t>
  </si>
  <si>
    <t>SHC US Equity</t>
  </si>
  <si>
    <t>Sotera Health Co</t>
  </si>
  <si>
    <t>SAGD US Equity</t>
  </si>
  <si>
    <t>South American Gold Corp</t>
  </si>
  <si>
    <t>MDAI US Equity</t>
  </si>
  <si>
    <t>Spectral AI Inc</t>
  </si>
  <si>
    <t>EDT CN Equity</t>
  </si>
  <si>
    <t>Spectral Medical Inc</t>
  </si>
  <si>
    <t>SCIE US Equity</t>
  </si>
  <si>
    <t>SpectraScience Inc</t>
  </si>
  <si>
    <t>SPDE US Equity</t>
  </si>
  <si>
    <t>Speedus Corp</t>
  </si>
  <si>
    <t>SPRO US Equity</t>
  </si>
  <si>
    <t>Spero Therapeutics Inc</t>
  </si>
  <si>
    <t>SPOM US Equity</t>
  </si>
  <si>
    <t>SPO Global Inc</t>
  </si>
  <si>
    <t>SWTX US Equity</t>
  </si>
  <si>
    <t>SpringWorks Therapeutics Inc</t>
  </si>
  <si>
    <t>SPR CN Equity</t>
  </si>
  <si>
    <t>Sproutly Canada Inc</t>
  </si>
  <si>
    <t>SPRB US Equity</t>
  </si>
  <si>
    <t>Spruce Biosciences Inc</t>
  </si>
  <si>
    <t>SYRE US Equity</t>
  </si>
  <si>
    <t>Spyre Therapeutics Inc</t>
  </si>
  <si>
    <t>SQZB US Equity</t>
  </si>
  <si>
    <t>SQZ Biotechnologies Co</t>
  </si>
  <si>
    <t>SSII US Equity</t>
  </si>
  <si>
    <t>SS Innovations International I</t>
  </si>
  <si>
    <t>STAA US Equity</t>
  </si>
  <si>
    <t>STAAR Surgical Co</t>
  </si>
  <si>
    <t>SZLS CN Equity</t>
  </si>
  <si>
    <t>StageZero Life Sciences Ltd</t>
  </si>
  <si>
    <t>LAB US Equity</t>
  </si>
  <si>
    <t>Standard BioTools Inc</t>
  </si>
  <si>
    <t>STHZ CN Equity</t>
  </si>
  <si>
    <t>StateHouse Holdings Inc</t>
  </si>
  <si>
    <t>STAB US Equity</t>
  </si>
  <si>
    <t>Statera Biopharma Inc</t>
  </si>
  <si>
    <t>SLDX US Equity</t>
  </si>
  <si>
    <t>Stella Diagnostics Inc</t>
  </si>
  <si>
    <t>STMH US Equity</t>
  </si>
  <si>
    <t>Stem Holdings Inc</t>
  </si>
  <si>
    <t>STXS US Equity</t>
  </si>
  <si>
    <t>Stereotaxis Inc</t>
  </si>
  <si>
    <t>STE US Equity</t>
  </si>
  <si>
    <t>STERIS PLC</t>
  </si>
  <si>
    <t>STVN US Equity</t>
  </si>
  <si>
    <t>Stevanato Group SpA</t>
  </si>
  <si>
    <t>STME US Equity</t>
  </si>
  <si>
    <t>Stimcell Energetics Inc</t>
  </si>
  <si>
    <t>STOK US Equity</t>
  </si>
  <si>
    <t>Stoke Therapeutics Inc</t>
  </si>
  <si>
    <t>EBYH US Equity</t>
  </si>
  <si>
    <t>Strainsforpains Inc</t>
  </si>
  <si>
    <t>SSKN US Equity</t>
  </si>
  <si>
    <t>Strata Skin Sciences Inc</t>
  </si>
  <si>
    <t>STRM US Equity</t>
  </si>
  <si>
    <t>Streamline Health Solutions In</t>
  </si>
  <si>
    <t>GPCR US Equity</t>
  </si>
  <si>
    <t>Structure Therapeutics Inc</t>
  </si>
  <si>
    <t>SYK US Equity</t>
  </si>
  <si>
    <t>Stryker Corp</t>
  </si>
  <si>
    <t>SMMT US Equity</t>
  </si>
  <si>
    <t>Summit Therapeutics Inc</t>
  </si>
  <si>
    <t>SSY US Equity</t>
  </si>
  <si>
    <t>SunLink Health Systems Inc</t>
  </si>
  <si>
    <t>SIGO US Equity</t>
  </si>
  <si>
    <t>Sunset Island Group Inc</t>
  </si>
  <si>
    <t>SBFM US Equity</t>
  </si>
  <si>
    <t>Sunshine Biopharma Inc</t>
  </si>
  <si>
    <t>SUWN US Equity</t>
  </si>
  <si>
    <t>Sunwin Stevia International In</t>
  </si>
  <si>
    <t>SUPN US Equity</t>
  </si>
  <si>
    <t>Supernus Pharmaceuticals Inc</t>
  </si>
  <si>
    <t>SGRY US Equity</t>
  </si>
  <si>
    <t>Surgery Partners Inc</t>
  </si>
  <si>
    <t>SGLN US Equity</t>
  </si>
  <si>
    <t>SurgLine International Inc</t>
  </si>
  <si>
    <t>SRDX US Equity</t>
  </si>
  <si>
    <t>Surmodics Inc</t>
  </si>
  <si>
    <t>SRZN US Equity</t>
  </si>
  <si>
    <t>Surrozen Inc</t>
  </si>
  <si>
    <t>STRO US Equity</t>
  </si>
  <si>
    <t>Sutro Biopharma Inc</t>
  </si>
  <si>
    <t>SNPX US Equity</t>
  </si>
  <si>
    <t>Synaptogenix Inc</t>
  </si>
  <si>
    <t>SNDX US Equity</t>
  </si>
  <si>
    <t>Syndax Pharmaceuticals Inc</t>
  </si>
  <si>
    <t>SYBX US Equity</t>
  </si>
  <si>
    <t>Synlogic Inc</t>
  </si>
  <si>
    <t>SYVC US Equity</t>
  </si>
  <si>
    <t>Synovics Pharmaceuticals Inc</t>
  </si>
  <si>
    <t>SYNI US Equity</t>
  </si>
  <si>
    <t>Synvista Therapeutics Inc</t>
  </si>
  <si>
    <t>SYRA US Equity</t>
  </si>
  <si>
    <t>Syra Health Corp</t>
  </si>
  <si>
    <t>SYRS US Equity</t>
  </si>
  <si>
    <t>Syros Pharmaceuticals Inc</t>
  </si>
  <si>
    <t>TTOO US Equity</t>
  </si>
  <si>
    <t>T2 Biosystems Inc</t>
  </si>
  <si>
    <t>TCMD US Equity</t>
  </si>
  <si>
    <t>Tactile Systems Technology Inc</t>
  </si>
  <si>
    <t>TLIS US Equity</t>
  </si>
  <si>
    <t>Talis Biomedical Corp</t>
  </si>
  <si>
    <t>TALK US Equity</t>
  </si>
  <si>
    <t>Talkspace Inc</t>
  </si>
  <si>
    <t>TLPH US Equity</t>
  </si>
  <si>
    <t>Talphera Inc</t>
  </si>
  <si>
    <t>TNDM US Equity</t>
  </si>
  <si>
    <t>Tandem Diabetes Care Inc</t>
  </si>
  <si>
    <t>TNGX US Equity</t>
  </si>
  <si>
    <t>Tango Therapeutics Inc</t>
  </si>
  <si>
    <t>CBDY US Equity</t>
  </si>
  <si>
    <t>Target Group Inc</t>
  </si>
  <si>
    <t>TRGM US Equity</t>
  </si>
  <si>
    <t>Targeted Medical Pharma Inc</t>
  </si>
  <si>
    <t>TARS US Equity</t>
  </si>
  <si>
    <t>Tarsus Pharmaceuticals Inc</t>
  </si>
  <si>
    <t>TSHA US Equity</t>
  </si>
  <si>
    <t>Taysha Gene Therapies Inc</t>
  </si>
  <si>
    <t>TCBP US Equity</t>
  </si>
  <si>
    <t>TC Biopharm Holdings PLC</t>
  </si>
  <si>
    <t>TECX US Equity</t>
  </si>
  <si>
    <t>Tectonic Therapeutic Inc</t>
  </si>
  <si>
    <t>TELA US Equity</t>
  </si>
  <si>
    <t>Tela Bio Inc</t>
  </si>
  <si>
    <t>TDOC US Equity</t>
  </si>
  <si>
    <t>Teladoc Health Inc</t>
  </si>
  <si>
    <t>TFX US Equity</t>
  </si>
  <si>
    <t>Teleflex Inc</t>
  </si>
  <si>
    <t>TBIO US Equity</t>
  </si>
  <si>
    <t>Telesis Bio Inc</t>
  </si>
  <si>
    <t>TELO CN Equity</t>
  </si>
  <si>
    <t>Telo Genomics Corp</t>
  </si>
  <si>
    <t>TELO US Equity</t>
  </si>
  <si>
    <t>Telomir Pharmaceuticals Inc</t>
  </si>
  <si>
    <t>TPST US Equity</t>
  </si>
  <si>
    <t>Tempest Therapeutics Inc</t>
  </si>
  <si>
    <t>TEM US Equity</t>
  </si>
  <si>
    <t>Tempus AI Inc</t>
  </si>
  <si>
    <t>TENX US Equity</t>
  </si>
  <si>
    <t>Tenax Therapeutics Inc</t>
  </si>
  <si>
    <t>TNYA US Equity</t>
  </si>
  <si>
    <t>Tenaya Therapeutics Inc</t>
  </si>
  <si>
    <t>THC US Equity</t>
  </si>
  <si>
    <t>Tenet Healthcare Corp</t>
  </si>
  <si>
    <t>TNON US Equity</t>
  </si>
  <si>
    <t>Tenon Medical Inc</t>
  </si>
  <si>
    <t>TERN US Equity</t>
  </si>
  <si>
    <t>Terns Pharmaceuticals Inc</t>
  </si>
  <si>
    <t>TSND CN Equity</t>
  </si>
  <si>
    <t>TerrAscend Corp</t>
  </si>
  <si>
    <t>TLOG US Equity</t>
  </si>
  <si>
    <t>TetraLogic Pharmaceuticals Cor</t>
  </si>
  <si>
    <t>TVGN US Equity</t>
  </si>
  <si>
    <t>Tevogen Bio Holdings Inc</t>
  </si>
  <si>
    <t>TGTX US Equity</t>
  </si>
  <si>
    <t>TG Therapeutics Inc</t>
  </si>
  <si>
    <t>THAR US Equity</t>
  </si>
  <si>
    <t>Tharimmune Inc</t>
  </si>
  <si>
    <t>THC CN Equity</t>
  </si>
  <si>
    <t>THC Biomed INTL. Ltd</t>
  </si>
  <si>
    <t>THCT US Equity</t>
  </si>
  <si>
    <t>THC Therapeutics Inc</t>
  </si>
  <si>
    <t>TLT CN Equity</t>
  </si>
  <si>
    <t>Theralase Technologies Inc</t>
  </si>
  <si>
    <t>THER US Equity</t>
  </si>
  <si>
    <t>Theralink Technologies Inc</t>
  </si>
  <si>
    <t>TXMD US Equity</t>
  </si>
  <si>
    <t>TherapeuticsMD Inc</t>
  </si>
  <si>
    <t>TBPH US Equity</t>
  </si>
  <si>
    <t>Theravance Biopharma Inc</t>
  </si>
  <si>
    <t>TOVX US Equity</t>
  </si>
  <si>
    <t>Theriva Biologics Inc</t>
  </si>
  <si>
    <t>THRM CN Equity</t>
  </si>
  <si>
    <t>Therma Bright Inc</t>
  </si>
  <si>
    <t>TMO US Equity</t>
  </si>
  <si>
    <t>Thermo Fisher Scientific Inc</t>
  </si>
  <si>
    <t>THMO US Equity</t>
  </si>
  <si>
    <t>ThermoGenesis Holdings Inc</t>
  </si>
  <si>
    <t>THRD US Equity</t>
  </si>
  <si>
    <t>Third Harmonic Bio Inc</t>
  </si>
  <si>
    <t>TBET US Equity</t>
  </si>
  <si>
    <t>Tibet Pharmaceuticals Inc</t>
  </si>
  <si>
    <t>TLRY US Equity</t>
  </si>
  <si>
    <t>Tilray Brands Inc</t>
  </si>
  <si>
    <t>TILT CN Equity</t>
  </si>
  <si>
    <t>TILT Holdings Inc</t>
  </si>
  <si>
    <t>TTNP US Equity</t>
  </si>
  <si>
    <t>Titan Pharmaceuticals Inc</t>
  </si>
  <si>
    <t>TIVC US Equity</t>
  </si>
  <si>
    <t>Tivic Health Systems Inc</t>
  </si>
  <si>
    <t>TLSA US Equity</t>
  </si>
  <si>
    <t>Tiziana Life Sciences Ltd</t>
  </si>
  <si>
    <t>TNFA US Equity</t>
  </si>
  <si>
    <t>TNF Pharmaceuticals Inc</t>
  </si>
  <si>
    <t>TLIF US Equity</t>
  </si>
  <si>
    <t>TOCCA Life Holdings Inc</t>
  </si>
  <si>
    <t>TNXP US Equity</t>
  </si>
  <si>
    <t>Tonix Pharmaceuticals Holding</t>
  </si>
  <si>
    <t>TRML US Equity</t>
  </si>
  <si>
    <t>Tourmaline Bio Inc</t>
  </si>
  <si>
    <t>TRAA US Equity</t>
  </si>
  <si>
    <t>Traack Technologies Inc</t>
  </si>
  <si>
    <t>TCAN CN Equity</t>
  </si>
  <si>
    <t>TransCanna Holdings Inc</t>
  </si>
  <si>
    <t>RNAZ US Equity</t>
  </si>
  <si>
    <t>TransCode Therapeutics Inc</t>
  </si>
  <si>
    <t>TMDX US Equity</t>
  </si>
  <si>
    <t>TransMedics Group Inc</t>
  </si>
  <si>
    <t>TVTX US Equity</t>
  </si>
  <si>
    <t>Travere Therapeutics Inc</t>
  </si>
  <si>
    <t>TRAW US Equity</t>
  </si>
  <si>
    <t>Traws Pharma Inc</t>
  </si>
  <si>
    <t>TMCI US Equity</t>
  </si>
  <si>
    <t>Treace Medical Concepts Inc</t>
  </si>
  <si>
    <t>TRUE CN Equity</t>
  </si>
  <si>
    <t>Treatment.com AI Inc</t>
  </si>
  <si>
    <t>TRVN US Equity</t>
  </si>
  <si>
    <t>Trevena Inc</t>
  </si>
  <si>
    <t>TRVI US Equity</t>
  </si>
  <si>
    <t>Trevi Therapeutics Inc</t>
  </si>
  <si>
    <t>TRIB US Equity</t>
  </si>
  <si>
    <t>Trinity Biotech PLC</t>
  </si>
  <si>
    <t>TLSI US Equity</t>
  </si>
  <si>
    <t>TriSalus Life Sciences Inc</t>
  </si>
  <si>
    <t>TBRG US Equity</t>
  </si>
  <si>
    <t>TruBridge Inc</t>
  </si>
  <si>
    <t>TRUL CN Equity</t>
  </si>
  <si>
    <t>Trulieve Cannabis Corp</t>
  </si>
  <si>
    <t>TCRX US Equity</t>
  </si>
  <si>
    <t>TScan Therapeutics Inc</t>
  </si>
  <si>
    <t>HURA US Equity</t>
  </si>
  <si>
    <t>TuHURA Biosciences Inc</t>
  </si>
  <si>
    <t>TURA US Equity</t>
  </si>
  <si>
    <t>Turbine Aviation Inc</t>
  </si>
  <si>
    <t>TSBX US Equity</t>
  </si>
  <si>
    <t>Turnstone Biologics Corp</t>
  </si>
  <si>
    <t>TWST US Equity</t>
  </si>
  <si>
    <t>Twist Bioscience Corp</t>
  </si>
  <si>
    <t>SYNTHETIC BIOLOGY</t>
  </si>
  <si>
    <t>TYRA US Equity</t>
  </si>
  <si>
    <t>Tyra Biosciences Inc</t>
  </si>
  <si>
    <t>UFPT US Equity</t>
  </si>
  <si>
    <t>UFP Technologies Inc</t>
  </si>
  <si>
    <t>RARE US Equity</t>
  </si>
  <si>
    <t>Ultragenyx Pharmaceutical Inc</t>
  </si>
  <si>
    <t>UNCY US Equity</t>
  </si>
  <si>
    <t>Unicycive Therapeutics Inc</t>
  </si>
  <si>
    <t>QURE US Equity</t>
  </si>
  <si>
    <t>uniQure NV</t>
  </si>
  <si>
    <t>UAHC US Equity</t>
  </si>
  <si>
    <t>United American Healthcare Cor</t>
  </si>
  <si>
    <t>UEEC US Equity</t>
  </si>
  <si>
    <t>United Health Products Inc</t>
  </si>
  <si>
    <t>UTHR US Equity</t>
  </si>
  <si>
    <t>United Therapeutics Corp</t>
  </si>
  <si>
    <t>UNH US Equity</t>
  </si>
  <si>
    <t>UnitedHealth Group Inc</t>
  </si>
  <si>
    <t>UBX US Equity</t>
  </si>
  <si>
    <t>UNITY Biotechnology Inc</t>
  </si>
  <si>
    <t>UNVC US Equity</t>
  </si>
  <si>
    <t>Univec Inc</t>
  </si>
  <si>
    <t>UHS US Equity</t>
  </si>
  <si>
    <t>Universal Health Services Inc</t>
  </si>
  <si>
    <t>UPC US Equity</t>
  </si>
  <si>
    <t>Universe Pharmaceuticals Inc</t>
  </si>
  <si>
    <t>UPHL US Equity</t>
  </si>
  <si>
    <t>UpHealth Inc</t>
  </si>
  <si>
    <t>UPB US Equity</t>
  </si>
  <si>
    <t>Upstream Bio Inc</t>
  </si>
  <si>
    <t>URGN US Equity</t>
  </si>
  <si>
    <t>UroGen Pharma Ltd</t>
  </si>
  <si>
    <t>ULGX US Equity</t>
  </si>
  <si>
    <t>Urologix Inc</t>
  </si>
  <si>
    <t>USNU US Equity</t>
  </si>
  <si>
    <t>US Neurosurgical Holdings Inc</t>
  </si>
  <si>
    <t>USPH US Equity</t>
  </si>
  <si>
    <t>US Physical Therapy Inc</t>
  </si>
  <si>
    <t>USRM US Equity</t>
  </si>
  <si>
    <t>US Stem Cell Inc</t>
  </si>
  <si>
    <t>UTMD US Equity</t>
  </si>
  <si>
    <t>Utah Medical Products Inc</t>
  </si>
  <si>
    <t>VCNX US Equity</t>
  </si>
  <si>
    <t>Vaccinex Inc</t>
  </si>
  <si>
    <t>VNDA US Equity</t>
  </si>
  <si>
    <t>Vanda Pharmaceuticals Inc</t>
  </si>
  <si>
    <t>VREX US Equity</t>
  </si>
  <si>
    <t>Varex Imaging Corp</t>
  </si>
  <si>
    <t>VASO US Equity</t>
  </si>
  <si>
    <t>Vaso Corp</t>
  </si>
  <si>
    <t>VXRT US Equity</t>
  </si>
  <si>
    <t>Vaxart Inc</t>
  </si>
  <si>
    <t>PCVX US Equity</t>
  </si>
  <si>
    <t>Vaxcyte Inc</t>
  </si>
  <si>
    <t>VXL CN Equity</t>
  </si>
  <si>
    <t>Vaxil Bio Ltd</t>
  </si>
  <si>
    <t>VAXX US Equity</t>
  </si>
  <si>
    <t>Vaxxinity Inc</t>
  </si>
  <si>
    <t>VEEV US Equity</t>
  </si>
  <si>
    <t>Veeva Systems Inc</t>
  </si>
  <si>
    <t>VLXC US Equity</t>
  </si>
  <si>
    <t>Veltex Corp</t>
  </si>
  <si>
    <t>VPT CN Equity</t>
  </si>
  <si>
    <t>VentriPoint Diagnostics Ltd</t>
  </si>
  <si>
    <t>VTYX US Equity</t>
  </si>
  <si>
    <t>Ventyx Biosciences Inc</t>
  </si>
  <si>
    <t>VERO US Equity</t>
  </si>
  <si>
    <t>Venus Concept Inc</t>
  </si>
  <si>
    <t>VERA US Equity</t>
  </si>
  <si>
    <t>Vera Therapeutics Inc</t>
  </si>
  <si>
    <t>VCYT US Equity</t>
  </si>
  <si>
    <t>Veracyte Inc</t>
  </si>
  <si>
    <t>MDRX US Equity</t>
  </si>
  <si>
    <t>Veradigm Inc</t>
  </si>
  <si>
    <t>VRNO CN Equity</t>
  </si>
  <si>
    <t>Verano Holdings Corp</t>
  </si>
  <si>
    <t>VSTM US Equity</t>
  </si>
  <si>
    <t>Verastem Inc</t>
  </si>
  <si>
    <t>VCEL US Equity</t>
  </si>
  <si>
    <t>Vericel Corp</t>
  </si>
  <si>
    <t>VRCA US Equity</t>
  </si>
  <si>
    <t>Verrica Pharmaceuticals Inc</t>
  </si>
  <si>
    <t>VRTX US Equity</t>
  </si>
  <si>
    <t>Vertex Pharmaceuticals Inc</t>
  </si>
  <si>
    <t>VERV US Equity</t>
  </si>
  <si>
    <t>Verve Therapeutics Inc</t>
  </si>
  <si>
    <t>VEXT CN Equity</t>
  </si>
  <si>
    <t>Vext Science Inc</t>
  </si>
  <si>
    <t>VGLS US Equity</t>
  </si>
  <si>
    <t>VG Life Sciences Inc</t>
  </si>
  <si>
    <t>VIAP US Equity</t>
  </si>
  <si>
    <t>VIA Pharmaceuticals Inc</t>
  </si>
  <si>
    <t>VDRM US Equity</t>
  </si>
  <si>
    <t>ViaDerma Inc</t>
  </si>
  <si>
    <t>VTRS US Equity</t>
  </si>
  <si>
    <t>Viatris Inc</t>
  </si>
  <si>
    <t>VIBE CN Equity</t>
  </si>
  <si>
    <t>Vibe Growth Corp</t>
  </si>
  <si>
    <t>VICP US Equity</t>
  </si>
  <si>
    <t>Vicapsys Life Sciences Inc</t>
  </si>
  <si>
    <t>RBOT US Equity</t>
  </si>
  <si>
    <t>Vicarious Surgical Inc</t>
  </si>
  <si>
    <t>VMD US Equity</t>
  </si>
  <si>
    <t>Viemed Healthcare Inc</t>
  </si>
  <si>
    <t>VIGL US Equity</t>
  </si>
  <si>
    <t>Vigil Neuroscience Inc</t>
  </si>
  <si>
    <t>VKTX US Equity</t>
  </si>
  <si>
    <t>Viking Therapeutics Inc</t>
  </si>
  <si>
    <t>VINC US Equity</t>
  </si>
  <si>
    <t>Vincerx Pharma Inc</t>
  </si>
  <si>
    <t>VOQP US Equity</t>
  </si>
  <si>
    <t>VioQuest Pharmaceuticals Inc</t>
  </si>
  <si>
    <t>VIR US Equity</t>
  </si>
  <si>
    <t>Vir Biotechnology Inc</t>
  </si>
  <si>
    <t>VIRX US Equity</t>
  </si>
  <si>
    <t>Viracta Therapeutics Inc</t>
  </si>
  <si>
    <t>VRAX US Equity</t>
  </si>
  <si>
    <t>Virax Biolabs Group Ltd</t>
  </si>
  <si>
    <t>VREO CN Equity</t>
  </si>
  <si>
    <t>Vireo Growth Inc</t>
  </si>
  <si>
    <t>VRDN US Equity</t>
  </si>
  <si>
    <t>Viridian Therapeutics Inc</t>
  </si>
  <si>
    <t>VRPX US Equity</t>
  </si>
  <si>
    <t>Virpax Pharmaceuticals Inc</t>
  </si>
  <si>
    <t>QEBR US Equity</t>
  </si>
  <si>
    <t>Virtual Medical International</t>
  </si>
  <si>
    <t>VTGN US Equity</t>
  </si>
  <si>
    <t>Vistagen Therapeutics Inc</t>
  </si>
  <si>
    <t>VHI CN Equity</t>
  </si>
  <si>
    <t>Vitalhub Corp</t>
  </si>
  <si>
    <t>VANI US Equity</t>
  </si>
  <si>
    <t>Vivani Medical Inc</t>
  </si>
  <si>
    <t>VIVE US Equity</t>
  </si>
  <si>
    <t>Viveve Medical Inc</t>
  </si>
  <si>
    <t>VCII US Equity</t>
  </si>
  <si>
    <t>ViviCells International Inc</t>
  </si>
  <si>
    <t>RDGL US Equity</t>
  </si>
  <si>
    <t>Vivos Inc</t>
  </si>
  <si>
    <t>VVOS US Equity</t>
  </si>
  <si>
    <t>Vivos Therapeutics Inc</t>
  </si>
  <si>
    <t>VNRX US Equity</t>
  </si>
  <si>
    <t>VolitionRX Ltd</t>
  </si>
  <si>
    <t>VOR US Equity</t>
  </si>
  <si>
    <t>Vor BioPharma Inc</t>
  </si>
  <si>
    <t>VYGR US Equity</t>
  </si>
  <si>
    <t>Voyager Therapeutics Inc</t>
  </si>
  <si>
    <t>VSEE US Equity</t>
  </si>
  <si>
    <t>VSee Health Inc</t>
  </si>
  <si>
    <t>VTVT US Equity</t>
  </si>
  <si>
    <t>vTv Therapeutics Inc</t>
  </si>
  <si>
    <t>VYCO US Equity</t>
  </si>
  <si>
    <t>Vycor Medical Inc</t>
  </si>
  <si>
    <t>VYNE US Equity</t>
  </si>
  <si>
    <t>VYNE Therapeutics Inc</t>
  </si>
  <si>
    <t>WAT US Equity</t>
  </si>
  <si>
    <t>Waters Corp</t>
  </si>
  <si>
    <t>WVE US Equity</t>
  </si>
  <si>
    <t>WaVe Life Sciences Ltd</t>
  </si>
  <si>
    <t>WAVE CN Equity</t>
  </si>
  <si>
    <t>Waverley Pharma Inc</t>
  </si>
  <si>
    <t>WAY US Equity</t>
  </si>
  <si>
    <t>Waystar Holding Corp</t>
  </si>
  <si>
    <t>BUDZ US Equity</t>
  </si>
  <si>
    <t>WEED Inc</t>
  </si>
  <si>
    <t>WELL CN Equity</t>
  </si>
  <si>
    <t>Well Health Technologies Corp</t>
  </si>
  <si>
    <t>WCUI US Equity</t>
  </si>
  <si>
    <t>Wellness Center USA Inc</t>
  </si>
  <si>
    <t>HOWL US Equity</t>
  </si>
  <si>
    <t>Werewolf Therapeutics Inc</t>
  </si>
  <si>
    <t>WIB CN Equity</t>
  </si>
  <si>
    <t>West Island Brands Inc</t>
  </si>
  <si>
    <t>WST US Equity</t>
  </si>
  <si>
    <t>West Pharmaceutical Services I</t>
  </si>
  <si>
    <t>WLLW CN Equity</t>
  </si>
  <si>
    <t>Willow Biosciences Inc</t>
  </si>
  <si>
    <t>WINT US Equity</t>
  </si>
  <si>
    <t>Windtree Therapeutics Inc</t>
  </si>
  <si>
    <t>WPHM US Equity</t>
  </si>
  <si>
    <t>Winston Pharmaceuticals Inc</t>
  </si>
  <si>
    <t>WDBG US Equity</t>
  </si>
  <si>
    <t>Woodbrook Group Holdings Inc</t>
  </si>
  <si>
    <t>WOK US Equity</t>
  </si>
  <si>
    <t>WORK Medical Technology Group</t>
  </si>
  <si>
    <t>WOWU US Equity</t>
  </si>
  <si>
    <t>WOWI Inc</t>
  </si>
  <si>
    <t>XFOR US Equity</t>
  </si>
  <si>
    <t>X4 Pharmaceuticals Inc</t>
  </si>
  <si>
    <t>XBIT US Equity</t>
  </si>
  <si>
    <t>XBiotech Inc</t>
  </si>
  <si>
    <t>XCRT US Equity</t>
  </si>
  <si>
    <t>XCELERATE INC</t>
  </si>
  <si>
    <t>XCRP US Equity</t>
  </si>
  <si>
    <t>Xcorporeal Inc</t>
  </si>
  <si>
    <t>XNCR US Equity</t>
  </si>
  <si>
    <t>Xencor Inc</t>
  </si>
  <si>
    <t>XBIO US Equity</t>
  </si>
  <si>
    <t>Xenetic Biosciences Inc</t>
  </si>
  <si>
    <t>XENO US Equity</t>
  </si>
  <si>
    <t>Xeno Transplants Corp</t>
  </si>
  <si>
    <t>XENE US Equity</t>
  </si>
  <si>
    <t>Xenon Pharmaceuticals Inc</t>
  </si>
  <si>
    <t>XERS US Equity</t>
  </si>
  <si>
    <t>Xeris Biopharma Holdings Inc</t>
  </si>
  <si>
    <t>XLO US Equity</t>
  </si>
  <si>
    <t>Xilio Therapeutics Inc</t>
  </si>
  <si>
    <t>XOMA US Equity</t>
  </si>
  <si>
    <t>XOMA Royalty Corp</t>
  </si>
  <si>
    <t>XRTX CN Equity</t>
  </si>
  <si>
    <t>XORTX Therapeutics Inc</t>
  </si>
  <si>
    <t>XTNT US Equity</t>
  </si>
  <si>
    <t>Xtant Medical Holdings Inc</t>
  </si>
  <si>
    <t>XYLO US Equity</t>
  </si>
  <si>
    <t>Xylo Technologies Ltd</t>
  </si>
  <si>
    <t>YMAB US Equity</t>
  </si>
  <si>
    <t>Y-mAbs Therapeutics Inc</t>
  </si>
  <si>
    <t>YECO US Equity</t>
  </si>
  <si>
    <t>Yulong Eco-Materials Ltd</t>
  </si>
  <si>
    <t>ZLAB US Equity</t>
  </si>
  <si>
    <t>Zai Lab Ltd</t>
  </si>
  <si>
    <t>ZBIO US Equity</t>
  </si>
  <si>
    <t>Zenas Biopharma Inc</t>
  </si>
  <si>
    <t>ZNTL US Equity</t>
  </si>
  <si>
    <t>Zentalis Pharmaceuticals Inc</t>
  </si>
  <si>
    <t>ZEN CN Equity</t>
  </si>
  <si>
    <t>Zentek Ltd</t>
  </si>
  <si>
    <t>ZEOX US Equity</t>
  </si>
  <si>
    <t>Zeo ScientifiX Inc</t>
  </si>
  <si>
    <t>ZVRA US Equity</t>
  </si>
  <si>
    <t>Zevra Therapeutics Inc</t>
  </si>
  <si>
    <t>ZBH US Equity</t>
  </si>
  <si>
    <t>Zimmer Biomet Holdings Inc</t>
  </si>
  <si>
    <t>ZIMV US Equity</t>
  </si>
  <si>
    <t>Zimvie Inc</t>
  </si>
  <si>
    <t>ZTS US Equity</t>
  </si>
  <si>
    <t>Zoetis Inc</t>
  </si>
  <si>
    <t>ZOM US Equity</t>
  </si>
  <si>
    <t>Zomedica Corp</t>
  </si>
  <si>
    <t>ZURA US Equity</t>
  </si>
  <si>
    <t>Zura Bio Ltd</t>
  </si>
  <si>
    <t>ZYME US Equity</t>
  </si>
  <si>
    <t>Zymeworks Inc</t>
  </si>
  <si>
    <t>ZYXI US Equity</t>
  </si>
  <si>
    <t>Zynex Inc</t>
  </si>
  <si>
    <t>ZYUS CN Equity</t>
  </si>
  <si>
    <t>ZYUS Life Sciences Corp</t>
  </si>
  <si>
    <t>ZVSA US Equity</t>
  </si>
  <si>
    <t>ZyVersa Therapeutics Inc</t>
  </si>
  <si>
    <t>PVLA US Equity</t>
  </si>
  <si>
    <t>PHLT US Equity</t>
  </si>
  <si>
    <t>HEAL CN Equity</t>
  </si>
  <si>
    <t>Restart Life Sciences Corp</t>
  </si>
  <si>
    <t>NEUP US Equity</t>
  </si>
  <si>
    <t>Neuphoria Therapeutics Inc</t>
  </si>
  <si>
    <t>ONC US Equity</t>
  </si>
  <si>
    <t>Revolution Medicines Inc</t>
  </si>
  <si>
    <t>ZYBT US Equity</t>
  </si>
  <si>
    <t>Zhengye Biotechnology Holding</t>
  </si>
  <si>
    <t>Rein Therapeutics Inc</t>
  </si>
  <si>
    <t>HASH CN Equity</t>
  </si>
  <si>
    <t>Simply Solventless Concentrate</t>
  </si>
  <si>
    <t>RNTX US Equity</t>
  </si>
  <si>
    <t>ACOG US Equity</t>
  </si>
  <si>
    <t>Alpha Cognition Inc</t>
  </si>
  <si>
    <t>QTIH US Equity</t>
  </si>
  <si>
    <t>Aibotics Inc</t>
  </si>
  <si>
    <t>KNWN US Equity</t>
  </si>
  <si>
    <t>MTSR US Equity</t>
  </si>
  <si>
    <t>Metsera Inc</t>
  </si>
  <si>
    <t>AIBT US Equity</t>
  </si>
  <si>
    <t>RHEP US Equity</t>
  </si>
  <si>
    <t>BBNX US Equity</t>
  </si>
  <si>
    <t>Beta Bionics Inc</t>
  </si>
  <si>
    <t>Sernova Biotherapeutics Inc</t>
  </si>
  <si>
    <t>eXoZymes 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</si>
</sst>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0_);[Red]\(#,##0.0000\)"/>
  </numFmts>
  <fonts count="6" x14ac:knownFonts="1">
    <font>
      <sz val="11"/>
      <name val="Calibri"/>
    </font>
    <font>
      <b/>
      <sz val="11"/>
      <color theme="0"/>
      <name val="Aptos Narrow"/>
      <family val="2"/>
      <scheme val="minor"/>
    </font>
    <font>
      <i/>
      <sz val="8"/>
      <color theme="0" tint="-0.499984740745262"/>
      <name val="Aptos Narrow"/>
      <family val="2"/>
      <scheme val="minor"/>
    </font>
    <font>
      <sz val="11"/>
      <name val="Aptos Narrow"/>
      <family val="2"/>
      <scheme val="minor"/>
    </font>
    <font>
      <b/>
      <sz val="8"/>
      <color theme="0" tint="-0.499984740745262"/>
      <name val="Aptos Narrow"/>
      <family val="2"/>
      <scheme val="minor"/>
    </font>
    <font>
      <b/>
      <sz val="1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269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/>
  </cellStyleXfs>
  <cellXfs count="44">
    <xf numFmtId="0" fontId="0" fillId="0" borderId="0" xfId="0"/>
    <xf numFmtId="3" fontId="2" fillId="0" borderId="0" xfId="0" applyNumberFormat="1" applyFont="1" applyAlignment="1">
      <alignment horizontal="right" indent="1"/>
    </xf>
    <xf numFmtId="0" fontId="3" fillId="0" borderId="0" xfId="0" applyFont="1" applyAlignment="1">
      <alignment horizontal="left" indent="1"/>
    </xf>
    <xf numFmtId="0" fontId="3" fillId="0" borderId="0" xfId="0" applyFont="1" applyAlignment="1">
      <alignment horizontal="center"/>
    </xf>
    <xf numFmtId="38" fontId="3" fillId="0" borderId="0" xfId="0" applyNumberFormat="1" applyFont="1" applyAlignment="1">
      <alignment horizontal="right" indent="1"/>
    </xf>
    <xf numFmtId="40" fontId="3" fillId="0" borderId="0" xfId="0" applyNumberFormat="1" applyFont="1" applyAlignment="1">
      <alignment horizontal="right" indent="1"/>
    </xf>
    <xf numFmtId="14" fontId="3" fillId="0" borderId="0" xfId="0" applyNumberFormat="1" applyFont="1" applyAlignment="1">
      <alignment horizontal="right" indent="1"/>
    </xf>
    <xf numFmtId="4" fontId="3" fillId="0" borderId="0" xfId="0" applyNumberFormat="1" applyFont="1" applyAlignment="1">
      <alignment horizontal="right" indent="1"/>
    </xf>
    <xf numFmtId="3" fontId="3" fillId="0" borderId="0" xfId="0" applyNumberFormat="1" applyFont="1" applyAlignment="1">
      <alignment horizontal="right" indent="1"/>
    </xf>
    <xf numFmtId="0" fontId="3" fillId="0" borderId="0" xfId="0" applyFont="1" applyAlignment="1">
      <alignment horizontal="right" indent="1"/>
    </xf>
    <xf numFmtId="0" fontId="3" fillId="0" borderId="0" xfId="0" applyFont="1"/>
    <xf numFmtId="3" fontId="4" fillId="0" borderId="0" xfId="0" applyNumberFormat="1" applyFont="1" applyAlignment="1">
      <alignment horizontal="right" indent="1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left" indent="1"/>
    </xf>
    <xf numFmtId="38" fontId="1" fillId="2" borderId="1" xfId="0" applyNumberFormat="1" applyFont="1" applyFill="1" applyBorder="1" applyAlignment="1">
      <alignment horizontal="right" indent="1"/>
    </xf>
    <xf numFmtId="40" fontId="1" fillId="2" borderId="1" xfId="0" applyNumberFormat="1" applyFont="1" applyFill="1" applyBorder="1" applyAlignment="1">
      <alignment horizontal="right" indent="1"/>
    </xf>
    <xf numFmtId="14" fontId="1" fillId="2" borderId="1" xfId="0" applyNumberFormat="1" applyFont="1" applyFill="1" applyBorder="1" applyAlignment="1">
      <alignment horizontal="right" indent="1"/>
    </xf>
    <xf numFmtId="4" fontId="1" fillId="2" borderId="1" xfId="0" applyNumberFormat="1" applyFont="1" applyFill="1" applyBorder="1" applyAlignment="1">
      <alignment horizontal="right" indent="1"/>
    </xf>
    <xf numFmtId="3" fontId="1" fillId="2" borderId="1" xfId="0" applyNumberFormat="1" applyFont="1" applyFill="1" applyBorder="1" applyAlignment="1">
      <alignment horizontal="right" indent="1"/>
    </xf>
    <xf numFmtId="0" fontId="5" fillId="3" borderId="1" xfId="0" applyFont="1" applyFill="1" applyBorder="1" applyAlignment="1">
      <alignment horizontal="right" indent="1"/>
    </xf>
    <xf numFmtId="14" fontId="3" fillId="0" borderId="2" xfId="0" applyNumberFormat="1" applyFont="1" applyBorder="1" applyAlignment="1">
      <alignment horizontal="center"/>
    </xf>
    <xf numFmtId="0" fontId="3" fillId="0" borderId="2" xfId="0" applyFont="1" applyBorder="1" applyAlignment="1">
      <alignment horizontal="left" indent="1"/>
    </xf>
    <xf numFmtId="0" fontId="3" fillId="0" borderId="2" xfId="0" applyFont="1" applyBorder="1" applyAlignment="1">
      <alignment horizontal="center"/>
    </xf>
    <xf numFmtId="38" fontId="3" fillId="0" borderId="2" xfId="0" applyNumberFormat="1" applyFont="1" applyBorder="1" applyAlignment="1">
      <alignment horizontal="right" indent="1"/>
    </xf>
    <xf numFmtId="40" fontId="3" fillId="0" borderId="2" xfId="0" applyNumberFormat="1" applyFont="1" applyBorder="1" applyAlignment="1">
      <alignment horizontal="right" indent="1"/>
    </xf>
    <xf numFmtId="14" fontId="3" fillId="0" borderId="2" xfId="0" applyNumberFormat="1" applyFont="1" applyBorder="1" applyAlignment="1">
      <alignment horizontal="right" indent="1"/>
    </xf>
    <xf numFmtId="3" fontId="3" fillId="0" borderId="2" xfId="0" applyNumberFormat="1" applyFont="1" applyBorder="1" applyAlignment="1">
      <alignment horizontal="right" indent="1"/>
    </xf>
    <xf numFmtId="0" fontId="3" fillId="0" borderId="2" xfId="0" applyFont="1" applyBorder="1" applyAlignment="1">
      <alignment horizontal="right" indent="1"/>
    </xf>
    <xf numFmtId="14" fontId="3" fillId="0" borderId="3" xfId="0" applyNumberFormat="1" applyFont="1" applyBorder="1" applyAlignment="1">
      <alignment horizontal="center"/>
    </xf>
    <xf numFmtId="0" fontId="3" fillId="0" borderId="3" xfId="0" applyFont="1" applyBorder="1" applyAlignment="1">
      <alignment horizontal="left" indent="1"/>
    </xf>
    <xf numFmtId="0" fontId="3" fillId="0" borderId="3" xfId="0" applyFont="1" applyBorder="1" applyAlignment="1">
      <alignment horizontal="center"/>
    </xf>
    <xf numFmtId="38" fontId="3" fillId="0" borderId="3" xfId="0" applyNumberFormat="1" applyFont="1" applyBorder="1" applyAlignment="1">
      <alignment horizontal="right" indent="1"/>
    </xf>
    <xf numFmtId="40" fontId="3" fillId="0" borderId="3" xfId="0" applyNumberFormat="1" applyFont="1" applyBorder="1" applyAlignment="1">
      <alignment horizontal="right" indent="1"/>
    </xf>
    <xf numFmtId="14" fontId="3" fillId="0" borderId="3" xfId="0" applyNumberFormat="1" applyFont="1" applyBorder="1" applyAlignment="1">
      <alignment horizontal="right" indent="1"/>
    </xf>
    <xf numFmtId="3" fontId="3" fillId="0" borderId="3" xfId="0" applyNumberFormat="1" applyFont="1" applyBorder="1" applyAlignment="1">
      <alignment horizontal="right" indent="1"/>
    </xf>
    <xf numFmtId="0" fontId="3" fillId="0" borderId="3" xfId="0" applyFont="1" applyBorder="1" applyAlignment="1">
      <alignment horizontal="right" indent="1"/>
    </xf>
    <xf numFmtId="4" fontId="3" fillId="0" borderId="3" xfId="0" applyNumberFormat="1" applyFont="1" applyBorder="1" applyAlignment="1">
      <alignment horizontal="right" indent="1"/>
    </xf>
    <xf numFmtId="38" fontId="1" fillId="4" borderId="1" xfId="0" applyNumberFormat="1" applyFont="1" applyFill="1" applyBorder="1" applyAlignment="1">
      <alignment horizontal="right" indent="1"/>
    </xf>
    <xf numFmtId="164" fontId="3" fillId="0" borderId="0" xfId="0" applyNumberFormat="1" applyFont="1" applyAlignment="1">
      <alignment horizontal="right" indent="1"/>
    </xf>
    <xf numFmtId="164" fontId="1" fillId="4" borderId="1" xfId="0" applyNumberFormat="1" applyFont="1" applyFill="1" applyBorder="1" applyAlignment="1">
      <alignment horizontal="right" indent="1"/>
    </xf>
    <xf numFmtId="164" fontId="3" fillId="0" borderId="2" xfId="0" applyNumberFormat="1" applyFont="1" applyBorder="1" applyAlignment="1">
      <alignment horizontal="right" indent="1"/>
    </xf>
    <xf numFmtId="164" fontId="3" fillId="0" borderId="3" xfId="0" applyNumberFormat="1" applyFont="1" applyBorder="1" applyAlignment="1">
      <alignment horizontal="right" indent="1"/>
    </xf>
    <xf numFmtId="14" fontId="3" fillId="5" borderId="1" xfId="0" applyNumberFormat="1" applyFont="1" applyFill="1" applyBorder="1" applyAlignment="1">
      <alignment horizontal="center"/>
    </xf>
    <xf numFmtId="0" fontId="3" fillId="5" borderId="1" xfId="0" applyFont="1" applyFill="1" applyBorder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269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0.21</v>
        <stp/>
        <stp>BDP|785374911969313446|22</stp>
        <stp>NPTH CN Equity</stp>
        <stp>LAST_PRICE</stp>
        <tr r="AD1021" s="1"/>
        <tr r="AD1021" s="1"/>
      </tp>
      <tp>
        <v>4.5556000000000001</v>
        <stp/>
        <stp>BDP|742416494461297936|22</stp>
        <stp>XYLO US Equity</stp>
        <stp>LAST_PRICE</stp>
        <tr r="AD1604" s="1"/>
        <tr r="AD1604" s="1"/>
      </tp>
      <tp>
        <v>1.5599999999999999E-2</v>
        <stp/>
        <stp>BDP|540337396343663981|22</stp>
        <stp>DPAT US Equity</stp>
        <stp>LAST_PRICE</stp>
        <tr r="AD498" s="1"/>
        <tr r="AD498" s="1"/>
      </tp>
      <tp>
        <v>202.18</v>
        <stp/>
        <stp>BDP|2111705273281485410|22</stp>
        <stp>DHR US Equity</stp>
        <stp>LAST_PRICE</stp>
        <tr r="AD486" s="1"/>
        <tr r="AD486" s="1"/>
      </tp>
      <tp>
        <v>4.1100000000000003</v>
        <stp/>
        <stp>BDP|8829051466989806448|22</stp>
        <stp>SLN US Equity</stp>
        <stp>LAST_PRICE</stp>
        <tr r="AD1351" s="1"/>
        <tr r="AD1351" s="1"/>
      </tp>
      <tp>
        <v>0.50999000000000005</v>
        <stp/>
        <stp>BDP|849802507736453984|22</stp>
        <stp>IRME US Equity</stp>
        <stp>LAST_PRICE</stp>
        <tr r="AD796" s="1"/>
        <tr r="AD796" s="1"/>
      </tp>
      <tp>
        <v>0.36509999999999998</v>
        <stp/>
        <stp>BDP|758342549104501024|22</stp>
        <stp>BTCY US Equity</stp>
        <stp>LAST_PRICE</stp>
        <tr r="AD285" s="1"/>
        <tr r="AD285" s="1"/>
      </tp>
      <tp>
        <v>9.4700000000000006</v>
        <stp/>
        <stp>BDP|4418584278288024251|22</stp>
        <stp>EBS US Equity</stp>
        <stp>LAST_PRICE</stp>
        <tr r="AD549" s="1"/>
        <tr r="AD549" s="1"/>
      </tp>
      <tp>
        <v>70.97</v>
        <stp/>
        <stp>BDP|9238172611057444787|22</stp>
        <stp>WGS US Equity</stp>
        <stp>LAST_PRICE</stp>
        <tr r="AD637" s="1"/>
        <tr r="AD637" s="1"/>
      </tp>
      <tp>
        <v>1.38</v>
        <stp/>
        <stp>BDP|1825753232312194635|22</stp>
        <stp>VOR US Equity</stp>
        <stp>LAST_PRICE</stp>
        <tr r="AD1569" s="1"/>
        <tr r="AD1569" s="1"/>
      </tp>
      <tp>
        <v>0.30499999999999999</v>
        <stp/>
        <stp>BDP|3228686516740927780|22</stp>
        <stp>APS CN Equity</stp>
        <stp>LAST_PRICE</stp>
        <tr r="AD151" s="1"/>
        <tr r="AD151" s="1"/>
      </tp>
      <tp>
        <v>155.26</v>
        <stp/>
        <stp>BDP|4491543040142409756|22</stp>
        <stp>JNJ US Equity</stp>
        <stp>LAST_PRICE</stp>
        <tr r="AD814" s="1"/>
        <tr r="AD814" s="1"/>
      </tp>
      <tp>
        <v>103.57</v>
        <stp/>
        <stp>BDP|354192951486955824|22</stp>
        <stp>ILMN US Equity</stp>
        <stp>LAST_PRICE</stp>
        <tr r="AD724" s="1"/>
        <tr r="AD724" s="1"/>
      </tp>
      <tp>
        <v>0</v>
        <stp/>
        <stp>BDP|768237507237761442|22</stp>
        <stp>PDMI US Equity</stp>
        <stp>LAST_PRICE</stp>
        <tr r="AD1134" s="1"/>
        <tr r="AD1134" s="1"/>
      </tp>
      <tp>
        <v>4.8600000000000003</v>
        <stp/>
        <stp>BDP|475397948017623622|22</stp>
        <stp>RZLT US Equity</stp>
        <stp>LAST_PRICE</stp>
        <tr r="AD1288" s="1"/>
        <tr r="AD1288" s="1"/>
      </tp>
      <tp>
        <v>4.13</v>
        <stp/>
        <stp>BDP|834330508368793055|22</stp>
        <stp>CELZ US Equity</stp>
        <stp>LAST_PRICE</stp>
        <tr r="AD454" s="1"/>
        <tr r="AD454" s="1"/>
      </tp>
      <tp>
        <v>91.35</v>
        <stp/>
        <stp>BDP|7681845166002514266|22</stp>
        <stp>MDT US Equity</stp>
        <stp>LAST_PRICE</stp>
        <tr r="AD933" s="1"/>
        <tr r="AD933" s="1"/>
      </tp>
      <tp>
        <v>25.47</v>
        <stp/>
        <stp>BDP|9122413816081145693|22</stp>
        <stp>PFE US Equity</stp>
        <stp>LAST_PRICE</stp>
        <tr r="AD1154" s="1"/>
        <tr r="AD1154" s="1"/>
      </tp>
      <tp>
        <v>92</v>
        <stp/>
        <stp>BDP|1007504404093903585|22</stp>
        <stp>COO US Equity</stp>
        <stp>LAST_PRICE</stp>
        <tr r="AD442" s="1"/>
        <tr r="AD442" s="1"/>
      </tp>
      <tp>
        <v>1.48</v>
        <stp/>
        <stp>BDP|2669101954974202300|22</stp>
        <stp>XLO US Equity</stp>
        <stp>LAST_PRICE</stp>
        <tr r="AD1600" s="1"/>
        <tr r="AD1600" s="1"/>
      </tp>
      <tp t="s">
        <v>#N/A N/A</v>
        <stp/>
        <stp>BDP|763281588861037786|22</stp>
        <stp>KDCE US Equity</stp>
        <stp>LAST_PRICE</stp>
        <tr r="AD833" s="1"/>
      </tp>
      <tp>
        <v>0.29099999999999998</v>
        <stp/>
        <stp>BDP|149178047146615089|22</stp>
        <stp>CTCX US Equity</stp>
        <stp>LAST_PRICE</stp>
        <tr r="AD360" s="1"/>
        <tr r="AD360" s="1"/>
      </tp>
      <tp>
        <v>3.42</v>
        <stp/>
        <stp>BDP|801875015900150850|22</stp>
        <stp>TCBP US Equity</stp>
        <stp>LAST_PRICE</stp>
        <tr r="AD1438" s="1"/>
        <tr r="AD1438" s="1"/>
      </tp>
      <tp>
        <v>127.06</v>
        <stp/>
        <stp>BDP|1154937419421496505|22</stp>
        <stp>CAH US Equity</stp>
        <stp>LAST_PRICE</stp>
        <tr r="AD345" s="1"/>
        <tr r="AD345" s="1"/>
      </tp>
      <tp>
        <v>3.74</v>
        <stp/>
        <stp>BDP|4665391234026137921|22</stp>
        <stp>RGC US Equity</stp>
        <stp>LAST_PRICE</stp>
        <tr r="AD1255" s="1"/>
        <tr r="AD1255" s="1"/>
      </tp>
      <tp>
        <v>5.16</v>
        <stp/>
        <stp>BDP|2860638882161686361|22</stp>
        <stp>SBC US Equity</stp>
        <stp>LAST_PRICE</stp>
        <tr r="AD1313" s="1"/>
        <tr r="AD1313" s="1"/>
      </tp>
      <tp>
        <v>0.94769999999999999</v>
        <stp/>
        <stp>BDP|4065012314340644673|22</stp>
        <stp>TOI US Equity</stp>
        <stp>LAST_PRICE</stp>
        <tr r="AD1085" s="1"/>
        <tr r="AD1085" s="1"/>
      </tp>
      <tp>
        <v>56.02</v>
        <stp/>
        <stp>BDP|174865861805866809|22</stp>
        <stp>VCEL US Equity</stp>
        <stp>LAST_PRICE</stp>
        <tr r="AD1537" s="1"/>
        <tr r="AD1537" s="1"/>
      </tp>
      <tp>
        <v>5.37</v>
        <stp/>
        <stp>BDP|313797253465298874|22</stp>
        <stp>BNGO US Equity</stp>
        <stp>LAST_PRICE</stp>
        <tr r="AD273" s="1"/>
        <tr r="AD273" s="1"/>
      </tp>
      <tp>
        <v>1.05</v>
        <stp/>
        <stp>BDP|682523921732315817|22</stp>
        <stp>ENLV US Equity</stp>
        <stp>LAST_PRICE</stp>
        <tr r="AD560" s="1"/>
        <tr r="AD560" s="1"/>
      </tp>
      <tp>
        <v>19.170000000000002</v>
        <stp/>
        <stp>BDP|1187058752697641114|22</stp>
        <stp>TIL US Equity</stp>
        <stp>LAST_PRICE</stp>
        <tr r="AD774" s="1"/>
        <tr r="AD774" s="1"/>
      </tp>
      <tp>
        <v>1.83</v>
        <stp/>
        <stp>BDP|182670561625391478|22</stp>
        <stp>PHIO US Equity</stp>
        <stp>LAST_PRICE</stp>
        <tr r="AD1165" s="1"/>
        <tr r="AD1165" s="1"/>
      </tp>
      <tp>
        <v>0.4758</v>
        <stp/>
        <stp>BDP|9237818702387001210|22</stp>
        <stp>ENZ US Equity</stp>
        <stp>LAST_PRICE</stp>
        <tr r="AD572" s="1"/>
        <tr r="AD572" s="1"/>
      </tp>
      <tp>
        <v>6.79</v>
        <stp/>
        <stp>BDP|7763859871794100832|22</stp>
        <stp>KSI CN Equity</stp>
        <stp>LAST_PRICE</stp>
        <tr r="AD841" s="1"/>
        <tr r="AD841" s="1"/>
      </tp>
      <tp>
        <v>0.91220000000000001</v>
        <stp/>
        <stp>BDP|1451752666220790745|22</stp>
        <stp>PMN US Equity</stp>
        <stp>LAST_PRICE</stp>
        <tr r="AD1202" s="1"/>
        <tr r="AD1202" s="1"/>
      </tp>
      <tp>
        <v>223.31</v>
        <stp/>
        <stp>BDP|3310688874633663501|22</stp>
        <stp>ONC US Equity</stp>
        <stp>LAST_PRICE</stp>
        <tr r="AD238" s="1"/>
        <tr r="AD238" s="1"/>
      </tp>
      <tp>
        <v>9.9999999999999995E-7</v>
        <stp/>
        <stp>BDP|387311013750046750|22</stp>
        <stp>ABMC US Equity</stp>
        <stp>LAST_PRICE</stp>
        <tr r="AD109" s="1"/>
        <tr r="AD109" s="1"/>
      </tp>
      <tp>
        <v>67.44</v>
        <stp/>
        <stp>BDP|299966588618367052|22</stp>
        <stp>TECH US Equity</stp>
        <stp>LAST_PRICE</stp>
        <tr r="AD254" s="1"/>
        <tr r="AD254" s="1"/>
      </tp>
      <tp>
        <v>179.24</v>
        <stp/>
        <stp>BDP|4501570136580428363|22</stp>
        <stp>UHS US Equity</stp>
        <stp>LAST_PRICE</stp>
        <tr r="AD1509" s="1"/>
        <tr r="AD1509" s="1"/>
      </tp>
      <tp>
        <v>0.03</v>
        <stp/>
        <stp>BDP|6591643434703925443|22</stp>
        <stp>QPT CN Equity</stp>
        <stp>LAST_PRICE</stp>
        <tr r="AD1235" s="1"/>
        <tr r="AD1235" s="1"/>
      </tp>
      <tp>
        <v>13.78</v>
        <stp/>
        <stp>BDP|6637261667319888735|22</stp>
        <stp>NEO US Equity</stp>
        <stp>LAST_PRICE</stp>
        <tr r="AD1014" s="1"/>
        <tr r="AD1014" s="1"/>
      </tp>
      <tp>
        <v>4.99</v>
        <stp/>
        <stp>BDP|5110411421254157183|22</stp>
        <stp>KOD US Equity</stp>
        <stp>LAST_PRICE</stp>
        <tr r="AD844" s="1"/>
        <tr r="AD844" s="1"/>
      </tp>
      <tp>
        <v>24.6</v>
        <stp/>
        <stp>BDP|510938807975701362|22</stp>
        <stp>PAHC US Equity</stp>
        <stp>LAST_PRICE</stp>
        <tr r="AD1164" s="1"/>
        <tr r="AD1164" s="1"/>
      </tp>
      <tp>
        <v>18.059999999999999</v>
        <stp/>
        <stp>BDP|293438160769926692|22</stp>
        <stp>OFIX US Equity</stp>
        <stp>LAST_PRICE</stp>
        <tr r="AD1113" s="1"/>
        <tr r="AD1113" s="1"/>
      </tp>
      <tp>
        <v>872.97</v>
        <stp/>
        <stp>BDP|2243328945849060847|22</stp>
        <stp>LLY US Equity</stp>
        <stp>LAST_PRICE</stp>
        <tr r="AD543" s="1"/>
        <tr r="AD543" s="1"/>
      </tp>
      <tp>
        <v>0.14899999999999999</v>
        <stp/>
        <stp>BDP|3730997188266207587|22</stp>
        <stp>AIM US Equity</stp>
        <stp>LAST_PRICE</stp>
        <tr r="AD72" s="1"/>
        <tr r="AD72" s="1"/>
      </tp>
      <tp>
        <v>0.01</v>
        <stp/>
        <stp>BDP|402267265188737666|22</stp>
        <stp>BTAX US Equity</stp>
        <stp>LAST_PRICE</stp>
        <tr r="AD281" s="1"/>
        <tr r="AD281" s="1"/>
      </tp>
      <tp>
        <v>0.01</v>
        <stp/>
        <stp>BDP|2374545238259858115|22</stp>
        <stp>RVV CN Equity</stp>
        <stp>LAST_PRICE</stp>
        <tr r="AD1285" s="1"/>
        <tr r="AD1285" s="1"/>
      </tp>
      <tp>
        <v>0.65</v>
        <stp/>
        <stp>BDP|3847940601387847875|22</stp>
        <stp>NBY US Equity</stp>
        <stp>LAST_PRICE</stp>
        <tr r="AD1052" s="1"/>
        <tr r="AD1052" s="1"/>
      </tp>
      <tp>
        <v>2.1850000000000001</v>
        <stp/>
        <stp>BDP|1256465982144256011|22</stp>
        <stp>ANL US Equity</stp>
        <stp>LAST_PRICE</stp>
        <tr r="AD54" s="1"/>
        <tr r="AD54" s="1"/>
      </tp>
      <tp>
        <v>73.88</v>
        <stp/>
        <stp>BDP|7822329419174036362|22</stp>
        <stp>TEM US Equity</stp>
        <stp>LAST_PRICE</stp>
        <tr r="AD1447" s="1"/>
        <tr r="AD1447" s="1"/>
      </tp>
      <tp>
        <v>23.96</v>
        <stp/>
        <stp>BDP|695198423796073444|22</stp>
        <stp>CDNA US Equity</stp>
        <stp>LAST_PRICE</stp>
        <tr r="AD353" s="1"/>
        <tr r="AD353" s="1"/>
      </tp>
      <tp>
        <v>3</v>
        <stp/>
        <stp>BDP|817852415321937598|22</stp>
        <stp>ANNX US Equity</stp>
        <stp>LAST_PRICE</stp>
        <tr r="AD136" s="1"/>
        <tr r="AD136" s="1"/>
      </tp>
      <tp>
        <v>9.9999999999999995E-7</v>
        <stp/>
        <stp>BDP|963000123632438311|22</stp>
        <stp>PSIQ US Equity</stp>
        <stp>LAST_PRICE</stp>
        <tr r="AD1198" s="1"/>
        <tr r="AD1198" s="1"/>
      </tp>
      <tp>
        <v>9.02</v>
        <stp/>
        <stp>BDP|7496069975985293141|22</stp>
        <stp>MBX US Equity</stp>
        <stp>LAST_PRICE</stp>
        <tr r="AD911" s="1"/>
        <tr r="AD911" s="1"/>
      </tp>
      <tp>
        <v>164.35</v>
        <stp/>
        <stp>BDP|9089920712142095258|22</stp>
        <stp>DGX US Equity</stp>
        <stp>LAST_PRICE</stp>
        <tr r="AD1234" s="1"/>
        <tr r="AD1234" s="1"/>
      </tp>
      <tp>
        <v>267.06</v>
        <stp/>
        <stp>BDP|3248137249321539425|22</stp>
        <stp>PEN US Equity</stp>
        <stp>LAST_PRICE</stp>
        <tr r="AD1145" s="1"/>
        <tr r="AD1145" s="1"/>
      </tp>
      <tp>
        <v>236.6</v>
        <stp/>
        <stp>BDP|8958875127531089896|22</stp>
        <stp>RMD US Equity</stp>
        <stp>LAST_PRICE</stp>
        <tr r="AD1274" s="1"/>
        <tr r="AD1274" s="1"/>
      </tp>
      <tp>
        <v>1E-4</v>
        <stp/>
        <stp>BDP|169762869556354748|22</stp>
        <stp>OCLG US Equity</stp>
        <stp>LAST_PRICE</stp>
        <tr r="AD1084" s="1"/>
        <tr r="AD1084" s="1"/>
      </tp>
      <tp>
        <v>1.46</v>
        <stp/>
        <stp>BDP|712010028117351761|22</stp>
        <stp>IKNA US Equity</stp>
        <stp>LAST_PRICE</stp>
        <tr r="AD723" s="1"/>
        <tr r="AD723" s="1"/>
      </tp>
      <tp>
        <v>15.49</v>
        <stp/>
        <stp>BDP|729453482222738119|22</stp>
        <stp>FNCH US Equity</stp>
        <stp>LAST_PRICE</stp>
        <tr r="AD611" s="1"/>
        <tr r="AD611" s="1"/>
      </tp>
      <tp>
        <v>0.17299999999999999</v>
        <stp/>
        <stp>BDP|936264072924642016|22</stp>
        <stp>QRON US Equity</stp>
        <stp>LAST_PRICE</stp>
        <tr r="AD1226" s="1"/>
        <tr r="AD1226" s="1"/>
      </tp>
      <tp>
        <v>2.67</v>
        <stp/>
        <stp>BDP|6687206814438516438|22</stp>
        <stp>PLX US Equity</stp>
        <stp>LAST_PRICE</stp>
        <tr r="AD1207" s="1"/>
        <tr r="AD1207" s="1"/>
      </tp>
      <tp>
        <v>5.0000000000000001E-3</v>
        <stp/>
        <stp>BDP|3124364571666936822|22</stp>
        <stp>AQS CN Equity</stp>
        <stp>LAST_PRICE</stp>
        <tr r="AD62" s="1"/>
        <tr r="AD62" s="1"/>
      </tp>
      <tp>
        <v>266.57</v>
        <stp/>
        <stp>BDP|3330117280998873873|22</stp>
        <stp>MOH US Equity</stp>
        <stp>LAST_PRICE</stp>
        <tr r="AD974" s="1"/>
        <tr r="AD974" s="1"/>
      </tp>
      <tp>
        <v>3.57</v>
        <stp/>
        <stp>BDP|8962033301128426298|22</stp>
        <stp>AGL US Equity</stp>
        <stp>LAST_PRICE</stp>
        <tr r="AD68" s="1"/>
        <tr r="AD68" s="1"/>
      </tp>
      <tp>
        <v>1.26</v>
        <stp/>
        <stp>BDP|1863992647702845375|22</stp>
        <stp>AHG US Equity</stp>
        <stp>LAST_PRICE</stp>
        <tr r="AD80" s="1"/>
        <tr r="AD80" s="1"/>
      </tp>
      <tp>
        <v>3.68</v>
        <stp/>
        <stp>BDP|836016999094692356|22</stp>
        <stp>DSGN US Equity</stp>
        <stp>LAST_PRICE</stp>
        <tr r="AD502" s="1"/>
        <tr r="AD502" s="1"/>
      </tp>
      <tp>
        <v>29.56</v>
        <stp/>
        <stp>BDP|801532856964309493|22</stp>
        <stp>IMCR US Equity</stp>
        <stp>LAST_PRICE</stp>
        <tr r="AD735" s="1"/>
        <tr r="AD735" s="1"/>
      </tp>
      <tp>
        <v>137.34</v>
        <stp/>
        <stp>BDP|547264165623632530|22</stp>
        <stp>ITGR US Equity</stp>
        <stp>LAST_PRICE</stp>
        <tr r="AD776" s="1"/>
        <tr r="AD776" s="1"/>
      </tp>
      <tp t="s">
        <v>#N/A N/A</v>
        <stp/>
        <stp>BDP|2538030880202393185|22</stp>
        <stp>SPR CN Equity</stp>
        <stp>LAST_PRICE</stp>
        <tr r="AD1387" s="1"/>
      </tp>
      <tp>
        <v>538</v>
        <stp/>
        <stp>BDP|5855935194418563435|22</stp>
        <stp>TMO US Equity</stp>
        <stp>LAST_PRICE</stp>
        <tr r="AD1466" s="1"/>
        <tr r="AD1466" s="1"/>
      </tp>
      <tp>
        <v>595</v>
        <stp/>
        <stp>BDP|8739537242966544870|22</stp>
        <stp>MCK US Equity</stp>
        <stp>LAST_PRICE</stp>
        <tr r="AD912" s="1"/>
        <tr r="AD912" s="1"/>
      </tp>
      <tp>
        <v>1.88</v>
        <stp/>
        <stp>BDP|302180584393358031|22</stp>
        <stp>CELU US Equity</stp>
        <stp>LAST_PRICE</stp>
        <tr r="AD375" s="1"/>
        <tr r="AD375" s="1"/>
      </tp>
      <tp>
        <v>7.87</v>
        <stp/>
        <stp>BDP|7213636858962932840|22</stp>
        <stp>VMD US Equity</stp>
        <stp>LAST_PRICE</stp>
        <tr r="AD1549" s="1"/>
        <tr r="AD1549" s="1"/>
      </tp>
      <tp>
        <v>31.83</v>
        <stp/>
        <stp>BDP|9891096824660043700|22</stp>
        <stp>RNA US Equity</stp>
        <stp>LAST_PRICE</stp>
        <tr r="AD213" s="1"/>
        <tr r="AD213" s="1"/>
      </tp>
      <tp>
        <v>23.95</v>
        <stp/>
        <stp>BDP|2198874438625703310|22</stp>
        <stp>AMN US Equity</stp>
        <stp>LAST_PRICE</stp>
        <tr r="AD121" s="1"/>
        <tr r="AD121" s="1"/>
      </tp>
      <tp>
        <v>9.9999999999999995E-7</v>
        <stp/>
        <stp>BDP|207711984333661936|22</stp>
        <stp>NWCI US Equity</stp>
        <stp>LAST_PRICE</stp>
        <tr r="AD1035" s="1"/>
        <tr r="AD1035" s="1"/>
      </tp>
      <tp>
        <v>27.97</v>
        <stp/>
        <stp>BDP|995409156464813573|22</stp>
        <stp>ZLAB US Equity</stp>
        <stp>LAST_PRICE</stp>
        <tr r="AD1607" s="1"/>
        <tr r="AD1607" s="1"/>
      </tp>
      <tp>
        <v>9.9999999999999995E-7</v>
        <stp/>
        <stp>BDP|655403449917947857|22</stp>
        <stp>QEBR US Equity</stp>
        <stp>LAST_PRICE</stp>
        <tr r="AD1560" s="1"/>
        <tr r="AD1560" s="1"/>
      </tp>
      <tp>
        <v>0.48110000000000003</v>
        <stp/>
        <stp>BDP|536584018772133596|22</stp>
        <stp>BOLT US Equity</stp>
        <stp>LAST_PRICE</stp>
        <tr r="AD295" s="1"/>
        <tr r="AD295" s="1"/>
      </tp>
      <tp>
        <v>1.84</v>
        <stp/>
        <stp>BDP|5326658330985196700|22</stp>
        <stp>ICU US Equity</stp>
        <stp>LAST_PRICE</stp>
        <tr r="AD1327" s="1"/>
        <tr r="AD1327" s="1"/>
      </tp>
      <tp>
        <v>0.1205</v>
        <stp/>
        <stp>BDP|7497802677862218453|22</stp>
        <stp>ZOM US Equity</stp>
        <stp>LAST_PRICE</stp>
        <tr r="AD1617" s="1"/>
        <tr r="AD1617" s="1"/>
      </tp>
      <tp>
        <v>0.621</v>
        <stp/>
        <stp>BDP|583186147575434978|22</stp>
        <stp>DRIO US Equity</stp>
        <stp>LAST_PRICE</stp>
        <tr r="AD488" s="1"/>
        <tr r="AD488" s="1"/>
      </tp>
      <tp>
        <v>7.29</v>
        <stp/>
        <stp>BDP|923428592225643205|22</stp>
        <stp>ITOS US Equity</stp>
        <stp>LAST_PRICE</stp>
        <tr r="AD803" s="1"/>
        <tr r="AD803" s="1"/>
      </tp>
      <tp>
        <v>0.37</v>
        <stp/>
        <stp>BDP|7593693301626063998|22</stp>
        <stp>ASG CN Equity</stp>
        <stp>LAST_PRICE</stp>
        <tr r="AD198" s="1"/>
        <tr r="AD198" s="1"/>
      </tp>
      <tp>
        <v>4.32</v>
        <stp/>
        <stp>BDP|8637907316720149766|22</stp>
        <stp>XGN US Equity</stp>
        <stp>LAST_PRICE</stp>
        <tr r="AD598" s="1"/>
        <tr r="AD598" s="1"/>
      </tp>
      <tp>
        <v>13.06</v>
        <stp/>
        <stp>BDP|2555012538138217717|22</stp>
        <stp>FNA US Equity</stp>
        <stp>LAST_PRICE</stp>
        <tr r="AD1135" s="1"/>
        <tr r="AD1135" s="1"/>
      </tp>
      <tp>
        <v>6.5000000000000002E-2</v>
        <stp/>
        <stp>BDP|327011570048168009|22</stp>
        <stp>BLAB CN Equity</stp>
        <stp>LAST_PRICE</stp>
        <tr r="AD308" s="1"/>
        <tr r="AD308" s="1"/>
      </tp>
      <tp t="s">
        <v>#N/A Requesting Data...1185388895</v>
        <stp/>
        <stp>BDP|15386888616231480701</stp>
        <tr r="AB1418" s="1"/>
        <tr r="AB1418" s="1"/>
      </tp>
      <tp t="s">
        <v>#N/A Requesting Data...1921470679</v>
        <stp/>
        <stp>BDP|15237211008655284806</stp>
        <tr r="AA944" s="1"/>
        <tr r="AA944" s="1"/>
      </tp>
      <tp t="s">
        <v>#N/A Requesting Data...3287901477</v>
        <stp/>
        <stp>BDP|13634264899590817289</stp>
        <tr r="Z982" s="1"/>
        <tr r="Z982" s="1"/>
      </tp>
      <tp t="s">
        <v>#N/A Requesting Data...4192187011</v>
        <stp/>
        <stp>BDP|18035823862979866510</stp>
        <tr r="AB514" s="1"/>
        <tr r="AB514" s="1"/>
      </tp>
      <tp t="s">
        <v>#N/A Requesting Data...2102842799</v>
        <stp/>
        <stp>BDP|12561854657544895160</stp>
        <tr r="AB741" s="1"/>
        <tr r="AB741" s="1"/>
      </tp>
      <tp t="s">
        <v>#N/A Requesting Data...2021726754</v>
        <stp/>
        <stp>BDP|12037844663700881665</stp>
        <tr r="Y1360" s="1"/>
        <tr r="Y1360" s="1"/>
      </tp>
      <tp t="s">
        <v>#N/A Requesting Data...3468081567</v>
        <stp/>
        <stp>BDP|18437219049153784721</stp>
        <tr r="AB1608" s="1"/>
      </tp>
      <tp t="s">
        <v>#N/A Requesting Data...2654457354</v>
        <stp/>
        <stp>BDP|10841423229054226885</stp>
        <tr r="Z928" s="1"/>
        <tr r="Z928" s="1"/>
      </tp>
      <tp t="s">
        <v>#N/A Requesting Data...2106636639</v>
        <stp/>
        <stp>BDP|18432844900662866811</stp>
        <tr r="Z551" s="1"/>
        <tr r="Z551" s="1"/>
      </tp>
      <tp t="s">
        <v>#N/A Requesting Data...1158057965</v>
        <stp/>
        <stp>BDP|13809490819904681877</stp>
        <tr r="AA40" s="1"/>
        <tr r="AA40" s="1"/>
      </tp>
      <tp t="s">
        <v>#N/A Requesting Data...1485562136</v>
        <stp/>
        <stp>BDP|16970486307969840178</stp>
        <tr r="AC1555" s="1"/>
        <tr r="AC1555" s="1"/>
      </tp>
      <tp t="s">
        <v>#N/A Requesting Data...2152103945</v>
        <stp/>
        <stp>BDP|10986287642074259891</stp>
        <tr r="Z544" s="1"/>
        <tr r="Z544" s="1"/>
      </tp>
      <tp t="s">
        <v>#N/A Requesting Data...3839630347</v>
        <stp/>
        <stp>BDP|13366953918008784916</stp>
        <tr r="AA1194" s="1"/>
        <tr r="AA1194" s="1"/>
      </tp>
      <tp t="s">
        <v>#N/A Requesting Data...2138323969</v>
        <stp/>
        <stp>BDP|17739256581970866730</stp>
        <tr r="AC1141" s="1"/>
        <tr r="AC1141" s="1"/>
      </tp>
      <tp t="s">
        <v>#N/A Requesting Data...2070620498</v>
        <stp/>
        <stp>BDP|11147405589894151316</stp>
        <tr r="Y532" s="1"/>
        <tr r="Y532" s="1"/>
      </tp>
      <tp t="s">
        <v>#N/A Requesting Data...1838042045</v>
        <stp/>
        <stp>BDP|12659788323224664930</stp>
        <tr r="AB89" s="1"/>
        <tr r="AB89" s="1"/>
      </tp>
      <tp t="s">
        <v>#N/A Requesting Data...2158992462</v>
        <stp/>
        <stp>BDP|12213900519180087031</stp>
        <tr r="Z1162" s="1"/>
        <tr r="Z1162" s="1"/>
      </tp>
      <tp t="s">
        <v>#N/A Requesting Data...912254770</v>
        <stp/>
        <stp>BDP|15321774914739860004</stp>
        <tr r="AC999" s="1"/>
        <tr r="AC999" s="1"/>
      </tp>
      <tp t="s">
        <v>#N/A Requesting Data...1591642555</v>
        <stp/>
        <stp>BDP|14717298760203202948</stp>
        <tr r="AB1175" s="1"/>
        <tr r="AB1175" s="1"/>
      </tp>
      <tp t="s">
        <v>#N/A Requesting Data...4201879810</v>
        <stp/>
        <stp>BDP|12920901796238516022</stp>
        <tr r="AB390" s="1"/>
        <tr r="AB390" s="1"/>
      </tp>
      <tp t="s">
        <v>#N/A Requesting Data...2898937737</v>
        <stp/>
        <stp>BDP|12311727233539265580</stp>
        <tr r="AA900" s="1"/>
        <tr r="AA900" s="1"/>
      </tp>
      <tp t="s">
        <v>#N/A Requesting Data...2362379517</v>
        <stp/>
        <stp>BDP|12903715181806793160</stp>
        <tr r="Z795" s="1"/>
      </tp>
      <tp t="s">
        <v>#N/A Requesting Data...3693024732</v>
        <stp/>
        <stp>BDP|14612603783502778299</stp>
        <tr r="AA478" s="1"/>
        <tr r="AA478" s="1"/>
      </tp>
      <tp t="s">
        <v>#N/A Requesting Data...1661422578</v>
        <stp/>
        <stp>BDP|18130606238417496067</stp>
        <tr r="AB1419" s="1"/>
        <tr r="AB1419" s="1"/>
      </tp>
      <tp t="s">
        <v>#N/A Requesting Data...2474790223</v>
        <stp/>
        <stp>BDP|10004892696902022947</stp>
        <tr r="AA1514" s="1"/>
        <tr r="AA1514" s="1"/>
      </tp>
      <tp t="s">
        <v>#N/A Requesting Data...3363499266</v>
        <stp/>
        <stp>BDP|10181890983212534855</stp>
        <tr r="AC1165" s="1"/>
        <tr r="AC1165" s="1"/>
      </tp>
      <tp t="s">
        <v>#N/A Requesting Data...880639991</v>
        <stp/>
        <stp>BDP|13437461058750340822</stp>
        <tr r="AC1575" s="1"/>
        <tr r="AC1575" s="1"/>
      </tp>
      <tp t="s">
        <v>#N/A Requesting Data...1886072005</v>
        <stp/>
        <stp>BDP|13732045840874084987</stp>
        <tr r="AB177" s="1"/>
        <tr r="AB177" s="1"/>
      </tp>
      <tp t="s">
        <v>#N/A Requesting Data...2389367213</v>
        <stp/>
        <stp>BDP|18057237962122268485</stp>
        <tr r="AB1538" s="1"/>
        <tr r="AB1538" s="1"/>
      </tp>
      <tp t="s">
        <v>#N/A Requesting Data...1695742648</v>
        <stp/>
        <stp>BDP|15871930598588804705</stp>
        <tr r="AC1036" s="1"/>
        <tr r="AC1036" s="1"/>
      </tp>
      <tp t="s">
        <v>#N/A Requesting Data...2074231201</v>
        <stp/>
        <stp>BDP|18426373109698016911</stp>
        <tr r="AB977" s="1"/>
        <tr r="AB977" s="1"/>
      </tp>
      <tp t="s">
        <v>#N/A Requesting Data...3495754971</v>
        <stp/>
        <stp>BDP|10786944855990406692</stp>
        <tr r="Y1264" s="1"/>
        <tr r="Y1264" s="1"/>
      </tp>
      <tp t="s">
        <v>#N/A Requesting Data...1599811253</v>
        <stp/>
        <stp>BDP|17736404629333250877</stp>
        <tr r="AA398" s="1"/>
        <tr r="AA398" s="1"/>
      </tp>
      <tp t="s">
        <v>#N/A Requesting Data...4084593128</v>
        <stp/>
        <stp>BDP|16938902771707340507</stp>
        <tr r="Z1614" s="1"/>
        <tr r="Z1614" s="1"/>
      </tp>
      <tp t="s">
        <v>#N/A Requesting Data...4008178812</v>
        <stp/>
        <stp>BDP|12681784904926481958</stp>
        <tr r="AA1256" s="1"/>
        <tr r="AA1256" s="1"/>
      </tp>
      <tp t="s">
        <v>#N/A Requesting Data...2048182944</v>
        <stp/>
        <stp>BDP|17426687367555674862</stp>
        <tr r="AA603" s="1"/>
        <tr r="AA603" s="1"/>
      </tp>
      <tp t="s">
        <v>#N/A Requesting Data...4012406139</v>
        <stp/>
        <stp>BDP|10447325991489817940</stp>
        <tr r="Y919" s="1"/>
        <tr r="Y919" s="1"/>
      </tp>
      <tp t="s">
        <v>#N/A Requesting Data...2817629242</v>
        <stp/>
        <stp>BDP|10503969704682822156</stp>
        <tr r="AA717" s="1"/>
        <tr r="AA717" s="1"/>
      </tp>
      <tp t="s">
        <v>#N/A Requesting Data...3253763736</v>
        <stp/>
        <stp>BDP|16830671383330322258</stp>
        <tr r="AC676" s="1"/>
        <tr r="AC676" s="1"/>
      </tp>
      <tp t="s">
        <v>#N/A Requesting Data...1103813793</v>
        <stp/>
        <stp>BDP|18160395237322219078</stp>
        <tr r="AC11" s="1"/>
        <tr r="AC11" s="1"/>
      </tp>
      <tp t="s">
        <v>#N/A Requesting Data...1102679656</v>
        <stp/>
        <stp>BDP|16554237496957344096</stp>
        <tr r="AB286" s="1"/>
        <tr r="AB286" s="1"/>
      </tp>
      <tp t="s">
        <v>#N/A Requesting Data...1878272932</v>
        <stp/>
        <stp>BDP|17869339167691276946</stp>
        <tr r="AB986" s="1"/>
        <tr r="AB986" s="1"/>
      </tp>
      <tp t="s">
        <v>#N/A Requesting Data...3261958240</v>
        <stp/>
        <stp>BDP|15600541639371950888</stp>
        <tr r="AC760" s="1"/>
        <tr r="AC760" s="1"/>
      </tp>
      <tp t="s">
        <v>#N/A Requesting Data...2736342354</v>
        <stp/>
        <stp>BDP|16143920307192644782</stp>
        <tr r="Y1351" s="1"/>
        <tr r="Y1351" s="1"/>
      </tp>
      <tp t="s">
        <v>#N/A Requesting Data...2193899831</v>
        <stp/>
        <stp>BDP|16471270056362902967</stp>
        <tr r="AA1317" s="1"/>
        <tr r="AA1317" s="1"/>
      </tp>
      <tp t="s">
        <v>#N/A Requesting Data...1897956080</v>
        <stp/>
        <stp>BDP|17718521693406579790</stp>
        <tr r="AB740" s="1"/>
        <tr r="AB740" s="1"/>
      </tp>
      <tp t="s">
        <v>#N/A Requesting Data...4053478054</v>
        <stp/>
        <stp>BDP|12590901436547161589</stp>
        <tr r="AC284" s="1"/>
        <tr r="AC284" s="1"/>
      </tp>
      <tp t="s">
        <v>#N/A Requesting Data...2789957245</v>
        <stp/>
        <stp>BDP|11240595850178801391</stp>
        <tr r="Y951" s="1"/>
        <tr r="Y951" s="1"/>
      </tp>
      <tp t="s">
        <v>#N/A Requesting Data...3075481809</v>
        <stp/>
        <stp>BDP|17628932356042827314</stp>
        <tr r="AC1100" s="1"/>
        <tr r="AC1100" s="1"/>
      </tp>
      <tp t="s">
        <v>#N/A Requesting Data...2253995931</v>
        <stp/>
        <stp>BDP|10965230394981317005</stp>
        <tr r="AA1383" s="1"/>
        <tr r="AA1383" s="1"/>
      </tp>
      <tp t="s">
        <v>#N/A Requesting Data...3074715084</v>
        <stp/>
        <stp>BDP|17759205273950950805</stp>
        <tr r="AA1010" s="1"/>
        <tr r="AA1010" s="1"/>
      </tp>
      <tp t="s">
        <v>#N/A Requesting Data...2483908559</v>
        <stp/>
        <stp>BDP|10720808647384840255</stp>
        <tr r="Y319" s="1"/>
        <tr r="Y319" s="1"/>
      </tp>
      <tp t="s">
        <v>#N/A Requesting Data...1773985421</v>
        <stp/>
        <stp>BDP|12820351642198039729</stp>
        <tr r="Z882" s="1"/>
        <tr r="Z882" s="1"/>
      </tp>
      <tp t="s">
        <v>#N/A Requesting Data...1584682219</v>
        <stp/>
        <stp>BDP|14596964548174746715</stp>
        <tr r="AA628" s="1"/>
        <tr r="AA628" s="1"/>
      </tp>
      <tp t="s">
        <v>#N/A Requesting Data...1563053754</v>
        <stp/>
        <stp>BDP|15539911782907825935</stp>
        <tr r="AA445" s="1"/>
      </tp>
      <tp t="s">
        <v>#N/A Requesting Data...1871447318</v>
        <stp/>
        <stp>BDP|16524884943525079537</stp>
        <tr r="Z462" s="1"/>
        <tr r="Z462" s="1"/>
      </tp>
      <tp t="s">
        <v>#N/A Requesting Data...2678172393</v>
        <stp/>
        <stp>BDP|13454522899213416665</stp>
        <tr r="Z151" s="1"/>
        <tr r="Z151" s="1"/>
      </tp>
      <tp t="s">
        <v>#N/A Requesting Data...1965881799</v>
        <stp/>
        <stp>BDP|13723541646781142995</stp>
        <tr r="AC875" s="1"/>
        <tr r="AC875" s="1"/>
      </tp>
      <tp t="s">
        <v>#N/A Requesting Data...4141989978</v>
        <stp/>
        <stp>BDP|12427786894347384177</stp>
        <tr r="AC1261" s="1"/>
        <tr r="AC1261" s="1"/>
      </tp>
      <tp t="s">
        <v>#N/A Requesting Data...1623910102</v>
        <stp/>
        <stp>BDP|14291775349449014401</stp>
        <tr r="Z99" s="1"/>
        <tr r="Z99" s="1"/>
      </tp>
      <tp t="s">
        <v>#N/A Requesting Data...2817156784</v>
        <stp/>
        <stp>BDP|11788357193008473996</stp>
        <tr r="AA1517" s="1"/>
        <tr r="AA1517" s="1"/>
      </tp>
      <tp t="s">
        <v>#N/A Requesting Data...2836816179</v>
        <stp/>
        <stp>BDP|18232120372477993372</stp>
        <tr r="Z500" s="1"/>
        <tr r="Z500" s="1"/>
      </tp>
      <tp t="s">
        <v>#N/A Requesting Data...3134039739</v>
        <stp/>
        <stp>BDP|13290678023559353493</stp>
        <tr r="AC1028" s="1"/>
        <tr r="AC1028" s="1"/>
      </tp>
      <tp t="s">
        <v>#N/A Requesting Data...2173215271</v>
        <stp/>
        <stp>BDP|10504132548069425661</stp>
        <tr r="Y163" s="1"/>
        <tr r="Y163" s="1"/>
      </tp>
      <tp t="s">
        <v>#N/A Requesting Data...3690542188</v>
        <stp/>
        <stp>BDP|18401618014077988240</stp>
        <tr r="AB904" s="1"/>
        <tr r="AB904" s="1"/>
      </tp>
      <tp t="s">
        <v>#N/A Requesting Data...2267408985</v>
        <stp/>
        <stp>BDP|17676634811052940817</stp>
        <tr r="AA463" s="1"/>
        <tr r="AA463" s="1"/>
      </tp>
      <tp t="s">
        <v>#N/A Requesting Data...1386717547</v>
        <stp/>
        <stp>BDP|16919351893331067732</stp>
        <tr r="AC399" s="1"/>
        <tr r="AC399" s="1"/>
      </tp>
      <tp t="s">
        <v>#N/A Requesting Data...3439108977</v>
        <stp/>
        <stp>BDP|17077689325049748050</stp>
        <tr r="Y936" s="1"/>
        <tr r="Y936" s="1"/>
      </tp>
      <tp t="s">
        <v>#N/A Requesting Data...2358250389</v>
        <stp/>
        <stp>BDP|18419168922552809374</stp>
        <tr r="Y860" s="1"/>
        <tr r="Y860" s="1"/>
      </tp>
      <tp t="s">
        <v>#N/A Requesting Data...859931445</v>
        <stp/>
        <stp>BDP|16418992488608989531</stp>
        <tr r="Y1538" s="1"/>
        <tr r="Y1538" s="1"/>
      </tp>
      <tp t="s">
        <v>#N/A Requesting Data...3795470403</v>
        <stp/>
        <stp>BDP|14576086594544110379</stp>
        <tr r="AC1062" s="1"/>
        <tr r="AC1062" s="1"/>
      </tp>
      <tp t="s">
        <v>#N/A Requesting Data...3863206863</v>
        <stp/>
        <stp>BDP|17861071110919306532</stp>
        <tr r="Z1431" s="1"/>
        <tr r="Z1431" s="1"/>
      </tp>
      <tp t="s">
        <v>#N/A Requesting Data...3162679602</v>
        <stp/>
        <stp>BDP|14457038953022397987</stp>
        <tr r="AB655" s="1"/>
        <tr r="AB655" s="1"/>
      </tp>
      <tp t="s">
        <v>#N/A Requesting Data...1470509390</v>
        <stp/>
        <stp>BDP|15738693985448759933</stp>
        <tr r="AA362" s="1"/>
        <tr r="AA362" s="1"/>
      </tp>
      <tp t="s">
        <v>#N/A Requesting Data...3640375770</v>
        <stp/>
        <stp>BDP|15112620980306976754</stp>
        <tr r="Y596" s="1"/>
        <tr r="Y596" s="1"/>
      </tp>
      <tp t="s">
        <v>#N/A Requesting Data...3023785377</v>
        <stp/>
        <stp>BDP|14307769983032117389</stp>
        <tr r="AB1600" s="1"/>
        <tr r="AB1600" s="1"/>
      </tp>
      <tp t="s">
        <v>#N/A Requesting Data...3897286627</v>
        <stp/>
        <stp>BDP|15141013993930985656</stp>
        <tr r="Y1612" s="1"/>
        <tr r="Y1612" s="1"/>
      </tp>
      <tp t="s">
        <v>#N/A Requesting Data...1431215071</v>
        <stp/>
        <stp>BDP|17387895407981605444</stp>
        <tr r="Z453" s="1"/>
        <tr r="Z453" s="1"/>
      </tp>
      <tp t="s">
        <v>#N/A Requesting Data...3016021650</v>
        <stp/>
        <stp>BDP|14959540081572006130</stp>
        <tr r="AB1294" s="1"/>
        <tr r="AB1294" s="1"/>
      </tp>
      <tp t="s">
        <v>#N/A Requesting Data...2499330145</v>
        <stp/>
        <stp>BDP|15946810021736216342</stp>
        <tr r="AB969" s="1"/>
        <tr r="AB969" s="1"/>
      </tp>
      <tp t="s">
        <v>#N/A Requesting Data...1234519847</v>
        <stp/>
        <stp>BDP|15627555271539450490</stp>
        <tr r="Z1137" s="1"/>
        <tr r="Z1137" s="1"/>
      </tp>
      <tp t="s">
        <v>#N/A Requesting Data...1508524835</v>
        <stp/>
        <stp>BDP|18325748860354058788</stp>
        <tr r="Y102" s="1"/>
        <tr r="Y102" s="1"/>
      </tp>
      <tp t="s">
        <v>#N/A Requesting Data...1903581607</v>
        <stp/>
        <stp>BDP|10999032686743545177</stp>
        <tr r="AB383" s="1"/>
        <tr r="AB383" s="1"/>
      </tp>
      <tp t="s">
        <v>#N/A Requesting Data...2439042336</v>
        <stp/>
        <stp>BDP|14234299490603283678</stp>
        <tr r="AC1117" s="1"/>
      </tp>
      <tp t="s">
        <v>#N/A Requesting Data...1279397081</v>
        <stp/>
        <stp>BDP|13640862243681906443</stp>
        <tr r="AC702" s="1"/>
        <tr r="AC702" s="1"/>
      </tp>
      <tp t="s">
        <v>#N/A Requesting Data...1209600707</v>
        <stp/>
        <stp>BDP|11279616386884313188</stp>
        <tr r="Z838" s="1"/>
        <tr r="Z838" s="1"/>
      </tp>
      <tp t="s">
        <v>#N/A Requesting Data...3011326570</v>
        <stp/>
        <stp>BDP|13412065334072836807</stp>
        <tr r="AC312" s="1"/>
        <tr r="AC312" s="1"/>
      </tp>
      <tp t="s">
        <v>#N/A Requesting Data...1722664572</v>
        <stp/>
        <stp>BDP|16674230988114165227</stp>
        <tr r="Y1131" s="1"/>
        <tr r="Y1131" s="1"/>
      </tp>
      <tp t="s">
        <v>#N/A Requesting Data...1645770051</v>
        <stp/>
        <stp>BDP|15697329080083313797</stp>
        <tr r="AA1561" s="1"/>
        <tr r="AA1561" s="1"/>
      </tp>
      <tp t="s">
        <v>#N/A Requesting Data...2989835696</v>
        <stp/>
        <stp>BDP|13346812403123667297</stp>
        <tr r="AA431" s="1"/>
        <tr r="AA431" s="1"/>
      </tp>
      <tp t="s">
        <v>#N/A Requesting Data...1838723367</v>
        <stp/>
        <stp>BDP|11491445513959996748</stp>
        <tr r="Z1283" s="1"/>
        <tr r="Z1283" s="1"/>
      </tp>
      <tp t="s">
        <v>#N/A Requesting Data...1798934970</v>
        <stp/>
        <stp>BDP|18238609431056004120</stp>
        <tr r="Z886" s="1"/>
        <tr r="Z886" s="1"/>
      </tp>
      <tp t="s">
        <v>#N/A Requesting Data...1099784350</v>
        <stp/>
        <stp>BDP|15570829957443851195</stp>
        <tr r="Y264" s="1"/>
        <tr r="Y264" s="1"/>
      </tp>
      <tp t="s">
        <v>#N/A Requesting Data...1587994668</v>
        <stp/>
        <stp>BDP|13108513563752480866</stp>
        <tr r="Y265" s="1"/>
        <tr r="Y265" s="1"/>
      </tp>
      <tp t="s">
        <v>#N/A Requesting Data...1498059162</v>
        <stp/>
        <stp>BDP|17889321297130853744</stp>
        <tr r="AB604" s="1"/>
        <tr r="AB604" s="1"/>
      </tp>
      <tp t="s">
        <v>#N/A Requesting Data...2990008345</v>
        <stp/>
        <stp>BDP|15950367336747991814</stp>
        <tr r="Z482" s="1"/>
        <tr r="Z482" s="1"/>
      </tp>
      <tp t="s">
        <v>#N/A Requesting Data...3312073854</v>
        <stp/>
        <stp>BDP|15245760581413513312</stp>
        <tr r="Y1202" s="1"/>
        <tr r="Y1202" s="1"/>
      </tp>
      <tp t="s">
        <v>#N/A Requesting Data...1765530805</v>
        <stp/>
        <stp>BDP|12581644156518136378</stp>
        <tr r="AC190" s="1"/>
        <tr r="AC190" s="1"/>
      </tp>
      <tp t="s">
        <v>#N/A Requesting Data...2666715349</v>
        <stp/>
        <stp>BDP|18355410454653592028</stp>
        <tr r="Z1326" s="1"/>
        <tr r="Z1326" s="1"/>
      </tp>
      <tp t="s">
        <v>#N/A Requesting Data...4202452804</v>
        <stp/>
        <stp>BDP|13016747689182854442</stp>
        <tr r="AB505" s="1"/>
        <tr r="AB505" s="1"/>
      </tp>
      <tp t="s">
        <v>#N/A Requesting Data...2932304605</v>
        <stp/>
        <stp>BDP|10502156621538036100</stp>
        <tr r="AA1137" s="1"/>
        <tr r="AA1137" s="1"/>
      </tp>
      <tp t="s">
        <v>#N/A Requesting Data...3070417286</v>
        <stp/>
        <stp>BDP|14128461948319628787</stp>
        <tr r="Y787" s="1"/>
        <tr r="Y787" s="1"/>
      </tp>
      <tp t="s">
        <v>#N/A Requesting Data...1164642867</v>
        <stp/>
        <stp>BDP|16877996029730043797</stp>
        <tr r="Z307" s="1"/>
        <tr r="Z307" s="1"/>
      </tp>
      <tp t="s">
        <v>#N/A Requesting Data...2468963406</v>
        <stp/>
        <stp>BDP|15794820071310669025</stp>
        <tr r="AC149" s="1"/>
        <tr r="AC149" s="1"/>
      </tp>
      <tp t="s">
        <v>#N/A Requesting Data...3824754645</v>
        <stp/>
        <stp>BDP|17578957536897675007</stp>
        <tr r="AA804" s="1"/>
        <tr r="AA804" s="1"/>
      </tp>
      <tp t="s">
        <v>#N/A Requesting Data...3947783326</v>
        <stp/>
        <stp>BDP|10311537911159873793</stp>
        <tr r="AC1234" s="1"/>
        <tr r="AC1234" s="1"/>
      </tp>
      <tp t="s">
        <v>#N/A Requesting Data...3548205480</v>
        <stp/>
        <stp>BDP|13898546668578611229</stp>
        <tr r="Y13" s="1"/>
        <tr r="Y13" s="1"/>
      </tp>
      <tp t="s">
        <v>#N/A Requesting Data...1757773654</v>
        <stp/>
        <stp>BDP|15367803436002312664</stp>
        <tr r="AB363" s="1"/>
        <tr r="AB363" s="1"/>
      </tp>
      <tp t="s">
        <v>#N/A Requesting Data...2051042289</v>
        <stp/>
        <stp>BDP|14031689637498801378</stp>
        <tr r="AC198" s="1"/>
        <tr r="AC198" s="1"/>
      </tp>
      <tp t="s">
        <v>#N/A Requesting Data...3592818589</v>
        <stp/>
        <stp>BDP|15657710504349637150</stp>
        <tr r="AA1319" s="1"/>
        <tr r="AA1319" s="1"/>
      </tp>
      <tp t="s">
        <v>#N/A Requesting Data...1766567529</v>
        <stp/>
        <stp>BDP|16181730646949319674</stp>
        <tr r="AC1161" s="1"/>
        <tr r="AC1161" s="1"/>
      </tp>
      <tp t="s">
        <v>#N/A Requesting Data...3802520617</v>
        <stp/>
        <stp>BDP|11978901178733139606</stp>
        <tr r="Z156" s="1"/>
        <tr r="Z156" s="1"/>
      </tp>
      <tp t="s">
        <v>#N/A Requesting Data...1402827355</v>
        <stp/>
        <stp>BDP|18137456247355042709</stp>
        <tr r="AC1463" s="1"/>
        <tr r="AC1463" s="1"/>
      </tp>
      <tp t="s">
        <v>#N/A Requesting Data...3487542305</v>
        <stp/>
        <stp>BDP|17080175508124558893</stp>
        <tr r="Z623" s="1"/>
        <tr r="Z623" s="1"/>
      </tp>
      <tp t="s">
        <v>#N/A Requesting Data...3294414197</v>
        <stp/>
        <stp>BDP|17293226854048522224</stp>
        <tr r="AB1534" s="1"/>
        <tr r="AB1534" s="1"/>
      </tp>
      <tp t="s">
        <v>#N/A Requesting Data...1571651901</v>
        <stp/>
        <stp>BDP|15257836345452372149</stp>
        <tr r="AA403" s="1"/>
        <tr r="AA403" s="1"/>
      </tp>
      <tp t="s">
        <v>#N/A Requesting Data...3287080077</v>
        <stp/>
        <stp>BDP|12603405665742987895</stp>
        <tr r="AA1610" s="1"/>
        <tr r="AA1610" s="1"/>
      </tp>
      <tp t="s">
        <v>#N/A Requesting Data...1638481102</v>
        <stp/>
        <stp>BDP|12419779454953644928</stp>
        <tr r="AA466" s="1"/>
        <tr r="AA466" s="1"/>
      </tp>
      <tp t="s">
        <v>#N/A Requesting Data...2922182549</v>
        <stp/>
        <stp>BDP|10110002093556071513</stp>
        <tr r="Z373" s="1"/>
        <tr r="Z373" s="1"/>
      </tp>
      <tp t="s">
        <v>#N/A Requesting Data...2935209573</v>
        <stp/>
        <stp>BDP|10733470897234155355</stp>
        <tr r="Z517" s="1"/>
        <tr r="Z517" s="1"/>
      </tp>
      <tp t="s">
        <v>#N/A Requesting Data...1857238874</v>
        <stp/>
        <stp>BDP|15843604807140558993</stp>
        <tr r="AB964" s="1"/>
        <tr r="AB964" s="1"/>
      </tp>
      <tp t="s">
        <v>#N/A Requesting Data...1188591327</v>
        <stp/>
        <stp>BDP|14856814700417305193</stp>
        <tr r="Z503" s="1"/>
        <tr r="Z503" s="1"/>
      </tp>
      <tp t="s">
        <v>#N/A Requesting Data...3470461732</v>
        <stp/>
        <stp>BDP|10259475748348937275</stp>
        <tr r="Y1594" s="1"/>
        <tr r="Y1594" s="1"/>
      </tp>
      <tp t="s">
        <v>#N/A Requesting Data...961620689</v>
        <stp/>
        <stp>BDP|18057359130686766406</stp>
        <tr r="AA1043" s="1"/>
        <tr r="AA1043" s="1"/>
      </tp>
      <tp t="s">
        <v>#N/A Requesting Data...1415789210</v>
        <stp/>
        <stp>BDP|12855213122490898812</stp>
        <tr r="Z1543" s="1"/>
        <tr r="Z1543" s="1"/>
      </tp>
      <tp t="s">
        <v>#N/A Requesting Data...2009019798</v>
        <stp/>
        <stp>BDP|16630998332575793388</stp>
        <tr r="Z1158" s="1"/>
        <tr r="Z1158" s="1"/>
      </tp>
      <tp t="s">
        <v>#N/A Requesting Data...1742571166</v>
        <stp/>
        <stp>BDP|11553251481973369206</stp>
        <tr r="AB318" s="1"/>
        <tr r="AB318" s="1"/>
      </tp>
      <tp t="s">
        <v>#N/A Requesting Data...4086001827</v>
        <stp/>
        <stp>BDP|10087395218918103026</stp>
        <tr r="Y103" s="1"/>
        <tr r="Y103" s="1"/>
      </tp>
      <tp t="s">
        <v>#N/A Requesting Data...3814653525</v>
        <stp/>
        <stp>BDP|18386460124772541669</stp>
        <tr r="Y1320" s="1"/>
        <tr r="Y1320" s="1"/>
      </tp>
      <tp t="s">
        <v>#N/A Requesting Data...3059063424</v>
        <stp/>
        <stp>BDP|11704762895757404224</stp>
        <tr r="AB1322" s="1"/>
        <tr r="AB1322" s="1"/>
      </tp>
      <tp t="s">
        <v>#N/A Requesting Data...1165530161</v>
        <stp/>
        <stp>BDP|17046307600086677844</stp>
        <tr r="AB1388" s="1"/>
        <tr r="AB1388" s="1"/>
      </tp>
      <tp t="s">
        <v>#N/A Requesting Data...2311622614</v>
        <stp/>
        <stp>BDP|10243316591058257827</stp>
        <tr r="Y1213" s="1"/>
        <tr r="Y1213" s="1"/>
      </tp>
      <tp t="s">
        <v>#N/A Requesting Data...2444634025</v>
        <stp/>
        <stp>BDP|12612717798662531483</stp>
        <tr r="Z975" s="1"/>
        <tr r="Z975" s="1"/>
      </tp>
      <tp t="s">
        <v>#N/A Requesting Data...3695857332</v>
        <stp/>
        <stp>BDP|17419809364160132345</stp>
        <tr r="AB1198" s="1"/>
        <tr r="AB1198" s="1"/>
      </tp>
      <tp t="s">
        <v>#N/A Requesting Data...1979295713</v>
        <stp/>
        <stp>BDP|16188616821630254862</stp>
        <tr r="AC740" s="1"/>
        <tr r="AC740" s="1"/>
      </tp>
      <tp t="s">
        <v>#N/A Requesting Data...1623460777</v>
        <stp/>
        <stp>BDP|16924454286239886973</stp>
        <tr r="Z180" s="1"/>
        <tr r="Z180" s="1"/>
      </tp>
      <tp t="s">
        <v>#N/A Requesting Data...4127489656</v>
        <stp/>
        <stp>BDP|17913339292516839150</stp>
        <tr r="Z427" s="1"/>
        <tr r="Z427" s="1"/>
      </tp>
      <tp t="s">
        <v>#N/A Requesting Data...2458978611</v>
        <stp/>
        <stp>BDP|12916872605580636088</stp>
        <tr r="AA792" s="1"/>
        <tr r="AA792" s="1"/>
      </tp>
      <tp t="s">
        <v>#N/A Requesting Data...2061888897</v>
        <stp/>
        <stp>BDP|15461598931678941101</stp>
        <tr r="Y101" s="1"/>
        <tr r="Y101" s="1"/>
      </tp>
      <tp t="s">
        <v>#N/A Requesting Data...2668932603</v>
        <stp/>
        <stp>BDP|10359799596906811216</stp>
        <tr r="AC78" s="1"/>
        <tr r="AC78" s="1"/>
      </tp>
      <tp t="s">
        <v>#N/A Requesting Data...3278153630</v>
        <stp/>
        <stp>BDP|17225910955163152221</stp>
        <tr r="Z884" s="1"/>
        <tr r="Z884" s="1"/>
      </tp>
      <tp t="s">
        <v>#N/A Requesting Data...3791919057</v>
        <stp/>
        <stp>BDP|13391848651933697756</stp>
        <tr r="AC647" s="1"/>
        <tr r="AC647" s="1"/>
      </tp>
      <tp t="s">
        <v>#N/A Requesting Data...911653708</v>
        <stp/>
        <stp>BDP|17965782487630059231</stp>
        <tr r="AC94" s="1"/>
        <tr r="AC94" s="1"/>
      </tp>
      <tp t="s">
        <v>#N/A Requesting Data...3464339574</v>
        <stp/>
        <stp>BDP|16206146356661750923</stp>
        <tr r="AA5" s="1"/>
        <tr r="AA5" s="1"/>
      </tp>
      <tp t="s">
        <v>#N/A Requesting Data...2253941154</v>
        <stp/>
        <stp>BDP|13108473790795201111</stp>
        <tr r="Z39" s="1"/>
        <tr r="Z39" s="1"/>
      </tp>
      <tp t="s">
        <v>#N/A Requesting Data...3039007446</v>
        <stp/>
        <stp>BDP|13922546498150031502</stp>
        <tr r="Z1488" s="1"/>
        <tr r="Z1488" s="1"/>
      </tp>
      <tp t="s">
        <v>#N/A Requesting Data...1922459112</v>
        <stp/>
        <stp>BDP|16672392572979025195</stp>
        <tr r="AA129" s="1"/>
      </tp>
      <tp t="s">
        <v>#N/A Requesting Data...1707358045</v>
        <stp/>
        <stp>BDP|16214349747683184849</stp>
        <tr r="AA793" s="1"/>
        <tr r="AA793" s="1"/>
      </tp>
      <tp t="s">
        <v>#N/A Requesting Data...2289441028</v>
        <stp/>
        <stp>BDP|17107449380371515044</stp>
        <tr r="AC1397" s="1"/>
        <tr r="AC1397" s="1"/>
      </tp>
      <tp t="s">
        <v>#N/A Requesting Data...4019300898</v>
        <stp/>
        <stp>BDP|10979428005006968836</stp>
        <tr r="Y1339" s="1"/>
        <tr r="Y1339" s="1"/>
      </tp>
      <tp t="s">
        <v>#N/A Requesting Data...3532874555</v>
        <stp/>
        <stp>BDP|14279891119766073168</stp>
        <tr r="Y746" s="1"/>
        <tr r="Y746" s="1"/>
      </tp>
      <tp t="s">
        <v>#N/A Requesting Data...1567809002</v>
        <stp/>
        <stp>BDP|10760963925021093000</stp>
        <tr r="Y237" s="1"/>
        <tr r="Y237" s="1"/>
      </tp>
      <tp t="s">
        <v>#N/A Requesting Data...3274851597</v>
        <stp/>
        <stp>BDP|14125255840958054008</stp>
        <tr r="Z478" s="1"/>
        <tr r="Z478" s="1"/>
      </tp>
      <tp t="s">
        <v>#N/A Requesting Data...1100698651</v>
        <stp/>
        <stp>BDP|15794311090800103533</stp>
        <tr r="AB379" s="1"/>
        <tr r="AB379" s="1"/>
      </tp>
      <tp t="s">
        <v>#N/A Requesting Data...3725815060</v>
        <stp/>
        <stp>BDP|11954986983169648304</stp>
        <tr r="Z97" s="1"/>
        <tr r="Z97" s="1"/>
      </tp>
      <tp t="s">
        <v>#N/A Requesting Data...2497834290</v>
        <stp/>
        <stp>BDP|16262306216799415746</stp>
        <tr r="AA1314" s="1"/>
        <tr r="AA1314" s="1"/>
      </tp>
      <tp t="s">
        <v>#N/A Requesting Data...3123484110</v>
        <stp/>
        <stp>BDP|11653855021977091660</stp>
        <tr r="AB797" s="1"/>
        <tr r="AB797" s="1"/>
      </tp>
      <tp t="s">
        <v>#N/A Requesting Data...3562338022</v>
        <stp/>
        <stp>BDP|15478063393920522609</stp>
        <tr r="AA166" s="1"/>
        <tr r="AA166" s="1"/>
      </tp>
      <tp t="s">
        <v>#N/A Requesting Data...3085691866</v>
        <stp/>
        <stp>BDP|16955847501766940214</stp>
        <tr r="AC670" s="1"/>
        <tr r="AC670" s="1"/>
      </tp>
      <tp t="s">
        <v>#N/A Requesting Data...1341892610</v>
        <stp/>
        <stp>BDP|14948232365388941218</stp>
        <tr r="AA1119" s="1"/>
        <tr r="AA1119" s="1"/>
      </tp>
      <tp t="s">
        <v>#N/A Requesting Data...2771115619</v>
        <stp/>
        <stp>BDP|13026049507381023844</stp>
        <tr r="AA281" s="1"/>
        <tr r="AA281" s="1"/>
      </tp>
      <tp t="s">
        <v>#N/A Requesting Data...2419442539</v>
        <stp/>
        <stp>BDP|14089250622729744777</stp>
        <tr r="AC586" s="1"/>
        <tr r="AC586" s="1"/>
      </tp>
      <tp t="s">
        <v>#N/A Requesting Data...1638165529</v>
        <stp/>
        <stp>BDP|13070806513071053145</stp>
        <tr r="AC1076" s="1"/>
        <tr r="AC1076" s="1"/>
      </tp>
      <tp t="s">
        <v>#N/A Requesting Data...3868172626</v>
        <stp/>
        <stp>BDP|16219727045098245702</stp>
        <tr r="AA1274" s="1"/>
        <tr r="AA1274" s="1"/>
      </tp>
      <tp t="s">
        <v>#N/A Requesting Data...3158578327</v>
        <stp/>
        <stp>BDP|17582639810042350823</stp>
        <tr r="AB280" s="1"/>
        <tr r="AB280" s="1"/>
      </tp>
      <tp t="s">
        <v>#N/A Requesting Data...3893529587</v>
        <stp/>
        <stp>BDP|18301328394950524874</stp>
        <tr r="AA1358" s="1"/>
      </tp>
      <tp t="s">
        <v>#N/A Requesting Data...1107564877</v>
        <stp/>
        <stp>BDP|18261496392129932675</stp>
        <tr r="AB1157" s="1"/>
        <tr r="AB1157" s="1"/>
      </tp>
      <tp t="s">
        <v>#N/A Requesting Data...1749868338</v>
        <stp/>
        <stp>BDP|15577627522502376914</stp>
        <tr r="AB1615" s="1"/>
        <tr r="AB1615" s="1"/>
      </tp>
      <tp t="s">
        <v>#N/A Requesting Data...2900374497</v>
        <stp/>
        <stp>BDP|14697360806808629575</stp>
        <tr r="AA1058" s="1"/>
        <tr r="AA1058" s="1"/>
      </tp>
      <tp t="s">
        <v>#N/A Requesting Data...2915239532</v>
        <stp/>
        <stp>BDP|14216226586404333026</stp>
        <tr r="AC814" s="1"/>
        <tr r="AC814" s="1"/>
      </tp>
      <tp t="s">
        <v>#N/A Requesting Data...3045738123</v>
        <stp/>
        <stp>BDP|14979096784467175127</stp>
        <tr r="AA599" s="1"/>
        <tr r="AA599" s="1"/>
      </tp>
      <tp t="s">
        <v>#N/A Requesting Data...3486621857</v>
        <stp/>
        <stp>BDP|13662820622610944381</stp>
        <tr r="Z1042" s="1"/>
        <tr r="Z1042" s="1"/>
      </tp>
      <tp t="s">
        <v>#N/A Requesting Data...3016201085</v>
        <stp/>
        <stp>BDP|14495097398707079034</stp>
        <tr r="AA1306" s="1"/>
        <tr r="AA1306" s="1"/>
      </tp>
      <tp t="s">
        <v>#N/A Requesting Data...1335326389</v>
        <stp/>
        <stp>BDP|10976948845223926475</stp>
        <tr r="AC327" s="1"/>
        <tr r="AC327" s="1"/>
      </tp>
      <tp t="s">
        <v>#N/A Requesting Data...3159934541</v>
        <stp/>
        <stp>BDP|17653635264075486832</stp>
        <tr r="AA644" s="1"/>
        <tr r="AA644" s="1"/>
      </tp>
      <tp t="s">
        <v>#N/A Requesting Data...3729723501</v>
        <stp/>
        <stp>BDP|11585667384864985187</stp>
        <tr r="AC810" s="1"/>
        <tr r="AC810" s="1"/>
      </tp>
      <tp t="s">
        <v>#N/A Requesting Data...1860468986</v>
        <stp/>
        <stp>BDP|13155637737808036437</stp>
        <tr r="Y412" s="1"/>
        <tr r="Y412" s="1"/>
      </tp>
      <tp t="s">
        <v>#N/A Requesting Data...3209679034</v>
        <stp/>
        <stp>BDP|12050236891591687220</stp>
        <tr r="AB299" s="1"/>
        <tr r="AB299" s="1"/>
      </tp>
      <tp t="s">
        <v>#N/A Requesting Data...2251196816</v>
        <stp/>
        <stp>BDP|11738368441295033966</stp>
        <tr r="AB1026" s="1"/>
        <tr r="AB1026" s="1"/>
      </tp>
      <tp t="s">
        <v>#N/A Requesting Data...2933863825</v>
        <stp/>
        <stp>BDP|18388566011586794050</stp>
        <tr r="AC1551" s="1"/>
        <tr r="AC1551" s="1"/>
      </tp>
      <tp t="s">
        <v>#N/A Requesting Data...3776366881</v>
        <stp/>
        <stp>BDP|15678268332808412607</stp>
        <tr r="Y1580" s="1"/>
        <tr r="Y1580" s="1"/>
      </tp>
      <tp t="s">
        <v>#N/A Requesting Data...2644902315</v>
        <stp/>
        <stp>BDP|14225358815569061548</stp>
        <tr r="Y650" s="1"/>
        <tr r="Y650" s="1"/>
      </tp>
      <tp t="s">
        <v>#N/A Requesting Data...2361012984</v>
        <stp/>
        <stp>BDP|18102529979930890049</stp>
        <tr r="AA353" s="1"/>
        <tr r="AA353" s="1"/>
      </tp>
      <tp t="s">
        <v>#N/A Requesting Data...2562837404</v>
        <stp/>
        <stp>BDP|15533832528114914111</stp>
        <tr r="AB1006" s="1"/>
        <tr r="AB1006" s="1"/>
      </tp>
      <tp t="s">
        <v>#N/A Requesting Data...3681551499</v>
        <stp/>
        <stp>BDP|12478894037427830442</stp>
        <tr r="AA573" s="1"/>
        <tr r="AA573" s="1"/>
      </tp>
      <tp t="s">
        <v>#N/A Requesting Data...2035664388</v>
        <stp/>
        <stp>BDP|16953864625437914152</stp>
        <tr r="Z1155" s="1"/>
        <tr r="Z1155" s="1"/>
      </tp>
      <tp t="s">
        <v>#N/A Requesting Data...1987454365</v>
        <stp/>
        <stp>BDP|11440969919775999647</stp>
        <tr r="AC821" s="1"/>
        <tr r="AC821" s="1"/>
      </tp>
      <tp>
        <v>7.92</v>
        <stp/>
        <stp>BDP|312652112852149590|22</stp>
        <stp>AURA US Equity</stp>
        <stp>LAST_PRICE</stp>
        <tr r="AD195" s="1"/>
        <tr r="AD195" s="1"/>
      </tp>
      <tp>
        <v>85.09</v>
        <stp/>
        <stp>BDP|519432759349890091|22</stp>
        <stp>USPH US Equity</stp>
        <stp>LAST_PRICE</stp>
        <tr r="AD1516" s="1"/>
        <tr r="AD1516" s="1"/>
      </tp>
      <tp t="s">
        <v>#N/A Requesting Data...3531970637</v>
        <stp/>
        <stp>BDP|13586420005544307887</stp>
        <tr r="Y1209" s="1"/>
        <tr r="Y1209" s="1"/>
      </tp>
      <tp t="s">
        <v>#N/A Requesting Data...1188145030</v>
        <stp/>
        <stp>BDP|12199178468329681712</stp>
        <tr r="AA1341" s="1"/>
        <tr r="AA1341" s="1"/>
      </tp>
      <tp t="s">
        <v>#N/A Requesting Data...3437191852</v>
        <stp/>
        <stp>BDP|15324488657649020656</stp>
        <tr r="Y873" s="1"/>
        <tr r="Y873" s="1"/>
      </tp>
      <tp t="s">
        <v>#N/A Requesting Data...2488803265</v>
        <stp/>
        <stp>BDP|15016904680306005999</stp>
        <tr r="AB597" s="1"/>
        <tr r="AB597" s="1"/>
      </tp>
      <tp t="s">
        <v>#N/A Requesting Data...3225350446</v>
        <stp/>
        <stp>BDP|16715748737199530085</stp>
        <tr r="AA386" s="1"/>
        <tr r="AA386" s="1"/>
      </tp>
      <tp t="s">
        <v>#N/A Requesting Data...4137002590</v>
        <stp/>
        <stp>BDP|12773985676402086500</stp>
        <tr r="Y1220" s="1"/>
        <tr r="Y1220" s="1"/>
      </tp>
      <tp t="s">
        <v>#N/A Requesting Data...1258011270</v>
        <stp/>
        <stp>BDP|12297953411927875679</stp>
        <tr r="AA566" s="1"/>
        <tr r="AA566" s="1"/>
      </tp>
      <tp t="s">
        <v>#N/A Requesting Data...2869536517</v>
        <stp/>
        <stp>BDP|15891697799227493658</stp>
        <tr r="Z429" s="1"/>
        <tr r="Z429" s="1"/>
      </tp>
      <tp t="s">
        <v>#N/A Requesting Data...3261705146</v>
        <stp/>
        <stp>BDP|17941556361257440808</stp>
        <tr r="Y705" s="1"/>
        <tr r="Y705" s="1"/>
      </tp>
      <tp t="s">
        <v>#N/A Requesting Data...3582145327</v>
        <stp/>
        <stp>BDP|14980721842339780571</stp>
        <tr r="AA485" s="1"/>
        <tr r="AA485" s="1"/>
      </tp>
      <tp t="s">
        <v>#N/A Requesting Data...4011236449</v>
        <stp/>
        <stp>BDP|15745488570839365451</stp>
        <tr r="AC428" s="1"/>
        <tr r="AC428" s="1"/>
      </tp>
      <tp t="s">
        <v>#N/A Requesting Data...2155516503</v>
        <stp/>
        <stp>BDP|12385199444614426837</stp>
        <tr r="Z471" s="1"/>
        <tr r="Z471" s="1"/>
      </tp>
      <tp t="s">
        <v>#N/A Requesting Data...1470828368</v>
        <stp/>
        <stp>BDP|11880754324718221729</stp>
        <tr r="Z1435" s="1"/>
      </tp>
      <tp t="s">
        <v>#N/A Requesting Data...1001535438</v>
        <stp/>
        <stp>BDP|15347297851480786958</stp>
        <tr r="AB304" s="1"/>
        <tr r="AB304" s="1"/>
      </tp>
      <tp t="s">
        <v>#N/A Requesting Data...3661998329</v>
        <stp/>
        <stp>BDP|12420056994823989353</stp>
        <tr r="AC1081" s="1"/>
        <tr r="AC1081" s="1"/>
      </tp>
      <tp t="s">
        <v>#N/A Requesting Data...3959185346</v>
        <stp/>
        <stp>BDP|17565700086722252182</stp>
        <tr r="Z702" s="1"/>
        <tr r="Z702" s="1"/>
      </tp>
      <tp t="s">
        <v>#N/A Requesting Data...1638948669</v>
        <stp/>
        <stp>BDP|10459010312933908979</stp>
        <tr r="Y1560" s="1"/>
        <tr r="Y1560" s="1"/>
      </tp>
      <tp t="s">
        <v>#N/A Requesting Data...3949155680</v>
        <stp/>
        <stp>BDP|10634871730716168697</stp>
        <tr r="Y831" s="1"/>
        <tr r="Y831" s="1"/>
      </tp>
      <tp>
        <v>63.22</v>
        <stp/>
        <stp>BDP|4422439092931315053|22</stp>
        <stp>CVS US Equity</stp>
        <stp>LAST_PRICE</stp>
        <tr r="AD473" s="1"/>
        <tr r="AD473" s="1"/>
      </tp>
      <tp t="s">
        <v>#N/A Requesting Data...1353989082</v>
        <stp/>
        <stp>BDP|11790235178346022946</stp>
        <tr r="Z145" s="1"/>
        <tr r="Z145" s="1"/>
      </tp>
      <tp t="s">
        <v>#N/A Requesting Data...1120965056</v>
        <stp/>
        <stp>BDP|12795071859178221436</stp>
        <tr r="Y616" s="1"/>
        <tr r="Y616" s="1"/>
      </tp>
      <tp t="s">
        <v>#N/A Requesting Data...2536715538</v>
        <stp/>
        <stp>BDP|12008146849705145948</stp>
        <tr r="Y954" s="1"/>
        <tr r="Y954" s="1"/>
      </tp>
      <tp t="s">
        <v>#N/A Requesting Data...3751541948</v>
        <stp/>
        <stp>BDP|10709499809189823679</stp>
        <tr r="AB297" s="1"/>
        <tr r="AB297" s="1"/>
      </tp>
      <tp t="s">
        <v>#N/A Requesting Data...2711410421</v>
        <stp/>
        <stp>BDP|13182169318611310945</stp>
        <tr r="AB193" s="1"/>
        <tr r="AB193" s="1"/>
      </tp>
      <tp t="s">
        <v>#N/A Requesting Data...3890241905</v>
        <stp/>
        <stp>BDP|12979720819508809723</stp>
        <tr r="Y1211" s="1"/>
        <tr r="Y1211" s="1"/>
      </tp>
      <tp t="s">
        <v>#N/A Requesting Data...2806743434</v>
        <stp/>
        <stp>BDP|15358675091846599780</stp>
        <tr r="AB1217" s="1"/>
        <tr r="AB1217" s="1"/>
      </tp>
      <tp t="s">
        <v>#N/A Requesting Data...3103146002</v>
        <stp/>
        <stp>BDP|13321136588508318937</stp>
        <tr r="AA550" s="1"/>
        <tr r="AA550" s="1"/>
      </tp>
      <tp t="s">
        <v>#N/A Requesting Data...3301710452</v>
        <stp/>
        <stp>BDP|11926824893993615869</stp>
        <tr r="Y1236" s="1"/>
        <tr r="Y1236" s="1"/>
      </tp>
      <tp t="s">
        <v>#N/A Requesting Data...1884390096</v>
        <stp/>
        <stp>BDP|15095517939989271126</stp>
        <tr r="Z656" s="1"/>
        <tr r="Z656" s="1"/>
      </tp>
      <tp t="s">
        <v>#N/A Requesting Data...3274581513</v>
        <stp/>
        <stp>BDP|15524092091731573604</stp>
        <tr r="Y465" s="1"/>
        <tr r="Y465" s="1"/>
      </tp>
      <tp t="s">
        <v>#N/A Requesting Data...2999391024</v>
        <stp/>
        <stp>BDP|11900423864171404909</stp>
        <tr r="Z724" s="1"/>
        <tr r="Z724" s="1"/>
      </tp>
      <tp t="s">
        <v>#N/A Requesting Data...1273022320</v>
        <stp/>
        <stp>BDP|10723571594744651398</stp>
        <tr r="Y1279" s="1"/>
        <tr r="Y1279" s="1"/>
      </tp>
      <tp t="s">
        <v>#N/A Requesting Data...3177573029</v>
        <stp/>
        <stp>BDP|11768735593046834248</stp>
        <tr r="AC1017" s="1"/>
        <tr r="AC1017" s="1"/>
      </tp>
      <tp t="s">
        <v>#N/A Requesting Data...1406671963</v>
        <stp/>
        <stp>BDP|13936368753787250951</stp>
        <tr r="AA637" s="1"/>
        <tr r="AA637" s="1"/>
      </tp>
      <tp t="s">
        <v>#N/A Requesting Data...2934097194</v>
        <stp/>
        <stp>BDP|14052868888378470717</stp>
        <tr r="AA1061" s="1"/>
        <tr r="AA1061" s="1"/>
      </tp>
      <tp t="s">
        <v>#N/A Requesting Data...4213714736</v>
        <stp/>
        <stp>BDP|13397496195775771031</stp>
        <tr r="AB1312" s="1"/>
        <tr r="AB1312" s="1"/>
      </tp>
      <tp t="s">
        <v>#N/A Requesting Data...3258749375</v>
        <stp/>
        <stp>BDP|16759335449678375252</stp>
        <tr r="AA244" s="1"/>
        <tr r="AA244" s="1"/>
      </tp>
      <tp t="s">
        <v>#N/A Requesting Data...2985135143</v>
        <stp/>
        <stp>BDP|16639121968748131264</stp>
        <tr r="Y104" s="1"/>
        <tr r="Y104" s="1"/>
      </tp>
      <tp t="s">
        <v>#N/A Requesting Data...1349406189</v>
        <stp/>
        <stp>BDP|10940830524281507007</stp>
        <tr r="Y775" s="1"/>
        <tr r="Y775" s="1"/>
      </tp>
      <tp t="s">
        <v>#N/A Requesting Data...2837150942</v>
        <stp/>
        <stp>BDP|13209656381561573783</stp>
        <tr r="Y113" s="1"/>
      </tp>
      <tp t="s">
        <v>#N/A Requesting Data...3671624088</v>
        <stp/>
        <stp>BDP|15472660586424605495</stp>
        <tr r="Y371" s="1"/>
        <tr r="Y371" s="1"/>
      </tp>
      <tp t="s">
        <v>#N/A Requesting Data...1127973212</v>
        <stp/>
        <stp>BDP|13629847806266718683</stp>
        <tr r="AB425" s="1"/>
        <tr r="AB425" s="1"/>
      </tp>
      <tp t="s">
        <v>#N/A Requesting Data...1271364107</v>
        <stp/>
        <stp>BDP|10881220202898463173</stp>
        <tr r="AC988" s="1"/>
        <tr r="AC988" s="1"/>
      </tp>
      <tp t="s">
        <v>#N/A Requesting Data...4256359423</v>
        <stp/>
        <stp>BDP|17218808029690732678</stp>
        <tr r="Y70" s="1"/>
        <tr r="Y70" s="1"/>
      </tp>
      <tp t="s">
        <v>#N/A Requesting Data...2829489641</v>
        <stp/>
        <stp>BDP|13939767599063888547</stp>
        <tr r="AB900" s="1"/>
        <tr r="AB900" s="1"/>
      </tp>
      <tp t="s">
        <v>#N/A Requesting Data...1843792451</v>
        <stp/>
        <stp>BDP|12133371279485285874</stp>
        <tr r="Y120" s="1"/>
        <tr r="Y120" s="1"/>
      </tp>
      <tp t="s">
        <v>#N/A Requesting Data...993508294</v>
        <stp/>
        <stp>BDP|18232785749665034599</stp>
        <tr r="AC1310" s="1"/>
        <tr r="AC1310" s="1"/>
      </tp>
      <tp t="s">
        <v>#N/A Requesting Data...1558797403</v>
        <stp/>
        <stp>BDP|13364708677028904076</stp>
        <tr r="AC1295" s="1"/>
      </tp>
      <tp t="s">
        <v>#N/A Requesting Data...1476257091</v>
        <stp/>
        <stp>BDP|16833502209818826033</stp>
        <tr r="AC933" s="1"/>
        <tr r="AC933" s="1"/>
      </tp>
      <tp t="s">
        <v>#N/A Requesting Data...2172536272</v>
        <stp/>
        <stp>BDP|16618613687944368795</stp>
        <tr r="AB1572" s="1"/>
        <tr r="AB1572" s="1"/>
      </tp>
      <tp t="s">
        <v>#N/A Requesting Data...2553205894</v>
        <stp/>
        <stp>BDP|14096191383746027003</stp>
        <tr r="Z1506" s="1"/>
        <tr r="Z1506" s="1"/>
      </tp>
      <tp t="s">
        <v>#N/A Requesting Data...2134257893</v>
        <stp/>
        <stp>BDP|11745545583204900330</stp>
        <tr r="Y1585" s="1"/>
        <tr r="Y1585" s="1"/>
      </tp>
      <tp t="s">
        <v>#N/A Requesting Data...2607869064</v>
        <stp/>
        <stp>BDP|17349609519823364834</stp>
        <tr r="AC688" s="1"/>
        <tr r="AC688" s="1"/>
      </tp>
      <tp t="s">
        <v>#N/A Requesting Data...1843740273</v>
        <stp/>
        <stp>BDP|13004480103994489856</stp>
        <tr r="AA143" s="1"/>
        <tr r="AA143" s="1"/>
      </tp>
      <tp t="s">
        <v>#N/A Requesting Data...2245085064</v>
        <stp/>
        <stp>BDP|14405696443235470806</stp>
        <tr r="Z887" s="1"/>
        <tr r="Z887" s="1"/>
      </tp>
      <tp t="s">
        <v>#N/A Requesting Data...1782459890</v>
        <stp/>
        <stp>BDP|10190084681682693146</stp>
        <tr r="Y667" s="1"/>
        <tr r="Y667" s="1"/>
      </tp>
      <tp t="s">
        <v>#N/A Requesting Data...2396825541</v>
        <stp/>
        <stp>BDP|15932372418958370485</stp>
        <tr r="Y1151" s="1"/>
        <tr r="Y1151" s="1"/>
      </tp>
      <tp t="s">
        <v>#N/A Requesting Data...1759278278</v>
        <stp/>
        <stp>BDP|14355656246874424996</stp>
        <tr r="AA1566" s="1"/>
        <tr r="AA1566" s="1"/>
      </tp>
      <tp t="s">
        <v>#N/A Requesting Data...2022296595</v>
        <stp/>
        <stp>BDP|17591924846413849240</stp>
        <tr r="AA1066" s="1"/>
        <tr r="AA1066" s="1"/>
      </tp>
      <tp t="s">
        <v>#N/A Requesting Data...2752426081</v>
        <stp/>
        <stp>BDP|13031608508207507904</stp>
        <tr r="AB1520" s="1"/>
        <tr r="AB1520" s="1"/>
      </tp>
      <tp t="s">
        <v>#N/A Requesting Data...2526241700</v>
        <stp/>
        <stp>BDP|16104254677599841167</stp>
        <tr r="AA433" s="1"/>
        <tr r="AA433" s="1"/>
      </tp>
      <tp t="s">
        <v>#N/A Requesting Data...3834787236</v>
        <stp/>
        <stp>BDP|12902677101386449962</stp>
        <tr r="Y984" s="1"/>
        <tr r="Y984" s="1"/>
      </tp>
      <tp t="s">
        <v>#N/A Requesting Data...3850496764</v>
        <stp/>
        <stp>BDP|16002302781296473086</stp>
        <tr r="Y345" s="1"/>
        <tr r="Y345" s="1"/>
      </tp>
      <tp t="s">
        <v>#N/A Requesting Data...1538885552</v>
        <stp/>
        <stp>BDP|16473522209410543874</stp>
        <tr r="AB1206" s="1"/>
        <tr r="AB1206" s="1"/>
      </tp>
      <tp t="s">
        <v>#N/A Requesting Data...2367934610</v>
        <stp/>
        <stp>BDP|17424433727512954845</stp>
        <tr r="Y1148" s="1"/>
        <tr r="Y1148" s="1"/>
      </tp>
      <tp>
        <v>3.1</v>
        <stp/>
        <stp>BDP|5765610182209708575|22</stp>
        <stp>MDP CN Equity</stp>
        <stp>LAST_PRICE</stp>
        <tr r="AD915" s="1"/>
        <tr r="AD915" s="1"/>
      </tp>
      <tp t="s">
        <v>#N/A Requesting Data...3658689849</v>
        <stp/>
        <stp>BDP|13569386802058399302</stp>
        <tr r="AC584" s="1"/>
        <tr r="AC584" s="1"/>
      </tp>
      <tp t="s">
        <v>#N/A Requesting Data...4271469840</v>
        <stp/>
        <stp>BDP|15286970860741004094</stp>
        <tr r="AC1607" s="1"/>
        <tr r="AC1607" s="1"/>
      </tp>
      <tp t="s">
        <v>#N/A Requesting Data...1435606418</v>
        <stp/>
        <stp>BDP|10032478283852916518</stp>
        <tr r="AB807" s="1"/>
        <tr r="AB807" s="1"/>
      </tp>
      <tp t="s">
        <v>#N/A Requesting Data...2736078325</v>
        <stp/>
        <stp>BDP|17020950518563569749</stp>
        <tr r="Y640" s="1"/>
        <tr r="Y640" s="1"/>
      </tp>
      <tp t="s">
        <v>#N/A Requesting Data...2492443758</v>
        <stp/>
        <stp>BDP|12401147559379187444</stp>
        <tr r="Z186" s="1"/>
        <tr r="Z186" s="1"/>
      </tp>
      <tp t="s">
        <v>#N/A Requesting Data...2708729130</v>
        <stp/>
        <stp>BDP|18401898910308747262</stp>
        <tr r="AA1227" s="1"/>
        <tr r="AA1227" s="1"/>
      </tp>
      <tp t="s">
        <v>#N/A Requesting Data...1266744662</v>
        <stp/>
        <stp>BDP|10799125738579512045</stp>
        <tr r="Z681" s="1"/>
        <tr r="Z681" s="1"/>
      </tp>
      <tp t="s">
        <v>#N/A Requesting Data...1416945267</v>
        <stp/>
        <stp>BDP|11938220897658535954</stp>
        <tr r="AC5" s="1"/>
        <tr r="AC5" s="1"/>
      </tp>
      <tp t="s">
        <v>#N/A Requesting Data...2187401255</v>
        <stp/>
        <stp>BDP|17991967158680314088</stp>
        <tr r="AB1341" s="1"/>
        <tr r="AB1341" s="1"/>
      </tp>
      <tp t="s">
        <v>#N/A Requesting Data...1707193947</v>
        <stp/>
        <stp>BDP|12103692941532053955</stp>
        <tr r="AC1026" s="1"/>
        <tr r="AC1026" s="1"/>
      </tp>
      <tp t="s">
        <v>#N/A Requesting Data...1269537178</v>
        <stp/>
        <stp>BDP|12944762195642001567</stp>
        <tr r="Y765" s="1"/>
        <tr r="Y765" s="1"/>
      </tp>
      <tp t="s">
        <v>#N/A Requesting Data...1828720682</v>
        <stp/>
        <stp>BDP|11289923342404915378</stp>
        <tr r="AB54" s="1"/>
        <tr r="AB54" s="1"/>
      </tp>
      <tp t="s">
        <v>#N/A Requesting Data...2575279016</v>
        <stp/>
        <stp>BDP|14577849475964120493</stp>
        <tr r="AA267" s="1"/>
        <tr r="AA267" s="1"/>
      </tp>
      <tp t="s">
        <v>#N/A Requesting Data...2604828410</v>
        <stp/>
        <stp>BDP|18343404043343913057</stp>
        <tr r="AC408" s="1"/>
        <tr r="AC408" s="1"/>
      </tp>
      <tp t="s">
        <v>#N/A Requesting Data...4259782458</v>
        <stp/>
        <stp>BDP|15301124448403614834</stp>
        <tr r="Z1596" s="1"/>
        <tr r="Z1596" s="1"/>
      </tp>
      <tp t="s">
        <v>#N/A Requesting Data...3460268527</v>
        <stp/>
        <stp>BDP|17583867301430427493</stp>
        <tr r="Y426" s="1"/>
        <tr r="Y426" s="1"/>
      </tp>
      <tp t="s">
        <v>#N/A Requesting Data...1593255682</v>
        <stp/>
        <stp>BDP|12372081458948956456</stp>
        <tr r="Z369" s="1"/>
        <tr r="Z369" s="1"/>
      </tp>
      <tp t="s">
        <v>#N/A Requesting Data...3485191767</v>
        <stp/>
        <stp>BDP|16479538729858622277</stp>
        <tr r="Z649" s="1"/>
        <tr r="Z649" s="1"/>
      </tp>
      <tp t="s">
        <v>#N/A Requesting Data...1238328632</v>
        <stp/>
        <stp>BDP|11772437270840368989</stp>
        <tr r="AB629" s="1"/>
        <tr r="AB629" s="1"/>
      </tp>
      <tp t="s">
        <v>#N/A Requesting Data...1481546798</v>
        <stp/>
        <stp>BDP|18157588172013294262</stp>
        <tr r="AB435" s="1"/>
        <tr r="AB435" s="1"/>
      </tp>
      <tp>
        <v>5.0000000000000001E-3</v>
        <stp/>
        <stp>BDP|7164680416564612478|22</stp>
        <stp>XCX CN Equity</stp>
        <stp>LAST_PRICE</stp>
        <tr r="AD663" s="1"/>
        <tr r="AD663" s="1"/>
      </tp>
      <tp t="s">
        <v>#N/A Requesting Data...1964477964</v>
        <stp/>
        <stp>BDP|10232675866862562983</stp>
        <tr r="Y789" s="1"/>
        <tr r="Y789" s="1"/>
      </tp>
      <tp t="s">
        <v>#N/A Requesting Data...3620129177</v>
        <stp/>
        <stp>BDP|12232329498477661403</stp>
        <tr r="AC227" s="1"/>
        <tr r="AC227" s="1"/>
      </tp>
      <tp t="s">
        <v>#N/A Requesting Data...2807374747</v>
        <stp/>
        <stp>BDP|14212215574952071891</stp>
        <tr r="AC98" s="1"/>
        <tr r="AC98" s="1"/>
      </tp>
      <tp t="s">
        <v>#N/A Requesting Data...4029481917</v>
        <stp/>
        <stp>BDP|10332971183342899812</stp>
        <tr r="Y1569" s="1"/>
        <tr r="Y1569" s="1"/>
      </tp>
      <tp t="s">
        <v>#N/A Requesting Data...1615807491</v>
        <stp/>
        <stp>BDP|13977952604955075464</stp>
        <tr r="Z973" s="1"/>
        <tr r="Z973" s="1"/>
      </tp>
      <tp t="s">
        <v>#N/A Requesting Data...3536585393</v>
        <stp/>
        <stp>BDP|14840177103298691645</stp>
        <tr r="AC234" s="1"/>
        <tr r="AC234" s="1"/>
      </tp>
      <tp t="s">
        <v>#N/A Requesting Data...1657652220</v>
        <stp/>
        <stp>BDP|13013832242677817379</stp>
        <tr r="AA1394" s="1"/>
        <tr r="AA1394" s="1"/>
      </tp>
      <tp t="s">
        <v>#N/A Requesting Data...2114785050</v>
        <stp/>
        <stp>BDP|10995226852204694818</stp>
        <tr r="Y728" s="1"/>
        <tr r="Y728" s="1"/>
      </tp>
      <tp t="s">
        <v>#N/A Requesting Data...3317239731</v>
        <stp/>
        <stp>BDP|17804260404079674724</stp>
        <tr r="AC1309" s="1"/>
        <tr r="AC1309" s="1"/>
      </tp>
      <tp t="s">
        <v>#N/A Requesting Data...1339768033</v>
        <stp/>
        <stp>BDP|18213680090154168854</stp>
        <tr r="AB523" s="1"/>
        <tr r="AB523" s="1"/>
      </tp>
      <tp t="s">
        <v>#N/A Requesting Data...3501878552</v>
        <stp/>
        <stp>BDP|15358689047444099823</stp>
        <tr r="Z594" s="1"/>
        <tr r="Z594" s="1"/>
      </tp>
      <tp t="s">
        <v>#N/A Requesting Data...1844746832</v>
        <stp/>
        <stp>BDP|11682818896573740880</stp>
        <tr r="AC15" s="1"/>
        <tr r="AC15" s="1"/>
      </tp>
      <tp t="s">
        <v>#N/A Requesting Data...2840016868</v>
        <stp/>
        <stp>BDP|13914747396694345263</stp>
        <tr r="AA715" s="1"/>
        <tr r="AA715" s="1"/>
      </tp>
      <tp t="s">
        <v>#N/A Requesting Data...3080432779</v>
        <stp/>
        <stp>BDP|15317096626214567875</stp>
        <tr r="AC741" s="1"/>
        <tr r="AC741" s="1"/>
      </tp>
      <tp t="s">
        <v>#N/A Requesting Data...1437393993</v>
        <stp/>
        <stp>BDP|17361865809267357311</stp>
        <tr r="AA1473" s="1"/>
        <tr r="AA1473" s="1"/>
      </tp>
      <tp t="s">
        <v>#N/A Requesting Data...3404400051</v>
        <stp/>
        <stp>BDP|10490582756048212390</stp>
        <tr r="AB1416" s="1"/>
        <tr r="AB1416" s="1"/>
      </tp>
      <tp t="s">
        <v>#N/A Requesting Data...4163615560</v>
        <stp/>
        <stp>BDP|13746373784594295772</stp>
        <tr r="AC1086" s="1"/>
        <tr r="AC1086" s="1"/>
      </tp>
      <tp t="s">
        <v>#N/A Requesting Data...4044496155</v>
        <stp/>
        <stp>BDP|15432329817215184918</stp>
        <tr r="AA937" s="1"/>
        <tr r="AA937" s="1"/>
      </tp>
      <tp t="s">
        <v>#N/A Requesting Data...1405565739</v>
        <stp/>
        <stp>BDP|11988366303220962944</stp>
        <tr r="Z1038" s="1"/>
        <tr r="Z1038" s="1"/>
      </tp>
      <tp t="s">
        <v>#N/A Requesting Data...3621142287</v>
        <stp/>
        <stp>BDP|11741205976546040903</stp>
        <tr r="AC732" s="1"/>
        <tr r="AC732" s="1"/>
      </tp>
      <tp t="s">
        <v>#N/A Requesting Data...2204323971</v>
        <stp/>
        <stp>BDP|14122125054098104374</stp>
        <tr r="Y866" s="1"/>
        <tr r="Y866" s="1"/>
      </tp>
      <tp t="s">
        <v>#N/A Requesting Data...3534057880</v>
        <stp/>
        <stp>BDP|12081503214355622839</stp>
        <tr r="AA588" s="1"/>
        <tr r="AA588" s="1"/>
      </tp>
      <tp t="s">
        <v>#N/A Requesting Data...3469099875</v>
        <stp/>
        <stp>BDP|15595219887685364112</stp>
        <tr r="Z1032" s="1"/>
        <tr r="Z1032" s="1"/>
      </tp>
      <tp t="s">
        <v>#N/A Requesting Data...3779508443</v>
        <stp/>
        <stp>BDP|14245903410950591766</stp>
        <tr r="AB1535" s="1"/>
        <tr r="AB1535" s="1"/>
      </tp>
      <tp t="s">
        <v>#N/A Requesting Data...2458196229</v>
        <stp/>
        <stp>BDP|10958040192366759494</stp>
        <tr r="Y1614" s="1"/>
        <tr r="Y1614" s="1"/>
      </tp>
      <tp t="s">
        <v>#N/A Requesting Data...4172515982</v>
        <stp/>
        <stp>BDP|15084028615089125674</stp>
        <tr r="AB1282" s="1"/>
        <tr r="AB1282" s="1"/>
      </tp>
      <tp t="s">
        <v>#N/A Requesting Data...3671989363</v>
        <stp/>
        <stp>BDP|11593173827998410104</stp>
        <tr r="AC819" s="1"/>
      </tp>
      <tp t="s">
        <v>#N/A Requesting Data...1614023411</v>
        <stp/>
        <stp>BDP|14314192589177530174</stp>
        <tr r="AA1557" s="1"/>
        <tr r="AA1557" s="1"/>
      </tp>
      <tp t="s">
        <v>#N/A Requesting Data...4003111281</v>
        <stp/>
        <stp>BDP|18206549178005923470</stp>
        <tr r="Z1513" s="1"/>
        <tr r="Z1513" s="1"/>
      </tp>
      <tp t="s">
        <v>#N/A Requesting Data...3471791590</v>
        <stp/>
        <stp>BDP|15141548592531133360</stp>
        <tr r="Y867" s="1"/>
        <tr r="Y867" s="1"/>
      </tp>
      <tp t="s">
        <v>#N/A Requesting Data...3755503531</v>
        <stp/>
        <stp>BDP|14753439730111219964</stp>
        <tr r="Y1482" s="1"/>
        <tr r="Y1482" s="1"/>
      </tp>
      <tp t="s">
        <v>#N/A Requesting Data...2309288079</v>
        <stp/>
        <stp>BDP|16046711673964003921</stp>
        <tr r="AC238" s="1"/>
        <tr r="AC238" s="1"/>
      </tp>
      <tp t="s">
        <v>#N/A Requesting Data...2404214107</v>
        <stp/>
        <stp>BDP|12962461105948838521</stp>
        <tr r="AB1031" s="1"/>
        <tr r="AB1031" s="1"/>
      </tp>
      <tp t="s">
        <v>#N/A Requesting Data...1961687918</v>
        <stp/>
        <stp>BDP|11817743038156732833</stp>
        <tr r="Y343" s="1"/>
        <tr r="Y343" s="1"/>
      </tp>
      <tp t="s">
        <v>#N/A Requesting Data...1917206242</v>
        <stp/>
        <stp>BDP|16219261663160504920</stp>
        <tr r="AB473" s="1"/>
        <tr r="AB473" s="1"/>
      </tp>
      <tp t="s">
        <v>#N/A Requesting Data...2006343081</v>
        <stp/>
        <stp>BDP|10643806851154110263</stp>
        <tr r="Z1047" s="1"/>
        <tr r="Z1047" s="1"/>
      </tp>
      <tp t="s">
        <v>#N/A Requesting Data...2451266028</v>
        <stp/>
        <stp>BDP|16189026943448441149</stp>
        <tr r="Z978" s="1"/>
        <tr r="Z978" s="1"/>
      </tp>
      <tp t="s">
        <v>#N/A Requesting Data...4231373596</v>
        <stp/>
        <stp>BDP|18129811745199230677</stp>
        <tr r="AC1586" s="1"/>
        <tr r="AC1586" s="1"/>
      </tp>
      <tp t="s">
        <v>#N/A Requesting Data...3743506314</v>
        <stp/>
        <stp>BDP|17021552650924799825</stp>
        <tr r="AC1231" s="1"/>
        <tr r="AC1231" s="1"/>
      </tp>
      <tp t="s">
        <v>#N/A Requesting Data...3013187789</v>
        <stp/>
        <stp>BDP|16247567653179693420</stp>
        <tr r="AA495" s="1"/>
        <tr r="AA495" s="1"/>
      </tp>
      <tp t="s">
        <v>#N/A Requesting Data...3342523089</v>
        <stp/>
        <stp>BDP|12883997509479927920</stp>
        <tr r="Y46" s="1"/>
        <tr r="Y46" s="1"/>
      </tp>
      <tp t="s">
        <v>#N/A Requesting Data...1623160442</v>
        <stp/>
        <stp>BDP|10189576493581264644</stp>
        <tr r="AB572" s="1"/>
        <tr r="AB572" s="1"/>
      </tp>
      <tp t="s">
        <v>#N/A Requesting Data...2851954649</v>
        <stp/>
        <stp>BDP|15597956133264422047</stp>
        <tr r="AA1212" s="1"/>
        <tr r="AA1212" s="1"/>
      </tp>
      <tp t="s">
        <v>#N/A Requesting Data...2284426555</v>
        <stp/>
        <stp>BDP|14460244078662326889</stp>
        <tr r="Z458" s="1"/>
        <tr r="Z458" s="1"/>
      </tp>
      <tp t="s">
        <v>#N/A Requesting Data...1679836112</v>
        <stp/>
        <stp>BDP|16010824027560668708</stp>
        <tr r="AA1282" s="1"/>
        <tr r="AA1282" s="1"/>
      </tp>
      <tp t="s">
        <v>#N/A Requesting Data...3167300490</v>
        <stp/>
        <stp>BDP|14242550243069292753</stp>
        <tr r="AA39" s="1"/>
        <tr r="AA39" s="1"/>
      </tp>
      <tp t="s">
        <v>#N/A Requesting Data...3602417196</v>
        <stp/>
        <stp>BDP|12858190092391411049</stp>
        <tr r="AB810" s="1"/>
        <tr r="AB810" s="1"/>
      </tp>
      <tp t="s">
        <v>#N/A Requesting Data...3413972414</v>
        <stp/>
        <stp>BDP|11224980472187283397</stp>
        <tr r="Y459" s="1"/>
        <tr r="Y459" s="1"/>
      </tp>
      <tp t="s">
        <v>#N/A Requesting Data...1975473153</v>
        <stp/>
        <stp>BDP|11860791617144583802</stp>
        <tr r="AB407" s="1"/>
        <tr r="AB407" s="1"/>
      </tp>
      <tp t="s">
        <v>#N/A Requesting Data...1825569417</v>
        <stp/>
        <stp>BDP|16152840337881598748</stp>
        <tr r="Z441" s="1"/>
        <tr r="Z441" s="1"/>
      </tp>
      <tp t="s">
        <v>#N/A Requesting Data...4186330394</v>
        <stp/>
        <stp>BDP|11087822464480455418</stp>
        <tr r="AA135" s="1"/>
        <tr r="AA135" s="1"/>
      </tp>
      <tp t="s">
        <v>#N/A Requesting Data...3371796447</v>
        <stp/>
        <stp>BDP|15796454882221562368</stp>
        <tr r="AC1266" s="1"/>
        <tr r="AC1266" s="1"/>
      </tp>
      <tp t="s">
        <v>#N/A Requesting Data...1224062502</v>
        <stp/>
        <stp>BDP|15662981061444446586</stp>
        <tr r="AA348" s="1"/>
        <tr r="AA348" s="1"/>
      </tp>
      <tp t="s">
        <v>#N/A Requesting Data...3421076442</v>
        <stp/>
        <stp>BDP|13081930640825087009</stp>
        <tr r="AB638" s="1"/>
        <tr r="AB638" s="1"/>
      </tp>
      <tp t="s">
        <v>#N/A Requesting Data...3529178101</v>
        <stp/>
        <stp>BDP|13829669092043955469</stp>
        <tr r="AA562" s="1"/>
        <tr r="AA562" s="1"/>
      </tp>
      <tp t="s">
        <v>#N/A Requesting Data...3360299615</v>
        <stp/>
        <stp>BDP|10508464832745642940</stp>
        <tr r="AA318" s="1"/>
        <tr r="AA318" s="1"/>
      </tp>
      <tp t="s">
        <v>#N/A Requesting Data...1057753571</v>
        <stp/>
        <stp>BDP|16069881560707258490</stp>
        <tr r="Z616" s="1"/>
        <tr r="Z616" s="1"/>
      </tp>
      <tp t="s">
        <v>#N/A Requesting Data...2985963210</v>
        <stp/>
        <stp>BDP|10617242782778599969</stp>
        <tr r="AA676" s="1"/>
        <tr r="AA676" s="1"/>
      </tp>
      <tp t="s">
        <v>#N/A Requesting Data...4136755134</v>
        <stp/>
        <stp>BDP|12359964732703591004</stp>
        <tr r="AB125" s="1"/>
        <tr r="AB125" s="1"/>
      </tp>
      <tp t="s">
        <v>#N/A Requesting Data...1552374343</v>
        <stp/>
        <stp>BDP|15503079805526330865</stp>
        <tr r="Y575" s="1"/>
        <tr r="Y575" s="1"/>
      </tp>
      <tp t="s">
        <v>#N/A Requesting Data...3101441116</v>
        <stp/>
        <stp>BDP|12497842374025359356</stp>
        <tr r="Z456" s="1"/>
        <tr r="Z456" s="1"/>
      </tp>
      <tp t="s">
        <v>#N/A Requesting Data...2860063321</v>
        <stp/>
        <stp>BDP|16740656097881177365</stp>
        <tr r="AB1238" s="1"/>
        <tr r="AB1238" s="1"/>
      </tp>
      <tp t="s">
        <v>#N/A Requesting Data...3697219486</v>
        <stp/>
        <stp>BDP|17695300592223208543</stp>
        <tr r="Y957" s="1"/>
        <tr r="Y957" s="1"/>
      </tp>
      <tp t="s">
        <v>#N/A Requesting Data...2494453920</v>
        <stp/>
        <stp>BDP|12923256179635733909</stp>
        <tr r="AB1177" s="1"/>
        <tr r="AB1177" s="1"/>
      </tp>
      <tp t="s">
        <v>#N/A Requesting Data...2068335829</v>
        <stp/>
        <stp>BDP|12382894566624773393</stp>
        <tr r="Z1445" s="1"/>
        <tr r="Z1445" s="1"/>
      </tp>
      <tp t="s">
        <v>#N/A Requesting Data...1862646516</v>
        <stp/>
        <stp>BDP|17079467583455403539</stp>
        <tr r="AB657" s="1"/>
        <tr r="AB657" s="1"/>
      </tp>
      <tp t="s">
        <v>#N/A Requesting Data...1602660463</v>
        <stp/>
        <stp>BDP|17568713986867685469</stp>
        <tr r="Z60" s="1"/>
        <tr r="Z60" s="1"/>
      </tp>
      <tp t="s">
        <v>#N/A Requesting Data...1995053059</v>
        <stp/>
        <stp>BDP|10043445296163339531</stp>
        <tr r="AB120" s="1"/>
        <tr r="AB120" s="1"/>
      </tp>
      <tp t="s">
        <v>#N/A Requesting Data...1755440488</v>
        <stp/>
        <stp>BDP|13313340523030629903</stp>
        <tr r="AC1179" s="1"/>
        <tr r="AC1179" s="1"/>
      </tp>
      <tp t="s">
        <v>#N/A Requesting Data...1326371373</v>
        <stp/>
        <stp>BDP|12344665847523734877</stp>
        <tr r="AA1057" s="1"/>
        <tr r="AA1057" s="1"/>
      </tp>
      <tp t="s">
        <v>#N/A Requesting Data...3219177223</v>
        <stp/>
        <stp>BDP|13167044365548227602</stp>
        <tr r="AA995" s="1"/>
        <tr r="AA995" s="1"/>
      </tp>
      <tp t="s">
        <v>#N/A Requesting Data...2176036676</v>
        <stp/>
        <stp>BDP|11221333812111523944</stp>
        <tr r="AA1002" s="1"/>
        <tr r="AA1002" s="1"/>
      </tp>
      <tp t="s">
        <v>#N/A Requesting Data...2827287035</v>
        <stp/>
        <stp>BDP|15926714454879789592</stp>
        <tr r="Y1539" s="1"/>
        <tr r="Y1539" s="1"/>
      </tp>
      <tp t="s">
        <v>#N/A Requesting Data...2809233224</v>
        <stp/>
        <stp>BDP|12157431495505715124</stp>
        <tr r="Z1575" s="1"/>
        <tr r="Z1575" s="1"/>
      </tp>
      <tp t="s">
        <v>#N/A Requesting Data...4155336397</v>
        <stp/>
        <stp>BDP|12518083418278749000</stp>
        <tr r="Z210" s="1"/>
        <tr r="Z210" s="1"/>
      </tp>
      <tp t="s">
        <v>#N/A Requesting Data...1831695605</v>
        <stp/>
        <stp>BDP|17899036466722140896</stp>
        <tr r="AB1400" s="1"/>
        <tr r="AB1400" s="1"/>
      </tp>
      <tp t="s">
        <v>#N/A Requesting Data...4039912714</v>
        <stp/>
        <stp>BDP|12451351641727489912</stp>
        <tr r="AA532" s="1"/>
        <tr r="AA532" s="1"/>
      </tp>
      <tp t="s">
        <v>#N/A Requesting Data...2082505229</v>
        <stp/>
        <stp>BDP|13849964089250692944</stp>
        <tr r="AA394" s="1"/>
        <tr r="AA394" s="1"/>
      </tp>
      <tp t="s">
        <v>#N/A Requesting Data...2542920452</v>
        <stp/>
        <stp>BDP|14840252424349981652</stp>
        <tr r="Z196" s="1"/>
        <tr r="Z196" s="1"/>
      </tp>
      <tp t="s">
        <v>#N/A Requesting Data...3197010359</v>
        <stp/>
        <stp>BDP|15150802507890319600</stp>
        <tr r="AB769" s="1"/>
        <tr r="AB769" s="1"/>
      </tp>
      <tp t="s">
        <v>#N/A Requesting Data...1421664888</v>
        <stp/>
        <stp>BDP|17153036797027785276</stp>
        <tr r="AA272" s="1"/>
        <tr r="AA272" s="1"/>
      </tp>
      <tp t="s">
        <v>#N/A Requesting Data...2244558672</v>
        <stp/>
        <stp>BDP|12647938440373658769</stp>
        <tr r="AA523" s="1"/>
        <tr r="AA523" s="1"/>
      </tp>
      <tp t="s">
        <v>#N/A Requesting Data...2512067391</v>
        <stp/>
        <stp>BDP|14599091417858950676</stp>
        <tr r="AB1043" s="1"/>
        <tr r="AB1043" s="1"/>
      </tp>
      <tp t="s">
        <v>#N/A Requesting Data...1538560902</v>
        <stp/>
        <stp>BDP|18316021404571772271</stp>
        <tr r="AC811" s="1"/>
        <tr r="AC811" s="1"/>
      </tp>
      <tp t="s">
        <v>#N/A Requesting Data...3243213684</v>
        <stp/>
        <stp>BDP|15050163286592156547</stp>
        <tr r="AA956" s="1"/>
        <tr r="AA956" s="1"/>
      </tp>
      <tp t="s">
        <v>#N/A Requesting Data...4268579670</v>
        <stp/>
        <stp>BDP|10862329599026697706</stp>
        <tr r="AB469" s="1"/>
        <tr r="AB469" s="1"/>
      </tp>
      <tp t="s">
        <v>#N/A Requesting Data...2571381723</v>
        <stp/>
        <stp>BDP|18005096689382769923</stp>
        <tr r="AC543" s="1"/>
        <tr r="AC543" s="1"/>
      </tp>
      <tp t="s">
        <v>#N/A Requesting Data...3239947272</v>
        <stp/>
        <stp>BDP|15143256340460872896</stp>
        <tr r="Z408" s="1"/>
        <tr r="Z408" s="1"/>
      </tp>
      <tp t="s">
        <v>#N/A Requesting Data...1317293165</v>
        <stp/>
        <stp>BDP|15406097549668560241</stp>
        <tr r="AB144" s="1"/>
        <tr r="AB144" s="1"/>
      </tp>
      <tp t="s">
        <v>#N/A Requesting Data...1306445873</v>
        <stp/>
        <stp>BDP|15034781598659604932</stp>
        <tr r="AB1087" s="1"/>
        <tr r="AB1087" s="1"/>
      </tp>
      <tp t="s">
        <v>#N/A Requesting Data...2591349209</v>
        <stp/>
        <stp>BDP|18384274032967514560</stp>
        <tr r="AA756" s="1"/>
        <tr r="AA756" s="1"/>
      </tp>
      <tp t="s">
        <v>#N/A Requesting Data...1643026394</v>
        <stp/>
        <stp>BDP|15750511546097164859</stp>
        <tr r="AC677" s="1"/>
        <tr r="AC677" s="1"/>
      </tp>
      <tp t="s">
        <v>#N/A Requesting Data...2348212758</v>
        <stp/>
        <stp>BDP|18097353836785559622</stp>
        <tr r="Z1386" s="1"/>
        <tr r="Z1386" s="1"/>
      </tp>
      <tp t="s">
        <v>#N/A Requesting Data...3918623040</v>
        <stp/>
        <stp>BDP|13477500176162765819</stp>
        <tr r="AA1589" s="1"/>
        <tr r="AA1589" s="1"/>
      </tp>
      <tp t="s">
        <v>#N/A Requesting Data...3042001023</v>
        <stp/>
        <stp>BDP|16766496829732192926</stp>
        <tr r="AA1039" s="1"/>
        <tr r="AA1039" s="1"/>
      </tp>
      <tp t="s">
        <v>#N/A Requesting Data...2345122005</v>
        <stp/>
        <stp>BDP|11137620806288991480</stp>
        <tr r="Y1361" s="1"/>
        <tr r="Y1361" s="1"/>
      </tp>
      <tp t="s">
        <v>#N/A Requesting Data...4072406831</v>
        <stp/>
        <stp>BDP|11934959359146103003</stp>
        <tr r="AA560" s="1"/>
        <tr r="AA560" s="1"/>
      </tp>
      <tp t="s">
        <v>#N/A Requesting Data...3057591582</v>
        <stp/>
        <stp>BDP|16092774443307425944</stp>
        <tr r="AC1152" s="1"/>
        <tr r="AC1152" s="1"/>
      </tp>
      <tp t="s">
        <v>#N/A Requesting Data...2617191739</v>
        <stp/>
        <stp>BDP|12211508370198223345</stp>
        <tr r="AB1037" s="1"/>
        <tr r="AB1037" s="1"/>
      </tp>
      <tp t="s">
        <v>#N/A Requesting Data...1252940434</v>
        <stp/>
        <stp>BDP|16641036436536735807</stp>
        <tr r="Z1289" s="1"/>
        <tr r="Z1289" s="1"/>
      </tp>
      <tp t="s">
        <v>#N/A Requesting Data...1193497116</v>
        <stp/>
        <stp>BDP|12625152490390540126</stp>
        <tr r="AB863" s="1"/>
        <tr r="AB863" s="1"/>
      </tp>
      <tp t="s">
        <v>#N/A Requesting Data...3428369929</v>
        <stp/>
        <stp>BDP|16611825576517572537</stp>
        <tr r="AA367" s="1"/>
        <tr r="AA367" s="1"/>
      </tp>
      <tp t="s">
        <v>#N/A Requesting Data...2220821934</v>
        <stp/>
        <stp>BDP|14148147382465734344</stp>
        <tr r="Y1322" s="1"/>
        <tr r="Y1322" s="1"/>
      </tp>
      <tp t="s">
        <v>#N/A Requesting Data...3448176966</v>
        <stp/>
        <stp>BDP|11499059165984554859</stp>
        <tr r="AB684" s="1"/>
        <tr r="AB684" s="1"/>
      </tp>
      <tp t="s">
        <v>#N/A Requesting Data...1540016254</v>
        <stp/>
        <stp>BDP|18337149196033748816</stp>
        <tr r="AA907" s="1"/>
        <tr r="AA907" s="1"/>
      </tp>
      <tp t="s">
        <v>#N/A Requesting Data...3621761904</v>
        <stp/>
        <stp>BDP|16518808702624335133</stp>
        <tr r="AB46" s="1"/>
        <tr r="AB46" s="1"/>
      </tp>
      <tp t="s">
        <v>#N/A Requesting Data...1416403215</v>
        <stp/>
        <stp>BDP|13669499803688914426</stp>
        <tr r="AA1355" s="1"/>
        <tr r="AA1355" s="1"/>
      </tp>
      <tp t="s">
        <v>#N/A Requesting Data...2609355253</v>
        <stp/>
        <stp>BDP|12890311459819790604</stp>
        <tr r="AA73" s="1"/>
        <tr r="AA73" s="1"/>
      </tp>
      <tp t="s">
        <v>#N/A Requesting Data...3224773897</v>
        <stp/>
        <stp>BDP|17754428468578916635</stp>
        <tr r="AC600" s="1"/>
        <tr r="AC600" s="1"/>
      </tp>
      <tp t="s">
        <v>#N/A Requesting Data...2174350956</v>
        <stp/>
        <stp>BDP|17447172442628114172</stp>
        <tr r="Z583" s="1"/>
        <tr r="Z583" s="1"/>
      </tp>
      <tp t="s">
        <v>#N/A Requesting Data...3911582421</v>
        <stp/>
        <stp>BDP|11125815756163124407</stp>
        <tr r="Y608" s="1"/>
        <tr r="Y608" s="1"/>
      </tp>
      <tp t="s">
        <v>#N/A Requesting Data...3357299827</v>
        <stp/>
        <stp>BDP|12175862836193647103</stp>
        <tr r="AA1406" s="1"/>
        <tr r="AA1406" s="1"/>
      </tp>
      <tp t="s">
        <v>#N/A Requesting Data...2877309964</v>
        <stp/>
        <stp>BDP|13514853350595712006</stp>
        <tr r="Y683" s="1"/>
        <tr r="Y683" s="1"/>
      </tp>
      <tp t="s">
        <v>#N/A Requesting Data...2963391498</v>
        <stp/>
        <stp>BDP|14890100598254349348</stp>
        <tr r="AB1213" s="1"/>
        <tr r="AB1213" s="1"/>
      </tp>
      <tp t="s">
        <v>#N/A Requesting Data...2554182655</v>
        <stp/>
        <stp>BDP|11991729581572818752</stp>
        <tr r="Y1065" s="1"/>
        <tr r="Y1065" s="1"/>
      </tp>
      <tp t="s">
        <v>#N/A Requesting Data...4210117291</v>
        <stp/>
        <stp>BDP|11400540509028714797</stp>
        <tr r="AC1247" s="1"/>
        <tr r="AC1247" s="1"/>
      </tp>
      <tp t="s">
        <v>#N/A Requesting Data...3170508321</v>
        <stp/>
        <stp>BDP|18106510027294913096</stp>
        <tr r="AC54" s="1"/>
        <tr r="AC54" s="1"/>
      </tp>
      <tp t="s">
        <v>#N/A Requesting Data...1088146920</v>
        <stp/>
        <stp>BDP|14334541943648616650</stp>
        <tr r="Z1413" s="1"/>
        <tr r="Z1413" s="1"/>
      </tp>
      <tp t="s">
        <v>#N/A Requesting Data...3354924966</v>
        <stp/>
        <stp>BDP|15993308949491055874</stp>
        <tr r="AC536" s="1"/>
        <tr r="AC536" s="1"/>
      </tp>
      <tp t="s">
        <v>#N/A Requesting Data...4036267030</v>
        <stp/>
        <stp>BDP|12561286795271999370</stp>
        <tr r="AA29" s="1"/>
        <tr r="AA29" s="1"/>
      </tp>
      <tp t="s">
        <v>#N/A Requesting Data...2970174745</v>
        <stp/>
        <stp>BDP|16487972067206311412</stp>
        <tr r="AC1138" s="1"/>
        <tr r="AC1138" s="1"/>
      </tp>
      <tp t="s">
        <v>#N/A Requesting Data...3082132007</v>
        <stp/>
        <stp>BDP|16376829641330257142</stp>
        <tr r="AC90" s="1"/>
        <tr r="AC90" s="1"/>
      </tp>
      <tp t="s">
        <v>#N/A Requesting Data...3422479541</v>
        <stp/>
        <stp>BDP|12943188280074340441</stp>
        <tr r="Z780" s="1"/>
        <tr r="Z780" s="1"/>
      </tp>
      <tp t="s">
        <v>#N/A Requesting Data...4254095589</v>
        <stp/>
        <stp>BDP|10799852648323902450</stp>
        <tr r="Z444" s="1"/>
        <tr r="Z444" s="1"/>
      </tp>
      <tp t="s">
        <v>#N/A Requesting Data...2886358411</v>
        <stp/>
        <stp>BDP|13516977160183177458</stp>
        <tr r="AA1229" s="1"/>
        <tr r="AA1229" s="1"/>
      </tp>
      <tp t="s">
        <v>#N/A Requesting Data...4159129226</v>
        <stp/>
        <stp>BDP|11015506500386493925</stp>
        <tr r="AC731" s="1"/>
        <tr r="AC731" s="1"/>
      </tp>
      <tp t="s">
        <v>#N/A Requesting Data...3036234873</v>
        <stp/>
        <stp>BDP|11740527372310897896</stp>
        <tr r="Z1319" s="1"/>
        <tr r="Z1319" s="1"/>
      </tp>
      <tp t="s">
        <v>#N/A Requesting Data...1939364545</v>
        <stp/>
        <stp>BDP|12120437033316194863</stp>
        <tr r="AB301" s="1"/>
        <tr r="AB301" s="1"/>
      </tp>
      <tp t="s">
        <v>#N/A Requesting Data...2767294181</v>
        <stp/>
        <stp>BDP|11166938696333494968</stp>
        <tr r="Z100" s="1"/>
        <tr r="Z100" s="1"/>
      </tp>
      <tp t="s">
        <v>#N/A Requesting Data...2120771357</v>
        <stp/>
        <stp>BDP|11189614883695385161</stp>
        <tr r="AA1437" s="1"/>
        <tr r="AA1437" s="1"/>
      </tp>
      <tp t="s">
        <v>#N/A Requesting Data...3918599074</v>
        <stp/>
        <stp>BDP|18046835715389119310</stp>
        <tr r="Y857" s="1"/>
        <tr r="Y857" s="1"/>
      </tp>
      <tp t="s">
        <v>#N/A Requesting Data...3173200727</v>
        <stp/>
        <stp>BDP|16279127757458377122</stp>
        <tr r="Y1132" s="1"/>
        <tr r="Y1132" s="1"/>
      </tp>
      <tp t="s">
        <v>#N/A Requesting Data...1326429340</v>
        <stp/>
        <stp>BDP|18249339235313596076</stp>
        <tr r="Y41" s="1"/>
        <tr r="Y41" s="1"/>
      </tp>
      <tp t="s">
        <v>#N/A Requesting Data...2660855649</v>
        <stp/>
        <stp>BDP|18330556285109200773</stp>
        <tr r="Z1103" s="1"/>
        <tr r="Z1103" s="1"/>
      </tp>
      <tp t="s">
        <v>#N/A Requesting Data...1462826702</v>
        <stp/>
        <stp>BDP|15321622111789523030</stp>
        <tr r="AC805" s="1"/>
        <tr r="AC805" s="1"/>
      </tp>
      <tp t="s">
        <v>#N/A Requesting Data...1162174242</v>
        <stp/>
        <stp>BDP|15165223665568773272</stp>
        <tr r="AC1362" s="1"/>
        <tr r="AC1362" s="1"/>
      </tp>
      <tp t="s">
        <v>#N/A N/A</v>
        <stp/>
        <stp>BDP|1491752945960341978|22</stp>
        <stp>THC CN Equity</stp>
        <stp>LAST_PRICE</stp>
        <tr r="AD1458" s="1"/>
      </tp>
      <tp>
        <v>1.92</v>
        <stp/>
        <stp>BDP|8042180790734132079|22</stp>
        <stp>OGI CN Equity</stp>
        <stp>LAST_PRICE</stp>
        <tr r="AD1106" s="1"/>
        <tr r="AD1106" s="1"/>
      </tp>
      <tp>
        <v>1.33</v>
        <stp/>
        <stp>BDP|7371436218369557053|22</stp>
        <stp>CUE US Equity</stp>
        <stp>LAST_PRICE</stp>
        <tr r="AD464" s="1"/>
        <tr r="AD464" s="1"/>
      </tp>
      <tp>
        <v>0.1038</v>
        <stp/>
        <stp>BDP|682676089493567638|22</stp>
        <stp>CNSP US Equity</stp>
        <stp>LAST_PRICE</stp>
        <tr r="AD417" s="1"/>
        <tr r="AD417" s="1"/>
      </tp>
      <tp t="s">
        <v>#N/A Requesting Data...2932420714</v>
        <stp/>
        <stp>BDP|12136313559784558859</stp>
        <tr r="AB899" s="1"/>
        <tr r="AB899" s="1"/>
      </tp>
      <tp t="s">
        <v>#N/A Requesting Data...2539553198</v>
        <stp/>
        <stp>BDP|15222095137896267873</stp>
        <tr r="AC782" s="1"/>
        <tr r="AC782" s="1"/>
      </tp>
      <tp t="s">
        <v>#N/A Requesting Data...3703956986</v>
        <stp/>
        <stp>BDP|16436730897894920403</stp>
        <tr r="Y742" s="1"/>
        <tr r="Y742" s="1"/>
      </tp>
      <tp t="s">
        <v>#N/A Requesting Data...2273169686</v>
        <stp/>
        <stp>BDP|12180827147851854758</stp>
        <tr r="AC1265" s="1"/>
        <tr r="AC1265" s="1"/>
      </tp>
      <tp t="s">
        <v>#N/A Requesting Data...2416301745</v>
        <stp/>
        <stp>BDP|16259004280857395189</stp>
        <tr r="AB132" s="1"/>
        <tr r="AB132" s="1"/>
      </tp>
      <tp t="s">
        <v>#N/A Requesting Data...3121214475</v>
        <stp/>
        <stp>BDP|13110061991452849078</stp>
        <tr r="AC1092" s="1"/>
        <tr r="AC1092" s="1"/>
      </tp>
      <tp t="s">
        <v>#N/A Requesting Data...3379152965</v>
        <stp/>
        <stp>BDP|11190917144272914645</stp>
        <tr r="Y1093" s="1"/>
        <tr r="Y1093" s="1"/>
      </tp>
      <tp t="s">
        <v>#N/A Requesting Data...3653636104</v>
        <stp/>
        <stp>BDP|15121381842602220809</stp>
        <tr r="Z1453" s="1"/>
        <tr r="Z1453" s="1"/>
      </tp>
      <tp t="s">
        <v>#N/A Requesting Data...3796299378</v>
        <stp/>
        <stp>BDP|12439068150358206796</stp>
        <tr r="Z1528" s="1"/>
        <tr r="Z1528" s="1"/>
      </tp>
      <tp t="s">
        <v>#N/A Requesting Data...3478619928</v>
        <stp/>
        <stp>BDP|16487606688421169142</stp>
        <tr r="AB610" s="1"/>
        <tr r="AB610" s="1"/>
      </tp>
      <tp t="s">
        <v>#N/A Requesting Data...2911933387</v>
        <stp/>
        <stp>BDP|11328436387361881462</stp>
        <tr r="Z1617" s="1"/>
        <tr r="Z1617" s="1"/>
      </tp>
      <tp t="s">
        <v>#N/A Requesting Data...2328320384</v>
        <stp/>
        <stp>BDP|10896131685363718207</stp>
        <tr r="AC201" s="1"/>
        <tr r="AC201" s="1"/>
      </tp>
      <tp t="s">
        <v>#N/A Requesting Data...2832824465</v>
        <stp/>
        <stp>BDP|17380098909896298982</stp>
        <tr r="AC386" s="1"/>
        <tr r="AC386" s="1"/>
      </tp>
      <tp t="s">
        <v>#N/A Requesting Data...4145200614</v>
        <stp/>
        <stp>BDP|16977323012548639460</stp>
        <tr r="Z94" s="1"/>
        <tr r="Z94" s="1"/>
      </tp>
      <tp t="s">
        <v>#N/A Requesting Data...4142324795</v>
        <stp/>
        <stp>BDP|10424103255909937519</stp>
        <tr r="Y1395" s="1"/>
        <tr r="Y1395" s="1"/>
      </tp>
      <tp t="s">
        <v>#N/A Requesting Data...1415857391</v>
        <stp/>
        <stp>BDP|17649365495756890348</stp>
        <tr r="AA901" s="1"/>
        <tr r="AA901" s="1"/>
      </tp>
      <tp t="s">
        <v>#N/A Requesting Data...2545656529</v>
        <stp/>
        <stp>BDP|14157368890860802663</stp>
        <tr r="AC777" s="1"/>
        <tr r="AC777" s="1"/>
      </tp>
      <tp t="s">
        <v>#N/A Requesting Data...4003064365</v>
        <stp/>
        <stp>BDP|16435210588516507213</stp>
        <tr r="AB148" s="1"/>
        <tr r="AB148" s="1"/>
      </tp>
      <tp t="s">
        <v>#N/A Requesting Data...3390466703</v>
        <stp/>
        <stp>BDP|13898084169199032414</stp>
        <tr r="AA107" s="1"/>
        <tr r="AA107" s="1"/>
      </tp>
      <tp t="s">
        <v>#N/A Requesting Data...1517861249</v>
        <stp/>
        <stp>BDP|10476813472992634594</stp>
        <tr r="Y1417" s="1"/>
        <tr r="Y1417" s="1"/>
      </tp>
      <tp t="s">
        <v>#N/A Requesting Data...3632878951</v>
        <stp/>
        <stp>BDP|11251578635926850908</stp>
        <tr r="Y245" s="1"/>
        <tr r="Y245" s="1"/>
      </tp>
      <tp t="s">
        <v>#N/A Requesting Data...4129686143</v>
        <stp/>
        <stp>BDP|15855732119588843328</stp>
        <tr r="AA85" s="1"/>
        <tr r="AA85" s="1"/>
      </tp>
      <tp t="s">
        <v>#N/A Requesting Data...2999503332</v>
        <stp/>
        <stp>BDP|10650435108404436819</stp>
        <tr r="Z1084" s="1"/>
        <tr r="Z1084" s="1"/>
      </tp>
      <tp t="s">
        <v>#N/A Requesting Data...4030004638</v>
        <stp/>
        <stp>BDP|10214069638462772935</stp>
        <tr r="Z172" s="1"/>
        <tr r="Z172" s="1"/>
      </tp>
      <tp t="s">
        <v>#N/A Requesting Data...1139673442</v>
        <stp/>
        <stp>BDP|17042048269849310066</stp>
        <tr r="AA998" s="1"/>
        <tr r="AA998" s="1"/>
      </tp>
      <tp t="s">
        <v>#N/A Requesting Data...2521172829</v>
        <stp/>
        <stp>BDP|16714837719951077659</stp>
        <tr r="Y856" s="1"/>
        <tr r="Y856" s="1"/>
      </tp>
      <tp t="s">
        <v>#N/A Requesting Data...1701655893</v>
        <stp/>
        <stp>BDP|10100288044307129949</stp>
        <tr r="Z1332" s="1"/>
        <tr r="Z1332" s="1"/>
      </tp>
      <tp t="s">
        <v>#N/A Requesting Data...4169660908</v>
        <stp/>
        <stp>BDP|13200604298740024421</stp>
        <tr r="Z755" s="1"/>
        <tr r="Z755" s="1"/>
      </tp>
      <tp t="s">
        <v>#N/A Requesting Data...1629847667</v>
        <stp/>
        <stp>BDP|17658554399417319413</stp>
        <tr r="AA422" s="1"/>
        <tr r="AA422" s="1"/>
      </tp>
      <tp t="s">
        <v>#N/A Requesting Data...1836060322</v>
        <stp/>
        <stp>BDP|12957833726766578610</stp>
        <tr r="AA852" s="1"/>
        <tr r="AA852" s="1"/>
      </tp>
      <tp t="s">
        <v>#N/A Requesting Data...3434010577</v>
        <stp/>
        <stp>BDP|11108960941492923670</stp>
        <tr r="Z1096" s="1"/>
        <tr r="Z1096" s="1"/>
      </tp>
      <tp t="s">
        <v>#N/A Requesting Data...1621130556</v>
        <stp/>
        <stp>BDP|12855085191786116580</stp>
        <tr r="AC1529" s="1"/>
        <tr r="AC1529" s="1"/>
      </tp>
      <tp t="s">
        <v>#N/A Requesting Data...3723836507</v>
        <stp/>
        <stp>BDP|11122293493506169427</stp>
        <tr r="AB539" s="1"/>
        <tr r="AB539" s="1"/>
      </tp>
      <tp t="s">
        <v>#N/A Requesting Data...1296625118</v>
        <stp/>
        <stp>BDP|16333872635463888619</stp>
        <tr r="Y388" s="1"/>
        <tr r="Y388" s="1"/>
      </tp>
      <tp t="s">
        <v>#N/A Requesting Data...2912745580</v>
        <stp/>
        <stp>BDP|11595619089316246173</stp>
        <tr r="AC1250" s="1"/>
        <tr r="AC1250" s="1"/>
      </tp>
      <tp t="s">
        <v>#N/A Requesting Data...1741950774</v>
        <stp/>
        <stp>BDP|15667196497714120111</stp>
        <tr r="AA312" s="1"/>
        <tr r="AA312" s="1"/>
      </tp>
      <tp t="s">
        <v>#N/A Requesting Data...3732562627</v>
        <stp/>
        <stp>BDP|10001656048479380351</stp>
        <tr r="Y401" s="1"/>
        <tr r="Y401" s="1"/>
      </tp>
      <tp t="s">
        <v>#N/A Requesting Data...2872038620</v>
        <stp/>
        <stp>BDP|10964383925709815079</stp>
        <tr r="Z1224" s="1"/>
        <tr r="Z1224" s="1"/>
      </tp>
      <tp t="s">
        <v>#N/A Requesting Data...1734704689</v>
        <stp/>
        <stp>BDP|11078490859689880133</stp>
        <tr r="Z1277" s="1"/>
        <tr r="Z1277" s="1"/>
      </tp>
      <tp t="s">
        <v>#N/A Requesting Data...3008356645</v>
        <stp/>
        <stp>BDP|12139444419847228857</stp>
        <tr r="Z334" s="1"/>
        <tr r="Z334" s="1"/>
      </tp>
      <tp t="s">
        <v>#N/A Requesting Data...3839301722</v>
        <stp/>
        <stp>BDP|14731538686815831419</stp>
        <tr r="AA724" s="1"/>
        <tr r="AA724" s="1"/>
      </tp>
      <tp t="s">
        <v>#N/A Requesting Data...1645694933</v>
        <stp/>
        <stp>BDP|15755989013802692714</stp>
        <tr r="AC494" s="1"/>
        <tr r="AC494" s="1"/>
      </tp>
      <tp t="s">
        <v>#N/A Requesting Data...1775377574</v>
        <stp/>
        <stp>BDP|17999035960739278033</stp>
        <tr r="AC1474" s="1"/>
        <tr r="AC1474" s="1"/>
      </tp>
      <tp t="s">
        <v>#N/A Requesting Data...2837110266</v>
        <stp/>
        <stp>BDP|16995913590568762646</stp>
        <tr r="AC1512" s="1"/>
      </tp>
      <tp t="s">
        <v>#N/A Requesting Data...1226650544</v>
        <stp/>
        <stp>BDP|15994216456432406815</stp>
        <tr r="Y1518" s="1"/>
        <tr r="Y1518" s="1"/>
      </tp>
      <tp t="s">
        <v>#N/A Requesting Data...3586577389</v>
        <stp/>
        <stp>BDP|15494993507545363124</stp>
        <tr r="Y1370" s="1"/>
        <tr r="Y1370" s="1"/>
      </tp>
      <tp t="s">
        <v>#N/A Requesting Data...3615806637</v>
        <stp/>
        <stp>BDP|12879519793072393424</stp>
        <tr r="AB558" s="1"/>
        <tr r="AB558" s="1"/>
      </tp>
      <tp t="s">
        <v>#N/A Requesting Data...2076886861</v>
        <stp/>
        <stp>BDP|18339691524221548507</stp>
        <tr r="AA662" s="1"/>
        <tr r="AA662" s="1"/>
      </tp>
      <tp t="s">
        <v>#N/A Requesting Data...3720404950</v>
        <stp/>
        <stp>BDP|14601386032208552422</stp>
        <tr r="AC409" s="1"/>
        <tr r="AC409" s="1"/>
      </tp>
      <tp t="s">
        <v>#N/A Requesting Data...1527012270</v>
        <stp/>
        <stp>BDP|10571146550379819521</stp>
        <tr r="AC1394" s="1"/>
        <tr r="AC1394" s="1"/>
      </tp>
      <tp t="s">
        <v>#N/A Requesting Data...3489002037</v>
        <stp/>
        <stp>BDP|13850907053253895489</stp>
        <tr r="AB165" s="1"/>
        <tr r="AB165" s="1"/>
      </tp>
      <tp t="s">
        <v>#N/A Requesting Data...4071404158</v>
        <stp/>
        <stp>BDP|17514185380423506530</stp>
        <tr r="AA690" s="1"/>
        <tr r="AA690" s="1"/>
      </tp>
      <tp t="s">
        <v>#N/A Requesting Data...1414033634</v>
        <stp/>
        <stp>BDP|12383885053751399604</stp>
        <tr r="AB852" s="1"/>
        <tr r="AB852" s="1"/>
      </tp>
      <tp t="s">
        <v>#N/A Requesting Data...1160592658</v>
        <stp/>
        <stp>BDP|12803987529378004920</stp>
        <tr r="Y730" s="1"/>
        <tr r="Y730" s="1"/>
      </tp>
      <tp t="s">
        <v>#N/A Requesting Data...3905714063</v>
        <stp/>
        <stp>BDP|17468706485862248288</stp>
        <tr r="AB271" s="1"/>
        <tr r="AB271" s="1"/>
      </tp>
      <tp t="s">
        <v>#N/A Requesting Data...2235530109</v>
        <stp/>
        <stp>BDP|15721360598125402279</stp>
        <tr r="Z1335" s="1"/>
        <tr r="Z1335" s="1"/>
      </tp>
      <tp t="s">
        <v>#N/A Requesting Data...3160594625</v>
        <stp/>
        <stp>BDP|15180547359605177871</stp>
        <tr r="AA1164" s="1"/>
        <tr r="AA1164" s="1"/>
      </tp>
      <tp t="s">
        <v>#N/A Requesting Data...3669702562</v>
        <stp/>
        <stp>BDP|11432578989230862483</stp>
        <tr r="Z17" s="1"/>
        <tr r="Z17" s="1"/>
      </tp>
      <tp t="s">
        <v>#N/A Requesting Data...1163197045</v>
        <stp/>
        <stp>BDP|15519293643709145242</stp>
        <tr r="AA1233" s="1"/>
        <tr r="AA1233" s="1"/>
      </tp>
      <tp t="s">
        <v>#N/A Requesting Data...2216546203</v>
        <stp/>
        <stp>BDP|12665095516203478877</stp>
        <tr r="AC483" s="1"/>
        <tr r="AC483" s="1"/>
      </tp>
      <tp t="s">
        <v>#N/A Requesting Data...2700071977</v>
        <stp/>
        <stp>BDP|10929530866368321352</stp>
        <tr r="Z288" s="1"/>
        <tr r="Z288" s="1"/>
      </tp>
      <tp t="s">
        <v>#N/A Requesting Data...3877747517</v>
        <stp/>
        <stp>BDP|11446024797284910423</stp>
        <tr r="AA205" s="1"/>
        <tr r="AA205" s="1"/>
      </tp>
      <tp t="s">
        <v>#N/A Requesting Data...1831551140</v>
        <stp/>
        <stp>BDP|15305975323104938240</stp>
        <tr r="Z1370" s="1"/>
        <tr r="Z1370" s="1"/>
      </tp>
      <tp t="s">
        <v>#N/A Requesting Data...3534360375</v>
        <stp/>
        <stp>BDP|13502994654325622243</stp>
        <tr r="Y112" s="1"/>
        <tr r="Y112" s="1"/>
      </tp>
      <tp t="s">
        <v>#N/A Requesting Data...2474139606</v>
        <stp/>
        <stp>BDP|17965823331421828586</stp>
        <tr r="AC1412" s="1"/>
        <tr r="AC1412" s="1"/>
      </tp>
      <tp t="s">
        <v>#N/A Requesting Data...2566243500</v>
        <stp/>
        <stp>BDP|13408400672879366184</stp>
        <tr r="Y225" s="1"/>
        <tr r="Y225" s="1"/>
      </tp>
      <tp t="s">
        <v>#N/A Requesting Data...1402318921</v>
        <stp/>
        <stp>BDP|14177822872350892347</stp>
        <tr r="AB796" s="1"/>
        <tr r="AB796" s="1"/>
      </tp>
      <tp t="s">
        <v>#N/A Requesting Data...3743606036</v>
        <stp/>
        <stp>BDP|15597782986167318559</stp>
        <tr r="Z35" s="1"/>
      </tp>
      <tp t="s">
        <v>#N/A Requesting Data...1643307135</v>
        <stp/>
        <stp>BDP|15731444351728710483</stp>
        <tr r="Z376" s="1"/>
        <tr r="Z376" s="1"/>
      </tp>
      <tp t="s">
        <v>#N/A Requesting Data...3414642944</v>
        <stp/>
        <stp>BDP|12335125796733819121</stp>
        <tr r="AA1366" s="1"/>
        <tr r="AA1366" s="1"/>
      </tp>
      <tp t="s">
        <v>#N/A Requesting Data...3243361873</v>
        <stp/>
        <stp>BDP|12163964312274143694</stp>
        <tr r="Z1346" s="1"/>
        <tr r="Z1346" s="1"/>
      </tp>
      <tp t="s">
        <v>#N/A Requesting Data...3434996680</v>
        <stp/>
        <stp>BDP|17143972043737196598</stp>
        <tr r="AB1299" s="1"/>
        <tr r="AB1299" s="1"/>
      </tp>
      <tp t="s">
        <v>#N/A Requesting Data...1391797982</v>
        <stp/>
        <stp>BDP|16986406385866240432</stp>
        <tr r="AC1209" s="1"/>
        <tr r="AC1209" s="1"/>
      </tp>
      <tp t="s">
        <v>#N/A Requesting Data...4225934753</v>
        <stp/>
        <stp>BDP|13990497693316739099</stp>
        <tr r="AC1114" s="1"/>
      </tp>
      <tp t="s">
        <v>#N/A Requesting Data...2829737449</v>
        <stp/>
        <stp>BDP|12637899147596003059</stp>
        <tr r="AC10" s="1"/>
        <tr r="AC10" s="1"/>
      </tp>
      <tp t="s">
        <v>#N/A Requesting Data...1833021429</v>
        <stp/>
        <stp>BDP|12822369770918437677</stp>
        <tr r="AB68" s="1"/>
        <tr r="AB68" s="1"/>
      </tp>
      <tp t="s">
        <v>#N/A Requesting Data...1170106145</v>
        <stp/>
        <stp>BDP|14963387991946953048</stp>
        <tr r="AB334" s="1"/>
        <tr r="AB334" s="1"/>
      </tp>
      <tp t="s">
        <v>#N/A Requesting Data...2120732895</v>
        <stp/>
        <stp>BDP|12700712153248925017</stp>
        <tr r="AA480" s="1"/>
        <tr r="AA480" s="1"/>
      </tp>
      <tp t="s">
        <v>#N/A Requesting Data...4010712928</v>
        <stp/>
        <stp>BDP|17093905690839416691</stp>
        <tr r="Y1341" s="1"/>
        <tr r="Y1341" s="1"/>
      </tp>
      <tp t="s">
        <v>#N/A Requesting Data...2195466761</v>
        <stp/>
        <stp>BDP|13790393595289533820</stp>
        <tr r="AA1174" s="1"/>
        <tr r="AA1174" s="1"/>
      </tp>
      <tp t="s">
        <v>#N/A Requesting Data...2455307564</v>
        <stp/>
        <stp>BDP|18376950283828140980</stp>
        <tr r="AA505" s="1"/>
        <tr r="AA505" s="1"/>
      </tp>
      <tp t="s">
        <v>#N/A Requesting Data...4034663932</v>
        <stp/>
        <stp>BDP|13896543721048415451</stp>
        <tr r="AB1292" s="1"/>
        <tr r="AB1292" s="1"/>
      </tp>
      <tp t="s">
        <v>#N/A Requesting Data...1588083437</v>
        <stp/>
        <stp>BDP|16117896551396635539</stp>
        <tr r="Z832" s="1"/>
        <tr r="Z832" s="1"/>
      </tp>
      <tp t="s">
        <v>#N/A Requesting Data...2822367666</v>
        <stp/>
        <stp>BDP|16226148159762731842</stp>
        <tr r="AC1467" s="1"/>
        <tr r="AC1467" s="1"/>
      </tp>
      <tp t="s">
        <v>#N/A Requesting Data...1489398172</v>
        <stp/>
        <stp>BDP|15117320380171878774</stp>
        <tr r="Z214" s="1"/>
        <tr r="Z214" s="1"/>
      </tp>
      <tp t="s">
        <v>#N/A Requesting Data...4027995351</v>
        <stp/>
        <stp>BDP|15751025995232544694</stp>
        <tr r="AC1442" s="1"/>
        <tr r="AC1442" s="1"/>
      </tp>
      <tp t="s">
        <v>#N/A Requesting Data...4078214981</v>
        <stp/>
        <stp>BDP|10018099939003982851</stp>
        <tr r="AB62" s="1"/>
        <tr r="AB62" s="1"/>
      </tp>
      <tp t="s">
        <v>#N/A Requesting Data...3146600988</v>
        <stp/>
        <stp>BDP|12431406598436453144</stp>
        <tr r="AA453" s="1"/>
        <tr r="AA453" s="1"/>
      </tp>
      <tp t="s">
        <v>#N/A Requesting Data...3651130774</v>
        <stp/>
        <stp>BDP|15675974922706645097</stp>
        <tr r="AB1163" s="1"/>
      </tp>
      <tp t="s">
        <v>#N/A Requesting Data...1221845544</v>
        <stp/>
        <stp>BDP|18221286474357407260</stp>
        <tr r="Y666" s="1"/>
        <tr r="Y666" s="1"/>
      </tp>
      <tp t="s">
        <v>#N/A Requesting Data...2066253890</v>
        <stp/>
        <stp>BDP|14794844704533993726</stp>
        <tr r="AA1273" s="1"/>
        <tr r="AA1273" s="1"/>
      </tp>
      <tp t="s">
        <v>#N/A Requesting Data...4293909660</v>
        <stp/>
        <stp>BDP|17662087292150441641</stp>
        <tr r="AA1608" s="1"/>
        <tr r="AA1608" s="1"/>
      </tp>
      <tp t="s">
        <v>#N/A Requesting Data...1680923759</v>
        <stp/>
        <stp>BDP|12231888334273780255</stp>
        <tr r="Y1063" s="1"/>
        <tr r="Y1063" s="1"/>
      </tp>
      <tp t="s">
        <v>#N/A Requesting Data...2809666083</v>
        <stp/>
        <stp>BDP|17078977364481694199</stp>
        <tr r="AA279" s="1"/>
        <tr r="AA279" s="1"/>
      </tp>
      <tp t="s">
        <v>#N/A Requesting Data...1543705593</v>
        <stp/>
        <stp>BDP|14015951960263386090</stp>
        <tr r="AB167" s="1"/>
        <tr r="AB167" s="1"/>
      </tp>
      <tp t="s">
        <v>#N/A Requesting Data...3130965179</v>
        <stp/>
        <stp>BDP|17920357200379546568</stp>
        <tr r="AA1007" s="1"/>
        <tr r="AA1007" s="1"/>
      </tp>
      <tp t="s">
        <v>#N/A Requesting Data...1827306166</v>
        <stp/>
        <stp>BDP|17974001267519894090</stp>
        <tr r="AA720" s="1"/>
        <tr r="AA720" s="1"/>
      </tp>
      <tp t="s">
        <v>#N/A Requesting Data...2074924346</v>
        <stp/>
        <stp>BDP|11720497520787258839</stp>
        <tr r="AC1557" s="1"/>
        <tr r="AC1557" s="1"/>
      </tp>
      <tp t="s">
        <v>#N/A Requesting Data...4094063850</v>
        <stp/>
        <stp>BDP|15127085533356000858</stp>
        <tr r="Z1187" s="1"/>
        <tr r="Z1187" s="1"/>
      </tp>
      <tp t="s">
        <v>#N/A Requesting Data...2173202740</v>
        <stp/>
        <stp>BDP|10224587987202623746</stp>
        <tr r="Y749" s="1"/>
        <tr r="Y749" s="1"/>
      </tp>
      <tp t="s">
        <v>#N/A Requesting Data...1285943410</v>
        <stp/>
        <stp>BDP|14937552750095521960</stp>
        <tr r="AB85" s="1"/>
        <tr r="AB85" s="1"/>
      </tp>
      <tp t="s">
        <v>#N/A Requesting Data...2081811566</v>
        <stp/>
        <stp>BDP|12430015494622950176</stp>
        <tr r="AC1566" s="1"/>
        <tr r="AC1566" s="1"/>
      </tp>
      <tp t="s">
        <v>#N/A Requesting Data...4081438739</v>
        <stp/>
        <stp>BDP|13064100264065218990</stp>
        <tr r="AA1525" s="1"/>
      </tp>
      <tp t="s">
        <v>#N/A Requesting Data...1487423722</v>
        <stp/>
        <stp>BDP|12008801958906245159</stp>
        <tr r="Z558" s="1"/>
        <tr r="Z558" s="1"/>
      </tp>
      <tp t="s">
        <v>#N/A Requesting Data...1665792924</v>
        <stp/>
        <stp>BDP|12547471429148195442</stp>
        <tr r="AB437" s="1"/>
        <tr r="AB437" s="1"/>
      </tp>
      <tp t="s">
        <v>#N/A Requesting Data...4148143046</v>
        <stp/>
        <stp>BDP|13639190383577408568</stp>
        <tr r="AC309" s="1"/>
        <tr r="AC309" s="1"/>
      </tp>
      <tp t="s">
        <v>#N/A Requesting Data...2253094489</v>
        <stp/>
        <stp>BDP|13029596055929065226</stp>
        <tr r="AB766" s="1"/>
        <tr r="AB766" s="1"/>
      </tp>
      <tp t="s">
        <v>#N/A Requesting Data...3276673812</v>
        <stp/>
        <stp>BDP|16884818674368170929</stp>
        <tr r="AA972" s="1"/>
      </tp>
      <tp t="s">
        <v>#N/A Requesting Data...3219275088</v>
        <stp/>
        <stp>BDP|16815246351781740847</stp>
        <tr r="AB1152" s="1"/>
        <tr r="AB1152" s="1"/>
      </tp>
      <tp t="s">
        <v>#N/A Requesting Data...1691950065</v>
        <stp/>
        <stp>BDP|16052485100278303251</stp>
        <tr r="AB5" s="1"/>
        <tr r="AB5" s="1"/>
      </tp>
      <tp t="s">
        <v>#N/A Requesting Data...3735379880</v>
        <stp/>
        <stp>BDP|13831335564457221933</stp>
        <tr r="Y977" s="1"/>
        <tr r="Y977" s="1"/>
      </tp>
      <tp t="s">
        <v>#N/A Requesting Data...2692848235</v>
        <stp/>
        <stp>BDP|12925434831175613837</stp>
        <tr r="AB1107" s="1"/>
        <tr r="AB1107" s="1"/>
      </tp>
      <tp t="s">
        <v>#N/A Requesting Data...2847068780</v>
        <stp/>
        <stp>BDP|15627899025006591113</stp>
        <tr r="Y1101" s="1"/>
        <tr r="Y1101" s="1"/>
      </tp>
      <tp t="s">
        <v>#N/A Requesting Data...2754618791</v>
        <stp/>
        <stp>BDP|16845246924277673901</stp>
        <tr r="Y341" s="1"/>
        <tr r="Y341" s="1"/>
      </tp>
      <tp t="s">
        <v>#N/A Requesting Data...3946358592</v>
        <stp/>
        <stp>BDP|13152881748922697592</stp>
        <tr r="AB1385" s="1"/>
        <tr r="AB1385" s="1"/>
      </tp>
      <tp t="s">
        <v>#N/A Requesting Data...2983010305</v>
        <stp/>
        <stp>BDP|18194968309290362930</stp>
        <tr r="Z557" s="1"/>
        <tr r="Z557" s="1"/>
      </tp>
      <tp t="s">
        <v>#N/A Requesting Data...1975645992</v>
        <stp/>
        <stp>BDP|15357883033302601400</stp>
        <tr r="AA1376" s="1"/>
        <tr r="AA1376" s="1"/>
      </tp>
      <tp t="s">
        <v>#N/A Requesting Data...3404254334</v>
        <stp/>
        <stp>BDP|15304128091971923477</stp>
        <tr r="AB344" s="1"/>
        <tr r="AB344" s="1"/>
      </tp>
      <tp t="s">
        <v>#N/A Requesting Data...1700111264</v>
        <stp/>
        <stp>BDP|11191516341168572053</stp>
        <tr r="AB873" s="1"/>
        <tr r="AB873" s="1"/>
      </tp>
      <tp t="s">
        <v>#N/A Requesting Data...1550397007</v>
        <stp/>
        <stp>BDP|13215931125853138342</stp>
        <tr r="AB1330" s="1"/>
        <tr r="AB1330" s="1"/>
      </tp>
      <tp t="s">
        <v>#N/A Requesting Data...2691320627</v>
        <stp/>
        <stp>BDP|11855034399936532664</stp>
        <tr r="Y1608" s="1"/>
        <tr r="Y1608" s="1"/>
      </tp>
      <tp t="s">
        <v>#N/A Requesting Data...3947041353</v>
        <stp/>
        <stp>BDP|13193470545773726850</stp>
        <tr r="Z972" s="1"/>
      </tp>
      <tp t="s">
        <v>#N/A Requesting Data...1633225815</v>
        <stp/>
        <stp>BDP|17427914778230484180</stp>
        <tr r="AB465" s="1"/>
        <tr r="AB465" s="1"/>
      </tp>
      <tp t="s">
        <v>#N/A Requesting Data...4216205711</v>
        <stp/>
        <stp>BDP|14528893213073842667</stp>
        <tr r="AC1538" s="1"/>
        <tr r="AC1538" s="1"/>
      </tp>
      <tp t="s">
        <v>#N/A Requesting Data...3511876922</v>
        <stp/>
        <stp>BDP|10451882241307905356</stp>
        <tr r="Z293" s="1"/>
        <tr r="Z293" s="1"/>
      </tp>
      <tp t="s">
        <v>#N/A Requesting Data...4205020807</v>
        <stp/>
        <stp>BDP|15188899872401210396</stp>
        <tr r="AC812" s="1"/>
        <tr r="AC812" s="1"/>
      </tp>
      <tp t="s">
        <v>#N/A Requesting Data...1762344627</v>
        <stp/>
        <stp>BDP|12642093631518773185</stp>
        <tr r="AA922" s="1"/>
        <tr r="AA922" s="1"/>
      </tp>
      <tp t="s">
        <v>#N/A Requesting Data...3952639693</v>
        <stp/>
        <stp>BDP|12925756333027814962</stp>
        <tr r="Y1097" s="1"/>
        <tr r="Y1097" s="1"/>
      </tp>
      <tp t="s">
        <v>#N/A Requesting Data...2607699321</v>
        <stp/>
        <stp>BDP|15836560986329011997</stp>
        <tr r="AB1460" s="1"/>
        <tr r="AB1460" s="1"/>
      </tp>
      <tp t="s">
        <v>#N/A Requesting Data...2485656647</v>
        <stp/>
        <stp>BDP|10687579303268138526</stp>
        <tr r="AC1449" s="1"/>
        <tr r="AC1449" s="1"/>
      </tp>
      <tp t="s">
        <v>#N/A Requesting Data...2592656964</v>
        <stp/>
        <stp>BDP|12733306746484159911</stp>
        <tr r="Y302" s="1"/>
        <tr r="Y302" s="1"/>
      </tp>
      <tp t="s">
        <v>#N/A Requesting Data...3149001344</v>
        <stp/>
        <stp>BDP|15465346513577074827</stp>
        <tr r="AA1407" s="1"/>
        <tr r="AA1407" s="1"/>
      </tp>
      <tp t="s">
        <v>#N/A Requesting Data...1560099681</v>
        <stp/>
        <stp>BDP|15935204038928416454</stp>
        <tr r="AA514" s="1"/>
        <tr r="AA514" s="1"/>
      </tp>
      <tp t="s">
        <v>#N/A Requesting Data...2308752909</v>
        <stp/>
        <stp>BDP|15803811608970826593</stp>
        <tr r="Y281" s="1"/>
        <tr r="Y281" s="1"/>
      </tp>
      <tp t="s">
        <v>#N/A Requesting Data...3192789064</v>
        <stp/>
        <stp>BDP|14181042792156677310</stp>
        <tr r="Z1486" s="1"/>
        <tr r="Z1486" s="1"/>
      </tp>
      <tp t="s">
        <v>#N/A Requesting Data...2857023612</v>
        <stp/>
        <stp>BDP|11523919865950377626</stp>
        <tr r="AA1325" s="1"/>
        <tr r="AA1325" s="1"/>
      </tp>
      <tp t="s">
        <v>#N/A Requesting Data...2934242689</v>
        <stp/>
        <stp>BDP|13020032668665963823</stp>
        <tr r="AA794" s="1"/>
        <tr r="AA794" s="1"/>
      </tp>
      <tp t="s">
        <v>#N/A Requesting Data...1429722570</v>
        <stp/>
        <stp>BDP|13463335308420746881</stp>
        <tr r="AA321" s="1"/>
        <tr r="AA321" s="1"/>
      </tp>
      <tp t="s">
        <v>#N/A Requesting Data...1580861548</v>
        <stp/>
        <stp>BDP|10994005264779887754</stp>
        <tr r="AA1540" s="1"/>
        <tr r="AA1540" s="1"/>
      </tp>
      <tp t="s">
        <v>#N/A Requesting Data...3233679184</v>
        <stp/>
        <stp>BDP|11538150643348062430</stp>
        <tr r="AA268" s="1"/>
        <tr r="AA268" s="1"/>
      </tp>
      <tp t="s">
        <v>#N/A Requesting Data...3891544487</v>
        <stp/>
        <stp>BDP|10512970205686448736</stp>
        <tr r="AA331" s="1"/>
        <tr r="AA331" s="1"/>
      </tp>
      <tp t="s">
        <v>#N/A Requesting Data...1831756396</v>
        <stp/>
        <stp>BDP|13854445208698335771</stp>
        <tr r="AA147" s="1"/>
        <tr r="AA147" s="1"/>
      </tp>
      <tp t="s">
        <v>#N/A Requesting Data...1735522619</v>
        <stp/>
        <stp>BDP|17519646158578868410</stp>
        <tr r="Y1056" s="1"/>
        <tr r="Y1056" s="1"/>
      </tp>
      <tp t="s">
        <v>#N/A Requesting Data...3802840534</v>
        <stp/>
        <stp>BDP|13307068403158100340</stp>
        <tr r="AC1292" s="1"/>
        <tr r="AC1292" s="1"/>
      </tp>
      <tp t="s">
        <v>#N/A Requesting Data...2947221452</v>
        <stp/>
        <stp>BDP|13466615217438671479</stp>
        <tr r="AA81" s="1"/>
        <tr r="AA81" s="1"/>
      </tp>
      <tp t="s">
        <v>#N/A Requesting Data...2054557154</v>
        <stp/>
        <stp>BDP|12794515195130709672</stp>
        <tr r="AA55" s="1"/>
        <tr r="AA55" s="1"/>
      </tp>
      <tp t="s">
        <v>#N/A Requesting Data...4060907083</v>
        <stp/>
        <stp>BDP|13143817202852753160</stp>
        <tr r="AB275" s="1"/>
        <tr r="AB275" s="1"/>
      </tp>
      <tp t="s">
        <v>#N/A Requesting Data...3254782644</v>
        <stp/>
        <stp>BDP|16303117071738884085</stp>
        <tr r="Z1060" s="1"/>
        <tr r="Z1060" s="1"/>
      </tp>
      <tp t="s">
        <v>#N/A Requesting Data...4027163953</v>
        <stp/>
        <stp>BDP|16150278388432840650</stp>
        <tr r="AA1542" s="1"/>
        <tr r="AA1542" s="1"/>
      </tp>
      <tp t="s">
        <v>#N/A Requesting Data...4237992986</v>
        <stp/>
        <stp>BDP|12849897763533199703</stp>
        <tr r="AC281" s="1"/>
        <tr r="AC281" s="1"/>
      </tp>
      <tp t="s">
        <v>#N/A Requesting Data...1214110970</v>
        <stp/>
        <stp>BDP|10530015348915851979</stp>
        <tr r="Y95" s="1"/>
        <tr r="Y95" s="1"/>
      </tp>
      <tp t="s">
        <v>#N/A Requesting Data...1720834365</v>
        <stp/>
        <stp>BDP|12602857570087815284</stp>
        <tr r="AA911" s="1"/>
        <tr r="AA911" s="1"/>
      </tp>
      <tp t="s">
        <v>#N/A Requesting Data...2950715137</v>
        <stp/>
        <stp>BDP|17467253216008042443</stp>
        <tr r="AC1136" s="1"/>
        <tr r="AC1136" s="1"/>
      </tp>
      <tp t="s">
        <v>#N/A Requesting Data...2295014953</v>
        <stp/>
        <stp>BDP|13584236787560389112</stp>
        <tr r="Y10" s="1"/>
        <tr r="Y10" s="1"/>
      </tp>
      <tp t="s">
        <v>#N/A Requesting Data...1598536391</v>
        <stp/>
        <stp>BDP|16623181879121127950</stp>
        <tr r="AC1376" s="1"/>
        <tr r="AC1376" s="1"/>
      </tp>
      <tp t="s">
        <v>#N/A Requesting Data...2230645810</v>
        <stp/>
        <stp>BDP|17004852055627470573</stp>
        <tr r="Y1588" s="1"/>
        <tr r="Y1588" s="1"/>
      </tp>
      <tp t="s">
        <v>#N/A Requesting Data...1401336598</v>
        <stp/>
        <stp>BDP|14211163966723954887</stp>
        <tr r="Y698" s="1"/>
        <tr r="Y698" s="1"/>
      </tp>
      <tp t="s">
        <v>#N/A Requesting Data...2428022112</v>
        <stp/>
        <stp>BDP|10604374472639051503</stp>
        <tr r="AB1324" s="1"/>
        <tr r="AB1324" s="1"/>
      </tp>
      <tp t="s">
        <v>#N/A Requesting Data...3238775765</v>
        <stp/>
        <stp>BDP|14723924646871867093</stp>
        <tr r="Y612" s="1"/>
        <tr r="Y612" s="1"/>
      </tp>
      <tp t="s">
        <v>#N/A Requesting Data...3227311593</v>
        <stp/>
        <stp>BDP|12167843659361796694</stp>
        <tr r="AA827" s="1"/>
        <tr r="AA827" s="1"/>
      </tp>
      <tp t="s">
        <v>#N/A Requesting Data...1537556594</v>
        <stp/>
        <stp>BDP|17097905366245470503</stp>
        <tr r="Y1124" s="1"/>
        <tr r="Y1124" s="1"/>
      </tp>
      <tp t="s">
        <v>#N/A Requesting Data...4262563445</v>
        <stp/>
        <stp>BDP|13649967520574562478</stp>
        <tr r="Y778" s="1"/>
        <tr r="Y778" s="1"/>
      </tp>
      <tp t="s">
        <v>#N/A Requesting Data...2631512433</v>
        <stp/>
        <stp>BDP|17421452033490058809</stp>
        <tr r="Z1607" s="1"/>
        <tr r="Z1607" s="1"/>
      </tp>
      <tp t="s">
        <v>#N/A Requesting Data...2916224079</v>
        <stp/>
        <stp>BDP|12224969514900653248</stp>
        <tr r="Z1323" s="1"/>
        <tr r="Z1323" s="1"/>
      </tp>
      <tp t="s">
        <v>#N/A Requesting Data...1666890419</v>
        <stp/>
        <stp>BDP|14863958263181852244</stp>
        <tr r="Z1238" s="1"/>
        <tr r="Z1238" s="1"/>
      </tp>
      <tp t="s">
        <v>#N/A Requesting Data...2879528561</v>
        <stp/>
        <stp>BDP|13664869855752132466</stp>
        <tr r="AA830" s="1"/>
        <tr r="AA830" s="1"/>
      </tp>
      <tp t="s">
        <v>#N/A Requesting Data...1467665064</v>
        <stp/>
        <stp>BDP|13191722701939869587</stp>
        <tr r="AB1069" s="1"/>
        <tr r="AB1069" s="1"/>
      </tp>
      <tp t="s">
        <v>#N/A Requesting Data...3312172625</v>
        <stp/>
        <stp>BDP|16451574400622659970</stp>
        <tr r="AA746" s="1"/>
        <tr r="AA746" s="1"/>
      </tp>
      <tp t="s">
        <v>#N/A Requesting Data...1359438743</v>
        <stp/>
        <stp>BDP|14507750293654130603</stp>
        <tr r="Z595" s="1"/>
        <tr r="Z595" s="1"/>
      </tp>
      <tp t="s">
        <v>#N/A Requesting Data...3555855921</v>
        <stp/>
        <stp>BDP|12967983133633018307</stp>
        <tr r="Z1113" s="1"/>
        <tr r="Z1113" s="1"/>
      </tp>
      <tp t="s">
        <v>#N/A Requesting Data...1536960643</v>
        <stp/>
        <stp>BDP|11918765574200859916</stp>
        <tr r="AA308" s="1"/>
        <tr r="AA308" s="1"/>
      </tp>
      <tp t="s">
        <v>#N/A Requesting Data...1738444883</v>
        <stp/>
        <stp>BDP|14118015784000300450</stp>
        <tr r="Z1164" s="1"/>
        <tr r="Z1164" s="1"/>
      </tp>
      <tp t="s">
        <v>#N/A Requesting Data...1574487868</v>
        <stp/>
        <stp>BDP|15510943648563491385</stp>
        <tr r="Y700" s="1"/>
        <tr r="Y700" s="1"/>
      </tp>
      <tp t="s">
        <v>#N/A Requesting Data...2553367679</v>
        <stp/>
        <stp>BDP|15382036924967114809</stp>
        <tr r="AA457" s="1"/>
        <tr r="AA457" s="1"/>
      </tp>
      <tp t="s">
        <v>#N/A Requesting Data...3818360040</v>
        <stp/>
        <stp>BDP|14768134282145740049</stp>
        <tr r="AA1371" s="1"/>
        <tr r="AA1371" s="1"/>
      </tp>
      <tp t="s">
        <v>#N/A Requesting Data...3022753786</v>
        <stp/>
        <stp>BDP|10116997664442844518</stp>
        <tr r="AB731" s="1"/>
        <tr r="AB731" s="1"/>
      </tp>
      <tp t="s">
        <v>#N/A Requesting Data...4123902227</v>
        <stp/>
        <stp>BDP|14780873479134518798</stp>
        <tr r="Z359" s="1"/>
        <tr r="Z359" s="1"/>
      </tp>
      <tp t="s">
        <v>#N/A Requesting Data...1907928810</v>
        <stp/>
        <stp>BDP|12681530386073593432</stp>
        <tr r="Z952" s="1"/>
        <tr r="Z952" s="1"/>
      </tp>
      <tp t="s">
        <v>#N/A Requesting Data...3920713564</v>
        <stp/>
        <stp>BDP|13652077512113342955</stp>
        <tr r="AA1419" s="1"/>
        <tr r="AA1419" s="1"/>
      </tp>
      <tp t="s">
        <v>#N/A Requesting Data...2660191036</v>
        <stp/>
        <stp>BDP|18446736323885657078</stp>
        <tr r="AA458" s="1"/>
        <tr r="AA458" s="1"/>
      </tp>
      <tp t="s">
        <v>#N/A Requesting Data...3876918364</v>
        <stp/>
        <stp>BDP|15172955074420421312</stp>
        <tr r="AA877" s="1"/>
        <tr r="AA877" s="1"/>
      </tp>
      <tp t="s">
        <v>#N/A Requesting Data...2972935408</v>
        <stp/>
        <stp>BDP|14325901033687348165</stp>
        <tr r="Y434" s="1"/>
        <tr r="Y434" s="1"/>
      </tp>
      <tp t="s">
        <v>#N/A Requesting Data...3604301985</v>
        <stp/>
        <stp>BDP|16251862781359914791</stp>
        <tr r="AC844" s="1"/>
        <tr r="AC844" s="1"/>
      </tp>
      <tp t="s">
        <v>#N/A Requesting Data...3773159532</v>
        <stp/>
        <stp>BDP|10795911843390986597</stp>
        <tr r="Y1235" s="1"/>
        <tr r="Y1235" s="1"/>
      </tp>
      <tp t="s">
        <v>#N/A Requesting Data...1806739691</v>
        <stp/>
        <stp>BDP|13438419994725141342</stp>
        <tr r="AA950" s="1"/>
      </tp>
      <tp t="s">
        <v>#N/A Requesting Data...2928548655</v>
        <stp/>
        <stp>BDP|15939413878749563718</stp>
        <tr r="AB932" s="1"/>
        <tr r="AB932" s="1"/>
      </tp>
      <tp t="s">
        <v>#N/A Requesting Data...3259690456</v>
        <stp/>
        <stp>BDP|16598869015993141434</stp>
        <tr r="AC1360" s="1"/>
        <tr r="AC1360" s="1"/>
      </tp>
      <tp t="s">
        <v>#N/A Requesting Data...1900219527</v>
        <stp/>
        <stp>BDP|13659871802542517129</stp>
        <tr r="AB371" s="1"/>
        <tr r="AB371" s="1"/>
      </tp>
      <tp t="s">
        <v>#N/A Requesting Data...2772354594</v>
        <stp/>
        <stp>BDP|13985450298595409345</stp>
        <tr r="AA951" s="1"/>
        <tr r="AA951" s="1"/>
      </tp>
      <tp t="s">
        <v>#N/A Requesting Data...2078179592</v>
        <stp/>
        <stp>BDP|14512822399154888925</stp>
        <tr r="Y181" s="1"/>
        <tr r="Y181" s="1"/>
      </tp>
      <tp t="s">
        <v>#N/A Requesting Data...1615832093</v>
        <stp/>
        <stp>BDP|14809262076991866842</stp>
        <tr r="AB347" s="1"/>
        <tr r="AB347" s="1"/>
      </tp>
      <tp t="s">
        <v>#N/A Requesting Data...3676983598</v>
        <stp/>
        <stp>BDP|13473885347001779688</stp>
        <tr r="Z1531" s="1"/>
        <tr r="Z1531" s="1"/>
      </tp>
      <tp t="s">
        <v>#N/A Requesting Data...2507418820</v>
        <stp/>
        <stp>BDP|12084528031044787805</stp>
        <tr r="Z991" s="1"/>
        <tr r="Z991" s="1"/>
      </tp>
      <tp t="s">
        <v>#N/A Requesting Data...2918041108</v>
        <stp/>
        <stp>BDP|13212118557446978996</stp>
        <tr r="AB1184" s="1"/>
        <tr r="AB1184" s="1"/>
      </tp>
      <tp t="s">
        <v>#N/A Requesting Data...3415383883</v>
        <stp/>
        <stp>BDP|11890548859038566145</stp>
        <tr r="Y1075" s="1"/>
        <tr r="Y1075" s="1"/>
      </tp>
      <tp t="s">
        <v>#N/A Requesting Data...2051090486</v>
        <stp/>
        <stp>BDP|10886992839673862148</stp>
        <tr r="AB678" s="1"/>
        <tr r="AB678" s="1"/>
      </tp>
      <tp t="s">
        <v>#N/A Requesting Data...2602248892</v>
        <stp/>
        <stp>BDP|15047732584561785349</stp>
        <tr r="AB135" s="1"/>
        <tr r="AB135" s="1"/>
      </tp>
      <tp t="s">
        <v>#N/A Requesting Data...1680875411</v>
        <stp/>
        <stp>BDP|13385748316104674930</stp>
        <tr r="Z667" s="1"/>
        <tr r="Z667" s="1"/>
      </tp>
      <tp t="s">
        <v>#N/A Requesting Data...4182987674</v>
        <stp/>
        <stp>BDP|11985950169505103309</stp>
        <tr r="Z407" s="1"/>
        <tr r="Z407" s="1"/>
      </tp>
      <tp t="s">
        <v>#N/A Requesting Data...3993309777</v>
        <stp/>
        <stp>BDP|15900922443003784381</stp>
        <tr r="AA1590" s="1"/>
      </tp>
      <tp t="s">
        <v>#N/A Requesting Data...3781597433</v>
        <stp/>
        <stp>BDP|14817490164098481663</stp>
        <tr r="AA1568" s="1"/>
        <tr r="AA1568" s="1"/>
      </tp>
      <tp t="s">
        <v>#N/A Requesting Data...4278851474</v>
        <stp/>
        <stp>BDP|10349078267607103953</stp>
        <tr r="AA1189" s="1"/>
        <tr r="AA1189" s="1"/>
      </tp>
      <tp t="s">
        <v>#N/A Requesting Data...2348569961</v>
        <stp/>
        <stp>BDP|17704690039652891886</stp>
        <tr r="AC1056" s="1"/>
        <tr r="AC1056" s="1"/>
      </tp>
      <tp t="s">
        <v>#N/A Requesting Data...2820885319</v>
        <stp/>
        <stp>BDP|14900166077082909869</stp>
        <tr r="AA177" s="1"/>
        <tr r="AA177" s="1"/>
      </tp>
      <tp t="s">
        <v>#N/A Requesting Data...2079758326</v>
        <stp/>
        <stp>BDP|12718057794357415458</stp>
        <tr r="Z660" s="1"/>
        <tr r="Z660" s="1"/>
      </tp>
      <tp t="s">
        <v>#N/A Requesting Data...3234627251</v>
        <stp/>
        <stp>BDP|15938440257454824859</stp>
        <tr r="AC1611" s="1"/>
        <tr r="AC1611" s="1"/>
      </tp>
      <tp t="s">
        <v>#N/A Requesting Data...3265505038</v>
        <stp/>
        <stp>BDP|10209536464849349216</stp>
        <tr r="AB288" s="1"/>
        <tr r="AB288" s="1"/>
      </tp>
      <tp t="s">
        <v>#N/A Requesting Data...2082758003</v>
        <stp/>
        <stp>BDP|17156901337397505244</stp>
        <tr r="AB818" s="1"/>
        <tr r="AB818" s="1"/>
      </tp>
      <tp t="s">
        <v>#N/A Requesting Data...2015821694</v>
        <stp/>
        <stp>BDP|18379127311465654512</stp>
        <tr r="AC363" s="1"/>
        <tr r="AC363" s="1"/>
      </tp>
      <tp t="s">
        <v>#N/A Requesting Data...2209882777</v>
        <stp/>
        <stp>BDP|14171076603054788858</stp>
        <tr r="AC1070" s="1"/>
        <tr r="AC1070" s="1"/>
      </tp>
      <tp t="s">
        <v>#N/A Requesting Data...2543174681</v>
        <stp/>
        <stp>BDP|14956121377912347888</stp>
        <tr r="AA680" s="1"/>
        <tr r="AA680" s="1"/>
      </tp>
      <tp t="s">
        <v>#N/A Requesting Data...2506228187</v>
        <stp/>
        <stp>BDP|16321800515076373125</stp>
        <tr r="Y620" s="1"/>
        <tr r="Y620" s="1"/>
      </tp>
      <tp t="s">
        <v>#N/A Requesting Data...4235007100</v>
        <stp/>
        <stp>BDP|16414204702079724561</stp>
        <tr r="AB339" s="1"/>
        <tr r="AB339" s="1"/>
      </tp>
      <tp t="s">
        <v>#N/A Requesting Data...1963357153</v>
        <stp/>
        <stp>BDP|17677676272986343867</stp>
        <tr r="AB1055" s="1"/>
        <tr r="AB1055" s="1"/>
      </tp>
      <tp t="s">
        <v>#N/A Requesting Data...3562155310</v>
        <stp/>
        <stp>BDP|18236676013404293323</stp>
        <tr r="Y998" s="1"/>
        <tr r="Y998" s="1"/>
      </tp>
      <tp t="s">
        <v>#N/A Requesting Data...2551400302</v>
        <stp/>
        <stp>BDP|14641983179871179302</stp>
        <tr r="AA700" s="1"/>
        <tr r="AA700" s="1"/>
      </tp>
      <tp t="s">
        <v>#N/A Requesting Data...3773747658</v>
        <stp/>
        <stp>BDP|12965907645881360695</stp>
        <tr r="Z338" s="1"/>
        <tr r="Z338" s="1"/>
      </tp>
      <tp t="s">
        <v>#N/A Requesting Data...3225050124</v>
        <stp/>
        <stp>BDP|10186662732355308800</stp>
        <tr r="Y1110" s="1"/>
        <tr r="Y1110" s="1"/>
      </tp>
      <tp t="s">
        <v>#N/A Requesting Data...4192699406</v>
        <stp/>
        <stp>BDP|15794190357260925961</stp>
        <tr r="Z864" s="1"/>
        <tr r="Z864" s="1"/>
      </tp>
      <tp t="s">
        <v>#N/A Requesting Data...2212711049</v>
        <stp/>
        <stp>BDP|13027037457029391714</stp>
        <tr r="Y1623" s="1"/>
        <tr r="Y1624" s="1"/>
        <tr r="Y1625" s="1"/>
        <tr r="Y1626" s="1"/>
        <tr r="Y1627" s="1"/>
        <tr r="Y1628" s="1"/>
        <tr r="Y1629" s="1"/>
        <tr r="Y1630" s="1"/>
        <tr r="Y1631" s="1"/>
        <tr r="Y1632" s="1"/>
        <tr r="Y1633" s="1"/>
        <tr r="Y1634" s="1"/>
        <tr r="Y1635" s="1"/>
        <tr r="Y1636" s="1"/>
        <tr r="Y1637" s="1"/>
        <tr r="Y1638" s="1"/>
        <tr r="Y1639" s="1"/>
        <tr r="Y1640" s="1"/>
        <tr r="Y1641" s="1"/>
        <tr r="Y1642" s="1"/>
        <tr r="Y1643" s="1"/>
        <tr r="Y1644" s="1"/>
        <tr r="Y1645" s="1"/>
        <tr r="Y1646" s="1"/>
        <tr r="Y1647" s="1"/>
        <tr r="Y1648" s="1"/>
        <tr r="Y1649" s="1"/>
        <tr r="Y1650" s="1"/>
        <tr r="Y1651" s="1"/>
        <tr r="Y1652" s="1"/>
        <tr r="Y1653" s="1"/>
        <tr r="Y1654" s="1"/>
        <tr r="Y1655" s="1"/>
        <tr r="Y1656" s="1"/>
        <tr r="Y1657" s="1"/>
        <tr r="Y1658" s="1"/>
        <tr r="Y1659" s="1"/>
        <tr r="Y1660" s="1"/>
        <tr r="Y1661" s="1"/>
        <tr r="Y1662" s="1"/>
        <tr r="Y1663" s="1"/>
        <tr r="Y1664" s="1"/>
        <tr r="Y1665" s="1"/>
        <tr r="Y1666" s="1"/>
        <tr r="Y1667" s="1"/>
        <tr r="Y1668" s="1"/>
        <tr r="Y1669" s="1"/>
        <tr r="Y1670" s="1"/>
        <tr r="Y1671" s="1"/>
        <tr r="Y1672" s="1"/>
        <tr r="Y1673" s="1"/>
        <tr r="Y1674" s="1"/>
        <tr r="Y1675" s="1"/>
        <tr r="Y1676" s="1"/>
        <tr r="Y1677" s="1"/>
        <tr r="Y1678" s="1"/>
        <tr r="Y1679" s="1"/>
        <tr r="Y1680" s="1"/>
        <tr r="Y1681" s="1"/>
        <tr r="Y1682" s="1"/>
        <tr r="Y1683" s="1"/>
        <tr r="Y1684" s="1"/>
        <tr r="Y1685" s="1"/>
        <tr r="Y1686" s="1"/>
        <tr r="Y1687" s="1"/>
        <tr r="Y1688" s="1"/>
        <tr r="Y1689" s="1"/>
        <tr r="Y1690" s="1"/>
        <tr r="Y1691" s="1"/>
        <tr r="Y1692" s="1"/>
        <tr r="Y1693" s="1"/>
        <tr r="Y1694" s="1"/>
        <tr r="Y1695" s="1"/>
        <tr r="Y1696" s="1"/>
        <tr r="Y1697" s="1"/>
        <tr r="Y1698" s="1"/>
        <tr r="Y1699" s="1"/>
        <tr r="Y1700" s="1"/>
        <tr r="Y1701" s="1"/>
        <tr r="Y1702" s="1"/>
        <tr r="Y1703" s="1"/>
        <tr r="Y1704" s="1"/>
        <tr r="Y1705" s="1"/>
        <tr r="Y1706" s="1"/>
        <tr r="Y1707" s="1"/>
        <tr r="Y1708" s="1"/>
        <tr r="Y1709" s="1"/>
        <tr r="Y1710" s="1"/>
        <tr r="Y1711" s="1"/>
        <tr r="Y1712" s="1"/>
        <tr r="Y1713" s="1"/>
        <tr r="Y1714" s="1"/>
        <tr r="Y1715" s="1"/>
        <tr r="Y1716" s="1"/>
        <tr r="Y1717" s="1"/>
        <tr r="Y1718" s="1"/>
        <tr r="Y1719" s="1"/>
        <tr r="Y1720" s="1"/>
        <tr r="Y1721" s="1"/>
        <tr r="Y1722" s="1"/>
        <tr r="Y1723" s="1"/>
        <tr r="Y1724" s="1"/>
        <tr r="Y1725" s="1"/>
        <tr r="Y1726" s="1"/>
        <tr r="Y1727" s="1"/>
        <tr r="Y1728" s="1"/>
        <tr r="Y1729" s="1"/>
        <tr r="Y1730" s="1"/>
        <tr r="Y1731" s="1"/>
        <tr r="Y1732" s="1"/>
        <tr r="Y1733" s="1"/>
        <tr r="Y1734" s="1"/>
        <tr r="Y1735" s="1"/>
        <tr r="Y1736" s="1"/>
        <tr r="Y1737" s="1"/>
        <tr r="Y1738" s="1"/>
        <tr r="Y1739" s="1"/>
        <tr r="Y1740" s="1"/>
        <tr r="Y1741" s="1"/>
        <tr r="Y1742" s="1"/>
        <tr r="Y1743" s="1"/>
        <tr r="Y1744" s="1"/>
        <tr r="Y1745" s="1"/>
        <tr r="Y1746" s="1"/>
        <tr r="Y1747" s="1"/>
        <tr r="Y1748" s="1"/>
        <tr r="Y1749" s="1"/>
        <tr r="Y1750" s="1"/>
        <tr r="Y1751" s="1"/>
        <tr r="Y1752" s="1"/>
        <tr r="Y1753" s="1"/>
        <tr r="Y1754" s="1"/>
        <tr r="Y1755" s="1"/>
        <tr r="Y1756" s="1"/>
        <tr r="Y1757" s="1"/>
        <tr r="Y1758" s="1"/>
        <tr r="Y1759" s="1"/>
        <tr r="Y1760" s="1"/>
        <tr r="Y1761" s="1"/>
        <tr r="Y1762" s="1"/>
        <tr r="Y1763" s="1"/>
        <tr r="Y1764" s="1"/>
        <tr r="Y1765" s="1"/>
        <tr r="Y1766" s="1"/>
        <tr r="Y1767" s="1"/>
        <tr r="Y1768" s="1"/>
        <tr r="Y1769" s="1"/>
        <tr r="Y1770" s="1"/>
        <tr r="Y1771" s="1"/>
        <tr r="Y1772" s="1"/>
        <tr r="Y1773" s="1"/>
        <tr r="Y1774" s="1"/>
        <tr r="Y1775" s="1"/>
        <tr r="Y1776" s="1"/>
        <tr r="Y1777" s="1"/>
        <tr r="Y1778" s="1"/>
        <tr r="Y1779" s="1"/>
        <tr r="Y1780" s="1"/>
        <tr r="Y1781" s="1"/>
        <tr r="Y1782" s="1"/>
        <tr r="Y1783" s="1"/>
        <tr r="Y1784" s="1"/>
        <tr r="Y1785" s="1"/>
        <tr r="Y1786" s="1"/>
        <tr r="Y1787" s="1"/>
        <tr r="Y1788" s="1"/>
        <tr r="Y1789" s="1"/>
        <tr r="Y1790" s="1"/>
        <tr r="Y1791" s="1"/>
        <tr r="Y1792" s="1"/>
        <tr r="Y1793" s="1"/>
        <tr r="Y1794" s="1"/>
        <tr r="Y1795" s="1"/>
        <tr r="Y1796" s="1"/>
        <tr r="Y1797" s="1"/>
        <tr r="Y1798" s="1"/>
        <tr r="Y1799" s="1"/>
        <tr r="Y1800" s="1"/>
        <tr r="Y1801" s="1"/>
        <tr r="Y1802" s="1"/>
        <tr r="Y1803" s="1"/>
        <tr r="Y1804" s="1"/>
        <tr r="Y1805" s="1"/>
        <tr r="Y1806" s="1"/>
        <tr r="Y1807" s="1"/>
        <tr r="Y1808" s="1"/>
        <tr r="Y1809" s="1"/>
        <tr r="Y1810" s="1"/>
        <tr r="Y1811" s="1"/>
        <tr r="Y1812" s="1"/>
        <tr r="Y1813" s="1"/>
        <tr r="Y1814" s="1"/>
        <tr r="Y1815" s="1"/>
        <tr r="Y1816" s="1"/>
        <tr r="Y1817" s="1"/>
        <tr r="Y1818" s="1"/>
        <tr r="Y1819" s="1"/>
        <tr r="Y1820" s="1"/>
        <tr r="Y1821" s="1"/>
        <tr r="Y1822" s="1"/>
        <tr r="Y1823" s="1"/>
        <tr r="Y1824" s="1"/>
        <tr r="Y1825" s="1"/>
        <tr r="Y1826" s="1"/>
        <tr r="Y1827" s="1"/>
        <tr r="Y1828" s="1"/>
        <tr r="Y1829" s="1"/>
        <tr r="Y1830" s="1"/>
        <tr r="Y1831" s="1"/>
        <tr r="Y1832" s="1"/>
        <tr r="Y1833" s="1"/>
        <tr r="Y1834" s="1"/>
        <tr r="Y1835" s="1"/>
        <tr r="Y1836" s="1"/>
        <tr r="Y1837" s="1"/>
        <tr r="Y1838" s="1"/>
        <tr r="Y1839" s="1"/>
        <tr r="Y1840" s="1"/>
        <tr r="Y1841" s="1"/>
        <tr r="Y1842" s="1"/>
        <tr r="Y1843" s="1"/>
        <tr r="Y1844" s="1"/>
        <tr r="Y1845" s="1"/>
        <tr r="Y1846" s="1"/>
        <tr r="Y1847" s="1"/>
        <tr r="Y1848" s="1"/>
        <tr r="Y1849" s="1"/>
        <tr r="Y1850" s="1"/>
        <tr r="Y1851" s="1"/>
        <tr r="Y1852" s="1"/>
        <tr r="Y1853" s="1"/>
        <tr r="Y1854" s="1"/>
        <tr r="Y1855" s="1"/>
        <tr r="Y1856" s="1"/>
        <tr r="Y1857" s="1"/>
        <tr r="Y1858" s="1"/>
        <tr r="Y1859" s="1"/>
        <tr r="Y1860" s="1"/>
        <tr r="Y1861" s="1"/>
        <tr r="Y1862" s="1"/>
        <tr r="Y1863" s="1"/>
        <tr r="Y1864" s="1"/>
        <tr r="Y1865" s="1"/>
        <tr r="Y1866" s="1"/>
        <tr r="Y1867" s="1"/>
        <tr r="Y1868" s="1"/>
        <tr r="Y1869" s="1"/>
        <tr r="Y1870" s="1"/>
        <tr r="Y1871" s="1"/>
        <tr r="Y1872" s="1"/>
        <tr r="Y1873" s="1"/>
        <tr r="Y1874" s="1"/>
        <tr r="Y1875" s="1"/>
        <tr r="Y1876" s="1"/>
        <tr r="Y1877" s="1"/>
        <tr r="Y1878" s="1"/>
        <tr r="Y1879" s="1"/>
        <tr r="Y1880" s="1"/>
        <tr r="Y1881" s="1"/>
        <tr r="Y1882" s="1"/>
        <tr r="Y1883" s="1"/>
        <tr r="Y1884" s="1"/>
        <tr r="Y1885" s="1"/>
        <tr r="Y1886" s="1"/>
        <tr r="Y1887" s="1"/>
        <tr r="Y1888" s="1"/>
        <tr r="Y1889" s="1"/>
        <tr r="Y1890" s="1"/>
        <tr r="Y1891" s="1"/>
        <tr r="Y1892" s="1"/>
        <tr r="Y1893" s="1"/>
        <tr r="Y1894" s="1"/>
        <tr r="Y1895" s="1"/>
        <tr r="Y1896" s="1"/>
        <tr r="Y1897" s="1"/>
        <tr r="Y1898" s="1"/>
        <tr r="Y1899" s="1"/>
        <tr r="Y1900" s="1"/>
        <tr r="Y1901" s="1"/>
        <tr r="Y1902" s="1"/>
        <tr r="Y1903" s="1"/>
        <tr r="Y1904" s="1"/>
        <tr r="Y1905" s="1"/>
        <tr r="Y1906" s="1"/>
        <tr r="Y1907" s="1"/>
        <tr r="Y1908" s="1"/>
        <tr r="Y1909" s="1"/>
        <tr r="Y1910" s="1"/>
        <tr r="Y1911" s="1"/>
        <tr r="Y1912" s="1"/>
        <tr r="Y1913" s="1"/>
        <tr r="Y1914" s="1"/>
        <tr r="Y1915" s="1"/>
        <tr r="Y1916" s="1"/>
        <tr r="Y1917" s="1"/>
        <tr r="Y1918" s="1"/>
        <tr r="Y1919" s="1"/>
        <tr r="Y1920" s="1"/>
        <tr r="Y1921" s="1"/>
        <tr r="Y1922" s="1"/>
        <tr r="Y1923" s="1"/>
        <tr r="Y1924" s="1"/>
        <tr r="Y1925" s="1"/>
        <tr r="Y1926" s="1"/>
        <tr r="Y1927" s="1"/>
        <tr r="Y1928" s="1"/>
        <tr r="Y1929" s="1"/>
        <tr r="Y1930" s="1"/>
        <tr r="Y1931" s="1"/>
        <tr r="Y1932" s="1"/>
        <tr r="Y1933" s="1"/>
        <tr r="Y1934" s="1"/>
        <tr r="Y1935" s="1"/>
        <tr r="Y1936" s="1"/>
        <tr r="Y1937" s="1"/>
        <tr r="Y1938" s="1"/>
        <tr r="Y1939" s="1"/>
        <tr r="Y1940" s="1"/>
        <tr r="Y1941" s="1"/>
        <tr r="Y1942" s="1"/>
        <tr r="Y1943" s="1"/>
        <tr r="Y1944" s="1"/>
        <tr r="Y1945" s="1"/>
        <tr r="Y1946" s="1"/>
        <tr r="Y1947" s="1"/>
        <tr r="Y1948" s="1"/>
        <tr r="Y1949" s="1"/>
        <tr r="Y1950" s="1"/>
        <tr r="Y1951" s="1"/>
        <tr r="Y1952" s="1"/>
        <tr r="Y1953" s="1"/>
        <tr r="Y1954" s="1"/>
        <tr r="Y1955" s="1"/>
        <tr r="Y1956" s="1"/>
        <tr r="Y1957" s="1"/>
        <tr r="Y1958" s="1"/>
        <tr r="Y1959" s="1"/>
        <tr r="Y1960" s="1"/>
        <tr r="Y1961" s="1"/>
        <tr r="Y1962" s="1"/>
        <tr r="Y1963" s="1"/>
        <tr r="Y1964" s="1"/>
        <tr r="Y1965" s="1"/>
        <tr r="Y1966" s="1"/>
        <tr r="Y1967" s="1"/>
        <tr r="Y1968" s="1"/>
        <tr r="Y1969" s="1"/>
        <tr r="Y1970" s="1"/>
        <tr r="Y1971" s="1"/>
        <tr r="Y1972" s="1"/>
        <tr r="Y1973" s="1"/>
        <tr r="Y1974" s="1"/>
        <tr r="Y1975" s="1"/>
        <tr r="Y1976" s="1"/>
        <tr r="Y1977" s="1"/>
        <tr r="Y1978" s="1"/>
        <tr r="Y1979" s="1"/>
        <tr r="Y1980" s="1"/>
        <tr r="Y1981" s="1"/>
        <tr r="Y1982" s="1"/>
        <tr r="Y1983" s="1"/>
        <tr r="Y1984" s="1"/>
        <tr r="Y1985" s="1"/>
        <tr r="Y1986" s="1"/>
        <tr r="Y1987" s="1"/>
        <tr r="Y1988" s="1"/>
        <tr r="Y1989" s="1"/>
        <tr r="Y1990" s="1"/>
        <tr r="Y1991" s="1"/>
        <tr r="Y1992" s="1"/>
        <tr r="Y1993" s="1"/>
        <tr r="Y1994" s="1"/>
        <tr r="Y1995" s="1"/>
        <tr r="Y1996" s="1"/>
        <tr r="Y1997" s="1"/>
        <tr r="Y1998" s="1"/>
        <tr r="Y1999" s="1"/>
        <tr r="Y2000" s="1"/>
        <tr r="Y2001" s="1"/>
      </tp>
      <tp t="s">
        <v>#N/A Requesting Data...1481562149</v>
        <stp/>
        <stp>BDP|10677324497511177342</stp>
        <tr r="Z446" s="1"/>
        <tr r="Z446" s="1"/>
      </tp>
      <tp t="s">
        <v>#N/A Requesting Data...1743599103</v>
        <stp/>
        <stp>BDP|17011961704194170254</stp>
        <tr r="AC301" s="1"/>
        <tr r="AC301" s="1"/>
      </tp>
      <tp t="s">
        <v>#N/A Requesting Data...1928418668</v>
        <stp/>
        <stp>BDP|12274038916949038217</stp>
        <tr r="AA916" s="1"/>
        <tr r="AA916" s="1"/>
      </tp>
      <tp t="s">
        <v>#N/A Requesting Data...4163804735</v>
        <stp/>
        <stp>BDP|16514456237090116907</stp>
        <tr r="AB1565" s="1"/>
        <tr r="AB1565" s="1"/>
      </tp>
      <tp t="s">
        <v>#N/A Requesting Data...1647595569</v>
        <stp/>
        <stp>BDP|17116665189382004387</stp>
        <tr r="AA1038" s="1"/>
        <tr r="AA1038" s="1"/>
      </tp>
      <tp t="s">
        <v>#N/A Requesting Data...3233732098</v>
        <stp/>
        <stp>BDP|18108419045836741645</stp>
        <tr r="Z399" s="1"/>
        <tr r="Z399" s="1"/>
      </tp>
      <tp t="s">
        <v>#N/A Requesting Data...3728232355</v>
        <stp/>
        <stp>BDP|16916020047188828222</stp>
        <tr r="Z1588" s="1"/>
        <tr r="Z1588" s="1"/>
      </tp>
      <tp t="s">
        <v>#N/A Requesting Data...1872548454</v>
        <stp/>
        <stp>BDP|13962283043679714435</stp>
        <tr r="Z1623" s="1"/>
        <tr r="Z1624" s="1"/>
        <tr r="Z1625" s="1"/>
        <tr r="Z1626" s="1"/>
        <tr r="Z1627" s="1"/>
        <tr r="Z1628" s="1"/>
        <tr r="Z1629" s="1"/>
        <tr r="Z1630" s="1"/>
        <tr r="Z1631" s="1"/>
        <tr r="Z1632" s="1"/>
        <tr r="Z1633" s="1"/>
        <tr r="Z1634" s="1"/>
        <tr r="Z1635" s="1"/>
        <tr r="Z1636" s="1"/>
        <tr r="Z1637" s="1"/>
        <tr r="Z1638" s="1"/>
        <tr r="Z1639" s="1"/>
        <tr r="Z1640" s="1"/>
        <tr r="Z1641" s="1"/>
        <tr r="Z1642" s="1"/>
        <tr r="Z1643" s="1"/>
        <tr r="Z1644" s="1"/>
        <tr r="Z1645" s="1"/>
        <tr r="Z1646" s="1"/>
        <tr r="Z1647" s="1"/>
        <tr r="Z1648" s="1"/>
        <tr r="Z1649" s="1"/>
        <tr r="Z1650" s="1"/>
        <tr r="Z1651" s="1"/>
        <tr r="Z1652" s="1"/>
        <tr r="Z1653" s="1"/>
        <tr r="Z1654" s="1"/>
        <tr r="Z1655" s="1"/>
        <tr r="Z1656" s="1"/>
        <tr r="Z1657" s="1"/>
        <tr r="Z1658" s="1"/>
        <tr r="Z1659" s="1"/>
        <tr r="Z1660" s="1"/>
        <tr r="Z1661" s="1"/>
        <tr r="Z1662" s="1"/>
        <tr r="Z1663" s="1"/>
        <tr r="Z1664" s="1"/>
        <tr r="Z1665" s="1"/>
        <tr r="Z1666" s="1"/>
        <tr r="Z1667" s="1"/>
        <tr r="Z1668" s="1"/>
        <tr r="Z1669" s="1"/>
        <tr r="Z1670" s="1"/>
        <tr r="Z1671" s="1"/>
        <tr r="Z1672" s="1"/>
        <tr r="Z1673" s="1"/>
        <tr r="Z1674" s="1"/>
        <tr r="Z1675" s="1"/>
        <tr r="Z1676" s="1"/>
        <tr r="Z1677" s="1"/>
        <tr r="Z1678" s="1"/>
        <tr r="Z1679" s="1"/>
        <tr r="Z1680" s="1"/>
        <tr r="Z1681" s="1"/>
        <tr r="Z1682" s="1"/>
        <tr r="Z1683" s="1"/>
        <tr r="Z1684" s="1"/>
        <tr r="Z1685" s="1"/>
        <tr r="Z1686" s="1"/>
        <tr r="Z1687" s="1"/>
        <tr r="Z1688" s="1"/>
        <tr r="Z1689" s="1"/>
        <tr r="Z1690" s="1"/>
        <tr r="Z1691" s="1"/>
        <tr r="Z1692" s="1"/>
        <tr r="Z1693" s="1"/>
        <tr r="Z1694" s="1"/>
        <tr r="Z1695" s="1"/>
        <tr r="Z1696" s="1"/>
        <tr r="Z1697" s="1"/>
        <tr r="Z1698" s="1"/>
        <tr r="Z1699" s="1"/>
        <tr r="Z1700" s="1"/>
        <tr r="Z1701" s="1"/>
        <tr r="Z1702" s="1"/>
        <tr r="Z1703" s="1"/>
        <tr r="Z1704" s="1"/>
        <tr r="Z1705" s="1"/>
        <tr r="Z1706" s="1"/>
        <tr r="Z1707" s="1"/>
        <tr r="Z1708" s="1"/>
        <tr r="Z1709" s="1"/>
        <tr r="Z1710" s="1"/>
        <tr r="Z1711" s="1"/>
        <tr r="Z1712" s="1"/>
        <tr r="Z1713" s="1"/>
        <tr r="Z1714" s="1"/>
        <tr r="Z1715" s="1"/>
        <tr r="Z1716" s="1"/>
        <tr r="Z1717" s="1"/>
        <tr r="Z1718" s="1"/>
        <tr r="Z1719" s="1"/>
        <tr r="Z1720" s="1"/>
        <tr r="Z1721" s="1"/>
        <tr r="Z1722" s="1"/>
        <tr r="Z1723" s="1"/>
        <tr r="Z1724" s="1"/>
        <tr r="Z1725" s="1"/>
        <tr r="Z1726" s="1"/>
        <tr r="Z1727" s="1"/>
        <tr r="Z1728" s="1"/>
        <tr r="Z1729" s="1"/>
        <tr r="Z1730" s="1"/>
        <tr r="Z1731" s="1"/>
        <tr r="Z1732" s="1"/>
        <tr r="Z1733" s="1"/>
        <tr r="Z1734" s="1"/>
        <tr r="Z1735" s="1"/>
        <tr r="Z1736" s="1"/>
        <tr r="Z1737" s="1"/>
        <tr r="Z1738" s="1"/>
        <tr r="Z1739" s="1"/>
        <tr r="Z1740" s="1"/>
        <tr r="Z1741" s="1"/>
        <tr r="Z1742" s="1"/>
        <tr r="Z1743" s="1"/>
        <tr r="Z1744" s="1"/>
        <tr r="Z1745" s="1"/>
        <tr r="Z1746" s="1"/>
        <tr r="Z1747" s="1"/>
        <tr r="Z1748" s="1"/>
        <tr r="Z1749" s="1"/>
        <tr r="Z1750" s="1"/>
        <tr r="Z1751" s="1"/>
        <tr r="Z1752" s="1"/>
        <tr r="Z1753" s="1"/>
        <tr r="Z1754" s="1"/>
        <tr r="Z1755" s="1"/>
        <tr r="Z1756" s="1"/>
        <tr r="Z1757" s="1"/>
        <tr r="Z1758" s="1"/>
        <tr r="Z1759" s="1"/>
        <tr r="Z1760" s="1"/>
        <tr r="Z1761" s="1"/>
        <tr r="Z1762" s="1"/>
        <tr r="Z1763" s="1"/>
        <tr r="Z1764" s="1"/>
        <tr r="Z1765" s="1"/>
        <tr r="Z1766" s="1"/>
        <tr r="Z1767" s="1"/>
        <tr r="Z1768" s="1"/>
        <tr r="Z1769" s="1"/>
        <tr r="Z1770" s="1"/>
        <tr r="Z1771" s="1"/>
        <tr r="Z1772" s="1"/>
        <tr r="Z1773" s="1"/>
        <tr r="Z1774" s="1"/>
        <tr r="Z1775" s="1"/>
        <tr r="Z1776" s="1"/>
        <tr r="Z1777" s="1"/>
        <tr r="Z1778" s="1"/>
        <tr r="Z1779" s="1"/>
        <tr r="Z1780" s="1"/>
        <tr r="Z1781" s="1"/>
        <tr r="Z1782" s="1"/>
        <tr r="Z1783" s="1"/>
        <tr r="Z1784" s="1"/>
        <tr r="Z1785" s="1"/>
        <tr r="Z1786" s="1"/>
        <tr r="Z1787" s="1"/>
        <tr r="Z1788" s="1"/>
        <tr r="Z1789" s="1"/>
        <tr r="Z1790" s="1"/>
        <tr r="Z1791" s="1"/>
        <tr r="Z1792" s="1"/>
        <tr r="Z1793" s="1"/>
        <tr r="Z1794" s="1"/>
        <tr r="Z1795" s="1"/>
        <tr r="Z1796" s="1"/>
        <tr r="Z1797" s="1"/>
        <tr r="Z1798" s="1"/>
        <tr r="Z1799" s="1"/>
        <tr r="Z1800" s="1"/>
        <tr r="Z1801" s="1"/>
        <tr r="Z1802" s="1"/>
        <tr r="Z1803" s="1"/>
        <tr r="Z1804" s="1"/>
        <tr r="Z1805" s="1"/>
        <tr r="Z1806" s="1"/>
        <tr r="Z1807" s="1"/>
        <tr r="Z1808" s="1"/>
        <tr r="Z1809" s="1"/>
        <tr r="Z1810" s="1"/>
        <tr r="Z1811" s="1"/>
        <tr r="Z1812" s="1"/>
        <tr r="Z1813" s="1"/>
        <tr r="Z1814" s="1"/>
        <tr r="Z1815" s="1"/>
        <tr r="Z1816" s="1"/>
        <tr r="Z1817" s="1"/>
        <tr r="Z1818" s="1"/>
        <tr r="Z1819" s="1"/>
        <tr r="Z1820" s="1"/>
        <tr r="Z1821" s="1"/>
        <tr r="Z1822" s="1"/>
        <tr r="Z1823" s="1"/>
        <tr r="Z1824" s="1"/>
        <tr r="Z1825" s="1"/>
        <tr r="Z1826" s="1"/>
        <tr r="Z1827" s="1"/>
        <tr r="Z1828" s="1"/>
        <tr r="Z1829" s="1"/>
        <tr r="Z1830" s="1"/>
        <tr r="Z1831" s="1"/>
        <tr r="Z1832" s="1"/>
        <tr r="Z1833" s="1"/>
        <tr r="Z1834" s="1"/>
        <tr r="Z1835" s="1"/>
        <tr r="Z1836" s="1"/>
        <tr r="Z1837" s="1"/>
        <tr r="Z1838" s="1"/>
        <tr r="Z1839" s="1"/>
        <tr r="Z1840" s="1"/>
        <tr r="Z1841" s="1"/>
        <tr r="Z1842" s="1"/>
        <tr r="Z1843" s="1"/>
        <tr r="Z1844" s="1"/>
        <tr r="Z1845" s="1"/>
        <tr r="Z1846" s="1"/>
        <tr r="Z1847" s="1"/>
        <tr r="Z1848" s="1"/>
        <tr r="Z1849" s="1"/>
        <tr r="Z1850" s="1"/>
        <tr r="Z1851" s="1"/>
        <tr r="Z1852" s="1"/>
        <tr r="Z1853" s="1"/>
        <tr r="Z1854" s="1"/>
        <tr r="Z1855" s="1"/>
        <tr r="Z1856" s="1"/>
        <tr r="Z1857" s="1"/>
        <tr r="Z1858" s="1"/>
        <tr r="Z1859" s="1"/>
        <tr r="Z1860" s="1"/>
        <tr r="Z1861" s="1"/>
        <tr r="Z1862" s="1"/>
        <tr r="Z1863" s="1"/>
        <tr r="Z1864" s="1"/>
        <tr r="Z1865" s="1"/>
        <tr r="Z1866" s="1"/>
        <tr r="Z1867" s="1"/>
        <tr r="Z1868" s="1"/>
        <tr r="Z1869" s="1"/>
        <tr r="Z1870" s="1"/>
        <tr r="Z1871" s="1"/>
        <tr r="Z1872" s="1"/>
        <tr r="Z1873" s="1"/>
        <tr r="Z1874" s="1"/>
        <tr r="Z1875" s="1"/>
        <tr r="Z1876" s="1"/>
        <tr r="Z1877" s="1"/>
        <tr r="Z1878" s="1"/>
        <tr r="Z1879" s="1"/>
        <tr r="Z1880" s="1"/>
        <tr r="Z1881" s="1"/>
        <tr r="Z1882" s="1"/>
        <tr r="Z1883" s="1"/>
        <tr r="Z1884" s="1"/>
        <tr r="Z1885" s="1"/>
        <tr r="Z1886" s="1"/>
        <tr r="Z1887" s="1"/>
        <tr r="Z1888" s="1"/>
        <tr r="Z1889" s="1"/>
        <tr r="Z1890" s="1"/>
        <tr r="Z1891" s="1"/>
        <tr r="Z1892" s="1"/>
        <tr r="Z1893" s="1"/>
        <tr r="Z1894" s="1"/>
        <tr r="Z1895" s="1"/>
        <tr r="Z1896" s="1"/>
        <tr r="Z1897" s="1"/>
        <tr r="Z1898" s="1"/>
        <tr r="Z1899" s="1"/>
        <tr r="Z1900" s="1"/>
        <tr r="Z1901" s="1"/>
        <tr r="Z1902" s="1"/>
        <tr r="Z1903" s="1"/>
        <tr r="Z1904" s="1"/>
        <tr r="Z1905" s="1"/>
        <tr r="Z1906" s="1"/>
        <tr r="Z1907" s="1"/>
        <tr r="Z1908" s="1"/>
        <tr r="Z1909" s="1"/>
        <tr r="Z1910" s="1"/>
        <tr r="Z1911" s="1"/>
        <tr r="Z1912" s="1"/>
        <tr r="Z1913" s="1"/>
        <tr r="Z1914" s="1"/>
        <tr r="Z1915" s="1"/>
        <tr r="Z1916" s="1"/>
        <tr r="Z1917" s="1"/>
        <tr r="Z1918" s="1"/>
        <tr r="Z1919" s="1"/>
        <tr r="Z1920" s="1"/>
        <tr r="Z1921" s="1"/>
        <tr r="Z1922" s="1"/>
        <tr r="Z1923" s="1"/>
        <tr r="Z1924" s="1"/>
        <tr r="Z1925" s="1"/>
        <tr r="Z1926" s="1"/>
        <tr r="Z1927" s="1"/>
        <tr r="Z1928" s="1"/>
        <tr r="Z1929" s="1"/>
        <tr r="Z1930" s="1"/>
        <tr r="Z1931" s="1"/>
        <tr r="Z1932" s="1"/>
        <tr r="Z1933" s="1"/>
        <tr r="Z1934" s="1"/>
        <tr r="Z1935" s="1"/>
        <tr r="Z1936" s="1"/>
        <tr r="Z1937" s="1"/>
        <tr r="Z1938" s="1"/>
        <tr r="Z1939" s="1"/>
        <tr r="Z1940" s="1"/>
        <tr r="Z1941" s="1"/>
        <tr r="Z1942" s="1"/>
        <tr r="Z1943" s="1"/>
        <tr r="Z1944" s="1"/>
        <tr r="Z1945" s="1"/>
        <tr r="Z1946" s="1"/>
        <tr r="Z1947" s="1"/>
        <tr r="Z1948" s="1"/>
        <tr r="Z1949" s="1"/>
        <tr r="Z1950" s="1"/>
        <tr r="Z1951" s="1"/>
        <tr r="Z1952" s="1"/>
        <tr r="Z1953" s="1"/>
        <tr r="Z1954" s="1"/>
        <tr r="Z1955" s="1"/>
        <tr r="Z1956" s="1"/>
        <tr r="Z1957" s="1"/>
        <tr r="Z1958" s="1"/>
        <tr r="Z1959" s="1"/>
        <tr r="Z1960" s="1"/>
        <tr r="Z1961" s="1"/>
        <tr r="Z1962" s="1"/>
        <tr r="Z1963" s="1"/>
        <tr r="Z1964" s="1"/>
        <tr r="Z1965" s="1"/>
        <tr r="Z1966" s="1"/>
        <tr r="Z1967" s="1"/>
        <tr r="Z1968" s="1"/>
        <tr r="Z1969" s="1"/>
        <tr r="Z1970" s="1"/>
        <tr r="Z1971" s="1"/>
        <tr r="Z1972" s="1"/>
        <tr r="Z1973" s="1"/>
        <tr r="Z1974" s="1"/>
        <tr r="Z1975" s="1"/>
        <tr r="Z1976" s="1"/>
        <tr r="Z1977" s="1"/>
        <tr r="Z1978" s="1"/>
        <tr r="Z1979" s="1"/>
        <tr r="Z1980" s="1"/>
        <tr r="Z1981" s="1"/>
        <tr r="Z1982" s="1"/>
        <tr r="Z1983" s="1"/>
        <tr r="Z1984" s="1"/>
        <tr r="Z1985" s="1"/>
        <tr r="Z1986" s="1"/>
        <tr r="Z1987" s="1"/>
        <tr r="Z1988" s="1"/>
        <tr r="Z1989" s="1"/>
        <tr r="Z1990" s="1"/>
        <tr r="Z1991" s="1"/>
        <tr r="Z1992" s="1"/>
        <tr r="Z1993" s="1"/>
        <tr r="Z1994" s="1"/>
        <tr r="Z1995" s="1"/>
        <tr r="Z1996" s="1"/>
        <tr r="Z1997" s="1"/>
        <tr r="Z1998" s="1"/>
        <tr r="Z1999" s="1"/>
        <tr r="Z2000" s="1"/>
        <tr r="Z2001" s="1"/>
      </tp>
      <tp t="s">
        <v>#N/A Requesting Data...3062816553</v>
        <stp/>
        <stp>BDP|12771903846197349044</stp>
        <tr r="AB1457" s="1"/>
        <tr r="AB1457" s="1"/>
      </tp>
      <tp>
        <v>10.91</v>
        <stp/>
        <stp>BDP|5917150444509863218|22</stp>
        <stp>WVE US Equity</stp>
        <stp>LAST_PRICE</stp>
        <tr r="AD1576" s="1"/>
        <tr r="AD1576" s="1"/>
      </tp>
      <tp>
        <v>85.67</v>
        <stp/>
        <stp>BDP|2321831292815561918|22</stp>
        <stp>MRK US Equity</stp>
        <stp>LAST_PRICE</stp>
        <tr r="AD940" s="1"/>
        <tr r="AD940" s="1"/>
      </tp>
      <tp>
        <v>1.4999999999999999E-2</v>
        <stp/>
        <stp>BDP|460310409885839646|22</stp>
        <stp>OKAI CN Equity</stp>
        <stp>LAST_PRICE</stp>
        <tr r="AD591" s="1"/>
        <tr r="AD591" s="1"/>
      </tp>
      <tp t="s">
        <v>#N/A Requesting Data...3916230745</v>
        <stp/>
        <stp>BDP|17437455799616039518</stp>
        <tr r="AB949" s="1"/>
        <tr r="AB949" s="1"/>
      </tp>
      <tp t="s">
        <v>#N/A Requesting Data...2310012413</v>
        <stp/>
        <stp>BDP|15380110974759966361</stp>
        <tr r="Y21" s="1"/>
        <tr r="Y21" s="1"/>
      </tp>
      <tp t="s">
        <v>#N/A Requesting Data...2854348114</v>
        <stp/>
        <stp>BDP|17490163238749474572</stp>
        <tr r="Y1440" s="1"/>
        <tr r="Y1440" s="1"/>
      </tp>
      <tp t="s">
        <v>#N/A Requesting Data...1947060354</v>
        <stp/>
        <stp>BDP|17176073858963537820</stp>
        <tr r="AA1337" s="1"/>
        <tr r="AA1337" s="1"/>
      </tp>
      <tp t="s">
        <v>#N/A Requesting Data...3375537283</v>
        <stp/>
        <stp>BDP|12413826705842831122</stp>
        <tr r="AC1505" s="1"/>
        <tr r="AC1505" s="1"/>
      </tp>
      <tp t="s">
        <v>#N/A Requesting Data...3736567281</v>
        <stp/>
        <stp>BDP|16462073496863451586</stp>
        <tr r="Z241" s="1"/>
        <tr r="Z241" s="1"/>
      </tp>
      <tp t="s">
        <v>#N/A Requesting Data...3865942146</v>
        <stp/>
        <stp>BDP|16141269433156444895</stp>
        <tr r="AB880" s="1"/>
        <tr r="AB880" s="1"/>
      </tp>
      <tp t="s">
        <v>#N/A Requesting Data...2784184432</v>
        <stp/>
        <stp>BDP|13321819060205383182</stp>
        <tr r="AC763" s="1"/>
        <tr r="AC763" s="1"/>
      </tp>
      <tp t="s">
        <v>#N/A Requesting Data...2553919011</v>
        <stp/>
        <stp>BDP|17757851992017028894</stp>
        <tr r="Y303" s="1"/>
        <tr r="Y303" s="1"/>
      </tp>
      <tp t="s">
        <v>#N/A Requesting Data...1804399303</v>
        <stp/>
        <stp>BDP|11284152062818469785</stp>
        <tr r="AA1467" s="1"/>
        <tr r="AA1467" s="1"/>
      </tp>
      <tp t="s">
        <v>#N/A Requesting Data...2533387208</v>
        <stp/>
        <stp>BDP|11584343879008895493</stp>
        <tr r="AC1158" s="1"/>
        <tr r="AC1158" s="1"/>
      </tp>
      <tp t="s">
        <v>#N/A Requesting Data...1993923376</v>
        <stp/>
        <stp>BDP|12231705409519130531</stp>
        <tr r="AB1176" s="1"/>
        <tr r="AB1176" s="1"/>
      </tp>
      <tp t="s">
        <v>#N/A Requesting Data...3880787493</v>
        <stp/>
        <stp>BDP|15710751292927194581</stp>
        <tr r="AB303" s="1"/>
        <tr r="AB303" s="1"/>
      </tp>
      <tp t="s">
        <v>#N/A Requesting Data...1444821438</v>
        <stp/>
        <stp>BDP|13553409402867614980</stp>
        <tr r="AB919" s="1"/>
        <tr r="AB919" s="1"/>
      </tp>
      <tp t="s">
        <v>#N/A Requesting Data...4081291399</v>
        <stp/>
        <stp>BDP|12405432339625476929</stp>
        <tr r="AA1433" s="1"/>
        <tr r="AA1433" s="1"/>
      </tp>
      <tp t="s">
        <v>#N/A Requesting Data...2127275016</v>
        <stp/>
        <stp>BDP|11094043759138318565</stp>
        <tr r="AA585" s="1"/>
        <tr r="AA585" s="1"/>
      </tp>
      <tp t="s">
        <v>#N/A Requesting Data...1320654477</v>
        <stp/>
        <stp>BDP|18306699403996849198</stp>
        <tr r="AC114" s="1"/>
        <tr r="AC114" s="1"/>
      </tp>
      <tp t="s">
        <v>#N/A Requesting Data...3680769088</v>
        <stp/>
        <stp>BDP|18052107329095448755</stp>
        <tr r="AA1475" s="1"/>
        <tr r="AA1475" s="1"/>
      </tp>
      <tp t="s">
        <v>#N/A Requesting Data...1713603514</v>
        <stp/>
        <stp>BDP|11918698781793088594</stp>
        <tr r="AB1564" s="1"/>
        <tr r="AB1564" s="1"/>
      </tp>
      <tp t="s">
        <v>#N/A Requesting Data...2255882936</v>
        <stp/>
        <stp>BDP|11284442648611363958</stp>
        <tr r="Z287" s="1"/>
        <tr r="Z287" s="1"/>
      </tp>
      <tp t="s">
        <v>#N/A Requesting Data...3975842750</v>
        <stp/>
        <stp>BDP|17876939920050296516</stp>
        <tr r="Z144" s="1"/>
        <tr r="Z144" s="1"/>
      </tp>
      <tp t="s">
        <v>#N/A Requesting Data...2499183125</v>
        <stp/>
        <stp>BDP|13810444864831091904</stp>
        <tr r="Z211" s="1"/>
        <tr r="Z211" s="1"/>
      </tp>
      <tp t="s">
        <v>#N/A Requesting Data...3956172600</v>
        <stp/>
        <stp>BDP|18327338250765992214</stp>
        <tr r="Y385" s="1"/>
        <tr r="Y385" s="1"/>
      </tp>
      <tp t="s">
        <v>#N/A Requesting Data...1804311266</v>
        <stp/>
        <stp>BDP|10236844438206371452</stp>
        <tr r="Z495" s="1"/>
        <tr r="Z495" s="1"/>
      </tp>
      <tp t="s">
        <v>#N/A Requesting Data...1566331048</v>
        <stp/>
        <stp>BDP|14593390328964502896</stp>
        <tr r="Z1111" s="1"/>
        <tr r="Z1111" s="1"/>
      </tp>
      <tp t="s">
        <v>#N/A Requesting Data...3321192289</v>
        <stp/>
        <stp>BDP|10561918076111307699</stp>
        <tr r="Z918" s="1"/>
      </tp>
      <tp t="s">
        <v>#N/A Requesting Data...3502580409</v>
        <stp/>
        <stp>BDP|17772494696206543553</stp>
        <tr r="Y132" s="1"/>
        <tr r="Y132" s="1"/>
      </tp>
      <tp t="s">
        <v>#N/A Requesting Data...3893131030</v>
        <stp/>
        <stp>BDP|12016895861356811383</stp>
        <tr r="AA373" s="1"/>
        <tr r="AA373" s="1"/>
      </tp>
      <tp t="s">
        <v>#N/A Requesting Data...3873517586</v>
        <stp/>
        <stp>BDP|10377767045202807807</stp>
        <tr r="Z664" s="1"/>
        <tr r="Z664" s="1"/>
      </tp>
      <tp t="s">
        <v>#N/A Requesting Data...2611700089</v>
        <stp/>
        <stp>BDP|13658528320298425589</stp>
        <tr r="AC1321" s="1"/>
        <tr r="AC1321" s="1"/>
      </tp>
      <tp t="s">
        <v>#N/A Requesting Data...3770683453</v>
        <stp/>
        <stp>BDP|11375277399360188371</stp>
        <tr r="Z632" s="1"/>
        <tr r="Z632" s="1"/>
      </tp>
      <tp t="s">
        <v>#N/A Requesting Data...3785141163</v>
        <stp/>
        <stp>BDP|10757459989797522250</stp>
        <tr r="AA232" s="1"/>
        <tr r="AA232" s="1"/>
      </tp>
      <tp t="s">
        <v>#N/A Requesting Data...2087722510</v>
        <stp/>
        <stp>BDP|15882496274409766691</stp>
        <tr r="AC1224" s="1"/>
        <tr r="AC1224" s="1"/>
      </tp>
      <tp t="s">
        <v>#N/A Requesting Data...2108085447</v>
        <stp/>
        <stp>BDP|14929732526749005174</stp>
        <tr r="AA1172" s="1"/>
        <tr r="AA1172" s="1"/>
      </tp>
      <tp t="s">
        <v>#N/A Requesting Data...2094319876</v>
        <stp/>
        <stp>BDP|14977116046278359067</stp>
        <tr r="Y1199" s="1"/>
        <tr r="Y1199" s="1"/>
      </tp>
      <tp t="s">
        <v>#N/A Requesting Data...1628370591</v>
        <stp/>
        <stp>BDP|15424498195128691953</stp>
        <tr r="AA539" s="1"/>
        <tr r="AA539" s="1"/>
      </tp>
      <tp t="s">
        <v>#N/A Requesting Data...1521295675</v>
        <stp/>
        <stp>BDP|12190277348099563408</stp>
        <tr r="AA435" s="1"/>
        <tr r="AA435" s="1"/>
      </tp>
      <tp t="s">
        <v>#N/A Requesting Data...3593389601</v>
        <stp/>
        <stp>BDP|12996049383973282077</stp>
        <tr r="AC1242" s="1"/>
        <tr r="AC1242" s="1"/>
      </tp>
      <tp t="s">
        <v>#N/A Requesting Data...3402970995</v>
        <stp/>
        <stp>BDP|13790122600262659989</stp>
        <tr r="AA266" s="1"/>
        <tr r="AA266" s="1"/>
      </tp>
      <tp t="s">
        <v>#N/A Requesting Data...3066639316</v>
        <stp/>
        <stp>BDP|11687853452382343799</stp>
        <tr r="Z200" s="1"/>
        <tr r="Z200" s="1"/>
      </tp>
      <tp t="s">
        <v>#N/A Requesting Data...2565410039</v>
        <stp/>
        <stp>BDP|17908617690412409377</stp>
        <tr r="AA15" s="1"/>
        <tr r="AA15" s="1"/>
      </tp>
      <tp t="s">
        <v>#N/A Requesting Data...1371687240</v>
        <stp/>
        <stp>BDP|11325780735835590918</stp>
        <tr r="AB171" s="1"/>
        <tr r="AB171" s="1"/>
      </tp>
      <tp t="s">
        <v>#N/A Requesting Data...2031128894</v>
        <stp/>
        <stp>BDP|17863330024847148843</stp>
        <tr r="Z1227" s="1"/>
        <tr r="Z1227" s="1"/>
      </tp>
      <tp t="s">
        <v>#N/A Requesting Data...2220935640</v>
        <stp/>
        <stp>BDP|18085595173597546455</stp>
        <tr r="Y242" s="1"/>
      </tp>
      <tp t="s">
        <v>#N/A Requesting Data...1871267445</v>
        <stp/>
        <stp>BDP|14003875564156147589</stp>
        <tr r="Z242" s="1"/>
      </tp>
      <tp t="s">
        <v>#N/A Requesting Data...2217616639</v>
        <stp/>
        <stp>BDP|12932199381653204194</stp>
        <tr r="Z761" s="1"/>
        <tr r="Z761" s="1"/>
      </tp>
      <tp t="s">
        <v>#N/A Requesting Data...2764533081</v>
        <stp/>
        <stp>BDP|12974308690166351705</stp>
        <tr r="AC1257" s="1"/>
        <tr r="AC1257" s="1"/>
      </tp>
      <tp t="s">
        <v>#N/A Requesting Data...2820071675</v>
        <stp/>
        <stp>BDP|13726154099006113409</stp>
        <tr r="AB845" s="1"/>
        <tr r="AB845" s="1"/>
      </tp>
      <tp t="s">
        <v>#N/A Requesting Data...3568656924</v>
        <stp/>
        <stp>BDP|14386500498902702362</stp>
        <tr r="AA780" s="1"/>
        <tr r="AA780" s="1"/>
      </tp>
      <tp t="s">
        <v>#N/A Requesting Data...3315564930</v>
        <stp/>
        <stp>BDP|17852366803148122562</stp>
        <tr r="AB1002" s="1"/>
        <tr r="AB1002" s="1"/>
      </tp>
      <tp t="s">
        <v>#N/A Requesting Data...2567671226</v>
        <stp/>
        <stp>BDP|17634511633401769991</stp>
        <tr r="Y35" s="1"/>
      </tp>
      <tp t="s">
        <v>#N/A Requesting Data...2872151215</v>
        <stp/>
        <stp>BDP|12191698830056533872</stp>
        <tr r="AA338" s="1"/>
        <tr r="AA338" s="1"/>
      </tp>
      <tp t="s">
        <v>#N/A Requesting Data...1941164535</v>
        <stp/>
        <stp>BDP|11722335727851811819</stp>
        <tr r="AA349" s="1"/>
        <tr r="AA349" s="1"/>
      </tp>
      <tp t="s">
        <v>#N/A Requesting Data...3293407599</v>
        <stp/>
        <stp>BDP|15383898093518294519</stp>
        <tr r="AA718" s="1"/>
        <tr r="AA718" s="1"/>
      </tp>
      <tp t="s">
        <v>#N/A Requesting Data...2784655357</v>
        <stp/>
        <stp>BDP|16441536258766284904</stp>
        <tr r="Y446" s="1"/>
        <tr r="Y446" s="1"/>
      </tp>
      <tp t="s">
        <v>#N/A Requesting Data...3077496682</v>
        <stp/>
        <stp>BDP|13882818065980972486</stp>
        <tr r="AC189" s="1"/>
        <tr r="AC189" s="1"/>
      </tp>
      <tp t="s">
        <v>#N/A Requesting Data...3086279080</v>
        <stp/>
        <stp>BDP|15756248061118915065</stp>
        <tr r="AB179" s="1"/>
      </tp>
      <tp t="s">
        <v>#N/A Requesting Data...2323123995</v>
        <stp/>
        <stp>BDP|18427601429083892685</stp>
        <tr r="AB307" s="1"/>
        <tr r="AB307" s="1"/>
      </tp>
      <tp t="s">
        <v>#N/A Requesting Data...3766241111</v>
        <stp/>
        <stp>BDP|12910807935847365725</stp>
        <tr r="AC666" s="1"/>
        <tr r="AC666" s="1"/>
      </tp>
      <tp t="s">
        <v>#N/A Requesting Data...2874879012</v>
        <stp/>
        <stp>BDP|17841807953693578031</stp>
        <tr r="AB895" s="1"/>
        <tr r="AB895" s="1"/>
      </tp>
      <tp t="s">
        <v>#N/A Requesting Data...2006769442</v>
        <stp/>
        <stp>BDP|12337912909841691303</stp>
        <tr r="AA1430" s="1"/>
        <tr r="AA1430" s="1"/>
      </tp>
      <tp t="s">
        <v>#N/A Requesting Data...2492905350</v>
        <stp/>
        <stp>BDP|14177123380235649183</stp>
        <tr r="Z1470" s="1"/>
        <tr r="Z1470" s="1"/>
      </tp>
      <tp t="s">
        <v>#N/A Requesting Data...2606721082</v>
        <stp/>
        <stp>BDP|18403220382583060892</stp>
        <tr r="Z79" s="1"/>
        <tr r="Z79" s="1"/>
      </tp>
      <tp t="s">
        <v>#N/A Requesting Data...2963475053</v>
        <stp/>
        <stp>BDP|10962690768858410118</stp>
        <tr r="AC798" s="1"/>
        <tr r="AC798" s="1"/>
      </tp>
      <tp t="s">
        <v>#N/A Requesting Data...4232000499</v>
        <stp/>
        <stp>BDP|10053297609353915846</stp>
        <tr r="AB1481" s="1"/>
        <tr r="AB1481" s="1"/>
      </tp>
      <tp t="s">
        <v>#N/A Requesting Data...2779086301</v>
        <stp/>
        <stp>BDP|15131967610057967336</stp>
        <tr r="AB431" s="1"/>
        <tr r="AB431" s="1"/>
      </tp>
      <tp t="s">
        <v>#N/A Requesting Data...4239938507</v>
        <stp/>
        <stp>BDP|17865248898165119097</stp>
        <tr r="Z228" s="1"/>
        <tr r="Z228" s="1"/>
      </tp>
      <tp t="s">
        <v>#N/A Requesting Data...1338659254</v>
        <stp/>
        <stp>BDP|17115125239369461529</stp>
        <tr r="Z1297" s="1"/>
        <tr r="Z1297" s="1"/>
      </tp>
      <tp t="s">
        <v>#N/A Requesting Data...3571789795</v>
        <stp/>
        <stp>BDP|11241438686440917426</stp>
        <tr r="Z1274" s="1"/>
        <tr r="Z1274" s="1"/>
      </tp>
      <tp t="s">
        <v>#N/A Requesting Data...2094779513</v>
        <stp/>
        <stp>BDP|17329984760771329042</stp>
        <tr r="AB1021" s="1"/>
        <tr r="AB1021" s="1"/>
      </tp>
      <tp t="s">
        <v>#N/A Requesting Data...1812801971</v>
        <stp/>
        <stp>BDP|16052501864618847401</stp>
        <tr r="AB1297" s="1"/>
        <tr r="AB1297" s="1"/>
      </tp>
      <tp t="s">
        <v>#N/A Requesting Data...3085673506</v>
        <stp/>
        <stp>BDP|16478950393797711896</stp>
        <tr r="AC163" s="1"/>
        <tr r="AC163" s="1"/>
      </tp>
      <tp t="s">
        <v>#N/A Requesting Data...1819299144</v>
        <stp/>
        <stp>BDP|15128670288650475265</stp>
        <tr r="AB888" s="1"/>
        <tr r="AB888" s="1"/>
      </tp>
      <tp t="s">
        <v>#N/A Requesting Data...2425401843</v>
        <stp/>
        <stp>BDP|15757548179739185777</stp>
        <tr r="AB225" s="1"/>
        <tr r="AB225" s="1"/>
      </tp>
      <tp t="s">
        <v>#N/A Requesting Data...3446898705</v>
        <stp/>
        <stp>BDP|11189123193736905658</stp>
        <tr r="Y982" s="1"/>
        <tr r="Y982" s="1"/>
      </tp>
      <tp t="s">
        <v>#N/A Requesting Data...4170258080</v>
        <stp/>
        <stp>BDP|13613346516020388885</stp>
        <tr r="AA685" s="1"/>
        <tr r="AA685" s="1"/>
      </tp>
      <tp t="s">
        <v>#N/A Requesting Data...1442143484</v>
        <stp/>
        <stp>BDP|16008783685587221709</stp>
        <tr r="AA612" s="1"/>
        <tr r="AA612" s="1"/>
      </tp>
      <tp t="s">
        <v>#N/A Requesting Data...2632477680</v>
        <stp/>
        <stp>BDP|11921137418849857154</stp>
        <tr r="Z77" s="1"/>
        <tr r="Z77" s="1"/>
      </tp>
      <tp t="s">
        <v>#N/A Requesting Data...3779197056</v>
        <stp/>
        <stp>BDP|15393673388667273518</stp>
        <tr r="AC1302" s="1"/>
        <tr r="AC1302" s="1"/>
      </tp>
      <tp t="s">
        <v>#N/A Requesting Data...2444705067</v>
        <stp/>
        <stp>BDP|14181242190507279189</stp>
        <tr r="Z588" s="1"/>
        <tr r="Z588" s="1"/>
      </tp>
      <tp t="s">
        <v>#N/A Requesting Data...2176875195</v>
        <stp/>
        <stp>BDP|15086097587541992583</stp>
        <tr r="Z27" s="1"/>
        <tr r="Z27" s="1"/>
      </tp>
      <tp t="s">
        <v>#N/A Requesting Data...2957710449</v>
        <stp/>
        <stp>BDP|17416592733068254030</stp>
        <tr r="AB737" s="1"/>
        <tr r="AB737" s="1"/>
      </tp>
      <tp t="s">
        <v>#N/A Requesting Data...3953880616</v>
        <stp/>
        <stp>BDP|10890654090904649245</stp>
        <tr r="Z267" s="1"/>
        <tr r="Z267" s="1"/>
      </tp>
      <tp t="s">
        <v>#N/A Requesting Data...2686378168</v>
        <stp/>
        <stp>BDP|14920602851199053771</stp>
        <tr r="Z217" s="1"/>
        <tr r="Z217" s="1"/>
      </tp>
      <tp t="s">
        <v>#N/A Requesting Data...3396887771</v>
        <stp/>
        <stp>BDP|16307241854451867947</stp>
        <tr r="Y1493" s="1"/>
        <tr r="Y1493" s="1"/>
      </tp>
      <tp t="s">
        <v>#N/A Requesting Data...2500221027</v>
        <stp/>
        <stp>BDP|10617197430549318228</stp>
        <tr r="AA119" s="1"/>
        <tr r="AA119" s="1"/>
      </tp>
      <tp t="s">
        <v>#N/A Requesting Data...2794781433</v>
        <stp/>
        <stp>BDP|11817351704742707908</stp>
        <tr r="Y72" s="1"/>
        <tr r="Y72" s="1"/>
      </tp>
      <tp t="s">
        <v>#N/A Requesting Data...3594367723</v>
        <stp/>
        <stp>BDP|14573923947110981070</stp>
        <tr r="AA1365" s="1"/>
        <tr r="AA1365" s="1"/>
      </tp>
      <tp t="s">
        <v>#N/A Requesting Data...3203125608</v>
        <stp/>
        <stp>BDP|17820379686191157463</stp>
        <tr r="Y1140" s="1"/>
        <tr r="Y1140" s="1"/>
      </tp>
      <tp t="s">
        <v>#N/A Requesting Data...3864605959</v>
        <stp/>
        <stp>BDP|16317993292667679801</stp>
        <tr r="Z946" s="1"/>
        <tr r="Z946" s="1"/>
      </tp>
      <tp t="s">
        <v>#N/A Requesting Data...2433070614</v>
        <stp/>
        <stp>BDP|15542942738855308349</stp>
        <tr r="AA288" s="1"/>
        <tr r="AA288" s="1"/>
      </tp>
      <tp t="s">
        <v>#N/A Requesting Data...3205542449</v>
        <stp/>
        <stp>BDP|12221305735283802810</stp>
        <tr r="Y1490" s="1"/>
        <tr r="Y1490" s="1"/>
      </tp>
      <tp t="s">
        <v>#N/A Requesting Data...3873888867</v>
        <stp/>
        <stp>BDP|15576326490374101279</stp>
        <tr r="AC1172" s="1"/>
        <tr r="AC1172" s="1"/>
      </tp>
      <tp t="s">
        <v>#N/A Requesting Data...3823999089</v>
        <stp/>
        <stp>BDP|17704130790444165248</stp>
        <tr r="AC604" s="1"/>
        <tr r="AC604" s="1"/>
      </tp>
      <tp t="s">
        <v>#N/A Requesting Data...1935447866</v>
        <stp/>
        <stp>BDP|14128917040972912283</stp>
        <tr r="AC1450" s="1"/>
        <tr r="AC1450" s="1"/>
      </tp>
      <tp t="s">
        <v>#N/A Requesting Data...3032971444</v>
        <stp/>
        <stp>BDP|14158560792750397175</stp>
        <tr r="AA1111" s="1"/>
        <tr r="AA1111" s="1"/>
      </tp>
      <tp t="s">
        <v>#N/A Requesting Data...2239989713</v>
        <stp/>
        <stp>BDP|17558502956179612745</stp>
        <tr r="Y1274" s="1"/>
        <tr r="Y1274" s="1"/>
      </tp>
      <tp t="s">
        <v>#N/A Requesting Data...2159531686</v>
        <stp/>
        <stp>BDP|13079704742458412177</stp>
        <tr r="Z1497" s="1"/>
        <tr r="Z1497" s="1"/>
      </tp>
      <tp t="s">
        <v>#N/A Requesting Data...3910656868</v>
        <stp/>
        <stp>BDP|11872915659633528740</stp>
        <tr r="Z157" s="1"/>
        <tr r="Z157" s="1"/>
      </tp>
      <tp t="s">
        <v>#N/A Requesting Data...3998583580</v>
        <stp/>
        <stp>BDP|11716446754268119170</stp>
        <tr r="AA1346" s="1"/>
        <tr r="AA1346" s="1"/>
      </tp>
      <tp>
        <v>0.08</v>
        <stp/>
        <stp>BDP|6019577107586403046|22</stp>
        <stp>MDX CN Equity</stp>
        <stp>LAST_PRICE</stp>
        <tr r="AD934" s="1"/>
        <tr r="AD934" s="1"/>
      </tp>
      <tp t="s">
        <v>#N/A Requesting Data...1797177417</v>
        <stp/>
        <stp>BDP|18088171871227272047</stp>
        <tr r="Z476" s="1"/>
        <tr r="Z476" s="1"/>
      </tp>
      <tp t="s">
        <v>#N/A Requesting Data...1415772645</v>
        <stp/>
        <stp>BDP|17044067817978664775</stp>
        <tr r="AB1383" s="1"/>
        <tr r="AB1383" s="1"/>
      </tp>
      <tp t="s">
        <v>#N/A Requesting Data...2928265410</v>
        <stp/>
        <stp>BDP|14104366286414087213</stp>
        <tr r="AB596" s="1"/>
        <tr r="AB596" s="1"/>
      </tp>
      <tp t="s">
        <v>#N/A Requesting Data...3472508622</v>
        <stp/>
        <stp>BDP|16016161858469683282</stp>
        <tr r="Y504" s="1"/>
        <tr r="Y504" s="1"/>
      </tp>
      <tp t="s">
        <v>#N/A Requesting Data...3102843003</v>
        <stp/>
        <stp>BDP|12071335858038296596</stp>
        <tr r="Y441" s="1"/>
        <tr r="Y441" s="1"/>
      </tp>
      <tp t="s">
        <v>#N/A Requesting Data...2280974654</v>
        <stp/>
        <stp>BDP|17667223029048517689</stp>
        <tr r="AA1524" s="1"/>
        <tr r="AA1524" s="1"/>
      </tp>
      <tp t="s">
        <v>#N/A Requesting Data...1688282435</v>
        <stp/>
        <stp>BDP|13355060776879285418</stp>
        <tr r="AA838" s="1"/>
        <tr r="AA838" s="1"/>
      </tp>
      <tp t="s">
        <v>#N/A Requesting Data...1663851794</v>
        <stp/>
        <stp>BDP|16281335883261121531</stp>
        <tr r="AB644" s="1"/>
        <tr r="AB644" s="1"/>
      </tp>
      <tp t="s">
        <v>#N/A Requesting Data...1576416140</v>
        <stp/>
        <stp>BDP|16819739933663153897</stp>
        <tr r="Y330" s="1"/>
        <tr r="Y330" s="1"/>
      </tp>
      <tp t="s">
        <v>#N/A Requesting Data...3446787895</v>
        <stp/>
        <stp>BDP|10465862513608592847</stp>
        <tr r="AC718" s="1"/>
        <tr r="AC718" s="1"/>
      </tp>
      <tp t="s">
        <v>#N/A Requesting Data...2498354420</v>
        <stp/>
        <stp>BDP|17435575651298627645</stp>
        <tr r="Y133" s="1"/>
        <tr r="Y133" s="1"/>
      </tp>
      <tp t="s">
        <v>#N/A Requesting Data...2416649954</v>
        <stp/>
        <stp>BDP|15350041535996293907</stp>
        <tr r="AB128" s="1"/>
        <tr r="AB128" s="1"/>
      </tp>
      <tp t="s">
        <v>#N/A Requesting Data...2407593861</v>
        <stp/>
        <stp>BDP|14974485666079468636</stp>
        <tr r="Y926" s="1"/>
        <tr r="Y926" s="1"/>
      </tp>
      <tp t="s">
        <v>#N/A Requesting Data...3359165531</v>
        <stp/>
        <stp>BDP|16961346773448927374</stp>
        <tr r="AA1064" s="1"/>
        <tr r="AA1064" s="1"/>
      </tp>
      <tp t="s">
        <v>#N/A Requesting Data...2006346087</v>
        <stp/>
        <stp>BDP|12481832542644654338</stp>
        <tr r="Y378" s="1"/>
        <tr r="Y378" s="1"/>
      </tp>
      <tp t="s">
        <v>#N/A Requesting Data...2506646269</v>
        <stp/>
        <stp>BDP|12711308882541596105</stp>
        <tr r="Z1321" s="1"/>
        <tr r="Z1321" s="1"/>
      </tp>
      <tp t="s">
        <v>#N/A Requesting Data...3306810757</v>
        <stp/>
        <stp>BDP|18293534524217261179</stp>
        <tr r="Y1304" s="1"/>
        <tr r="Y1304" s="1"/>
      </tp>
      <tp t="s">
        <v>#N/A Requesting Data...1819249144</v>
        <stp/>
        <stp>BDP|14552489242889726481</stp>
        <tr r="AC392" s="1"/>
        <tr r="AC392" s="1"/>
      </tp>
      <tp t="s">
        <v>#N/A Requesting Data...2623106740</v>
        <stp/>
        <stp>BDP|17846199002709452678</stp>
        <tr r="Z1501" s="1"/>
        <tr r="Z1501" s="1"/>
      </tp>
      <tp t="s">
        <v>#N/A Requesting Data...2770900780</v>
        <stp/>
        <stp>BDP|13622823399929562288</stp>
        <tr r="Y876" s="1"/>
        <tr r="Y876" s="1"/>
      </tp>
      <tp t="s">
        <v>#N/A Requesting Data...3421285481</v>
        <stp/>
        <stp>BDP|12828999511627306406</stp>
        <tr r="AA397" s="1"/>
        <tr r="AA397" s="1"/>
      </tp>
      <tp t="s">
        <v>#N/A Requesting Data...2829836365</v>
        <stp/>
        <stp>BDP|16441543072825821896</stp>
        <tr r="AA405" s="1"/>
        <tr r="AA405" s="1"/>
      </tp>
      <tp t="s">
        <v>#N/A Requesting Data...1767747660</v>
        <stp/>
        <stp>BDP|15153630858678924709</stp>
        <tr r="Y673" s="1"/>
        <tr r="Y673" s="1"/>
      </tp>
      <tp t="s">
        <v>#N/A Requesting Data...1895722465</v>
        <stp/>
        <stp>BDP|11014216844488691602</stp>
        <tr r="AC977" s="1"/>
        <tr r="AC977" s="1"/>
      </tp>
      <tp t="s">
        <v>#N/A Requesting Data...2855227965</v>
        <stp/>
        <stp>BDP|12879193052618939799</stp>
        <tr r="AA179" s="1"/>
      </tp>
      <tp t="s">
        <v>#N/A Requesting Data...3738814634</v>
        <stp/>
        <stp>BDP|15060971106543489665</stp>
        <tr r="AC1051" s="1"/>
        <tr r="AC1051" s="1"/>
      </tp>
      <tp t="s">
        <v>#N/A Requesting Data...3970416276</v>
        <stp/>
        <stp>BDP|17388640164769093709</stp>
        <tr r="Z256" s="1"/>
        <tr r="Z256" s="1"/>
      </tp>
      <tp t="s">
        <v>#N/A Requesting Data...1956307115</v>
        <stp/>
        <stp>BDP|18313187558105726079</stp>
        <tr r="Y477" s="1"/>
        <tr r="Y477" s="1"/>
      </tp>
      <tp t="s">
        <v>#N/A Requesting Data...4269334965</v>
        <stp/>
        <stp>BDP|14476857446743423204</stp>
        <tr r="AB616" s="1"/>
        <tr r="AB616" s="1"/>
      </tp>
      <tp t="s">
        <v>#N/A Requesting Data...1799519909</v>
        <stp/>
        <stp>BDP|14832941401224651084</stp>
        <tr r="AB1059" s="1"/>
        <tr r="AB1059" s="1"/>
      </tp>
      <tp t="s">
        <v>#N/A Requesting Data...3132958446</v>
        <stp/>
        <stp>BDP|14778194561758942250</stp>
        <tr r="Y1419" s="1"/>
        <tr r="Y1419" s="1"/>
      </tp>
      <tp t="s">
        <v>#N/A Requesting Data...3786659205</v>
        <stp/>
        <stp>BDP|16567043088704946336</stp>
        <tr r="AA1495" s="1"/>
      </tp>
      <tp t="s">
        <v>#N/A Requesting Data...3969476098</v>
        <stp/>
        <stp>BDP|17140560032768410024</stp>
        <tr r="Y22" s="1"/>
        <tr r="Y22" s="1"/>
      </tp>
      <tp t="s">
        <v>#N/A Requesting Data...2000449098</v>
        <stp/>
        <stp>BDP|10689171617628393163</stp>
        <tr r="Y1222" s="1"/>
        <tr r="Y1222" s="1"/>
      </tp>
      <tp t="s">
        <v>#N/A Requesting Data...4140672761</v>
        <stp/>
        <stp>BDP|18410046042660514544</stp>
        <tr r="Y166" s="1"/>
        <tr r="Y166" s="1"/>
      </tp>
      <tp>
        <v>0.78100000000000003</v>
        <stp/>
        <stp>BDP|6572483244088286410|22</stp>
        <stp>RVP US Equity</stp>
        <stp>LAST_PRICE</stp>
        <tr r="AD1280" s="1"/>
        <tr r="AD1280" s="1"/>
      </tp>
      <tp t="s">
        <v>#N/A Requesting Data...2051687570</v>
        <stp/>
        <stp>BDP|13018814267531090543</stp>
        <tr r="AA1225" s="1"/>
        <tr r="AA1225" s="1"/>
      </tp>
      <tp t="s">
        <v>#N/A Requesting Data...3153039050</v>
        <stp/>
        <stp>BDP|12954922562857935326</stp>
        <tr r="AA1579" s="1"/>
        <tr r="AA1579" s="1"/>
      </tp>
      <tp t="s">
        <v>#N/A Requesting Data...4163183097</v>
        <stp/>
        <stp>BDP|17199216726097350975</stp>
        <tr r="Z730" s="1"/>
        <tr r="Z730" s="1"/>
      </tp>
      <tp t="s">
        <v>#N/A Requesting Data...1681240108</v>
        <stp/>
        <stp>BDP|11086665465171567944</stp>
        <tr r="AB247" s="1"/>
        <tr r="AB247" s="1"/>
      </tp>
      <tp t="s">
        <v>#N/A Requesting Data...2399530624</v>
        <stp/>
        <stp>BDP|13999018087370913243</stp>
        <tr r="Z1272" s="1"/>
        <tr r="Z1272" s="1"/>
      </tp>
      <tp t="s">
        <v>#N/A Requesting Data...2930199276</v>
        <stp/>
        <stp>BDP|11055282833519929000</stp>
        <tr r="AB998" s="1"/>
        <tr r="AB998" s="1"/>
      </tp>
      <tp t="s">
        <v>#N/A Requesting Data...1729958434</v>
        <stp/>
        <stp>BDP|15656475485627248744</stp>
        <tr r="AA1125" s="1"/>
        <tr r="AA1125" s="1"/>
      </tp>
      <tp t="s">
        <v>#N/A Requesting Data...2760726486</v>
        <stp/>
        <stp>BDP|13621165006362655924</stp>
        <tr r="AA293" s="1"/>
        <tr r="AA293" s="1"/>
      </tp>
      <tp t="s">
        <v>#N/A Requesting Data...4053194065</v>
        <stp/>
        <stp>BDP|10210970107712750277</stp>
        <tr r="Y1617" s="1"/>
        <tr r="Y1617" s="1"/>
      </tp>
      <tp t="s">
        <v>#N/A Requesting Data...1662542511</v>
        <stp/>
        <stp>BDP|16170668210159547172</stp>
        <tr r="Y494" s="1"/>
        <tr r="Y494" s="1"/>
      </tp>
      <tp t="s">
        <v>#N/A Requesting Data...2495246861</v>
        <stp/>
        <stp>BDP|12449053541626779928</stp>
        <tr r="Y1438" s="1"/>
        <tr r="Y1438" s="1"/>
      </tp>
      <tp t="s">
        <v>#N/A Requesting Data...4199726366</v>
        <stp/>
        <stp>BDP|18432730863148677876</stp>
        <tr r="AB606" s="1"/>
        <tr r="AB606" s="1"/>
      </tp>
      <tp t="s">
        <v>#N/A Requesting Data...4282091627</v>
        <stp/>
        <stp>BDP|14059790619249320266</stp>
        <tr r="Z508" s="1"/>
        <tr r="Z508" s="1"/>
      </tp>
      <tp t="s">
        <v>#N/A Requesting Data...2931411030</v>
        <stp/>
        <stp>BDP|14845846550141887118</stp>
        <tr r="AC1273" s="1"/>
        <tr r="AC1273" s="1"/>
      </tp>
      <tp t="s">
        <v>#N/A Requesting Data...2130939848</v>
        <stp/>
        <stp>BDP|10852683373701246944</stp>
        <tr r="AA1080" s="1"/>
        <tr r="AA1080" s="1"/>
      </tp>
      <tp t="s">
        <v>#N/A Requesting Data...1738400628</v>
        <stp/>
        <stp>BDP|10585233254906075870</stp>
        <tr r="Z1199" s="1"/>
        <tr r="Z1199" s="1"/>
      </tp>
      <tp t="s">
        <v>#N/A Requesting Data...3879503531</v>
        <stp/>
        <stp>BDP|11057760283915304238</stp>
        <tr r="Y1357" s="1"/>
        <tr r="Y1357" s="1"/>
      </tp>
      <tp t="s">
        <v>#N/A Requesting Data...3555327924</v>
        <stp/>
        <stp>BDP|12180453270340031801</stp>
        <tr r="Z246" s="1"/>
        <tr r="Z246" s="1"/>
      </tp>
      <tp t="s">
        <v>#N/A Requesting Data...1558005554</v>
        <stp/>
        <stp>BDP|14548830104700609509</stp>
        <tr r="AB1285" s="1"/>
        <tr r="AB1285" s="1"/>
      </tp>
      <tp t="s">
        <v>#N/A Requesting Data...2871291890</v>
        <stp/>
        <stp>BDP|11370984239632143078</stp>
        <tr r="Y1043" s="1"/>
        <tr r="Y1043" s="1"/>
      </tp>
      <tp t="s">
        <v>#N/A Requesting Data...1900479460</v>
        <stp/>
        <stp>BDP|17339997338655023168</stp>
        <tr r="Y1307" s="1"/>
        <tr r="Y1307" s="1"/>
      </tp>
      <tp t="s">
        <v>#N/A Requesting Data...2557129318</v>
        <stp/>
        <stp>BDP|14217469129433871815</stp>
        <tr r="Y1049" s="1"/>
        <tr r="Y1049" s="1"/>
      </tp>
      <tp t="s">
        <v>#N/A Requesting Data...3027789703</v>
        <stp/>
        <stp>BDP|15545406434883613837</stp>
        <tr r="AA1336" s="1"/>
        <tr r="AA1336" s="1"/>
      </tp>
      <tp t="s">
        <v>#N/A Requesting Data...1656768449</v>
        <stp/>
        <stp>BDP|18372128366076752048</stp>
        <tr r="Y633" s="1"/>
        <tr r="Y633" s="1"/>
      </tp>
      <tp t="s">
        <v>#N/A Requesting Data...3613552984</v>
        <stp/>
        <stp>BDP|16362426173385548935</stp>
        <tr r="AA70" s="1"/>
        <tr r="AA70" s="1"/>
      </tp>
      <tp t="s">
        <v>#N/A Requesting Data...2480397205</v>
        <stp/>
        <stp>BDP|16725777128912453888</stp>
        <tr r="AB408" s="1"/>
        <tr r="AB408" s="1"/>
      </tp>
      <tp t="s">
        <v>#N/A Requesting Data...3994795568</v>
        <stp/>
        <stp>BDP|12962727066058844214</stp>
        <tr r="Z1509" s="1"/>
        <tr r="Z1509" s="1"/>
      </tp>
      <tp t="s">
        <v>#N/A Requesting Data...3541246831</v>
        <stp/>
        <stp>BDP|14202008997600475459</stp>
        <tr r="Y1559" s="1"/>
        <tr r="Y1559" s="1"/>
      </tp>
      <tp t="s">
        <v>#N/A Requesting Data...1753425734</v>
        <stp/>
        <stp>BDP|18370552223084011214</stp>
        <tr r="AB1303" s="1"/>
        <tr r="AB1303" s="1"/>
      </tp>
      <tp t="s">
        <v>#N/A Requesting Data...2643458231</v>
        <stp/>
        <stp>BDP|12867582224554071806</stp>
        <tr r="AB581" s="1"/>
        <tr r="AB581" s="1"/>
      </tp>
      <tp t="s">
        <v>#N/A Requesting Data...2878007238</v>
        <stp/>
        <stp>BDP|12807062725439972066</stp>
        <tr r="AA1310" s="1"/>
        <tr r="AA1310" s="1"/>
      </tp>
      <tp t="s">
        <v>#N/A Requesting Data...3747784935</v>
        <stp/>
        <stp>BDP|17778060065989985190</stp>
        <tr r="AC1252" s="1"/>
        <tr r="AC1252" s="1"/>
      </tp>
      <tp t="s">
        <v>#N/A Requesting Data...3098343050</v>
        <stp/>
        <stp>BDP|11284973828294953709</stp>
        <tr r="AC311" s="1"/>
        <tr r="AC311" s="1"/>
      </tp>
      <tp t="s">
        <v>#N/A Requesting Data...2295681805</v>
        <stp/>
        <stp>BDP|16790348824769379705</stp>
        <tr r="AC147" s="1"/>
        <tr r="AC147" s="1"/>
      </tp>
      <tp t="s">
        <v>#N/A Requesting Data...2636270247</v>
        <stp/>
        <stp>BDP|11737958872506132067</stp>
        <tr r="Y1448" s="1"/>
        <tr r="Y1448" s="1"/>
      </tp>
      <tp t="s">
        <v>#N/A Requesting Data...2877680200</v>
        <stp/>
        <stp>BDP|14293933166475460742</stp>
        <tr r="AC996" s="1"/>
        <tr r="AC996" s="1"/>
      </tp>
      <tp t="s">
        <v>#N/A Requesting Data...2217705616</v>
        <stp/>
        <stp>BDP|14649705335161080847</stp>
        <tr r="AB1287" s="1"/>
        <tr r="AB1287" s="1"/>
      </tp>
      <tp t="s">
        <v>#N/A Requesting Data...2590477752</v>
        <stp/>
        <stp>BDP|11688333392911554359</stp>
        <tr r="AB365" s="1"/>
        <tr r="AB365" s="1"/>
      </tp>
      <tp t="s">
        <v>#N/A Requesting Data...4013106756</v>
        <stp/>
        <stp>BDP|16720331382712288630</stp>
        <tr r="AB1188" s="1"/>
        <tr r="AB1188" s="1"/>
      </tp>
      <tp t="s">
        <v>#N/A Requesting Data...3199788296</v>
        <stp/>
        <stp>BDP|14818556883587902700</stp>
        <tr r="AA78" s="1"/>
        <tr r="AA78" s="1"/>
      </tp>
      <tp t="s">
        <v>#N/A Requesting Data...3169557432</v>
        <stp/>
        <stp>BDP|13751341181705474416</stp>
        <tr r="AB1448" s="1"/>
        <tr r="AB1448" s="1"/>
      </tp>
      <tp t="s">
        <v>#N/A Requesting Data...1698041705</v>
        <stp/>
        <stp>BDP|17464320657369261142</stp>
        <tr r="Y1524" s="1"/>
        <tr r="Y1524" s="1"/>
      </tp>
      <tp t="s">
        <v>#N/A Requesting Data...4074599164</v>
        <stp/>
        <stp>BDP|12690312261916435850</stp>
        <tr r="Z12" s="1"/>
        <tr r="Z12" s="1"/>
      </tp>
      <tp t="s">
        <v>#N/A Requesting Data...3690435870</v>
        <stp/>
        <stp>BDP|16217762802608977084</stp>
        <tr r="Z520" s="1"/>
        <tr r="Z520" s="1"/>
      </tp>
      <tp t="s">
        <v>#N/A Requesting Data...3120498042</v>
        <stp/>
        <stp>BDP|16039302535037125835</stp>
        <tr r="AA226" s="1"/>
        <tr r="AA226" s="1"/>
      </tp>
      <tp t="s">
        <v>#N/A Requesting Data...4118403095</v>
        <stp/>
        <stp>BDP|11902298593922171153</stp>
        <tr r="Y1350" s="1"/>
        <tr r="Y1350" s="1"/>
      </tp>
      <tp t="s">
        <v>#N/A Requesting Data...3998228121</v>
        <stp/>
        <stp>BDP|10817484230516198872</stp>
        <tr r="AC1120" s="1"/>
        <tr r="AC1120" s="1"/>
      </tp>
      <tp t="s">
        <v>#N/A Requesting Data...3581620256</v>
        <stp/>
        <stp>BDP|16060706971217404839</stp>
        <tr r="Y392" s="1"/>
        <tr r="Y392" s="1"/>
      </tp>
      <tp t="s">
        <v>#N/A Requesting Data...3298862165</v>
        <stp/>
        <stp>BDP|12287791793705634087</stp>
        <tr r="AC768" s="1"/>
        <tr r="AC768" s="1"/>
      </tp>
      <tp t="s">
        <v>#N/A Requesting Data...3517444474</v>
        <stp/>
        <stp>BDP|10172635285981933681</stp>
        <tr r="AA1457" s="1"/>
        <tr r="AA1457" s="1"/>
      </tp>
      <tp t="s">
        <v>#N/A Requesting Data...3612268366</v>
        <stp/>
        <stp>BDP|12581248561686778918</stp>
        <tr r="Y1597" s="1"/>
        <tr r="Y1597" s="1"/>
      </tp>
      <tp t="s">
        <v>#N/A Requesting Data...2332596948</v>
        <stp/>
        <stp>BDP|13946871161095049199</stp>
        <tr r="AB1475" s="1"/>
        <tr r="AB1475" s="1"/>
      </tp>
      <tp t="s">
        <v>#N/A Requesting Data...3148400993</v>
        <stp/>
        <stp>BDP|18118630421890660530</stp>
        <tr r="AB75" s="1"/>
        <tr r="AB75" s="1"/>
      </tp>
      <tp t="s">
        <v>#N/A Requesting Data...4010201992</v>
        <stp/>
        <stp>BDP|12477252030929715303</stp>
        <tr r="AB1507" s="1"/>
        <tr r="AB1507" s="1"/>
      </tp>
      <tp t="s">
        <v>#N/A Requesting Data...3085887953</v>
        <stp/>
        <stp>BDP|16735039322134069900</stp>
        <tr r="Y232" s="1"/>
        <tr r="Y232" s="1"/>
      </tp>
      <tp t="s">
        <v>#N/A Requesting Data...4182623762</v>
        <stp/>
        <stp>BDP|11017357675485674909</stp>
        <tr r="AB757" s="1"/>
        <tr r="AB757" s="1"/>
      </tp>
      <tp t="s">
        <v>#N/A Requesting Data...1591532633</v>
        <stp/>
        <stp>BDP|17536014950769276205</stp>
        <tr r="AA1285" s="1"/>
        <tr r="AA1285" s="1"/>
      </tp>
      <tp t="s">
        <v>#N/A Requesting Data...3666226590</v>
        <stp/>
        <stp>BDP|18349947881381027100</stp>
        <tr r="Y1442" s="1"/>
        <tr r="Y1442" s="1"/>
      </tp>
      <tp t="s">
        <v>#N/A Requesting Data...4111970027</v>
        <stp/>
        <stp>BDP|17743631599430967125</stp>
        <tr r="Z108" s="1"/>
        <tr r="Z108" s="1"/>
      </tp>
      <tp t="s">
        <v>#N/A Requesting Data...2983317724</v>
        <stp/>
        <stp>BDP|11014632393774735317</stp>
        <tr r="AC749" s="1"/>
        <tr r="AC749" s="1"/>
      </tp>
      <tp t="s">
        <v>#N/A Requesting Data...2492831746</v>
        <stp/>
        <stp>BDP|17545345364922255918</stp>
        <tr r="AB272" s="1"/>
        <tr r="AB272" s="1"/>
      </tp>
      <tp>
        <v>0.311</v>
        <stp/>
        <stp>BDP|5540805638096741342|22</stp>
        <stp>AWH US Equity</stp>
        <stp>LAST_PRICE</stp>
        <tr r="AD178" s="1"/>
        <tr r="AD178" s="1"/>
      </tp>
      <tp>
        <v>3.75</v>
        <stp/>
        <stp>BDP|637669976795814737|22</stp>
        <stp>APVO US Equity</stp>
        <stp>LAST_PRICE</stp>
        <tr r="AD149" s="1"/>
        <tr r="AD149" s="1"/>
      </tp>
      <tp>
        <v>13.44</v>
        <stp/>
        <stp>BDP|687437507233415524|22</stp>
        <stp>CYBN CN Equity</stp>
        <stp>LAST_PRICE</stp>
        <tr r="AD475" s="1"/>
        <tr r="AD475" s="1"/>
      </tp>
      <tp>
        <v>0.94</v>
        <stp/>
        <stp>BDP|782986645132766056|22</stp>
        <stp>BDSX US Equity</stp>
        <stp>LAST_PRICE</stp>
        <tr r="AD261" s="1"/>
        <tr r="AD261" s="1"/>
      </tp>
      <tp>
        <v>2.57</v>
        <stp/>
        <stp>BDP|179748729290734420|22</stp>
        <stp>IFRX US Equity</stp>
        <stp>LAST_PRICE</stp>
        <tr r="AD746" s="1"/>
        <tr r="AD746" s="1"/>
      </tp>
      <tp t="s">
        <v>#N/A Requesting Data...3448638387</v>
        <stp/>
        <stp>BDP|18094392100892113718</stp>
        <tr r="Y1252" s="1"/>
        <tr r="Y1252" s="1"/>
      </tp>
      <tp t="s">
        <v>#N/A Requesting Data...2544964993</v>
        <stp/>
        <stp>BDP|16333593181350095522</stp>
        <tr r="AC404" s="1"/>
        <tr r="AC404" s="1"/>
      </tp>
      <tp t="s">
        <v>#N/A Requesting Data...1546389926</v>
        <stp/>
        <stp>BDP|14150955745277887007</stp>
        <tr r="AC1440" s="1"/>
        <tr r="AC1440" s="1"/>
      </tp>
      <tp t="s">
        <v>#N/A Requesting Data...4271762530</v>
        <stp/>
        <stp>BDP|12069068919424714916</stp>
        <tr r="AA243" s="1"/>
        <tr r="AA243" s="1"/>
      </tp>
      <tp t="s">
        <v>#N/A Requesting Data...1985030700</v>
        <stp/>
        <stp>BDP|12847473745739051536</stp>
        <tr r="AA1181" s="1"/>
        <tr r="AA1181" s="1"/>
      </tp>
      <tp t="s">
        <v>#N/A Requesting Data...2493489902</v>
        <stp/>
        <stp>BDP|13469116815118017591</stp>
        <tr r="Z78" s="1"/>
        <tr r="Z78" s="1"/>
      </tp>
      <tp t="s">
        <v>#N/A Requesting Data...3752988937</v>
        <stp/>
        <stp>BDP|16946650570591019850</stp>
        <tr r="Z923" s="1"/>
        <tr r="Z923" s="1"/>
      </tp>
      <tp t="s">
        <v>#N/A Requesting Data...1685520960</v>
        <stp/>
        <stp>BDP|11767956908036424075</stp>
        <tr r="AC790" s="1"/>
        <tr r="AC790" s="1"/>
      </tp>
      <tp t="s">
        <v>#N/A Requesting Data...2081675535</v>
        <stp/>
        <stp>BDP|18225451436345844402</stp>
        <tr r="AA1554" s="1"/>
        <tr r="AA1554" s="1"/>
      </tp>
      <tp t="s">
        <v>#N/A Requesting Data...3684963872</v>
        <stp/>
        <stp>BDP|11793827475931975104</stp>
        <tr r="AB413" s="1"/>
        <tr r="AB413" s="1"/>
      </tp>
      <tp t="s">
        <v>#N/A Requesting Data...4281678810</v>
        <stp/>
        <stp>BDP|14357801385419999372</stp>
        <tr r="AB1277" s="1"/>
        <tr r="AB1277" s="1"/>
      </tp>
      <tp t="s">
        <v>#N/A Requesting Data...2565922206</v>
        <stp/>
        <stp>BDP|10806107485410084754</stp>
        <tr r="Y805" s="1"/>
        <tr r="Y805" s="1"/>
      </tp>
      <tp t="s">
        <v>#N/A Requesting Data...2608940039</v>
        <stp/>
        <stp>BDP|10695315649561665800</stp>
        <tr r="AC406" s="1"/>
        <tr r="AC406" s="1"/>
      </tp>
      <tp t="s">
        <v>#N/A Requesting Data...3884713735</v>
        <stp/>
        <stp>BDP|11985743197719391816</stp>
        <tr r="AB617" s="1"/>
        <tr r="AB617" s="1"/>
      </tp>
      <tp t="s">
        <v>#N/A Requesting Data...3465555390</v>
        <stp/>
        <stp>BDP|16391469526528909627</stp>
        <tr r="AA489" s="1"/>
        <tr r="AA489" s="1"/>
      </tp>
      <tp t="s">
        <v>#N/A Requesting Data...2210857513</v>
        <stp/>
        <stp>BDP|16865210577625521833</stp>
        <tr r="Y420" s="1"/>
        <tr r="Y420" s="1"/>
      </tp>
      <tp t="s">
        <v>#N/A Requesting Data...2899893719</v>
        <stp/>
        <stp>BDP|12077698383512692045</stp>
        <tr r="Y1048" s="1"/>
        <tr r="Y1048" s="1"/>
      </tp>
      <tp t="s">
        <v>#N/A Requesting Data...4237193997</v>
        <stp/>
        <stp>BDP|17672592357780156913</stp>
        <tr r="AC143" s="1"/>
        <tr r="AC143" s="1"/>
      </tp>
      <tp t="s">
        <v>#N/A Requesting Data...3104905991</v>
        <stp/>
        <stp>BDP|17854883012331212180</stp>
        <tr r="Y847" s="1"/>
        <tr r="Y847" s="1"/>
      </tp>
      <tp t="s">
        <v>#N/A Requesting Data...3151186951</v>
        <stp/>
        <stp>BDP|17408969942110821430</stp>
        <tr r="Z252" s="1"/>
        <tr r="Z252" s="1"/>
      </tp>
      <tp t="s">
        <v>#N/A Requesting Data...3634926005</v>
        <stp/>
        <stp>BDP|16647082117089682047</stp>
        <tr r="AB878" s="1"/>
        <tr r="AB878" s="1"/>
      </tp>
      <tp t="s">
        <v>#N/A Requesting Data...1931857370</v>
        <stp/>
        <stp>BDP|17696543382120269494</stp>
        <tr r="AA1033" s="1"/>
        <tr r="AA1033" s="1"/>
      </tp>
      <tp t="s">
        <v>#N/A Requesting Data...2996239889</v>
        <stp/>
        <stp>BDP|12777108529976362968</stp>
        <tr r="AA1622" s="1"/>
        <tr r="AA1622" s="1"/>
      </tp>
      <tp t="s">
        <v>#N/A Requesting Data...2316963486</v>
        <stp/>
        <stp>BDP|15866195317449936247</stp>
        <tr r="Z1141" s="1"/>
        <tr r="Z1141" s="1"/>
      </tp>
      <tp t="s">
        <v>#N/A Requesting Data...2353198625</v>
        <stp/>
        <stp>BDP|10975432584383473113</stp>
        <tr r="AB192" s="1"/>
        <tr r="AB192" s="1"/>
      </tp>
      <tp t="s">
        <v>#N/A Requesting Data...3358555292</v>
        <stp/>
        <stp>BDP|13480514697304918508</stp>
        <tr r="AC1246" s="1"/>
        <tr r="AC1246" s="1"/>
      </tp>
      <tp t="s">
        <v>#N/A Requesting Data...3018327030</v>
        <stp/>
        <stp>BDP|10164830252046933523</stp>
        <tr r="AA843" s="1"/>
        <tr r="AA843" s="1"/>
      </tp>
      <tp t="s">
        <v>#N/A Requesting Data...4040318699</v>
        <stp/>
        <stp>BDP|10403745503101973816</stp>
        <tr r="AB1356" s="1"/>
        <tr r="AB1356" s="1"/>
      </tp>
      <tp t="s">
        <v>#N/A Requesting Data...2426299097</v>
        <stp/>
        <stp>BDP|11453314648800748819</stp>
        <tr r="AB856" s="1"/>
        <tr r="AB856" s="1"/>
      </tp>
      <tp t="s">
        <v>#N/A Requesting Data...3532905597</v>
        <stp/>
        <stp>BDP|10237856658805247672</stp>
        <tr r="Y239" s="1"/>
        <tr r="Y239" s="1"/>
      </tp>
      <tp t="s">
        <v>#N/A Requesting Data...3841068367</v>
        <stp/>
        <stp>BDP|14680379040418342588</stp>
        <tr r="Z767" s="1"/>
        <tr r="Z767" s="1"/>
      </tp>
      <tp t="s">
        <v>#N/A Requesting Data...2464047077</v>
        <stp/>
        <stp>BDP|14598448294930979760</stp>
        <tr r="Z1428" s="1"/>
        <tr r="Z1428" s="1"/>
      </tp>
      <tp t="s">
        <v>#N/A Requesting Data...1726666086</v>
        <stp/>
        <stp>BDP|17011078803179846062</stp>
        <tr r="AA1412" s="1"/>
        <tr r="AA1412" s="1"/>
      </tp>
      <tp t="s">
        <v>#N/A Requesting Data...2541246676</v>
        <stp/>
        <stp>BDP|11790853520091024485</stp>
        <tr r="AB226" s="1"/>
        <tr r="AB226" s="1"/>
      </tp>
      <tp t="s">
        <v>#N/A Requesting Data...4017618213</v>
        <stp/>
        <stp>BDP|14630665498606751356</stp>
        <tr r="AB763" s="1"/>
        <tr r="AB763" s="1"/>
      </tp>
      <tp t="s">
        <v>#N/A Requesting Data...2701430074</v>
        <stp/>
        <stp>BDP|13692271779928123031</stp>
        <tr r="Z1374" s="1"/>
        <tr r="Z1374" s="1"/>
      </tp>
      <tp t="s">
        <v>#N/A Requesting Data...3052797144</v>
        <stp/>
        <stp>BDP|15545080022528234170</stp>
        <tr r="AB1300" s="1"/>
        <tr r="AB1300" s="1"/>
      </tp>
      <tp t="s">
        <v>#N/A Requesting Data...3239837098</v>
        <stp/>
        <stp>BDP|17693995536895777643</stp>
        <tr r="AB483" s="1"/>
        <tr r="AB483" s="1"/>
      </tp>
      <tp t="s">
        <v>#N/A Requesting Data...1542041930</v>
        <stp/>
        <stp>BDP|12794198542329480053</stp>
        <tr r="AB1599" s="1"/>
        <tr r="AB1599" s="1"/>
      </tp>
      <tp t="s">
        <v>#N/A Requesting Data...1893554416</v>
        <stp/>
        <stp>BDP|18350941044103952878</stp>
        <tr r="Y48" s="1"/>
        <tr r="Y48" s="1"/>
      </tp>
      <tp t="s">
        <v>#N/A Requesting Data...1612073532</v>
        <stp/>
        <stp>BDP|13484693586736411522</stp>
        <tr r="AC839" s="1"/>
        <tr r="AC839" s="1"/>
      </tp>
      <tp t="s">
        <v>#N/A Requesting Data...2978647250</v>
        <stp/>
        <stp>BDP|12737384873989529140</stp>
        <tr r="AA1020" s="1"/>
        <tr r="AA1020" s="1"/>
      </tp>
      <tp t="s">
        <v>#N/A Requesting Data...3362219834</v>
        <stp/>
        <stp>BDP|12226758798885751754</stp>
        <tr r="Z1163" s="1"/>
        <tr r="Z1163" s="1"/>
      </tp>
      <tp t="s">
        <v>#N/A Requesting Data...3931591959</v>
        <stp/>
        <stp>BDP|13575710089426703473</stp>
        <tr r="AC1565" s="1"/>
        <tr r="AC1565" s="1"/>
      </tp>
      <tp t="s">
        <v>#N/A Requesting Data...1758934036</v>
        <stp/>
        <stp>BDP|10725222879393309825</stp>
        <tr r="AA1570" s="1"/>
        <tr r="AA1570" s="1"/>
      </tp>
      <tp t="s">
        <v>#N/A Requesting Data...2258593133</v>
        <stp/>
        <stp>BDP|15718341452544588999</stp>
        <tr r="AA167" s="1"/>
        <tr r="AA167" s="1"/>
      </tp>
      <tp t="s">
        <v>#N/A Requesting Data...3227993595</v>
        <stp/>
        <stp>BDP|11186250898237691368</stp>
        <tr r="AB603" s="1"/>
        <tr r="AB603" s="1"/>
      </tp>
      <tp t="s">
        <v>#N/A Requesting Data...3343493310</v>
        <stp/>
        <stp>BDP|13034034915168822429</stp>
        <tr r="AA123" s="1"/>
        <tr r="AA123" s="1"/>
      </tp>
      <tp t="s">
        <v>#N/A Requesting Data...3758819657</v>
        <stp/>
        <stp>BDP|16238349496922976059</stp>
        <tr r="Y766" s="1"/>
        <tr r="Y766" s="1"/>
      </tp>
      <tp t="s">
        <v>#N/A Requesting Data...1746595649</v>
        <stp/>
        <stp>BDP|12888337993666447001</stp>
        <tr r="Z1281" s="1"/>
        <tr r="Z1281" s="1"/>
      </tp>
      <tp t="s">
        <v>#N/A Requesting Data...1807167066</v>
        <stp/>
        <stp>BDP|17945653157338309247</stp>
        <tr r="AB1154" s="1"/>
        <tr r="AB1154" s="1"/>
      </tp>
      <tp t="s">
        <v>#N/A Requesting Data...2053448657</v>
        <stp/>
        <stp>BDP|12597884055000384176</stp>
        <tr r="AA441" s="1"/>
        <tr r="AA441" s="1"/>
      </tp>
      <tp t="s">
        <v>#N/A Requesting Data...2443879912</v>
        <stp/>
        <stp>BDP|15377224721079444284</stp>
        <tr r="AA411" s="1"/>
        <tr r="AA411" s="1"/>
      </tp>
      <tp t="s">
        <v>#N/A Requesting Data...3886432418</v>
        <stp/>
        <stp>BDP|18377127632177755386</stp>
        <tr r="Z1074" s="1"/>
        <tr r="Z1074" s="1"/>
      </tp>
      <tp t="s">
        <v>#N/A Requesting Data...2382269918</v>
        <stp/>
        <stp>BDP|12934413836769754253</stp>
        <tr r="Z422" s="1"/>
        <tr r="Z422" s="1"/>
      </tp>
      <tp t="s">
        <v>#N/A Requesting Data...1979739093</v>
        <stp/>
        <stp>BDP|13151311995364132383</stp>
        <tr r="AC592" s="1"/>
        <tr r="AC592" s="1"/>
      </tp>
      <tp t="s">
        <v>#N/A Requesting Data...2236131659</v>
        <stp/>
        <stp>BDP|15658896190548599269</stp>
        <tr r="AC454" s="1"/>
        <tr r="AC454" s="1"/>
      </tp>
      <tp t="s">
        <v>#N/A Requesting Data...3407183114</v>
        <stp/>
        <stp>BDP|16888139065977440869</stp>
        <tr r="Y211" s="1"/>
        <tr r="Y211" s="1"/>
      </tp>
      <tp t="s">
        <v>#N/A Requesting Data...3454668721</v>
        <stp/>
        <stp>BDP|18018987959509414396</stp>
        <tr r="Z90" s="1"/>
        <tr r="Z90" s="1"/>
      </tp>
      <tp t="s">
        <v>#N/A Requesting Data...3344283680</v>
        <stp/>
        <stp>BDP|14754426686340992653</stp>
        <tr r="Z933" s="1"/>
        <tr r="Z933" s="1"/>
      </tp>
      <tp t="s">
        <v>#N/A Requesting Data...3814768524</v>
        <stp/>
        <stp>BDP|13726557246829319585</stp>
        <tr r="AC1067" s="1"/>
        <tr r="AC1067" s="1"/>
      </tp>
      <tp t="s">
        <v>#N/A Requesting Data...2482967892</v>
        <stp/>
        <stp>BDP|13022849558775760547</stp>
        <tr r="Z1405" s="1"/>
        <tr r="Z1405" s="1"/>
      </tp>
      <tp t="s">
        <v>#N/A Requesting Data...1754003672</v>
        <stp/>
        <stp>BDP|17534294695437698506</stp>
        <tr r="AB71" s="1"/>
        <tr r="AB71" s="1"/>
      </tp>
      <tp t="s">
        <v>#N/A Requesting Data...1951575574</v>
        <stp/>
        <stp>BDP|13599591535989440229</stp>
        <tr r="AC66" s="1"/>
        <tr r="AC66" s="1"/>
      </tp>
      <tp t="s">
        <v>#N/A Requesting Data...2436630254</v>
        <stp/>
        <stp>BDP|15365267289020564164</stp>
        <tr r="AC697" s="1"/>
        <tr r="AC697" s="1"/>
      </tp>
      <tp t="s">
        <v>#N/A Requesting Data...2957795225</v>
        <stp/>
        <stp>BDP|15328748329026993882</stp>
        <tr r="AC490" s="1"/>
        <tr r="AC490" s="1"/>
      </tp>
      <tp t="s">
        <v>#N/A Requesting Data...4230596753</v>
        <stp/>
        <stp>BDP|16161682666638528057</stp>
        <tr r="Z1065" s="1"/>
        <tr r="Z1065" s="1"/>
      </tp>
      <tp t="s">
        <v>#N/A Requesting Data...4070104227</v>
        <stp/>
        <stp>BDP|15061840878176536263</stp>
        <tr r="AB859" s="1"/>
        <tr r="AB859" s="1"/>
      </tp>
      <tp t="s">
        <v>#N/A Requesting Data...4205978120</v>
        <stp/>
        <stp>BDP|14192587951932512823</stp>
        <tr r="AB1554" s="1"/>
        <tr r="AB1554" s="1"/>
      </tp>
      <tp t="s">
        <v>#N/A Requesting Data...3590370493</v>
        <stp/>
        <stp>BDP|18025696924845603756</stp>
        <tr r="Y198" s="1"/>
        <tr r="Y198" s="1"/>
      </tp>
      <tp t="s">
        <v>#N/A Requesting Data...1541585389</v>
        <stp/>
        <stp>BDP|13103919208883189770</stp>
        <tr r="AC288" s="1"/>
        <tr r="AC288" s="1"/>
      </tp>
      <tp t="s">
        <v>#N/A Requesting Data...2589643910</v>
        <stp/>
        <stp>BDP|13876458443524678962</stp>
        <tr r="AB123" s="1"/>
        <tr r="AB123" s="1"/>
      </tp>
      <tp t="s">
        <v>#N/A Requesting Data...2235398045</v>
        <stp/>
        <stp>BDP|10336774735913840975</stp>
        <tr r="AA1123" s="1"/>
        <tr r="AA1123" s="1"/>
      </tp>
      <tp t="s">
        <v>#N/A Requesting Data...2708087228</v>
        <stp/>
        <stp>BDP|18185754656343871746</stp>
        <tr r="AC563" s="1"/>
        <tr r="AC563" s="1"/>
      </tp>
      <tp t="s">
        <v>#N/A Requesting Data...1842854597</v>
        <stp/>
        <stp>BDP|11149613384943375294</stp>
        <tr r="AC442" s="1"/>
        <tr r="AC442" s="1"/>
      </tp>
      <tp t="s">
        <v>#N/A Requesting Data...3640141469</v>
        <stp/>
        <stp>BDP|12931618363534520800</stp>
        <tr r="Z435" s="1"/>
        <tr r="Z435" s="1"/>
      </tp>
      <tp t="s">
        <v>#N/A Requesting Data...2106305016</v>
        <stp/>
        <stp>BDP|12887998786518914507</stp>
        <tr r="AB1012" s="1"/>
        <tr r="AB1012" s="1"/>
      </tp>
      <tp t="s">
        <v>#N/A Requesting Data...1598738409</v>
        <stp/>
        <stp>BDP|17237630268910714908</stp>
        <tr r="AA1311" s="1"/>
        <tr r="AA1311" s="1"/>
      </tp>
      <tp t="s">
        <v>#N/A Requesting Data...2298549378</v>
        <stp/>
        <stp>BDP|18262316757456871623</stp>
        <tr r="Z819" s="1"/>
        <tr r="Z819" s="1"/>
      </tp>
      <tp t="s">
        <v>#N/A Requesting Data...3597475375</v>
        <stp/>
        <stp>BDP|15856517328039826577</stp>
        <tr r="Y642" s="1"/>
      </tp>
      <tp t="s">
        <v>#N/A Requesting Data...4152847306</v>
        <stp/>
        <stp>BDP|12803859053836373730</stp>
        <tr r="AC813" s="1"/>
        <tr r="AC813" s="1"/>
      </tp>
      <tp t="s">
        <v>#N/A Requesting Data...1659054145</v>
        <stp/>
        <stp>BDP|16047815943581448585</stp>
        <tr r="AC910" s="1"/>
        <tr r="AC910" s="1"/>
      </tp>
      <tp t="s">
        <v>#N/A Requesting Data...3071992049</v>
        <stp/>
        <stp>BDP|12793458619060241970</stp>
        <tr r="AB858" s="1"/>
        <tr r="AB858" s="1"/>
      </tp>
      <tp t="s">
        <v>#N/A Requesting Data...3425461841</v>
        <stp/>
        <stp>BDP|10240155980831111673</stp>
        <tr r="AB925" s="1"/>
        <tr r="AB925" s="1"/>
      </tp>
      <tp t="s">
        <v>#N/A Requesting Data...4220294950</v>
        <stp/>
        <stp>BDP|11982783110188348135</stp>
        <tr r="Z679" s="1"/>
        <tr r="Z679" s="1"/>
      </tp>
      <tp t="s">
        <v>#N/A Requesting Data...3969858185</v>
        <stp/>
        <stp>BDP|11153919256616558526</stp>
        <tr r="Z485" s="1"/>
        <tr r="Z485" s="1"/>
      </tp>
      <tp t="s">
        <v>#N/A Requesting Data...3321362601</v>
        <stp/>
        <stp>BDP|16379569782716364350</stp>
        <tr r="AC1539" s="1"/>
        <tr r="AC1539" s="1"/>
      </tp>
      <tp t="s">
        <v>#N/A Requesting Data...3080760801</v>
        <stp/>
        <stp>BDP|11309873615710023608</stp>
        <tr r="AA810" s="1"/>
        <tr r="AA810" s="1"/>
      </tp>
      <tp t="s">
        <v>#N/A Requesting Data...3858145131</v>
        <stp/>
        <stp>BDP|13555947669694937609</stp>
        <tr r="AC1260" s="1"/>
        <tr r="AC1260" s="1"/>
      </tp>
      <tp t="s">
        <v>#N/A Requesting Data...2409696342</v>
        <stp/>
        <stp>BDP|11013826141882232102</stp>
        <tr r="AC16" s="1"/>
        <tr r="AC16" s="1"/>
      </tp>
      <tp t="s">
        <v>#N/A Requesting Data...2410709754</v>
        <stp/>
        <stp>BDP|11398400121290727947</stp>
        <tr r="Y308" s="1"/>
        <tr r="Y308" s="1"/>
      </tp>
      <tp t="s">
        <v>#N/A Requesting Data...1520460236</v>
        <stp/>
        <stp>BDP|12087005058748951101</stp>
        <tr r="AB122" s="1"/>
        <tr r="AB122" s="1"/>
      </tp>
      <tp t="s">
        <v>#N/A Requesting Data...2380982555</v>
        <stp/>
        <stp>BDP|17411359100988744278</stp>
        <tr r="AA90" s="1"/>
        <tr r="AA90" s="1"/>
      </tp>
      <tp t="s">
        <v>#N/A Requesting Data...1939107252</v>
        <stp/>
        <stp>BDP|18195270456538569947</stp>
        <tr r="AA864" s="1"/>
        <tr r="AA864" s="1"/>
      </tp>
      <tp t="s">
        <v>#N/A Requesting Data...4028526221</v>
        <stp/>
        <stp>BDP|15200605350118012038</stp>
        <tr r="Y813" s="1"/>
        <tr r="Y813" s="1"/>
      </tp>
      <tp t="s">
        <v>#N/A Requesting Data...3016425305</v>
        <stp/>
        <stp>BDP|18296290361896358488</stp>
        <tr r="AC550" s="1"/>
        <tr r="AC550" s="1"/>
      </tp>
      <tp t="s">
        <v>#N/A Requesting Data...2629392702</v>
        <stp/>
        <stp>BDP|12042954153713280353</stp>
        <tr r="AC44" s="1"/>
        <tr r="AC44" s="1"/>
      </tp>
      <tp t="s">
        <v>#N/A Requesting Data...1566811154</v>
        <stp/>
        <stp>BDP|14406626359930883964</stp>
        <tr r="AB1064" s="1"/>
        <tr r="AB1064" s="1"/>
      </tp>
      <tp t="s">
        <v>#N/A Requesting Data...2685299585</v>
        <stp/>
        <stp>BDP|15490517650622690921</stp>
        <tr r="AC389" s="1"/>
        <tr r="AC389" s="1"/>
      </tp>
      <tp t="s">
        <v>#N/A Requesting Data...3606518121</v>
        <stp/>
        <stp>BDP|13684732897915154621</stp>
        <tr r="Z627" s="1"/>
        <tr r="Z627" s="1"/>
      </tp>
      <tp t="s">
        <v>#N/A Requesting Data...3165205555</v>
        <stp/>
        <stp>BDP|11538640592724362414</stp>
        <tr r="AA1479" s="1"/>
        <tr r="AA1479" s="1"/>
      </tp>
      <tp t="s">
        <v>#N/A Requesting Data...2754521270</v>
        <stp/>
        <stp>BDP|12096005325099596713</stp>
        <tr r="Z1286" s="1"/>
        <tr r="Z1286" s="1"/>
      </tp>
      <tp t="s">
        <v>#N/A Requesting Data...2465278673</v>
        <stp/>
        <stp>BDP|14844426358888571376</stp>
        <tr r="AC68" s="1"/>
        <tr r="AC68" s="1"/>
      </tp>
      <tp t="s">
        <v>#N/A Requesting Data...3544723624</v>
        <stp/>
        <stp>BDP|10194618587240692010</stp>
        <tr r="AA125" s="1"/>
        <tr r="AA125" s="1"/>
      </tp>
      <tp t="s">
        <v>#N/A Requesting Data...3588557264</v>
        <stp/>
        <stp>BDP|11189940961122063246</stp>
        <tr r="AB772" s="1"/>
        <tr r="AB772" s="1"/>
      </tp>
      <tp t="s">
        <v>#N/A Requesting Data...2269529137</v>
        <stp/>
        <stp>BDP|13150557523642239858</stp>
        <tr r="AB1555" s="1"/>
        <tr r="AB1555" s="1"/>
      </tp>
      <tp t="s">
        <v>#N/A Requesting Data...3187713025</v>
        <stp/>
        <stp>BDP|12613125261769185244</stp>
        <tr r="Z285" s="1"/>
        <tr r="Z285" s="1"/>
      </tp>
      <tp t="s">
        <v>#N/A Requesting Data...4074900010</v>
        <stp/>
        <stp>BDP|12809996072230017239</stp>
        <tr r="AA632" s="1"/>
        <tr r="AA632" s="1"/>
      </tp>
      <tp t="s">
        <v>#N/A Requesting Data...1888493711</v>
        <stp/>
        <stp>BDP|14416415967220628848</stp>
        <tr r="AA979" s="1"/>
        <tr r="AA979" s="1"/>
      </tp>
      <tp t="s">
        <v>#N/A Requesting Data...1524070715</v>
        <stp/>
        <stp>BDP|16468776164630511924</stp>
        <tr r="AB1407" s="1"/>
        <tr r="AB1407" s="1"/>
      </tp>
      <tp t="s">
        <v>#N/A Requesting Data...2845622255</v>
        <stp/>
        <stp>BDP|11099082918757673968</stp>
        <tr r="AA915" s="1"/>
        <tr r="AA915" s="1"/>
      </tp>
      <tp t="s">
        <v>#N/A Requesting Data...2940988814</v>
        <stp/>
        <stp>BDP|16211357466218932585</stp>
        <tr r="Y165" s="1"/>
        <tr r="Y165" s="1"/>
      </tp>
      <tp t="s">
        <v>#N/A Requesting Data...2937645321</v>
        <stp/>
        <stp>BDP|13207679931580057848</stp>
        <tr r="Z521" s="1"/>
        <tr r="Z521" s="1"/>
      </tp>
      <tp t="s">
        <v>#N/A Requesting Data...2409662477</v>
        <stp/>
        <stp>BDP|14139850747615552367</stp>
        <tr r="Z1233" s="1"/>
        <tr r="Z1233" s="1"/>
      </tp>
      <tp t="s">
        <v>#N/A Requesting Data...2280699607</v>
        <stp/>
        <stp>BDP|10565881861654967450</stp>
        <tr r="Y433" s="1"/>
        <tr r="Y433" s="1"/>
      </tp>
      <tp t="s">
        <v>#N/A Requesting Data...2903579992</v>
        <stp/>
        <stp>BDP|11034827122350108513</stp>
        <tr r="AA711" s="1"/>
        <tr r="AA711" s="1"/>
      </tp>
      <tp t="s">
        <v>#N/A Requesting Data...3914610443</v>
        <stp/>
        <stp>BDP|13420320105418345606</stp>
        <tr r="Z815" s="1"/>
        <tr r="Z815" s="1"/>
      </tp>
      <tp t="s">
        <v>#N/A Requesting Data...2940092309</v>
        <stp/>
        <stp>BDP|10094108743422615950</stp>
        <tr r="Z57" s="1"/>
        <tr r="Z57" s="1"/>
      </tp>
      <tp t="s">
        <v>#N/A Requesting Data...2230109069</v>
        <stp/>
        <stp>BDP|16015595364543473892</stp>
        <tr r="Y1522" s="1"/>
        <tr r="Y1522" s="1"/>
      </tp>
      <tp t="s">
        <v>#N/A Requesting Data...3448799797</v>
        <stp/>
        <stp>BDP|12433624443967734916</stp>
        <tr r="AC1290" s="1"/>
        <tr r="AC1290" s="1"/>
      </tp>
      <tp t="s">
        <v>#N/A Requesting Data...1888813702</v>
        <stp/>
        <stp>BDP|15729848348976886101</stp>
        <tr r="AC538" s="1"/>
        <tr r="AC538" s="1"/>
      </tp>
      <tp t="s">
        <v>#N/A Requesting Data...2593362928</v>
        <stp/>
        <stp>BDP|17753823745946472372</stp>
        <tr r="AC244" s="1"/>
        <tr r="AC244" s="1"/>
      </tp>
      <tp t="s">
        <v>#N/A Requesting Data...2703634740</v>
        <stp/>
        <stp>BDP|12030319429698325586</stp>
        <tr r="AB734" s="1"/>
        <tr r="AB734" s="1"/>
      </tp>
      <tp t="s">
        <v>#N/A Requesting Data...3178860599</v>
        <stp/>
        <stp>BDP|16517853752202569748</stp>
        <tr r="AC1197" s="1"/>
        <tr r="AC1197" s="1"/>
      </tp>
      <tp t="s">
        <v>#N/A Requesting Data...3448702179</v>
        <stp/>
        <stp>BDP|15221051937450528868</stp>
        <tr r="Z1107" s="1"/>
        <tr r="Z1107" s="1"/>
      </tp>
      <tp t="s">
        <v>#N/A Requesting Data...3760325082</v>
        <stp/>
        <stp>BDP|10266468091890632309</stp>
        <tr r="AB20" s="1"/>
        <tr r="AB20" s="1"/>
      </tp>
      <tp t="s">
        <v>#N/A Requesting Data...2587730454</v>
        <stp/>
        <stp>BDP|12521114930799446739</stp>
        <tr r="Z1382" s="1"/>
        <tr r="Z1382" s="1"/>
      </tp>
      <tp t="s">
        <v>#N/A Requesting Data...3940732083</v>
        <stp/>
        <stp>BDP|13691313636048170531</stp>
        <tr r="Y449" s="1"/>
        <tr r="Y449" s="1"/>
      </tp>
      <tp t="s">
        <v>#N/A Requesting Data...4047322835</v>
        <stp/>
        <stp>BDP|11324733085757221746</stp>
        <tr r="Z479" s="1"/>
        <tr r="Z479" s="1"/>
      </tp>
      <tp t="s">
        <v>#N/A Requesting Data...3800054259</v>
        <stp/>
        <stp>BDP|15155594644672867873</stp>
        <tr r="Z559" s="1"/>
        <tr r="Z559" s="1"/>
      </tp>
      <tp t="s">
        <v>#N/A Requesting Data...2174090962</v>
        <stp/>
        <stp>BDP|11446763006099487139</stp>
        <tr r="AC532" s="1"/>
        <tr r="AC532" s="1"/>
      </tp>
      <tp t="s">
        <v>#N/A Requesting Data...1766611405</v>
        <stp/>
        <stp>BDP|17645989406609868938</stp>
        <tr r="Y1095" s="1"/>
        <tr r="Y1095" s="1"/>
      </tp>
      <tp t="s">
        <v>#N/A Requesting Data...2515818752</v>
        <stp/>
        <stp>BDP|11065997879244162520</stp>
        <tr r="AC1550" s="1"/>
        <tr r="AC1550" s="1"/>
      </tp>
      <tp t="s">
        <v>#N/A Requesting Data...3456506606</v>
        <stp/>
        <stp>BDP|16104697932378175587</stp>
        <tr r="Y30" s="1"/>
        <tr r="Y30" s="1"/>
      </tp>
      <tp t="s">
        <v>#N/A Requesting Data...4275542917</v>
        <stp/>
        <stp>BDP|12252377395146453068</stp>
        <tr r="Z1400" s="1"/>
        <tr r="Z1400" s="1"/>
      </tp>
      <tp t="s">
        <v>#N/A Requesting Data...3139323679</v>
        <stp/>
        <stp>BDP|17659611387066602149</stp>
        <tr r="AC589" s="1"/>
        <tr r="AC589" s="1"/>
      </tp>
      <tp t="s">
        <v>#N/A Requesting Data...1992956912</v>
        <stp/>
        <stp>BDP|11003593881016821422</stp>
        <tr r="Z1112" s="1"/>
        <tr r="Z1112" s="1"/>
      </tp>
      <tp t="s">
        <v>#N/A Requesting Data...3008461982</v>
        <stp/>
        <stp>BDP|18043207138466869123</stp>
        <tr r="Z1124" s="1"/>
        <tr r="Z1124" s="1"/>
      </tp>
      <tp t="s">
        <v>#N/A Requesting Data...3594495634</v>
        <stp/>
        <stp>BDP|18083830442983177927</stp>
        <tr r="Y1267" s="1"/>
        <tr r="Y1267" s="1"/>
      </tp>
      <tp t="s">
        <v>#N/A Requesting Data...2391449610</v>
        <stp/>
        <stp>BDP|16606873031766664543</stp>
        <tr r="Z1271" s="1"/>
        <tr r="Z1271" s="1"/>
      </tp>
      <tp t="s">
        <v>#N/A Requesting Data...3157922369</v>
        <stp/>
        <stp>BDP|14797905094532703869</stp>
        <tr r="AC1006" s="1"/>
        <tr r="AC1006" s="1"/>
      </tp>
      <tp t="s">
        <v>#N/A Requesting Data...2841182472</v>
        <stp/>
        <stp>BDP|10714862202333553540</stp>
        <tr r="AA496" s="1"/>
        <tr r="AA496" s="1"/>
      </tp>
      <tp t="s">
        <v>#N/A Requesting Data...1794522530</v>
        <stp/>
        <stp>BDP|17951287772739934583</stp>
        <tr r="Z1508" s="1"/>
        <tr r="Z1508" s="1"/>
      </tp>
      <tp t="s">
        <v>#N/A Requesting Data...4124571267</v>
        <stp/>
        <stp>BDP|10400003770380299932</stp>
        <tr r="AB1150" s="1"/>
        <tr r="AB1150" s="1"/>
      </tp>
      <tp t="s">
        <v>#N/A Requesting Data...2810804786</v>
        <stp/>
        <stp>BDP|10760886778764398517</stp>
        <tr r="Z883" s="1"/>
        <tr r="Z883" s="1"/>
      </tp>
      <tp t="s">
        <v>#N/A Requesting Data...2901823093</v>
        <stp/>
        <stp>BDP|18428563982869533202</stp>
        <tr r="Z1490" s="1"/>
        <tr r="Z1490" s="1"/>
      </tp>
      <tp t="s">
        <v>#N/A Requesting Data...3775212099</v>
        <stp/>
        <stp>BDP|11677717389243359389</stp>
        <tr r="AB762" s="1"/>
        <tr r="AB762" s="1"/>
      </tp>
      <tp t="s">
        <v>#N/A Requesting Data...2706058953</v>
        <stp/>
        <stp>BDP|12330466532228582372</stp>
        <tr r="Z1494" s="1"/>
        <tr r="Z1494" s="1"/>
      </tp>
      <tp t="s">
        <v>#N/A Requesting Data...2477334096</v>
        <stp/>
        <stp>BDP|17772371347816171834</stp>
        <tr r="Z1541" s="1"/>
        <tr r="Z1541" s="1"/>
      </tp>
      <tp t="s">
        <v>#N/A Requesting Data...4114063619</v>
        <stp/>
        <stp>BDP|17657265364468803597</stp>
        <tr r="AB351" s="1"/>
        <tr r="AB351" s="1"/>
      </tp>
      <tp t="s">
        <v>#N/A Requesting Data...3151978525</v>
        <stp/>
        <stp>BDP|16543128394585374559</stp>
        <tr r="Z1454" s="1"/>
        <tr r="Z1454" s="1"/>
      </tp>
      <tp t="s">
        <v>#N/A Requesting Data...4019419730</v>
        <stp/>
        <stp>BDP|17429995217595974460</stp>
        <tr r="AA624" s="1"/>
        <tr r="AA624" s="1"/>
      </tp>
      <tp t="s">
        <v>#N/A Requesting Data...1796231672</v>
        <stp/>
        <stp>BDP|14406905531960904099</stp>
        <tr r="AB1384" s="1"/>
        <tr r="AB1384" s="1"/>
      </tp>
      <tp t="s">
        <v>#N/A Requesting Data...1773858822</v>
        <stp/>
        <stp>BDP|17030161988834802422</stp>
        <tr r="AA381" s="1"/>
        <tr r="AA381" s="1"/>
      </tp>
      <tp t="s">
        <v>#N/A Requesting Data...3709332812</v>
        <stp/>
        <stp>BDP|18230693972611463698</stp>
        <tr r="AC1318" s="1"/>
        <tr r="AC1318" s="1"/>
      </tp>
      <tp t="s">
        <v>#N/A Requesting Data...4155266257</v>
        <stp/>
        <stp>BDP|12645575862876246952</stp>
        <tr r="AA623" s="1"/>
        <tr r="AA623" s="1"/>
      </tp>
      <tp t="s">
        <v>#N/A Requesting Data...3374643663</v>
        <stp/>
        <stp>BDP|10199500189567411483</stp>
        <tr r="AB1529" s="1"/>
        <tr r="AB1529" s="1"/>
      </tp>
      <tp t="s">
        <v>#N/A Requesting Data...3966038709</v>
        <stp/>
        <stp>BDP|12427911010735433159</stp>
        <tr r="Y713" s="1"/>
        <tr r="Y713" s="1"/>
      </tp>
      <tp t="s">
        <v>#N/A Requesting Data...1688340345</v>
        <stp/>
        <stp>BDP|14424714327867357856</stp>
        <tr r="AC662" s="1"/>
        <tr r="AC662" s="1"/>
      </tp>
      <tp t="s">
        <v>#N/A Requesting Data...2604856661</v>
        <stp/>
        <stp>BDP|17192908962166035073</stp>
        <tr r="AC321" s="1"/>
        <tr r="AC321" s="1"/>
      </tp>
      <tp t="s">
        <v>#N/A Requesting Data...4088612627</v>
        <stp/>
        <stp>BDP|13889031142201546889</stp>
        <tr r="AB276" s="1"/>
        <tr r="AB276" s="1"/>
      </tp>
      <tp t="s">
        <v>#N/A Requesting Data...3916200249</v>
        <stp/>
        <stp>BDP|17945662371468239084</stp>
        <tr r="Z731" s="1"/>
        <tr r="Z731" s="1"/>
      </tp>
      <tp t="s">
        <v>#N/A Requesting Data...3495202543</v>
        <stp/>
        <stp>BDP|11008328933066679904</stp>
        <tr r="Y36" s="1"/>
        <tr r="Y36" s="1"/>
      </tp>
      <tp t="s">
        <v>#N/A Requesting Data...4214529284</v>
        <stp/>
        <stp>BDP|15203262371359385716</stp>
        <tr r="Y1485" s="1"/>
        <tr r="Y1485" s="1"/>
      </tp>
      <tp t="s">
        <v>#N/A Requesting Data...1668686664</v>
        <stp/>
        <stp>BDP|13355729506633850980</stp>
        <tr r="AB410" s="1"/>
        <tr r="AB410" s="1"/>
      </tp>
      <tp t="s">
        <v>#N/A Requesting Data...3636056211</v>
        <stp/>
        <stp>BDP|15043803010387335545</stp>
        <tr r="AA778" s="1"/>
        <tr r="AA778" s="1"/>
      </tp>
      <tp t="s">
        <v>#N/A Requesting Data...3157139279</v>
        <stp/>
        <stp>BDP|13967775970648061592</stp>
        <tr r="Y981" s="1"/>
        <tr r="Y981" s="1"/>
      </tp>
      <tp t="s">
        <v>#N/A Requesting Data...2997814345</v>
        <stp/>
        <stp>BDP|12517413928852391882</stp>
        <tr r="Y1135" s="1"/>
        <tr r="Y1135" s="1"/>
      </tp>
      <tp t="s">
        <v>#N/A Requesting Data...2619763840</v>
        <stp/>
        <stp>BDP|15426610744259642005</stp>
        <tr r="AC1101" s="1"/>
        <tr r="AC1101" s="1"/>
      </tp>
      <tp t="s">
        <v>#N/A Requesting Data...3940994750</v>
        <stp/>
        <stp>BDP|10967313143248577190</stp>
        <tr r="AB220" s="1"/>
        <tr r="AB220" s="1"/>
      </tp>
      <tp t="s">
        <v>#N/A Requesting Data...3748269739</v>
        <stp/>
        <stp>BDP|15288369766567691938</stp>
        <tr r="AB101" s="1"/>
        <tr r="AB101" s="1"/>
      </tp>
      <tp t="s">
        <v>#N/A Requesting Data...3995135506</v>
        <stp/>
        <stp>BDP|11718835093309723770</stp>
        <tr r="Y1590" s="1"/>
      </tp>
      <tp t="s">
        <v>#N/A Requesting Data...1581810438</v>
        <stp/>
        <stp>BDP|16936185255779203514</stp>
        <tr r="AA1581" s="1"/>
        <tr r="AA1581" s="1"/>
      </tp>
      <tp t="s">
        <v>#N/A Requesting Data...3048680188</v>
        <stp/>
        <stp>BDP|17325808026973216006</stp>
        <tr r="Z839" s="1"/>
        <tr r="Z839" s="1"/>
      </tp>
      <tp t="s">
        <v>#N/A Requesting Data...2835478540</v>
        <stp/>
        <stp>BDP|12199838127943145524</stp>
        <tr r="AC830" s="1"/>
        <tr r="AC830" s="1"/>
      </tp>
      <tp t="s">
        <v>#N/A Requesting Data...3496157083</v>
        <stp/>
        <stp>BDP|13405834595958330476</stp>
        <tr r="AA284" s="1"/>
        <tr r="AA284" s="1"/>
      </tp>
      <tp t="s">
        <v>#N/A Requesting Data...2342726272</v>
        <stp/>
        <stp>BDP|16375507734386667878</stp>
        <tr r="AB995" s="1"/>
        <tr r="AB995" s="1"/>
      </tp>
      <tp t="s">
        <v>#N/A Requesting Data...3545518969</v>
        <stp/>
        <stp>BDP|15263241230672599855</stp>
        <tr r="Y1256" s="1"/>
        <tr r="Y1256" s="1"/>
      </tp>
      <tp t="s">
        <v>#N/A Requesting Data...2311901004</v>
        <stp/>
        <stp>BDP|15100778214614313972</stp>
        <tr r="AA1323" s="1"/>
        <tr r="AA1323" s="1"/>
      </tp>
      <tp t="s">
        <v>#N/A Requesting Data...3990448867</v>
        <stp/>
        <stp>BDP|10240399213239662584</stp>
        <tr r="Z1228" s="1"/>
        <tr r="Z1228" s="1"/>
      </tp>
      <tp t="s">
        <v>#N/A Requesting Data...2493926679</v>
        <stp/>
        <stp>BDP|15883784872062230963</stp>
        <tr r="Z637" s="1"/>
        <tr r="Z637" s="1"/>
      </tp>
      <tp t="s">
        <v>#N/A Requesting Data...2050674390</v>
        <stp/>
        <stp>BDP|15492281322199162293</stp>
        <tr r="AB1089" s="1"/>
        <tr r="AB1089" s="1"/>
      </tp>
      <tp t="s">
        <v>#N/A Requesting Data...4097539738</v>
        <stp/>
        <stp>BDP|17937763369601128916</stp>
        <tr r="Z776" s="1"/>
        <tr r="Z776" s="1"/>
      </tp>
      <tp t="s">
        <v>#N/A Requesting Data...1585652705</v>
        <stp/>
        <stp>BDP|17708424708664342984</stp>
        <tr r="Y855" s="1"/>
        <tr r="Y855" s="1"/>
      </tp>
      <tp t="s">
        <v>#N/A Requesting Data...2526801566</v>
        <stp/>
        <stp>BDP|17130296529448370146</stp>
        <tr r="AC756" s="1"/>
        <tr r="AC756" s="1"/>
      </tp>
      <tp t="s">
        <v>#N/A Requesting Data...1613028167</v>
        <stp/>
        <stp>BDP|16310265180673215116</stp>
        <tr r="AB1430" s="1"/>
        <tr r="AB1430" s="1"/>
      </tp>
      <tp t="s">
        <v>#N/A Requesting Data...2913430987</v>
        <stp/>
        <stp>BDP|18370355879821896317</stp>
        <tr r="Z1287" s="1"/>
        <tr r="Z1287" s="1"/>
      </tp>
      <tp>
        <v>260.02999999999997</v>
        <stp/>
        <stp>BDP|2100564108141093874|22</stp>
        <stp>HUM US Equity</stp>
        <stp>LAST_PRICE</stp>
        <tr r="AD707" s="1"/>
        <tr r="AD707" s="1"/>
      </tp>
      <tp>
        <v>0.11</v>
        <stp/>
        <stp>BDP|8490677945540633237|22</stp>
        <stp>KNE CN Equity</stp>
        <stp>LAST_PRICE</stp>
        <tr r="AD824" s="1"/>
        <tr r="AD824" s="1"/>
      </tp>
      <tp>
        <v>7.4999999999999997E-3</v>
        <stp/>
        <stp>BDP|766341155766092743|22</stp>
        <stp>AOXG US Equity</stp>
        <stp>LAST_PRICE</stp>
        <tr r="AD140" s="1"/>
        <tr r="AD140" s="1"/>
      </tp>
      <tp>
        <v>1.25</v>
        <stp/>
        <stp>BDP|250669761512818138|22</stp>
        <stp>FATE US Equity</stp>
        <stp>LAST_PRICE</stp>
        <tr r="AD606" s="1"/>
        <tr r="AD606" s="1"/>
      </tp>
      <tp>
        <v>5.86</v>
        <stp/>
        <stp>BDP|667365136674158494|22</stp>
        <stp>ENTA US Equity</stp>
        <stp>LAST_PRICE</stp>
        <tr r="AD551" s="1"/>
        <tr r="AD551" s="1"/>
      </tp>
      <tp>
        <v>14.69</v>
        <stp/>
        <stp>BDP|767312462057469986|22</stp>
        <stp>FTRE US Equity</stp>
        <stp>LAST_PRICE</stp>
        <tr r="AD620" s="1"/>
        <tr r="AD620" s="1"/>
      </tp>
      <tp t="s">
        <v>#N/A Requesting Data...3331105066</v>
        <stp/>
        <stp>BDP|17142813712246274799</stp>
        <tr r="AB943" s="1"/>
        <tr r="AB943" s="1"/>
      </tp>
      <tp t="s">
        <v>#N/A Requesting Data...3648186506</v>
        <stp/>
        <stp>BDP|17771243352957170890</stp>
        <tr r="Y758" s="1"/>
        <tr r="Y758" s="1"/>
      </tp>
      <tp t="s">
        <v>#N/A Requesting Data...1652689170</v>
        <stp/>
        <stp>BDP|12286385012446931980</stp>
        <tr r="AA1378" s="1"/>
        <tr r="AA1378" s="1"/>
      </tp>
      <tp t="s">
        <v>#N/A Requesting Data...2511518967</v>
        <stp/>
        <stp>BDP|11214260816968814536</stp>
        <tr r="Y379" s="1"/>
        <tr r="Y379" s="1"/>
      </tp>
      <tp t="s">
        <v>#N/A Requesting Data...3165609224</v>
        <stp/>
        <stp>BDP|15623576330975810903</stp>
        <tr r="AC765" s="1"/>
        <tr r="AC765" s="1"/>
      </tp>
      <tp t="s">
        <v>#N/A Requesting Data...3766246359</v>
        <stp/>
        <stp>BDP|10207721592808208997</stp>
        <tr r="Y1158" s="1"/>
        <tr r="Y1158" s="1"/>
      </tp>
      <tp t="s">
        <v>#N/A Requesting Data...3031395808</v>
        <stp/>
        <stp>BDP|12314795551969077628</stp>
        <tr r="Z1585" s="1"/>
        <tr r="Z1585" s="1"/>
      </tp>
      <tp t="s">
        <v>#N/A Requesting Data...3137649063</v>
        <stp/>
        <stp>BDP|10886962603923181559</stp>
        <tr r="AA752" s="1"/>
        <tr r="AA752" s="1"/>
      </tp>
      <tp t="s">
        <v>#N/A Requesting Data...1698583026</v>
        <stp/>
        <stp>BDP|17960609983395491374</stp>
        <tr r="Y672" s="1"/>
        <tr r="Y672" s="1"/>
      </tp>
      <tp t="s">
        <v>#N/A Requesting Data...4181637255</v>
        <stp/>
        <stp>BDP|18245685961267327011</stp>
        <tr r="Y624" s="1"/>
        <tr r="Y624" s="1"/>
      </tp>
      <tp t="s">
        <v>#N/A Requesting Data...4219214048</v>
        <stp/>
        <stp>BDP|11757054033139856402</stp>
        <tr r="AB1207" s="1"/>
        <tr r="AB1207" s="1"/>
      </tp>
      <tp t="s">
        <v>#N/A Requesting Data...3568967387</v>
        <stp/>
        <stp>BDP|15900076295451061221</stp>
        <tr r="AC940" s="1"/>
        <tr r="AC940" s="1"/>
      </tp>
      <tp t="s">
        <v>#N/A Requesting Data...2524886840</v>
        <stp/>
        <stp>BDP|18423318927281358797</stp>
        <tr r="AC497" s="1"/>
        <tr r="AC497" s="1"/>
      </tp>
      <tp t="s">
        <v>#N/A Requesting Data...3067606346</v>
        <stp/>
        <stp>BDP|13873833500856472271</stp>
        <tr r="AC599" s="1"/>
        <tr r="AC599" s="1"/>
      </tp>
      <tp t="s">
        <v>#N/A Requesting Data...3510165106</v>
        <stp/>
        <stp>BDP|14599853168670117515</stp>
        <tr r="Z1553" s="1"/>
      </tp>
      <tp t="s">
        <v>#N/A Requesting Data...1583141980</v>
        <stp/>
        <stp>BDP|10744533695970141382</stp>
        <tr r="AC853" s="1"/>
        <tr r="AC853" s="1"/>
      </tp>
      <tp t="s">
        <v>#N/A Requesting Data...4161915519</v>
        <stp/>
        <stp>BDP|11898976906074115306</stp>
        <tr r="AC851" s="1"/>
        <tr r="AC851" s="1"/>
      </tp>
      <tp t="s">
        <v>#N/A Requesting Data...2193778585</v>
        <stp/>
        <stp>BDP|16532213017859941321</stp>
        <tr r="AB79" s="1"/>
        <tr r="AB79" s="1"/>
      </tp>
      <tp t="s">
        <v>#N/A Requesting Data...2979134233</v>
        <stp/>
        <stp>BDP|10092012309909784678</stp>
        <tr r="AA417" s="1"/>
        <tr r="AA417" s="1"/>
      </tp>
      <tp t="s">
        <v>#N/A Requesting Data...3627516175</v>
        <stp/>
        <stp>BDP|15455708191660404499</stp>
        <tr r="Y1375" s="1"/>
        <tr r="Y1375" s="1"/>
      </tp>
      <tp t="s">
        <v>#N/A Requesting Data...2287995003</v>
        <stp/>
        <stp>BDP|12561254497897880173</stp>
        <tr r="AA1084" s="1"/>
        <tr r="AA1084" s="1"/>
      </tp>
      <tp t="s">
        <v>#N/A Requesting Data...1708233345</v>
        <stp/>
        <stp>BDP|17731289293950028341</stp>
        <tr r="Z102" s="1"/>
        <tr r="Z102" s="1"/>
      </tp>
      <tp t="s">
        <v>#N/A Requesting Data...3994698050</v>
        <stp/>
        <stp>BDP|18037780217251229054</stp>
        <tr r="Y595" s="1"/>
        <tr r="Y595" s="1"/>
      </tp>
      <tp t="s">
        <v>#N/A Requesting Data...2363385106</v>
        <stp/>
        <stp>BDP|10132815892059845724</stp>
        <tr r="AA803" s="1"/>
        <tr r="AA803" s="1"/>
      </tp>
      <tp t="s">
        <v>#N/A Requesting Data...3795538231</v>
        <stp/>
        <stp>BDP|16573605612156755880</stp>
        <tr r="Y40" s="1"/>
        <tr r="Y40" s="1"/>
      </tp>
      <tp t="s">
        <v>#N/A Requesting Data...2349357596</v>
        <stp/>
        <stp>BDP|13315064839689072641</stp>
        <tr r="AC1060" s="1"/>
        <tr r="AC1060" s="1"/>
      </tp>
      <tp t="s">
        <v>#N/A Requesting Data...4197890409</v>
        <stp/>
        <stp>BDP|12260237165480828942</stp>
        <tr r="Z65" s="1"/>
        <tr r="Z65" s="1"/>
      </tp>
      <tp t="s">
        <v>#N/A Requesting Data...4168994235</v>
        <stp/>
        <stp>BDP|14648750943740834804</stp>
        <tr r="AC845" s="1"/>
        <tr r="AC845" s="1"/>
      </tp>
      <tp t="s">
        <v>#N/A Requesting Data...2892665313</v>
        <stp/>
        <stp>BDP|11680096157018227317</stp>
        <tr r="AA182" s="1"/>
        <tr r="AA182" s="1"/>
      </tp>
      <tp t="s">
        <v>#N/A Requesting Data...4006691806</v>
        <stp/>
        <stp>BDP|11127007138274677948</stp>
        <tr r="AA537" s="1"/>
        <tr r="AA537" s="1"/>
      </tp>
      <tp t="s">
        <v>#N/A Requesting Data...4163725676</v>
        <stp/>
        <stp>BDP|14411849927744426580</stp>
        <tr r="Y394" s="1"/>
        <tr r="Y394" s="1"/>
      </tp>
      <tp t="s">
        <v>#N/A Requesting Data...3177314789</v>
        <stp/>
        <stp>BDP|14115373928572577802</stp>
        <tr r="AA1000" s="1"/>
        <tr r="AA1000" s="1"/>
      </tp>
      <tp t="s">
        <v>#N/A Requesting Data...3626009558</v>
        <stp/>
        <stp>BDP|15384662866499850309</stp>
        <tr r="AA602" s="1"/>
      </tp>
      <tp t="s">
        <v>#N/A Requesting Data...3394367765</v>
        <stp/>
        <stp>BDP|15619730166059110290</stp>
        <tr r="Y950" s="1"/>
      </tp>
      <tp t="s">
        <v>#N/A Requesting Data...1969453816</v>
        <stp/>
        <stp>BDP|12850133015805567808</stp>
        <tr r="AB417" s="1"/>
        <tr r="AB417" s="1"/>
      </tp>
      <tp t="s">
        <v>#N/A Requesting Data...1756960546</v>
        <stp/>
        <stp>BDP|13834282629019137535</stp>
        <tr r="AA287" s="1"/>
        <tr r="AA287" s="1"/>
      </tp>
      <tp t="s">
        <v>#N/A Requesting Data...2883157569</v>
        <stp/>
        <stp>BDP|13630137048199619001</stp>
        <tr r="AC142" s="1"/>
        <tr r="AC142" s="1"/>
      </tp>
      <tp t="s">
        <v>#N/A Requesting Data...2235573995</v>
        <stp/>
        <stp>BDP|13108702889314373703</stp>
        <tr r="AA1108" s="1"/>
        <tr r="AA1108" s="1"/>
      </tp>
      <tp t="s">
        <v>#N/A Requesting Data...3351999607</v>
        <stp/>
        <stp>BDP|16844019402041794870</stp>
        <tr r="Z507" s="1"/>
        <tr r="Z507" s="1"/>
      </tp>
      <tp t="s">
        <v>#N/A Requesting Data...2755959869</v>
        <stp/>
        <stp>BDP|17856229062219457560</stp>
        <tr r="AC1346" s="1"/>
        <tr r="AC1346" s="1"/>
      </tp>
      <tp t="s">
        <v>#N/A Requesting Data...2546728268</v>
        <stp/>
        <stp>BDP|16943468599714884049</stp>
        <tr r="AC1264" s="1"/>
        <tr r="AC1264" s="1"/>
      </tp>
      <tp t="s">
        <v>#N/A Requesting Data...2237601267</v>
        <stp/>
        <stp>BDP|15308138116649845342</stp>
        <tr r="AA675" s="1"/>
        <tr r="AA675" s="1"/>
      </tp>
      <tp t="s">
        <v>#N/A Requesting Data...1983832257</v>
        <stp/>
        <stp>BDP|13283885124762237461</stp>
        <tr r="AC338" s="1"/>
        <tr r="AC338" s="1"/>
      </tp>
      <tp t="s">
        <v>#N/A Requesting Data...4254075464</v>
        <stp/>
        <stp>BDP|13266975958831341140</stp>
        <tr r="Z967" s="1"/>
        <tr r="Z967" s="1"/>
      </tp>
      <tp t="s">
        <v>#N/A Requesting Data...4187870526</v>
        <stp/>
        <stp>BDP|11574281546019081111</stp>
        <tr r="Y1571" s="1"/>
        <tr r="Y1571" s="1"/>
      </tp>
      <tp t="s">
        <v>#N/A Requesting Data...2054339295</v>
        <stp/>
        <stp>BDP|17554156172277184997</stp>
        <tr r="Y1197" s="1"/>
        <tr r="Y1197" s="1"/>
      </tp>
      <tp t="s">
        <v>#N/A Requesting Data...3961721594</v>
        <stp/>
        <stp>BDP|15217896850196720169</stp>
        <tr r="AB1348" s="1"/>
        <tr r="AB1348" s="1"/>
      </tp>
      <tp t="s">
        <v>#N/A Requesting Data...1892923869</v>
        <stp/>
        <stp>BDP|13862009200099466565</stp>
        <tr r="Y720" s="1"/>
        <tr r="Y720" s="1"/>
      </tp>
      <tp t="s">
        <v>#N/A Requesting Data...1998398225</v>
        <stp/>
        <stp>BDP|17426952755895651181</stp>
        <tr r="AA823" s="1"/>
        <tr r="AA823" s="1"/>
      </tp>
      <tp t="s">
        <v>#N/A Requesting Data...2680879737</v>
        <stp/>
        <stp>BDP|16756994869006986045</stp>
        <tr r="AA355" s="1"/>
      </tp>
      <tp t="s">
        <v>#N/A Requesting Data...3818913163</v>
        <stp/>
        <stp>BDP|13517134894997066389</stp>
        <tr r="AA1463" s="1"/>
        <tr r="AA1463" s="1"/>
      </tp>
      <tp t="s">
        <v>#N/A Requesting Data...1608215660</v>
        <stp/>
        <stp>BDP|14042637804625818857</stp>
        <tr r="AA33" s="1"/>
        <tr r="AA33" s="1"/>
      </tp>
      <tp t="s">
        <v>#N/A Requesting Data...1852327905</v>
        <stp/>
        <stp>BDP|18050538838912879390</stp>
        <tr r="AC480" s="1"/>
        <tr r="AC480" s="1"/>
      </tp>
      <tp t="s">
        <v>#N/A Requesting Data...1793433139</v>
        <stp/>
        <stp>BDP|17606808684609143198</stp>
        <tr r="AA178" s="1"/>
        <tr r="AA178" s="1"/>
      </tp>
      <tp t="s">
        <v>#N/A Requesting Data...3860161248</v>
        <stp/>
        <stp>BDP|10387008410076858815</stp>
        <tr r="AC806" s="1"/>
      </tp>
      <tp t="s">
        <v>#N/A Requesting Data...2849203179</v>
        <stp/>
        <stp>BDP|15133097287753759122</stp>
        <tr r="Z720" s="1"/>
        <tr r="Z720" s="1"/>
      </tp>
      <tp t="s">
        <v>#N/A Requesting Data...2379561728</v>
        <stp/>
        <stp>BDP|14985018310329016358</stp>
        <tr r="AA1100" s="1"/>
        <tr r="AA1100" s="1"/>
      </tp>
      <tp t="s">
        <v>#N/A Requesting Data...2489836491</v>
        <stp/>
        <stp>BDP|16219297151727781900</stp>
        <tr r="Z685" s="1"/>
        <tr r="Z685" s="1"/>
      </tp>
      <tp t="s">
        <v>#N/A Requesting Data...2181549844</v>
        <stp/>
        <stp>BDP|14153980606190681243</stp>
        <tr r="Y1460" s="1"/>
        <tr r="Y1460" s="1"/>
      </tp>
      <tp t="s">
        <v>#N/A Requesting Data...1888624373</v>
        <stp/>
        <stp>BDP|18054355409626415259</stp>
        <tr r="Z1282" s="1"/>
        <tr r="Z1282" s="1"/>
      </tp>
      <tp t="s">
        <v>#N/A Requesting Data...3110419200</v>
        <stp/>
        <stp>BDP|10712889025405603010</stp>
        <tr r="Y1464" s="1"/>
        <tr r="Y1464" s="1"/>
      </tp>
      <tp t="s">
        <v>#N/A Requesting Data...2719062975</v>
        <stp/>
        <stp>BDP|15814869623890437040</stp>
        <tr r="AB264" s="1"/>
        <tr r="AB264" s="1"/>
      </tp>
      <tp t="s">
        <v>#N/A Requesting Data...4066216303</v>
        <stp/>
        <stp>BDP|16675119665096864879</stp>
        <tr r="Z1049" s="1"/>
        <tr r="Z1049" s="1"/>
      </tp>
      <tp t="s">
        <v>#N/A Requesting Data...2481519706</v>
        <stp/>
        <stp>BDP|16350504091220854570</stp>
        <tr r="AA543" s="1"/>
        <tr r="AA543" s="1"/>
      </tp>
      <tp t="s">
        <v>#N/A Requesting Data...1820224972</v>
        <stp/>
        <stp>BDP|11863284895215865002</stp>
        <tr r="Y31" s="1"/>
        <tr r="Y31" s="1"/>
      </tp>
      <tp t="s">
        <v>#N/A Requesting Data...3071286356</v>
        <stp/>
        <stp>BDP|17584829878032721549</stp>
        <tr r="Y973" s="1"/>
        <tr r="Y973" s="1"/>
      </tp>
      <tp t="s">
        <v>#N/A Requesting Data...2891390216</v>
        <stp/>
        <stp>BDP|14196751819544057910</stp>
        <tr r="Y735" s="1"/>
        <tr r="Y735" s="1"/>
      </tp>
      <tp t="s">
        <v>#N/A Requesting Data...3207824677</v>
        <stp/>
        <stp>BDP|11491429601463899935</stp>
        <tr r="AC31" s="1"/>
        <tr r="AC31" s="1"/>
      </tp>
      <tp t="s">
        <v>#N/A Requesting Data...3006230769</v>
        <stp/>
        <stp>BDP|12281597130708307347</stp>
        <tr r="Y364" s="1"/>
        <tr r="Y364" s="1"/>
      </tp>
      <tp t="s">
        <v>#N/A Requesting Data...4041906752</v>
        <stp/>
        <stp>BDP|13857386290491406789</stp>
        <tr r="Y145" s="1"/>
        <tr r="Y145" s="1"/>
      </tp>
      <tp t="s">
        <v>#N/A Requesting Data...2708384613</v>
        <stp/>
        <stp>BDP|14916718898101528498</stp>
        <tr r="Y476" s="1"/>
        <tr r="Y476" s="1"/>
      </tp>
      <tp t="s">
        <v>#N/A Requesting Data...4225703808</v>
        <stp/>
        <stp>BDP|11923889149472296064</stp>
        <tr r="Y221" s="1"/>
        <tr r="Y221" s="1"/>
      </tp>
      <tp t="s">
        <v>#N/A Requesting Data...3679257859</v>
        <stp/>
        <stp>BDP|15861124938501677980</stp>
        <tr r="Z1028" s="1"/>
        <tr r="Z1028" s="1"/>
      </tp>
      <tp t="s">
        <v>#N/A Requesting Data...4174486882</v>
        <stp/>
        <stp>BDP|10016707289673424315</stp>
        <tr r="AC951" s="1"/>
        <tr r="AC951" s="1"/>
      </tp>
      <tp t="s">
        <v>#N/A Requesting Data...2949963775</v>
        <stp/>
        <stp>BDP|16879723472729521017</stp>
        <tr r="Z574" s="1"/>
        <tr r="Z574" s="1"/>
      </tp>
      <tp t="s">
        <v>#N/A Requesting Data...1635663769</v>
        <stp/>
        <stp>BDP|18021440953150353680</stp>
        <tr r="AA369" s="1"/>
        <tr r="AA369" s="1"/>
      </tp>
      <tp t="s">
        <v>#N/A Requesting Data...3748677725</v>
        <stp/>
        <stp>BDP|16136419999624218078</stp>
        <tr r="AC164" s="1"/>
      </tp>
      <tp t="s">
        <v>#N/A Requesting Data...4262576004</v>
        <stp/>
        <stp>BDP|11382838740437402581</stp>
        <tr r="AB767" s="1"/>
        <tr r="AB767" s="1"/>
      </tp>
      <tp t="s">
        <v>#N/A Requesting Data...2326496433</v>
        <stp/>
        <stp>BDP|16860673065158545135</stp>
        <tr r="AC1243" s="1"/>
        <tr r="AC1243" s="1"/>
      </tp>
      <tp t="s">
        <v>#N/A Requesting Data...4212724835</v>
        <stp/>
        <stp>BDP|16620568498664695121</stp>
        <tr r="AA1545" s="1"/>
        <tr r="AA1545" s="1"/>
      </tp>
      <tp t="s">
        <v>#N/A Requesting Data...2680314143</v>
        <stp/>
        <stp>BDP|12414073078113084947</stp>
        <tr r="AA1280" s="1"/>
        <tr r="AA1280" s="1"/>
      </tp>
      <tp t="s">
        <v>#N/A Requesting Data...4293778013</v>
        <stp/>
        <stp>BDP|13886374690541366733</stp>
        <tr r="AC730" s="1"/>
        <tr r="AC730" s="1"/>
      </tp>
      <tp t="s">
        <v>#N/A Requesting Data...1732526815</v>
        <stp/>
        <stp>BDP|17790773925269817428</stp>
        <tr r="AC451" s="1"/>
        <tr r="AC451" s="1"/>
      </tp>
      <tp t="s">
        <v>#N/A Requesting Data...3468913745</v>
        <stp/>
        <stp>BDP|15218530374389966135</stp>
        <tr r="Z1514" s="1"/>
        <tr r="Z1514" s="1"/>
      </tp>
      <tp t="s">
        <v>#N/A Requesting Data...1845379661</v>
        <stp/>
        <stp>BDP|16997124081312375269</stp>
        <tr r="AA989" s="1"/>
      </tp>
      <tp t="s">
        <v>#N/A Requesting Data...1726766962</v>
        <stp/>
        <stp>BDP|15847472824825209975</stp>
        <tr r="AC886" s="1"/>
        <tr r="AC886" s="1"/>
      </tp>
      <tp t="s">
        <v>#N/A Requesting Data...3732721257</v>
        <stp/>
        <stp>BDP|14352645928257523849</stp>
        <tr r="AB1219" s="1"/>
        <tr r="AB1219" s="1"/>
      </tp>
      <tp t="s">
        <v>#N/A Requesting Data...4029963846</v>
        <stp/>
        <stp>BDP|17306783480857426016</stp>
        <tr r="AA494" s="1"/>
        <tr r="AA494" s="1"/>
      </tp>
      <tp t="s">
        <v>#N/A Requesting Data...2453005038</v>
        <stp/>
        <stp>BDP|12539683015062761818</stp>
        <tr r="AA483" s="1"/>
        <tr r="AA483" s="1"/>
      </tp>
      <tp t="s">
        <v>#N/A Requesting Data...2622964466</v>
        <stp/>
        <stp>BDP|10021071708909836697</stp>
        <tr r="AB1370" s="1"/>
        <tr r="AB1370" s="1"/>
      </tp>
      <tp t="s">
        <v>#N/A Requesting Data...2890933202</v>
        <stp/>
        <stp>BDP|15478429362640241881</stp>
        <tr r="AB795" s="1"/>
      </tp>
      <tp t="s">
        <v>#N/A Requesting Data...3747476759</v>
        <stp/>
        <stp>BDP|18393247108954731169</stp>
        <tr r="AA1271" s="1"/>
        <tr r="AA1271" s="1"/>
      </tp>
      <tp t="s">
        <v>#N/A Requesting Data...4051668523</v>
        <stp/>
        <stp>BDP|12371950649951158107</stp>
        <tr r="Y381" s="1"/>
        <tr r="Y381" s="1"/>
      </tp>
      <tp t="s">
        <v>#N/A Requesting Data...1673289337</v>
        <stp/>
        <stp>BDP|14897573689561881704</stp>
        <tr r="AA1036" s="1"/>
        <tr r="AA1036" s="1"/>
      </tp>
      <tp t="s">
        <v>#N/A Requesting Data...2487971694</v>
        <stp/>
        <stp>BDP|17290229487622129086</stp>
        <tr r="Y49" s="1"/>
        <tr r="Y49" s="1"/>
      </tp>
      <tp t="s">
        <v>#N/A Requesting Data...2212123018</v>
        <stp/>
        <stp>BDP|12550306848553234914</stp>
        <tr r="AC1156" s="1"/>
        <tr r="AC1156" s="1"/>
      </tp>
      <tp t="s">
        <v>#N/A Requesting Data...1949695826</v>
        <stp/>
        <stp>BDP|15958481805778915635</stp>
        <tr r="Y453" s="1"/>
        <tr r="Y453" s="1"/>
      </tp>
      <tp t="s">
        <v>#N/A Requesting Data...3520092669</v>
        <stp/>
        <stp>BDP|12129171498522582758</stp>
        <tr r="AA879" s="1"/>
        <tr r="AA879" s="1"/>
      </tp>
      <tp t="s">
        <v>#N/A Requesting Data...1916410260</v>
        <stp/>
        <stp>BDP|12274922124654913234</stp>
        <tr r="AA25" s="1"/>
        <tr r="AA25" s="1"/>
      </tp>
      <tp t="s">
        <v>#N/A Requesting Data...3751592320</v>
        <stp/>
        <stp>BDP|14975893927485143481</stp>
        <tr r="AC1298" s="1"/>
        <tr r="AC1298" s="1"/>
      </tp>
      <tp t="s">
        <v>#N/A Requesting Data...4070535414</v>
        <stp/>
        <stp>BDP|10240325680180621486</stp>
        <tr r="Z418" s="1"/>
        <tr r="Z418" s="1"/>
      </tp>
      <tp t="s">
        <v>#N/A Requesting Data...3351319359</v>
        <stp/>
        <stp>BDP|10585820475284766446</stp>
        <tr r="AB861" s="1"/>
        <tr r="AB861" s="1"/>
      </tp>
      <tp t="s">
        <v>#N/A Requesting Data...2511634215</v>
        <stp/>
        <stp>BDP|11677942126945309065</stp>
        <tr r="Z988" s="1"/>
        <tr r="Z988" s="1"/>
      </tp>
      <tp t="s">
        <v>#N/A Requesting Data...2027273536</v>
        <stp/>
        <stp>BDP|17141729165499648014</stp>
        <tr r="AB438" s="1"/>
        <tr r="AB438" s="1"/>
      </tp>
      <tp t="s">
        <v>#N/A Requesting Data...2628906852</v>
        <stp/>
        <stp>BDP|10620509573559404406</stp>
        <tr r="Z473" s="1"/>
        <tr r="Z473" s="1"/>
      </tp>
      <tp t="s">
        <v>#N/A Requesting Data...2506080702</v>
        <stp/>
        <stp>BDP|18371302518823350690</stp>
        <tr r="Z1010" s="1"/>
        <tr r="Z1010" s="1"/>
      </tp>
      <tp t="s">
        <v>#N/A Requesting Data...3767499059</v>
        <stp/>
        <stp>BDP|10636406694772682055</stp>
        <tr r="Y1270" s="1"/>
        <tr r="Y1270" s="1"/>
      </tp>
      <tp t="s">
        <v>#N/A Requesting Data...4221652604</v>
        <stp/>
        <stp>BDP|10075769331903600808</stp>
        <tr r="AB1420" s="1"/>
        <tr r="AB1420" s="1"/>
      </tp>
      <tp t="s">
        <v>#N/A Requesting Data...2652068090</v>
        <stp/>
        <stp>BDP|16193318686806126464</stp>
        <tr r="AC199" s="1"/>
      </tp>
      <tp t="s">
        <v>#N/A Requesting Data...3775874534</v>
        <stp/>
        <stp>BDP|15954741684841071485</stp>
        <tr r="AB689" s="1"/>
        <tr r="AB689" s="1"/>
      </tp>
      <tp t="s">
        <v>#N/A Requesting Data...4189070973</v>
        <stp/>
        <stp>BDP|13119892663051277388</stp>
        <tr r="Z120" s="1"/>
        <tr r="Z120" s="1"/>
      </tp>
      <tp t="s">
        <v>#N/A Requesting Data...2714234540</v>
        <stp/>
        <stp>BDP|14462686469313068849</stp>
        <tr r="AB803" s="1"/>
        <tr r="AB803" s="1"/>
      </tp>
      <tp t="s">
        <v>#N/A Requesting Data...3952814263</v>
        <stp/>
        <stp>BDP|14463731912504186959</stp>
        <tr r="Z658" s="1"/>
        <tr r="Z658" s="1"/>
      </tp>
      <tp t="s">
        <v>#N/A Requesting Data...3587903058</v>
        <stp/>
        <stp>BDP|15227484892160911705</stp>
        <tr r="AA1393" s="1"/>
      </tp>
      <tp t="s">
        <v>#N/A Requesting Data...3729807189</v>
        <stp/>
        <stp>BDP|13222029186735166168</stp>
        <tr r="Y65" s="1"/>
        <tr r="Y65" s="1"/>
      </tp>
      <tp t="s">
        <v>#N/A Requesting Data...3415095481</v>
        <stp/>
        <stp>BDP|16535840623721511267</stp>
        <tr r="AB989" s="1"/>
      </tp>
      <tp t="s">
        <v>#N/A Requesting Data...2698961156</v>
        <stp/>
        <stp>BDP|10110397196651866474</stp>
        <tr r="Y776" s="1"/>
        <tr r="Y776" s="1"/>
      </tp>
      <tp t="s">
        <v>#N/A Requesting Data...3021418662</v>
        <stp/>
        <stp>BDP|18348682748365667043</stp>
        <tr r="AA929" s="1"/>
        <tr r="AA929" s="1"/>
      </tp>
      <tp t="s">
        <v>#N/A Requesting Data...4108438857</v>
        <stp/>
        <stp>BDP|16718260354449250766</stp>
        <tr r="AC949" s="1"/>
        <tr r="AC949" s="1"/>
      </tp>
      <tp t="s">
        <v>#N/A Requesting Data...2594248884</v>
        <stp/>
        <stp>BDP|18051708257811250446</stp>
        <tr r="AB1065" s="1"/>
        <tr r="AB1065" s="1"/>
      </tp>
      <tp t="s">
        <v>#N/A Requesting Data...4280755757</v>
        <stp/>
        <stp>BDP|14939388380105871588</stp>
        <tr r="AC1425" s="1"/>
        <tr r="AC1425" s="1"/>
      </tp>
      <tp t="s">
        <v>#N/A Requesting Data...2687568966</v>
        <stp/>
        <stp>BDP|15607284392069972846</stp>
        <tr r="AA47" s="1"/>
        <tr r="AA47" s="1"/>
      </tp>
      <tp t="s">
        <v>#N/A Requesting Data...3740648083</v>
        <stp/>
        <stp>BDP|11359551705162061927</stp>
        <tr r="Z159" s="1"/>
        <tr r="Z159" s="1"/>
      </tp>
      <tp t="s">
        <v>#N/A Requesting Data...2796257439</v>
        <stp/>
        <stp>BDP|17265645277278678162</stp>
        <tr r="Y1003" s="1"/>
        <tr r="Y1003" s="1"/>
      </tp>
      <tp t="s">
        <v>#N/A Requesting Data...3381847279</v>
        <stp/>
        <stp>BDP|10512211656179239116</stp>
        <tr r="AC944" s="1"/>
        <tr r="AC944" s="1"/>
      </tp>
      <tp t="s">
        <v>#N/A Requesting Data...3305717979</v>
        <stp/>
        <stp>BDP|16661690997141986714</stp>
        <tr r="Z1135" s="1"/>
        <tr r="Z1135" s="1"/>
      </tp>
      <tp t="s">
        <v>#N/A Requesting Data...2862537596</v>
        <stp/>
        <stp>BDP|11753028321079646523</stp>
        <tr r="AB1257" s="1"/>
        <tr r="AB1257" s="1"/>
      </tp>
      <tp t="s">
        <v>#N/A Requesting Data...1830528058</v>
        <stp/>
        <stp>BDP|10016657115899771171</stp>
        <tr r="Y1225" s="1"/>
        <tr r="Y1225" s="1"/>
      </tp>
      <tp t="s">
        <v>#N/A Requesting Data...3050772305</v>
        <stp/>
        <stp>BDP|14881508947808741282</stp>
        <tr r="AC1226" s="1"/>
        <tr r="AC1226" s="1"/>
      </tp>
      <tp t="s">
        <v>#N/A Requesting Data...2021924716</v>
        <stp/>
        <stp>BDP|15363536006998503734</stp>
        <tr r="AA41" s="1"/>
        <tr r="AA41" s="1"/>
      </tp>
      <tp t="s">
        <v>#N/A Requesting Data...3497449289</v>
        <stp/>
        <stp>BDP|10374997431305268099</stp>
        <tr r="AA522" s="1"/>
        <tr r="AA522" s="1"/>
      </tp>
      <tp t="s">
        <v>#N/A Requesting Data...2171431961</v>
        <stp/>
        <stp>BDP|15662519989000729791</stp>
        <tr r="AC1204" s="1"/>
        <tr r="AC1204" s="1"/>
      </tp>
      <tp t="s">
        <v>#N/A Requesting Data...1754265802</v>
        <stp/>
        <stp>BDP|12065725999744843733</stp>
        <tr r="Z689" s="1"/>
        <tr r="Z689" s="1"/>
      </tp>
      <tp t="s">
        <v>#N/A Requesting Data...4218068599</v>
        <stp/>
        <stp>BDP|13669957352046546647</stp>
        <tr r="AB739" s="1"/>
        <tr r="AB739" s="1"/>
      </tp>
      <tp t="s">
        <v>#N/A Requesting Data...2557927474</v>
        <stp/>
        <stp>BDP|11855478282911900345</stp>
        <tr r="AA188" s="1"/>
        <tr r="AA188" s="1"/>
      </tp>
      <tp t="s">
        <v>#N/A Requesting Data...1857101672</v>
        <stp/>
        <stp>BDP|12869386637664708906</stp>
        <tr r="AB573" s="1"/>
        <tr r="AB573" s="1"/>
      </tp>
      <tp t="s">
        <v>#N/A Requesting Data...3787495151</v>
        <stp/>
        <stp>BDP|15874274499608333956</stp>
        <tr r="AB341" s="1"/>
        <tr r="AB341" s="1"/>
      </tp>
      <tp t="s">
        <v>#N/A Requesting Data...2491751679</v>
        <stp/>
        <stp>BDP|17923933536147430583</stp>
        <tr r="AC787" s="1"/>
        <tr r="AC787" s="1"/>
      </tp>
      <tp t="s">
        <v>#N/A Requesting Data...2122346507</v>
        <stp/>
        <stp>BDP|14202534871190008902</stp>
        <tr r="AB1492" s="1"/>
        <tr r="AB1492" s="1"/>
      </tp>
      <tp t="s">
        <v>#N/A Requesting Data...1856553316</v>
        <stp/>
        <stp>BDP|13334025155940112958</stp>
        <tr r="AC1537" s="1"/>
        <tr r="AC1537" s="1"/>
      </tp>
      <tp t="s">
        <v>#N/A Requesting Data...2471823894</v>
        <stp/>
        <stp>BDP|14540022510123545925</stp>
        <tr r="AA741" s="1"/>
        <tr r="AA741" s="1"/>
      </tp>
      <tp t="s">
        <v>#N/A Requesting Data...3487518829</v>
        <stp/>
        <stp>BDP|17716990840595802061</stp>
        <tr r="Z1194" s="1"/>
        <tr r="Z1194" s="1"/>
      </tp>
      <tp t="s">
        <v>#N/A Requesting Data...3756894969</v>
        <stp/>
        <stp>BDP|13469031183793557710</stp>
        <tr r="Y346" s="1"/>
        <tr r="Y346" s="1"/>
      </tp>
      <tp t="s">
        <v>#N/A Requesting Data...2064100574</v>
        <stp/>
        <stp>BDP|11819422481427097585</stp>
        <tr r="AC505" s="1"/>
        <tr r="AC505" s="1"/>
      </tp>
      <tp t="s">
        <v>#N/A Requesting Data...2646807484</v>
        <stp/>
        <stp>BDP|17362195049879474447</stp>
        <tr r="AC439" s="1"/>
        <tr r="AC439" s="1"/>
      </tp>
      <tp t="s">
        <v>#N/A Requesting Data...3302322193</v>
        <stp/>
        <stp>BDP|16450491901939909466</stp>
        <tr r="AB960" s="1"/>
        <tr r="AB960" s="1"/>
      </tp>
      <tp t="s">
        <v>#N/A Requesting Data...4030589177</v>
        <stp/>
        <stp>BDP|13290553009959521088</stp>
        <tr r="Y684" s="1"/>
        <tr r="Y684" s="1"/>
      </tp>
      <tp t="s">
        <v>#N/A Requesting Data...3982382007</v>
        <stp/>
        <stp>BDP|16037361244496283836</stp>
        <tr r="AC484" s="1"/>
        <tr r="AC484" s="1"/>
      </tp>
      <tp t="s">
        <v>#N/A Requesting Data...3889281790</v>
        <stp/>
        <stp>BDP|13366893318296882397</stp>
        <tr r="AC346" s="1"/>
        <tr r="AC346" s="1"/>
      </tp>
      <tp t="s">
        <v>#N/A Requesting Data...2004960728</v>
        <stp/>
        <stp>BDP|12492565749095847906</stp>
        <tr r="AB1200" s="1"/>
        <tr r="AB1200" s="1"/>
      </tp>
      <tp t="s">
        <v>#N/A Requesting Data...2095204559</v>
        <stp/>
        <stp>BDP|14797577070720564961</stp>
        <tr r="Y751" s="1"/>
        <tr r="Y751" s="1"/>
      </tp>
      <tp t="s">
        <v>#N/A Requesting Data...3125843596</v>
        <stp/>
        <stp>BDP|16511508201188349440</stp>
        <tr r="Z185" s="1"/>
        <tr r="Z185" s="1"/>
      </tp>
      <tp t="s">
        <v>#N/A Requesting Data...2399182159</v>
        <stp/>
        <stp>BDP|16119290687712509195</stp>
        <tr r="AB551" s="1"/>
        <tr r="AB551" s="1"/>
      </tp>
      <tp t="s">
        <v>#N/A Requesting Data...3647003994</v>
        <stp/>
        <stp>BDP|11916214489984483061</stp>
        <tr r="AC475" s="1"/>
        <tr r="AC475" s="1"/>
      </tp>
      <tp t="s">
        <v>#N/A Requesting Data...3359541854</v>
        <stp/>
        <stp>BDP|17077971518268832842</stp>
        <tr r="AA1006" s="1"/>
        <tr r="AA1006" s="1"/>
      </tp>
      <tp t="s">
        <v>#N/A Requesting Data...3246795077</v>
        <stp/>
        <stp>BDP|18020065600926492112</stp>
        <tr r="Z1496" s="1"/>
        <tr r="Z1496" s="1"/>
      </tp>
      <tp t="s">
        <v>#N/A Requesting Data...2088768320</v>
        <stp/>
        <stp>BDP|14195411209296969927</stp>
        <tr r="AA451" s="1"/>
        <tr r="AA451" s="1"/>
      </tp>
      <tp t="s">
        <v>#N/A Requesting Data...2447842138</v>
        <stp/>
        <stp>BDP|12971430691084175488</stp>
        <tr r="AA67" s="1"/>
        <tr r="AA67" s="1"/>
      </tp>
      <tp t="s">
        <v>#N/A Requesting Data...3373221739</v>
        <stp/>
        <stp>BDP|13059885878586149539</stp>
        <tr r="Z719" s="1"/>
        <tr r="Z719" s="1"/>
      </tp>
      <tp t="s">
        <v>#N/A Requesting Data...3647891273</v>
        <stp/>
        <stp>BDP|15522235051584698933</stp>
        <tr r="Y1413" s="1"/>
        <tr r="Y1413" s="1"/>
      </tp>
      <tp t="s">
        <v>#N/A Requesting Data...2795233988</v>
        <stp/>
        <stp>BDP|17828893024556174460</stp>
        <tr r="AA1423" s="1"/>
        <tr r="AA1423" s="1"/>
      </tp>
      <tp t="s">
        <v>#N/A Requesting Data...3315111677</v>
        <stp/>
        <stp>BDP|14217544291825576208</stp>
        <tr r="AA299" s="1"/>
        <tr r="AA299" s="1"/>
      </tp>
      <tp t="s">
        <v>#N/A Requesting Data...2615163583</v>
        <stp/>
        <stp>BDP|16412558764998464231</stp>
        <tr r="Y1310" s="1"/>
        <tr r="Y1310" s="1"/>
      </tp>
      <tp t="s">
        <v>#N/A Requesting Data...3187288301</v>
        <stp/>
        <stp>BDP|18216967586347193167</stp>
        <tr r="AC153" s="1"/>
        <tr r="AC153" s="1"/>
      </tp>
      <tp t="s">
        <v>#N/A Requesting Data...3682787797</v>
        <stp/>
        <stp>BDP|16282917193518445117</stp>
        <tr r="Y864" s="1"/>
        <tr r="Y864" s="1"/>
      </tp>
      <tp t="s">
        <v>#N/A Requesting Data...2061073961</v>
        <stp/>
        <stp>BDP|17562457182577189364</stp>
        <tr r="AB619" s="1"/>
        <tr r="AB619" s="1"/>
      </tp>
      <tp t="s">
        <v>#N/A Requesting Data...3658166840</v>
        <stp/>
        <stp>BDP|13291957773140962287</stp>
        <tr r="AC318" s="1"/>
        <tr r="AC318" s="1"/>
      </tp>
      <tp t="s">
        <v>#N/A Requesting Data...2184546884</v>
        <stp/>
        <stp>BDP|15250476174810553910</stp>
        <tr r="Z1184" s="1"/>
        <tr r="Z1184" s="1"/>
      </tp>
      <tp t="s">
        <v>#N/A Requesting Data...2715264356</v>
        <stp/>
        <stp>BDP|11261902356420744269</stp>
        <tr r="Z960" s="1"/>
        <tr r="Z960" s="1"/>
      </tp>
      <tp t="s">
        <v>#N/A Requesting Data...4274709939</v>
        <stp/>
        <stp>BDP|18231057577736147644</stp>
        <tr r="Z1000" s="1"/>
        <tr r="Z1000" s="1"/>
      </tp>
      <tp t="s">
        <v>#N/A Requesting Data...2850413551</v>
        <stp/>
        <stp>BDP|12564105523356147827</stp>
        <tr r="Z892" s="1"/>
        <tr r="Z892" s="1"/>
      </tp>
      <tp t="s">
        <v>#N/A Requesting Data...4010692621</v>
        <stp/>
        <stp>BDP|17047520459209963174</stp>
        <tr r="Y524" s="1"/>
        <tr r="Y524" s="1"/>
      </tp>
      <tp t="s">
        <v>#N/A Requesting Data...2857167738</v>
        <stp/>
        <stp>BDP|14447595108998366624</stp>
        <tr r="Y863" s="1"/>
        <tr r="Y863" s="1"/>
      </tp>
      <tp t="s">
        <v>#N/A Requesting Data...2513235181</v>
        <stp/>
        <stp>BDP|11252477280825738763</stp>
        <tr r="Z137" s="1"/>
        <tr r="Z137" s="1"/>
      </tp>
      <tp t="s">
        <v>#N/A Requesting Data...3404477934</v>
        <stp/>
        <stp>BDP|15170304790370120048</stp>
        <tr r="Z992" s="1"/>
        <tr r="Z992" s="1"/>
      </tp>
      <tp t="s">
        <v>#N/A Requesting Data...2881381998</v>
        <stp/>
        <stp>BDP|18179058277780607011</stp>
        <tr r="Z760" s="1"/>
        <tr r="Z760" s="1"/>
      </tp>
      <tp t="s">
        <v>#N/A Requesting Data...3559595016</v>
        <stp/>
        <stp>BDP|10493215144630063955</stp>
        <tr r="AC1384" s="1"/>
        <tr r="AC1384" s="1"/>
      </tp>
      <tp t="s">
        <v>#N/A Requesting Data...3692174725</v>
        <stp/>
        <stp>BDP|10749522037488125178</stp>
        <tr r="AC1570" s="1"/>
        <tr r="AC1570" s="1"/>
      </tp>
      <tp t="s">
        <v>#N/A Requesting Data...3812312658</v>
        <stp/>
        <stp>BDP|17613910948222355788</stp>
        <tr r="AA736" s="1"/>
        <tr r="AA736" s="1"/>
      </tp>
      <tp t="s">
        <v>#N/A Requesting Data...2857119412</v>
        <stp/>
        <stp>BDP|18105342873557476462</stp>
        <tr r="AB1373" s="1"/>
        <tr r="AB1373" s="1"/>
      </tp>
      <tp t="s">
        <v>#N/A Requesting Data...3298076610</v>
        <stp/>
        <stp>BDP|11470053777770219903</stp>
        <tr r="Z1389" s="1"/>
        <tr r="Z1389" s="1"/>
      </tp>
      <tp t="s">
        <v>#N/A Requesting Data...2368532567</v>
        <stp/>
        <stp>BDP|12075175223548775671</stp>
        <tr r="Y360" s="1"/>
        <tr r="Y360" s="1"/>
      </tp>
      <tp t="s">
        <v>#N/A Requesting Data...2342454291</v>
        <stp/>
        <stp>BDP|16566986402061963121</stp>
        <tr r="Y529" s="1"/>
        <tr r="Y529" s="1"/>
      </tp>
      <tp t="s">
        <v>#N/A Requesting Data...3167789847</v>
        <stp/>
        <stp>BDP|18033317781779345572</stp>
        <tr r="AC1319" s="1"/>
        <tr r="AC1319" s="1"/>
      </tp>
      <tp t="s">
        <v>#N/A Requesting Data...3975092603</v>
        <stp/>
        <stp>BDP|14338886701727973471</stp>
        <tr r="AA1587" s="1"/>
      </tp>
      <tp t="s">
        <v>#N/A Requesting Data...4064097481</v>
        <stp/>
        <stp>BDP|18423139750381095235</stp>
        <tr r="Z235" s="1"/>
        <tr r="Z235" s="1"/>
      </tp>
      <tp t="s">
        <v>#N/A Requesting Data...3466679490</v>
        <stp/>
        <stp>BDP|16722550271479413233</stp>
        <tr r="AB59" s="1"/>
        <tr r="AB59" s="1"/>
      </tp>
      <tp t="s">
        <v>#N/A Requesting Data...2644402892</v>
        <stp/>
        <stp>BDP|12303941670726457577</stp>
        <tr r="AC334" s="1"/>
        <tr r="AC334" s="1"/>
      </tp>
      <tp t="s">
        <v>#N/A Requesting Data...3345472731</v>
        <stp/>
        <stp>BDP|14500308252405207826</stp>
        <tr r="AC453" s="1"/>
        <tr r="AC453" s="1"/>
      </tp>
      <tp t="s">
        <v>#N/A Requesting Data...3082950509</v>
        <stp/>
        <stp>BDP|17602528467822599910</stp>
        <tr r="AA1173" s="1"/>
        <tr r="AA1173" s="1"/>
      </tp>
      <tp t="s">
        <v>#N/A Requesting Data...4246554141</v>
        <stp/>
        <stp>BDP|14163899619503204143</stp>
        <tr r="AC1054" s="1"/>
        <tr r="AC1054" s="1"/>
      </tp>
      <tp t="s">
        <v>#N/A Requesting Data...3272534521</v>
        <stp/>
        <stp>BDP|15201699636258211782</stp>
        <tr r="Y493" s="1"/>
        <tr r="Y493" s="1"/>
      </tp>
      <tp t="s">
        <v>#N/A Requesting Data...2216374558</v>
        <stp/>
        <stp>BDP|12368504094885452447</stp>
        <tr r="AC403" s="1"/>
        <tr r="AC403" s="1"/>
      </tp>
      <tp t="s">
        <v>#N/A Requesting Data...2895001469</v>
        <stp/>
        <stp>BDP|16107051188279883833</stp>
        <tr r="AC884" s="1"/>
        <tr r="AC884" s="1"/>
      </tp>
      <tp t="s">
        <v>#N/A Requesting Data...3200729206</v>
        <stp/>
        <stp>BDP|15223323194982650250</stp>
        <tr r="Z812" s="1"/>
        <tr r="Z812" s="1"/>
      </tp>
      <tp t="s">
        <v>#N/A Requesting Data...4108952350</v>
        <stp/>
        <stp>BDP|16150602587372412559</stp>
        <tr r="AC1143" s="1"/>
        <tr r="AC1143" s="1"/>
      </tp>
      <tp t="s">
        <v>#N/A Requesting Data...3595464458</v>
        <stp/>
        <stp>BDP|13835804793779457486</stp>
        <tr r="AC644" s="1"/>
        <tr r="AC644" s="1"/>
      </tp>
      <tp t="s">
        <v>#N/A Requesting Data...2925608283</v>
        <stp/>
        <stp>BDP|10441371488633516790</stp>
        <tr r="AC715" s="1"/>
        <tr r="AC715" s="1"/>
      </tp>
      <tp t="s">
        <v>#N/A Requesting Data...3135900839</v>
        <stp/>
        <stp>BDP|11701534223748775174</stp>
        <tr r="AB685" s="1"/>
        <tr r="AB685" s="1"/>
      </tp>
      <tp t="s">
        <v>#N/A Requesting Data...4168132266</v>
        <stp/>
        <stp>BDP|13134278260971277933</stp>
        <tr r="Y1068" s="1"/>
        <tr r="Y1068" s="1"/>
      </tp>
      <tp t="s">
        <v>#N/A Requesting Data...2548870871</v>
        <stp/>
        <stp>BDP|18304646444904471113</stp>
        <tr r="AA1465" s="1"/>
        <tr r="AA1465" s="1"/>
      </tp>
      <tp t="s">
        <v>#N/A Requesting Data...2206952014</v>
        <stp/>
        <stp>BDP|16505422723716393917</stp>
        <tr r="AB329" s="1"/>
        <tr r="AB329" s="1"/>
      </tp>
      <tp t="s">
        <v>#N/A Requesting Data...2627758019</v>
        <stp/>
        <stp>BDP|10036659325073753816</stp>
        <tr r="AC75" s="1"/>
        <tr r="AC75" s="1"/>
      </tp>
      <tp t="s">
        <v>#N/A Requesting Data...2656065290</v>
        <stp/>
        <stp>BDP|12067334982172539429</stp>
        <tr r="AC1613" s="1"/>
      </tp>
      <tp t="s">
        <v>#N/A Requesting Data...3500943023</v>
        <stp/>
        <stp>BDP|10735084248642381921</stp>
        <tr r="Z648" s="1"/>
        <tr r="Z648" s="1"/>
      </tp>
      <tp t="s">
        <v>#N/A Requesting Data...2586810884</v>
        <stp/>
        <stp>BDP|16030123093715088470</stp>
        <tr r="AB903" s="1"/>
        <tr r="AB903" s="1"/>
      </tp>
      <tp t="s">
        <v>#N/A Requesting Data...2516466446</v>
        <stp/>
        <stp>BDP|11389454041169382729</stp>
        <tr r="Y1018" s="1"/>
        <tr r="Y1018" s="1"/>
      </tp>
      <tp t="s">
        <v>#N/A Requesting Data...3247969345</v>
        <stp/>
        <stp>BDP|10388688978056654839</stp>
        <tr r="AA552" s="1"/>
        <tr r="AA552" s="1"/>
      </tp>
      <tp t="s">
        <v>#N/A Requesting Data...2898733180</v>
        <stp/>
        <stp>BDP|10897026068959623027</stp>
        <tr r="Z1066" s="1"/>
        <tr r="Z1066" s="1"/>
      </tp>
      <tp t="s">
        <v>#N/A Requesting Data...2831577701</v>
        <stp/>
        <stp>BDP|15042011175724479967</stp>
        <tr r="AC776" s="1"/>
        <tr r="AC776" s="1"/>
      </tp>
      <tp t="s">
        <v>#N/A Requesting Data...2185280781</v>
        <stp/>
        <stp>BDP|16662842604601272024</stp>
        <tr r="AC1074" s="1"/>
        <tr r="AC1074" s="1"/>
      </tp>
      <tp t="s">
        <v>#N/A Requesting Data...3425159559</v>
        <stp/>
        <stp>BDP|10856830310694960243</stp>
        <tr r="Y486" s="1"/>
        <tr r="Y486" s="1"/>
      </tp>
      <tp t="s">
        <v>#N/A Requesting Data...2148455487</v>
        <stp/>
        <stp>BDP|17888634268798741029</stp>
        <tr r="AA695" s="1"/>
        <tr r="AA695" s="1"/>
      </tp>
      <tp t="s">
        <v>#N/A Requesting Data...2299669914</v>
        <stp/>
        <stp>BDP|10953921939031782439</stp>
        <tr r="Y1036" s="1"/>
        <tr r="Y1036" s="1"/>
      </tp>
      <tp t="s">
        <v>#N/A Requesting Data...3690225139</v>
        <stp/>
        <stp>BDP|16488773697864349312</stp>
        <tr r="AA813" s="1"/>
        <tr r="AA813" s="1"/>
      </tp>
      <tp t="s">
        <v>#N/A Requesting Data...3906305854</v>
        <stp/>
        <stp>BDP|17032892808412065277</stp>
        <tr r="Y1582" s="1"/>
        <tr r="Y1582" s="1"/>
      </tp>
      <tp>
        <v>219.11</v>
        <stp/>
        <stp>BDP|3873519259395629847|22</stp>
        <stp>STE US Equity</stp>
        <stp>LAST_PRICE</stp>
        <tr r="AD1400" s="1"/>
        <tr r="AD1400" s="1"/>
      </tp>
      <tp>
        <v>0.315</v>
        <stp/>
        <stp>BDP|6167040973546556445|22</stp>
        <stp>ADK CN Equity</stp>
        <stp>LAST_PRICE</stp>
        <tr r="AD506" s="1"/>
        <tr r="AD506" s="1"/>
      </tp>
      <tp>
        <v>2.16</v>
        <stp/>
        <stp>BDP|801287983068942574|22</stp>
        <stp>ZNTL US Equity</stp>
        <stp>LAST_PRICE</stp>
        <tr r="AD1609" s="1"/>
        <tr r="AD1609" s="1"/>
      </tp>
      <tp>
        <v>1.41</v>
        <stp/>
        <stp>BDP|124964625232094796|22</stp>
        <stp>ZURA US Equity</stp>
        <stp>LAST_PRICE</stp>
        <tr r="AD1618" s="1"/>
        <tr r="AD1618" s="1"/>
      </tp>
      <tp>
        <v>2.97</v>
        <stp/>
        <stp>BDP|437765255844928279|22</stp>
        <stp>PYPD US Equity</stp>
        <stp>LAST_PRICE</stp>
        <tr r="AD1173" s="1"/>
        <tr r="AD1173" s="1"/>
      </tp>
      <tp>
        <v>4.1500000000000004</v>
        <stp/>
        <stp>BDP|276486699607138194|22</stp>
        <stp>TARA US Equity</stp>
        <stp>LAST_PRICE</stp>
        <tr r="AD1208" s="1"/>
        <tr r="AD1208" s="1"/>
      </tp>
      <tp>
        <v>9.9999999999999995E-7</v>
        <stp/>
        <stp>BDP|563643955399995674|22</stp>
        <stp>BSSP US Equity</stp>
        <stp>LAST_PRICE</stp>
        <tr r="AD1282" s="1"/>
        <tr r="AD1282" s="1"/>
      </tp>
      <tp t="s">
        <v>#N/A Requesting Data...2228219419</v>
        <stp/>
        <stp>BDP|10690800695174279987</stp>
        <tr r="Z738" s="1"/>
        <tr r="Z738" s="1"/>
      </tp>
      <tp t="s">
        <v>#N/A Requesting Data...2389791656</v>
        <stp/>
        <stp>BDP|15122317418178390325</stp>
        <tr r="Z735" s="1"/>
        <tr r="Z735" s="1"/>
      </tp>
      <tp t="s">
        <v>#N/A Requesting Data...3334672221</v>
        <stp/>
        <stp>BDP|16599584498447464181</stp>
        <tr r="AB850" s="1"/>
        <tr r="AB850" s="1"/>
      </tp>
      <tp t="s">
        <v>#N/A Requesting Data...2754340895</v>
        <stp/>
        <stp>BDP|15141561084614239083</stp>
        <tr r="AB952" s="1"/>
        <tr r="AB952" s="1"/>
      </tp>
      <tp t="s">
        <v>#N/A Requesting Data...2804626966</v>
        <stp/>
        <stp>BDP|11750419084241349088</stp>
        <tr r="AC1306" s="1"/>
        <tr r="AC1306" s="1"/>
      </tp>
      <tp t="s">
        <v>#N/A Requesting Data...3077340545</v>
        <stp/>
        <stp>BDP|16089942019985024743</stp>
        <tr r="Y209" s="1"/>
        <tr r="Y209" s="1"/>
      </tp>
      <tp t="s">
        <v>#N/A Requesting Data...2124833774</v>
        <stp/>
        <stp>BDP|18035644107605313791</stp>
        <tr r="AA470" s="1"/>
        <tr r="AA470" s="1"/>
      </tp>
      <tp t="s">
        <v>#N/A Requesting Data...2528155411</v>
        <stp/>
        <stp>BDP|18104335001135237280</stp>
        <tr r="AB242" s="1"/>
      </tp>
      <tp t="s">
        <v>#N/A Requesting Data...2300181067</v>
        <stp/>
        <stp>BDP|10139828627836590091</stp>
        <tr r="AA604" s="1"/>
        <tr r="AA604" s="1"/>
      </tp>
      <tp t="s">
        <v>#N/A Requesting Data...2407896793</v>
        <stp/>
        <stp>BDP|13608434661764900959</stp>
        <tr r="AB1490" s="1"/>
        <tr r="AB1490" s="1"/>
      </tp>
      <tp t="s">
        <v>#N/A Requesting Data...2700159819</v>
        <stp/>
        <stp>BDP|12483266446639900151</stp>
        <tr r="AC1343" s="1"/>
        <tr r="AC1343" s="1"/>
      </tp>
      <tp t="s">
        <v>#N/A Requesting Data...2915205991</v>
        <stp/>
        <stp>BDP|13120716703869345187</stp>
        <tr r="Y1234" s="1"/>
        <tr r="Y1234" s="1"/>
      </tp>
      <tp t="s">
        <v>#N/A Requesting Data...2969015864</v>
        <stp/>
        <stp>BDP|15061924455835945061</stp>
        <tr r="Z187" s="1"/>
        <tr r="Z187" s="1"/>
      </tp>
      <tp t="s">
        <v>#N/A Requesting Data...2145452639</v>
        <stp/>
        <stp>BDP|12085434782346112483</stp>
        <tr r="Z1214" s="1"/>
        <tr r="Z1214" s="1"/>
      </tp>
      <tp t="s">
        <v>#N/A Requesting Data...3326600238</v>
        <stp/>
        <stp>BDP|10732794201872166964</stp>
        <tr r="AB946" s="1"/>
        <tr r="AB946" s="1"/>
      </tp>
      <tp t="s">
        <v>#N/A Requesting Data...2625953625</v>
        <stp/>
        <stp>BDP|17803131225820699803</stp>
        <tr r="AB352" s="1"/>
        <tr r="AB352" s="1"/>
      </tp>
      <tp t="s">
        <v>#N/A Requesting Data...2162009999</v>
        <stp/>
        <stp>BDP|13099934275809759893</stp>
        <tr r="Y1454" s="1"/>
        <tr r="Y1454" s="1"/>
      </tp>
      <tp t="s">
        <v>#N/A Requesting Data...2235477357</v>
        <stp/>
        <stp>BDP|15833075245728629542</stp>
        <tr r="AC461" s="1"/>
        <tr r="AC461" s="1"/>
      </tp>
      <tp t="s">
        <v>#N/A Requesting Data...3883834897</v>
        <stp/>
        <stp>BDP|15151961502598582889</stp>
        <tr r="Z995" s="1"/>
        <tr r="Z995" s="1"/>
      </tp>
      <tp t="s">
        <v>#N/A Requesting Data...3089455286</v>
        <stp/>
        <stp>BDP|16598381625853804887</stp>
        <tr r="AA115" s="1"/>
        <tr r="AA115" s="1"/>
      </tp>
      <tp t="s">
        <v>#N/A Requesting Data...2810720114</v>
        <stp/>
        <stp>BDP|13702698432602530818</stp>
        <tr r="AB1220" s="1"/>
        <tr r="AB1220" s="1"/>
      </tp>
      <tp t="s">
        <v>#N/A Requesting Data...4029350831</v>
        <stp/>
        <stp>BDP|15174253612589885353</stp>
        <tr r="Z661" s="1"/>
        <tr r="Z661" s="1"/>
      </tp>
      <tp t="s">
        <v>#N/A Requesting Data...4066609196</v>
        <stp/>
        <stp>BDP|11933499891046247687</stp>
        <tr r="Y7" s="1"/>
        <tr r="Y7" s="1"/>
      </tp>
      <tp t="s">
        <v>#N/A Requesting Data...3191959302</v>
        <stp/>
        <stp>BDP|18384443472402803567</stp>
        <tr r="AA66" s="1"/>
        <tr r="AA66" s="1"/>
      </tp>
      <tp t="s">
        <v>#N/A Requesting Data...3004462600</v>
        <stp/>
        <stp>BDP|18096195397545229974</stp>
        <tr r="Y464" s="1"/>
        <tr r="Y464" s="1"/>
      </tp>
      <tp t="s">
        <v>#N/A Requesting Data...2594932948</v>
        <stp/>
        <stp>BDP|15469703181232713498</stp>
        <tr r="AA488" s="1"/>
        <tr r="AA488" s="1"/>
      </tp>
      <tp t="s">
        <v>#N/A Requesting Data...3002305235</v>
        <stp/>
        <stp>BDP|13894249068782833979</stp>
        <tr r="AC1079" s="1"/>
        <tr r="AC1079" s="1"/>
      </tp>
      <tp t="s">
        <v>#N/A Requesting Data...1990626402</v>
        <stp/>
        <stp>BDP|14965004901860515866</stp>
        <tr r="Z171" s="1"/>
        <tr r="Z171" s="1"/>
      </tp>
      <tp t="s">
        <v>#N/A Requesting Data...3445092176</v>
        <stp/>
        <stp>BDP|10851798598596266403</stp>
        <tr r="Z852" s="1"/>
        <tr r="Z852" s="1"/>
      </tp>
      <tp t="s">
        <v>#N/A Requesting Data...2437690516</v>
        <stp/>
        <stp>BDP|10725157162063214897</stp>
        <tr r="AA919" s="1"/>
        <tr r="AA919" s="1"/>
      </tp>
      <tp t="s">
        <v>#N/A Requesting Data...3091905779</v>
        <stp/>
        <stp>BDP|17927972242077496139</stp>
        <tr r="Z1136" s="1"/>
        <tr r="Z1136" s="1"/>
      </tp>
      <tp t="s">
        <v>#N/A Requesting Data...2615015880</v>
        <stp/>
        <stp>BDP|16499314122438994357</stp>
        <tr r="Z1242" s="1"/>
        <tr r="Z1242" s="1"/>
      </tp>
      <tp t="s">
        <v>#N/A Requesting Data...2210154984</v>
        <stp/>
        <stp>BDP|14131309971258384487</stp>
        <tr r="AA994" s="1"/>
        <tr r="AA994" s="1"/>
      </tp>
      <tp t="s">
        <v>#N/A Requesting Data...3091022205</v>
        <stp/>
        <stp>BDP|10952702431521546962</stp>
        <tr r="Z1347" s="1"/>
        <tr r="Z1347" s="1"/>
      </tp>
      <tp t="s">
        <v>#N/A Requesting Data...3341128745</v>
        <stp/>
        <stp>BDP|11422621082631993268</stp>
        <tr r="AC228" s="1"/>
        <tr r="AC228" s="1"/>
      </tp>
      <tp>
        <v>8.17</v>
        <stp/>
        <stp>BDP|3610080660318709297|22</stp>
        <stp>AVR US Equity</stp>
        <stp>LAST_PRICE</stp>
        <tr r="AD138" s="1"/>
        <tr r="AD138" s="1"/>
      </tp>
      <tp t="s">
        <v>#N/A Requesting Data...2863876566</v>
        <stp/>
        <stp>BDP|17498394253274012945</stp>
        <tr r="AC985" s="1"/>
        <tr r="AC985" s="1"/>
      </tp>
      <tp t="s">
        <v>#N/A Requesting Data...4076043689</v>
        <stp/>
        <stp>BDP|16241483110297582856</stp>
        <tr r="Y807" s="1"/>
        <tr r="Y807" s="1"/>
      </tp>
      <tp t="s">
        <v>#N/A Requesting Data...3508043955</v>
        <stp/>
        <stp>BDP|15567869271701143797</stp>
        <tr r="AB1480" s="1"/>
      </tp>
      <tp t="s">
        <v>#N/A Requesting Data...2396160894</v>
        <stp/>
        <stp>BDP|15536559331139310684</stp>
        <tr r="AA895" s="1"/>
        <tr r="AA895" s="1"/>
      </tp>
      <tp t="s">
        <v>#N/A Requesting Data...1935627482</v>
        <stp/>
        <stp>BDP|12400970914881874752</stp>
        <tr r="AB87" s="1"/>
        <tr r="AB87" s="1"/>
      </tp>
      <tp t="s">
        <v>#N/A Requesting Data...3657508010</v>
        <stp/>
        <stp>BDP|11431917091684878968</stp>
        <tr r="Z419" s="1"/>
        <tr r="Z419" s="1"/>
      </tp>
      <tp t="s">
        <v>#N/A Requesting Data...2611993073</v>
        <stp/>
        <stp>BDP|16699824238275781414</stp>
        <tr r="AA696" s="1"/>
        <tr r="AA696" s="1"/>
      </tp>
      <tp t="s">
        <v>#N/A Requesting Data...3515544560</v>
        <stp/>
        <stp>BDP|10735890457703563260</stp>
        <tr r="Z303" s="1"/>
        <tr r="Z303" s="1"/>
      </tp>
      <tp t="s">
        <v>#N/A Requesting Data...3705721978</v>
        <stp/>
        <stp>BDP|14359696037639550421</stp>
        <tr r="Y382" s="1"/>
        <tr r="Y382" s="1"/>
      </tp>
      <tp t="s">
        <v>#N/A Requesting Data...2482862730</v>
        <stp/>
        <stp>BDP|13589296846380795974</stp>
        <tr r="Z655" s="1"/>
        <tr r="Z655" s="1"/>
      </tp>
      <tp t="s">
        <v>#N/A Requesting Data...2716493315</v>
        <stp/>
        <stp>BDP|16234023188107599578</stp>
        <tr r="Z488" s="1"/>
        <tr r="Z488" s="1"/>
      </tp>
      <tp t="s">
        <v>#N/A Requesting Data...3582676943</v>
        <stp/>
        <stp>BDP|13995127458142982907</stp>
        <tr r="AA893" s="1"/>
        <tr r="AA893" s="1"/>
      </tp>
      <tp t="s">
        <v>#N/A Requesting Data...3479517747</v>
        <stp/>
        <stp>BDP|11404574037092934971</stp>
        <tr r="AA962" s="1"/>
        <tr r="AA962" s="1"/>
      </tp>
      <tp t="s">
        <v>#N/A Requesting Data...3009606885</v>
        <stp/>
        <stp>BDP|16178952817461977300</stp>
        <tr r="AA399" s="1"/>
        <tr r="AA399" s="1"/>
      </tp>
      <tp t="s">
        <v>#N/A Requesting Data...2468136865</v>
        <stp/>
        <stp>BDP|10452773316298780289</stp>
        <tr r="AC47" s="1"/>
        <tr r="AC47" s="1"/>
      </tp>
      <tp t="s">
        <v>#N/A Requesting Data...3280631385</v>
        <stp/>
        <stp>BDP|11530289498795612398</stp>
        <tr r="AA1537" s="1"/>
        <tr r="AA1537" s="1"/>
      </tp>
      <tp t="s">
        <v>#N/A Requesting Data...2767337888</v>
        <stp/>
        <stp>BDP|10041872025447013187</stp>
        <tr r="Z268" s="1"/>
        <tr r="Z268" s="1"/>
      </tp>
      <tp t="s">
        <v>#N/A Requesting Data...2403194152</v>
        <stp/>
        <stp>BDP|16255437492541834610</stp>
        <tr r="Z837" s="1"/>
        <tr r="Z837" s="1"/>
      </tp>
      <tp t="s">
        <v>#N/A Requesting Data...1919458672</v>
        <stp/>
        <stp>BDP|17433569921785841962</stp>
        <tr r="AA249" s="1"/>
        <tr r="AA249" s="1"/>
      </tp>
      <tp t="s">
        <v>#N/A Requesting Data...3376221941</v>
        <stp/>
        <stp>BDP|17313432639789183556</stp>
        <tr r="AC368" s="1"/>
        <tr r="AC368" s="1"/>
      </tp>
      <tp t="s">
        <v>#N/A Requesting Data...2938444037</v>
        <stp/>
        <stp>BDP|17304869178136872287</stp>
        <tr r="AA567" s="1"/>
        <tr r="AA567" s="1"/>
      </tp>
      <tp t="s">
        <v>#N/A Requesting Data...2805922641</v>
        <stp/>
        <stp>BDP|15935468379332277890</stp>
        <tr r="AC834" s="1"/>
      </tp>
      <tp t="s">
        <v>#N/A Requesting Data...3566770676</v>
        <stp/>
        <stp>BDP|15764984301595592563</stp>
        <tr r="AB1167" s="1"/>
        <tr r="AB1167" s="1"/>
      </tp>
      <tp t="s">
        <v>#N/A Requesting Data...3649590903</v>
        <stp/>
        <stp>BDP|15094210042157695883</stp>
        <tr r="Z460" s="1"/>
        <tr r="Z460" s="1"/>
      </tp>
      <tp t="s">
        <v>#N/A Requesting Data...2698364713</v>
        <stp/>
        <stp>BDP|14975642688775915312</stp>
        <tr r="Z106" s="1"/>
        <tr r="Z106" s="1"/>
      </tp>
      <tp t="s">
        <v>#N/A Requesting Data...3990897832</v>
        <stp/>
        <stp>BDP|11602885561510066327</stp>
        <tr r="Z1045" s="1"/>
        <tr r="Z1045" s="1"/>
      </tp>
      <tp t="s">
        <v>#N/A Requesting Data...3676397265</v>
        <stp/>
        <stp>BDP|10688403669188694642</stp>
        <tr r="AB1280" s="1"/>
        <tr r="AB1280" s="1"/>
      </tp>
      <tp t="s">
        <v>#N/A Requesting Data...2832472589</v>
        <stp/>
        <stp>BDP|17863634095014626056</stp>
        <tr r="AC1145" s="1"/>
        <tr r="AC1145" s="1"/>
      </tp>
      <tp t="s">
        <v>#N/A Requesting Data...2475459522</v>
        <stp/>
        <stp>BDP|11909865470257538572</stp>
        <tr r="AB117" s="1"/>
        <tr r="AB117" s="1"/>
      </tp>
      <tp t="s">
        <v>#N/A Requesting Data...4071746045</v>
        <stp/>
        <stp>BDP|14647052740968744480</stp>
        <tr r="AC941" s="1"/>
        <tr r="AC941" s="1"/>
      </tp>
      <tp t="s">
        <v>#N/A Requesting Data...3043636342</v>
        <stp/>
        <stp>BDP|13874146574849656026</stp>
        <tr r="AB794" s="1"/>
        <tr r="AB794" s="1"/>
      </tp>
      <tp t="s">
        <v>#N/A Requesting Data...4004170328</v>
        <stp/>
        <stp>BDP|17586464278338115066</stp>
        <tr r="Z381" s="1"/>
        <tr r="Z381" s="1"/>
      </tp>
      <tp t="s">
        <v>#N/A Requesting Data...2968201686</v>
        <stp/>
        <stp>BDP|12734922409486395133</stp>
        <tr r="Y498" s="1"/>
        <tr r="Y498" s="1"/>
      </tp>
      <tp t="s">
        <v>#N/A Requesting Data...2106291155</v>
        <stp/>
        <stp>BDP|11969653155809444716</stp>
        <tr r="AC167" s="1"/>
        <tr r="AC167" s="1"/>
      </tp>
      <tp t="s">
        <v>#N/A Requesting Data...3317780914</v>
        <stp/>
        <stp>BDP|17576569933145909850</stp>
        <tr r="AB257" s="1"/>
        <tr r="AB257" s="1"/>
      </tp>
      <tp t="s">
        <v>#N/A Requesting Data...2586986183</v>
        <stp/>
        <stp>BDP|13029406459066325868</stp>
        <tr r="AB1546" s="1"/>
        <tr r="AB1546" s="1"/>
      </tp>
      <tp t="s">
        <v>#N/A Requesting Data...1887267146</v>
        <stp/>
        <stp>BDP|18057704617775280790</stp>
        <tr r="Y621" s="1"/>
        <tr r="Y621" s="1"/>
      </tp>
      <tp t="s">
        <v>#N/A Requesting Data...4257842220</v>
        <stp/>
        <stp>BDP|16549872931286854773</stp>
        <tr r="Z1602" s="1"/>
        <tr r="Z1602" s="1"/>
      </tp>
      <tp t="s">
        <v>#N/A Requesting Data...2613386539</v>
        <stp/>
        <stp>BDP|14517511785377521283</stp>
        <tr r="Y60" s="1"/>
        <tr r="Y60" s="1"/>
      </tp>
      <tp t="s">
        <v>#N/A Requesting Data...2095068295</v>
        <stp/>
        <stp>BDP|16089736337469122799</stp>
        <tr r="AB833" s="1"/>
        <tr r="AB833" s="1"/>
      </tp>
      <tp t="s">
        <v>#N/A Requesting Data...3523052990</v>
        <stp/>
        <stp>BDP|14371892444470177437</stp>
        <tr r="AC552" s="1"/>
        <tr r="AC552" s="1"/>
      </tp>
      <tp t="s">
        <v>#N/A Requesting Data...2234956895</v>
        <stp/>
        <stp>BDP|10045503592711680189</stp>
        <tr r="AB834" s="1"/>
        <tr r="AB834" s="1"/>
      </tp>
      <tp t="s">
        <v>#N/A Requesting Data...2797097657</v>
        <stp/>
        <stp>BDP|15424287203619357207</stp>
        <tr r="AB481" s="1"/>
        <tr r="AB481" s="1"/>
      </tp>
      <tp t="s">
        <v>#N/A Requesting Data...3103808534</v>
        <stp/>
        <stp>BDP|12769524036798769083</stp>
        <tr r="AB102" s="1"/>
        <tr r="AB102" s="1"/>
      </tp>
      <tp t="s">
        <v>#N/A Requesting Data...3433885021</v>
        <stp/>
        <stp>BDP|17600577002309861775</stp>
        <tr r="AA99" s="1"/>
        <tr r="AA99" s="1"/>
      </tp>
      <tp t="s">
        <v>#N/A Requesting Data...3915966158</v>
        <stp/>
        <stp>BDP|11207542699438134920</stp>
        <tr r="Z904" s="1"/>
        <tr r="Z904" s="1"/>
      </tp>
      <tp t="s">
        <v>#N/A Requesting Data...2479225340</v>
        <stp/>
        <stp>BDP|18350332425851248482</stp>
        <tr r="AC1553" s="1"/>
      </tp>
      <tp t="s">
        <v>#N/A Requesting Data...2137801043</v>
        <stp/>
        <stp>BDP|12741028998664040326</stp>
        <tr r="AC432" s="1"/>
        <tr r="AC432" s="1"/>
      </tp>
      <tp t="s">
        <v>#N/A Requesting Data...3102064035</v>
        <stp/>
        <stp>BDP|11503419697368829840</stp>
        <tr r="AC1018" s="1"/>
        <tr r="AC1018" s="1"/>
      </tp>
      <tp t="s">
        <v>#N/A Requesting Data...3191643144</v>
        <stp/>
        <stp>BDP|17083971948962674468</stp>
        <tr r="AA881" s="1"/>
        <tr r="AA881" s="1"/>
      </tp>
      <tp t="s">
        <v>#N/A Requesting Data...4064343194</v>
        <stp/>
        <stp>BDP|13615767229392125878</stp>
        <tr r="AC1468" s="1"/>
        <tr r="AC1468" s="1"/>
      </tp>
      <tp t="s">
        <v>#N/A Requesting Data...2563792409</v>
        <stp/>
        <stp>BDP|13177015518966100864</stp>
        <tr r="AC1507" s="1"/>
        <tr r="AC1507" s="1"/>
      </tp>
      <tp t="s">
        <v>#N/A Requesting Data...2451322012</v>
        <stp/>
        <stp>BDP|13054697000971200844</stp>
        <tr r="AA404" s="1"/>
        <tr r="AA404" s="1"/>
      </tp>
      <tp t="s">
        <v>#N/A Requesting Data...2467373609</v>
        <stp/>
        <stp>BDP|12035401893497495481</stp>
        <tr r="AC1433" s="1"/>
        <tr r="AC1433" s="1"/>
      </tp>
      <tp t="s">
        <v>#N/A Requesting Data...2100787631</v>
        <stp/>
        <stp>BDP|16059852869502288617</stp>
        <tr r="AA138" s="1"/>
      </tp>
      <tp t="s">
        <v>#N/A Requesting Data...2099883665</v>
        <stp/>
        <stp>BDP|12701421900682228888</stp>
        <tr r="Z1098" s="1"/>
        <tr r="Z1098" s="1"/>
      </tp>
      <tp t="s">
        <v>#N/A Requesting Data...2185335788</v>
        <stp/>
        <stp>BDP|16947578792507501164</stp>
        <tr r="Z976" s="1"/>
        <tr r="Z976" s="1"/>
      </tp>
      <tp t="s">
        <v>#N/A Requesting Data...2040332603</v>
        <stp/>
        <stp>BDP|14369760500478272786</stp>
        <tr r="Z1365" s="1"/>
        <tr r="Z1365" s="1"/>
      </tp>
      <tp t="s">
        <v>#N/A Requesting Data...2456500656</v>
        <stp/>
        <stp>BDP|13674824073346071685</stp>
        <tr r="AA503" s="1"/>
        <tr r="AA503" s="1"/>
      </tp>
      <tp t="s">
        <v>#N/A Requesting Data...2187690436</v>
        <stp/>
        <stp>BDP|15999266150748095601</stp>
        <tr r="AC407" s="1"/>
        <tr r="AC407" s="1"/>
      </tp>
      <tp t="s">
        <v>#N/A Requesting Data...3810091614</v>
        <stp/>
        <stp>BDP|10502692637279168056</stp>
        <tr r="AB510" s="1"/>
        <tr r="AB510" s="1"/>
      </tp>
      <tp t="s">
        <v>#N/A Requesting Data...2648780576</v>
        <stp/>
        <stp>BDP|12263390355180833891</stp>
        <tr r="Y862" s="1"/>
        <tr r="Y862" s="1"/>
      </tp>
      <tp t="s">
        <v>#N/A Requesting Data...2655935483</v>
        <stp/>
        <stp>BDP|17298995106611583376</stp>
        <tr r="AC542" s="1"/>
        <tr r="AC542" s="1"/>
      </tp>
      <tp t="s">
        <v>#N/A Requesting Data...4008745007</v>
        <stp/>
        <stp>BDP|10880338775119687162</stp>
        <tr r="AB188" s="1"/>
        <tr r="AB188" s="1"/>
      </tp>
      <tp t="s">
        <v>#N/A Requesting Data...2587152276</v>
        <stp/>
        <stp>BDP|18307748754791473797</stp>
        <tr r="AB269" s="1"/>
      </tp>
      <tp t="s">
        <v>#N/A Requesting Data...2158747000</v>
        <stp/>
        <stp>BDP|11874507196830330134</stp>
        <tr r="AC466" s="1"/>
        <tr r="AC466" s="1"/>
      </tp>
      <tp t="s">
        <v>#N/A Requesting Data...2550382943</v>
        <stp/>
        <stp>BDP|12435426064418487486</stp>
        <tr r="AB460" s="1"/>
        <tr r="AB460" s="1"/>
      </tp>
      <tp t="s">
        <v>#N/A Requesting Data...2989481979</v>
        <stp/>
        <stp>BDP|17341263431399895323</stp>
        <tr r="Z914" s="1"/>
        <tr r="Z914" s="1"/>
      </tp>
      <tp t="s">
        <v>#N/A Requesting Data...3897961728</v>
        <stp/>
        <stp>BDP|14414482222096270829</stp>
        <tr r="Z793" s="1"/>
        <tr r="Z793" s="1"/>
      </tp>
      <tp t="s">
        <v>#N/A Requesting Data...2204205411</v>
        <stp/>
        <stp>BDP|16227267512368826109</stp>
        <tr r="Z1191" s="1"/>
        <tr r="Z1191" s="1"/>
      </tp>
      <tp t="s">
        <v>#N/A Requesting Data...1937961743</v>
        <stp/>
        <stp>BDP|18063784094183486967</stp>
        <tr r="Z820" s="1"/>
        <tr r="Z820" s="1"/>
      </tp>
      <tp t="s">
        <v>#N/A Requesting Data...2791751081</v>
        <stp/>
        <stp>BDP|13817453790691416374</stp>
        <tr r="Y106" s="1"/>
        <tr r="Y106" s="1"/>
      </tp>
      <tp t="s">
        <v>#N/A Requesting Data...4116786221</v>
        <stp/>
        <stp>BDP|16058317497646829607</stp>
        <tr r="AB747" s="1"/>
        <tr r="AB747" s="1"/>
      </tp>
      <tp t="s">
        <v>#N/A Requesting Data...2001261232</v>
        <stp/>
        <stp>BDP|15335818549351581400</stp>
        <tr r="AA751" s="1"/>
        <tr r="AA751" s="1"/>
      </tp>
      <tp t="s">
        <v>#N/A Requesting Data...3456028196</v>
        <stp/>
        <stp>BDP|17235797992403158665</stp>
        <tr r="AA302" s="1"/>
        <tr r="AA302" s="1"/>
      </tp>
      <tp t="s">
        <v>#N/A Requesting Data...3957696482</v>
        <stp/>
        <stp>BDP|18140551554666656280</stp>
        <tr r="AC1422" s="1"/>
        <tr r="AC1422" s="1"/>
      </tp>
      <tp t="s">
        <v>#N/A Requesting Data...3340608169</v>
        <stp/>
        <stp>BDP|18030045548790120037</stp>
        <tr r="AB884" s="1"/>
        <tr r="AB884" s="1"/>
      </tp>
      <tp t="s">
        <v>#N/A Requesting Data...3633864898</v>
        <stp/>
        <stp>BDP|10891448245795183994</stp>
        <tr r="AA1582" s="1"/>
        <tr r="AA1582" s="1"/>
      </tp>
      <tp t="s">
        <v>#N/A Requesting Data...4134044611</v>
        <stp/>
        <stp>BDP|12412843550941086219</stp>
        <tr r="AA677" s="1"/>
        <tr r="AA677" s="1"/>
      </tp>
      <tp t="s">
        <v>#N/A Requesting Data...3901527507</v>
        <stp/>
        <stp>BDP|14964876314729368888</stp>
        <tr r="AB1254" s="1"/>
      </tp>
      <tp t="s">
        <v>#N/A Requesting Data...4097957703</v>
        <stp/>
        <stp>BDP|15158338120091278913</stp>
        <tr r="Z6" s="1"/>
        <tr r="Z6" s="1"/>
      </tp>
      <tp t="s">
        <v>#N/A Requesting Data...3879835561</v>
        <stp/>
        <stp>BDP|11467880619456292262</stp>
        <tr r="AC519" s="1"/>
        <tr r="AC519" s="1"/>
      </tp>
      <tp t="s">
        <v>#N/A Requesting Data...3358529124</v>
        <stp/>
        <stp>BDP|18361572434923068113</stp>
        <tr r="AC820" s="1"/>
        <tr r="AC820" s="1"/>
      </tp>
      <tp t="s">
        <v>#N/A Requesting Data...1922902415</v>
        <stp/>
        <stp>BDP|11919403081857948606</stp>
        <tr r="AB1103" s="1"/>
        <tr r="AB1103" s="1"/>
      </tp>
      <tp t="s">
        <v>#N/A Requesting Data...4123392320</v>
        <stp/>
        <stp>BDP|13619654492908376834</stp>
        <tr r="Y311" s="1"/>
        <tr r="Y311" s="1"/>
      </tp>
      <tp t="s">
        <v>#N/A Requesting Data...3759358506</v>
        <stp/>
        <stp>BDP|17522815656583743548</stp>
        <tr r="Z700" s="1"/>
        <tr r="Z700" s="1"/>
      </tp>
      <tp t="s">
        <v>#N/A Requesting Data...3173047413</v>
        <stp/>
        <stp>BDP|18100722842702781570</stp>
        <tr r="AA1382" s="1"/>
        <tr r="AA1382" s="1"/>
      </tp>
      <tp t="s">
        <v>#N/A Requesting Data...3709849678</v>
        <stp/>
        <stp>BDP|11243048905468537576</stp>
        <tr r="AB1378" s="1"/>
        <tr r="AB1378" s="1"/>
      </tp>
      <tp t="s">
        <v>#N/A Requesting Data...1924823554</v>
        <stp/>
        <stp>BDP|10802564387559959816</stp>
        <tr r="AA145" s="1"/>
        <tr r="AA145" s="1"/>
      </tp>
      <tp t="s">
        <v>#N/A Requesting Data...3520280743</v>
        <stp/>
        <stp>BDP|13833551302043920971</stp>
        <tr r="Y1504" s="1"/>
        <tr r="Y1504" s="1"/>
      </tp>
      <tp t="s">
        <v>#N/A Requesting Data...2067009882</v>
        <stp/>
        <stp>BDP|17905256069678467706</stp>
        <tr r="AB1029" s="1"/>
        <tr r="AB1029" s="1"/>
      </tp>
      <tp t="s">
        <v>#N/A Requesting Data...2009304440</v>
        <stp/>
        <stp>BDP|16201763467712159936</stp>
        <tr r="AB707" s="1"/>
        <tr r="AB707" s="1"/>
      </tp>
      <tp t="s">
        <v>#N/A Requesting Data...3649311123</v>
        <stp/>
        <stp>BDP|14525323791694594629</stp>
        <tr r="AC471" s="1"/>
        <tr r="AC471" s="1"/>
      </tp>
      <tp t="s">
        <v>#N/A Requesting Data...2204383054</v>
        <stp/>
        <stp>BDP|15874190785248739820</stp>
        <tr r="Z1377" s="1"/>
        <tr r="Z1377" s="1"/>
      </tp>
      <tp t="s">
        <v>#N/A Requesting Data...1968122129</v>
        <stp/>
        <stp>BDP|10468809017894568177</stp>
        <tr r="AA1046" s="1"/>
        <tr r="AA1046" s="1"/>
      </tp>
      <tp t="s">
        <v>#N/A Requesting Data...3858737647</v>
        <stp/>
        <stp>BDP|16664782994937339395</stp>
        <tr r="AA1491" s="1"/>
        <tr r="AA1491" s="1"/>
      </tp>
      <tp t="s">
        <v>#N/A Requesting Data...2518340074</v>
        <stp/>
        <stp>BDP|18285776361052158752</stp>
        <tr r="Z486" s="1"/>
        <tr r="Z486" s="1"/>
      </tp>
      <tp t="s">
        <v>#N/A Requesting Data...3476612042</v>
        <stp/>
        <stp>BDP|15143988040621036591</stp>
        <tr r="Z1004" s="1"/>
        <tr r="Z1004" s="1"/>
      </tp>
      <tp t="s">
        <v>#N/A Requesting Data...2997813994</v>
        <stp/>
        <stp>BDP|16069848257780049732</stp>
        <tr r="AA1191" s="1"/>
        <tr r="AA1191" s="1"/>
      </tp>
      <tp t="s">
        <v>#N/A Requesting Data...3990432386</v>
        <stp/>
        <stp>BDP|11183816769552165182</stp>
        <tr r="AA190" s="1"/>
        <tr r="AA190" s="1"/>
      </tp>
      <tp t="s">
        <v>#N/A Requesting Data...2553637317</v>
        <stp/>
        <stp>BDP|11341915870100245309</stp>
        <tr r="AC1316" s="1"/>
        <tr r="AC1316" s="1"/>
      </tp>
      <tp t="s">
        <v>#N/A Requesting Data...3541106822</v>
        <stp/>
        <stp>BDP|17245241555428288415</stp>
        <tr r="AC218" s="1"/>
        <tr r="AC218" s="1"/>
      </tp>
      <tp t="s">
        <v>#N/A Requesting Data...2439425333</v>
        <stp/>
        <stp>BDP|17921661451091660987</stp>
        <tr r="AB1011" s="1"/>
        <tr r="AB1011" s="1"/>
      </tp>
      <tp t="s">
        <v>#N/A Requesting Data...3306407312</v>
        <stp/>
        <stp>BDP|11390361293952667505</stp>
        <tr r="AB1347" s="1"/>
        <tr r="AB1347" s="1"/>
      </tp>
      <tp t="s">
        <v>#N/A Requesting Data...3010872715</v>
        <stp/>
        <stp>BDP|17201066320060634927</stp>
        <tr r="Z1502" s="1"/>
        <tr r="Z1502" s="1"/>
      </tp>
      <tp t="s">
        <v>#N/A Requesting Data...4281349934</v>
        <stp/>
        <stp>BDP|13050986187037670996</stp>
        <tr r="Y1387" s="1"/>
      </tp>
      <tp t="s">
        <v>#N/A Requesting Data...3466499487</v>
        <stp/>
        <stp>BDP|12074411704759522303</stp>
        <tr r="AC109" s="1"/>
        <tr r="AC109" s="1"/>
      </tp>
      <tp t="s">
        <v>#N/A Requesting Data...2007213999</v>
        <stp/>
        <stp>BDP|11215640792496277465</stp>
        <tr r="Y1306" s="1"/>
        <tr r="Y1306" s="1"/>
      </tp>
      <tp t="s">
        <v>#N/A Requesting Data...2193365884</v>
        <stp/>
        <stp>BDP|14344469364189924389</stp>
        <tr r="AA1575" s="1"/>
        <tr r="AA1575" s="1"/>
      </tp>
      <tp t="s">
        <v>#N/A Requesting Data...4279530050</v>
        <stp/>
        <stp>BDP|10453237687024072202</stp>
        <tr r="AB694" s="1"/>
        <tr r="AB694" s="1"/>
      </tp>
      <tp t="s">
        <v>#N/A Requesting Data...2527098802</v>
        <stp/>
        <stp>BDP|14419900309564461597</stp>
        <tr r="AB306" s="1"/>
        <tr r="AB306" s="1"/>
      </tp>
      <tp t="s">
        <v>#N/A Requesting Data...3177881917</v>
        <stp/>
        <stp>BDP|13527075508379365697</stp>
        <tr r="AC1609" s="1"/>
        <tr r="AC1609" s="1"/>
      </tp>
      <tp t="s">
        <v>#N/A Requesting Data...2524040450</v>
        <stp/>
        <stp>BDP|17120712562158404265</stp>
        <tr r="AA948" s="1"/>
        <tr r="AA948" s="1"/>
      </tp>
      <tp t="s">
        <v>#N/A Requesting Data...3341082650</v>
        <stp/>
        <stp>BDP|10190189443758145188</stp>
        <tr r="Z955" s="1"/>
        <tr r="Z955" s="1"/>
      </tp>
      <tp t="s">
        <v>#N/A Requesting Data...2548592736</v>
        <stp/>
        <stp>BDP|13547199535169370490</stp>
        <tr r="Y490" s="1"/>
        <tr r="Y490" s="1"/>
      </tp>
      <tp t="s">
        <v>#N/A Requesting Data...3506941899</v>
        <stp/>
        <stp>BDP|15351153334368534348</stp>
        <tr r="AA265" s="1"/>
        <tr r="AA265" s="1"/>
      </tp>
      <tp t="s">
        <v>#N/A Requesting Data...1902857430</v>
        <stp/>
        <stp>BDP|14680510721049135646</stp>
        <tr r="AA821" s="1"/>
        <tr r="AA821" s="1"/>
      </tp>
      <tp t="s">
        <v>#N/A Requesting Data...2717945210</v>
        <stp/>
        <stp>BDP|11437055291637286315</stp>
        <tr r="AC26" s="1"/>
        <tr r="AC26" s="1"/>
      </tp>
      <tp t="s">
        <v>#N/A Requesting Data...2163637568</v>
        <stp/>
        <stp>BDP|14633544310935923980</stp>
        <tr r="AA454" s="1"/>
        <tr r="AA454" s="1"/>
      </tp>
      <tp t="s">
        <v>#N/A Requesting Data...1973956869</v>
        <stp/>
        <stp>BDP|13338726546714094848</stp>
        <tr r="AC1500" s="1"/>
        <tr r="AC1500" s="1"/>
      </tp>
      <tp t="s">
        <v>#N/A Requesting Data...3271699224</v>
        <stp/>
        <stp>BDP|18023057909105678190</stp>
        <tr r="AC528" s="1"/>
        <tr r="AC528" s="1"/>
      </tp>
      <tp t="s">
        <v>#N/A Requesting Data...3681821320</v>
        <stp/>
        <stp>BDP|17882891291749273318</stp>
        <tr r="AA63" s="1"/>
        <tr r="AA63" s="1"/>
      </tp>
      <tp t="s">
        <v>#N/A Requesting Data...2395983962</v>
        <stp/>
        <stp>BDP|10234522255159074562</stp>
        <tr r="AB812" s="1"/>
        <tr r="AB812" s="1"/>
      </tp>
      <tp t="s">
        <v>#N/A Requesting Data...3456687722</v>
        <stp/>
        <stp>BDP|12709901366607194627</stp>
        <tr r="AB60" s="1"/>
        <tr r="AB60" s="1"/>
      </tp>
      <tp t="s">
        <v>#N/A Requesting Data...2511042010</v>
        <stp/>
        <stp>BDP|13034829517662069473</stp>
        <tr r="Y1336" s="1"/>
        <tr r="Y1336" s="1"/>
      </tp>
      <tp t="s">
        <v>#N/A Requesting Data...3712181048</v>
        <stp/>
        <stp>BDP|11434000986994125111</stp>
        <tr r="AA196" s="1"/>
        <tr r="AA196" s="1"/>
      </tp>
      <tp t="s">
        <v>#N/A Requesting Data...4268816309</v>
        <stp/>
        <stp>BDP|13804949323894906049</stp>
        <tr r="AC1547" s="1"/>
        <tr r="AC1547" s="1"/>
      </tp>
      <tp t="s">
        <v>#N/A Requesting Data...2814112802</v>
        <stp/>
        <stp>BDP|10908919979597648556</stp>
        <tr r="AC42" s="1"/>
        <tr r="AC42" s="1"/>
      </tp>
      <tp t="s">
        <v>#N/A Requesting Data...2664294601</v>
        <stp/>
        <stp>BDP|13525049714036044872</stp>
        <tr r="AB1568" s="1"/>
        <tr r="AB1568" s="1"/>
      </tp>
      <tp t="s">
        <v>#N/A Requesting Data...3104014933</v>
        <stp/>
        <stp>BDP|18288034453658689961</stp>
        <tr r="AC427" s="1"/>
        <tr r="AC427" s="1"/>
      </tp>
      <tp t="s">
        <v>#N/A Requesting Data...1984991934</v>
        <stp/>
        <stp>BDP|12443144324264630900</stp>
        <tr r="AC1296" s="1"/>
        <tr r="AC1296" s="1"/>
      </tp>
      <tp t="s">
        <v>#N/A Requesting Data...2447330557</v>
        <stp/>
        <stp>BDP|14260156672626620814</stp>
        <tr r="Y1037" s="1"/>
        <tr r="Y1037" s="1"/>
      </tp>
      <tp t="s">
        <v>#N/A Requesting Data...2955956634</v>
        <stp/>
        <stp>BDP|14805292922229459152</stp>
        <tr r="Z148" s="1"/>
        <tr r="Z148" s="1"/>
      </tp>
      <tp t="s">
        <v>#N/A Requesting Data...2805680156</v>
        <stp/>
        <stp>BDP|14506740716997184945</stp>
        <tr r="Z622" s="1"/>
        <tr r="Z622" s="1"/>
      </tp>
      <tp t="s">
        <v>#N/A Requesting Data...3354814192</v>
        <stp/>
        <stp>BDP|13820114288540377600</stp>
        <tr r="Y203" s="1"/>
        <tr r="Y203" s="1"/>
      </tp>
      <tp t="s">
        <v>#N/A Requesting Data...2109210790</v>
        <stp/>
        <stp>BDP|13997887263031335039</stp>
        <tr r="AB602" s="1"/>
      </tp>
      <tp>
        <v>5.5E-2</v>
        <stp/>
        <stp>BDP|3289311103070035849|22</stp>
        <stp>XLY CN Equity</stp>
        <stp>LAST_PRICE</stp>
        <tr r="AD202" s="1"/>
        <tr r="AD202" s="1"/>
      </tp>
      <tp t="s">
        <v>#N/A Requesting Data...3001945044</v>
        <stp/>
        <stp>BDP|10340236773561189875</stp>
        <tr r="AC1357" s="1"/>
        <tr r="AC1357" s="1"/>
      </tp>
      <tp t="s">
        <v>#N/A Requesting Data...3997484847</v>
        <stp/>
        <stp>BDP|15514853314706452658</stp>
        <tr r="AA75" s="1"/>
        <tr r="AA75" s="1"/>
      </tp>
      <tp t="s">
        <v>#N/A Requesting Data...3567603371</v>
        <stp/>
        <stp>BDP|10464769598561943366</stp>
        <tr r="AB480" s="1"/>
        <tr r="AB480" s="1"/>
      </tp>
      <tp t="s">
        <v>#N/A Requesting Data...3167777423</v>
        <stp/>
        <stp>BDP|11163468208009828023</stp>
        <tr r="Y992" s="1"/>
        <tr r="Y992" s="1"/>
      </tp>
      <tp t="s">
        <v>#N/A Requesting Data...3390272842</v>
        <stp/>
        <stp>BDP|11019666622979490058</stp>
        <tr r="AC61" s="1"/>
        <tr r="AC61" s="1"/>
      </tp>
      <tp t="s">
        <v>#N/A Requesting Data...3219069873</v>
        <stp/>
        <stp>BDP|16396725693552340642</stp>
        <tr r="AC43" s="1"/>
        <tr r="AC43" s="1"/>
      </tp>
      <tp t="s">
        <v>#N/A Requesting Data...3901913820</v>
        <stp/>
        <stp>BDP|13611349783202632626</stp>
        <tr r="Z997" s="1"/>
        <tr r="Z997" s="1"/>
      </tp>
      <tp t="s">
        <v>#N/A Requesting Data...3398693894</v>
        <stp/>
        <stp>BDP|15438071318249643186</stp>
        <tr r="AB567" s="1"/>
        <tr r="AB567" s="1"/>
      </tp>
      <tp t="s">
        <v>#N/A Requesting Data...2883759736</v>
        <stp/>
        <stp>BDP|17473065086472140100</stp>
        <tr r="Z192" s="1"/>
        <tr r="Z192" s="1"/>
      </tp>
      <tp t="s">
        <v>#N/A Requesting Data...3478852174</v>
        <stp/>
        <stp>BDP|16524096887347838566</stp>
        <tr r="AC274" s="1"/>
        <tr r="AC274" s="1"/>
      </tp>
      <tp t="s">
        <v>#N/A Requesting Data...3772022996</v>
        <stp/>
        <stp>BDP|10617241634299245416</stp>
        <tr r="AC617" s="1"/>
        <tr r="AC617" s="1"/>
      </tp>
      <tp t="s">
        <v>#N/A Requesting Data...2734596787</v>
        <stp/>
        <stp>BDP|16331161595183427111</stp>
        <tr r="AC1344" s="1"/>
        <tr r="AC1344" s="1"/>
      </tp>
      <tp t="s">
        <v>#N/A Requesting Data...4052039400</v>
        <stp/>
        <stp>BDP|13441530083055066715</stp>
        <tr r="AC417" s="1"/>
        <tr r="AC417" s="1"/>
      </tp>
      <tp t="s">
        <v>#N/A Requesting Data...2551153038</v>
        <stp/>
        <stp>BDP|17052827861626315353</stp>
        <tr r="AB251" s="1"/>
        <tr r="AB251" s="1"/>
      </tp>
      <tp t="s">
        <v>#N/A Requesting Data...2859987747</v>
        <stp/>
        <stp>BDP|12898717161729492696</stp>
        <tr r="AC1289" s="1"/>
        <tr r="AC1289" s="1"/>
      </tp>
      <tp t="s">
        <v>#N/A Requesting Data...3220027796</v>
        <stp/>
        <stp>BDP|17387343624649589331</stp>
        <tr r="AB1127" s="1"/>
        <tr r="AB1127" s="1"/>
      </tp>
      <tp t="s">
        <v>#N/A Requesting Data...2207404760</v>
        <stp/>
        <stp>BDP|13845828978077107775</stp>
        <tr r="AC285" s="1"/>
        <tr r="AC285" s="1"/>
      </tp>
      <tp t="s">
        <v>#N/A Requesting Data...4096951192</v>
        <stp/>
        <stp>BDP|14946961268873477472</stp>
        <tr r="AA1102" s="1"/>
        <tr r="AA1102" s="1"/>
      </tp>
      <tp t="s">
        <v>#N/A Requesting Data...4123625972</v>
        <stp/>
        <stp>BDP|15288225597233311100</stp>
        <tr r="AB1602" s="1"/>
        <tr r="AB1602" s="1"/>
      </tp>
      <tp t="s">
        <v>#N/A Requesting Data...2046081599</v>
        <stp/>
        <stp>BDP|11249416389962904375</stp>
        <tr r="Z850" s="1"/>
        <tr r="Z850" s="1"/>
      </tp>
      <tp t="s">
        <v>#N/A Requesting Data...2344866122</v>
        <stp/>
        <stp>BDP|10460298033348817521</stp>
        <tr r="Z1344" s="1"/>
        <tr r="Z1344" s="1"/>
      </tp>
      <tp t="s">
        <v>#N/A Requesting Data...4281354823</v>
        <stp/>
        <stp>BDP|12214966318393082580</stp>
        <tr r="AA9" s="1"/>
        <tr r="AA9" s="1"/>
      </tp>
      <tp t="s">
        <v>#N/A Requesting Data...3200363612</v>
        <stp/>
        <stp>BDP|13283178095460312776</stp>
        <tr r="AA498" s="1"/>
        <tr r="AA498" s="1"/>
      </tp>
      <tp t="s">
        <v>#N/A Requesting Data...4105417316</v>
        <stp/>
        <stp>BDP|10350422195626558756</stp>
        <tr r="AC895" s="1"/>
        <tr r="AC895" s="1"/>
      </tp>
      <tp t="s">
        <v>#N/A Requesting Data...3978404659</v>
        <stp/>
        <stp>BDP|15823582945749968180</stp>
        <tr r="AC887" s="1"/>
        <tr r="AC887" s="1"/>
      </tp>
      <tp t="s">
        <v>#N/A Requesting Data...2148395250</v>
        <stp/>
        <stp>BDP|10120404125312530851</stp>
        <tr r="AB683" s="1"/>
        <tr r="AB683" s="1"/>
      </tp>
      <tp t="s">
        <v>#N/A Requesting Data...2200122364</v>
        <stp/>
        <stp>BDP|12652561516809224308</stp>
        <tr r="AB521" s="1"/>
        <tr r="AB521" s="1"/>
      </tp>
      <tp t="s">
        <v>#N/A Requesting Data...3062008590</v>
        <stp/>
        <stp>BDP|17614494940529321287</stp>
        <tr r="AB536" s="1"/>
        <tr r="AB536" s="1"/>
      </tp>
      <tp t="s">
        <v>#N/A Requesting Data...2217240771</v>
        <stp/>
        <stp>BDP|18171049751852150316</stp>
        <tr r="Z404" s="1"/>
        <tr r="Z404" s="1"/>
      </tp>
      <tp t="s">
        <v>#N/A Requesting Data...3011890479</v>
        <stp/>
        <stp>BDP|13063832877681126114</stp>
        <tr r="AC523" s="1"/>
        <tr r="AC523" s="1"/>
      </tp>
      <tp t="s">
        <v>#N/A Requesting Data...3916092937</v>
        <stp/>
        <stp>BDP|15908284450689314767</stp>
        <tr r="AB261" s="1"/>
        <tr r="AB261" s="1"/>
      </tp>
      <tp t="s">
        <v>#N/A Requesting Data...3307272641</v>
        <stp/>
        <stp>BDP|11684801203167267204</stp>
        <tr r="AA1040" s="1"/>
        <tr r="AA1040" s="1"/>
      </tp>
      <tp t="s">
        <v>#N/A Requesting Data...4125449160</v>
        <stp/>
        <stp>BDP|16574501094786315059</stp>
        <tr r="AA351" s="1"/>
        <tr r="AA351" s="1"/>
      </tp>
      <tp t="s">
        <v>#N/A Requesting Data...2109439492</v>
        <stp/>
        <stp>BDP|11993610200638614397</stp>
        <tr r="AA999" s="1"/>
        <tr r="AA999" s="1"/>
      </tp>
      <tp t="s">
        <v>#N/A Requesting Data...3460381074</v>
        <stp/>
        <stp>BDP|12709269782662737630</stp>
        <tr r="Y1446" s="1"/>
        <tr r="Y1446" s="1"/>
      </tp>
      <tp t="s">
        <v>#N/A Requesting Data...3495374966</v>
        <stp/>
        <stp>BDP|12446178799434883253</stp>
        <tr r="Y1078" s="1"/>
        <tr r="Y1078" s="1"/>
      </tp>
      <tp t="s">
        <v>#N/A Requesting Data...3788995288</v>
        <stp/>
        <stp>BDP|12722547184064555752</stp>
        <tr r="AA1456" s="1"/>
        <tr r="AA1456" s="1"/>
      </tp>
      <tp t="s">
        <v>#N/A Requesting Data...3330318515</v>
        <stp/>
        <stp>BDP|17077225589204532591</stp>
        <tr r="Y545" s="1"/>
        <tr r="Y545" s="1"/>
      </tp>
      <tp t="s">
        <v>#N/A Requesting Data...3741135392</v>
        <stp/>
        <stp>BDP|13391627116708206028</stp>
        <tr r="AA227" s="1"/>
        <tr r="AA227" s="1"/>
      </tp>
      <tp t="s">
        <v>#N/A Requesting Data...3238055828</v>
        <stp/>
        <stp>BDP|17754389938159158219</stp>
        <tr r="AC980" s="1"/>
        <tr r="AC980" s="1"/>
      </tp>
      <tp t="s">
        <v>#N/A Requesting Data...3305683928</v>
        <stp/>
        <stp>BDP|16926211786092138280</stp>
        <tr r="AC1147" s="1"/>
        <tr r="AC1147" s="1"/>
      </tp>
      <tp t="s">
        <v>#N/A Requesting Data...4060376344</v>
        <stp/>
        <stp>BDP|14215400469678530293</stp>
        <tr r="Y1071" s="1"/>
        <tr r="Y1071" s="1"/>
      </tp>
      <tp t="s">
        <v>#N/A Requesting Data...2762823478</v>
        <stp/>
        <stp>BDP|12034825264190817090</stp>
        <tr r="AC1341" s="1"/>
        <tr r="AC1341" s="1"/>
      </tp>
      <tp t="s">
        <v>#N/A Requesting Data...4099459568</v>
        <stp/>
        <stp>BDP|15705267496216385439</stp>
        <tr r="Z220" s="1"/>
        <tr r="Z220" s="1"/>
      </tp>
      <tp t="s">
        <v>#N/A Requesting Data...2154146244</v>
        <stp/>
        <stp>BDP|15387144597701203041</stp>
        <tr r="Y1087" s="1"/>
        <tr r="Y1087" s="1"/>
      </tp>
      <tp t="s">
        <v>#N/A Requesting Data...3964799814</v>
        <stp/>
        <stp>BDP|18253207716557495067</stp>
        <tr r="Z86" s="1"/>
        <tr r="Z86" s="1"/>
      </tp>
      <tp t="s">
        <v>#N/A Requesting Data...2295939911</v>
        <stp/>
        <stp>BDP|14767416780707576358</stp>
        <tr r="AC129" s="1"/>
      </tp>
      <tp t="s">
        <v>#N/A Requesting Data...3866347466</v>
        <stp/>
        <stp>BDP|11081969301827121304</stp>
        <tr r="AB1186" s="1"/>
        <tr r="AB1186" s="1"/>
      </tp>
      <tp t="s">
        <v>#N/A Requesting Data...3428771402</v>
        <stp/>
        <stp>BDP|13596030646692666905</stp>
        <tr r="AC1103" s="1"/>
        <tr r="AC1103" s="1"/>
      </tp>
      <tp t="s">
        <v>#N/A Requesting Data...3411029939</v>
        <stp/>
        <stp>BDP|17061257594222758205</stp>
        <tr r="AA825" s="1"/>
        <tr r="AA825" s="1"/>
      </tp>
      <tp t="s">
        <v>#N/A Requesting Data...2250988422</v>
        <stp/>
        <stp>BDP|10455800303346420255</stp>
        <tr r="Y1547" s="1"/>
        <tr r="Y1547" s="1"/>
      </tp>
      <tp t="s">
        <v>#N/A Requesting Data...2788028493</v>
        <stp/>
        <stp>BDP|16211657202098027434</stp>
        <tr r="AA8" s="1"/>
        <tr r="AA8" s="1"/>
      </tp>
      <tp t="s">
        <v>#N/A Requesting Data...2449414048</v>
        <stp/>
        <stp>BDP|10937256839755416873</stp>
        <tr r="AA1427" s="1"/>
        <tr r="AA1427" s="1"/>
      </tp>
      <tp t="s">
        <v>#N/A Requesting Data...3347136871</v>
        <stp/>
        <stp>BDP|15658100123022462874</stp>
        <tr r="AC956" s="1"/>
        <tr r="AC956" s="1"/>
      </tp>
      <tp t="s">
        <v>#N/A Requesting Data...3546060217</v>
        <stp/>
        <stp>BDP|12672086398323833487</stp>
        <tr r="AB213" s="1"/>
        <tr r="AB213" s="1"/>
      </tp>
      <tp t="s">
        <v>#N/A Requesting Data...4129632258</v>
        <stp/>
        <stp>BDP|10589772870705092941</stp>
        <tr r="AA817" s="1"/>
      </tp>
      <tp t="s">
        <v>#N/A Requesting Data...2587856300</v>
        <stp/>
        <stp>BDP|10795198569349656272</stp>
        <tr r="Y709" s="1"/>
        <tr r="Y709" s="1"/>
      </tp>
      <tp t="s">
        <v>#N/A Requesting Data...3170694448</v>
        <stp/>
        <stp>BDP|13340937860493469325</stp>
        <tr r="AC295" s="1"/>
        <tr r="AC295" s="1"/>
      </tp>
      <tp>
        <v>0.21</v>
        <stp/>
        <stp>BDP|300021332233968617|22</stp>
        <stp>ETST US Equity</stp>
        <stp>LAST_PRICE</stp>
        <tr r="AD525" s="1"/>
        <tr r="AD525" s="1"/>
      </tp>
      <tp t="s">
        <v>#N/A Requesting Data...3908297786</v>
        <stp/>
        <stp>BDP|15489583660268225373</stp>
        <tr r="AB358" s="1"/>
        <tr r="AB358" s="1"/>
      </tp>
      <tp t="s">
        <v>#N/A Requesting Data...2031298475</v>
        <stp/>
        <stp>BDP|12853373624208142638</stp>
        <tr r="Y811" s="1"/>
        <tr r="Y811" s="1"/>
      </tp>
      <tp t="s">
        <v>#N/A Requesting Data...2796337139</v>
        <stp/>
        <stp>BDP|11985875486165064912</stp>
        <tr r="Y1428" s="1"/>
        <tr r="Y1428" s="1"/>
      </tp>
      <tp t="s">
        <v>#N/A Requesting Data...2787264290</v>
        <stp/>
        <stp>BDP|11247479620139457384</stp>
        <tr r="AA1090" s="1"/>
        <tr r="AA1090" s="1"/>
      </tp>
      <tp t="s">
        <v>#N/A Requesting Data...1965932912</v>
        <stp/>
        <stp>BDP|11916046361658509202</stp>
        <tr r="AB1050" s="1"/>
        <tr r="AB1050" s="1"/>
      </tp>
      <tp t="s">
        <v>#N/A Requesting Data...2703343272</v>
        <stp/>
        <stp>BDP|11286895410250465569</stp>
        <tr r="AA462" s="1"/>
        <tr r="AA462" s="1"/>
      </tp>
      <tp t="s">
        <v>#N/A Requesting Data...3440125600</v>
        <stp/>
        <stp>BDP|15890874817900632173</stp>
        <tr r="Z895" s="1"/>
        <tr r="Z895" s="1"/>
      </tp>
      <tp t="s">
        <v>#N/A Requesting Data...3912930138</v>
        <stp/>
        <stp>BDP|11140328724225614897</stp>
        <tr r="Y944" s="1"/>
        <tr r="Y944" s="1"/>
      </tp>
      <tp t="s">
        <v>#N/A Requesting Data...2063129692</v>
        <stp/>
        <stp>BDP|13802514700159091214</stp>
        <tr r="Z1570" s="1"/>
        <tr r="Z1570" s="1"/>
      </tp>
      <tp t="s">
        <v>#N/A Requesting Data...3462849033</v>
        <stp/>
        <stp>BDP|14525383553419650608</stp>
        <tr r="AB563" s="1"/>
        <tr r="AB563" s="1"/>
      </tp>
      <tp t="s">
        <v>#N/A Requesting Data...2731946347</v>
        <stp/>
        <stp>BDP|17281312328782659950</stp>
        <tr r="AA1168" s="1"/>
        <tr r="AA1168" s="1"/>
      </tp>
      <tp t="s">
        <v>#N/A Requesting Data...3929634779</v>
        <stp/>
        <stp>BDP|14084654226108951529</stp>
        <tr r="Y610" s="1"/>
        <tr r="Y610" s="1"/>
      </tp>
      <tp t="s">
        <v>#N/A Requesting Data...4199171794</v>
        <stp/>
        <stp>BDP|16052165069084311841</stp>
        <tr r="AC686" s="1"/>
        <tr r="AC686" s="1"/>
      </tp>
      <tp t="s">
        <v>#N/A Requesting Data...2107738064</v>
        <stp/>
        <stp>BDP|10993621655849607700</stp>
        <tr r="Z15" s="1"/>
        <tr r="Z15" s="1"/>
      </tp>
      <tp t="s">
        <v>#N/A Requesting Data...4088316827</v>
        <stp/>
        <stp>BDP|11753418375098912728</stp>
        <tr r="AB1595" s="1"/>
        <tr r="AB1595" s="1"/>
      </tp>
      <tp t="s">
        <v>#N/A Requesting Data...3503730696</v>
        <stp/>
        <stp>BDP|17929557596097485157</stp>
        <tr r="Y1276" s="1"/>
        <tr r="Y1276" s="1"/>
      </tp>
      <tp t="s">
        <v>#N/A Requesting Data...2234419811</v>
        <stp/>
        <stp>BDP|17159858113072957157</stp>
        <tr r="AB1223" s="1"/>
        <tr r="AB1223" s="1"/>
      </tp>
      <tp t="s">
        <v>#N/A Requesting Data...3717952432</v>
        <stp/>
        <stp>BDP|17559801754991959636</stp>
        <tr r="AC331" s="1"/>
        <tr r="AC331" s="1"/>
      </tp>
      <tp t="s">
        <v>#N/A Requesting Data...2440742249</v>
        <stp/>
        <stp>BDP|15258508348989583042</stp>
        <tr r="Z1349" s="1"/>
        <tr r="Z1349" s="1"/>
      </tp>
      <tp t="s">
        <v>#N/A Requesting Data...3037040530</v>
        <stp/>
        <stp>BDP|11521882542973627326</stp>
        <tr r="Z1540" s="1"/>
        <tr r="Z1540" s="1"/>
      </tp>
      <tp t="s">
        <v>#N/A Requesting Data...4235295436</v>
        <stp/>
        <stp>BDP|12326864145042393182</stp>
        <tr r="AB1450" s="1"/>
        <tr r="AB1450" s="1"/>
      </tp>
      <tp t="s">
        <v>#N/A Requesting Data...3628793570</v>
        <stp/>
        <stp>BDP|16140197369549330599</stp>
        <tr r="Y1586" s="1"/>
        <tr r="Y1586" s="1"/>
      </tp>
      <tp t="s">
        <v>#N/A Requesting Data...3549230834</v>
        <stp/>
        <stp>BDP|16917885438736647645</stp>
        <tr r="Z424" s="1"/>
        <tr r="Z424" s="1"/>
      </tp>
      <tp t="s">
        <v>#N/A Requesting Data...3606421867</v>
        <stp/>
        <stp>BDP|12453656301600839937</stp>
        <tr r="AA1135" s="1"/>
        <tr r="AA1135" s="1"/>
      </tp>
      <tp t="s">
        <v>#N/A Requesting Data...3356895182</v>
        <stp/>
        <stp>BDP|17834730022446725951</stp>
        <tr r="Y1009" s="1"/>
        <tr r="Y1009" s="1"/>
      </tp>
      <tp t="s">
        <v>#N/A Requesting Data...4060527633</v>
        <stp/>
        <stp>BDP|13652887086767655954</stp>
        <tr r="AA1601" s="1"/>
        <tr r="AA1601" s="1"/>
      </tp>
      <tp t="s">
        <v>#N/A Requesting Data...3067322984</v>
        <stp/>
        <stp>BDP|15173878452910944566</stp>
        <tr r="Y890" s="1"/>
        <tr r="Y890" s="1"/>
      </tp>
      <tp t="s">
        <v>#N/A Requesting Data...3918815543</v>
        <stp/>
        <stp>BDP|16318504818207586844</stp>
        <tr r="AA850" s="1"/>
        <tr r="AA850" s="1"/>
      </tp>
      <tp t="s">
        <v>#N/A Requesting Data...3455572076</v>
        <stp/>
        <stp>BDP|10096147727039937707</stp>
        <tr r="AC1160" s="1"/>
        <tr r="AC1160" s="1"/>
      </tp>
      <tp t="s">
        <v>#N/A Requesting Data...3560580759</v>
        <stp/>
        <stp>BDP|15685063930018829323</stp>
        <tr r="AA785" s="1"/>
        <tr r="AA785" s="1"/>
      </tp>
      <tp t="s">
        <v>#N/A Requesting Data...2701465148</v>
        <stp/>
        <stp>BDP|15798258408333399932</stp>
        <tr r="AC911" s="1"/>
      </tp>
      <tp t="s">
        <v>#N/A Requesting Data...3387301474</v>
        <stp/>
        <stp>BDP|15895707113616996883</stp>
        <tr r="AB571" s="1"/>
        <tr r="AB571" s="1"/>
      </tp>
      <tp t="s">
        <v>#N/A Requesting Data...4135715034</v>
        <stp/>
        <stp>BDP|14920712862528918095</stp>
        <tr r="Z72" s="1"/>
        <tr r="Z72" s="1"/>
      </tp>
      <tp t="s">
        <v>#N/A Requesting Data...3311627171</v>
        <stp/>
        <stp>BDP|13951913704426634107</stp>
        <tr r="Z1179" s="1"/>
        <tr r="Z1179" s="1"/>
      </tp>
      <tp t="s">
        <v>#N/A Requesting Data...3227758466</v>
        <stp/>
        <stp>BDP|12644238582912961746</stp>
        <tr r="AB1130" s="1"/>
        <tr r="AB1130" s="1"/>
      </tp>
      <tp t="s">
        <v>#N/A Requesting Data...2064085715</v>
        <stp/>
        <stp>BDP|14290927081861858937</stp>
        <tr r="AA986" s="1"/>
        <tr r="AA986" s="1"/>
      </tp>
      <tp t="s">
        <v>#N/A Requesting Data...3598444490</v>
        <stp/>
        <stp>BDP|10677947319842648778</stp>
        <tr r="AB386" s="1"/>
        <tr r="AB386" s="1"/>
      </tp>
      <tp t="s">
        <v>#N/A Requesting Data...2544682578</v>
        <stp/>
        <stp>BDP|17197717891053855741</stp>
        <tr r="AB696" s="1"/>
        <tr r="AB696" s="1"/>
      </tp>
      <tp t="s">
        <v>#N/A Requesting Data...2253883472</v>
        <stp/>
        <stp>BDP|18398998570679084277</stp>
        <tr r="AA436" s="1"/>
        <tr r="AA436" s="1"/>
      </tp>
      <tp t="s">
        <v>#N/A Requesting Data...2339110275</v>
        <stp/>
        <stp>BDP|14350149449364520865</stp>
        <tr r="AB448" s="1"/>
        <tr r="AB448" s="1"/>
      </tp>
      <tp t="s">
        <v>#N/A Requesting Data...2748613187</v>
        <stp/>
        <stp>BDP|12940312863772360858</stp>
        <tr r="AA1003" s="1"/>
        <tr r="AA1003" s="1"/>
      </tp>
      <tp t="s">
        <v>#N/A Requesting Data...3177994710</v>
        <stp/>
        <stp>BDP|17217294434252001928</stp>
        <tr r="AA754" s="1"/>
        <tr r="AA754" s="1"/>
      </tp>
      <tp t="s">
        <v>#N/A Requesting Data...2993660602</v>
        <stp/>
        <stp>BDP|10380634923129672084</stp>
        <tr r="Z1086" s="1"/>
        <tr r="Z1086" s="1"/>
      </tp>
      <tp t="s">
        <v>#N/A Requesting Data...3521196474</v>
        <stp/>
        <stp>BDP|14700106879006733946</stp>
        <tr r="AA590" s="1"/>
        <tr r="AA590" s="1"/>
      </tp>
      <tp t="s">
        <v>#N/A Requesting Data...2621127090</v>
        <stp/>
        <stp>BDP|10516993648057943705</stp>
        <tr r="Z546" s="1"/>
        <tr r="Z546" s="1"/>
      </tp>
      <tp t="s">
        <v>#N/A Requesting Data...3212605778</v>
        <stp/>
        <stp>BDP|12610450549389048674</stp>
        <tr r="AA68" s="1"/>
        <tr r="AA68" s="1"/>
      </tp>
      <tp t="s">
        <v>#N/A Requesting Data...4222114993</v>
        <stp/>
        <stp>BDP|16812440265001753833</stp>
        <tr r="Y348" s="1"/>
        <tr r="Y348" s="1"/>
      </tp>
      <tp t="s">
        <v>#N/A Requesting Data...2653657570</v>
        <stp/>
        <stp>BDP|17059851101105926701</stp>
        <tr r="Y816" s="1"/>
        <tr r="Y816" s="1"/>
      </tp>
      <tp t="s">
        <v>#N/A Requesting Data...2230768854</v>
        <stp/>
        <stp>BDP|13266330373633802976</stp>
        <tr r="AA370" s="1"/>
        <tr r="AA370" s="1"/>
      </tp>
      <tp t="s">
        <v>#N/A Requesting Data...3951002412</v>
        <stp/>
        <stp>BDP|12667884086698128743</stp>
        <tr r="AB1190" s="1"/>
        <tr r="AB1190" s="1"/>
      </tp>
      <tp t="s">
        <v>#N/A Requesting Data...2607012389</v>
        <stp/>
        <stp>BDP|10094741122850212894</stp>
        <tr r="Z703" s="1"/>
        <tr r="Z703" s="1"/>
      </tp>
      <tp t="s">
        <v>#N/A Requesting Data...3176592954</v>
        <stp/>
        <stp>BDP|13996832134644019127</stp>
        <tr r="Z1257" s="1"/>
        <tr r="Z1257" s="1"/>
      </tp>
      <tp t="s">
        <v>#N/A Requesting Data...2432985548</v>
        <stp/>
        <stp>BDP|18225589364470361613</stp>
        <tr r="Y219" s="1"/>
        <tr r="Y219" s="1"/>
      </tp>
      <tp t="s">
        <v>#N/A Requesting Data...3036305340</v>
        <stp/>
        <stp>BDP|16772165905529892300</stp>
        <tr r="AA622" s="1"/>
        <tr r="AA622" s="1"/>
      </tp>
      <tp t="s">
        <v>#N/A Requesting Data...2170482941</v>
        <stp/>
        <stp>BDP|13341623228903306960</stp>
        <tr r="Y737" s="1"/>
        <tr r="Y737" s="1"/>
      </tp>
      <tp t="s">
        <v>#N/A Requesting Data...3371491493</v>
        <stp/>
        <stp>BDP|15896814745742761672</stp>
        <tr r="Z1198" s="1"/>
        <tr r="Z1198" s="1"/>
      </tp>
      <tp t="s">
        <v>#N/A Requesting Data...2087182872</v>
        <stp/>
        <stp>BDP|15106882346143369708</stp>
        <tr r="Y14" s="1"/>
        <tr r="Y14" s="1"/>
      </tp>
      <tp t="s">
        <v>#N/A Requesting Data...3427270268</v>
        <stp/>
        <stp>BDP|16700881402914085713</stp>
        <tr r="AC797" s="1"/>
        <tr r="AC797" s="1"/>
      </tp>
      <tp t="s">
        <v>#N/A Requesting Data...3713835041</v>
        <stp/>
        <stp>BDP|17971519335575813998</stp>
        <tr r="Y313" s="1"/>
        <tr r="Y313" s="1"/>
      </tp>
      <tp t="s">
        <v>#N/A Requesting Data...2086045335</v>
        <stp/>
        <stp>BDP|12929888859377766538</stp>
        <tr r="Z802" s="1"/>
        <tr r="Z802" s="1"/>
      </tp>
      <tp t="s">
        <v>#N/A Requesting Data...4152118467</v>
        <stp/>
        <stp>BDP|11840352328614869910</stp>
        <tr r="AC1386" s="1"/>
        <tr r="AC1386" s="1"/>
      </tp>
      <tp t="s">
        <v>#N/A Requesting Data...3492905818</v>
        <stp/>
        <stp>BDP|15254511390824684092</stp>
        <tr r="Y1160" s="1"/>
        <tr r="Y1160" s="1"/>
      </tp>
      <tp t="s">
        <v>#N/A Requesting Data...2268328928</v>
        <stp/>
        <stp>BDP|18150802811824830877</stp>
        <tr r="Z1016" s="1"/>
        <tr r="Z1016" s="1"/>
      </tp>
      <tp t="s">
        <v>#N/A Requesting Data...3583236405</v>
        <stp/>
        <stp>BDP|13096043631215264884</stp>
        <tr r="Y190" s="1"/>
        <tr r="Y190" s="1"/>
      </tp>
      <tp t="s">
        <v>#N/A Requesting Data...2375621999</v>
        <stp/>
        <stp>BDP|16545451376801918905</stp>
        <tr r="AA1426" s="1"/>
        <tr r="AA1426" s="1"/>
      </tp>
      <tp t="s">
        <v>#N/A Requesting Data...2534713533</v>
        <stp/>
        <stp>BDP|18179695480032024979</stp>
        <tr r="AA37" s="1"/>
        <tr r="AA37" s="1"/>
      </tp>
      <tp t="s">
        <v>#N/A Requesting Data...2728027902</v>
        <stp/>
        <stp>BDP|11550097225049747718</stp>
        <tr r="AA941" s="1"/>
        <tr r="AA941" s="1"/>
      </tp>
      <tp t="s">
        <v>#N/A Requesting Data...3061115721</v>
        <stp/>
        <stp>BDP|15978859841416009227</stp>
        <tr r="AC217" s="1"/>
        <tr r="AC217" s="1"/>
      </tp>
      <tp t="s">
        <v>#N/A Requesting Data...3417701347</v>
        <stp/>
        <stp>BDP|11683979725067884034</stp>
        <tr r="AC259" s="1"/>
        <tr r="AC259" s="1"/>
      </tp>
      <tp t="s">
        <v>#N/A Requesting Data...2869277319</v>
        <stp/>
        <stp>BDP|17070974110362922011</stp>
        <tr r="Y780" s="1"/>
        <tr r="Y780" s="1"/>
      </tp>
      <tp t="s">
        <v>#N/A Requesting Data...4157369145</v>
        <stp/>
        <stp>BDP|17736210619319827081</stp>
        <tr r="AB1258" s="1"/>
        <tr r="AB1258" s="1"/>
      </tp>
      <tp t="s">
        <v>#N/A Requesting Data...2770292997</v>
        <stp/>
        <stp>BDP|12106841678487613745</stp>
        <tr r="AB475" s="1"/>
        <tr r="AB475" s="1"/>
      </tp>
      <tp t="s">
        <v>#N/A Requesting Data...3751632159</v>
        <stp/>
        <stp>BDP|15545012194754695599</stp>
        <tr r="AB1056" s="1"/>
        <tr r="AB1056" s="1"/>
      </tp>
      <tp t="s">
        <v>#N/A Requesting Data...3918969952</v>
        <stp/>
        <stp>BDP|15888449070882769949</stp>
        <tr r="Z409" s="1"/>
        <tr r="Z409" s="1"/>
      </tp>
      <tp t="s">
        <v>#N/A Requesting Data...2276999290</v>
        <stp/>
        <stp>BDP|16937107695375070636</stp>
        <tr r="Z257" s="1"/>
        <tr r="Z257" s="1"/>
      </tp>
      <tp t="s">
        <v>#N/A Requesting Data...2577221942</v>
        <stp/>
        <stp>BDP|14910830464830254739</stp>
        <tr r="AB221" s="1"/>
        <tr r="AB221" s="1"/>
      </tp>
      <tp t="s">
        <v>#N/A Requesting Data...3793187311</v>
        <stp/>
        <stp>BDP|12141381241179287158</stp>
        <tr r="AC290" s="1"/>
        <tr r="AC290" s="1"/>
      </tp>
      <tp t="s">
        <v>#N/A Requesting Data...3899922791</v>
        <stp/>
        <stp>BDP|17638639089026549275</stp>
        <tr r="AC689" s="1"/>
        <tr r="AC689" s="1"/>
      </tp>
      <tp t="s">
        <v>#N/A Requesting Data...2360086256</v>
        <stp/>
        <stp>BDP|18322600079337739338</stp>
        <tr r="Z1564" s="1"/>
        <tr r="Z1564" s="1"/>
      </tp>
      <tp t="s">
        <v>#N/A Requesting Data...2681544925</v>
        <stp/>
        <stp>BDP|16153011048717504839</stp>
        <tr r="Z672" s="1"/>
        <tr r="Z672" s="1"/>
      </tp>
      <tp t="s">
        <v>#N/A Requesting Data...4136610705</v>
        <stp/>
        <stp>BDP|14897693025229366497</stp>
        <tr r="Y903" s="1"/>
        <tr r="Y903" s="1"/>
      </tp>
      <tp t="s">
        <v>#N/A Requesting Data...2423216929</v>
        <stp/>
        <stp>BDP|10925150492222141719</stp>
        <tr r="AA1255" s="1"/>
        <tr r="AA1255" s="1"/>
      </tp>
      <tp t="s">
        <v>#N/A Requesting Data...2342678475</v>
        <stp/>
        <stp>BDP|10926871612720307418</stp>
        <tr r="AA250" s="1"/>
        <tr r="AA250" s="1"/>
      </tp>
      <tp t="s">
        <v>#N/A Requesting Data...2166888800</v>
        <stp/>
        <stp>BDP|13507896004411399758</stp>
        <tr r="Z1316" s="1"/>
        <tr r="Z1316" s="1"/>
      </tp>
      <tp t="s">
        <v>#N/A Requesting Data...4195966380</v>
        <stp/>
        <stp>BDP|15311347718042232837</stp>
        <tr r="Y259" s="1"/>
        <tr r="Y259" s="1"/>
      </tp>
      <tp t="s">
        <v>#N/A Requesting Data...2374308376</v>
        <stp/>
        <stp>BDP|13714911762067327690</stp>
        <tr r="AB945" s="1"/>
        <tr r="AB945" s="1"/>
      </tp>
      <tp t="s">
        <v>#N/A Requesting Data...2292947909</v>
        <stp/>
        <stp>BDP|13112840668448349801</stp>
        <tr r="Y312" s="1"/>
        <tr r="Y312" s="1"/>
      </tp>
      <tp t="s">
        <v>#N/A Requesting Data...2818295605</v>
        <stp/>
        <stp>BDP|12828245620607764857</stp>
        <tr r="Y924" s="1"/>
        <tr r="Y924" s="1"/>
      </tp>
      <tp t="s">
        <v>#N/A Requesting Data...2613230870</v>
        <stp/>
        <stp>BDP|18041195054747372606</stp>
        <tr r="AB857" s="1"/>
        <tr r="AB857" s="1"/>
      </tp>
      <tp t="s">
        <v>#N/A Requesting Data...2222537512</v>
        <stp/>
        <stp>BDP|10164727590736865555</stp>
        <tr r="AA554" s="1"/>
        <tr r="AA554" s="1"/>
      </tp>
      <tp t="s">
        <v>#N/A Requesting Data...2936611619</v>
        <stp/>
        <stp>BDP|10928109589042573647</stp>
        <tr r="AC781" s="1"/>
        <tr r="AC781" s="1"/>
      </tp>
      <tp t="s">
        <v>#N/A Requesting Data...3945640402</v>
        <stp/>
        <stp>BDP|11698231544749609364</stp>
        <tr r="AC1038" s="1"/>
        <tr r="AC1038" s="1"/>
      </tp>
      <tp t="s">
        <v>#N/A Requesting Data...2883552623</v>
        <stp/>
        <stp>BDP|13543798597104305496</stp>
        <tr r="AC551" s="1"/>
        <tr r="AC551" s="1"/>
      </tp>
      <tp t="s">
        <v>#N/A Requesting Data...4284020536</v>
        <stp/>
        <stp>BDP|18048393909613294532</stp>
        <tr r="Z300" s="1"/>
      </tp>
      <tp t="s">
        <v>#N/A Requesting Data...3439840615</v>
        <stp/>
        <stp>BDP|16538966018366385596</stp>
        <tr r="Z956" s="1"/>
        <tr r="Z956" s="1"/>
      </tp>
      <tp t="s">
        <v>#N/A Requesting Data...2336835250</v>
        <stp/>
        <stp>BDP|10183949935965426254</stp>
        <tr r="AA294" s="1"/>
        <tr r="AA294" s="1"/>
      </tp>
      <tp t="s">
        <v>#N/A Requesting Data...4180676317</v>
        <stp/>
        <stp>BDP|13238978877804298417</stp>
        <tr r="Z367" s="1"/>
        <tr r="Z367" s="1"/>
      </tp>
      <tp t="s">
        <v>#N/A Requesting Data...3185424923</v>
        <stp/>
        <stp>BDP|13357366597511594562</stp>
        <tr r="AA1261" s="1"/>
        <tr r="AA1261" s="1"/>
      </tp>
      <tp t="s">
        <v>#N/A Requesting Data...3382219868</v>
        <stp/>
        <stp>BDP|15148935542104681174</stp>
        <tr r="Z139" s="1"/>
        <tr r="Z139" s="1"/>
      </tp>
      <tp t="s">
        <v>#N/A Requesting Data...2983683693</v>
        <stp/>
        <stp>BDP|13393308472413508956</stp>
        <tr r="Y591" s="1"/>
        <tr r="Y591" s="1"/>
      </tp>
      <tp t="s">
        <v>#N/A Requesting Data...2126019092</v>
        <stp/>
        <stp>BDP|13728049572100897981</stp>
        <tr r="AC366" s="1"/>
        <tr r="AC366" s="1"/>
      </tp>
      <tp t="s">
        <v>#N/A Requesting Data...3454804994</v>
        <stp/>
        <stp>BDP|18071299032792216689</stp>
        <tr r="AC79" s="1"/>
        <tr r="AC79" s="1"/>
      </tp>
      <tp t="s">
        <v>#N/A Requesting Data...2664048651</v>
        <stp/>
        <stp>BDP|16954293716459132161</stp>
        <tr r="AB1477" s="1"/>
        <tr r="AB1477" s="1"/>
      </tp>
      <tp t="s">
        <v>#N/A Requesting Data...3739393425</v>
        <stp/>
        <stp>BDP|18128025871762001030</stp>
        <tr r="AB250" s="1"/>
        <tr r="AB250" s="1"/>
      </tp>
      <tp t="s">
        <v>#N/A Requesting Data...3367447599</v>
        <stp/>
        <stp>BDP|13607340492026007210</stp>
        <tr r="Y1491" s="1"/>
        <tr r="Y1491" s="1"/>
      </tp>
      <tp t="s">
        <v>#N/A Requesting Data...4214081735</v>
        <stp/>
        <stp>BDP|11053943737264773253</stp>
        <tr r="Z1362" s="1"/>
        <tr r="Z1362" s="1"/>
      </tp>
      <tp t="s">
        <v>#N/A Requesting Data...2409144030</v>
        <stp/>
        <stp>BDP|16245411385066108162</stp>
        <tr r="AC574" s="1"/>
        <tr r="AC574" s="1"/>
      </tp>
      <tp t="s">
        <v>#N/A Requesting Data...2878513040</v>
        <stp/>
        <stp>BDP|12171274006458204530</stp>
        <tr r="Z699" s="1"/>
        <tr r="Z699" s="1"/>
      </tp>
      <tp t="s">
        <v>#N/A Requesting Data...2362639184</v>
        <stp/>
        <stp>BDP|12117013528318868512</stp>
        <tr r="AA1083" s="1"/>
        <tr r="AA1083" s="1"/>
      </tp>
      <tp t="s">
        <v>#N/A Requesting Data...3192612990</v>
        <stp/>
        <stp>BDP|15540287277158959523</stp>
        <tr r="Y850" s="1"/>
        <tr r="Y850" s="1"/>
      </tp>
      <tp t="s">
        <v>#N/A Requesting Data...2154560491</v>
        <stp/>
        <stp>BDP|13774814800253550520</stp>
        <tr r="Z682" s="1"/>
        <tr r="Z682" s="1"/>
      </tp>
      <tp t="s">
        <v>#N/A Requesting Data...3706329611</v>
        <stp/>
        <stp>BDP|13735648093298321930</stp>
        <tr r="Y79" s="1"/>
        <tr r="Y79" s="1"/>
      </tp>
      <tp t="s">
        <v>#N/A Requesting Data...3097512442</v>
        <stp/>
        <stp>BDP|13263824375396597702</stp>
        <tr r="AC151" s="1"/>
        <tr r="AC151" s="1"/>
      </tp>
      <tp t="s">
        <v>#N/A Requesting Data...3954786953</v>
        <stp/>
        <stp>BDP|12228901952171036209</stp>
        <tr r="Y269" s="1"/>
      </tp>
      <tp t="s">
        <v>#N/A Requesting Data...3117977235</v>
        <stp/>
        <stp>BDP|16578673439276285890</stp>
        <tr r="AB208" s="1"/>
        <tr r="AB208" s="1"/>
      </tp>
      <tp t="s">
        <v>#N/A Requesting Data...2304238776</v>
        <stp/>
        <stp>BDP|16369839857727579121</stp>
        <tr r="Z737" s="1"/>
        <tr r="Z737" s="1"/>
      </tp>
      <tp t="s">
        <v>#N/A Requesting Data...2982725673</v>
        <stp/>
        <stp>BDP|12825995381377496943</stp>
        <tr r="AB1278" s="1"/>
        <tr r="AB1278" s="1"/>
      </tp>
      <tp t="s">
        <v>#N/A Requesting Data...3828018500</v>
        <stp/>
        <stp>BDP|11388178475603156900</stp>
        <tr r="Y172" s="1"/>
        <tr r="Y172" s="1"/>
      </tp>
      <tp t="s">
        <v>#N/A Requesting Data...3711654549</v>
        <stp/>
        <stp>BDP|18328419116721675129</stp>
        <tr r="AA1286" s="1"/>
        <tr r="AA1286" s="1"/>
      </tp>
      <tp t="s">
        <v>#N/A Requesting Data...2327416538</v>
        <stp/>
        <stp>BDP|15713911301879481832</stp>
        <tr r="AA649" s="1"/>
        <tr r="AA649" s="1"/>
      </tp>
      <tp t="s">
        <v>#N/A Requesting Data...3771987326</v>
        <stp/>
        <stp>BDP|14956690680746835183</stp>
        <tr r="AC251" s="1"/>
        <tr r="AC251" s="1"/>
      </tp>
      <tp t="s">
        <v>#N/A Requesting Data...2771106077</v>
        <stp/>
        <stp>BDP|11976930665822991164</stp>
        <tr r="AA983" s="1"/>
        <tr r="AA983" s="1"/>
      </tp>
      <tp t="s">
        <v>#N/A Requesting Data...3094949233</v>
        <stp/>
        <stp>BDP|10149977417194959180</stp>
        <tr r="AC1068" s="1"/>
        <tr r="AC1068" s="1"/>
      </tp>
      <tp t="s">
        <v>#N/A Requesting Data...2597825060</v>
        <stp/>
        <stp>BDP|14946630934255486994</stp>
        <tr r="AA1410" s="1"/>
        <tr r="AA1410" s="1"/>
      </tp>
      <tp t="s">
        <v>#N/A Requesting Data...3997081900</v>
        <stp/>
        <stp>BDP|17017346871459784713</stp>
        <tr r="AB1621" s="1"/>
        <tr r="AB1621" s="1"/>
      </tp>
      <tp t="s">
        <v>#N/A Requesting Data...3590106483</v>
        <stp/>
        <stp>BDP|10972809259659087938</stp>
        <tr r="Y1170" s="1"/>
        <tr r="Y1170" s="1"/>
      </tp>
      <tp t="s">
        <v>#N/A Requesting Data...3220467967</v>
        <stp/>
        <stp>BDP|16217681098802827696</stp>
        <tr r="AA1224" s="1"/>
        <tr r="AA1224" s="1"/>
      </tp>
      <tp t="s">
        <v>#N/A Requesting Data...2093350171</v>
        <stp/>
        <stp>BDP|17255712844820252969</stp>
        <tr r="Z193" s="1"/>
        <tr r="Z193" s="1"/>
      </tp>
      <tp t="s">
        <v>#N/A Requesting Data...3648286346</v>
        <stp/>
        <stp>BDP|12032887965668938970</stp>
        <tr r="AC1509" s="1"/>
        <tr r="AC1509" s="1"/>
      </tp>
      <tp t="s">
        <v>#N/A Requesting Data...3089689024</v>
        <stp/>
        <stp>BDP|12924646118371568937</stp>
        <tr r="Y252" s="1"/>
        <tr r="Y252" s="1"/>
      </tp>
      <tp t="s">
        <v>#N/A Requesting Data...2119097774</v>
        <stp/>
        <stp>BDP|18357187162240835226</stp>
        <tr r="AC1375" s="1"/>
        <tr r="AC1375" s="1"/>
      </tp>
      <tp t="s">
        <v>#N/A Requesting Data...2180626995</v>
        <stp/>
        <stp>BDP|16265034727400600933</stp>
        <tr r="AB1272" s="1"/>
        <tr r="AB1272" s="1"/>
      </tp>
      <tp t="s">
        <v>#N/A Requesting Data...3850013873</v>
        <stp/>
        <stp>BDP|18387747181663750928</stp>
        <tr r="AA357" s="1"/>
        <tr r="AA357" s="1"/>
      </tp>
      <tp t="s">
        <v>#N/A Requesting Data...2364000183</v>
        <stp/>
        <stp>BDP|16429398329053733912</stp>
        <tr r="AB724" s="1"/>
        <tr r="AB724" s="1"/>
      </tp>
      <tp t="s">
        <v>#N/A Requesting Data...3145041306</v>
        <stp/>
        <stp>BDP|12707903364282584242</stp>
        <tr r="AB1365" s="1"/>
        <tr r="AB1365" s="1"/>
      </tp>
      <tp t="s">
        <v>#N/A Requesting Data...2780185118</v>
        <stp/>
        <stp>BDP|10664156380557783367</stp>
        <tr r="AB181" s="1"/>
        <tr r="AB181" s="1"/>
      </tp>
      <tp t="s">
        <v>#N/A Requesting Data...2610350870</v>
        <stp/>
        <stp>BDP|16643092383002680184</stp>
        <tr r="Z121" s="1"/>
        <tr r="Z121" s="1"/>
      </tp>
      <tp t="s">
        <v>#N/A Requesting Data...4107470906</v>
        <stp/>
        <stp>BDP|17393271422182188858</stp>
        <tr r="AA985" s="1"/>
        <tr r="AA985" s="1"/>
      </tp>
      <tp t="s">
        <v>#N/A Requesting Data...3330043220</v>
        <stp/>
        <stp>BDP|14320777486492734472</stp>
        <tr r="AC213" s="1"/>
        <tr r="AC213" s="1"/>
      </tp>
      <tp t="s">
        <v>#N/A Requesting Data...2234231958</v>
        <stp/>
        <stp>BDP|11423156681580535574</stp>
        <tr r="Z274" s="1"/>
        <tr r="Z274" s="1"/>
      </tp>
      <tp t="s">
        <v>#N/A Requesting Data...3245851359</v>
        <stp/>
        <stp>BDP|11506373797110105667</stp>
        <tr r="Y1301" s="1"/>
        <tr r="Y1301" s="1"/>
      </tp>
      <tp t="s">
        <v>#N/A Requesting Data...3885364454</v>
        <stp/>
        <stp>BDP|12925893526565038043</stp>
        <tr r="AA1471" s="1"/>
        <tr r="AA1471" s="1"/>
      </tp>
      <tp t="s">
        <v>#N/A Requesting Data...2960550002</v>
        <stp/>
        <stp>BDP|10904054670098812261</stp>
        <tr r="AC205" s="1"/>
        <tr r="AC205" s="1"/>
      </tp>
      <tp t="s">
        <v>#N/A Requesting Data...3135752448</v>
        <stp/>
        <stp>BDP|15180529176488660217</stp>
        <tr r="Z1485" s="1"/>
        <tr r="Z1485" s="1"/>
      </tp>
      <tp t="s">
        <v>#N/A Requesting Data...3338842936</v>
        <stp/>
        <stp>BDP|14827526561149132382</stp>
        <tr r="AB1054" s="1"/>
        <tr r="AB1054" s="1"/>
      </tp>
      <tp t="s">
        <v>#N/A Requesting Data...3652932768</v>
        <stp/>
        <stp>BDP|14209709386010133600</stp>
        <tr r="AC476" s="1"/>
        <tr r="AC476" s="1"/>
      </tp>
      <tp t="s">
        <v>#N/A Requesting Data...2614019774</v>
        <stp/>
        <stp>BDP|16780523380006524053</stp>
        <tr r="Y1231" s="1"/>
        <tr r="Y1231" s="1"/>
      </tp>
      <tp t="s">
        <v>#N/A Requesting Data...3944773473</v>
        <stp/>
        <stp>BDP|12353338529597417980</stp>
        <tr r="Z1466" s="1"/>
        <tr r="Z1466" s="1"/>
      </tp>
      <tp t="s">
        <v>#N/A Requesting Data...3522874006</v>
        <stp/>
        <stp>BDP|10426317547903377945</stp>
        <tr r="Y988" s="1"/>
        <tr r="Y988" s="1"/>
      </tp>
      <tp t="s">
        <v>#N/A Requesting Data...3135437645</v>
        <stp/>
        <stp>BDP|10149645291903877192</stp>
        <tr r="AA1171" s="1"/>
        <tr r="AA1171" s="1"/>
      </tp>
      <tp t="s">
        <v>#N/A Requesting Data...2359553644</v>
        <stp/>
        <stp>BDP|10166607567514417978</stp>
        <tr r="AA1249" s="1"/>
        <tr r="AA1249" s="1"/>
      </tp>
      <tp t="s">
        <v>#N/A Requesting Data...2312894101</v>
        <stp/>
        <stp>BDP|10878886045187684665</stp>
        <tr r="Z606" s="1"/>
        <tr r="Z606" s="1"/>
      </tp>
      <tp t="s">
        <v>#N/A Requesting Data...2531815424</v>
        <stp/>
        <stp>BDP|13552766270097642904</stp>
        <tr r="AB560" s="1"/>
        <tr r="AB560" s="1"/>
      </tp>
      <tp t="s">
        <v>#N/A Requesting Data...2066404130</v>
        <stp/>
        <stp>BDP|17736957822691501001</stp>
        <tr r="AC717" s="1"/>
        <tr r="AC717" s="1"/>
      </tp>
      <tp t="s">
        <v>#N/A Requesting Data...3679910149</v>
        <stp/>
        <stp>BDP|15509840504207702770</stp>
        <tr r="AA1434" s="1"/>
        <tr r="AA1434" s="1"/>
      </tp>
      <tp t="s">
        <v>#N/A Requesting Data...3546336323</v>
        <stp/>
        <stp>BDP|12509900465428506806</stp>
        <tr r="Z800" s="1"/>
        <tr r="Z800" s="1"/>
      </tp>
      <tp t="s">
        <v>#N/A Requesting Data...3204181016</v>
        <stp/>
        <stp>BDP|15452373870545587939</stp>
        <tr r="AB1412" s="1"/>
        <tr r="AB1412" s="1"/>
      </tp>
      <tp t="s">
        <v>#N/A Requesting Data...4089056257</v>
        <stp/>
        <stp>BDP|10084909017167432261</stp>
        <tr r="AB540" s="1"/>
        <tr r="AB540" s="1"/>
      </tp>
      <tp t="s">
        <v>#N/A Requesting Data...4179923309</v>
        <stp/>
        <stp>BDP|18095258522112196738</stp>
        <tr r="Y948" s="1"/>
        <tr r="Y948" s="1"/>
      </tp>
      <tp t="s">
        <v>#N/A Requesting Data...2340976075</v>
        <stp/>
        <stp>BDP|17462259880845150554</stp>
        <tr r="AB398" s="1"/>
        <tr r="AB398" s="1"/>
      </tp>
      <tp t="s">
        <v>#N/A Requesting Data...2449090355</v>
        <stp/>
        <stp>BDP|17264450928659863520</stp>
        <tr r="AC289" s="1"/>
        <tr r="AC289" s="1"/>
      </tp>
      <tp t="s">
        <v>#N/A Requesting Data...4132990041</v>
        <stp/>
        <stp>BDP|12962362699674376103</stp>
        <tr r="AA1347" s="1"/>
        <tr r="AA1347" s="1"/>
      </tp>
      <tp t="s">
        <v>#N/A Requesting Data...2882872197</v>
        <stp/>
        <stp>BDP|16972407794433014583</stp>
        <tr r="AC1283" s="1"/>
        <tr r="AC1283" s="1"/>
      </tp>
      <tp t="s">
        <v>#N/A Requesting Data...2113620489</v>
        <stp/>
        <stp>BDP|11935787622410355950</stp>
        <tr r="Y793" s="1"/>
        <tr r="Y793" s="1"/>
      </tp>
      <tp t="s">
        <v>#N/A Requesting Data...2507836900</v>
        <stp/>
        <stp>BDP|16902793284460492445</stp>
        <tr r="AA953" s="1"/>
        <tr r="AA953" s="1"/>
      </tp>
      <tp t="s">
        <v>#N/A Requesting Data...2123371987</v>
        <stp/>
        <stp>BDP|14463830706452582300</stp>
        <tr r="AB502" s="1"/>
        <tr r="AB502" s="1"/>
      </tp>
      <tp t="s">
        <v>#N/A Requesting Data...3825909017</v>
        <stp/>
        <stp>BDP|16644225402858429163</stp>
        <tr r="AB1357" s="1"/>
        <tr r="AB1357" s="1"/>
      </tp>
      <tp t="s">
        <v>#N/A Requesting Data...2089194371</v>
        <stp/>
        <stp>BDP|16764477176470681845</stp>
        <tr r="AB194" s="1"/>
        <tr r="AB194" s="1"/>
      </tp>
      <tp t="s">
        <v>#N/A Requesting Data...2737061463</v>
        <stp/>
        <stp>BDP|18109709626003578362</stp>
        <tr r="AC1016" s="1"/>
        <tr r="AC1016" s="1"/>
      </tp>
      <tp t="s">
        <v>#N/A Requesting Data...3855870651</v>
        <stp/>
        <stp>BDP|14127904226975352709</stp>
        <tr r="Z1522" s="1"/>
        <tr r="Z1522" s="1"/>
      </tp>
      <tp t="s">
        <v>#N/A Requesting Data...2236353916</v>
        <stp/>
        <stp>BDP|12543061133079054541</stp>
        <tr r="Y556" s="1"/>
        <tr r="Y556" s="1"/>
      </tp>
      <tp t="s">
        <v>#N/A Requesting Data...3877154638</v>
        <stp/>
        <stp>BDP|17891921769561134468</stp>
        <tr r="Y98" s="1"/>
        <tr r="Y98" s="1"/>
      </tp>
      <tp t="s">
        <v>#N/A Requesting Data...2167305246</v>
        <stp/>
        <stp>BDP|15182320931999278143</stp>
        <tr r="Y825" s="1"/>
        <tr r="Y825" s="1"/>
      </tp>
      <tp t="s">
        <v>#N/A Requesting Data...2849648985</v>
        <stp/>
        <stp>BDP|11931678938190169938</stp>
        <tr r="AC1407" s="1"/>
        <tr r="AC1407" s="1"/>
      </tp>
      <tp t="s">
        <v>#N/A Requesting Data...3611019980</v>
        <stp/>
        <stp>BDP|18243386839052156763</stp>
        <tr r="AB921" s="1"/>
        <tr r="AB921" s="1"/>
      </tp>
      <tp>
        <v>0.61</v>
        <stp/>
        <stp>BDP|5844593224266792593|22</stp>
        <stp>EDT CN Equity</stp>
        <stp>LAST_PRICE</stp>
        <tr r="AD1381" s="1"/>
        <tr r="AD1381" s="1"/>
      </tp>
      <tp t="s">
        <v>#N/A Requesting Data...3882477859</v>
        <stp/>
        <stp>BDP|13326710093444756418</stp>
        <tr r="Z85" s="1"/>
        <tr r="Z85" s="1"/>
      </tp>
      <tp t="s">
        <v>#N/A Requesting Data...3383675081</v>
        <stp/>
        <stp>BDP|10823267661120976918</stp>
        <tr r="AB524" s="1"/>
        <tr r="AB524" s="1"/>
      </tp>
      <tp t="s">
        <v>#N/A Requesting Data...3808120990</v>
        <stp/>
        <stp>BDP|16335876256994446212</stp>
        <tr r="AB113" s="1"/>
      </tp>
      <tp t="s">
        <v>#N/A Requesting Data...2660969170</v>
        <stp/>
        <stp>BDP|16128932937945609440</stp>
        <tr r="AC1031" s="1"/>
        <tr r="AC1031" s="1"/>
      </tp>
      <tp t="s">
        <v>#N/A Requesting Data...3936936636</v>
        <stp/>
        <stp>BDP|16550529124399257569</stp>
        <tr r="Z798" s="1"/>
        <tr r="Z798" s="1"/>
      </tp>
      <tp t="s">
        <v>#N/A Requesting Data...2205363088</v>
        <stp/>
        <stp>BDP|13255312244328505157</stp>
        <tr r="Z152" s="1"/>
        <tr r="Z152" s="1"/>
      </tp>
      <tp t="s">
        <v>#N/A Requesting Data...4228474713</v>
        <stp/>
        <stp>BDP|16885011248269015668</stp>
        <tr r="Y443" s="1"/>
        <tr r="Y443" s="1"/>
      </tp>
      <tp t="s">
        <v>#N/A Requesting Data...3983884379</v>
        <stp/>
        <stp>BDP|16652023976868503409</stp>
        <tr r="AC621" s="1"/>
        <tr r="AC621" s="1"/>
      </tp>
      <tp t="s">
        <v>#N/A Requesting Data...2515839364</v>
        <stp/>
        <stp>BDP|13915195656232160804</stp>
        <tr r="AA656" s="1"/>
        <tr r="AA656" s="1"/>
      </tp>
      <tp t="s">
        <v>#N/A Requesting Data...2713626607</v>
        <stp/>
        <stp>BDP|10746791666915711996</stp>
        <tr r="AC351" s="1"/>
        <tr r="AC351" s="1"/>
      </tp>
      <tp t="s">
        <v>#N/A Requesting Data...3233785311</v>
        <stp/>
        <stp>BDP|12444883909510797741</stp>
        <tr r="AA1351" s="1"/>
        <tr r="AA1351" s="1"/>
      </tp>
      <tp t="s">
        <v>#N/A Requesting Data...4197631679</v>
        <stp/>
        <stp>BDP|14088992127183956117</stp>
        <tr r="Z856" s="1"/>
        <tr r="Z856" s="1"/>
      </tp>
      <tp t="s">
        <v>#N/A Requesting Data...3460461986</v>
        <stp/>
        <stp>BDP|18013842704039029469</stp>
        <tr r="Z325" s="1"/>
        <tr r="Z325" s="1"/>
      </tp>
      <tp t="s">
        <v>#N/A Requesting Data...3178155457</v>
        <stp/>
        <stp>BDP|16882575459579899289</stp>
        <tr r="Z994" s="1"/>
        <tr r="Z994" s="1"/>
      </tp>
      <tp t="s">
        <v>#N/A Requesting Data...2224718338</v>
        <stp/>
        <stp>BDP|18025149882239671563</stp>
        <tr r="Y714" s="1"/>
        <tr r="Y714" s="1"/>
      </tp>
      <tp t="s">
        <v>#N/A Requesting Data...2175478988</v>
        <stp/>
        <stp>BDP|15446581389912377706</stp>
        <tr r="AA788" s="1"/>
        <tr r="AA788" s="1"/>
      </tp>
      <tp t="s">
        <v>#N/A Requesting Data...3266497214</v>
        <stp/>
        <stp>BDP|16669068395434653653</stp>
        <tr r="Z592" s="1"/>
        <tr r="Z592" s="1"/>
      </tp>
      <tp t="s">
        <v>#N/A Requesting Data...3630597355</v>
        <stp/>
        <stp>BDP|17204365885074532525</stp>
        <tr r="Z1087" s="1"/>
        <tr r="Z1087" s="1"/>
      </tp>
      <tp t="s">
        <v>#N/A Requesting Data...4145778652</v>
        <stp/>
        <stp>BDP|14119576499187942201</stp>
        <tr r="Y220" s="1"/>
        <tr r="Y220" s="1"/>
      </tp>
      <tp t="s">
        <v>#N/A Requesting Data...4131426590</v>
        <stp/>
        <stp>BDP|16816559499023481462</stp>
        <tr r="AB650" s="1"/>
        <tr r="AB650" s="1"/>
      </tp>
      <tp t="s">
        <v>#N/A Requesting Data...4257266585</v>
        <stp/>
        <stp>BDP|16672119746597637919</stp>
        <tr r="AA984" s="1"/>
        <tr r="AA984" s="1"/>
      </tp>
      <tp t="s">
        <v>#N/A Requesting Data...3057821621</v>
        <stp/>
        <stp>BDP|18159994756660146994</stp>
        <tr r="AB1428" s="1"/>
        <tr r="AB1428" s="1"/>
      </tp>
      <tp t="s">
        <v>#N/A Requesting Data...3347505664</v>
        <stp/>
        <stp>BDP|13215028183632102448</stp>
        <tr r="Y189" s="1"/>
        <tr r="Y189" s="1"/>
      </tp>
      <tp t="s">
        <v>#N/A Requesting Data...3240342794</v>
        <stp/>
        <stp>BDP|13540316884985793015</stp>
        <tr r="AB427" s="1"/>
        <tr r="AB427" s="1"/>
      </tp>
      <tp t="s">
        <v>#N/A Requesting Data...2833406430</v>
        <stp/>
        <stp>BDP|13430321383076738344</stp>
        <tr r="Z647" s="1"/>
        <tr r="Z647" s="1"/>
      </tp>
      <tp t="s">
        <v>#N/A Requesting Data...4250194775</v>
        <stp/>
        <stp>BDP|10757975963087007555</stp>
        <tr r="AB871" s="1"/>
        <tr r="AB871" s="1"/>
      </tp>
      <tp>
        <v>8.7799999999999994</v>
        <stp/>
        <stp>BDP|898311229148731529|22</stp>
        <stp>BCRX US Equity</stp>
        <stp>LAST_PRICE</stp>
        <tr r="AD260" s="1"/>
        <tr r="AD260" s="1"/>
      </tp>
      <tp>
        <v>0.57899999999999996</v>
        <stp/>
        <stp>BDP|462041955923195003|22</stp>
        <stp>PBSV US Equity</stp>
        <stp>LAST_PRICE</stp>
        <tr r="AD1155" s="1"/>
        <tr r="AD1155" s="1"/>
      </tp>
      <tp t="s">
        <v>#N/A Requesting Data...2535054881</v>
        <stp/>
        <stp>BDP|12239049737267800403</stp>
        <tr r="Y1549" s="1"/>
        <tr r="Y1549" s="1"/>
      </tp>
      <tp t="s">
        <v>#N/A Requesting Data...3320681247</v>
        <stp/>
        <stp>BDP|16129790733150183032</stp>
        <tr r="Z769" s="1"/>
        <tr r="Z769" s="1"/>
      </tp>
      <tp t="s">
        <v>#N/A Requesting Data...4251587084</v>
        <stp/>
        <stp>BDP|12292540379735763710</stp>
        <tr r="AC214" s="1"/>
        <tr r="AC214" s="1"/>
      </tp>
      <tp t="s">
        <v>#N/A Requesting Data...2201475356</v>
        <stp/>
        <stp>BDP|14828156567208097930</stp>
        <tr r="Y1167" s="1"/>
        <tr r="Y1167" s="1"/>
      </tp>
      <tp t="s">
        <v>#N/A Requesting Data...3752994313</v>
        <stp/>
        <stp>BDP|10093113449785172204</stp>
        <tr r="Y66" s="1"/>
        <tr r="Y66" s="1"/>
      </tp>
      <tp t="s">
        <v>#N/A Requesting Data...4270001234</v>
        <stp/>
        <stp>BDP|15247468257124372299</stp>
        <tr r="AC1473" s="1"/>
        <tr r="AC1473" s="1"/>
      </tp>
      <tp t="s">
        <v>#N/A Requesting Data...3099256759</v>
        <stp/>
        <stp>BDP|17477536638047423420</stp>
        <tr r="AB744" s="1"/>
        <tr r="AB744" s="1"/>
      </tp>
      <tp t="s">
        <v>#N/A Requesting Data...3344421027</v>
        <stp/>
        <stp>BDP|15376090215424233241</stp>
        <tr r="AB711" s="1"/>
        <tr r="AB711" s="1"/>
      </tp>
      <tp t="s">
        <v>#N/A Requesting Data...3598515819</v>
        <stp/>
        <stp>BDP|17093089863226724557</stp>
        <tr r="Z754" s="1"/>
        <tr r="Z754" s="1"/>
      </tp>
      <tp t="s">
        <v>#N/A Requesting Data...2884679875</v>
        <stp/>
        <stp>BDP|12533315676797872330</stp>
        <tr r="AA1013" s="1"/>
        <tr r="AA1013" s="1"/>
      </tp>
      <tp t="s">
        <v>#N/A Requesting Data...3033843377</v>
        <stp/>
        <stp>BDP|16876612381268753264</stp>
        <tr r="Z1622" s="1"/>
        <tr r="Z1622" s="1"/>
      </tp>
      <tp t="s">
        <v>#N/A Requesting Data...2651127374</v>
        <stp/>
        <stp>BDP|11310687562160450344</stp>
        <tr r="AC1089" s="1"/>
        <tr r="AC1089" s="1"/>
      </tp>
      <tp t="s">
        <v>#N/A Requesting Data...3482654632</v>
        <stp/>
        <stp>BDP|15184565954872286589</stp>
        <tr r="AB559" s="1"/>
        <tr r="AB559" s="1"/>
      </tp>
      <tp t="s">
        <v>#N/A Requesting Data...3874614888</v>
        <stp/>
        <stp>BDP|13513495945571658060</stp>
        <tr r="Y327" s="1"/>
        <tr r="Y327" s="1"/>
      </tp>
      <tp t="s">
        <v>#N/A Requesting Data...3178271728</v>
        <stp/>
        <stp>BDP|10411282216897399606</stp>
        <tr r="Z1354" s="1"/>
        <tr r="Z1354" s="1"/>
      </tp>
      <tp t="s">
        <v>#N/A Requesting Data...2281641729</v>
        <stp/>
        <stp>BDP|12175587751156388636</stp>
        <tr r="Y1366" s="1"/>
        <tr r="Y1366" s="1"/>
      </tp>
      <tp t="s">
        <v>#N/A Requesting Data...3868284702</v>
        <stp/>
        <stp>BDP|15644543836839546895</stp>
        <tr r="AC755" s="1"/>
        <tr r="AC755" s="1"/>
      </tp>
      <tp t="s">
        <v>#N/A Requesting Data...3732453271</v>
        <stp/>
        <stp>BDP|15914973583940536605</stp>
        <tr r="Z785" s="1"/>
        <tr r="Z785" s="1"/>
      </tp>
      <tp t="s">
        <v>#N/A Requesting Data...3431735819</v>
        <stp/>
        <stp>BDP|18268461504197058980</stp>
        <tr r="Z693" s="1"/>
        <tr r="Z693" s="1"/>
      </tp>
      <tp t="s">
        <v>#N/A Requesting Data...2566353050</v>
        <stp/>
        <stp>BDP|13948487753576216684</stp>
        <tr r="AC748" s="1"/>
        <tr r="AC748" s="1"/>
      </tp>
      <tp t="s">
        <v>#N/A Requesting Data...2979189639</v>
        <stp/>
        <stp>BDP|14613425481099858350</stp>
        <tr r="AB1319" s="1"/>
        <tr r="AB1319" s="1"/>
      </tp>
      <tp t="s">
        <v>#N/A Requesting Data...2380833379</v>
        <stp/>
        <stp>BDP|12437950996478807871</stp>
        <tr r="Y670" s="1"/>
        <tr r="Y670" s="1"/>
      </tp>
      <tp t="s">
        <v>#N/A Requesting Data...3040117459</v>
        <stp/>
        <stp>BDP|14323359657222050298</stp>
        <tr r="AA1468" s="1"/>
        <tr r="AA1468" s="1"/>
      </tp>
      <tp t="s">
        <v>#N/A Requesting Data...3055514089</v>
        <stp/>
        <stp>BDP|14799071008772040430</stp>
        <tr r="AA857" s="1"/>
        <tr r="AA857" s="1"/>
      </tp>
      <tp t="s">
        <v>#N/A Requesting Data...3534648519</v>
        <stp/>
        <stp>BDP|11550703045254858438</stp>
        <tr r="Z1232" s="1"/>
        <tr r="Z1232" s="1"/>
      </tp>
      <tp t="s">
        <v>#N/A Requesting Data...3223291053</v>
        <stp/>
        <stp>BDP|18209681554578638138</stp>
        <tr r="Y1421" s="1"/>
        <tr r="Y1421" s="1"/>
      </tp>
      <tp t="s">
        <v>#N/A Requesting Data...4112281035</v>
        <stp/>
        <stp>BDP|18359813252805218290</stp>
        <tr r="Y1172" s="1"/>
        <tr r="Y1172" s="1"/>
      </tp>
      <tp t="s">
        <v>#N/A Requesting Data...2377203709</v>
        <stp/>
        <stp>BDP|13857797229844376000</stp>
        <tr r="Y1254" s="1"/>
      </tp>
      <tp t="s">
        <v>#N/A Requesting Data...4077669918</v>
        <stp/>
        <stp>BDP|11572073689512688965</stp>
        <tr r="Y339" s="1"/>
        <tr r="Y339" s="1"/>
      </tp>
      <tp t="s">
        <v>#N/A Requesting Data...4280235843</v>
        <stp/>
        <stp>BDP|12234925129792552977</stp>
        <tr r="AB1164" s="1"/>
        <tr r="AB1164" s="1"/>
      </tp>
      <tp t="s">
        <v>#N/A Requesting Data...3814603490</v>
        <stp/>
        <stp>BDP|16433751906091834243</stp>
        <tr r="AA1042" s="1"/>
        <tr r="AA1042" s="1"/>
      </tp>
      <tp t="s">
        <v>#N/A Requesting Data...2694980904</v>
        <stp/>
        <stp>BDP|10442472638332528757</stp>
        <tr r="Z123" s="1"/>
        <tr r="Z123" s="1"/>
      </tp>
      <tp t="s">
        <v>#N/A Requesting Data...2294106436</v>
        <stp/>
        <stp>BDP|18228054051937963849</stp>
        <tr r="AA230" s="1"/>
      </tp>
      <tp t="s">
        <v>#N/A Requesting Data...2887471635</v>
        <stp/>
        <stp>BDP|14619308216685885130</stp>
        <tr r="Z747" s="1"/>
        <tr r="Z747" s="1"/>
      </tp>
      <tp t="s">
        <v>#N/A Requesting Data...3379566410</v>
        <stp/>
        <stp>BDP|14954381225656902164</stp>
        <tr r="Y1021" s="1"/>
        <tr r="Y1021" s="1"/>
      </tp>
      <tp t="s">
        <v>#N/A Requesting Data...3217393816</v>
        <stp/>
        <stp>BDP|15578516265926353286</stp>
        <tr r="Y993" s="1"/>
        <tr r="Y993" s="1"/>
      </tp>
      <tp t="s">
        <v>#N/A Requesting Data...4164068362</v>
        <stp/>
        <stp>BDP|11871748134790346715</stp>
        <tr r="AB1470" s="1"/>
        <tr r="AB1470" s="1"/>
      </tp>
      <tp t="s">
        <v>#N/A Requesting Data...4153643909</v>
        <stp/>
        <stp>BDP|10746289540550673436</stp>
        <tr r="AC357" s="1"/>
        <tr r="AC357" s="1"/>
      </tp>
      <tp t="s">
        <v>#N/A Requesting Data...2863373905</v>
        <stp/>
        <stp>BDP|13384173623550549282</stp>
        <tr r="AA673" s="1"/>
        <tr r="AA673" s="1"/>
      </tp>
      <tp t="s">
        <v>#N/A Requesting Data...4144262956</v>
        <stp/>
        <stp>BDP|10609384415291482156</stp>
        <tr r="AA608" s="1"/>
        <tr r="AA608" s="1"/>
      </tp>
      <tp t="s">
        <v>#N/A Requesting Data...3163709162</v>
        <stp/>
        <stp>BDP|12308001918506990781</stp>
        <tr r="Z743" s="1"/>
        <tr r="Z743" s="1"/>
      </tp>
      <tp t="s">
        <v>#N/A Requesting Data...2757125808</v>
        <stp/>
        <stp>BDP|17881103153208623979</stp>
        <tr r="AC1496" s="1"/>
        <tr r="AC1496" s="1"/>
      </tp>
      <tp t="s">
        <v>#N/A Requesting Data...2930267629</v>
        <stp/>
        <stp>BDP|15594390049886972667</stp>
        <tr r="AB673" s="1"/>
        <tr r="AB673" s="1"/>
      </tp>
      <tp t="s">
        <v>#N/A Requesting Data...3412859460</v>
        <stp/>
        <stp>BDP|12493509860733912077</stp>
        <tr r="AA1077" s="1"/>
        <tr r="AA1077" s="1"/>
      </tp>
      <tp t="s">
        <v>#N/A Requesting Data...4206281264</v>
        <stp/>
        <stp>BDP|10661228438914540732</stp>
        <tr r="Y915" s="1"/>
        <tr r="Y915" s="1"/>
      </tp>
      <tp t="s">
        <v>#N/A Requesting Data...4110141465</v>
        <stp/>
        <stp>BDP|12334807390766838716</stp>
        <tr r="Y1253" s="1"/>
        <tr r="Y1253" s="1"/>
      </tp>
      <tp t="s">
        <v>#N/A Requesting Data...3048268187</v>
        <stp/>
        <stp>BDP|14302241202871693596</stp>
        <tr r="Z641" s="1"/>
        <tr r="Z641" s="1"/>
      </tp>
      <tp t="s">
        <v>#N/A Requesting Data...2816416054</v>
        <stp/>
        <stp>BDP|15726303641715404583</stp>
        <tr r="Y318" s="1"/>
        <tr r="Y318" s="1"/>
      </tp>
      <tp t="s">
        <v>#N/A Requesting Data...4005539345</v>
        <stp/>
        <stp>BDP|16631148642137887659</stp>
        <tr r="AB1476" s="1"/>
        <tr r="AB1476" s="1"/>
      </tp>
      <tp t="s">
        <v>#N/A Requesting Data...3941087728</v>
        <stp/>
        <stp>BDP|12152251818551783263</stp>
        <tr r="AA469" s="1"/>
        <tr r="AA469" s="1"/>
      </tp>
      <tp t="s">
        <v>#N/A Requesting Data...3787629479</v>
        <stp/>
        <stp>BDP|16652712128845462463</stp>
        <tr r="AB687" s="1"/>
        <tr r="AB687" s="1"/>
      </tp>
      <tp t="s">
        <v>#N/A Requesting Data...3337248811</v>
        <stp/>
        <stp>BDP|13475263788983269851</stp>
        <tr r="AA1124" s="1"/>
        <tr r="AA1124" s="1"/>
      </tp>
      <tp t="s">
        <v>#N/A Requesting Data...2953357700</v>
        <stp/>
        <stp>BDP|14396750551430365492</stp>
        <tr r="AA1205" s="1"/>
        <tr r="AA1205" s="1"/>
      </tp>
      <tp t="s">
        <v>#N/A Requesting Data...3142097826</v>
        <stp/>
        <stp>BDP|10971910472155562929</stp>
        <tr r="Y1342" s="1"/>
        <tr r="Y1342" s="1"/>
      </tp>
      <tp t="s">
        <v>#N/A Requesting Data...2435587852</v>
        <stp/>
        <stp>BDP|12012552759768634878</stp>
        <tr r="AB1611" s="1"/>
        <tr r="AB1611" s="1"/>
      </tp>
      <tp t="s">
        <v>#N/A Requesting Data...2826028457</v>
        <stp/>
        <stp>BDP|16922553538404129689</stp>
        <tr r="AC780" s="1"/>
        <tr r="AC780" s="1"/>
      </tp>
      <tp t="s">
        <v>#N/A Requesting Data...3350575029</v>
        <stp/>
        <stp>BDP|12846464950253770248</stp>
        <tr r="AB302" s="1"/>
        <tr r="AB302" s="1"/>
      </tp>
      <tp t="s">
        <v>#N/A Requesting Data...3673988980</v>
        <stp/>
        <stp>BDP|15051316490914868940</stp>
        <tr r="AA818" s="1"/>
        <tr r="AA818" s="1"/>
      </tp>
      <tp t="s">
        <v>#N/A Requesting Data...2611530524</v>
        <stp/>
        <stp>BDP|16230105559804745416</stp>
        <tr r="AB1537" s="1"/>
        <tr r="AB1537" s="1"/>
      </tp>
      <tp t="s">
        <v>#N/A Requesting Data...3568962397</v>
        <stp/>
        <stp>BDP|14605726805366467780</stp>
        <tr r="AA934" s="1"/>
        <tr r="AA934" s="1"/>
      </tp>
      <tp t="s">
        <v>#N/A Requesting Data...3618877913</v>
        <stp/>
        <stp>BDP|16882703666082694751</stp>
        <tr r="AA946" s="1"/>
        <tr r="AA946" s="1"/>
      </tp>
      <tp t="s">
        <v>#N/A Requesting Data...4092709543</v>
        <stp/>
        <stp>BDP|13563201050414070287</stp>
        <tr r="AB1541" s="1"/>
        <tr r="AB1541" s="1"/>
      </tp>
      <tp t="s">
        <v>#N/A Requesting Data...2846923419</v>
        <stp/>
        <stp>BDP|10024902219749209365</stp>
        <tr r="Z19" s="1"/>
        <tr r="Z19" s="1"/>
      </tp>
      <tp t="s">
        <v>#N/A Requesting Data...4139621923</v>
        <stp/>
        <stp>BDP|10851357788130020983</stp>
        <tr r="AB321" s="1"/>
        <tr r="AB321" s="1"/>
      </tp>
      <tp t="s">
        <v>#N/A Requesting Data...3566907197</v>
        <stp/>
        <stp>BDP|13195573218974549166</stp>
        <tr r="Z48" s="1"/>
        <tr r="Z48" s="1"/>
      </tp>
      <tp t="s">
        <v>#N/A Requesting Data...2389922556</v>
        <stp/>
        <stp>BDP|15214410299699531323</stp>
        <tr r="Z42" s="1"/>
        <tr r="Z42" s="1"/>
      </tp>
      <tp t="s">
        <v>#N/A Requesting Data...3429776466</v>
        <stp/>
        <stp>BDP|13811983689926755639</stp>
        <tr r="AA98" s="1"/>
        <tr r="AA98" s="1"/>
      </tp>
      <tp t="s">
        <v>#N/A Requesting Data...4236288133</v>
        <stp/>
        <stp>BDP|17936577609974391492</stp>
        <tr r="AB1296" s="1"/>
        <tr r="AB1296" s="1"/>
      </tp>
      <tp t="s">
        <v>#N/A Requesting Data...3633764900</v>
        <stp/>
        <stp>BDP|13042294463014628116</stp>
        <tr r="Y12" s="1"/>
        <tr r="Y12" s="1"/>
      </tp>
      <tp t="s">
        <v>#N/A Requesting Data...3312324480</v>
        <stp/>
        <stp>BDP|13755586473174817797</stp>
        <tr r="Y421" s="1"/>
        <tr r="Y421" s="1"/>
      </tp>
      <tp t="s">
        <v>#N/A Requesting Data...3430576937</v>
        <stp/>
        <stp>BDP|11295592820811731508</stp>
        <tr r="AB1459" s="1"/>
        <tr r="AB1459" s="1"/>
      </tp>
      <tp t="s">
        <v>#N/A Requesting Data...2182445942</v>
        <stp/>
        <stp>BDP|10026541960651916019</stp>
        <tr r="AC1605" s="1"/>
        <tr r="AC1605" s="1"/>
      </tp>
      <tp t="s">
        <v>#N/A Requesting Data...3929803119</v>
        <stp/>
        <stp>BDP|10790236331247863417</stp>
        <tr r="AB24" s="1"/>
        <tr r="AB24" s="1"/>
      </tp>
      <tp t="s">
        <v>#N/A Requesting Data...2802798395</v>
        <stp/>
        <stp>BDP|16619727623284895531</stp>
        <tr r="AA1343" s="1"/>
        <tr r="AA1343" s="1"/>
      </tp>
      <tp t="s">
        <v>#N/A Requesting Data...3183663174</v>
        <stp/>
        <stp>BDP|14920132431133448736</stp>
        <tr r="Y1212" s="1"/>
        <tr r="Y1212" s="1"/>
      </tp>
      <tp t="s">
        <v>#N/A Requesting Data...2428593337</v>
        <stp/>
        <stp>BDP|10732547019756618000</stp>
        <tr r="AA283" s="1"/>
        <tr r="AA283" s="1"/>
      </tp>
      <tp t="s">
        <v>#N/A Requesting Data...2997309199</v>
        <stp/>
        <stp>BDP|10151420825280964430</stp>
        <tr r="AA551" s="1"/>
        <tr r="AA551" s="1"/>
      </tp>
      <tp t="s">
        <v>#N/A Requesting Data...4013213802</v>
        <stp/>
        <stp>BDP|14723110389786239916</stp>
        <tr r="AA19" s="1"/>
        <tr r="AA19" s="1"/>
      </tp>
      <tp t="s">
        <v>#N/A Requesting Data...2262459017</v>
        <stp/>
        <stp>BDP|14923214753809208858</stp>
        <tr r="AC1254" s="1"/>
      </tp>
      <tp t="s">
        <v>#N/A Requesting Data...4120250936</v>
        <stp/>
        <stp>BDP|13048755414380850752</stp>
        <tr r="Y1103" s="1"/>
        <tr r="Y1103" s="1"/>
      </tp>
      <tp t="s">
        <v>#N/A Requesting Data...2774712323</v>
        <stp/>
        <stp>BDP|16914152806882783717</stp>
        <tr r="AA865" s="1"/>
        <tr r="AA865" s="1"/>
      </tp>
      <tp t="s">
        <v>#N/A Requesting Data...2334358942</v>
        <stp/>
        <stp>BDP|10024386341366167345</stp>
        <tr r="Y125" s="1"/>
        <tr r="Y125" s="1"/>
      </tp>
      <tp t="s">
        <v>#N/A Requesting Data...3074045278</v>
        <stp/>
        <stp>BDP|17663828020669237691</stp>
        <tr r="Z1416" s="1"/>
        <tr r="Z1416" s="1"/>
      </tp>
      <tp t="s">
        <v>#N/A Requesting Data...3516299276</v>
        <stp/>
        <stp>BDP|14180288850492241349</stp>
        <tr r="AB384" s="1"/>
        <tr r="AB384" s="1"/>
      </tp>
      <tp t="s">
        <v>#N/A Requesting Data...2810167636</v>
        <stp/>
        <stp>BDP|16050471511447991605</stp>
        <tr r="AB881" s="1"/>
        <tr r="AB881" s="1"/>
      </tp>
      <tp t="s">
        <v>#N/A Requesting Data...2302450800</v>
        <stp/>
        <stp>BDP|16540513333761869305</stp>
        <tr r="AA106" s="1"/>
        <tr r="AA106" s="1"/>
      </tp>
      <tp t="s">
        <v>#N/A Requesting Data...2533296453</v>
        <stp/>
        <stp>BDP|18001659616688872549</stp>
        <tr r="Z794" s="1"/>
        <tr r="Z794" s="1"/>
      </tp>
      <tp t="s">
        <v>#N/A Requesting Data...3960972749</v>
        <stp/>
        <stp>BDP|16288074210504384190</stp>
        <tr r="AB530" s="1"/>
        <tr r="AB530" s="1"/>
      </tp>
      <tp t="s">
        <v>#N/A Requesting Data...3369287465</v>
        <stp/>
        <stp>BDP|13087156254563928679</stp>
        <tr r="Z958" s="1"/>
        <tr r="Z958" s="1"/>
      </tp>
      <tp t="s">
        <v>#N/A Requesting Data...3885516173</v>
        <stp/>
        <stp>BDP|10802590829067303247</stp>
        <tr r="AB1084" s="1"/>
        <tr r="AB1084" s="1"/>
      </tp>
      <tp t="s">
        <v>#N/A Requesting Data...2340411888</v>
        <stp/>
        <stp>BDP|14465266714025829015</stp>
        <tr r="AC1466" s="1"/>
        <tr r="AC1466" s="1"/>
      </tp>
      <tp t="s">
        <v>#N/A Requesting Data...3331342673</v>
        <stp/>
        <stp>BDP|16506880493321728465</stp>
        <tr r="AB1082" s="1"/>
      </tp>
      <tp t="s">
        <v>#N/A Requesting Data...4078090113</v>
        <stp/>
        <stp>BDP|14719526826967558681</stp>
        <tr r="Y679" s="1"/>
        <tr r="Y679" s="1"/>
      </tp>
      <tp t="s">
        <v>#N/A Requesting Data...2846677108</v>
        <stp/>
        <stp>BDP|10557129344973592485</stp>
        <tr r="AC1489" s="1"/>
        <tr r="AC1489" s="1"/>
      </tp>
      <tp t="s">
        <v>#N/A Requesting Data...3226133395</v>
        <stp/>
        <stp>BDP|16698605875673834650</stp>
        <tr r="AA563" s="1"/>
        <tr r="AA563" s="1"/>
      </tp>
      <tp t="s">
        <v>#N/A Requesting Data...4077937144</v>
        <stp/>
        <stp>BDP|13081400167051894219</stp>
        <tr r="AA816" s="1"/>
        <tr r="AA816" s="1"/>
      </tp>
      <tp t="s">
        <v>#N/A Requesting Data...2922463561</v>
        <stp/>
        <stp>BDP|17048538233017936473</stp>
        <tr r="Y170" s="1"/>
        <tr r="Y170" s="1"/>
      </tp>
      <tp t="s">
        <v>#N/A Requesting Data...2369448279</v>
        <stp/>
        <stp>BDP|16979221091186430907</stp>
        <tr r="AB1013" s="1"/>
        <tr r="AB1013" s="1"/>
      </tp>
      <tp t="s">
        <v>#N/A Requesting Data...3239567979</v>
        <stp/>
        <stp>BDP|16656534778114006231</stp>
        <tr r="AC1503" s="1"/>
        <tr r="AC1503" s="1"/>
      </tp>
      <tp t="s">
        <v>#N/A Requesting Data...2918838022</v>
        <stp/>
        <stp>BDP|17650399775613689225</stp>
        <tr r="AC310" s="1"/>
        <tr r="AC310" s="1"/>
      </tp>
      <tp t="s">
        <v>#N/A Requesting Data...3909902593</v>
        <stp/>
        <stp>BDP|15392770701561227198</stp>
        <tr r="Y1281" s="1"/>
        <tr r="Y1281" s="1"/>
      </tp>
      <tp t="s">
        <v>#N/A Requesting Data...2572448386</v>
        <stp/>
        <stp>BDP|16698195424687583004</stp>
        <tr r="Z722" s="1"/>
        <tr r="Z722" s="1"/>
      </tp>
      <tp t="s">
        <v>#N/A Requesting Data...4160347778</v>
        <stp/>
        <stp>BDP|10908335941254452114</stp>
        <tr r="AB1386" s="1"/>
        <tr r="AB1386" s="1"/>
      </tp>
      <tp t="s">
        <v>#N/A Requesting Data...3575507796</v>
        <stp/>
        <stp>BDP|18210312468267579803</stp>
        <tr r="AB702" s="1"/>
        <tr r="AB702" s="1"/>
      </tp>
      <tp t="s">
        <v>#N/A Requesting Data...3548534956</v>
        <stp/>
        <stp>BDP|14169781772181720721</stp>
        <tr r="Z1007" s="1"/>
        <tr r="Z1007" s="1"/>
      </tp>
      <tp t="s">
        <v>#N/A Requesting Data...3196289380</v>
        <stp/>
        <stp>BDP|12415616233276042384</stp>
        <tr r="AB729" s="1"/>
        <tr r="AB729" s="1"/>
      </tp>
      <tp t="s">
        <v>#N/A Requesting Data...2480742263</v>
        <stp/>
        <stp>BDP|10069530149075384684</stp>
        <tr r="AC1112" s="1"/>
        <tr r="AC1112" s="1"/>
      </tp>
      <tp t="s">
        <v>#N/A Requesting Data...3911893383</v>
        <stp/>
        <stp>BDP|10654372540033381636</stp>
        <tr r="AB781" s="1"/>
        <tr r="AB781" s="1"/>
      </tp>
      <tp t="s">
        <v>#N/A Requesting Data...3952745948</v>
        <stp/>
        <stp>BDP|14111581291889828313</stp>
        <tr r="AB668" s="1"/>
        <tr r="AB668" s="1"/>
      </tp>
      <tp t="s">
        <v>#N/A Requesting Data...2594468513</v>
        <stp/>
        <stp>BDP|10700760134777775138</stp>
        <tr r="AA490" s="1"/>
        <tr r="AA490" s="1"/>
      </tp>
      <tp t="s">
        <v>#N/A Requesting Data...2671379019</v>
        <stp/>
        <stp>BDP|12650883917249191092</stp>
        <tr r="AA783" s="1"/>
        <tr r="AA783" s="1"/>
      </tp>
      <tp t="s">
        <v>#N/A Requesting Data...2801228429</v>
        <stp/>
        <stp>BDP|15563751913855197439</stp>
        <tr r="AB1215" s="1"/>
        <tr r="AB1215" s="1"/>
      </tp>
      <tp t="s">
        <v>#N/A Requesting Data...2764138730</v>
        <stp/>
        <stp>BDP|15539620934075452769</stp>
        <tr r="Y429" s="1"/>
        <tr r="Y429" s="1"/>
      </tp>
      <tp t="s">
        <v>#N/A Requesting Data...3044783569</v>
        <stp/>
        <stp>BDP|10991747138352114453</stp>
        <tr r="AA1353" s="1"/>
        <tr r="AA1353" s="1"/>
      </tp>
      <tp t="s">
        <v>#N/A Requesting Data...3354538269</v>
        <stp/>
        <stp>BDP|16672197071292883076</stp>
        <tr r="Z1253" s="1"/>
        <tr r="Z1253" s="1"/>
      </tp>
      <tp t="s">
        <v>#N/A Requesting Data...2828853196</v>
        <stp/>
        <stp>BDP|12038369227647245629</stp>
        <tr r="AB1429" s="1"/>
        <tr r="AB1429" s="1"/>
      </tp>
      <tp t="s">
        <v>#N/A Requesting Data...4104004825</v>
        <stp/>
        <stp>BDP|11637456810194664243</stp>
        <tr r="Z1495" s="1"/>
      </tp>
      <tp t="s">
        <v>#N/A Requesting Data...4000011648</v>
        <stp/>
        <stp>BDP|15742654503010429142</stp>
        <tr r="AA1440" s="1"/>
        <tr r="AA1440" s="1"/>
      </tp>
      <tp t="s">
        <v>#N/A Requesting Data...3859880928</v>
        <stp/>
        <stp>BDP|12372490524824664299</stp>
        <tr r="AA1302" s="1"/>
        <tr r="AA1302" s="1"/>
      </tp>
      <tp t="s">
        <v>#N/A Requesting Data...4268420312</v>
        <stp/>
        <stp>BDP|13168755043871053369</stp>
        <tr r="AB1571" s="1"/>
        <tr r="AB1571" s="1"/>
      </tp>
      <tp t="s">
        <v>#N/A Requesting Data...3407550652</v>
        <stp/>
        <stp>BDP|12680079851154546143</stp>
        <tr r="Z1197" s="1"/>
        <tr r="Z1197" s="1"/>
      </tp>
      <tp t="s">
        <v>#N/A Requesting Data...2794526264</v>
        <stp/>
        <stp>BDP|14324452156641946685</stp>
        <tr r="Y606" s="1"/>
        <tr r="Y606" s="1"/>
      </tp>
      <tp t="s">
        <v>#N/A Requesting Data...2560919414</v>
        <stp/>
        <stp>BDP|11363652757414755472</stp>
        <tr r="Z434" s="1"/>
        <tr r="Z434" s="1"/>
      </tp>
      <tp t="s">
        <v>#N/A Requesting Data...2441519261</v>
        <stp/>
        <stp>BDP|17856656677854950028</stp>
        <tr r="AB155" s="1"/>
        <tr r="AB155" s="1"/>
      </tp>
      <tp t="s">
        <v>#N/A Requesting Data...3110577762</v>
        <stp/>
        <stp>BDP|14164774733350630239</stp>
        <tr r="Z1420" s="1"/>
        <tr r="Z1420" s="1"/>
      </tp>
      <tp t="s">
        <v>#N/A Requesting Data...3749509341</v>
        <stp/>
        <stp>BDP|16597234543595534702</stp>
        <tr r="Z876" s="1"/>
        <tr r="Z876" s="1"/>
      </tp>
      <tp t="s">
        <v>#N/A Requesting Data...2588029549</v>
        <stp/>
        <stp>BDP|11683590249042625003</stp>
        <tr r="Y184" s="1"/>
        <tr r="Y184" s="1"/>
      </tp>
      <tp t="s">
        <v>#N/A Requesting Data...3916493930</v>
        <stp/>
        <stp>BDP|13930335223639169989</stp>
        <tr r="Y1372" s="1"/>
        <tr r="Y1372" s="1"/>
      </tp>
      <tp t="s">
        <v>#N/A Requesting Data...3809100654</v>
        <stp/>
        <stp>BDP|12891321905574606793</stp>
        <tr r="Y803" s="1"/>
        <tr r="Y803" s="1"/>
      </tp>
      <tp t="s">
        <v>#N/A Requesting Data...2424314786</v>
        <stp/>
        <stp>BDP|13294822082174465560</stp>
        <tr r="AA809" s="1"/>
        <tr r="AA809" s="1"/>
      </tp>
      <tp t="s">
        <v>#N/A Requesting Data...3302046029</v>
        <stp/>
        <stp>BDP|11437587378194654523</stp>
        <tr r="AA1466" s="1"/>
        <tr r="AA1466" s="1"/>
      </tp>
      <tp t="s">
        <v>#N/A Requesting Data...2813786110</v>
        <stp/>
        <stp>BDP|11653623452785443527</stp>
        <tr r="Y331" s="1"/>
        <tr r="Y331" s="1"/>
      </tp>
      <tp t="s">
        <v>#N/A Requesting Data...2256776496</v>
        <stp/>
        <stp>BDP|14141542117582599078</stp>
        <tr r="AA1260" s="1"/>
        <tr r="AA1260" s="1"/>
      </tp>
      <tp t="s">
        <v>#N/A Requesting Data...2386929908</v>
        <stp/>
        <stp>BDP|18331841065111050524</stp>
        <tr r="AC1305" s="1"/>
        <tr r="AC1305" s="1"/>
      </tp>
      <tp t="s">
        <v>#N/A Requesting Data...2479351726</v>
        <stp/>
        <stp>BDP|11060612338235871311</stp>
        <tr r="AC1461" s="1"/>
        <tr r="AC1461" s="1"/>
      </tp>
      <tp t="s">
        <v>#N/A Requesting Data...3323130929</v>
        <stp/>
        <stp>BDP|15947138709375375308</stp>
        <tr r="Y665" s="1"/>
        <tr r="Y665" s="1"/>
      </tp>
      <tp t="s">
        <v>#N/A Requesting Data...2203862369</v>
        <stp/>
        <stp>BDP|13787672721426614379</stp>
        <tr r="AB1159" s="1"/>
        <tr r="AB1159" s="1"/>
      </tp>
      <tp t="s">
        <v>#N/A Requesting Data...3435227803</v>
        <stp/>
        <stp>BDP|16456257505725784338</stp>
        <tr r="AB1001" s="1"/>
        <tr r="AB1001" s="1"/>
      </tp>
      <tp t="s">
        <v>#N/A Requesting Data...2464635027</v>
        <stp/>
        <stp>BDP|14551396991155414997</stp>
        <tr r="AC223" s="1"/>
        <tr r="AC223" s="1"/>
      </tp>
      <tp t="s">
        <v>#N/A Requesting Data...2438492622</v>
        <stp/>
        <stp>BDP|10692465103374218227</stp>
        <tr r="AA314" s="1"/>
        <tr r="AA314" s="1"/>
      </tp>
      <tp t="s">
        <v>#N/A Requesting Data...2429275912</v>
        <stp/>
        <stp>BDP|12560840151084295917</stp>
        <tr r="Y1477" s="1"/>
        <tr r="Y1477" s="1"/>
      </tp>
      <tp t="s">
        <v>#N/A Requesting Data...3760440288</v>
        <stp/>
        <stp>BDP|17311059883374720917</stp>
        <tr r="AC161" s="1"/>
        <tr r="AC161" s="1"/>
      </tp>
      <tp t="s">
        <v>#N/A Requesting Data...2847976361</v>
        <stp/>
        <stp>BDP|13645664722137870295</stp>
        <tr r="AC1513" s="1"/>
        <tr r="AC1513" s="1"/>
      </tp>
      <tp t="s">
        <v>#N/A Requesting Data...2351103897</v>
        <stp/>
        <stp>BDP|14923522948153219422</stp>
        <tr r="AB961" s="1"/>
        <tr r="AB961" s="1"/>
      </tp>
      <tp t="s">
        <v>#N/A Requesting Data...3259241140</v>
        <stp/>
        <stp>BDP|10028250317185780469</stp>
        <tr r="Z1152" s="1"/>
        <tr r="Z1152" s="1"/>
      </tp>
      <tp t="s">
        <v>#N/A Requesting Data...2251198715</v>
        <stp/>
        <stp>BDP|10444945245087130873</stp>
        <tr r="Z384" s="1"/>
        <tr r="Z384" s="1"/>
      </tp>
      <tp t="s">
        <v>#N/A Requesting Data...3665893088</v>
        <stp/>
        <stp>BDP|10350267531223502021</stp>
        <tr r="AC1382" s="1"/>
        <tr r="AC1382" s="1"/>
      </tp>
      <tp t="s">
        <v>#N/A Requesting Data...2291963718</v>
        <stp/>
        <stp>BDP|15209563958390697799</stp>
        <tr r="Y783" s="1"/>
        <tr r="Y783" s="1"/>
      </tp>
      <tp t="s">
        <v>#N/A Requesting Data...2451861399</v>
        <stp/>
        <stp>BDP|11529777204386529204</stp>
        <tr r="AB1493" s="1"/>
        <tr r="AB1493" s="1"/>
      </tp>
      <tp t="s">
        <v>#N/A Requesting Data...3378614141</v>
        <stp/>
        <stp>BDP|13221999054929867443</stp>
        <tr r="Z1304" s="1"/>
        <tr r="Z1304" s="1"/>
      </tp>
      <tp t="s">
        <v>#N/A Requesting Data...3546772643</v>
        <stp/>
        <stp>BDP|10476891492265477684</stp>
        <tr r="Y539" s="1"/>
        <tr r="Y539" s="1"/>
      </tp>
      <tp t="s">
        <v>#N/A Requesting Data...3796232986</v>
        <stp/>
        <stp>BDP|15532340675525063674</stp>
        <tr r="AC1377" s="1"/>
        <tr r="AC1377" s="1"/>
      </tp>
      <tp t="s">
        <v>#N/A Requesting Data...2290833510</v>
        <stp/>
        <stp>BDP|16457177926996567139</stp>
        <tr r="Z1149" s="1"/>
        <tr r="Z1149" s="1"/>
      </tp>
      <tp t="s">
        <v>#N/A Requesting Data...3561373688</v>
        <stp/>
        <stp>BDP|14597307828632631590</stp>
        <tr r="AB1458" s="1"/>
      </tp>
      <tp t="s">
        <v>#N/A Requesting Data...3529698971</v>
        <stp/>
        <stp>BDP|16450569068970982716</stp>
        <tr r="AB419" s="1"/>
        <tr r="AB419" s="1"/>
      </tp>
      <tp t="s">
        <v>#N/A Requesting Data...2921968906</v>
        <stp/>
        <stp>BDP|14227581669836249336</stp>
        <tr r="Y809" s="1"/>
        <tr r="Y809" s="1"/>
      </tp>
      <tp t="s">
        <v>#N/A Requesting Data...3877970628</v>
        <stp/>
        <stp>BDP|16459150994838212453</stp>
        <tr r="AA220" s="1"/>
        <tr r="AA220" s="1"/>
      </tp>
      <tp t="s">
        <v>#N/A Requesting Data...3344440946</v>
        <stp/>
        <stp>BDP|15318373956371094007</stp>
        <tr r="AB335" s="1"/>
        <tr r="AB335" s="1"/>
      </tp>
      <tp t="s">
        <v>#N/A Requesting Data...3437500175</v>
        <stp/>
        <stp>BDP|15567405834951364102</stp>
        <tr r="AB209" s="1"/>
        <tr r="AB209" s="1"/>
      </tp>
      <tp t="s">
        <v>#N/A Requesting Data...4082718968</v>
        <stp/>
        <stp>BDP|18157566219158493685</stp>
        <tr r="AA461" s="1"/>
        <tr r="AA461" s="1"/>
      </tp>
      <tp t="s">
        <v>#N/A Requesting Data...3133511745</v>
        <stp/>
        <stp>BDP|17309067662944647737</stp>
        <tr r="Y116" s="1"/>
        <tr r="Y116" s="1"/>
      </tp>
      <tp t="s">
        <v>#N/A Requesting Data...2645835728</v>
        <stp/>
        <stp>BDP|14679576670192488675</stp>
        <tr r="Y111" s="1"/>
        <tr r="Y111" s="1"/>
      </tp>
      <tp t="s">
        <v>#N/A Requesting Data...2442866930</v>
        <stp/>
        <stp>BDP|11390002840415650277</stp>
        <tr r="AA428" s="1"/>
        <tr r="AA428" s="1"/>
      </tp>
      <tp t="s">
        <v>#N/A Requesting Data...3668065641</v>
        <stp/>
        <stp>BDP|10204691258032044319</stp>
        <tr r="Z505" s="1"/>
        <tr r="Z505" s="1"/>
      </tp>
      <tp t="s">
        <v>#N/A Requesting Data...2817785351</v>
        <stp/>
        <stp>BDP|12552941991593515372</stp>
        <tr r="AC1065" s="1"/>
        <tr r="AC1065" s="1"/>
      </tp>
      <tp t="s">
        <v>#N/A Requesting Data...2985820583</v>
        <stp/>
        <stp>BDP|10678121414625678745</stp>
        <tr r="Y836" s="1"/>
        <tr r="Y836" s="1"/>
      </tp>
      <tp t="s">
        <v>#N/A Requesting Data...3779908588</v>
        <stp/>
        <stp>BDP|15583936893982418537</stp>
        <tr r="Y1532" s="1"/>
        <tr r="Y1532" s="1"/>
      </tp>
      <tp t="s">
        <v>#N/A Requesting Data...2600358376</v>
        <stp/>
        <stp>BDP|10558010804882792055</stp>
        <tr r="AB441" s="1"/>
        <tr r="AB441" s="1"/>
      </tp>
      <tp t="s">
        <v>#N/A Requesting Data...4290156432</v>
        <stp/>
        <stp>BDP|10610548675868413811</stp>
        <tr r="Z25" s="1"/>
        <tr r="Z25" s="1"/>
      </tp>
      <tp t="s">
        <v>#N/A Requesting Data...3824768156</v>
        <stp/>
        <stp>BDP|15305562052604326366</stp>
        <tr r="AA57" s="1"/>
        <tr r="AA57" s="1"/>
      </tp>
      <tp t="s">
        <v>#N/A Requesting Data...4073529607</v>
        <stp/>
        <stp>BDP|16432366557964234658</stp>
        <tr r="AA1175" s="1"/>
        <tr r="AA1175" s="1"/>
      </tp>
      <tp t="s">
        <v>#N/A Requesting Data...3828085765</v>
        <stp/>
        <stp>BDP|11787098705731140284</stp>
        <tr r="Z691" s="1"/>
        <tr r="Z691" s="1"/>
      </tp>
      <tp t="s">
        <v>#N/A Requesting Data...2265099973</v>
        <stp/>
        <stp>BDP|10341575300314006364</stp>
        <tr r="AB936" s="1"/>
        <tr r="AB936" s="1"/>
      </tp>
      <tp t="s">
        <v>#N/A Requesting Data...3232597143</v>
        <stp/>
        <stp>BDP|16248313751150542257</stp>
        <tr r="AA1402" s="1"/>
        <tr r="AA1402" s="1"/>
      </tp>
      <tp t="s">
        <v>#N/A Requesting Data...3005718526</v>
        <stp/>
        <stp>BDP|10665550510236901081</stp>
        <tr r="Y812" s="1"/>
        <tr r="Y812" s="1"/>
      </tp>
      <tp t="s">
        <v>#N/A Requesting Data...3953972780</v>
        <stp/>
        <stp>BDP|15785922786911619709</stp>
        <tr r="Y1465" s="1"/>
        <tr r="Y1465" s="1"/>
      </tp>
      <tp t="s">
        <v>#N/A Requesting Data...4180842934</v>
        <stp/>
        <stp>BDP|15285334382428274445</stp>
        <tr r="Z774" s="1"/>
        <tr r="Z774" s="1"/>
      </tp>
      <tp t="s">
        <v>#N/A Requesting Data...3485138839</v>
        <stp/>
        <stp>BDP|11078506225400851489</stp>
        <tr r="AC80" s="1"/>
        <tr r="AC80" s="1"/>
      </tp>
      <tp t="s">
        <v>#N/A Requesting Data...3223077013</v>
        <stp/>
        <stp>BDP|16451622145022199477</stp>
        <tr r="Y24" s="1"/>
        <tr r="Y24" s="1"/>
      </tp>
      <tp t="s">
        <v>#N/A Requesting Data...2979176731</v>
        <stp/>
        <stp>BDP|17476868014485653950</stp>
        <tr r="Y506" s="1"/>
        <tr r="Y506" s="1"/>
      </tp>
      <tp t="s">
        <v>#N/A Requesting Data...3913123666</v>
        <stp/>
        <stp>BDP|17714448038922964078</stp>
        <tr r="Y1536" s="1"/>
        <tr r="Y1536" s="1"/>
      </tp>
      <tp t="s">
        <v>#N/A Requesting Data...3884447216</v>
        <stp/>
        <stp>BDP|11790522950421823281</stp>
        <tr r="AC1150" s="1"/>
        <tr r="AC1150" s="1"/>
      </tp>
      <tp t="s">
        <v>#N/A Requesting Data...2795564360</v>
        <stp/>
        <stp>BDP|15791359121791352754</stp>
        <tr r="Z1565" s="1"/>
        <tr r="Z1565" s="1"/>
      </tp>
      <tp t="s">
        <v>#N/A Requesting Data...2799489488</v>
        <stp/>
        <stp>BDP|14606441934398665951</stp>
        <tr r="AC206" s="1"/>
        <tr r="AC206" s="1"/>
      </tp>
      <tp t="s">
        <v>#N/A Requesting Data...2902880497</v>
        <stp/>
        <stp>BDP|15330335922937080173</stp>
        <tr r="AB285" s="1"/>
        <tr r="AB285" s="1"/>
      </tp>
      <tp t="s">
        <v>#N/A Requesting Data...3584201863</v>
        <stp/>
        <stp>BDP|10614571329143999653</stp>
        <tr r="Z1615" s="1"/>
        <tr r="Z1615" s="1"/>
      </tp>
      <tp t="s">
        <v>#N/A Requesting Data...3251948634</v>
        <stp/>
        <stp>BDP|14119446447185383355</stp>
        <tr r="AC1600" s="1"/>
        <tr r="AC1600" s="1"/>
      </tp>
      <tp t="s">
        <v>#N/A Requesting Data...4223434538</v>
        <stp/>
        <stp>BDP|11126165225808068860</stp>
        <tr r="Y1567" s="1"/>
        <tr r="Y1567" s="1"/>
      </tp>
      <tp t="s">
        <v>#N/A Requesting Data...4225538196</v>
        <stp/>
        <stp>BDP|17494725401891245319</stp>
        <tr r="AB1327" s="1"/>
        <tr r="AB1327" s="1"/>
      </tp>
      <tp t="s">
        <v>#N/A Requesting Data...3819180158</v>
        <stp/>
        <stp>BDP|18266030653619301659</stp>
        <tr r="Y1349" s="1"/>
        <tr r="Y1349" s="1"/>
      </tp>
      <tp t="s">
        <v>#N/A Requesting Data...3109853481</v>
        <stp/>
        <stp>BDP|10637628275640312362</stp>
        <tr r="AA158" s="1"/>
        <tr r="AA158" s="1"/>
      </tp>
      <tp t="s">
        <v>#N/A Requesting Data...3011145863</v>
        <stp/>
        <stp>BDP|17726871422419498623</stp>
        <tr r="AC1217" s="1"/>
        <tr r="AC1217" s="1"/>
      </tp>
      <tp t="s">
        <v>#N/A Requesting Data...4092557302</v>
        <stp/>
        <stp>BDP|14669509837217687739</stp>
        <tr r="Y1208" s="1"/>
        <tr r="Y1208" s="1"/>
      </tp>
      <tp t="s">
        <v>#N/A Requesting Data...3627103499</v>
        <stp/>
        <stp>BDP|15813814803576776994</stp>
        <tr r="AA1120" s="1"/>
        <tr r="AA1120" s="1"/>
      </tp>
      <tp t="s">
        <v>#N/A Requesting Data...3324596454</v>
        <stp/>
        <stp>BDP|16583847988895915145</stp>
        <tr r="Z1030" s="1"/>
        <tr r="Z1030" s="1"/>
      </tp>
      <tp t="s">
        <v>#N/A Requesting Data...3550882934</v>
        <stp/>
        <stp>BDP|10813983173628246452</stp>
        <tr r="Z487" s="1"/>
        <tr r="Z487" s="1"/>
      </tp>
      <tp t="s">
        <v>#N/A Requesting Data...2663325600</v>
        <stp/>
        <stp>BDP|18222726644549361035</stp>
        <tr r="Y1473" s="1"/>
        <tr r="Y1473" s="1"/>
      </tp>
      <tp t="s">
        <v>#N/A Requesting Data...2390184906</v>
        <stp/>
        <stp>BDP|12533166429342825165</stp>
        <tr r="Z970" s="1"/>
        <tr r="Z970" s="1"/>
      </tp>
      <tp t="s">
        <v>#N/A Requesting Data...2656311276</v>
        <stp/>
        <stp>BDP|17025275431081371510</stp>
        <tr r="Z1292" s="1"/>
        <tr r="Z1292" s="1"/>
      </tp>
      <tp t="s">
        <v>#N/A Requesting Data...3839604365</v>
        <stp/>
        <stp>BDP|14933749810001128188</stp>
        <tr r="Z1372" s="1"/>
        <tr r="Z1372" s="1"/>
      </tp>
      <tp t="s">
        <v>#N/A Requesting Data...2405238202</v>
        <stp/>
        <stp>BDP|11815639256026187680</stp>
        <tr r="Z270" s="1"/>
        <tr r="Z270" s="1"/>
      </tp>
      <tp t="s">
        <v>#N/A Requesting Data...3843673038</v>
        <stp/>
        <stp>BDP|16964475252494967116</stp>
        <tr r="Z1475" s="1"/>
        <tr r="Z1475" s="1"/>
      </tp>
      <tp t="s">
        <v>#N/A Requesting Data...2262646588</v>
        <stp/>
        <stp>BDP|12709336294398651226</stp>
        <tr r="Y438" s="1"/>
        <tr r="Y438" s="1"/>
      </tp>
      <tp t="s">
        <v>#N/A Requesting Data...2603231059</v>
        <stp/>
        <stp>BDP|12119656049145176785</stp>
        <tr r="AA640" s="1"/>
        <tr r="AA640" s="1"/>
      </tp>
      <tp t="s">
        <v>#N/A Requesting Data...3892162506</v>
        <stp/>
        <stp>BDP|15480519606891054378</stp>
        <tr r="AC1559" s="1"/>
        <tr r="AC1559" s="1"/>
      </tp>
      <tp t="s">
        <v>#N/A Requesting Data...3411290598</v>
        <stp/>
        <stp>BDP|11664018077242656612</stp>
        <tr r="AA860" s="1"/>
        <tr r="AA860" s="1"/>
      </tp>
      <tp t="s">
        <v>#N/A Requesting Data...3984113240</v>
        <stp/>
        <stp>BDP|11599282529357670455</stp>
        <tr r="AC1083" s="1"/>
        <tr r="AC1083" s="1"/>
      </tp>
      <tp t="s">
        <v>#N/A Requesting Data...3695665370</v>
        <stp/>
        <stp>BDP|10048268707740106073</stp>
        <tr r="AB1075" s="1"/>
        <tr r="AB1075" s="1"/>
      </tp>
      <tp t="s">
        <v>#N/A Requesting Data...4083497204</v>
        <stp/>
        <stp>BDP|10824988864064511963</stp>
        <tr r="AA1240" s="1"/>
        <tr r="AA1240" s="1"/>
      </tp>
      <tp t="s">
        <v>#N/A Requesting Data...2693044965</v>
        <stp/>
        <stp>BDP|17124826071848337260</stp>
        <tr r="AA273" s="1"/>
        <tr r="AA273" s="1"/>
      </tp>
      <tp t="s">
        <v>#N/A Requesting Data...2529545765</v>
        <stp/>
        <stp>BDP|11546312031500649349</stp>
        <tr r="Z494" s="1"/>
        <tr r="Z494" s="1"/>
      </tp>
      <tp t="s">
        <v>#N/A Requesting Data...3249043985</v>
        <stp/>
        <stp>BDP|12475338807023397048</stp>
        <tr r="AA896" s="1"/>
        <tr r="AA896" s="1"/>
      </tp>
      <tp t="s">
        <v>#N/A Requesting Data...4271913922</v>
        <stp/>
        <stp>BDP|17062568925922081042</stp>
        <tr r="AC1047" s="1"/>
        <tr r="AC1047" s="1"/>
      </tp>
      <tp t="s">
        <v>#N/A Requesting Data...3390214956</v>
        <stp/>
        <stp>BDP|13995449665762881173</stp>
        <tr r="AB482" s="1"/>
        <tr r="AB482" s="1"/>
      </tp>
      <tp t="s">
        <v>#N/A Requesting Data...3612810815</v>
        <stp/>
        <stp>BDP|15005171515634654331</stp>
        <tr r="Z1587" s="1"/>
      </tp>
      <tp t="s">
        <v>#N/A Requesting Data...4209989865</v>
        <stp/>
        <stp>BDP|14607157342360200347</stp>
        <tr r="AA156" s="1"/>
        <tr r="AA156" s="1"/>
      </tp>
      <tp t="s">
        <v>#N/A Requesting Data...4187180196</v>
        <stp/>
        <stp>BDP|13591085925877657493</stp>
        <tr r="AA880" s="1"/>
        <tr r="AA880" s="1"/>
      </tp>
      <tp t="s">
        <v>#N/A Requesting Data...2475237619</v>
        <stp/>
        <stp>BDP|13105581270202830161</stp>
        <tr r="AC728" s="1"/>
        <tr r="AC728" s="1"/>
      </tp>
      <tp t="s">
        <v>#N/A Requesting Data...3875687943</v>
        <stp/>
        <stp>BDP|14778128697966333865</stp>
        <tr r="Z391" s="1"/>
        <tr r="Z391" s="1"/>
      </tp>
      <tp t="s">
        <v>#N/A Requesting Data...4155192898</v>
        <stp/>
        <stp>BDP|13083920854469985483</stp>
        <tr r="AB583" s="1"/>
        <tr r="AB583" s="1"/>
      </tp>
      <tp t="s">
        <v>#N/A Requesting Data...3933020000</v>
        <stp/>
        <stp>BDP|10161714360757030473</stp>
        <tr r="Y1116" s="1"/>
        <tr r="Y1116" s="1"/>
      </tp>
      <tp t="s">
        <v>#N/A Requesting Data...2471966108</v>
        <stp/>
        <stp>BDP|10116657226204667237</stp>
        <tr r="AC1027" s="1"/>
        <tr r="AC1027" s="1"/>
      </tp>
      <tp t="s">
        <v>#N/A Requesting Data...3153018335</v>
        <stp/>
        <stp>BDP|14117765565183558404</stp>
        <tr r="Y925" s="1"/>
        <tr r="Y925" s="1"/>
      </tp>
      <tp t="s">
        <v>#N/A Requesting Data...2645861732</v>
        <stp/>
        <stp>BDP|15695057214604245228</stp>
        <tr r="AB1161" s="1"/>
        <tr r="AB1161" s="1"/>
      </tp>
      <tp t="s">
        <v>#N/A Requesting Data...4056109077</v>
        <stp/>
        <stp>BDP|12142632069182450299</stp>
        <tr r="Z825" s="1"/>
        <tr r="Z825" s="1"/>
      </tp>
      <tp t="s">
        <v>#N/A Requesting Data...2644800338</v>
        <stp/>
        <stp>BDP|14130451839395992423</stp>
        <tr r="Y377" s="1"/>
        <tr r="Y377" s="1"/>
      </tp>
      <tp t="s">
        <v>#N/A Requesting Data...3996573606</v>
        <stp/>
        <stp>BDP|11150601662953146043</stp>
        <tr r="AC1245" s="1"/>
        <tr r="AC1245" s="1"/>
      </tp>
      <tp t="s">
        <v>#N/A Requesting Data...3327055836</v>
        <stp/>
        <stp>BDP|11677009397622703801</stp>
        <tr r="Y760" s="1"/>
        <tr r="Y760" s="1"/>
      </tp>
      <tp t="s">
        <v>#N/A Requesting Data...3491515670</v>
        <stp/>
        <stp>BDP|11302689557732217286</stp>
        <tr r="Z475" s="1"/>
        <tr r="Z475" s="1"/>
      </tp>
      <tp t="s">
        <v>#N/A Requesting Data...2499943546</v>
        <stp/>
        <stp>BDP|14309537671061466539</stp>
        <tr r="Z1170" s="1"/>
        <tr r="Z1170" s="1"/>
      </tp>
      <tp t="s">
        <v>#N/A Requesting Data...3771659757</v>
        <stp/>
        <stp>BDP|13968597422187640129</stp>
        <tr r="AC343" s="1"/>
        <tr r="AC343" s="1"/>
      </tp>
      <tp t="s">
        <v>#N/A Requesting Data...3377692217</v>
        <stp/>
        <stp>BDP|14820267589519083514</stp>
        <tr r="Y979" s="1"/>
        <tr r="Y979" s="1"/>
      </tp>
      <tp t="s">
        <v>#N/A Requesting Data...2642948274</v>
        <stp/>
        <stp>BDP|10429841474045174836</stp>
        <tr r="Y929" s="1"/>
        <tr r="Y929" s="1"/>
      </tp>
      <tp t="s">
        <v>#N/A Requesting Data...3228395019</v>
        <stp/>
        <stp>BDP|14689016876898145967</stp>
        <tr r="AC481" s="1"/>
        <tr r="AC481" s="1"/>
      </tp>
      <tp t="s">
        <v>#N/A Requesting Data...3123380601</v>
        <stp/>
        <stp>BDP|16676542805615762460</stp>
        <tr r="AC1178" s="1"/>
        <tr r="AC1178" s="1"/>
      </tp>
      <tp>
        <v>3.26</v>
        <stp/>
        <stp>BDP|1445833926067434299|22</stp>
        <stp>CYH US Equity</stp>
        <stp>LAST_PRICE</stp>
        <tr r="AD428" s="1"/>
        <tr r="AD428" s="1"/>
      </tp>
      <tp t="s">
        <v>#N/A N/A</v>
        <stp/>
        <stp>BDP|6639333136604500583|22</stp>
        <stp>IME CN Equity</stp>
        <stp>LAST_PRICE</stp>
        <tr r="AD727" s="1"/>
      </tp>
      <tp>
        <v>0.27</v>
        <stp/>
        <stp>BDP|9470891432614838014|22</stp>
        <stp>NLH CN Equity</stp>
        <stp>LAST_PRICE</stp>
        <tr r="AD1051" s="1"/>
        <tr r="AD1051" s="1"/>
      </tp>
      <tp>
        <v>130.49</v>
        <stp/>
        <stp>BDP|25080474322142466|22</stp>
        <stp>ABT US Equity</stp>
        <stp>LAST_PRICE</stp>
        <tr r="AD14" s="1"/>
        <tr r="AD14" s="1"/>
      </tp>
      <tp>
        <v>18.57</v>
        <stp/>
        <stp>BDP|949811242541864537|22</stp>
        <stp>ARWR US Equity</stp>
        <stp>LAST_PRICE</stp>
        <tr r="AD170" s="1"/>
        <tr r="AD170" s="1"/>
      </tp>
      <tp t="s">
        <v>#N/A Requesting Data...2976472886</v>
        <stp/>
        <stp>BDP|12048699605023779421</stp>
        <tr r="Y1184" s="1"/>
        <tr r="Y1184" s="1"/>
      </tp>
      <tp t="s">
        <v>#N/A Requesting Data...3163357693</v>
        <stp/>
        <stp>BDP|13831616405896011056</stp>
        <tr r="Y1040" s="1"/>
        <tr r="Y1040" s="1"/>
      </tp>
      <tp t="s">
        <v>#N/A Requesting Data...2983368142</v>
        <stp/>
        <stp>BDP|14352410258992530465</stp>
        <tr r="AA1438" s="1"/>
        <tr r="AA1438" s="1"/>
      </tp>
      <tp t="s">
        <v>#N/A Requesting Data...2915159518</v>
        <stp/>
        <stp>BDP|14701663011924854410</stp>
        <tr r="AB169" s="1"/>
        <tr r="AB169" s="1"/>
      </tp>
      <tp t="s">
        <v>#N/A Requesting Data...2553902595</v>
        <stp/>
        <stp>BDP|16895852102695760815</stp>
        <tr r="AA213" s="1"/>
        <tr r="AA213" s="1"/>
      </tp>
      <tp t="s">
        <v>#N/A Requesting Data...2866497070</v>
        <stp/>
        <stp>BDP|13797590936581966784</stp>
        <tr r="AC1602" s="1"/>
        <tr r="AC1602" s="1"/>
      </tp>
      <tp t="s">
        <v>#N/A Requesting Data...3093623792</v>
        <stp/>
        <stp>BDP|12993478971583750112</stp>
        <tr r="Y1121" s="1"/>
        <tr r="Y1121" s="1"/>
      </tp>
      <tp t="s">
        <v>#N/A Requesting Data...2286637590</v>
        <stp/>
        <stp>BDP|14087818127709731486</stp>
        <tr r="AC137" s="1"/>
        <tr r="AC137" s="1"/>
      </tp>
      <tp t="s">
        <v>#N/A Requesting Data...3677515862</v>
        <stp/>
        <stp>BDP|13727857159808765559</stp>
        <tr r="Z1492" s="1"/>
        <tr r="Z1492" s="1"/>
      </tp>
      <tp t="s">
        <v>#N/A Requesting Data...4245818560</v>
        <stp/>
        <stp>BDP|12111935598292459372</stp>
        <tr r="AA653" s="1"/>
        <tr r="AA653" s="1"/>
      </tp>
      <tp t="s">
        <v>#N/A Requesting Data...2452280231</v>
        <stp/>
        <stp>BDP|10056392807161356143</stp>
        <tr r="AC267" s="1"/>
        <tr r="AC267" s="1"/>
      </tp>
      <tp t="s">
        <v>#N/A Requesting Data...2692047666</v>
        <stp/>
        <stp>BDP|12293597375842171161</stp>
        <tr r="Y399" s="1"/>
        <tr r="Y399" s="1"/>
      </tp>
      <tp t="s">
        <v>#N/A Requesting Data...2626576490</v>
        <stp/>
        <stp>BDP|11825084702520243297</stp>
        <tr r="AB605" s="1"/>
        <tr r="AB605" s="1"/>
      </tp>
      <tp t="s">
        <v>#N/A Requesting Data...4137733931</v>
        <stp/>
        <stp>BDP|12952354463460042466</stp>
        <tr r="AB1560" s="1"/>
        <tr r="AB1560" s="1"/>
      </tp>
      <tp t="s">
        <v>#N/A Requesting Data...4144547912</v>
        <stp/>
        <stp>BDP|11919605239027892018</stp>
        <tr r="Z322" s="1"/>
        <tr r="Z322" s="1"/>
      </tp>
      <tp t="s">
        <v>#N/A Requesting Data...3259090750</v>
        <stp/>
        <stp>BDP|11624238259832705727</stp>
        <tr r="AC440" s="1"/>
        <tr r="AC440" s="1"/>
      </tp>
      <tp t="s">
        <v>#N/A Requesting Data...3825084919</v>
        <stp/>
        <stp>BDP|16947570349161945575</stp>
        <tr r="AC897" s="1"/>
        <tr r="AC897" s="1"/>
      </tp>
      <tp t="s">
        <v>#N/A Requesting Data...2675727151</v>
        <stp/>
        <stp>BDP|17845237492169488651</stp>
        <tr r="AC1438" s="1"/>
        <tr r="AC1438" s="1"/>
      </tp>
      <tp t="s">
        <v>#N/A Requesting Data...3067648089</v>
        <stp/>
        <stp>BDP|10632515774302392386</stp>
        <tr r="AC111" s="1"/>
        <tr r="AC111" s="1"/>
      </tp>
      <tp t="s">
        <v>#N/A Requesting Data...3198554614</v>
        <stp/>
        <stp>BDP|13807250513604485724</stp>
        <tr r="AA805" s="1"/>
        <tr r="AA805" s="1"/>
      </tp>
      <tp t="s">
        <v>#N/A Requesting Data...2523391397</v>
        <stp/>
        <stp>BDP|12304815897984947442</stp>
        <tr r="AC679" s="1"/>
        <tr r="AC679" s="1"/>
      </tp>
      <tp t="s">
        <v>#N/A Requesting Data...4231768797</v>
        <stp/>
        <stp>BDP|12581702256725370683</stp>
        <tr r="AB534" s="1"/>
        <tr r="AB534" s="1"/>
      </tp>
      <tp t="s">
        <v>#N/A Requesting Data...3754675674</v>
        <stp/>
        <stp>BDP|15052106260955162493</stp>
        <tr r="Y1266" s="1"/>
        <tr r="Y1266" s="1"/>
      </tp>
      <tp t="s">
        <v>#N/A Requesting Data...2681129929</v>
        <stp/>
        <stp>BDP|13666220264020855401</stp>
        <tr r="AC857" s="1"/>
        <tr r="AC857" s="1"/>
      </tp>
      <tp t="s">
        <v>#N/A Requesting Data...2486177448</v>
        <stp/>
        <stp>BDP|15364582582809115209</stp>
        <tr r="AC229" s="1"/>
        <tr r="AC229" s="1"/>
      </tp>
      <tp t="s">
        <v>#N/A Requesting Data...3971386752</v>
        <stp/>
        <stp>BDP|11811135314445560722</stp>
        <tr r="AC488" s="1"/>
        <tr r="AC488" s="1"/>
      </tp>
      <tp t="s">
        <v>#N/A Requesting Data...4094592254</v>
        <stp/>
        <stp>BDP|10325425008591619648</stp>
        <tr r="AC1109" s="1"/>
        <tr r="AC1109" s="1"/>
      </tp>
      <tp t="s">
        <v>#N/A Requesting Data...3573506874</v>
        <stp/>
        <stp>BDP|15680143678550479053</stp>
        <tr r="AC252" s="1"/>
        <tr r="AC252" s="1"/>
      </tp>
      <tp t="s">
        <v>#N/A Requesting Data...2919664738</v>
        <stp/>
        <stp>BDP|10337649509575769020</stp>
        <tr r="AC1131" s="1"/>
        <tr r="AC1131" s="1"/>
      </tp>
      <tp t="s">
        <v>#N/A Requesting Data...2880549004</v>
        <stp/>
        <stp>BDP|16428173149479156909</stp>
        <tr r="AB902" s="1"/>
        <tr r="AB902" s="1"/>
      </tp>
      <tp t="s">
        <v>#N/A Requesting Data...2321788712</v>
        <stp/>
        <stp>BDP|10959792249825232503</stp>
        <tr r="AC158" s="1"/>
        <tr r="AC158" s="1"/>
      </tp>
      <tp t="s">
        <v>#N/A Requesting Data...3133609770</v>
        <stp/>
        <stp>BDP|13593521251341938146</stp>
        <tr r="AC347" s="1"/>
        <tr r="AC347" s="1"/>
      </tp>
      <tp t="s">
        <v>#N/A Requesting Data...2723591797</v>
        <stp/>
        <stp>BDP|12438636258013092142</stp>
        <tr r="Y1449" s="1"/>
        <tr r="Y1449" s="1"/>
      </tp>
      <tp t="s">
        <v>#N/A Requesting Data...2315809543</v>
        <stp/>
        <stp>BDP|11752549925605949043</stp>
        <tr r="AA155" s="1"/>
        <tr r="AA155" s="1"/>
      </tp>
      <tp t="s">
        <v>#N/A Requesting Data...4122877960</v>
        <stp/>
        <stp>BDP|17472650019440340304</stp>
        <tr r="AC1332" s="1"/>
        <tr r="AC1332" s="1"/>
      </tp>
      <tp t="s">
        <v>#N/A Requesting Data...4079635586</v>
        <stp/>
        <stp>BDP|17584360058971823380</stp>
        <tr r="AA1421" s="1"/>
        <tr r="AA1421" s="1"/>
      </tp>
      <tp t="s">
        <v>#N/A Requesting Data...2893924689</v>
        <stp/>
        <stp>BDP|14319420001390865336</stp>
        <tr r="AC1082" s="1"/>
      </tp>
      <tp t="s">
        <v>#N/A Requesting Data...4063574432</v>
        <stp/>
        <stp>BDP|11338542106094850326</stp>
        <tr r="Y1393" s="1"/>
      </tp>
      <tp t="s">
        <v>#N/A Requesting Data...3112160263</v>
        <stp/>
        <stp>BDP|13947357150934199262</stp>
        <tr r="AC431" s="1"/>
        <tr r="AC431" s="1"/>
      </tp>
      <tp t="s">
        <v>#N/A Requesting Data...3675303820</v>
        <stp/>
        <stp>BDP|14342783475145235274</stp>
        <tr r="AC330" s="1"/>
        <tr r="AC330" s="1"/>
      </tp>
      <tp t="s">
        <v>#N/A Requesting Data...2958929171</v>
        <stp/>
        <stp>BDP|16619065368765019634</stp>
        <tr r="Z278" s="1"/>
        <tr r="Z278" s="1"/>
      </tp>
      <tp t="s">
        <v>#N/A Requesting Data...3979229092</v>
        <stp/>
        <stp>BDP|18432825849312096549</stp>
        <tr r="Y1062" s="1"/>
        <tr r="Y1062" s="1"/>
      </tp>
      <tp t="s">
        <v>#N/A Requesting Data...2496040050</v>
        <stp/>
        <stp>BDP|16124252000460796788</stp>
        <tr r="AA471" s="1"/>
        <tr r="AA471" s="1"/>
      </tp>
      <tp t="s">
        <v>#N/A Requesting Data...3983612539</v>
        <stp/>
        <stp>BDP|10797238428192750101</stp>
        <tr r="AB513" s="1"/>
        <tr r="AB513" s="1"/>
      </tp>
      <tp t="s">
        <v>#N/A Requesting Data...2347323582</v>
        <stp/>
        <stp>BDP|15951749344311227409</stp>
        <tr r="Z653" s="1"/>
        <tr r="Z653" s="1"/>
      </tp>
      <tp t="s">
        <v>#N/A Requesting Data...2472894257</v>
        <stp/>
        <stp>BDP|16763518879637499005</stp>
        <tr r="AC889" s="1"/>
        <tr r="AC889" s="1"/>
      </tp>
      <tp t="s">
        <v>#N/A Requesting Data...2945592300</v>
        <stp/>
        <stp>BDP|10093857451099951770</stp>
        <tr r="Z937" s="1"/>
        <tr r="Z937" s="1"/>
      </tp>
      <tp t="s">
        <v>#N/A Requesting Data...4290201766</v>
        <stp/>
        <stp>BDP|10511573329872976686</stp>
        <tr r="AA110" s="1"/>
        <tr r="AA110" s="1"/>
      </tp>
      <tp t="s">
        <v>#N/A Requesting Data...3441124696</v>
        <stp/>
        <stp>BDP|13682311870625916146</stp>
        <tr r="Z61" s="1"/>
        <tr r="Z61" s="1"/>
      </tp>
      <tp t="s">
        <v>#N/A Requesting Data...3253561705</v>
        <stp/>
        <stp>BDP|16013189422641736772</stp>
        <tr r="AA822" s="1"/>
        <tr r="AA822" s="1"/>
      </tp>
      <tp t="s">
        <v>#N/A Requesting Data...3919825056</v>
        <stp/>
        <stp>BDP|13307153558841667522</stp>
        <tr r="AC1333" s="1"/>
        <tr r="AC1333" s="1"/>
      </tp>
      <tp t="s">
        <v>#N/A Requesting Data...3600568262</v>
        <stp/>
        <stp>BDP|11290865575635361881</stp>
        <tr r="Y578" s="1"/>
        <tr r="Y578" s="1"/>
      </tp>
      <tp t="s">
        <v>#N/A Requesting Data...4043414266</v>
        <stp/>
        <stp>BDP|10949184856015950247</stp>
        <tr r="AB361" s="1"/>
        <tr r="AB361" s="1"/>
      </tp>
      <tp t="s">
        <v>#N/A Requesting Data...2792142815</v>
        <stp/>
        <stp>BDP|14913037580256663963</stp>
        <tr r="AB234" s="1"/>
        <tr r="AB234" s="1"/>
      </tp>
      <tp t="s">
        <v>#N/A Requesting Data...3879226512</v>
        <stp/>
        <stp>BDP|18098854057266080081</stp>
        <tr r="Y289" s="1"/>
        <tr r="Y289" s="1"/>
      </tp>
      <tp t="s">
        <v>#N/A Requesting Data...4107394164</v>
        <stp/>
        <stp>BDP|12529134047204299099</stp>
        <tr r="Z1396" s="1"/>
        <tr r="Z1396" s="1"/>
      </tp>
      <tp t="s">
        <v>#N/A Requesting Data...2860902367</v>
        <stp/>
        <stp>BDP|14032138762751993121</stp>
        <tr r="Z764" s="1"/>
        <tr r="Z764" s="1"/>
      </tp>
      <tp t="s">
        <v>#N/A Requesting Data...3583098666</v>
        <stp/>
        <stp>BDP|17605387210723046540</stp>
        <tr r="Z1024" s="1"/>
        <tr r="Z1024" s="1"/>
      </tp>
      <tp>
        <v>0.48499999999999999</v>
        <stp/>
        <stp>BDP|8345486660723745017|22</stp>
        <stp>MBX CN Equity</stp>
        <stp>LAST_PRICE</stp>
        <tr r="AD952" s="1"/>
        <tr r="AD952" s="1"/>
      </tp>
      <tp t="s">
        <v>#N/A Requesting Data...2478838548</v>
        <stp/>
        <stp>BDP|13839002221594776639</stp>
        <tr r="AC1401" s="1"/>
        <tr r="AC1401" s="1"/>
      </tp>
      <tp t="s">
        <v>#N/A Requesting Data...3182477029</v>
        <stp/>
        <stp>BDP|15826676476920561711</stp>
        <tr r="Z1577" s="1"/>
        <tr r="Z1577" s="1"/>
      </tp>
      <tp t="s">
        <v>#N/A Requesting Data...3641295786</v>
        <stp/>
        <stp>BDP|16185394263369114977</stp>
        <tr r="AC1314" s="1"/>
        <tr r="AC1314" s="1"/>
      </tp>
      <tp t="s">
        <v>#N/A Requesting Data...4291229440</v>
        <stp/>
        <stp>BDP|17355749699528146224</stp>
        <tr r="Z1361" s="1"/>
        <tr r="Z1361" s="1"/>
      </tp>
      <tp t="s">
        <v>#N/A Requesting Data...3923629509</v>
        <stp/>
        <stp>BDP|17419349364454869512</stp>
        <tr r="AB15" s="1"/>
        <tr r="AB15" s="1"/>
      </tp>
      <tp t="s">
        <v>#N/A Requesting Data...3436070375</v>
        <stp/>
        <stp>BDP|11557027338722590373</stp>
        <tr r="Y1579" s="1"/>
        <tr r="Y1579" s="1"/>
      </tp>
      <tp t="s">
        <v>#N/A Requesting Data...4275935952</v>
        <stp/>
        <stp>BDP|13593678939635086063</stp>
        <tr r="AB1169" s="1"/>
        <tr r="AB1169" s="1"/>
      </tp>
      <tp t="s">
        <v>#N/A Requesting Data...4068096153</v>
        <stp/>
        <stp>BDP|11977009324186048607</stp>
        <tr r="Y1469" s="1"/>
        <tr r="Y1469" s="1"/>
      </tp>
      <tp t="s">
        <v>#N/A Requesting Data...3982633343</v>
        <stp/>
        <stp>BDP|11170235358926546323</stp>
        <tr r="Y196" s="1"/>
        <tr r="Y196" s="1"/>
      </tp>
      <tp t="s">
        <v>#N/A Requesting Data...2432732527</v>
        <stp/>
        <stp>BDP|12637073658650429407</stp>
        <tr r="AA1470" s="1"/>
        <tr r="AA1470" s="1"/>
      </tp>
      <tp t="s">
        <v>#N/A Requesting Data...2912605804</v>
        <stp/>
        <stp>BDP|12081994395030284137</stp>
        <tr r="AB449" s="1"/>
        <tr r="AB449" s="1"/>
      </tp>
      <tp t="s">
        <v>#N/A Requesting Data...3738470216</v>
        <stp/>
        <stp>BDP|13397593746745066418</stp>
        <tr r="AC1428" s="1"/>
        <tr r="AC1428" s="1"/>
      </tp>
      <tp t="s">
        <v>#N/A Requesting Data...3602119409</v>
        <stp/>
        <stp>BDP|15283417606910176292</stp>
        <tr r="AC1387" s="1"/>
      </tp>
      <tp t="s">
        <v>#N/A Requesting Data...3379435661</v>
        <stp/>
        <stp>BDP|18247214104170948937</stp>
        <tr r="Z959" s="1"/>
        <tr r="Z959" s="1"/>
      </tp>
      <tp t="s">
        <v>#N/A Requesting Data...2569672211</v>
        <stp/>
        <stp>BDP|16715657807731910211</stp>
        <tr r="Y669" s="1"/>
        <tr r="Y669" s="1"/>
      </tp>
      <tp t="s">
        <v>#N/A Requesting Data...3980224278</v>
        <stp/>
        <stp>BDP|16007087636072401477</stp>
        <tr r="Z668" s="1"/>
        <tr r="Z668" s="1"/>
      </tp>
      <tp t="s">
        <v>#N/A Requesting Data...2980593374</v>
        <stp/>
        <stp>BDP|14547283739537073195</stp>
        <tr r="AA742" s="1"/>
        <tr r="AA742" s="1"/>
      </tp>
      <tp t="s">
        <v>#N/A Requesting Data...4250752641</v>
        <stp/>
        <stp>BDP|18301951975950686587</stp>
        <tr r="Z33" s="1"/>
        <tr r="Z33" s="1"/>
      </tp>
      <tp t="s">
        <v>#N/A Requesting Data...3612363983</v>
        <stp/>
        <stp>BDP|12226668339680134419</stp>
        <tr r="Y5" s="1"/>
        <tr r="Y5" s="1"/>
      </tp>
      <tp t="s">
        <v>#N/A Requesting Data...3439832246</v>
        <stp/>
        <stp>BDP|17458206664034405488</stp>
        <tr r="AA121" s="1"/>
        <tr r="AA121" s="1"/>
      </tp>
      <tp t="s">
        <v>#N/A Requesting Data...2754583184</v>
        <stp/>
        <stp>BDP|10798885550557384908</stp>
        <tr r="Z674" s="1"/>
        <tr r="Z674" s="1"/>
      </tp>
      <tp t="s">
        <v>#N/A Requesting Data...2909249903</v>
        <stp/>
        <stp>BDP|17115623444365318389</stp>
        <tr r="Y1010" s="1"/>
        <tr r="Y1010" s="1"/>
      </tp>
      <tp t="s">
        <v>#N/A Requesting Data...2437748383</v>
        <stp/>
        <stp>BDP|12522601858863857197</stp>
        <tr r="Y180" s="1"/>
        <tr r="Y180" s="1"/>
      </tp>
      <tp t="s">
        <v>#N/A Requesting Data...3969929882</v>
        <stp/>
        <stp>BDP|13834269640966024028</stp>
        <tr r="Z244" s="1"/>
        <tr r="Z244" s="1"/>
      </tp>
      <tp t="s">
        <v>#N/A Requesting Data...3924121691</v>
        <stp/>
        <stp>BDP|16841733414711692251</stp>
        <tr r="AA1001" s="1"/>
        <tr r="AA1001" s="1"/>
      </tp>
      <tp t="s">
        <v>#N/A Requesting Data...2724352820</v>
        <stp/>
        <stp>BDP|14955765494138164168</stp>
        <tr r="AB1548" s="1"/>
        <tr r="AB1548" s="1"/>
      </tp>
      <tp t="s">
        <v>#N/A Requesting Data...3906378016</v>
        <stp/>
        <stp>BDP|14838267437793197545</stp>
        <tr r="AC280" s="1"/>
        <tr r="AC280" s="1"/>
      </tp>
      <tp t="s">
        <v>#N/A Requesting Data...3104296366</v>
        <stp/>
        <stp>BDP|11103566809806692149</stp>
        <tr r="Z1222" s="1"/>
        <tr r="Z1222" s="1"/>
      </tp>
      <tp t="s">
        <v>#N/A Requesting Data...3598380610</v>
        <stp/>
        <stp>BDP|14757560070631546489</stp>
        <tr r="AA814" s="1"/>
        <tr r="AA814" s="1"/>
      </tp>
      <tp t="s">
        <v>#N/A Requesting Data...2504226842</v>
        <stp/>
        <stp>BDP|14261822199962668438</stp>
        <tr r="Y1262" s="1"/>
        <tr r="Y1262" s="1"/>
      </tp>
      <tp t="s">
        <v>#N/A Requesting Data...4291803638</v>
        <stp/>
        <stp>BDP|10518394313786156724</stp>
        <tr r="Y1260" s="1"/>
        <tr r="Y1260" s="1"/>
      </tp>
      <tp t="s">
        <v>#N/A Requesting Data...2812641637</v>
        <stp/>
        <stp>BDP|11893649621563953583</stp>
        <tr r="AA1104" s="1"/>
        <tr r="AA1104" s="1"/>
      </tp>
      <tp t="s">
        <v>#N/A Requesting Data...2974378511</v>
        <stp/>
        <stp>BDP|16348009915960277481</stp>
        <tr r="AB1432" s="1"/>
        <tr r="AB1432" s="1"/>
      </tp>
      <tp t="s">
        <v>#N/A Requesting Data...2535323492</v>
        <stp/>
        <stp>BDP|13591622549830241206</stp>
        <tr r="Y565" s="1"/>
        <tr r="Y565" s="1"/>
      </tp>
      <tp t="s">
        <v>#N/A Requesting Data...3317645512</v>
        <stp/>
        <stp>BDP|13295539508117652235</stp>
        <tr r="AC20" s="1"/>
        <tr r="AC20" s="1"/>
      </tp>
      <tp t="s">
        <v>#N/A Requesting Data...3054311801</v>
        <stp/>
        <stp>BDP|16655696930459690958</stp>
        <tr r="Y416" s="1"/>
        <tr r="Y416" s="1"/>
      </tp>
      <tp t="s">
        <v>#N/A Requesting Data...2732963900</v>
        <stp/>
        <stp>BDP|11116757154453885373</stp>
        <tr r="Z239" s="1"/>
        <tr r="Z239" s="1"/>
      </tp>
      <tp t="s">
        <v>#N/A Requesting Data...3053022417</v>
        <stp/>
        <stp>BDP|18289948510825923602</stp>
        <tr r="AB1086" s="1"/>
        <tr r="AB1086" s="1"/>
      </tp>
      <tp t="s">
        <v>#N/A Requesting Data...3825048943</v>
        <stp/>
        <stp>BDP|15619671512840524195</stp>
        <tr r="Y651" s="1"/>
        <tr r="Y651" s="1"/>
      </tp>
      <tp t="s">
        <v>#N/A Requesting Data...3442777420</v>
        <stp/>
        <stp>BDP|16176839845068101191</stp>
        <tr r="Z1436" s="1"/>
        <tr r="Z1436" s="1"/>
      </tp>
      <tp t="s">
        <v>#N/A Requesting Data...3219603276</v>
        <stp/>
        <stp>BDP|11862621072695496636</stp>
        <tr r="AC1268" s="1"/>
        <tr r="AC1268" s="1"/>
      </tp>
      <tp t="s">
        <v>#N/A Requesting Data...4075058763</v>
        <stp/>
        <stp>BDP|15289482914042275133</stp>
        <tr r="AB1204" s="1"/>
        <tr r="AB1204" s="1"/>
      </tp>
      <tp t="s">
        <v>#N/A Requesting Data...3305155531</v>
        <stp/>
        <stp>BDP|14499227982298376586</stp>
        <tr r="AA500" s="1"/>
        <tr r="AA500" s="1"/>
      </tp>
      <tp t="s">
        <v>#N/A Requesting Data...2347496545</v>
        <stp/>
        <stp>BDP|10811260793240166839</stp>
        <tr r="AC1216" s="1"/>
        <tr r="AC1216" s="1"/>
      </tp>
      <tp t="s">
        <v>#N/A Requesting Data...3744583788</v>
        <stp/>
        <stp>BDP|17327685833295179460</stp>
        <tr r="AB511" s="1"/>
        <tr r="AB511" s="1"/>
      </tp>
      <tp t="s">
        <v>#N/A Requesting Data...2823403622</v>
        <stp/>
        <stp>BDP|17341683611063120047</stp>
        <tr r="AB1104" s="1"/>
        <tr r="AB1104" s="1"/>
      </tp>
      <tp t="s">
        <v>#N/A Requesting Data...3276333560</v>
        <stp/>
        <stp>BDP|15668952325994889914</stp>
        <tr r="AB1334" s="1"/>
        <tr r="AB1334" s="1"/>
      </tp>
      <tp t="s">
        <v>#N/A Requesting Data...3327471879</v>
        <stp/>
        <stp>BDP|16738454977034968230</stp>
        <tr r="Y492" s="1"/>
        <tr r="Y492" s="1"/>
      </tp>
      <tp t="s">
        <v>#N/A Requesting Data...3216034905</v>
        <stp/>
        <stp>BDP|17847325780676004957</stp>
        <tr r="AA472" s="1"/>
        <tr r="AA472" s="1"/>
      </tp>
      <tp t="s">
        <v>#N/A Requesting Data...3564557173</v>
        <stp/>
        <stp>BDP|10623346008069713922</stp>
        <tr r="AB305" s="1"/>
        <tr r="AB305" s="1"/>
      </tp>
      <tp t="s">
        <v>#N/A Requesting Data...3448220829</v>
        <stp/>
        <stp>BDP|10383574233487848208</stp>
        <tr r="AB677" s="1"/>
        <tr r="AB677" s="1"/>
      </tp>
      <tp t="s">
        <v>#N/A Requesting Data...4229878290</v>
        <stp/>
        <stp>BDP|10488246778443151574</stp>
        <tr r="AA152" s="1"/>
        <tr r="AA152" s="1"/>
      </tp>
      <tp t="s">
        <v>#N/A Requesting Data...4257228979</v>
        <stp/>
        <stp>BDP|15884016857466998599</stp>
        <tr r="Z867" s="1"/>
        <tr r="Z867" s="1"/>
      </tp>
      <tp t="s">
        <v>#N/A Requesting Data...2635019535</v>
        <stp/>
        <stp>BDP|11177149264766682399</stp>
        <tr r="Y1369" s="1"/>
        <tr r="Y1369" s="1"/>
      </tp>
      <tp t="s">
        <v>#N/A Requesting Data...3655539525</v>
        <stp/>
        <stp>BDP|15553199208784939334</stp>
        <tr r="AC630" s="1"/>
        <tr r="AC630" s="1"/>
      </tp>
      <tp t="s">
        <v>#N/A Requesting Data...3418791950</v>
        <stp/>
        <stp>BDP|18297869077981890553</stp>
        <tr r="AB97" s="1"/>
        <tr r="AB97" s="1"/>
      </tp>
      <tp t="s">
        <v>#N/A Requesting Data...2870869466</v>
        <stp/>
        <stp>BDP|12333183975040047707</stp>
        <tr r="Z579" s="1"/>
        <tr r="Z579" s="1"/>
      </tp>
      <tp t="s">
        <v>#N/A Requesting Data...4278037496</v>
        <stp/>
        <stp>BDP|14396346548026798665</stp>
        <tr r="Y520" s="1"/>
        <tr r="Y520" s="1"/>
      </tp>
      <tp t="s">
        <v>#N/A Requesting Data...3969051799</v>
        <stp/>
        <stp>BDP|12138411873794807657</stp>
        <tr r="Z344" s="1"/>
        <tr r="Z344" s="1"/>
      </tp>
      <tp t="s">
        <v>#N/A Requesting Data...3494704552</v>
        <stp/>
        <stp>BDP|14446731811100072183</stp>
        <tr r="AC67" s="1"/>
        <tr r="AC67" s="1"/>
      </tp>
      <tp t="s">
        <v>#N/A Requesting Data...4247501309</v>
        <stp/>
        <stp>BDP|14061270097748637482</stp>
        <tr r="Y325" s="1"/>
        <tr r="Y325" s="1"/>
      </tp>
      <tp t="s">
        <v>#N/A Requesting Data...3122922209</v>
        <stp/>
        <stp>BDP|11850800885577014536</stp>
        <tr r="Z1217" s="1"/>
        <tr r="Z1217" s="1"/>
      </tp>
      <tp t="s">
        <v>#N/A Requesting Data...3866917785</v>
        <stp/>
        <stp>BDP|12098133036042281194</stp>
        <tr r="AC838" s="1"/>
        <tr r="AC838" s="1"/>
      </tp>
      <tp t="s">
        <v>#N/A Requesting Data...3194060826</v>
        <stp/>
        <stp>BDP|17034936189716470303</stp>
        <tr r="AC382" s="1"/>
        <tr r="AC382" s="1"/>
      </tp>
      <tp t="s">
        <v>#N/A Requesting Data...4254492612</v>
        <stp/>
        <stp>BDP|18189313998814136576</stp>
        <tr r="Y127" s="1"/>
        <tr r="Y127" s="1"/>
      </tp>
      <tp t="s">
        <v>#N/A Requesting Data...4294641820</v>
        <stp/>
        <stp>BDP|17487869989553409711</stp>
        <tr r="Y1426" s="1"/>
        <tr r="Y1426" s="1"/>
      </tp>
      <tp t="s">
        <v>#N/A Requesting Data...2579336398</v>
        <stp/>
        <stp>BDP|10184253205130643165</stp>
        <tr r="AA35" s="1"/>
      </tp>
      <tp t="s">
        <v>#N/A Requesting Data...3416090628</v>
        <stp/>
        <stp>BDP|16310559323201364374</stp>
        <tr r="Y257" s="1"/>
        <tr r="Y257" s="1"/>
      </tp>
      <tp t="s">
        <v>#N/A Requesting Data...3141903803</v>
        <stp/>
        <stp>BDP|14408238713256076253</stp>
        <tr r="Y1447" s="1"/>
        <tr r="Y1447" s="1"/>
      </tp>
      <tp t="s">
        <v>#N/A Requesting Data...4030536714</v>
        <stp/>
        <stp>BDP|10850309634952998142</stp>
        <tr r="AB1179" s="1"/>
        <tr r="AB1179" s="1"/>
      </tp>
      <tp t="s">
        <v>#N/A Requesting Data...3389008589</v>
        <stp/>
        <stp>BDP|15853536521284974528</stp>
        <tr r="Z560" s="1"/>
        <tr r="Z560" s="1"/>
      </tp>
      <tp t="s">
        <v>#N/A Requesting Data...3918876398</v>
        <stp/>
        <stp>BDP|10493556214050163755</stp>
        <tr r="AC335" s="1"/>
        <tr r="AC335" s="1"/>
      </tp>
      <tp t="s">
        <v>#N/A Requesting Data...3851677061</v>
        <stp/>
        <stp>BDP|10671403733211324578</stp>
        <tr r="Z9" s="1"/>
        <tr r="Z9" s="1"/>
      </tp>
      <tp t="s">
        <v>#N/A Requesting Data...2889635193</v>
        <stp/>
        <stp>BDP|13885633209000099631</stp>
        <tr r="AC522" s="1"/>
        <tr r="AC522" s="1"/>
      </tp>
      <tp t="s">
        <v>#N/A Requesting Data...3160141439</v>
        <stp/>
        <stp>BDP|18158980208654425643</stp>
        <tr r="AB779" s="1"/>
      </tp>
      <tp t="s">
        <v>#N/A Requesting Data...2713303913</v>
        <stp/>
        <stp>BDP|16965667629048006970</stp>
        <tr r="AA11" s="1"/>
        <tr r="AA11" s="1"/>
      </tp>
      <tp t="s">
        <v>#N/A Requesting Data...2820828348</v>
        <stp/>
        <stp>BDP|11590131840910675716</stp>
        <tr r="Y405" s="1"/>
        <tr r="Y405" s="1"/>
      </tp>
      <tp t="s">
        <v>#N/A Requesting Data...2661926459</v>
        <stp/>
        <stp>BDP|13015062203178301872</stp>
        <tr r="AA1065" s="1"/>
        <tr r="AA1065" s="1"/>
      </tp>
      <tp t="s">
        <v>#N/A Requesting Data...3831414488</v>
        <stp/>
        <stp>BDP|11431294731132435195</stp>
        <tr r="AC700" s="1"/>
        <tr r="AC700" s="1"/>
      </tp>
      <tp t="s">
        <v>#N/A Requesting Data...2963792043</v>
        <stp/>
        <stp>BDP|13790553172303999187</stp>
        <tr r="Z1204" s="1"/>
        <tr r="Z1204" s="1"/>
      </tp>
      <tp t="s">
        <v>#N/A Requesting Data...2511412742</v>
        <stp/>
        <stp>BDP|11060924715429144375</stp>
        <tr r="Z1276" s="1"/>
        <tr r="Z1276" s="1"/>
      </tp>
      <tp t="s">
        <v>#N/A Requesting Data...4059094823</v>
        <stp/>
        <stp>BDP|13502162237404090658</stp>
        <tr r="Z1002" s="1"/>
        <tr r="Z1002" s="1"/>
      </tp>
      <tp t="s">
        <v>#N/A Requesting Data...3416603181</v>
        <stp/>
        <stp>BDP|16290918752461139812</stp>
        <tr r="AC518" s="1"/>
        <tr r="AC518" s="1"/>
      </tp>
      <tp t="s">
        <v>#N/A Requesting Data...3813888016</v>
        <stp/>
        <stp>BDP|10285398229156338406</stp>
        <tr r="AB38" s="1"/>
        <tr r="AB38" s="1"/>
      </tp>
      <tp t="s">
        <v>#N/A Requesting Data...2665049720</v>
        <stp/>
        <stp>BDP|10492896423210686991</stp>
        <tr r="Z357" s="1"/>
        <tr r="Z357" s="1"/>
      </tp>
      <tp t="s">
        <v>#N/A Requesting Data...4152858270</v>
        <stp/>
        <stp>BDP|14727959551819552272</stp>
        <tr r="AA716" s="1"/>
        <tr r="AA716" s="1"/>
      </tp>
      <tp t="s">
        <v>#N/A Requesting Data...2881493829</v>
        <stp/>
        <stp>BDP|16508759813780571362</stp>
        <tr r="Z587" s="1"/>
        <tr r="Z587" s="1"/>
      </tp>
      <tp t="s">
        <v>#N/A Requesting Data...4056046043</v>
        <stp/>
        <stp>BDP|17909661927568980817</stp>
        <tr r="AC173" s="1"/>
      </tp>
      <tp t="s">
        <v>#N/A Requesting Data...3171706937</v>
        <stp/>
        <stp>BDP|12919836085437981661</stp>
        <tr r="AB876" s="1"/>
        <tr r="AB876" s="1"/>
      </tp>
      <tp t="s">
        <v>#N/A Requesting Data...4239484043</v>
        <stp/>
        <stp>BDP|11298235910337200636</stp>
        <tr r="Z651" s="1"/>
        <tr r="Z651" s="1"/>
      </tp>
      <tp t="s">
        <v>#N/A Requesting Data...2683390737</v>
        <stp/>
        <stp>BDP|16002708763431753546</stp>
        <tr r="AC146" s="1"/>
        <tr r="AC146" s="1"/>
      </tp>
      <tp t="s">
        <v>#N/A Requesting Data...2422316750</v>
        <stp/>
        <stp>BDP|10740616937931544742</stp>
        <tr r="AA1050" s="1"/>
        <tr r="AA1050" s="1"/>
      </tp>
      <tp t="s">
        <v>#N/A Requesting Data...2666974537</v>
        <stp/>
        <stp>BDP|15284265240319540916</stp>
        <tr r="AA1267" s="1"/>
        <tr r="AA1267" s="1"/>
      </tp>
      <tp t="s">
        <v>#N/A Requesting Data...3539884753</v>
        <stp/>
        <stp>BDP|15504430681158165264</stp>
        <tr r="AB1556" s="1"/>
        <tr r="AB1556" s="1"/>
      </tp>
      <tp t="s">
        <v>#N/A Requesting Data...2701014505</v>
        <stp/>
        <stp>BDP|12096263529665774489</stp>
        <tr r="AB1146" s="1"/>
        <tr r="AB1146" s="1"/>
      </tp>
      <tp t="s">
        <v>#N/A Requesting Data...3211965995</v>
        <stp/>
        <stp>BDP|11347948891435479728</stp>
        <tr r="Y271" s="1"/>
        <tr r="Y271" s="1"/>
      </tp>
      <tp t="s">
        <v>#N/A Requesting Data...2719170657</v>
        <stp/>
        <stp>BDP|13464025579273866470</stp>
        <tr r="AB93" s="1"/>
        <tr r="AB93" s="1"/>
      </tp>
      <tp t="s">
        <v>#N/A Requesting Data...3521147554</v>
        <stp/>
        <stp>BDP|15999818094535459287</stp>
        <tr r="AC1215" s="1"/>
        <tr r="AC1215" s="1"/>
      </tp>
      <tp t="s">
        <v>#N/A Requesting Data...3460245502</v>
        <stp/>
        <stp>BDP|10683489908706644106</stp>
        <tr r="AC974" s="1"/>
        <tr r="AC974" s="1"/>
      </tp>
      <tp t="s">
        <v>#N/A Requesting Data...3067759403</v>
        <stp/>
        <stp>BDP|14324014532957284323</stp>
        <tr r="AC81" s="1"/>
        <tr r="AC81" s="1"/>
      </tp>
      <tp t="s">
        <v>#N/A Requesting Data...3001660840</v>
        <stp/>
        <stp>BDP|14587423285349565245</stp>
        <tr r="Y555" s="1"/>
        <tr r="Y555" s="1"/>
      </tp>
      <tp t="s">
        <v>#N/A Requesting Data...3953685911</v>
        <stp/>
        <stp>BDP|10035142704410483276</stp>
        <tr r="Z537" s="1"/>
        <tr r="Z537" s="1"/>
      </tp>
      <tp t="s">
        <v>#N/A Requesting Data...2866511625</v>
        <stp/>
        <stp>BDP|12298795977983987267</stp>
        <tr r="Z392" s="1"/>
        <tr r="Z392" s="1"/>
      </tp>
      <tp t="s">
        <v>#N/A Requesting Data...4119399006</v>
        <stp/>
        <stp>BDP|16746992198934107145</stp>
        <tr r="AB546" s="1"/>
        <tr r="AB546" s="1"/>
      </tp>
      <tp t="s">
        <v>#N/A Requesting Data...2784349889</v>
        <stp/>
        <stp>BDP|14266225513374917098</stp>
        <tr r="Y67" s="1"/>
        <tr r="Y67" s="1"/>
      </tp>
      <tp t="s">
        <v>#N/A Requesting Data...4204262855</v>
        <stp/>
        <stp>BDP|18276200575348332678</stp>
        <tr r="AA1364" s="1"/>
        <tr r="AA1364" s="1"/>
      </tp>
      <tp t="s">
        <v>#N/A Requesting Data...3166237724</v>
        <stp/>
        <stp>BDP|13010346373782685626</stp>
        <tr r="AC624" s="1"/>
        <tr r="AC624" s="1"/>
      </tp>
      <tp t="s">
        <v>#N/A Requesting Data...3421382516</v>
        <stp/>
        <stp>BDP|13250895036168851367</stp>
        <tr r="Y674" s="1"/>
        <tr r="Y674" s="1"/>
      </tp>
      <tp t="s">
        <v>#N/A Requesting Data...2799236627</v>
        <stp/>
        <stp>BDP|15814860822058951464</stp>
        <tr r="AB917" s="1"/>
        <tr r="AB917" s="1"/>
      </tp>
      <tp t="s">
        <v>#N/A Requesting Data...2581908370</v>
        <stp/>
        <stp>BDP|11059421654613049056</stp>
        <tr r="Y1111" s="1"/>
        <tr r="Y1111" s="1"/>
      </tp>
      <tp t="s">
        <v>#N/A Requesting Data...3265500427</v>
        <stp/>
        <stp>BDP|11476175936335450521</stp>
        <tr r="AB313" s="1"/>
        <tr r="AB313" s="1"/>
      </tp>
      <tp t="s">
        <v>#N/A Requesting Data...4256259088</v>
        <stp/>
        <stp>BDP|17048806267449641327</stp>
        <tr r="Y1382" s="1"/>
        <tr r="Y1382" s="1"/>
      </tp>
      <tp t="s">
        <v>#N/A Requesting Data...3497728444</v>
        <stp/>
        <stp>BDP|11738641633620503760</stp>
        <tr r="AB1224" s="1"/>
        <tr r="AB1224" s="1"/>
      </tp>
      <tp t="s">
        <v>#N/A Requesting Data...3209015867</v>
        <stp/>
        <stp>BDP|17795714746016004139</stp>
        <tr r="AB73" s="1"/>
        <tr r="AB73" s="1"/>
      </tp>
      <tp t="s">
        <v>#N/A Requesting Data...3541456766</v>
        <stp/>
        <stp>BDP|10816721642807392785</stp>
        <tr r="AC1173" s="1"/>
        <tr r="AC1173" s="1"/>
      </tp>
      <tp t="s">
        <v>#N/A Requesting Data...3338559500</v>
        <stp/>
        <stp>BDP|15619847226809476522</stp>
        <tr r="Y739" s="1"/>
        <tr r="Y739" s="1"/>
      </tp>
      <tp t="s">
        <v>#N/A Requesting Data...2982422829</v>
        <stp/>
        <stp>BDP|11186430194659424607</stp>
        <tr r="AA930" s="1"/>
        <tr r="AA930" s="1"/>
      </tp>
      <tp t="s">
        <v>#N/A Requesting Data...2564757446</v>
        <stp/>
        <stp>BDP|11254531022657011218</stp>
        <tr r="Z179" s="1"/>
      </tp>
      <tp t="s">
        <v>#N/A Requesting Data...2951689843</v>
        <stp/>
        <stp>BDP|14078649712383275361</stp>
        <tr r="AC1331" s="1"/>
        <tr r="AC1331" s="1"/>
      </tp>
      <tp t="s">
        <v>#N/A Requesting Data...2791536923</v>
        <stp/>
        <stp>BDP|16056785722522942218</stp>
        <tr r="AC618" s="1"/>
        <tr r="AC618" s="1"/>
      </tp>
      <tp t="s">
        <v>#N/A Requesting Data...3793162329</v>
        <stp/>
        <stp>BDP|16265467229504990762</stp>
        <tr r="AB1137" s="1"/>
        <tr r="AB1137" s="1"/>
      </tp>
      <tp t="s">
        <v>#N/A Requesting Data...3090951761</v>
        <stp/>
        <stp>BDP|17836755853510940659</stp>
        <tr r="Z790" s="1"/>
        <tr r="Z790" s="1"/>
      </tp>
      <tp t="s">
        <v>#N/A Requesting Data...2578119429</v>
        <stp/>
        <stp>BDP|13025066347801073535</stp>
        <tr r="Y1008" s="1"/>
        <tr r="Y1008" s="1"/>
      </tp>
      <tp t="s">
        <v>#N/A Requesting Data...3763670604</v>
        <stp/>
        <stp>BDP|13075555724503006439</stp>
        <tr r="AB1361" s="1"/>
        <tr r="AB1361" s="1"/>
      </tp>
      <tp t="s">
        <v>#N/A Requesting Data...2655324996</v>
        <stp/>
        <stp>BDP|10142044255374455268</stp>
        <tr r="AC1276" s="1"/>
        <tr r="AC1276" s="1"/>
      </tp>
      <tp t="s">
        <v>#N/A Requesting Data...2968250406</v>
        <stp/>
        <stp>BDP|17382123046083421215</stp>
        <tr r="AA1458" s="1"/>
      </tp>
      <tp t="s">
        <v>#N/A Requesting Data...3310790759</v>
        <stp/>
        <stp>BDP|10435906303643386967</stp>
        <tr r="Y1153" s="1"/>
        <tr r="Y1153" s="1"/>
      </tp>
      <tp t="s">
        <v>#N/A Requesting Data...4146121991</v>
        <stp/>
        <stp>BDP|13511619726210911498</stp>
        <tr r="Y473" s="1"/>
        <tr r="Y473" s="1"/>
      </tp>
      <tp t="s">
        <v>#N/A Requesting Data...3120825023</v>
        <stp/>
        <stp>BDP|12132746363792081248</stp>
        <tr r="AA1145" s="1"/>
        <tr r="AA1145" s="1"/>
      </tp>
      <tp t="s">
        <v>#N/A Requesting Data...4008414602</v>
        <stp/>
        <stp>BDP|18152035974445343970</stp>
        <tr r="Y918" s="1"/>
      </tp>
      <tp t="s">
        <v>#N/A Requesting Data...2909554204</v>
        <stp/>
        <stp>BDP|14819566948297420107</stp>
        <tr r="AC651" s="1"/>
        <tr r="AC651" s="1"/>
      </tp>
      <tp t="s">
        <v>#N/A Requesting Data...2916415741</v>
        <stp/>
        <stp>BDP|13626561580384630944</stp>
        <tr r="Z1099" s="1"/>
        <tr r="Z1099" s="1"/>
      </tp>
      <tp t="s">
        <v>#N/A Requesting Data...3118589553</v>
        <stp/>
        <stp>BDP|10603550934210351560</stp>
        <tr r="AA186" s="1"/>
        <tr r="AA186" s="1"/>
      </tp>
      <tp t="s">
        <v>#N/A Requesting Data...4096814782</v>
        <stp/>
        <stp>BDP|15763523753481669720</stp>
        <tr r="AC722" s="1"/>
        <tr r="AC722" s="1"/>
      </tp>
      <tp t="s">
        <v>#N/A Requesting Data...3206265532</v>
        <stp/>
        <stp>BDP|17632301835461600570</stp>
        <tr r="Y1587" s="1"/>
      </tp>
      <tp t="s">
        <v>#N/A Requesting Data...3609669438</v>
        <stp/>
        <stp>BDP|11645405306966191037</stp>
        <tr r="Z347" s="1"/>
        <tr r="Z347" s="1"/>
      </tp>
      <tp t="s">
        <v>#N/A Requesting Data...2934357435</v>
        <stp/>
        <stp>BDP|16671148705550281477</stp>
        <tr r="Y574" s="1"/>
        <tr r="Y574" s="1"/>
      </tp>
      <tp t="s">
        <v>#N/A Requesting Data...2664672797</v>
        <stp/>
        <stp>BDP|15845206439320351700</stp>
        <tr r="AA476" s="1"/>
        <tr r="AA476" s="1"/>
      </tp>
      <tp t="s">
        <v>#N/A Requesting Data...2785695746</v>
        <stp/>
        <stp>BDP|17689747905784348716</stp>
        <tr r="AB847" s="1"/>
        <tr r="AB847" s="1"/>
      </tp>
      <tp t="s">
        <v>#N/A Requesting Data...3325054181</v>
        <stp/>
        <stp>BDP|13624039657392605711</stp>
        <tr r="Y1501" s="1"/>
        <tr r="Y1501" s="1"/>
      </tp>
      <tp t="s">
        <v>#N/A Requesting Data...3134888597</v>
        <stp/>
        <stp>BDP|10384944817239170241</stp>
        <tr r="Y1340" s="1"/>
        <tr r="Y1340" s="1"/>
      </tp>
      <tp t="s">
        <v>#N/A Requesting Data...3444132260</v>
        <stp/>
        <stp>BDP|11766059565224009025</stp>
        <tr r="AB47" s="1"/>
        <tr r="AB47" s="1"/>
      </tp>
      <tp t="s">
        <v>#N/A Requesting Data...2815160622</v>
        <stp/>
        <stp>BDP|17335548167233432412</stp>
        <tr r="Z615" s="1"/>
        <tr r="Z615" s="1"/>
      </tp>
      <tp t="s">
        <v>#N/A Requesting Data...3109470733</v>
        <stp/>
        <stp>BDP|15980807077941801839</stp>
        <tr r="AA1305" s="1"/>
        <tr r="AA1305" s="1"/>
      </tp>
      <tp t="s">
        <v>#N/A Requesting Data...3802356624</v>
        <stp/>
        <stp>BDP|17453240866356319609</stp>
        <tr r="AB164" s="1"/>
        <tr r="AB164" s="1"/>
      </tp>
      <tp t="s">
        <v>#N/A Requesting Data...3192249986</v>
        <stp/>
        <stp>BDP|12078417192789738518</stp>
        <tr r="Z844" s="1"/>
        <tr r="Z844" s="1"/>
      </tp>
      <tp t="s">
        <v>#N/A Requesting Data...4252024358</v>
        <stp/>
        <stp>BDP|14948497039557924758</stp>
        <tr r="AC746" s="1"/>
        <tr r="AC746" s="1"/>
      </tp>
      <tp t="s">
        <v>#N/A Requesting Data...3519797513</v>
        <stp/>
        <stp>BDP|11443259800098641825</stp>
        <tr r="AB311" s="1"/>
        <tr r="AB311" s="1"/>
      </tp>
      <tp t="s">
        <v>#N/A Requesting Data...4135829966</v>
        <stp/>
        <stp>BDP|17519677819420630382</stp>
        <tr r="AC473" s="1"/>
        <tr r="AC473" s="1"/>
      </tp>
      <tp t="s">
        <v>#N/A Requesting Data...2842401461</v>
        <stp/>
        <stp>BDP|17735054964322053033</stp>
        <tr r="AC919" s="1"/>
        <tr r="AC919" s="1"/>
      </tp>
      <tp t="s">
        <v>#N/A Requesting Data...3077411236</v>
        <stp/>
        <stp>BDP|12034813511528638037</stp>
        <tr r="Y140" s="1"/>
        <tr r="Y140" s="1"/>
      </tp>
      <tp t="s">
        <v>#N/A Requesting Data...4219575510</v>
        <stp/>
        <stp>BDP|14107265676020361272</stp>
        <tr r="AA1328" s="1"/>
        <tr r="AA1328" s="1"/>
      </tp>
      <tp t="s">
        <v>#N/A Requesting Data...2714543101</v>
        <stp/>
        <stp>BDP|10490202733181797353</stp>
        <tr r="AA970" s="1"/>
        <tr r="AA970" s="1"/>
      </tp>
      <tp t="s">
        <v>#N/A Requesting Data...3628665055</v>
        <stp/>
        <stp>BDP|17122878546191024959</stp>
        <tr r="AA545" s="1"/>
        <tr r="AA545" s="1"/>
      </tp>
      <tp t="s">
        <v>#N/A Requesting Data...4217471198</v>
        <stp/>
        <stp>BDP|11313260711989696876</stp>
        <tr r="Y1012" s="1"/>
        <tr r="Y1012" s="1"/>
      </tp>
      <tp t="s">
        <v>#N/A Requesting Data...3398118306</v>
        <stp/>
        <stp>BDP|14192169326436747236</stp>
        <tr r="Z348" s="1"/>
        <tr r="Z348" s="1"/>
      </tp>
      <tp t="s">
        <v>#N/A Requesting Data...3894786549</v>
        <stp/>
        <stp>BDP|17662037014035550011</stp>
        <tr r="Z750" s="1"/>
        <tr r="Z750" s="1"/>
      </tp>
      <tp t="s">
        <v>#N/A Requesting Data...2438506738</v>
        <stp/>
        <stp>BDP|14502374790444609914</stp>
        <tr r="AC1105" s="1"/>
        <tr r="AC1105" s="1"/>
      </tp>
      <tp>
        <v>322.27999999999997</v>
        <stp/>
        <stp>BDP|5195680420724655070|22</stp>
        <stp>WST US Equity</stp>
        <stp>LAST_PRICE</stp>
        <tr r="AD1584" s="1"/>
        <tr r="AD1584" s="1"/>
      </tp>
      <tp t="s">
        <v>#N/A Requesting Data...2672390765</v>
        <stp/>
        <stp>BDP|12978876397856531680</stp>
        <tr r="AB1468" s="1"/>
        <tr r="AB1468" s="1"/>
      </tp>
      <tp t="s">
        <v>#N/A Requesting Data...3877051733</v>
        <stp/>
        <stp>BDP|15772314574436797414</stp>
        <tr r="Y233" s="1"/>
        <tr r="Y233" s="1"/>
      </tp>
      <tp t="s">
        <v>#N/A Requesting Data...2535565230</v>
        <stp/>
        <stp>BDP|15338532820845174450</stp>
        <tr r="AC639" s="1"/>
        <tr r="AC639" s="1"/>
      </tp>
      <tp t="s">
        <v>#N/A Requesting Data...2900221757</v>
        <stp/>
        <stp>BDP|11858229644412942631</stp>
        <tr r="Y1468" s="1"/>
        <tr r="Y1468" s="1"/>
      </tp>
      <tp t="s">
        <v>#N/A Requesting Data...4214578983</v>
        <stp/>
        <stp>BDP|13390572520455075205</stp>
        <tr r="Y91" s="1"/>
        <tr r="Y91" s="1"/>
      </tp>
      <tp t="s">
        <v>#N/A Requesting Data...3660256753</v>
        <stp/>
        <stp>BDP|13528512760011695265</stp>
        <tr r="Z98" s="1"/>
        <tr r="Z98" s="1"/>
      </tp>
      <tp t="s">
        <v>#N/A Requesting Data...3637107221</v>
        <stp/>
        <stp>BDP|10054155612092066135</stp>
        <tr r="AB743" s="1"/>
        <tr r="AB743" s="1"/>
      </tp>
      <tp t="s">
        <v>#N/A Requesting Data...3361066581</v>
        <stp/>
        <stp>BDP|10278197619146777515</stp>
        <tr r="AA1520" s="1"/>
        <tr r="AA1520" s="1"/>
      </tp>
      <tp t="s">
        <v>#N/A Requesting Data...2973126478</v>
        <stp/>
        <stp>BDP|11659359741957231245</stp>
        <tr r="AB70" s="1"/>
        <tr r="AB70" s="1"/>
      </tp>
      <tp t="s">
        <v>#N/A Requesting Data...3550798349</v>
        <stp/>
        <stp>BDP|14929366210597365284</stp>
        <tr r="AC62" s="1"/>
        <tr r="AC62" s="1"/>
      </tp>
      <tp t="s">
        <v>#N/A Requesting Data...3622922692</v>
        <stp/>
        <stp>BDP|17251081315023877631</stp>
        <tr r="AC97" s="1"/>
        <tr r="AC97" s="1"/>
      </tp>
      <tp t="s">
        <v>#N/A Requesting Data...2735388877</v>
        <stp/>
        <stp>BDP|16966280001764058345</stp>
        <tr r="AA1186" s="1"/>
        <tr r="AA1186" s="1"/>
      </tp>
      <tp t="s">
        <v>#N/A Requesting Data...3500981595</v>
        <stp/>
        <stp>BDP|11412718660915592648</stp>
        <tr r="Z1393" s="1"/>
      </tp>
      <tp t="s">
        <v>#N/A Requesting Data...2446017020</v>
        <stp/>
        <stp>BDP|16399436315055570548</stp>
        <tr r="AA322" s="1"/>
        <tr r="AA322" s="1"/>
      </tp>
      <tp t="s">
        <v>#N/A Requesting Data...3354259898</v>
        <stp/>
        <stp>BDP|10159914275838303529</stp>
        <tr r="AC268" s="1"/>
        <tr r="AC268" s="1"/>
      </tp>
      <tp t="s">
        <v>#N/A Requesting Data...3066304815</v>
        <stp/>
        <stp>BDP|16086314923617040369</stp>
        <tr r="Y675" s="1"/>
        <tr r="Y675" s="1"/>
      </tp>
      <tp t="s">
        <v>#N/A Requesting Data...3284330985</v>
        <stp/>
        <stp>BDP|11056324936172731076</stp>
        <tr r="Z879" s="1"/>
        <tr r="Z879" s="1"/>
      </tp>
      <tp t="s">
        <v>#N/A Requesting Data...3912502516</v>
        <stp/>
        <stp>BDP|10859313115614802505</stp>
        <tr r="Z181" s="1"/>
        <tr r="Z181" s="1"/>
      </tp>
      <tp t="s">
        <v>#N/A Requesting Data...3080722816</v>
        <stp/>
        <stp>BDP|11943512458093627120</stp>
        <tr r="AC245" s="1"/>
        <tr r="AC245" s="1"/>
      </tp>
      <tp t="s">
        <v>#N/A Requesting Data...3551154925</v>
        <stp/>
        <stp>BDP|13283943681708629965</stp>
        <tr r="AA1316" s="1"/>
        <tr r="AA1316" s="1"/>
      </tp>
      <tp t="s">
        <v>#N/A Requesting Data...3358291331</v>
        <stp/>
        <stp>BDP|11261114542280425729</stp>
        <tr r="AB291" s="1"/>
        <tr r="AB291" s="1"/>
      </tp>
      <tp t="s">
        <v>#N/A Requesting Data...3212698744</v>
        <stp/>
        <stp>BDP|10875939288587347574</stp>
        <tr r="AA531" s="1"/>
        <tr r="AA531" s="1"/>
      </tp>
      <tp t="s">
        <v>#N/A Requesting Data...4185564394</v>
        <stp/>
        <stp>BDP|10447631322163051429</stp>
        <tr r="Y869" s="1"/>
        <tr r="Y869" s="1"/>
      </tp>
      <tp t="s">
        <v>#N/A Requesting Data...3777492418</v>
        <stp/>
        <stp>BDP|15231031482839108754</stp>
        <tr r="Y1258" s="1"/>
        <tr r="Y1258" s="1"/>
      </tp>
      <tp t="s">
        <v>#N/A Requesting Data...2506555295</v>
        <stp/>
        <stp>BDP|18198384780665968570</stp>
        <tr r="Z201" s="1"/>
        <tr r="Z201" s="1"/>
      </tp>
      <tp t="s">
        <v>#N/A Requesting Data...3090645474</v>
        <stp/>
        <stp>BDP|13953381430028097860</stp>
        <tr r="Z1280" s="1"/>
        <tr r="Z1280" s="1"/>
      </tp>
      <tp t="s">
        <v>#N/A Requesting Data...3547882822</v>
        <stp/>
        <stp>BDP|18281115924750531855</stp>
        <tr r="AA641" s="1"/>
        <tr r="AA641" s="1"/>
      </tp>
      <tp t="s">
        <v>#N/A Requesting Data...3992527632</v>
        <stp/>
        <stp>BDP|12295201835549281926</stp>
        <tr r="Y1004" s="1"/>
        <tr r="Y1004" s="1"/>
      </tp>
      <tp t="s">
        <v>#N/A Requesting Data...2459899458</v>
        <stp/>
        <stp>BDP|10721303205001521100</stp>
        <tr r="Y1291" s="1"/>
        <tr r="Y1291" s="1"/>
      </tp>
      <tp t="s">
        <v>#N/A Requesting Data...2945078187</v>
        <stp/>
        <stp>BDP|13718570376317692579</stp>
        <tr r="AA136" s="1"/>
        <tr r="AA136" s="1"/>
      </tp>
      <tp t="s">
        <v>#N/A Requesting Data...3010546162</v>
        <stp/>
        <stp>BDP|14685695402904234586</stp>
        <tr r="Y843" s="1"/>
        <tr r="Y843" s="1"/>
      </tp>
      <tp t="s">
        <v>#N/A Requesting Data...4223878892</v>
        <stp/>
        <stp>BDP|14439053066053432243</stp>
        <tr r="Y1171" s="1"/>
        <tr r="Y1171" s="1"/>
      </tp>
      <tp t="s">
        <v>#N/A Requesting Data...3835067476</v>
        <stp/>
        <stp>BDP|16908680226172257324</stp>
        <tr r="Y77" s="1"/>
        <tr r="Y77" s="1"/>
      </tp>
      <tp t="s">
        <v>#N/A Requesting Data...3857943036</v>
        <stp/>
        <stp>BDP|12567091105420948170</stp>
        <tr r="AC209" s="1"/>
        <tr r="AC209" s="1"/>
      </tp>
      <tp t="s">
        <v>#N/A Requesting Data...3299244180</v>
        <stp/>
        <stp>BDP|16469528444467454319</stp>
        <tr r="Z1620" s="1"/>
        <tr r="Z1620" s="1"/>
      </tp>
      <tp t="s">
        <v>#N/A Requesting Data...4277800343</v>
        <stp/>
        <stp>BDP|11343141775002161645</stp>
        <tr r="Y368" s="1"/>
        <tr r="Y368" s="1"/>
      </tp>
      <tp t="s">
        <v>#N/A Requesting Data...3418239110</v>
        <stp/>
        <stp>BDP|15426730704583127251</stp>
        <tr r="AC376" s="1"/>
        <tr r="AC376" s="1"/>
      </tp>
      <tp t="s">
        <v>#N/A Requesting Data...4016847764</v>
        <stp/>
        <stp>BDP|10602502207355126369</stp>
        <tr r="Y1187" s="1"/>
        <tr r="Y1187" s="1"/>
      </tp>
      <tp t="s">
        <v>#N/A Requesting Data...3769422739</v>
        <stp/>
        <stp>BDP|15519906987915660220</stp>
        <tr r="Z1302" s="1"/>
        <tr r="Z1302" s="1"/>
      </tp>
      <tp t="s">
        <v>#N/A Requesting Data...3887830745</v>
        <stp/>
        <stp>BDP|16218578806789658935</stp>
        <tr r="AB404" s="1"/>
        <tr r="AB404" s="1"/>
      </tp>
      <tp t="s">
        <v>#N/A Requesting Data...2739665384</v>
        <stp/>
        <stp>BDP|11799769313601237569</stp>
        <tr r="AC1618" s="1"/>
        <tr r="AC1618" s="1"/>
      </tp>
      <tp t="s">
        <v>#N/A Requesting Data...3280887816</v>
        <stp/>
        <stp>BDP|14598146521006235240</stp>
        <tr r="AC655" s="1"/>
        <tr r="AC655" s="1"/>
      </tp>
      <tp t="s">
        <v>#N/A Requesting Data...4068387000</v>
        <stp/>
        <stp>BDP|18292617611129606523</stp>
        <tr r="AA1054" s="1"/>
        <tr r="AA1054" s="1"/>
      </tp>
      <tp t="s">
        <v>#N/A Requesting Data...4192578304</v>
        <stp/>
        <stp>BDP|18430310520712015836</stp>
        <tr r="AA701" s="1"/>
        <tr r="AA701" s="1"/>
      </tp>
      <tp t="s">
        <v>#N/A Requesting Data...2503345832</v>
        <stp/>
        <stp>BDP|17777965041681060860</stp>
        <tr r="Z236" s="1"/>
        <tr r="Z236" s="1"/>
      </tp>
      <tp t="s">
        <v>#N/A Requesting Data...3786475050</v>
        <stp/>
        <stp>BDP|14000669061995227233</stp>
        <tr r="Z380" s="1"/>
        <tr r="Z380" s="1"/>
      </tp>
      <tp t="s">
        <v>#N/A Requesting Data...3247299468</v>
        <stp/>
        <stp>BDP|13138043896118733123</stp>
        <tr r="AA376" s="1"/>
        <tr r="AA376" s="1"/>
      </tp>
      <tp t="s">
        <v>#N/A Requesting Data...3885817828</v>
        <stp/>
        <stp>BDP|17004645562566858285</stp>
        <tr r="AA679" s="1"/>
        <tr r="AA679" s="1"/>
      </tp>
      <tp t="s">
        <v>#N/A Requesting Data...3167610353</v>
        <stp/>
        <stp>BDP|12926380763482183659</stp>
        <tr r="AC463" s="1"/>
        <tr r="AC463" s="1"/>
      </tp>
      <tp t="s">
        <v>#N/A Requesting Data...3561064769</v>
        <stp/>
        <stp>BDP|18205163712112740971</stp>
        <tr r="AA1332" s="1"/>
        <tr r="AA1332" s="1"/>
      </tp>
      <tp t="s">
        <v>#N/A Requesting Data...4078999179</v>
        <stp/>
        <stp>BDP|15235062534575286049</stp>
        <tr r="Y1367" s="1"/>
        <tr r="Y1367" s="1"/>
      </tp>
      <tp t="s">
        <v>#N/A Requesting Data...3912131796</v>
        <stp/>
        <stp>BDP|11127472010455474247</stp>
        <tr r="AC501" s="1"/>
        <tr r="AC501" s="1"/>
      </tp>
      <tp>
        <v>58.3</v>
        <stp/>
        <stp>BDP|563173722327859690|22</stp>
        <stp>NUTX US Equity</stp>
        <stp>LAST_PRICE</stp>
        <tr r="AD1063" s="1"/>
        <tr r="AD1063" s="1"/>
      </tp>
      <tp>
        <v>2.17</v>
        <stp/>
        <stp>BDP|950671828436561743|22</stp>
        <stp>ACRS US Equity</stp>
        <stp>LAST_PRICE</stp>
        <tr r="AD32" s="1"/>
        <tr r="AD32" s="1"/>
      </tp>
      <tp>
        <v>2.81</v>
        <stp/>
        <stp>BDP|880002968493814588|22</stp>
        <stp>ELUT US Equity</stp>
        <stp>LAST_PRICE</stp>
        <tr r="AD547" s="1"/>
        <tr r="AD547" s="1"/>
      </tp>
      <tp t="s">
        <v>#N/A Requesting Data...3094963659</v>
        <stp/>
        <stp>BDP|18287595743948489155</stp>
        <tr r="AC394" s="1"/>
        <tr r="AC394" s="1"/>
      </tp>
      <tp t="s">
        <v>#N/A Requesting Data...2803222509</v>
        <stp/>
        <stp>BDP|13594911129719652125</stp>
        <tr r="AC391" s="1"/>
        <tr r="AC391" s="1"/>
      </tp>
      <tp t="s">
        <v>#N/A Requesting Data...3176313689</v>
        <stp/>
        <stp>BDP|15693161973295314696</stp>
        <tr r="AB416" s="1"/>
        <tr r="AB416" s="1"/>
      </tp>
      <tp t="s">
        <v>#N/A Requesting Data...2562796012</v>
        <stp/>
        <stp>BDP|10234371409804326765</stp>
        <tr r="AC486" s="1"/>
        <tr r="AC486" s="1"/>
      </tp>
      <tp t="s">
        <v>#N/A Requesting Data...3586984666</v>
        <stp/>
        <stp>BDP|11724536218115116049</stp>
        <tr r="AC136" s="1"/>
        <tr r="AC136" s="1"/>
      </tp>
      <tp t="s">
        <v>#N/A Requesting Data...2903865230</v>
        <stp/>
        <stp>BDP|10023131809507039638</stp>
        <tr r="AA918" s="1"/>
      </tp>
      <tp t="s">
        <v>#N/A Requesting Data...3985717679</v>
        <stp/>
        <stp>BDP|15521618463204952171</stp>
        <tr r="Z1118" s="1"/>
        <tr r="Z1118" s="1"/>
      </tp>
      <tp t="s">
        <v>#N/A Requesting Data...3819274353</v>
        <stp/>
        <stp>BDP|17814502802011704340</stp>
        <tr r="AC412" s="1"/>
        <tr r="AC412" s="1"/>
      </tp>
      <tp t="s">
        <v>#N/A Requesting Data...3612026205</v>
        <stp/>
        <stp>BDP|17975363764744571677</stp>
        <tr r="AB95" s="1"/>
        <tr r="AB95" s="1"/>
      </tp>
      <tp t="s">
        <v>#N/A Requesting Data...2598273651</v>
        <stp/>
        <stp>BDP|12432390087469249014</stp>
        <tr r="Y177" s="1"/>
        <tr r="Y177" s="1"/>
      </tp>
      <tp t="s">
        <v>#N/A Requesting Data...4036702867</v>
        <stp/>
        <stp>BDP|15115589826211691304</stp>
        <tr r="AA1221" s="1"/>
        <tr r="AA1221" s="1"/>
      </tp>
      <tp t="s">
        <v>#N/A Requesting Data...3124650156</v>
        <stp/>
        <stp>BDP|16834222390074559963</stp>
        <tr r="AB116" s="1"/>
        <tr r="AB116" s="1"/>
      </tp>
      <tp t="s">
        <v>#N/A Requesting Data...4003642855</v>
        <stp/>
        <stp>BDP|16202960955402801802</stp>
        <tr r="AB509" s="1"/>
        <tr r="AB509" s="1"/>
      </tp>
      <tp t="s">
        <v>#N/A Requesting Data...3930337506</v>
        <stp/>
        <stp>BDP|10809057925077458557</stp>
        <tr r="AB1582" s="1"/>
        <tr r="AB1582" s="1"/>
      </tp>
      <tp t="s">
        <v>#N/A Requesting Data...2616059926</v>
        <stp/>
        <stp>BDP|14146288233481160435</stp>
        <tr r="AC772" s="1"/>
        <tr r="AC772" s="1"/>
      </tp>
      <tp t="s">
        <v>#N/A Requesting Data...4119588246</v>
        <stp/>
        <stp>BDP|16382103008670744741</stp>
        <tr r="AA493" s="1"/>
        <tr r="AA493" s="1"/>
      </tp>
      <tp t="s">
        <v>#N/A Requesting Data...2976981651</v>
        <stp/>
        <stp>BDP|11871261443570431718</stp>
        <tr r="Z900" s="1"/>
        <tr r="Z900" s="1"/>
      </tp>
      <tp t="s">
        <v>#N/A Requesting Data...4117933704</v>
        <stp/>
        <stp>BDP|14157772401676889575</stp>
        <tr r="AA1453" s="1"/>
        <tr r="AA1453" s="1"/>
      </tp>
      <tp t="s">
        <v>#N/A Requesting Data...4069915359</v>
        <stp/>
        <stp>BDP|13730121996068956325</stp>
        <tr r="AB555" s="1"/>
        <tr r="AB555" s="1"/>
      </tp>
      <tp t="s">
        <v>#N/A Requesting Data...2499382367</v>
        <stp/>
        <stp>BDP|15967857576329451367</stp>
        <tr r="AA1577" s="1"/>
        <tr r="AA1577" s="1"/>
      </tp>
      <tp t="s">
        <v>#N/A Requesting Data...3761355528</v>
        <stp/>
        <stp>BDP|11791384520568380847</stp>
        <tr r="AA424" s="1"/>
        <tr r="AA424" s="1"/>
      </tp>
      <tp t="s">
        <v>#N/A Requesting Data...3666092008</v>
        <stp/>
        <stp>BDP|13419718062092740089</stp>
        <tr r="AC1573" s="1"/>
        <tr r="AC1573" s="1"/>
      </tp>
      <tp t="s">
        <v>#N/A Requesting Data...3773010029</v>
        <stp/>
        <stp>BDP|14995912113918147422</stp>
        <tr r="AB1601" s="1"/>
        <tr r="AB1601" s="1"/>
      </tp>
      <tp t="s">
        <v>#N/A Requesting Data...3217496007</v>
        <stp/>
        <stp>BDP|18330575802435895850</stp>
        <tr r="Y175" s="1"/>
        <tr r="Y175" s="1"/>
      </tp>
      <tp t="s">
        <v>#N/A Requesting Data...2627803144</v>
        <stp/>
        <stp>BDP|17015646504143251298</stp>
        <tr r="Y618" s="1"/>
        <tr r="Y618" s="1"/>
      </tp>
      <tp t="s">
        <v>#N/A Requesting Data...4064623738</v>
        <stp/>
        <stp>BDP|17350881356828062261</stp>
        <tr r="Z828" s="1"/>
        <tr r="Z828" s="1"/>
      </tp>
      <tp t="s">
        <v>#N/A Requesting Data...4291454741</v>
        <stp/>
        <stp>BDP|17868086653932148092</stp>
        <tr r="AC59" s="1"/>
        <tr r="AC59" s="1"/>
      </tp>
      <tp t="s">
        <v>#N/A Requesting Data...2763793395</v>
        <stp/>
        <stp>BDP|12604749621810080786</stp>
        <tr r="Z1151" s="1"/>
        <tr r="Z1151" s="1"/>
      </tp>
      <tp t="s">
        <v>#N/A Requesting Data...3282176337</v>
        <stp/>
        <stp>BDP|16593318139222340459</stp>
        <tr r="Y1133" s="1"/>
        <tr r="Y1133" s="1"/>
      </tp>
      <tp t="s">
        <v>#N/A Requesting Data...2536057687</v>
        <stp/>
        <stp>BDP|14429711212711847343</stp>
        <tr r="AA1368" s="1"/>
        <tr r="AA1368" s="1"/>
      </tp>
      <tp t="s">
        <v>#N/A Requesting Data...3599544729</v>
        <stp/>
        <stp>BDP|15310424156790899448</stp>
        <tr r="Y1238" s="1"/>
        <tr r="Y1238" s="1"/>
      </tp>
      <tp t="s">
        <v>#N/A Requesting Data...3102677746</v>
        <stp/>
        <stp>BDP|14029235783198331684</stp>
        <tr r="Z205" s="1"/>
        <tr r="Z205" s="1"/>
      </tp>
      <tp t="s">
        <v>#N/A Requesting Data...3601853171</v>
        <stp/>
        <stp>BDP|11013105205875885563</stp>
        <tr r="AC433" s="1"/>
        <tr r="AC433" s="1"/>
      </tp>
      <tp t="s">
        <v>#N/A Requesting Data...3690500877</v>
        <stp/>
        <stp>BDP|11274723728236080238</stp>
        <tr r="AB574" s="1"/>
        <tr r="AB574" s="1"/>
      </tp>
      <tp t="s">
        <v>#N/A Requesting Data...3833595404</v>
        <stp/>
        <stp>BDP|16640877840803974938</stp>
        <tr r="AA96" s="1"/>
        <tr r="AA96" s="1"/>
      </tp>
      <tp t="s">
        <v>#N/A Requesting Data...2955673910</v>
        <stp/>
        <stp>BDP|10475824554739808410</stp>
        <tr r="AA101" s="1"/>
        <tr r="AA101" s="1"/>
      </tp>
      <tp t="s">
        <v>#N/A Requesting Data...3216420342</v>
        <stp/>
        <stp>BDP|13460226620565865649</stp>
        <tr r="Z686" s="1"/>
        <tr r="Z686" s="1"/>
      </tp>
      <tp t="s">
        <v>#N/A Requesting Data...2779880646</v>
        <stp/>
        <stp>BDP|12682743057354717483</stp>
        <tr r="AB841" s="1"/>
        <tr r="AB841" s="1"/>
      </tp>
      <tp t="s">
        <v>#N/A Requesting Data...3642244790</v>
        <stp/>
        <stp>BDP|12281052818664421717</stp>
        <tr r="AB216" s="1"/>
        <tr r="AB216" s="1"/>
      </tp>
      <tp t="s">
        <v>#N/A Requesting Data...3299092159</v>
        <stp/>
        <stp>BDP|17050449853640948647</stp>
        <tr r="Z1476" s="1"/>
        <tr r="Z1476" s="1"/>
      </tp>
      <tp t="s">
        <v>#N/A Requesting Data...3303959823</v>
        <stp/>
        <stp>BDP|17385085474262101246</stp>
        <tr r="Y121" s="1"/>
        <tr r="Y121" s="1"/>
      </tp>
      <tp t="s">
        <v>#N/A Requesting Data...4011444945</v>
        <stp/>
        <stp>BDP|18101583113379891581</stp>
        <tr r="AB423" s="1"/>
        <tr r="AB423" s="1"/>
      </tp>
      <tp t="s">
        <v>#N/A Requesting Data...3044017862</v>
        <stp/>
        <stp>BDP|11295085390791563952</stp>
        <tr r="Y832" s="1"/>
        <tr r="Y832" s="1"/>
      </tp>
      <tp t="s">
        <v>#N/A Requesting Data...4181363973</v>
        <stp/>
        <stp>BDP|17832796714918878978</stp>
        <tr r="AA378" s="1"/>
        <tr r="AA378" s="1"/>
      </tp>
      <tp t="s">
        <v>#N/A Requesting Data...2901037562</v>
        <stp/>
        <stp>BDP|10302441349758456800</stp>
        <tr r="Y183" s="1"/>
        <tr r="Y183" s="1"/>
      </tp>
      <tp t="s">
        <v>#N/A Requesting Data...3468448469</v>
        <stp/>
        <stp>BDP|10235648926320232489</stp>
        <tr r="AA1177" s="1"/>
        <tr r="AA1177" s="1"/>
      </tp>
      <tp t="s">
        <v>#N/A Requesting Data...3359440789</v>
        <stp/>
        <stp>BDP|12773530181388715787</stp>
        <tr r="Y137" s="1"/>
        <tr r="Y137" s="1"/>
      </tp>
      <tp t="s">
        <v>#N/A Requesting Data...4140105009</v>
        <stp/>
        <stp>BDP|11676432458168237855</stp>
        <tr r="AB713" s="1"/>
        <tr r="AB713" s="1"/>
      </tp>
      <tp t="s">
        <v>#N/A Requesting Data...2950290169</v>
        <stp/>
        <stp>BDP|14167281562786192608</stp>
        <tr r="AA1607" s="1"/>
        <tr r="AA1607" s="1"/>
      </tp>
      <tp t="s">
        <v>#N/A Requesting Data...4166250996</v>
        <stp/>
        <stp>BDP|18188382297313306179</stp>
        <tr r="AC581" s="1"/>
        <tr r="AC581" s="1"/>
      </tp>
      <tp t="s">
        <v>#N/A Requesting Data...3257098311</v>
        <stp/>
        <stp>BDP|15910236246354227741</stp>
        <tr r="Z1173" s="1"/>
        <tr r="Z1173" s="1"/>
      </tp>
      <tp t="s">
        <v>#N/A Requesting Data...2560456132</v>
        <stp/>
        <stp>BDP|16642460123166165684</stp>
        <tr r="AB1552" s="1"/>
        <tr r="AB1552" s="1"/>
      </tp>
      <tp t="s">
        <v>#N/A Requesting Data...2782131373</v>
        <stp/>
        <stp>BDP|11278846892772902270</stp>
        <tr r="Y611" s="1"/>
        <tr r="Y611" s="1"/>
      </tp>
      <tp t="s">
        <v>#N/A Requesting Data...4160831808</v>
        <stp/>
        <stp>BDP|15336133777712570186</stp>
        <tr r="AB35" s="1"/>
      </tp>
      <tp t="s">
        <v>#N/A Requesting Data...2570519694</v>
        <stp/>
        <stp>BDP|10968777250371331374</stp>
        <tr r="Y1154" s="1"/>
        <tr r="Y1154" s="1"/>
      </tp>
      <tp t="s">
        <v>#N/A Requesting Data...2559833974</v>
        <stp/>
        <stp>BDP|16026146572616579690</stp>
        <tr r="AC994" s="1"/>
        <tr r="AC994" s="1"/>
      </tp>
      <tp t="s">
        <v>#N/A Requesting Data...2741707699</v>
        <stp/>
        <stp>BDP|10421750969952288306</stp>
        <tr r="AA1481" s="1"/>
        <tr r="AA1481" s="1"/>
      </tp>
      <tp t="s">
        <v>#N/A Requesting Data...3578518941</v>
        <stp/>
        <stp>BDP|15780652071675908108</stp>
        <tr r="AB798" s="1"/>
        <tr r="AB798" s="1"/>
      </tp>
      <tp t="s">
        <v>#N/A Requesting Data...2622826610</v>
        <stp/>
        <stp>BDP|13441766630213940410</stp>
        <tr r="AB1523" s="1"/>
        <tr r="AB1523" s="1"/>
      </tp>
      <tp t="s">
        <v>#N/A Requesting Data...3973588212</v>
        <stp/>
        <stp>BDP|11746832599193493345</stp>
        <tr r="AA1605" s="1"/>
        <tr r="AA1605" s="1"/>
      </tp>
      <tp t="s">
        <v>#N/A Requesting Data...4104467755</v>
        <stp/>
        <stp>BDP|14428486622961422375</stp>
        <tr r="Y249" s="1"/>
        <tr r="Y249" s="1"/>
      </tp>
      <tp t="s">
        <v>#N/A Requesting Data...4123385953</v>
        <stp/>
        <stp>BDP|17992390549723361372</stp>
        <tr r="Z401" s="1"/>
        <tr r="Z401" s="1"/>
      </tp>
      <tp t="s">
        <v>#N/A Requesting Data...3845620078</v>
        <stp/>
        <stp>BDP|12760796878035805739</stp>
        <tr r="Z319" s="1"/>
        <tr r="Z319" s="1"/>
      </tp>
      <tp t="s">
        <v>#N/A Requesting Data...2838003303</v>
        <stp/>
        <stp>BDP|11624794862142871288</stp>
        <tr r="AB1500" s="1"/>
        <tr r="AB1500" s="1"/>
      </tp>
      <tp t="s">
        <v>#N/A Requesting Data...3283688360</v>
        <stp/>
        <stp>BDP|14786615834550766180</stp>
        <tr r="AB828" s="1"/>
        <tr r="AB828" s="1"/>
      </tp>
      <tp t="s">
        <v>#N/A Requesting Data...2783735871</v>
        <stp/>
        <stp>BDP|12117595590606168845</stp>
        <tr r="AB982" s="1"/>
        <tr r="AB982" s="1"/>
      </tp>
      <tp t="s">
        <v>#N/A Requesting Data...3912077284</v>
        <stp/>
        <stp>BDP|12792516467984992558</stp>
        <tr r="Z480" s="1"/>
        <tr r="Z480" s="1"/>
      </tp>
      <tp t="s">
        <v>#N/A Requesting Data...4087615347</v>
        <stp/>
        <stp>BDP|10812061216026258773</stp>
        <tr r="AC735" s="1"/>
        <tr r="AC735" s="1"/>
      </tp>
      <tp t="s">
        <v>#N/A Requesting Data...3277486385</v>
        <stp/>
        <stp>BDP|12246081680402278853</stp>
        <tr r="Y1573" s="1"/>
        <tr r="Y1573" s="1"/>
      </tp>
      <tp t="s">
        <v>#N/A Requesting Data...4275934329</v>
        <stp/>
        <stp>BDP|10019916261606947941</stp>
        <tr r="AA132" s="1"/>
        <tr r="AA132" s="1"/>
      </tp>
      <tp t="s">
        <v>#N/A Requesting Data...3503021541</v>
        <stp/>
        <stp>BDP|16348769831096015498</stp>
        <tr r="AA1547" s="1"/>
        <tr r="AA1547" s="1"/>
      </tp>
      <tp t="s">
        <v>#N/A Requesting Data...2749952728</v>
        <stp/>
        <stp>BDP|16331392942400059154</stp>
        <tr r="AA1444" s="1"/>
        <tr r="AA1444" s="1"/>
      </tp>
      <tp t="s">
        <v>#N/A Requesting Data...2939967620</v>
        <stp/>
        <stp>BDP|16873527202633689024</stp>
        <tr r="Z980" s="1"/>
        <tr r="Z980" s="1"/>
      </tp>
      <tp t="s">
        <v>#N/A Requesting Data...3202641470</v>
        <stp/>
        <stp>BDP|13577069218645221750</stp>
        <tr r="AC1410" s="1"/>
        <tr r="AC1410" s="1"/>
      </tp>
      <tp t="s">
        <v>#N/A Requesting Data...4252143869</v>
        <stp/>
        <stp>BDP|15511889631938697662</stp>
        <tr r="Z155" s="1"/>
        <tr r="Z155" s="1"/>
      </tp>
      <tp t="s">
        <v>#N/A Requesting Data...2978414372</v>
        <stp/>
        <stp>BDP|11988117248751552594</stp>
        <tr r="AB933" s="1"/>
        <tr r="AB933" s="1"/>
      </tp>
      <tp t="s">
        <v>#N/A Requesting Data...3618085197</v>
        <stp/>
        <stp>BDP|11903638271173183368</stp>
        <tr r="Y240" s="1"/>
        <tr r="Y240" s="1"/>
      </tp>
      <tp t="s">
        <v>#N/A Requesting Data...3554994992</v>
        <stp/>
        <stp>BDP|11197779711840947725</stp>
        <tr r="AB267" s="1"/>
        <tr r="AB267" s="1"/>
      </tp>
      <tp t="s">
        <v>#N/A Requesting Data...2672195173</v>
        <stp/>
        <stp>BDP|17489475247164002382</stp>
        <tr r="AC265" s="1"/>
        <tr r="AC265" s="1"/>
      </tp>
      <tp t="s">
        <v>#N/A Requesting Data...2597190537</v>
        <stp/>
        <stp>BDP|18247420104744090884</stp>
        <tr r="Y799" s="1"/>
        <tr r="Y799" s="1"/>
      </tp>
      <tp t="s">
        <v>#N/A Requesting Data...4283869911</v>
        <stp/>
        <stp>BDP|11000561192505183890</stp>
        <tr r="AB381" s="1"/>
        <tr r="AB381" s="1"/>
      </tp>
      <tp t="s">
        <v>#N/A Requesting Data...3066984338</v>
        <stp/>
        <stp>BDP|18171278087264975646</stp>
        <tr r="Z1422" s="1"/>
        <tr r="Z1422" s="1"/>
      </tp>
      <tp t="s">
        <v>#N/A Requesting Data...2756385017</v>
        <stp/>
        <stp>BDP|17474332642001853113</stp>
        <tr r="AA108" s="1"/>
        <tr r="AA108" s="1"/>
      </tp>
      <tp t="s">
        <v>#N/A Requesting Data...2558938574</v>
        <stp/>
        <stp>BDP|15996502646932120622</stp>
        <tr r="AA954" s="1"/>
        <tr r="AA954" s="1"/>
      </tp>
      <tp t="s">
        <v>#N/A Requesting Data...3040379956</v>
        <stp/>
        <stp>BDP|13714185262300025414</stp>
        <tr r="AC742" s="1"/>
        <tr r="AC742" s="1"/>
      </tp>
      <tp t="s">
        <v>#N/A Requesting Data...2615026751</v>
        <stp/>
        <stp>BDP|16663200539523712442</stp>
        <tr r="Y1599" s="1"/>
        <tr r="Y1599" s="1"/>
      </tp>
      <tp t="s">
        <v>#N/A Requesting Data...4142874573</v>
        <stp/>
        <stp>BDP|12925404411580478702</stp>
        <tr r="AC903" s="1"/>
        <tr r="AC903" s="1"/>
      </tp>
      <tp t="s">
        <v>#N/A Requesting Data...3647123799</v>
        <stp/>
        <stp>BDP|17056492065726625364</stp>
        <tr r="Z1357" s="1"/>
        <tr r="Z1357" s="1"/>
      </tp>
      <tp t="s">
        <v>#N/A Requesting Data...3597354636</v>
        <stp/>
        <stp>BDP|15387010997338964409</stp>
        <tr r="AB1366" s="1"/>
        <tr r="AB1366" s="1"/>
      </tp>
      <tp t="s">
        <v>#N/A Requesting Data...3587000743</v>
        <stp/>
        <stp>BDP|13209416422216990372</stp>
        <tr r="AA721" s="1"/>
        <tr r="AA721" s="1"/>
      </tp>
      <tp t="s">
        <v>#N/A Requesting Data...3376062713</v>
        <stp/>
        <stp>BDP|18347889680678110055</stp>
        <tr r="AC256" s="1"/>
      </tp>
      <tp t="s">
        <v>#N/A Requesting Data...3822177871</v>
        <stp/>
        <stp>BDP|14965344874607133779</stp>
        <tr r="Y1119" s="1"/>
        <tr r="Y1119" s="1"/>
      </tp>
      <tp t="s">
        <v>#N/A Requesting Data...3242536754</v>
        <stp/>
        <stp>BDP|17805869854178011257</stp>
        <tr r="AB16" s="1"/>
        <tr r="AB16" s="1"/>
      </tp>
      <tp t="s">
        <v>#N/A Requesting Data...2743338418</v>
        <stp/>
        <stp>BDP|14607775461384829179</stp>
        <tr r="AB492" s="1"/>
        <tr r="AB492" s="1"/>
      </tp>
      <tp t="s">
        <v>#N/A Requesting Data...4034665263</v>
        <stp/>
        <stp>BDP|16344697987961779950</stp>
        <tr r="Z1552" s="1"/>
        <tr r="Z1552" s="1"/>
      </tp>
      <tp t="s">
        <v>#N/A Requesting Data...4037197879</v>
        <stp/>
        <stp>BDP|18047988911281257149</stp>
        <tr r="Y770" s="1"/>
        <tr r="Y770" s="1"/>
      </tp>
      <tp t="s">
        <v>#N/A Requesting Data...3869027248</v>
        <stp/>
        <stp>BDP|10128865883221244190</stp>
        <tr r="AC1282" s="1"/>
        <tr r="AC1282" s="1"/>
      </tp>
      <tp t="s">
        <v>#N/A Requesting Data...3937675679</v>
        <stp/>
        <stp>BDP|16497761514941181189</stp>
        <tr r="Y560" s="1"/>
        <tr r="Y560" s="1"/>
      </tp>
      <tp t="s">
        <v>#N/A Requesting Data...2747841282</v>
        <stp/>
        <stp>BDP|15658601208487750465</stp>
        <tr r="AC1046" s="1"/>
        <tr r="AC1046" s="1"/>
      </tp>
      <tp t="s">
        <v>#N/A Requesting Data...3044710966</v>
        <stp/>
        <stp>BDP|17827406902573714027</stp>
        <tr r="AB1408" s="1"/>
        <tr r="AB1408" s="1"/>
      </tp>
      <tp t="s">
        <v>#N/A Requesting Data...3561186005</v>
        <stp/>
        <stp>BDP|14747079423875403382</stp>
        <tr r="AB1557" s="1"/>
        <tr r="AB1557" s="1"/>
      </tp>
      <tp t="s">
        <v>#N/A Requesting Data...3148416759</v>
        <stp/>
        <stp>BDP|15411030172735912730</stp>
        <tr r="AC1484" s="1"/>
        <tr r="AC1484" s="1"/>
      </tp>
      <tp t="s">
        <v>#N/A Requesting Data...2883501375</v>
        <stp/>
        <stp>BDP|12151911708573422834</stp>
        <tr r="AA1454" s="1"/>
        <tr r="AA1454" s="1"/>
      </tp>
      <tp t="s">
        <v>#N/A Requesting Data...3710326504</v>
        <stp/>
        <stp>BDP|17790892503857779851</stp>
        <tr r="AA1450" s="1"/>
        <tr r="AA1450" s="1"/>
      </tp>
      <tp t="s">
        <v>#N/A Requesting Data...3455681803</v>
        <stp/>
        <stp>BDP|16709771753605545196</stp>
        <tr r="AB92" s="1"/>
        <tr r="AB92" s="1"/>
      </tp>
      <tp t="s">
        <v>#N/A Requesting Data...4018167846</v>
        <stp/>
        <stp>BDP|17388251872745836738</stp>
        <tr r="AC1075" s="1"/>
        <tr r="AC1075" s="1"/>
      </tp>
      <tp t="s">
        <v>#N/A Requesting Data...3214313779</v>
        <stp/>
        <stp>BDP|15811215478374615482</stp>
        <tr r="Y882" s="1"/>
        <tr r="Y882" s="1"/>
      </tp>
      <tp t="s">
        <v>#N/A Requesting Data...3885559422</v>
        <stp/>
        <stp>BDP|14028338761588991942</stp>
        <tr r="Y422" s="1"/>
        <tr r="Y422" s="1"/>
      </tp>
      <tp t="s">
        <v>#N/A Requesting Data...2617692186</v>
        <stp/>
        <stp>BDP|11183501556306949707</stp>
        <tr r="AC160" s="1"/>
        <tr r="AC160" s="1"/>
      </tp>
      <tp t="s">
        <v>#N/A Requesting Data...3514178258</v>
        <stp/>
        <stp>BDP|16583194938055318195</stp>
        <tr r="Z142" s="1"/>
        <tr r="Z142" s="1"/>
      </tp>
      <tp t="s">
        <v>#N/A Requesting Data...2715463207</v>
        <stp/>
        <stp>BDP|11888387254067863027</stp>
        <tr r="Z782" s="1"/>
        <tr r="Z782" s="1"/>
      </tp>
      <tp t="s">
        <v>#N/A Requesting Data...2562868287</v>
        <stp/>
        <stp>BDP|15215420845104876139</stp>
        <tr r="AA1350" s="1"/>
        <tr r="AA1350" s="1"/>
      </tp>
      <tp t="s">
        <v>#N/A Requesting Data...3315155963</v>
        <stp/>
        <stp>BDP|12355868252947095893</stp>
        <tr r="Z752" s="1"/>
        <tr r="Z752" s="1"/>
      </tp>
      <tp t="s">
        <v>#N/A Requesting Data...3301869154</v>
        <stp/>
        <stp>BDP|15261179989634518876</stp>
        <tr r="Y436" s="1"/>
        <tr r="Y436" s="1"/>
      </tp>
      <tp t="s">
        <v>#N/A Requesting Data...2570565122</v>
        <stp/>
        <stp>BDP|17272935788493585523</stp>
        <tr r="AB1242" s="1"/>
        <tr r="AB1242" s="1"/>
      </tp>
      <tp t="s">
        <v>#N/A Requesting Data...3841997886</v>
        <stp/>
        <stp>BDP|17105931495937846011</stp>
        <tr r="AC562" s="1"/>
        <tr r="AC562" s="1"/>
      </tp>
      <tp t="s">
        <v>#N/A Requesting Data...3136551018</v>
        <stp/>
        <stp>BDP|10667365104720815328</stp>
        <tr r="Z191" s="1"/>
        <tr r="Z191" s="1"/>
      </tp>
      <tp t="s">
        <v>#N/A Requesting Data...2889784358</v>
        <stp/>
        <stp>BDP|14625799010465156706</stp>
        <tr r="AA1258" s="1"/>
        <tr r="AA1258" s="1"/>
      </tp>
      <tp t="s">
        <v>#N/A Requesting Data...4019921564</v>
        <stp/>
        <stp>BDP|14654999015189338572</stp>
        <tr r="AC1029" s="1"/>
        <tr r="AC1029" s="1"/>
      </tp>
      <tp t="s">
        <v>#N/A Requesting Data...4026721574</v>
        <stp/>
        <stp>BDP|13209590222240229453</stp>
        <tr r="AA1289" s="1"/>
        <tr r="AA1289" s="1"/>
      </tp>
      <tp t="s">
        <v>#N/A Requesting Data...2965249370</v>
        <stp/>
        <stp>BDP|16223393653574412426</stp>
        <tr r="AB672" s="1"/>
        <tr r="AB672" s="1"/>
      </tp>
      <tp t="s">
        <v>#N/A Requesting Data...2664217076</v>
        <stp/>
        <stp>BDP|15576688171990101437</stp>
        <tr r="AC84" s="1"/>
        <tr r="AC84" s="1"/>
      </tp>
      <tp t="s">
        <v>#N/A Requesting Data...3354407675</v>
        <stp/>
        <stp>BDP|16597011331390936529</stp>
        <tr r="Y1203" s="1"/>
        <tr r="Y1203" s="1"/>
      </tp>
      <tp t="s">
        <v>#N/A Requesting Data...4061237936</v>
        <stp/>
        <stp>BDP|15980752123996674674</stp>
        <tr r="AC1460" s="1"/>
        <tr r="AC1460" s="1"/>
      </tp>
      <tp t="s">
        <v>#N/A Requesting Data...3698714862</v>
        <stp/>
        <stp>BDP|13920977783491544365</stp>
        <tr r="AA1442" s="1"/>
        <tr r="AA1442" s="1"/>
      </tp>
      <tp t="s">
        <v>#N/A Requesting Data...4132511318</v>
        <stp/>
        <stp>BDP|15542984547599135151</stp>
        <tr r="AA1586" s="1"/>
        <tr r="AA1586" s="1"/>
      </tp>
      <tp t="s">
        <v>#N/A Requesting Data...3494849214</v>
        <stp/>
        <stp>BDP|14556563214010847015</stp>
        <tr r="AB676" s="1"/>
        <tr r="AB676" s="1"/>
      </tp>
      <tp t="s">
        <v>#N/A Requesting Data...3389127002</v>
        <stp/>
        <stp>BDP|10712025361133839520</stp>
        <tr r="Y1437" s="1"/>
        <tr r="Y1437" s="1"/>
      </tp>
      <tp t="s">
        <v>#N/A Requesting Data...3890847066</v>
        <stp/>
        <stp>BDP|12501354274062948434</stp>
        <tr r="Y1292" s="1"/>
        <tr r="Y1292" s="1"/>
      </tp>
      <tp t="s">
        <v>#N/A Requesting Data...2703944558</v>
        <stp/>
        <stp>BDP|11074504949503622310</stp>
        <tr r="AA1502" s="1"/>
        <tr r="AA1502" s="1"/>
      </tp>
      <tp t="s">
        <v>#N/A Requesting Data...3187118526</v>
        <stp/>
        <stp>BDP|10354682525460867481</stp>
        <tr r="Z1265" s="1"/>
        <tr r="Z1265" s="1"/>
      </tp>
      <tp t="s">
        <v>#N/A Requesting Data...4200708569</v>
        <stp/>
        <stp>BDP|14416757425533384261</stp>
        <tr r="AC541" s="1"/>
        <tr r="AC541" s="1"/>
      </tp>
      <tp t="s">
        <v>#N/A Requesting Data...4075899354</v>
        <stp/>
        <stp>BDP|13515115045635607368</stp>
        <tr r="AB1342" s="1"/>
        <tr r="AB1342" s="1"/>
      </tp>
      <tp t="s">
        <v>#N/A Requesting Data...3821718903</v>
        <stp/>
        <stp>BDP|11674712047931614370</stp>
        <tr r="AC1127" s="1"/>
        <tr r="AC1127" s="1"/>
      </tp>
      <tp t="s">
        <v>#N/A Requesting Data...3624094357</v>
        <stp/>
        <stp>BDP|17543013026044086133</stp>
        <tr r="Y1164" s="1"/>
        <tr r="Y1164" s="1"/>
      </tp>
      <tp t="s">
        <v>#N/A Requesting Data...3209988684</v>
        <stp/>
        <stp>BDP|13050057621220541107</stp>
        <tr r="AA831" s="1"/>
        <tr r="AA831" s="1"/>
      </tp>
      <tp t="s">
        <v>#N/A Requesting Data...3366396428</v>
        <stp/>
        <stp>BDP|12889644202733981761</stp>
        <tr r="Y1223" s="1"/>
        <tr r="Y1223" s="1"/>
      </tp>
      <tp t="s">
        <v>#N/A Requesting Data...4109004661</v>
        <stp/>
        <stp>BDP|12841897852586739954</stp>
        <tr r="AA56" s="1"/>
      </tp>
      <tp t="s">
        <v>#N/A Requesting Data...3409186170</v>
        <stp/>
        <stp>BDP|10504323828633924276</stp>
        <tr r="AB1108" s="1"/>
        <tr r="AB1108" s="1"/>
      </tp>
      <tp t="s">
        <v>#N/A Requesting Data...2826324098</v>
        <stp/>
        <stp>BDP|15304446003356315764</stp>
        <tr r="AA1132" s="1"/>
        <tr r="AA1132" s="1"/>
      </tp>
      <tp t="s">
        <v>#N/A Requesting Data...3361000426</v>
        <stp/>
        <stp>BDP|16019773320443308056</stp>
        <tr r="Y1506" s="1"/>
        <tr r="Y1506" s="1"/>
      </tp>
      <tp t="s">
        <v>#N/A Requesting Data...4049862695</v>
        <stp/>
        <stp>BDP|13077903495165344676</stp>
        <tr r="Z492" s="1"/>
        <tr r="Z492" s="1"/>
      </tp>
      <tp t="s">
        <v>#N/A Requesting Data...3867682004</v>
        <stp/>
        <stp>BDP|11033765188787630994</stp>
        <tr r="AA1166" s="1"/>
        <tr r="AA1166" s="1"/>
      </tp>
      <tp t="s">
        <v>#N/A Requesting Data...3811760389</v>
        <stp/>
        <stp>BDP|11023231926319384862</stp>
        <tr r="Y886" s="1"/>
        <tr r="Y886" s="1"/>
      </tp>
      <tp t="s">
        <v>#N/A Requesting Data...2980722079</v>
        <stp/>
        <stp>BDP|14866240209543294573</stp>
        <tr r="AC1035" s="1"/>
        <tr r="AC1035" s="1"/>
      </tp>
      <tp t="s">
        <v>#N/A Requesting Data...4063237801</v>
        <stp/>
        <stp>BDP|12149014423332399203</stp>
        <tr r="Z1427" s="1"/>
        <tr r="Z1427" s="1"/>
      </tp>
      <tp t="s">
        <v>#N/A Requesting Data...3764488649</v>
        <stp/>
        <stp>BDP|11229314753691788677</stp>
        <tr r="AC221" s="1"/>
        <tr r="AC221" s="1"/>
      </tp>
      <tp t="s">
        <v>#N/A Requesting Data...2732795555</v>
        <stp/>
        <stp>BDP|10783668307372182475</stp>
        <tr r="Y1379" s="1"/>
        <tr r="Y1379" s="1"/>
      </tp>
      <tp t="s">
        <v>#N/A Requesting Data...3397965584</v>
        <stp/>
        <stp>BDP|17179162447540984294</stp>
        <tr r="Z439" s="1"/>
        <tr r="Z439" s="1"/>
      </tp>
      <tp t="s">
        <v>#N/A Requesting Data...2833401313</v>
        <stp/>
        <stp>BDP|10079765667160335123</stp>
        <tr r="Y834" s="1"/>
        <tr r="Y834" s="1"/>
      </tp>
      <tp t="s">
        <v>#N/A Requesting Data...3978977605</v>
        <stp/>
        <stp>BDP|11211812716519140141</stp>
        <tr r="Z1371" s="1"/>
        <tr r="Z1371" s="1"/>
      </tp>
      <tp t="s">
        <v>#N/A Requesting Data...3661659632</v>
        <stp/>
        <stp>BDP|13369202158080320485</stp>
        <tr r="AA450" s="1"/>
        <tr r="AA450" s="1"/>
      </tp>
      <tp t="s">
        <v>#N/A Requesting Data...3908843348</v>
        <stp/>
        <stp>BDP|17214259355680144038</stp>
        <tr r="AB771" s="1"/>
        <tr r="AB771" s="1"/>
      </tp>
      <tp t="s">
        <v>#N/A Requesting Data...3708743014</v>
        <stp/>
        <stp>BDP|14905984771613944994</stp>
        <tr r="AB1118" s="1"/>
        <tr r="AB1118" s="1"/>
      </tp>
      <tp t="s">
        <v>#N/A Requesting Data...3799327478</v>
        <stp/>
        <stp>BDP|13862493537796754216</stp>
        <tr r="AB349" s="1"/>
        <tr r="AB349" s="1"/>
      </tp>
      <tp t="s">
        <v>#N/A Requesting Data...3203253368</v>
        <stp/>
        <stp>BDP|15389105606937328367</stp>
        <tr r="Y88" s="1"/>
        <tr r="Y88" s="1"/>
      </tp>
      <tp t="s">
        <v>#N/A Requesting Data...4151053815</v>
        <stp/>
        <stp>BDP|16522172676566613625</stp>
        <tr r="AA912" s="1"/>
        <tr r="AA912" s="1"/>
      </tp>
      <tp t="s">
        <v>#N/A Requesting Data...3806207833</v>
        <stp/>
        <stp>BDP|16741311336352081409</stp>
        <tr r="AA689" s="1"/>
        <tr r="AA689" s="1"/>
      </tp>
      <tp t="s">
        <v>#N/A Requesting Data...3050549343</v>
        <stp/>
        <stp>BDP|12553741536103228551</stp>
        <tr r="AA542" s="1"/>
        <tr r="AA542" s="1"/>
      </tp>
      <tp t="s">
        <v>#N/A Requesting Data...2599207785</v>
        <stp/>
        <stp>BDP|17023479130032195267</stp>
        <tr r="Y94" s="1"/>
        <tr r="Y94" s="1"/>
      </tp>
      <tp t="s">
        <v>#N/A Requesting Data...3150678682</v>
        <stp/>
        <stp>BDP|10994066091658654188</stp>
        <tr r="Z1482" s="1"/>
        <tr r="Z1482" s="1"/>
      </tp>
      <tp t="s">
        <v>#N/A Requesting Data...2925002399</v>
        <stp/>
        <stp>BDP|13699841231618978092</stp>
        <tr r="Y891" s="1"/>
        <tr r="Y891" s="1"/>
      </tp>
      <tp t="s">
        <v>#N/A Requesting Data...3874699671</v>
        <stp/>
        <stp>BDP|17354118530677881299</stp>
        <tr r="Y1316" s="1"/>
        <tr r="Y1316" s="1"/>
      </tp>
      <tp t="s">
        <v>#N/A Requesting Data...3815325699</v>
        <stp/>
        <stp>BDP|14847190665367455438</stp>
        <tr r="AC1174" s="1"/>
      </tp>
      <tp t="s">
        <v>#N/A Requesting Data...2911472456</v>
        <stp/>
        <stp>BDP|12168469418903591497</stp>
        <tr r="AC1429" s="1"/>
        <tr r="AC1429" s="1"/>
      </tp>
      <tp t="s">
        <v>#N/A Requesting Data...3044762666</v>
        <stp/>
        <stp>BDP|13451498366500838104</stp>
        <tr r="AC1032" s="1"/>
        <tr r="AC1032" s="1"/>
      </tp>
      <tp t="s">
        <v>#N/A Requesting Data...2970716201</v>
        <stp/>
        <stp>BDP|12638397649756099354</stp>
        <tr r="AB1240" s="1"/>
        <tr r="AB1240" s="1"/>
      </tp>
      <tp t="s">
        <v>#N/A Requesting Data...2977252371</v>
        <stp/>
        <stp>BDP|10850619153506078592</stp>
        <tr r="AA886" s="1"/>
        <tr r="AA886" s="1"/>
      </tp>
      <tp t="s">
        <v>#N/A Requesting Data...3361843875</v>
        <stp/>
        <stp>BDP|13245780539905308231</stp>
        <tr r="AC1577" s="1"/>
        <tr r="AC1577" s="1"/>
      </tp>
      <tp t="s">
        <v>#N/A Requesting Data...3464364193</v>
        <stp/>
        <stp>BDP|12671399873172979464</stp>
        <tr r="AC1191" s="1"/>
        <tr r="AC1191" s="1"/>
      </tp>
      <tp t="s">
        <v>#N/A Requesting Data...4183401973</v>
        <stp/>
        <stp>BDP|15203651240541267660</stp>
        <tr r="AB1433" s="1"/>
        <tr r="AB1433" s="1"/>
      </tp>
      <tp t="s">
        <v>#N/A Requesting Data...4197968444</v>
        <stp/>
        <stp>BDP|17145653015291608142</stp>
        <tr r="AC775" s="1"/>
        <tr r="AC775" s="1"/>
      </tp>
      <tp t="s">
        <v>#N/A Requesting Data...3965515957</v>
        <stp/>
        <stp>BDP|16136635072067580068</stp>
        <tr r="AA311" s="1"/>
        <tr r="AA311" s="1"/>
      </tp>
      <tp t="s">
        <v>#N/A Requesting Data...3207044611</v>
        <stp/>
        <stp>BDP|18086063395840229125</stp>
        <tr r="Y128" s="1"/>
        <tr r="Y128" s="1"/>
      </tp>
      <tp>
        <v>2.1749999999999998</v>
        <stp/>
        <stp>BDP|2757124005361957130|22</stp>
        <stp>IVP US Equity</stp>
        <stp>LAST_PRICE</stp>
        <tr r="AD772" s="1"/>
        <tr r="AD772" s="1"/>
      </tp>
      <tp t="s">
        <v>#N/A Requesting Data...4256250699</v>
        <stp/>
        <stp>BDP|15756442436985073772</stp>
        <tr r="AA1416" s="1"/>
        <tr r="AA1416" s="1"/>
      </tp>
      <tp t="s">
        <v>#N/A Requesting Data...4170279041</v>
        <stp/>
        <stp>BDP|14067037101942756676</stp>
        <tr r="Y736" s="1"/>
        <tr r="Y736" s="1"/>
      </tp>
      <tp t="s">
        <v>#N/A Requesting Data...2924313326</v>
        <stp/>
        <stp>BDP|12376051449792585480</stp>
        <tr r="Z1340" s="1"/>
        <tr r="Z1340" s="1"/>
      </tp>
      <tp t="s">
        <v>#N/A Requesting Data...3009449663</v>
        <stp/>
        <stp>BDP|16056458036521650075</stp>
        <tr r="AA544" s="1"/>
        <tr r="AA544" s="1"/>
      </tp>
      <tp t="s">
        <v>#N/A Requesting Data...3005326610</v>
        <stp/>
        <stp>BDP|10597417779250735387</stp>
        <tr r="Z893" s="1"/>
        <tr r="Z893" s="1"/>
      </tp>
      <tp t="s">
        <v>#N/A Requesting Data...3968374414</v>
        <stp/>
        <stp>BDP|12292595915164850246</stp>
        <tr r="AA848" s="1"/>
        <tr r="AA848" s="1"/>
      </tp>
      <tp t="s">
        <v>#N/A Requesting Data...3244559986</v>
        <stp/>
        <stp>BDP|14469358772815614579</stp>
        <tr r="Y1070" s="1"/>
        <tr r="Y1070" s="1"/>
      </tp>
      <tp t="s">
        <v>#N/A Requesting Data...3595584838</v>
        <stp/>
        <stp>BDP|17861326456115798494</stp>
        <tr r="Z692" s="1"/>
        <tr r="Z692" s="1"/>
      </tp>
      <tp t="s">
        <v>#N/A Requesting Data...3915839906</v>
        <stp/>
        <stp>BDP|14744133947521051017</stp>
        <tr r="Y538" s="1"/>
        <tr r="Y538" s="1"/>
      </tp>
      <tp t="s">
        <v>#N/A Requesting Data...2835182161</v>
        <stp/>
        <stp>BDP|12445669680669357539</stp>
        <tr r="AA59" s="1"/>
        <tr r="AA59" s="1"/>
      </tp>
      <tp t="s">
        <v>#N/A Requesting Data...3880955983</v>
        <stp/>
        <stp>BDP|16371206161817741578</stp>
        <tr r="AC52" s="1"/>
        <tr r="AC52" s="1"/>
      </tp>
      <tp t="s">
        <v>#N/A Requesting Data...2967582782</v>
        <stp/>
        <stp>BDP|17249934541733148949</stp>
        <tr r="Z775" s="1"/>
        <tr r="Z775" s="1"/>
      </tp>
      <tp t="s">
        <v>#N/A Requesting Data...3145901696</v>
        <stp/>
        <stp>BDP|12298660976327414432</stp>
        <tr r="AC40" s="1"/>
        <tr r="AC40" s="1"/>
      </tp>
      <tp t="s">
        <v>#N/A Requesting Data...2608638296</v>
        <stp/>
        <stp>BDP|13574411069285190493</stp>
        <tr r="AB1088" s="1"/>
        <tr r="AB1088" s="1"/>
      </tp>
      <tp t="s">
        <v>#N/A Requesting Data...2882807692</v>
        <stp/>
        <stp>BDP|12554189200300001381</stp>
        <tr r="Z1613" s="1"/>
      </tp>
      <tp t="s">
        <v>#N/A Requesting Data...3091223900</v>
        <stp/>
        <stp>BDP|10175250882419271318</stp>
        <tr r="AC1287" s="1"/>
        <tr r="AC1287" s="1"/>
      </tp>
      <tp t="s">
        <v>#N/A Requesting Data...3411925003</v>
        <stp/>
        <stp>BDP|16390485984482976833</stp>
        <tr r="AB1620" s="1"/>
        <tr r="AB1620" s="1"/>
      </tp>
      <tp t="s">
        <v>#N/A Requesting Data...3571013182</v>
        <stp/>
        <stp>BDP|13634207270887599166</stp>
        <tr r="AB1343" s="1"/>
        <tr r="AB1343" s="1"/>
      </tp>
      <tp t="s">
        <v>#N/A Requesting Data...3413674143</v>
        <stp/>
        <stp>BDP|10505227961286223215</stp>
        <tr r="AA1239" s="1"/>
        <tr r="AA1239" s="1"/>
      </tp>
      <tp t="s">
        <v>#N/A Requesting Data...2688008181</v>
        <stp/>
        <stp>BDP|17909836637445099989</stp>
        <tr r="Z1210" s="1"/>
        <tr r="Z1210" s="1"/>
      </tp>
      <tp t="s">
        <v>#N/A Requesting Data...3741381131</v>
        <stp/>
        <stp>BDP|10677057806930269028</stp>
        <tr r="AB395" s="1"/>
      </tp>
      <tp t="s">
        <v>#N/A Requesting Data...2922978916</v>
        <stp/>
        <stp>BDP|16755544700642163176</stp>
        <tr r="AB515" s="1"/>
      </tp>
      <tp t="s">
        <v>#N/A Requesting Data...4106836029</v>
        <stp/>
        <stp>BDP|14157833563743567912</stp>
        <tr r="AB1131" s="1"/>
        <tr r="AB1131" s="1"/>
      </tp>
      <tp t="s">
        <v>#N/A Requesting Data...4148101690</v>
        <stp/>
        <stp>BDP|15850356538676227323</stp>
        <tr r="AC986" s="1"/>
        <tr r="AC986" s="1"/>
      </tp>
      <tp t="s">
        <v>#N/A Requesting Data...4281270274</v>
        <stp/>
        <stp>BDP|15218518100143059369</stp>
        <tr r="AC60" s="1"/>
        <tr r="AC60" s="1"/>
      </tp>
      <tp t="s">
        <v>#N/A Requesting Data...3737213526</v>
        <stp/>
        <stp>BDP|15528683773851946537</stp>
        <tr r="Z1358" s="1"/>
      </tp>
      <tp t="s">
        <v>#N/A Requesting Data...3829258632</v>
        <stp/>
        <stp>BDP|10830969390208224885</stp>
        <tr r="AB894" s="1"/>
        <tr r="AB894" s="1"/>
      </tp>
      <tp t="s">
        <v>#N/A Requesting Data...3881373042</v>
        <stp/>
        <stp>BDP|10225276900933833192</stp>
        <tr r="AA710" s="1"/>
        <tr r="AA710" s="1"/>
      </tp>
      <tp t="s">
        <v>#N/A Requesting Data...3067248555</v>
        <stp/>
        <stp>BDP|10545724009900925737</stp>
        <tr r="AA374" s="1"/>
        <tr r="AA374" s="1"/>
      </tp>
      <tp t="s">
        <v>#N/A Requesting Data...3436407392</v>
        <stp/>
        <stp>BDP|11947773416871807643</stp>
        <tr r="AB290" s="1"/>
        <tr r="AB290" s="1"/>
      </tp>
      <tp t="s">
        <v>#N/A Requesting Data...3337966960</v>
        <stp/>
        <stp>BDP|18349535782453652603</stp>
        <tr r="AB253" s="1"/>
        <tr r="AB253" s="1"/>
      </tp>
      <tp t="s">
        <v>#N/A Requesting Data...2723846616</v>
        <stp/>
        <stp>BDP|10957105728660516304</stp>
        <tr r="Y516" s="1"/>
        <tr r="Y516" s="1"/>
      </tp>
      <tp t="s">
        <v>#N/A Requesting Data...3600802993</v>
        <stp/>
        <stp>BDP|12739141327644775571</stp>
        <tr r="AA1076" s="1"/>
        <tr r="AA1076" s="1"/>
      </tp>
      <tp t="s">
        <v>#N/A Requesting Data...3871119018</v>
        <stp/>
        <stp>BDP|15145830056848097007</stp>
        <tr r="Y757" s="1"/>
        <tr r="Y757" s="1"/>
      </tp>
      <tp t="s">
        <v>#N/A Requesting Data...3296713469</v>
        <stp/>
        <stp>BDP|17609806512489508754</stp>
        <tr r="Y340" s="1"/>
        <tr r="Y340" s="1"/>
      </tp>
      <tp t="s">
        <v>#N/A Requesting Data...2692782102</v>
        <stp/>
        <stp>BDP|10219423800853063749</stp>
        <tr r="AC1115" s="1"/>
        <tr r="AC1115" s="1"/>
      </tp>
      <tp t="s">
        <v>#N/A Requesting Data...3043958008</v>
        <stp/>
        <stp>BDP|11788155658991941475</stp>
        <tr r="AB270" s="1"/>
        <tr r="AB270" s="1"/>
      </tp>
      <tp t="s">
        <v>#N/A Requesting Data...2785481899</v>
        <stp/>
        <stp>BDP|10786827551265098800</stp>
        <tr r="AB688" s="1"/>
        <tr r="AB688" s="1"/>
      </tp>
      <tp t="s">
        <v>#N/A Requesting Data...3180120020</v>
        <stp/>
        <stp>BDP|11687540283039799525</stp>
        <tr r="Z1018" s="1"/>
        <tr r="Z1018" s="1"/>
      </tp>
      <tp t="s">
        <v>#N/A Requesting Data...3029014142</v>
        <stp/>
        <stp>BDP|13788271605536515749</stp>
        <tr r="Y1024" s="1"/>
        <tr r="Y1024" s="1"/>
      </tp>
      <tp t="s">
        <v>#N/A Requesting Data...3203986256</v>
        <stp/>
        <stp>BDP|13922425642471526285</stp>
        <tr r="AA732" s="1"/>
        <tr r="AA732" s="1"/>
      </tp>
      <tp t="s">
        <v>#N/A Requesting Data...3667859675</v>
        <stp/>
        <stp>BDP|17548139155295035647</stp>
        <tr r="AA1299" s="1"/>
        <tr r="AA1299" s="1"/>
      </tp>
      <tp t="s">
        <v>#N/A Requesting Data...2990378645</v>
        <stp/>
        <stp>BDP|15009336570219592814</stp>
        <tr r="Y273" s="1"/>
        <tr r="Y273" s="1"/>
      </tp>
      <tp t="s">
        <v>#N/A Requesting Data...4188711180</v>
        <stp/>
        <stp>BDP|18369932947691681463</stp>
        <tr r="Z385" s="1"/>
        <tr r="Z385" s="1"/>
      </tp>
      <tp t="s">
        <v>#N/A Requesting Data...3825208889</v>
        <stp/>
        <stp>BDP|10694752043432531125</stp>
        <tr r="Y772" s="1"/>
        <tr r="Y772" s="1"/>
      </tp>
      <tp t="s">
        <v>#N/A Requesting Data...4064894698</v>
        <stp/>
        <stp>BDP|12437602270626594566</stp>
        <tr r="AC1142" s="1"/>
        <tr r="AC1142" s="1"/>
      </tp>
      <tp t="s">
        <v>#N/A Requesting Data...2873785839</v>
        <stp/>
        <stp>BDP|10298277060935301118</stp>
        <tr r="AC1193" s="1"/>
        <tr r="AC1193" s="1"/>
      </tp>
      <tp t="s">
        <v>#N/A Requesting Data...3563187935</v>
        <stp/>
        <stp>BDP|12762710432550257619</stp>
        <tr r="AC793" s="1"/>
        <tr r="AC793" s="1"/>
      </tp>
      <tp t="s">
        <v>#N/A Requesting Data...2894102697</v>
        <stp/>
        <stp>BDP|13559487601340273798</stp>
        <tr r="AA439" s="1"/>
        <tr r="AA439" s="1"/>
      </tp>
      <tp t="s">
        <v>#N/A Requesting Data...3153079978</v>
        <stp/>
        <stp>BDP|11152636931935437104</stp>
        <tr r="AA407" s="1"/>
        <tr r="AA407" s="1"/>
      </tp>
      <tp t="s">
        <v>#N/A Requesting Data...3838692095</v>
        <stp/>
        <stp>BDP|15626831607699097451</stp>
        <tr r="Y1228" s="1"/>
        <tr r="Y1228" s="1"/>
      </tp>
      <tp t="s">
        <v>#N/A Requesting Data...2870986742</v>
        <stp/>
        <stp>BDP|17126663104963314274</stp>
        <tr r="AB471" s="1"/>
        <tr r="AB471" s="1"/>
      </tp>
      <tp t="s">
        <v>#N/A Requesting Data...3218424789</v>
        <stp/>
        <stp>BDP|10873938288436517719</stp>
        <tr r="AB1422" s="1"/>
        <tr r="AB1422" s="1"/>
      </tp>
      <tp t="s">
        <v>#N/A Requesting Data...3643592348</v>
        <stp/>
        <stp>BDP|16699720671781052728</stp>
        <tr r="Z298" s="1"/>
        <tr r="Z298" s="1"/>
      </tp>
      <tp t="s">
        <v>#N/A Requesting Data...2958460591</v>
        <stp/>
        <stp>BDP|12034977392032772050</stp>
        <tr r="Z1209" s="1"/>
        <tr r="Z1209" s="1"/>
      </tp>
      <tp t="s">
        <v>#N/A Requesting Data...3656943722</v>
        <stp/>
        <stp>BDP|16530368965272796162</stp>
        <tr r="AB1151" s="1"/>
        <tr r="AB1151" s="1"/>
      </tp>
      <tp t="s">
        <v>#N/A Requesting Data...3782485686</v>
        <stp/>
        <stp>BDP|16402325241262747371</stp>
        <tr r="Z330" s="1"/>
        <tr r="Z330" s="1"/>
      </tp>
      <tp t="s">
        <v>#N/A Requesting Data...3955492709</v>
        <stp/>
        <stp>BDP|18339030053698163552</stp>
        <tr r="Z663" s="1"/>
        <tr r="Z663" s="1"/>
      </tp>
      <tp t="s">
        <v>#N/A Requesting Data...3642324547</v>
        <stp/>
        <stp>BDP|15065548105862279241</stp>
        <tr r="Z394" s="1"/>
        <tr r="Z394" s="1"/>
      </tp>
      <tp t="s">
        <v>#N/A Requesting Data...3389075967</v>
        <stp/>
        <stp>BDP|17692026268820213196</stp>
        <tr r="Z1192" s="1"/>
        <tr r="Z1192" s="1"/>
      </tp>
      <tp t="s">
        <v>#N/A Requesting Data...2994414019</v>
        <stp/>
        <stp>BDP|13514156037197551656</stp>
        <tr r="Y1352" s="1"/>
        <tr r="Y1352" s="1"/>
      </tp>
      <tp t="s">
        <v>#N/A Requesting Data...3333258284</v>
        <stp/>
        <stp>BDP|12121672332210465771</stp>
        <tr r="AC762" s="1"/>
        <tr r="AC762" s="1"/>
      </tp>
      <tp t="s">
        <v>#N/A Requesting Data...4244836517</v>
        <stp/>
        <stp>BDP|17385127678194929579</stp>
        <tr r="AA652" s="1"/>
        <tr r="AA652" s="1"/>
      </tp>
      <tp t="s">
        <v>#N/A Requesting Data...2652906112</v>
        <stp/>
        <stp>BDP|12003464872618368901</stp>
        <tr r="AA1264" s="1"/>
        <tr r="AA1264" s="1"/>
      </tp>
      <tp t="s">
        <v>#N/A Requesting Data...2924403265</v>
        <stp/>
        <stp>BDP|12738227223637677571</stp>
        <tr r="Y1425" s="1"/>
        <tr r="Y1425" s="1"/>
      </tp>
      <tp t="s">
        <v>#N/A Requesting Data...3344751515</v>
        <stp/>
        <stp>BDP|13095249007041058041</stp>
        <tr r="AC1214" s="1"/>
        <tr r="AC1214" s="1"/>
      </tp>
      <tp t="s">
        <v>#N/A Requesting Data...3258900749</v>
        <stp/>
        <stp>BDP|12672174172937688326</stp>
        <tr r="AB1004" s="1"/>
        <tr r="AB1004" s="1"/>
      </tp>
      <tp t="s">
        <v>#N/A Requesting Data...3073570115</v>
        <stp/>
        <stp>BDP|14255584325025088692</stp>
        <tr r="Y522" s="1"/>
        <tr r="Y522" s="1"/>
      </tp>
      <tp t="s">
        <v>#N/A Requesting Data...4260155752</v>
        <stp/>
        <stp>BDP|16591165970785543504</stp>
        <tr r="Y754" s="1"/>
        <tr r="Y754" s="1"/>
      </tp>
      <tp t="s">
        <v>#N/A Requesting Data...3553175472</v>
        <stp/>
        <stp>BDP|16817503548833541434</stp>
        <tr r="AB1539" s="1"/>
        <tr r="AB1539" s="1"/>
      </tp>
      <tp t="s">
        <v>#N/A Requesting Data...3898389216</v>
        <stp/>
        <stp>BDP|14510360912997151165</stp>
        <tr r="AC1059" s="1"/>
        <tr r="AC1059" s="1"/>
      </tp>
      <tp t="s">
        <v>#N/A Requesting Data...3286443242</v>
        <stp/>
        <stp>BDP|14894083197219097419</stp>
        <tr r="AB86" s="1"/>
        <tr r="AB86" s="1"/>
      </tp>
      <tp t="s">
        <v>#N/A Requesting Data...2970500740</v>
        <stp/>
        <stp>BDP|17488005560065552476</stp>
        <tr r="Y1271" s="1"/>
        <tr r="Y1271" s="1"/>
      </tp>
      <tp t="s">
        <v>#N/A Requesting Data...4009681445</v>
        <stp/>
        <stp>BDP|10434426673922412173</stp>
        <tr r="AA400" s="1"/>
        <tr r="AA400" s="1"/>
      </tp>
      <tp t="s">
        <v>#N/A Requesting Data...3562703439</v>
        <stp/>
        <stp>BDP|18291525316514649860</stp>
        <tr r="AC1477" s="1"/>
        <tr r="AC1477" s="1"/>
      </tp>
      <tp t="s">
        <v>#N/A Requesting Data...4292926513</v>
        <stp/>
        <stp>BDP|10848140538763688146</stp>
        <tr r="Y1355" s="1"/>
        <tr r="Y1355" s="1"/>
      </tp>
      <tp t="s">
        <v>#N/A Requesting Data...2945084453</v>
        <stp/>
        <stp>BDP|10428285781182985823</stp>
        <tr r="AA187" s="1"/>
        <tr r="AA187" s="1"/>
      </tp>
      <tp t="s">
        <v>#N/A Requesting Data...3022582673</v>
        <stp/>
        <stp>BDP|18383275560899786551</stp>
        <tr r="Y1108" s="1"/>
        <tr r="Y1108" s="1"/>
      </tp>
      <tp t="s">
        <v>#N/A Requesting Data...3237682777</v>
        <stp/>
        <stp>BDP|17711963463209141158</stp>
        <tr r="Y580" s="1"/>
        <tr r="Y580" s="1"/>
      </tp>
      <tp t="s">
        <v>#N/A Requesting Data...3106597681</v>
        <stp/>
        <stp>BDP|14575772765683772667</stp>
        <tr r="AA1492" s="1"/>
        <tr r="AA1492" s="1"/>
      </tp>
      <tp t="s">
        <v>#N/A Requesting Data...3594781844</v>
        <stp/>
        <stp>BDP|13265165119525846631</stp>
        <tr r="Y1598" s="1"/>
        <tr r="Y1598" s="1"/>
      </tp>
      <tp t="s">
        <v>#N/A Requesting Data...4018318305</v>
        <stp/>
        <stp>BDP|11051540511136641352</stp>
        <tr r="Z52" s="1"/>
        <tr r="Z52" s="1"/>
      </tp>
      <tp t="s">
        <v>#N/A Requesting Data...3880453509</v>
        <stp/>
        <stp>BDP|14165060136310614715</stp>
        <tr r="AA1516" s="1"/>
        <tr r="AA1516" s="1"/>
      </tp>
      <tp t="s">
        <v>#N/A Requesting Data...3621622510</v>
        <stp/>
        <stp>BDP|10317088009608579818</stp>
        <tr r="AA862" s="1"/>
        <tr r="AA862" s="1"/>
      </tp>
      <tp t="s">
        <v>#N/A Requesting Data...2771064964</v>
        <stp/>
        <stp>BDP|16414872347242740855</stp>
        <tr r="AA1318" s="1"/>
        <tr r="AA1318" s="1"/>
      </tp>
      <tp t="s">
        <v>#N/A Requesting Data...3831083732</v>
        <stp/>
        <stp>BDP|12708206807321700112</stp>
        <tr r="Y1618" s="1"/>
        <tr r="Y1618" s="1"/>
      </tp>
      <tp t="s">
        <v>#N/A Requesting Data...2856043182</v>
        <stp/>
        <stp>BDP|10512532814791416501</stp>
        <tr r="AA486" s="1"/>
        <tr r="AA486" s="1"/>
      </tp>
      <tp>
        <v>0.01</v>
        <stp/>
        <stp>BDP|3142982871224882342|22</stp>
        <stp>BBM CN Equity</stp>
        <stp>LAST_PRICE</stp>
        <tr r="AD291" s="1"/>
        <tr r="AD291" s="1"/>
      </tp>
      <tp>
        <v>0.3231</v>
        <stp/>
        <stp>BDP|954331659282450367|22</stp>
        <stp>MHUA US Equity</stp>
        <stp>LAST_PRICE</stp>
        <tr r="AD937" s="1"/>
        <tr r="AD937" s="1"/>
      </tp>
      <tp>
        <v>250.45</v>
        <stp/>
        <stp>BDP|843166218767040320|22</stp>
        <stp>UFPT US Equity</stp>
        <stp>LAST_PRICE</stp>
        <tr r="AD1499" s="1"/>
        <tr r="AD1499" s="1"/>
      </tp>
      <tp>
        <v>43.3</v>
        <stp/>
        <stp>BDP|665443476896744449|22</stp>
        <stp>CRSP US Equity</stp>
        <stp>LAST_PRICE</stp>
        <tr r="AD457" s="1"/>
        <tr r="AD457" s="1"/>
      </tp>
      <tp t="s">
        <v>#N/A Requesting Data...3627505402</v>
        <stp/>
        <stp>BDP|15305692599403345899</stp>
        <tr r="AB130" s="1"/>
        <tr r="AB130" s="1"/>
      </tp>
      <tp t="s">
        <v>#N/A Requesting Data...2783696822</v>
        <stp/>
        <stp>BDP|12675008718652570025</stp>
        <tr r="Z1434" s="1"/>
        <tr r="Z1434" s="1"/>
      </tp>
      <tp t="s">
        <v>#N/A Requesting Data...3536946747</v>
        <stp/>
        <stp>BDP|10268538488874647868</stp>
        <tr r="Z1293" s="1"/>
        <tr r="Z1293" s="1"/>
      </tp>
      <tp t="s">
        <v>#N/A Requesting Data...2999631733</v>
        <stp/>
        <stp>BDP|12006234974334953278</stp>
        <tr r="Z652" s="1"/>
        <tr r="Z652" s="1"/>
      </tp>
      <tp t="s">
        <v>#N/A Requesting Data...2999762948</v>
        <stp/>
        <stp>BDP|14542271969332699345</stp>
        <tr r="AC328" s="1"/>
        <tr r="AC328" s="1"/>
      </tp>
      <tp t="s">
        <v>#N/A Requesting Data...4113542378</v>
        <stp/>
        <stp>BDP|13397291896158083158</stp>
        <tr r="AC116" s="1"/>
        <tr r="AC116" s="1"/>
      </tp>
      <tp t="s">
        <v>#N/A Requesting Data...3862619059</v>
        <stp/>
        <stp>BDP|16222307268940377202</stp>
        <tr r="AC1307" s="1"/>
        <tr r="AC1307" s="1"/>
      </tp>
      <tp t="s">
        <v>#N/A Requesting Data...2822798492</v>
        <stp/>
        <stp>BDP|13883518366013076268</stp>
        <tr r="Z611" s="1"/>
        <tr r="Z611" s="1"/>
      </tp>
      <tp t="s">
        <v>#N/A Requesting Data...3979979989</v>
        <stp/>
        <stp>BDP|15121986381494981185</stp>
        <tr r="Y292" s="1"/>
        <tr r="Y292" s="1"/>
      </tp>
      <tp t="s">
        <v>#N/A Requesting Data...3837407283</v>
        <stp/>
        <stp>BDP|17608181661104335550</stp>
        <tr r="Z8" s="1"/>
        <tr r="Z8" s="1"/>
      </tp>
      <tp t="s">
        <v>#N/A Requesting Data...4216860375</v>
        <stp/>
        <stp>BDP|10743004230443738195</stp>
        <tr r="Y1452" s="1"/>
        <tr r="Y1452" s="1"/>
      </tp>
      <tp t="s">
        <v>#N/A Requesting Data...3976892656</v>
        <stp/>
        <stp>BDP|11975937351164055825</stp>
        <tr r="Y1453" s="1"/>
        <tr r="Y1453" s="1"/>
      </tp>
      <tp t="s">
        <v>#N/A Requesting Data...3363892434</v>
        <stp/>
        <stp>BDP|11609001583288406083</stp>
        <tr r="AA1161" s="1"/>
        <tr r="AA1161" s="1"/>
      </tp>
      <tp t="s">
        <v>#N/A Requesting Data...3632524492</v>
        <stp/>
        <stp>BDP|10478377518776353515</stp>
        <tr r="Y123" s="1"/>
        <tr r="Y123" s="1"/>
      </tp>
      <tp t="s">
        <v>#N/A Requesting Data...3580800648</v>
        <stp/>
        <stp>BDP|10229891753654615872</stp>
        <tr r="AC1335" s="1"/>
        <tr r="AC1335" s="1"/>
      </tp>
      <tp t="s">
        <v>#N/A Requesting Data...3986242400</v>
        <stp/>
        <stp>BDP|16659383450923081271</stp>
        <tr r="AA1193" s="1"/>
        <tr r="AA1193" s="1"/>
      </tp>
      <tp t="s">
        <v>#N/A Requesting Data...4034788842</v>
        <stp/>
        <stp>BDP|14367081131227771147</stp>
        <tr r="AB1266" s="1"/>
        <tr r="AB1266" s="1"/>
      </tp>
      <tp t="s">
        <v>#N/A Requesting Data...2897540620</v>
        <stp/>
        <stp>BDP|16556092300053757427</stp>
        <tr r="AC398" s="1"/>
        <tr r="AC398" s="1"/>
      </tp>
      <tp t="s">
        <v>#N/A Requesting Data...2805339989</v>
        <stp/>
        <stp>BDP|15856081248636103606</stp>
        <tr r="AB635" s="1"/>
        <tr r="AB635" s="1"/>
      </tp>
      <tp>
        <v>105.77</v>
        <stp/>
        <stp>BDP|8807153695363104414|22</stp>
        <stp>BSX US Equity</stp>
        <stp>LAST_PRICE</stp>
        <tr r="AD298" s="1"/>
        <tr r="AD298" s="1"/>
      </tp>
      <tp t="s">
        <v>#N/A Requesting Data...2746597657</v>
        <stp/>
        <stp>BDP|12423223229543573029</stp>
        <tr r="Z878" s="1"/>
        <tr r="Z878" s="1"/>
      </tp>
      <tp t="s">
        <v>#N/A Requesting Data...3388211478</v>
        <stp/>
        <stp>BDP|11644911401900602986</stp>
        <tr r="AA1523" s="1"/>
        <tr r="AA1523" s="1"/>
      </tp>
      <tp t="s">
        <v>#N/A Requesting Data...3028660137</v>
        <stp/>
        <stp>BDP|16770983587947219125</stp>
        <tr r="Z1414" s="1"/>
        <tr r="Z1414" s="1"/>
      </tp>
      <tp t="s">
        <v>#N/A Requesting Data...3949415963</v>
        <stp/>
        <stp>BDP|16273426244854825342</stp>
        <tr r="AC1541" s="1"/>
        <tr r="AC1541" s="1"/>
      </tp>
      <tp t="s">
        <v>#N/A Requesting Data...2783868120</v>
        <stp/>
        <stp>BDP|15355597923830952387</stp>
        <tr r="Y456" s="1"/>
        <tr r="Y456" s="1"/>
      </tp>
      <tp t="s">
        <v>#N/A Requesting Data...3468700500</v>
        <stp/>
        <stp>BDP|15599899784243637769</stp>
        <tr r="AB1509" s="1"/>
        <tr r="AB1509" s="1"/>
      </tp>
      <tp t="s">
        <v>#N/A Requesting Data...3441258995</v>
        <stp/>
        <stp>BDP|13103080696558048379</stp>
        <tr r="AC1465" s="1"/>
        <tr r="AC1465" s="1"/>
      </tp>
      <tp t="s">
        <v>#N/A Requesting Data...3022359008</v>
        <stp/>
        <stp>BDP|15350487046436170249</stp>
        <tr r="Z897" s="1"/>
        <tr r="Z897" s="1"/>
      </tp>
      <tp t="s">
        <v>#N/A Requesting Data...3725497943</v>
        <stp/>
        <stp>BDP|12560973783820942207</stp>
        <tr r="Z248" s="1"/>
        <tr r="Z248" s="1"/>
      </tp>
      <tp t="s">
        <v>#N/A Requesting Data...2895490090</v>
        <stp/>
        <stp>BDP|11995143025933094004</stp>
        <tr r="AB294" s="1"/>
        <tr r="AB294" s="1"/>
      </tp>
      <tp t="s">
        <v>#N/A Requesting Data...4146237381</v>
        <stp/>
        <stp>BDP|17026127919347600155</stp>
        <tr r="AC125" s="1"/>
        <tr r="AC125" s="1"/>
      </tp>
      <tp t="s">
        <v>#N/A Requesting Data...3479743280</v>
        <stp/>
        <stp>BDP|18394240239181583932</stp>
        <tr r="Y512" s="1"/>
        <tr r="Y512" s="1"/>
      </tp>
      <tp t="s">
        <v>#N/A Requesting Data...4196052123</v>
        <stp/>
        <stp>BDP|12244826068754555952</stp>
        <tr r="Z1504" s="1"/>
        <tr r="Z1504" s="1"/>
      </tp>
      <tp t="s">
        <v>#N/A Requesting Data...3962707587</v>
        <stp/>
        <stp>BDP|15189689325807282760</stp>
        <tr r="Z1479" s="1"/>
        <tr r="Z1479" s="1"/>
      </tp>
      <tp t="s">
        <v>#N/A Requesting Data...3673224937</v>
        <stp/>
        <stp>BDP|11705090594290221905</stp>
        <tr r="AC148" s="1"/>
        <tr r="AC148" s="1"/>
      </tp>
      <tp t="s">
        <v>#N/A Requesting Data...3641288578</v>
        <stp/>
        <stp>BDP|12395300599889460063</stp>
        <tr r="Z349" s="1"/>
        <tr r="Z349" s="1"/>
      </tp>
      <tp t="s">
        <v>#N/A Requesting Data...3387102574</v>
        <stp/>
        <stp>BDP|10512262323392387381</stp>
        <tr r="AC545" s="1"/>
        <tr r="AC545" s="1"/>
      </tp>
      <tp t="s">
        <v>#N/A Requesting Data...4077151015</v>
        <stp/>
        <stp>BDP|14221868641428900176</stp>
        <tr r="AA745" s="1"/>
        <tr r="AA745" s="1"/>
      </tp>
      <tp t="s">
        <v>#N/A Requesting Data...3682605535</v>
        <stp/>
        <stp>BDP|17990410073363529657</stp>
        <tr r="AC867" s="1"/>
        <tr r="AC867" s="1"/>
      </tp>
      <tp t="s">
        <v>#N/A Requesting Data...4110020184</v>
        <stp/>
        <stp>BDP|11471247569890330417</stp>
        <tr r="AC637" s="1"/>
        <tr r="AC637" s="1"/>
      </tp>
      <tp t="s">
        <v>#N/A Requesting Data...2704577004</v>
        <stp/>
        <stp>BDP|11932736245425543619</stp>
        <tr r="AB227" s="1"/>
        <tr r="AB227" s="1"/>
      </tp>
      <tp t="s">
        <v>#N/A Requesting Data...3315725771</v>
        <stp/>
        <stp>BDP|17401738947190373582</stp>
        <tr r="Z905" s="1"/>
        <tr r="Z905" s="1"/>
      </tp>
      <tp t="s">
        <v>#N/A Requesting Data...3766878813</v>
        <stp/>
        <stp>BDP|14871234134334644027</stp>
        <tr r="AC1108" s="1"/>
        <tr r="AC1108" s="1"/>
      </tp>
      <tp t="s">
        <v>#N/A Requesting Data...2734460143</v>
        <stp/>
        <stp>BDP|14516232271971512198</stp>
        <tr r="Y1333" s="1"/>
        <tr r="Y1333" s="1"/>
      </tp>
      <tp t="s">
        <v>#N/A Requesting Data...3331441314</v>
        <stp/>
        <stp>BDP|10099056312627918759</stp>
        <tr r="AA648" s="1"/>
        <tr r="AA648" s="1"/>
      </tp>
      <tp t="s">
        <v>#N/A Requesting Data...3009408284</v>
        <stp/>
        <stp>BDP|16457296632093449507</stp>
        <tr r="AB1401" s="1"/>
        <tr r="AB1401" s="1"/>
      </tp>
      <tp t="s">
        <v>#N/A Requesting Data...3488207614</v>
        <stp/>
        <stp>BDP|14377396310597854096</stp>
        <tr r="Y800" s="1"/>
        <tr r="Y800" s="1"/>
      </tp>
      <tp t="s">
        <v>#N/A Requesting Data...2824802346</v>
        <stp/>
        <stp>BDP|14833523750753717663</stp>
        <tr r="Y1606" s="1"/>
        <tr r="Y1606" s="1"/>
      </tp>
      <tp>
        <v>3.02</v>
        <stp/>
        <stp>BDP|5147352823062713049|22</stp>
        <stp>COV CN Equity</stp>
        <stp>LAST_PRICE</stp>
        <tr r="AD452" s="1"/>
        <tr r="AD452" s="1"/>
      </tp>
      <tp t="s">
        <v>#N/A Requesting Data...3596891900</v>
        <stp/>
        <stp>BDP|11323823969856025820</stp>
        <tr r="AA114" s="1"/>
        <tr r="AA114" s="1"/>
      </tp>
      <tp t="s">
        <v>#N/A Requesting Data...3025893558</v>
        <stp/>
        <stp>BDP|15629017433933755493</stp>
        <tr r="AA960" s="1"/>
        <tr r="AA960" s="1"/>
      </tp>
      <tp t="s">
        <v>#N/A Requesting Data...3247729328</v>
        <stp/>
        <stp>BDP|13964054162290516418</stp>
        <tr r="AB1212" s="1"/>
        <tr r="AB1212" s="1"/>
      </tp>
      <tp t="s">
        <v>#N/A Requesting Data...3522966900</v>
        <stp/>
        <stp>BDP|14955206343777291420</stp>
        <tr r="AB578" s="1"/>
        <tr r="AB578" s="1"/>
      </tp>
      <tp t="s">
        <v>#N/A Requesting Data...4256952537</v>
        <stp/>
        <stp>BDP|10895761321651154547</stp>
        <tr r="Y480" s="1"/>
        <tr r="Y480" s="1"/>
      </tp>
      <tp t="s">
        <v>#N/A Requesting Data...3969915774</v>
        <stp/>
        <stp>BDP|16050029474899866940</stp>
        <tr r="Y691" s="1"/>
        <tr r="Y691" s="1"/>
      </tp>
      <tp t="s">
        <v>#N/A Requesting Data...2807430173</v>
        <stp/>
        <stp>BDP|15410372579116731673</stp>
        <tr r="AA564" s="1"/>
        <tr r="AA564" s="1"/>
      </tp>
      <tp t="s">
        <v>#N/A Requesting Data...2769279558</v>
        <stp/>
        <stp>BDP|12931701688268911423</stp>
        <tr r="Z250" s="1"/>
        <tr r="Z250" s="1"/>
      </tp>
      <tp t="s">
        <v>#N/A Requesting Data...2846375999</v>
        <stp/>
        <stp>BDP|13614302990030875844</stp>
        <tr r="Y1423" s="1"/>
        <tr r="Y1423" s="1"/>
      </tp>
      <tp t="s">
        <v>#N/A Requesting Data...4007099608</v>
        <stp/>
        <stp>BDP|16302283590419535544</stp>
        <tr r="AA1138" s="1"/>
        <tr r="AA1138" s="1"/>
      </tp>
      <tp t="s">
        <v>#N/A Requesting Data...3387891634</v>
        <stp/>
        <stp>BDP|11872991990452359281</stp>
        <tr r="AC423" s="1"/>
        <tr r="AC423" s="1"/>
      </tp>
      <tp t="s">
        <v>#N/A Requesting Data...3247062979</v>
        <stp/>
        <stp>BDP|13981614731841731641</stp>
        <tr r="Y28" s="1"/>
        <tr r="Y28" s="1"/>
      </tp>
      <tp t="s">
        <v>#N/A Requesting Data...3246479754</v>
        <stp/>
        <stp>BDP|12349489272249030938</stp>
        <tr r="Z552" s="1"/>
        <tr r="Z552" s="1"/>
      </tp>
      <tp t="s">
        <v>#N/A Requesting Data...2893441738</v>
        <stp/>
        <stp>BDP|11112251758260426724</stp>
        <tr r="AA1451" s="1"/>
        <tr r="AA1451" s="1"/>
      </tp>
      <tp>
        <v>0.27</v>
        <stp/>
        <stp>BDP|1718464505832362260|22</stp>
        <stp>TLT CN Equity</stp>
        <stp>LAST_PRICE</stp>
        <tr r="AD1460" s="1"/>
        <tr r="AD1460" s="1"/>
      </tp>
      <tp t="s">
        <v>#N/A Requesting Data...2753277749</v>
        <stp/>
        <stp>BDP|14291725718691168247</stp>
        <tr r="Y1405" s="1"/>
        <tr r="Y1405" s="1"/>
      </tp>
      <tp t="s">
        <v>#N/A Requesting Data...2956491333</v>
        <stp/>
        <stp>BDP|17587388079600095297</stp>
        <tr r="AA93" s="1"/>
        <tr r="AA93" s="1"/>
      </tp>
      <tp t="s">
        <v>#N/A Requesting Data...3203415623</v>
        <stp/>
        <stp>BDP|13054583805391284622</stp>
        <tr r="AA1073" s="1"/>
        <tr r="AA1073" s="1"/>
      </tp>
      <tp t="s">
        <v>#N/A Requesting Data...4195469129</v>
        <stp/>
        <stp>BDP|16230699483619471016</stp>
        <tr r="Z1023" s="1"/>
        <tr r="Z1023" s="1"/>
      </tp>
      <tp t="s">
        <v>#N/A Requesting Data...3416370730</v>
        <stp/>
        <stp>BDP|14720607125902767387</stp>
        <tr r="Y689" s="1"/>
        <tr r="Y689" s="1"/>
      </tp>
      <tp t="s">
        <v>#N/A Requesting Data...3334910451</v>
        <stp/>
        <stp>BDP|16217820508779061653</stp>
        <tr r="Z1457" s="1"/>
        <tr r="Z1457" s="1"/>
      </tp>
      <tp t="s">
        <v>#N/A Requesting Data...3516489585</v>
        <stp/>
        <stp>BDP|16415139467036907649</stp>
        <tr r="Z130" s="1"/>
        <tr r="Z130" s="1"/>
      </tp>
      <tp t="s">
        <v>#N/A Requesting Data...3277819643</v>
        <stp/>
        <stp>BDP|16572286880508565552</stp>
        <tr r="AB300" s="1"/>
      </tp>
      <tp t="s">
        <v>#N/A Requesting Data...3194383758</v>
        <stp/>
        <stp>BDP|18116687942223517835</stp>
        <tr r="AC279" s="1"/>
        <tr r="AC279" s="1"/>
      </tp>
      <tp t="s">
        <v>#N/A Requesting Data...3973023329</v>
        <stp/>
        <stp>BDP|12424006131482807206</stp>
        <tr r="AC593" s="1"/>
        <tr r="AC593" s="1"/>
      </tp>
      <tp t="s">
        <v>#N/A Requesting Data...3464904351</v>
        <stp/>
        <stp>BDP|13167500261970934148</stp>
        <tr r="Z553" s="1"/>
        <tr r="Z553" s="1"/>
      </tp>
      <tp t="s">
        <v>#N/A Requesting Data...4265242274</v>
        <stp/>
        <stp>BDP|14999713991403746821</stp>
        <tr r="Z570" s="1"/>
        <tr r="Z570" s="1"/>
      </tp>
      <tp t="s">
        <v>#N/A Requesting Data...3562653666</v>
        <stp/>
        <stp>BDP|16987916767220609856</stp>
        <tr r="Y1619" s="1"/>
        <tr r="Y1619" s="1"/>
      </tp>
      <tp t="s">
        <v>#N/A Requesting Data...4231082807</v>
        <stp/>
        <stp>BDP|16032783311138637938</stp>
        <tr r="Z859" s="1"/>
        <tr r="Z859" s="1"/>
      </tp>
      <tp t="s">
        <v>#N/A Requesting Data...3422934782</v>
        <stp/>
        <stp>BDP|15527101779512283024</stp>
        <tr r="AB342" s="1"/>
        <tr r="AB342" s="1"/>
      </tp>
      <tp t="s">
        <v>#N/A Requesting Data...3304860528</v>
        <stp/>
        <stp>BDP|10487527822654871206</stp>
        <tr r="AA242" s="1"/>
      </tp>
      <tp t="s">
        <v>#N/A Requesting Data...3934779757</v>
        <stp/>
        <stp>BDP|11755130501513078298</stp>
        <tr r="AA639" s="1"/>
        <tr r="AA639" s="1"/>
      </tp>
      <tp t="s">
        <v>#N/A Requesting Data...2961625772</v>
        <stp/>
        <stp>BDP|17386874561528930007</stp>
        <tr r="Y326" s="1"/>
        <tr r="Y326" s="1"/>
      </tp>
      <tp t="s">
        <v>#N/A Requesting Data...3750523704</v>
        <stp/>
        <stp>BDP|10569211435487828750</stp>
        <tr r="AA168" s="1"/>
        <tr r="AA168" s="1"/>
      </tp>
      <tp t="s">
        <v>#N/A Requesting Data...3097298212</v>
        <stp/>
        <stp>BDP|17025290970582538105</stp>
        <tr r="Z1469" s="1"/>
        <tr r="Z1469" s="1"/>
      </tp>
      <tp t="s">
        <v>#N/A Requesting Data...4116679054</v>
        <stp/>
        <stp>BDP|17012585307633344007</stp>
        <tr r="AA1348" s="1"/>
        <tr r="AA1348" s="1"/>
      </tp>
      <tp t="s">
        <v>#N/A Requesting Data...2843524478</v>
        <stp/>
        <stp>BDP|12611748733901901640</stp>
        <tr r="Z576" s="1"/>
        <tr r="Z576" s="1"/>
      </tp>
      <tp t="s">
        <v>#N/A Requesting Data...3284208760</v>
        <stp/>
        <stp>BDP|14600542542363922753</stp>
        <tr r="Z1539" s="1"/>
        <tr r="Z1539" s="1"/>
      </tp>
      <tp t="s">
        <v>#N/A Requesting Data...4059046907</v>
        <stp/>
        <stp>BDP|13039254268426559046</stp>
        <tr r="Y192" s="1"/>
        <tr r="Y192" s="1"/>
      </tp>
      <tp t="s">
        <v>#N/A Requesting Data...2780020917</v>
        <stp/>
        <stp>BDP|10775317437109462897</stp>
        <tr r="AB370" s="1"/>
        <tr r="AB370" s="1"/>
      </tp>
      <tp t="s">
        <v>#N/A Requesting Data...4171542004</v>
        <stp/>
        <stp>BDP|14274795347326813087</stp>
        <tr r="AC273" s="1"/>
        <tr r="AC273" s="1"/>
      </tp>
      <tp t="s">
        <v>#N/A Requesting Data...2807812481</v>
        <stp/>
        <stp>BDP|12499038884638640394</stp>
        <tr r="AC917" s="1"/>
        <tr r="AC917" s="1"/>
      </tp>
      <tp t="s">
        <v>#N/A Requesting Data...2800790818</v>
        <stp/>
        <stp>BDP|10357461509442851783</stp>
        <tr r="Z1160" s="1"/>
        <tr r="Z1160" s="1"/>
      </tp>
      <tp t="s">
        <v>#N/A Requesting Data...3043279699</v>
        <stp/>
        <stp>BDP|13212885500133308950</stp>
        <tr r="AC250" s="1"/>
        <tr r="AC250" s="1"/>
      </tp>
      <tp>
        <v>0.8</v>
        <stp/>
        <stp>BDP|3822272136761367442|22</stp>
        <stp>SSY US Equity</stp>
        <stp>LAST_PRICE</stp>
        <tr r="AD1410" s="1"/>
        <tr r="AD1410" s="1"/>
      </tp>
      <tp t="s">
        <v>#N/A Requesting Data...3167031512</v>
        <stp/>
        <stp>BDP|10057184157950010502</stp>
        <tr r="Z550" s="1"/>
        <tr r="Z550" s="1"/>
      </tp>
      <tp t="s">
        <v>#N/A Requesting Data...4088717129</v>
        <stp/>
        <stp>BDP|18073122319131390874</stp>
        <tr r="Y1293" s="1"/>
        <tr r="Y1293" s="1"/>
      </tp>
      <tp t="s">
        <v>#N/A Requesting Data...3955985165</v>
        <stp/>
        <stp>BDP|14121153854915885478</stp>
        <tr r="AB765" s="1"/>
        <tr r="AB765" s="1"/>
      </tp>
      <tp t="s">
        <v>#N/A Requesting Data...4134458308</v>
        <stp/>
        <stp>BDP|13399606886129878524</stp>
        <tr r="Z821" s="1"/>
        <tr r="Z821" s="1"/>
      </tp>
      <tp t="s">
        <v>#N/A Requesting Data...3708148871</v>
        <stp/>
        <stp>BDP|16165611539501756314</stp>
        <tr r="AB330" s="1"/>
        <tr r="AB330" s="1"/>
      </tp>
      <tp t="s">
        <v>#N/A Requesting Data...4194089445</v>
        <stp/>
        <stp>BDP|10655856482270753196</stp>
        <tr r="AC300" s="1"/>
      </tp>
      <tp t="s">
        <v>#N/A Requesting Data...4001361781</v>
        <stp/>
        <stp>BDP|10592942299998508920</stp>
        <tr r="AB214" s="1"/>
        <tr r="AB214" s="1"/>
      </tp>
      <tp t="s">
        <v>#N/A Requesting Data...3065643328</v>
        <stp/>
        <stp>BDP|15812622064182426651</stp>
        <tr r="Y908" s="1"/>
        <tr r="Y908" s="1"/>
      </tp>
      <tp t="s">
        <v>#N/A Requesting Data...3596639424</v>
        <stp/>
        <stp>BDP|10785925482017959719</stp>
        <tr r="Z1618" s="1"/>
        <tr r="Z1618" s="1"/>
      </tp>
      <tp t="s">
        <v>#N/A Requesting Data...3034598878</v>
        <stp/>
        <stp>BDP|12220812472089696588</stp>
        <tr r="AC182" s="1"/>
        <tr r="AC182" s="1"/>
      </tp>
      <tp t="s">
        <v>#N/A Requesting Data...3597647505</v>
        <stp/>
        <stp>BDP|16364785055897139209</stp>
        <tr r="Z1188" s="1"/>
        <tr r="Z1188" s="1"/>
      </tp>
      <tp t="s">
        <v>#N/A Requesting Data...3833603706</v>
        <stp/>
        <stp>BDP|14383288516223005523</stp>
        <tr r="Z920" s="1"/>
        <tr r="Z920" s="1"/>
      </tp>
      <tp t="s">
        <v>#N/A Requesting Data...4069740638</v>
        <stp/>
        <stp>BDP|10371669465967735684</stp>
        <tr r="AC12" s="1"/>
        <tr r="AC12" s="1"/>
      </tp>
      <tp t="s">
        <v>#N/A Requesting Data...4157490564</v>
        <stp/>
        <stp>BDP|12629321926142452097</stp>
        <tr r="AB935" s="1"/>
        <tr r="AB935" s="1"/>
      </tp>
      <tp t="s">
        <v>#N/A Requesting Data...3456748959</v>
        <stp/>
        <stp>BDP|12876522637505131033</stp>
        <tr r="Y1422" s="1"/>
        <tr r="Y1422" s="1"/>
      </tp>
      <tp t="s">
        <v>#N/A Requesting Data...3135352005</v>
        <stp/>
        <stp>BDP|13262326288031758803</stp>
        <tr r="AC692" s="1"/>
        <tr r="AC692" s="1"/>
      </tp>
      <tp t="s">
        <v>#N/A Requesting Data...3225966982</v>
        <stp/>
        <stp>BDP|17544584461252421776</stp>
        <tr r="AA72" s="1"/>
        <tr r="AA72" s="1"/>
      </tp>
      <tp t="s">
        <v>#N/A Requesting Data...3092261860</v>
        <stp/>
        <stp>BDP|10934329282083037972</stp>
        <tr r="Y84" s="1"/>
        <tr r="Y84" s="1"/>
      </tp>
      <tp t="s">
        <v>#N/A Requesting Data...3874186836</v>
        <stp/>
        <stp>BDP|14304616034540187091</stp>
        <tr r="AC1597" s="1"/>
        <tr r="AC1597" s="1"/>
      </tp>
      <tp t="s">
        <v>#N/A Requesting Data...2807721060</v>
        <stp/>
        <stp>BDP|17381405756014336386</stp>
        <tr r="Y828" s="1"/>
        <tr r="Y828" s="1"/>
      </tp>
      <tp t="s">
        <v>#N/A Requesting Data...3302258021</v>
        <stp/>
        <stp>BDP|10378789010295744227</stp>
        <tr r="AA88" s="1"/>
        <tr r="AA88" s="1"/>
      </tp>
      <tp t="s">
        <v>#N/A Requesting Data...3399162860</v>
        <stp/>
        <stp>BDP|12566269829203539010</stp>
        <tr r="Y1406" s="1"/>
        <tr r="Y1406" s="1"/>
      </tp>
      <tp t="s">
        <v>#N/A Requesting Data...2974417849</v>
        <stp/>
        <stp>BDP|16141214585419908428</stp>
        <tr r="AB915" s="1"/>
        <tr r="AB915" s="1"/>
      </tp>
      <tp t="s">
        <v>#N/A Requesting Data...3124073023</v>
        <stp/>
        <stp>BDP|15048369949485555640</stp>
        <tr r="Z964" s="1"/>
        <tr r="Z964" s="1"/>
      </tp>
      <tp t="s">
        <v>#N/A Requesting Data...3914889594</v>
        <stp/>
        <stp>BDP|10415481441210283116</stp>
        <tr r="AC1085" s="1"/>
        <tr r="AC1085" s="1"/>
      </tp>
      <tp t="s">
        <v>#N/A Requesting Data...3627119218</v>
        <stp/>
        <stp>BDP|16241005566117261685</stp>
        <tr r="Y953" s="1"/>
        <tr r="Y953" s="1"/>
      </tp>
      <tp t="s">
        <v>#N/A Requesting Data...3907893968</v>
        <stp/>
        <stp>BDP|11921313557842826498</stp>
        <tr r="AB1246" s="1"/>
        <tr r="AB1246" s="1"/>
      </tp>
      <tp t="s">
        <v>#N/A Requesting Data...3825110449</v>
        <stp/>
        <stp>BDP|14574895442178180119</stp>
        <tr r="Y969" s="1"/>
        <tr r="Y969" s="1"/>
      </tp>
      <tp t="s">
        <v>#N/A Requesting Data...3092116295</v>
        <stp/>
        <stp>BDP|15322357862638953937</stp>
        <tr r="AA26" s="1"/>
        <tr r="AA26" s="1"/>
      </tp>
      <tp t="s">
        <v>#N/A Requesting Data...3698117098</v>
        <stp/>
        <stp>BDP|11113695523767133346</stp>
        <tr r="AC144" s="1"/>
        <tr r="AC144" s="1"/>
      </tp>
      <tp t="s">
        <v>#N/A Requesting Data...3479495855</v>
        <stp/>
        <stp>BDP|13972017840545002361</stp>
        <tr r="AA1501" s="1"/>
        <tr r="AA1501" s="1"/>
      </tp>
      <tp t="s">
        <v>#N/A Requesting Data...4088860904</v>
        <stp/>
        <stp>BDP|18295348542316272881</stp>
        <tr r="AA184" s="1"/>
        <tr r="AA184" s="1"/>
      </tp>
      <tp t="s">
        <v>#N/A Requesting Data...3098713879</v>
        <stp/>
        <stp>BDP|11484458835524168348</stp>
        <tr r="AC908" s="1"/>
        <tr r="AC908" s="1"/>
      </tp>
      <tp t="s">
        <v>#N/A Requesting Data...3117832560</v>
        <stp/>
        <stp>BDP|13008739935796766001</stp>
        <tr r="Z111" s="1"/>
        <tr r="Z111" s="1"/>
      </tp>
      <tp t="s">
        <v>#N/A Requesting Data...2965980628</v>
        <stp/>
        <stp>BDP|15259419516320036145</stp>
        <tr r="Y1371" s="1"/>
        <tr r="Y1371" s="1"/>
      </tp>
      <tp t="s">
        <v>#N/A Requesting Data...4197673813</v>
        <stp/>
        <stp>BDP|17213114661795681452</stp>
        <tr r="AB241" s="1"/>
        <tr r="AB241" s="1"/>
      </tp>
      <tp t="s">
        <v>#N/A Requesting Data...3242223808</v>
        <stp/>
        <stp>BDP|14689951099125210096</stp>
        <tr r="Z295" s="1"/>
        <tr r="Z295" s="1"/>
      </tp>
      <tp t="s">
        <v>#N/A Requesting Data...2783161149</v>
        <stp/>
        <stp>BDP|13056546496919621757</stp>
        <tr r="Y1257" s="1"/>
        <tr r="Y1257" s="1"/>
      </tp>
      <tp t="s">
        <v>#N/A Requesting Data...4087475363</v>
        <stp/>
        <stp>BDP|10498932051979487434</stp>
        <tr r="AC316" s="1"/>
        <tr r="AC316" s="1"/>
      </tp>
      <tp t="s">
        <v>#N/A Requesting Data...2994781414</v>
        <stp/>
        <stp>BDP|12916774474706373586</stp>
        <tr r="Y972" s="1"/>
      </tp>
      <tp t="s">
        <v>#N/A Requesting Data...3835704263</v>
        <stp/>
        <stp>BDP|17327442705470434274</stp>
        <tr r="AB1553" s="1"/>
      </tp>
      <tp t="s">
        <v>#N/A Requesting Data...3495533167</v>
        <stp/>
        <stp>BDP|10558161627756512400</stp>
        <tr r="AB470" s="1"/>
        <tr r="AB470" s="1"/>
      </tp>
      <tp t="s">
        <v>#N/A Requesting Data...3154991900</v>
        <stp/>
        <stp>BDP|12795670256622495234</stp>
        <tr r="AA341" s="1"/>
        <tr r="AA341" s="1"/>
      </tp>
      <tp t="s">
        <v>#N/A Requesting Data...3997968888</v>
        <stp/>
        <stp>BDP|12245371337073122026</stp>
        <tr r="AB987" s="1"/>
        <tr r="AB987" s="1"/>
      </tp>
      <tp t="s">
        <v>#N/A Requesting Data...3750452270</v>
        <stp/>
        <stp>BDP|15604536405309419851</stp>
        <tr r="AA968" s="1"/>
        <tr r="AA968" s="1"/>
      </tp>
      <tp t="s">
        <v>#N/A Requesting Data...3185399174</v>
        <stp/>
        <stp>BDP|13933887187603031175</stp>
        <tr r="Z445" s="1"/>
      </tp>
      <tp t="s">
        <v>#N/A Requesting Data...3143559109</v>
        <stp/>
        <stp>BDP|17998268368984599628</stp>
        <tr r="Y685" s="1"/>
        <tr r="Y685" s="1"/>
      </tp>
      <tp t="s">
        <v>#N/A Requesting Data...4147292226</v>
        <stp/>
        <stp>BDP|11822243195839977206</stp>
        <tr r="AA91" s="1"/>
        <tr r="AA91" s="1"/>
      </tp>
      <tp t="s">
        <v>#N/A Requesting Data...2869661306</v>
        <stp/>
        <stp>BDP|13500551867188162968</stp>
        <tr r="Z713" s="1"/>
        <tr r="Z713" s="1"/>
      </tp>
      <tp t="s">
        <v>#N/A Requesting Data...3996114152</v>
        <stp/>
        <stp>BDP|11408209564110036406</stp>
        <tr r="AB507" s="1"/>
        <tr r="AB507" s="1"/>
      </tp>
      <tp t="s">
        <v>#N/A Requesting Data...3887260684</v>
        <stp/>
        <stp>BDP|11910692710701500659</stp>
        <tr r="AA611" s="1"/>
        <tr r="AA611" s="1"/>
      </tp>
      <tp t="s">
        <v>#N/A Requesting Data...3818870229</v>
        <stp/>
        <stp>BDP|11135239940734446265</stp>
        <tr r="Y1023" s="1"/>
        <tr r="Y1023" s="1"/>
      </tp>
      <tp t="s">
        <v>#N/A Requesting Data...3558542205</v>
        <stp/>
        <stp>BDP|16953491049924913300</stp>
        <tr r="Y1430" s="1"/>
        <tr r="Y1430" s="1"/>
      </tp>
      <tp t="s">
        <v>#N/A Requesting Data...3688650183</v>
        <stp/>
        <stp>BDP|15327704456557407110</stp>
        <tr r="AA1296" s="1"/>
        <tr r="AA1296" s="1"/>
      </tp>
      <tp t="s">
        <v>#N/A Requesting Data...4075434326</v>
        <stp/>
        <stp>BDP|15827037530565355284</stp>
        <tr r="Y50" s="1"/>
        <tr r="Y50" s="1"/>
      </tp>
      <tp t="s">
        <v>#N/A Requesting Data...3541082069</v>
        <stp/>
        <stp>BDP|11243198367254891343</stp>
        <tr r="Y566" s="1"/>
        <tr r="Y566" s="1"/>
      </tp>
      <tp t="s">
        <v>#N/A Requesting Data...3348520974</v>
        <stp/>
        <stp>BDP|13148936528611099896</stp>
        <tr r="AC390" s="1"/>
        <tr r="AC390" s="1"/>
      </tp>
      <tp t="s">
        <v>#N/A Requesting Data...4077767600</v>
        <stp/>
        <stp>BDP|11190190711918888821</stp>
        <tr r="Z355" s="1"/>
      </tp>
      <tp t="s">
        <v>#N/A Requesting Data...3536401956</v>
        <stp/>
        <stp>BDP|11353025265477396144</stp>
        <tr r="AA337" s="1"/>
        <tr r="AA337" s="1"/>
      </tp>
      <tp t="s">
        <v>#N/A Requesting Data...2897385054</v>
        <stp/>
        <stp>BDP|17404385781525686887</stp>
        <tr r="AA824" s="1"/>
        <tr r="AA824" s="1"/>
      </tp>
      <tp t="s">
        <v>#N/A Requesting Data...3995163402</v>
        <stp/>
        <stp>BDP|15449869856010701902</stp>
        <tr r="AC1385" s="1"/>
        <tr r="AC1385" s="1"/>
      </tp>
      <tp t="s">
        <v>#N/A Requesting Data...4119712553</v>
        <stp/>
        <stp>BDP|10647200735110437048</stp>
        <tr r="AA730" s="1"/>
        <tr r="AA730" s="1"/>
      </tp>
      <tp t="s">
        <v>#N/A Requesting Data...3908737685</v>
        <stp/>
        <stp>BDP|17375943968288895141</stp>
        <tr r="Z518" s="1"/>
        <tr r="Z518" s="1"/>
      </tp>
      <tp t="s">
        <v>#N/A Requesting Data...3533984294</v>
        <stp/>
        <stp>BDP|12833285732751771368</stp>
        <tr r="Z1071" s="1"/>
        <tr r="Z1071" s="1"/>
      </tp>
      <tp t="s">
        <v>#N/A Requesting Data...3809420341</v>
        <stp/>
        <stp>BDP|14516677476342796602</stp>
        <tr r="AC179" s="1"/>
      </tp>
      <tp t="s">
        <v>#N/A Requesting Data...2786741190</v>
        <stp/>
        <stp>BDP|18041685700217863838</stp>
        <tr r="AA557" s="1"/>
        <tr r="AA557" s="1"/>
      </tp>
      <tp t="s">
        <v>#N/A Requesting Data...2820490144</v>
        <stp/>
        <stp>BDP|17901081426533683720</stp>
        <tr r="Z874" s="1"/>
        <tr r="Z874" s="1"/>
      </tp>
      <tp t="s">
        <v>#N/A Requesting Data...3820657365</v>
        <stp/>
        <stp>BDP|12529472214393392569</stp>
        <tr r="Y593" s="1"/>
        <tr r="Y593" s="1"/>
      </tp>
      <tp t="s">
        <v>#N/A Requesting Data...3045791560</v>
        <stp/>
        <stp>BDP|15538251671478576973</stp>
        <tr r="AB1283" s="1"/>
        <tr r="AB1283" s="1"/>
      </tp>
      <tp t="s">
        <v>#N/A Requesting Data...2930866730</v>
        <stp/>
        <stp>BDP|13315341602239313851</stp>
        <tr r="Y1380" s="1"/>
        <tr r="Y1380" s="1"/>
      </tp>
      <tp t="s">
        <v>#N/A Requesting Data...2950409582</v>
        <stp/>
        <stp>BDP|11756940451115770962</stp>
        <tr r="Z1456" s="1"/>
        <tr r="Z1456" s="1"/>
      </tp>
      <tp t="s">
        <v>#N/A Requesting Data...3799635630</v>
        <stp/>
        <stp>BDP|11615423325351788759</stp>
        <tr r="AC1564" s="1"/>
        <tr r="AC1564" s="1"/>
      </tp>
      <tp t="s">
        <v>#N/A Requesting Data...3695312570</v>
        <stp/>
        <stp>BDP|12241614441387716662</stp>
        <tr r="AA581" s="1"/>
        <tr r="AA581" s="1"/>
      </tp>
      <tp t="s">
        <v>#N/A Requesting Data...3791813215</v>
        <stp/>
        <stp>BDP|15080681742207822119</stp>
        <tr r="Y1190" s="1"/>
        <tr r="Y1190" s="1"/>
      </tp>
      <tp t="s">
        <v>#N/A Requesting Data...3031322465</v>
        <stp/>
        <stp>BDP|14264219771829141903</stp>
        <tr r="AB1201" s="1"/>
        <tr r="AB1201" s="1"/>
      </tp>
      <tp t="s">
        <v>#N/A Requesting Data...3398891554</v>
        <stp/>
        <stp>BDP|15167644904415046727</stp>
        <tr r="AC1590" s="1"/>
      </tp>
      <tp t="s">
        <v>#N/A Requesting Data...4046724807</v>
        <stp/>
        <stp>BDP|15320743828000492193</stp>
        <tr r="AC559" s="1"/>
        <tr r="AC559" s="1"/>
      </tp>
      <tp t="s">
        <v>#N/A Requesting Data...3676827794</v>
        <stp/>
        <stp>BDP|12682193476953295690</stp>
        <tr r="AC516" s="1"/>
        <tr r="AC516" s="1"/>
      </tp>
      <tp t="s">
        <v>#N/A Requesting Data...4185519445</v>
        <stp/>
        <stp>BDP|11780841781596512657</stp>
        <tr r="Z1234" s="1"/>
        <tr r="Z1234" s="1"/>
      </tp>
      <tp t="s">
        <v>#N/A Requesting Data...3166758977</v>
        <stp/>
        <stp>BDP|17336676417817368621</stp>
        <tr r="Y1311" s="1"/>
        <tr r="Y1311" s="1"/>
      </tp>
      <tp t="s">
        <v>#N/A Requesting Data...3876824196</v>
        <stp/>
        <stp>BDP|18002579440550568800</stp>
        <tr r="Y1592" s="1"/>
        <tr r="Y1592" s="1"/>
      </tp>
      <tp t="s">
        <v>#N/A Requesting Data...3229732869</v>
        <stp/>
        <stp>BDP|12544960992927330407</stp>
        <tr r="Y479" s="1"/>
        <tr r="Y479" s="1"/>
      </tp>
      <tp t="s">
        <v>#N/A Requesting Data...3598583173</v>
        <stp/>
        <stp>BDP|18222174507988266020</stp>
        <tr r="AC540" s="1"/>
        <tr r="AC540" s="1"/>
      </tp>
      <tp t="s">
        <v>#N/A Requesting Data...3343600816</v>
        <stp/>
        <stp>BDP|11773526559575696585</stp>
        <tr r="Z831" s="1"/>
        <tr r="Z831" s="1"/>
      </tp>
      <tp t="s">
        <v>#N/A Requesting Data...4042121597</v>
        <stp/>
        <stp>BDP|14830082834670613609</stp>
        <tr r="AC1492" s="1"/>
        <tr r="AC1492" s="1"/>
      </tp>
      <tp t="s">
        <v>#N/A Requesting Data...3729889827</v>
        <stp/>
        <stp>BDP|15002425973540790746</stp>
        <tr r="AB1484" s="1"/>
        <tr r="AB1484" s="1"/>
      </tp>
      <tp t="s">
        <v>#N/A Requesting Data...4188052469</v>
        <stp/>
        <stp>BDP|18025516914809277455</stp>
        <tr r="Z222" s="1"/>
        <tr r="Z222" s="1"/>
      </tp>
      <tp t="s">
        <v>#N/A Requesting Data...3989092000</v>
        <stp/>
        <stp>BDP|11037741891328163664</stp>
        <tr r="Z911" s="1"/>
        <tr r="Z911" s="1"/>
      </tp>
      <tp t="s">
        <v>#N/A Requesting Data...3154917751</v>
        <stp/>
        <stp>BDP|10576962910179772060</stp>
        <tr r="Z1020" s="1"/>
        <tr r="Z1020" s="1"/>
      </tp>
      <tp t="s">
        <v>#N/A Requesting Data...3758089185</v>
        <stp/>
        <stp>BDP|12298218530476017416</stp>
        <tr r="Z1510" s="1"/>
        <tr r="Z1510" s="1"/>
      </tp>
      <tp t="s">
        <v>#N/A Requesting Data...3137745575</v>
        <stp/>
        <stp>BDP|11750163620463769043</stp>
        <tr r="AA723" s="1"/>
        <tr r="AA723" s="1"/>
      </tp>
      <tp t="s">
        <v>#N/A Requesting Data...3019417245</v>
        <stp/>
        <stp>BDP|15478563516658712816</stp>
        <tr r="AB566" s="1"/>
        <tr r="AB566" s="1"/>
      </tp>
      <tp t="s">
        <v>#N/A Requesting Data...4167450250</v>
        <stp/>
        <stp>BDP|11889460879907174443</stp>
        <tr r="AB476" s="1"/>
        <tr r="AB476" s="1"/>
      </tp>
      <tp t="s">
        <v>#N/A Requesting Data...3558970270</v>
        <stp/>
        <stp>BDP|14306504368611967701</stp>
        <tr r="Y169" s="1"/>
        <tr r="Y169" s="1"/>
      </tp>
      <tp t="s">
        <v>#N/A Requesting Data...3989698628</v>
        <stp/>
        <stp>BDP|13404524936170562477</stp>
        <tr r="AB1594" s="1"/>
        <tr r="AB1594" s="1"/>
      </tp>
      <tp t="s">
        <v>#N/A Requesting Data...3568921009</v>
        <stp/>
        <stp>BDP|14830726723936394681</stp>
        <tr r="Z613" s="1"/>
        <tr r="Z613" s="1"/>
      </tp>
      <tp t="s">
        <v>#N/A Requesting Data...3791297895</v>
        <stp/>
        <stp>BDP|15259344855456896498</stp>
        <tr r="Z302" s="1"/>
        <tr r="Z302" s="1"/>
      </tp>
      <tp t="s">
        <v>#N/A Requesting Data...3098787023</v>
        <stp/>
        <stp>BDP|18034148286795433535</stp>
        <tr r="Z362" s="1"/>
        <tr r="Z362" s="1"/>
      </tp>
      <tp t="s">
        <v>#N/A Requesting Data...3189834886</v>
        <stp/>
        <stp>BDP|13142388253303905766</stp>
        <tr r="AB1202" s="1"/>
        <tr r="AB1202" s="1"/>
      </tp>
      <tp t="s">
        <v>#N/A Requesting Data...3256384546</v>
        <stp/>
        <stp>BDP|10678624071724089403</stp>
        <tr r="Z388" s="1"/>
        <tr r="Z388" s="1"/>
      </tp>
      <tp t="s">
        <v>#N/A Requesting Data...3189948296</v>
        <stp/>
        <stp>BDP|15082341522424788146</stp>
        <tr r="AA1015" s="1"/>
        <tr r="AA1015" s="1"/>
      </tp>
      <tp t="s">
        <v>#N/A Requesting Data...3694605741</v>
        <stp/>
        <stp>BDP|14502206434883145759</stp>
        <tr r="AB263" s="1"/>
        <tr r="AB263" s="1"/>
      </tp>
      <tp t="s">
        <v>#N/A Requesting Data...2824882368</v>
        <stp/>
        <stp>BDP|13006236385550777847</stp>
        <tr r="AA890" s="1"/>
        <tr r="AA890" s="1"/>
      </tp>
      <tp t="s">
        <v>#N/A Requesting Data...3220459144</v>
        <stp/>
        <stp>BDP|11759975094366764662</stp>
        <tr r="AC783" s="1"/>
        <tr r="AC783" s="1"/>
      </tp>
      <tp t="s">
        <v>#N/A Requesting Data...3356536360</v>
        <stp/>
        <stp>BDP|15363171584969487410</stp>
        <tr r="Y1325" s="1"/>
        <tr r="Y1325" s="1"/>
      </tp>
      <tp t="s">
        <v>#N/A Requesting Data...3043059856</v>
        <stp/>
        <stp>BDP|12478276516708852899</stp>
        <tr r="AC379" s="1"/>
        <tr r="AC379" s="1"/>
      </tp>
      <tp t="s">
        <v>#N/A Requesting Data...4219607676</v>
        <stp/>
        <stp>BDP|16126790446197239388</stp>
        <tr r="AC972" s="1"/>
      </tp>
      <tp t="s">
        <v>#N/A Requesting Data...3605453799</v>
        <stp/>
        <stp>BDP|15816446055866880358</stp>
        <tr r="Y229" s="1"/>
        <tr r="Y229" s="1"/>
      </tp>
      <tp t="s">
        <v>#N/A Requesting Data...3230514689</v>
        <stp/>
        <stp>BDP|15238101655064751449</stp>
        <tr r="AA658" s="1"/>
        <tr r="AA658" s="1"/>
      </tp>
      <tp t="s">
        <v>#N/A Requesting Data...3215803459</v>
        <stp/>
        <stp>BDP|12338539622130622404</stp>
        <tr r="AA1534" s="1"/>
        <tr r="AA1534" s="1"/>
      </tp>
      <tp t="s">
        <v>#N/A Requesting Data...3525825674</v>
        <stp/>
        <stp>BDP|17483546318122478084</stp>
        <tr r="AA606" s="1"/>
        <tr r="AA606" s="1"/>
      </tp>
      <tp t="s">
        <v>#N/A Requesting Data...2899756600</v>
        <stp/>
        <stp>BDP|14561460146212496751</stp>
        <tr r="AC891" s="1"/>
        <tr r="AC891" s="1"/>
      </tp>
      <tp t="s">
        <v>#N/A Requesting Data...4185794939</v>
        <stp/>
        <stp>BDP|12476620926602279566</stp>
        <tr r="Z1458" s="1"/>
      </tp>
      <tp t="s">
        <v>#N/A Requesting Data...3041305778</v>
        <stp/>
        <stp>BDP|10589835495900603013</stp>
        <tr r="AC1190" s="1"/>
        <tr r="AC1190" s="1"/>
      </tp>
      <tp t="s">
        <v>#N/A Requesting Data...3436683007</v>
        <stp/>
        <stp>BDP|18396579250241004805</stp>
        <tr r="AB1025" s="1"/>
        <tr r="AB1025" s="1"/>
      </tp>
      <tp t="s">
        <v>#N/A Requesting Data...3804644289</v>
        <stp/>
        <stp>BDP|13930640966484628690</stp>
        <tr r="Z870" s="1"/>
      </tp>
      <tp t="s">
        <v>#N/A Requesting Data...3021470327</v>
        <stp/>
        <stp>BDP|14464712950045012210</stp>
        <tr r="Z1132" s="1"/>
        <tr r="Z1132" s="1"/>
      </tp>
      <tp t="s">
        <v>#N/A Requesting Data...3036176360</v>
        <stp/>
        <stp>BDP|17545846527179259502</stp>
        <tr r="AA1248" s="1"/>
        <tr r="AA1248" s="1"/>
      </tp>
      <tp t="s">
        <v>#N/A Requesting Data...4112734303</v>
        <stp/>
        <stp>BDP|14674826635978579634</stp>
        <tr r="AC39" s="1"/>
        <tr r="AC39" s="1"/>
      </tp>
      <tp t="s">
        <v>#N/A Requesting Data...3746715175</v>
        <stp/>
        <stp>BDP|14047930891822764720</stp>
        <tr r="Z1423" s="1"/>
        <tr r="Z1423" s="1"/>
      </tp>
      <tp t="s">
        <v>#N/A Requesting Data...4192981807</v>
        <stp/>
        <stp>BDP|11474871215218944188</stp>
        <tr r="Y613" s="1"/>
        <tr r="Y613" s="1"/>
      </tp>
      <tp t="s">
        <v>#N/A Requesting Data...3563639687</v>
        <stp/>
        <stp>BDP|16103678262206774142</stp>
        <tr r="Y122" s="1"/>
        <tr r="Y122" s="1"/>
      </tp>
      <tp t="s">
        <v>#N/A Requesting Data...2972630356</v>
        <stp/>
        <stp>BDP|10975377312034261799</stp>
        <tr r="Z1364" s="1"/>
        <tr r="Z1364" s="1"/>
      </tp>
      <tp t="s">
        <v>#N/A Requesting Data...3159579993</v>
        <stp/>
        <stp>BDP|10267145213232360318</stp>
        <tr r="AA748" s="1"/>
        <tr r="AA748" s="1"/>
      </tp>
      <tp t="s">
        <v>#N/A Requesting Data...3328990990</v>
        <stp/>
        <stp>BDP|15702053955166999795</stp>
        <tr r="Y1397" s="1"/>
        <tr r="Y1397" s="1"/>
      </tp>
      <tp t="s">
        <v>#N/A Requesting Data...3714834427</v>
        <stp/>
        <stp>BDP|14066722957006128138</stp>
        <tr r="Z229" s="1"/>
        <tr r="Z229" s="1"/>
      </tp>
      <tp t="s">
        <v>#N/A Requesting Data...3652452235</v>
        <stp/>
        <stp>BDP|11788268695098532360</stp>
        <tr r="AB658" s="1"/>
        <tr r="AB658" s="1"/>
      </tp>
      <tp t="s">
        <v>#N/A Requesting Data...3069227351</v>
        <stp/>
        <stp>BDP|17513717024563524022</stp>
        <tr r="Y887" s="1"/>
        <tr r="Y887" s="1"/>
      </tp>
      <tp t="s">
        <v>#N/A Requesting Data...3756493485</v>
        <stp/>
        <stp>BDP|16566413357782309470</stp>
        <tr r="AA873" s="1"/>
        <tr r="AA873" s="1"/>
      </tp>
      <tp t="s">
        <v>#N/A Requesting Data...2866979588</v>
        <stp/>
        <stp>BDP|11406111965296426133</stp>
        <tr r="AB1121" s="1"/>
        <tr r="AB1121" s="1"/>
      </tp>
      <tp t="s">
        <v>#N/A Requesting Data...4147156877</v>
        <stp/>
        <stp>BDP|14031034366567156435</stp>
        <tr r="AA833" s="1"/>
        <tr r="AA833" s="1"/>
      </tp>
      <tp t="s">
        <v>#N/A Requesting Data...3761780793</v>
        <stp/>
        <stp>BDP|17449930701959441658</stp>
        <tr r="AB64" s="1"/>
        <tr r="AB64" s="1"/>
      </tp>
      <tp t="s">
        <v>#N/A Requesting Data...3050830043</v>
        <stp/>
        <stp>BDP|12465217351526263215</stp>
        <tr r="Y167" s="1"/>
        <tr r="Y167" s="1"/>
      </tp>
      <tp t="s">
        <v>#N/A Requesting Data...2875352058</v>
        <stp/>
        <stp>BDP|18304513291924497104</stp>
        <tr r="Z337" s="1"/>
        <tr r="Z337" s="1"/>
      </tp>
      <tp t="s">
        <v>#N/A Requesting Data...4282431314</v>
        <stp/>
        <stp>BDP|17229888694356041198</stp>
        <tr r="AA426" s="1"/>
        <tr r="AA426" s="1"/>
      </tp>
      <tp t="s">
        <v>#N/A Requesting Data...3590250014</v>
        <stp/>
        <stp>BDP|13232956310579945391</stp>
        <tr r="AB1134" s="1"/>
        <tr r="AB1134" s="1"/>
      </tp>
      <tp t="s">
        <v>#N/A Requesting Data...3916938827</v>
        <stp/>
        <stp>BDP|12354543345986391462</stp>
        <tr r="Y1326" s="1"/>
        <tr r="Y1326" s="1"/>
      </tp>
      <tp t="s">
        <v>#N/A Requesting Data...3013503949</v>
        <stp/>
        <stp>BDP|15450925094232043652</stp>
        <tr r="Z1131" s="1"/>
        <tr r="Z1131" s="1"/>
      </tp>
      <tp t="s">
        <v>#N/A Requesting Data...4098938278</v>
        <stp/>
        <stp>BDP|17468210756958771923</stp>
        <tr r="Z753" s="1"/>
        <tr r="Z753" s="1"/>
      </tp>
      <tp t="s">
        <v>#N/A Requesting Data...3888961362</v>
        <stp/>
        <stp>BDP|17103309051515028565</stp>
        <tr r="AA274" s="1"/>
        <tr r="AA274" s="1"/>
      </tp>
      <tp t="s">
        <v>#N/A Requesting Data...3894258151</v>
        <stp/>
        <stp>BDP|10442933411480594950</stp>
        <tr r="Z715" s="1"/>
        <tr r="Z715" s="1"/>
      </tp>
      <tp t="s">
        <v>#N/A Requesting Data...3693714905</v>
        <stp/>
        <stp>BDP|12433612434875365345</stp>
        <tr r="AC401" s="1"/>
        <tr r="AC401" s="1"/>
      </tp>
      <tp t="s">
        <v>#N/A Requesting Data...3991508517</v>
        <stp/>
        <stp>BDP|12106939421081538903</stp>
        <tr r="Z22" s="1"/>
        <tr r="Z22" s="1"/>
      </tp>
      <tp t="s">
        <v>#N/A Requesting Data...4196330000</v>
        <stp/>
        <stp>BDP|12766519041742737063</stp>
        <tr r="AA1147" s="1"/>
        <tr r="AA1147" s="1"/>
      </tp>
      <tp t="s">
        <v>#N/A Requesting Data...4218858725</v>
        <stp/>
        <stp>BDP|11798106854862503608</stp>
        <tr r="AA1105" s="1"/>
        <tr r="AA1105" s="1"/>
      </tp>
      <tp t="s">
        <v>#N/A Requesting Data...3311010084</v>
        <stp/>
        <stp>BDP|10994095887191139800</stp>
        <tr r="Y157" s="1"/>
        <tr r="Y157" s="1"/>
      </tp>
      <tp t="s">
        <v>#N/A Requesting Data...3750080028</v>
        <stp/>
        <stp>BDP|10890750526496803250</stp>
        <tr r="Y851" s="1"/>
        <tr r="Y851" s="1"/>
      </tp>
      <tp t="s">
        <v>#N/A Requesting Data...3097483166</v>
        <stp/>
        <stp>BDP|10146409912833621734</stp>
        <tr r="AB385" s="1"/>
        <tr r="AB385" s="1"/>
      </tp>
      <tp t="s">
        <v>#N/A Requesting Data...3849290446</v>
        <stp/>
        <stp>BDP|13131550053522525047</stp>
        <tr r="Y1373" s="1"/>
        <tr r="Y1373" s="1"/>
      </tp>
      <tp t="s">
        <v>#N/A Requesting Data...4226197427</v>
        <stp/>
        <stp>BDP|13249844730469519057</stp>
        <tr r="Y323" s="1"/>
        <tr r="Y323" s="1"/>
      </tp>
      <tp t="s">
        <v>#N/A Requesting Data...3311624039</v>
        <stp/>
        <stp>BDP|12317251154067705330</stp>
        <tr r="Y1250" s="1"/>
        <tr r="Y1250" s="1"/>
      </tp>
      <tp t="s">
        <v>#N/A Requesting Data...3418341535</v>
        <stp/>
        <stp>BDP|11430838084744294472</stp>
        <tr r="AA633" s="1"/>
        <tr r="AA633" s="1"/>
      </tp>
      <tp t="s">
        <v>#N/A Requesting Data...3753577855</v>
        <stp/>
        <stp>BDP|17987818495137843032</stp>
        <tr r="AB1590" s="1"/>
      </tp>
      <tp t="s">
        <v>#N/A Requesting Data...3150144763</v>
        <stp/>
        <stp>BDP|14061447722821699265</stp>
        <tr r="Y261" s="1"/>
        <tr r="Y261" s="1"/>
      </tp>
      <tp t="s">
        <v>#N/A Requesting Data...4213985021</v>
        <stp/>
        <stp>BDP|15532106324787114066</stp>
        <tr r="Y1042" s="1"/>
        <tr r="Y1042" s="1"/>
      </tp>
      <tp t="s">
        <v>#N/A Requesting Data...3035873645</v>
        <stp/>
        <stp>BDP|16055008851071103369</stp>
        <tr r="Z263" s="1"/>
        <tr r="Z263" s="1"/>
      </tp>
      <tp t="s">
        <v>#N/A Requesting Data...3504603576</v>
        <stp/>
        <stp>BDP|14741712473843220618</stp>
        <tr r="AC1398" s="1"/>
        <tr r="AC1398" s="1"/>
      </tp>
      <tp t="s">
        <v>#N/A Requesting Data...3220791533</v>
        <stp/>
        <stp>BDP|14337846118224804813</stp>
        <tr r="AC225" s="1"/>
        <tr r="AC225" s="1"/>
      </tp>
      <tp t="s">
        <v>#N/A Requesting Data...4209270028</v>
        <stp/>
        <stp>BDP|16539755506789657960</stp>
        <tr r="Z974" s="1"/>
        <tr r="Z974" s="1"/>
      </tp>
      <tp>
        <v>1.27</v>
        <stp/>
        <stp>BDP|7669878070835286954|22</stp>
        <stp>APM US Equity</stp>
        <stp>LAST_PRICE</stp>
        <tr r="AD150" s="1"/>
        <tr r="AD150" s="1"/>
      </tp>
      <tp>
        <v>3.15</v>
        <stp/>
        <stp>BDP|434878129677387385|22</stp>
        <stp>ANRO US Equity</stp>
        <stp>LAST_PRICE</stp>
        <tr r="AD100" s="1"/>
        <tr r="AD100" s="1"/>
      </tp>
      <tp>
        <v>0.12</v>
        <stp/>
        <stp>BDP|355725491666472067|22</stp>
        <stp>TELO CN Equity</stp>
        <stp>LAST_PRICE</stp>
        <tr r="AD1444" s="1"/>
        <tr r="AD1444" s="1"/>
      </tp>
      <tp>
        <v>156.94</v>
        <stp/>
        <stp>BDP|709349131807426702|22</stp>
        <stp>ICUI US Equity</stp>
        <stp>LAST_PRICE</stp>
        <tr r="AD718" s="1"/>
        <tr r="AD718" s="1"/>
      </tp>
      <tp>
        <v>0.748</v>
        <stp/>
        <stp>BDP|734472502300449265|22</stp>
        <stp>TLSA US Equity</stp>
        <stp>LAST_PRICE</stp>
        <tr r="AD1474" s="1"/>
        <tr r="AD1474" s="1"/>
      </tp>
      <tp t="s">
        <v>#N/A Requesting Data...3930623879</v>
        <stp/>
        <stp>BDP|15854072067086262338</stp>
        <tr r="AB1345" s="1"/>
      </tp>
      <tp t="s">
        <v>#N/A Requesting Data...2981746936</v>
        <stp/>
        <stp>BDP|12433120108940722501</stp>
        <tr r="AA89" s="1"/>
        <tr r="AA89" s="1"/>
      </tp>
      <tp t="s">
        <v>#N/A Requesting Data...4128923515</v>
        <stp/>
        <stp>BDP|12517322171819673994</stp>
        <tr r="Y76" s="1"/>
        <tr r="Y76" s="1"/>
      </tp>
      <tp t="s">
        <v>#N/A Requesting Data...3751201826</v>
        <stp/>
        <stp>BDP|12999093648103333326</stp>
        <tr r="AC859" s="1"/>
        <tr r="AC859" s="1"/>
      </tp>
      <tp t="s">
        <v>#N/A Requesting Data...3522592774</v>
        <stp/>
        <stp>BDP|10715503688992300955</stp>
        <tr r="Z1211" s="1"/>
        <tr r="Z1211" s="1"/>
      </tp>
      <tp t="s">
        <v>#N/A Requesting Data...4199696019</v>
        <stp/>
        <stp>BDP|11054247249137568618</stp>
        <tr r="AC1373" s="1"/>
        <tr r="AC1373" s="1"/>
      </tp>
      <tp t="s">
        <v>#N/A Requesting Data...3806883469</v>
        <stp/>
        <stp>BDP|16923880440804115896</stp>
        <tr r="AC86" s="1"/>
        <tr r="AC86" s="1"/>
      </tp>
      <tp t="s">
        <v>#N/A Requesting Data...3225200400</v>
        <stp/>
        <stp>BDP|13138619664472805752</stp>
        <tr r="AC113" s="1"/>
      </tp>
      <tp t="s">
        <v>#N/A Requesting Data...3785923232</v>
        <stp/>
        <stp>BDP|12943004051723149201</stp>
        <tr r="AA1549" s="1"/>
        <tr r="AA1549" s="1"/>
      </tp>
      <tp t="s">
        <v>#N/A Requesting Data...3811613334</v>
        <stp/>
        <stp>BDP|14176389830855448740</stp>
        <tr r="Y1514" s="1"/>
        <tr r="Y1514" s="1"/>
      </tp>
      <tp t="s">
        <v>#N/A Requesting Data...3166111858</v>
        <stp/>
        <stp>BDP|12062403097718975174</stp>
        <tr r="Y841" s="1"/>
        <tr r="Y841" s="1"/>
      </tp>
      <tp t="s">
        <v>#N/A Requesting Data...3299553992</v>
        <stp/>
        <stp>BDP|12755125651692813250</stp>
        <tr r="AC1519" s="1"/>
        <tr r="AC1519" s="1"/>
      </tp>
      <tp t="s">
        <v>#N/A Requesting Data...3799511637</v>
        <stp/>
        <stp>BDP|11520387307163518763</stp>
        <tr r="AB152" s="1"/>
        <tr r="AB152" s="1"/>
      </tp>
      <tp t="s">
        <v>#N/A Requesting Data...2920478124</v>
        <stp/>
        <stp>BDP|17657845799762068227</stp>
        <tr r="AB748" s="1"/>
        <tr r="AB748" s="1"/>
      </tp>
      <tp t="s">
        <v>#N/A Requesting Data...3718208044</v>
        <stp/>
        <stp>BDP|15145949586996345494</stp>
        <tr r="Y785" s="1"/>
        <tr r="Y785" s="1"/>
      </tp>
      <tp t="s">
        <v>#N/A Requesting Data...3912560695</v>
        <stp/>
        <stp>BDP|17160474119065509136</stp>
        <tr r="Z708" s="1"/>
        <tr r="Z708" s="1"/>
      </tp>
      <tp t="s">
        <v>#N/A Requesting Data...3059153392</v>
        <stp/>
        <stp>BDP|16341714530450866428</stp>
        <tr r="AB508" s="1"/>
        <tr r="AB508" s="1"/>
      </tp>
      <tp t="s">
        <v>#N/A Requesting Data...4228788231</v>
        <stp/>
        <stp>BDP|10455132858495581723</stp>
        <tr r="Y1359" s="1"/>
        <tr r="Y1359" s="1"/>
      </tp>
      <tp t="s">
        <v>#N/A Requesting Data...4143203072</v>
        <stp/>
        <stp>BDP|10887333505471683408</stp>
        <tr r="AB176" s="1"/>
        <tr r="AB176" s="1"/>
      </tp>
      <tp t="s">
        <v>#N/A Requesting Data...3877485921</v>
        <stp/>
        <stp>BDP|11519861545989739294</stp>
        <tr r="AB420" s="1"/>
        <tr r="AB420" s="1"/>
      </tp>
      <tp t="s">
        <v>#N/A Requesting Data...3258351541</v>
        <stp/>
        <stp>BDP|13142081841290512158</stp>
        <tr r="AB72" s="1"/>
        <tr r="AB72" s="1"/>
      </tp>
      <tp t="s">
        <v>#N/A Requesting Data...3672042929</v>
        <stp/>
        <stp>BDP|12614060701820032496</stp>
        <tr r="AC690" s="1"/>
        <tr r="AC690" s="1"/>
      </tp>
      <tp t="s">
        <v>#N/A Requesting Data...4019792785</v>
        <stp/>
        <stp>BDP|11647240428281522677</stp>
        <tr r="AC99" s="1"/>
        <tr r="AC99" s="1"/>
      </tp>
      <tp t="s">
        <v>#N/A Requesting Data...2967362372</v>
        <stp/>
        <stp>BDP|16465714858451658331</stp>
        <tr r="AC643" s="1"/>
      </tp>
      <tp t="s">
        <v>#N/A Requesting Data...3283190294</v>
        <stp/>
        <stp>BDP|11338946787136903014</stp>
        <tr r="Z1250" s="1"/>
        <tr r="Z1250" s="1"/>
      </tp>
      <tp t="s">
        <v>#N/A Requesting Data...3521541617</v>
        <stp/>
        <stp>BDP|17254523148015641562</stp>
        <tr r="Z1094" s="1"/>
        <tr r="Z1094" s="1"/>
      </tp>
      <tp t="s">
        <v>#N/A Requesting Data...3456018541</v>
        <stp/>
        <stp>BDP|17172176531922703188</stp>
        <tr r="AB211" s="1"/>
        <tr r="AB211" s="1"/>
      </tp>
      <tp t="s">
        <v>#N/A Requesting Data...3519082701</v>
        <stp/>
        <stp>BDP|15181859343059676696</stp>
        <tr r="Y1476" s="1"/>
        <tr r="Y1476" s="1"/>
      </tp>
      <tp t="s">
        <v>#N/A Requesting Data...3972261345</v>
        <stp/>
        <stp>BDP|17116004426336907561</stp>
        <tr r="Z1069" s="1"/>
        <tr r="Z1069" s="1"/>
      </tp>
      <tp t="s">
        <v>#N/A Requesting Data...3313361569</v>
        <stp/>
        <stp>BDP|11979632392739376133</stp>
        <tr r="Y878" s="1"/>
        <tr r="Y878" s="1"/>
      </tp>
      <tp t="s">
        <v>#N/A Requesting Data...2883981677</v>
        <stp/>
        <stp>BDP|16987094173973247494</stp>
        <tr r="AA882" s="1"/>
        <tr r="AA882" s="1"/>
      </tp>
      <tp t="s">
        <v>#N/A Requesting Data...2915649223</v>
        <stp/>
        <stp>BDP|17900312775077551203</stp>
        <tr r="AB582" s="1"/>
        <tr r="AB582" s="1"/>
      </tp>
      <tp t="s">
        <v>#N/A Requesting Data...3507907598</v>
        <stp/>
        <stp>BDP|11859213877873337166</stp>
        <tr r="Y1551" s="1"/>
        <tr r="Y1551" s="1"/>
      </tp>
      <tp t="s">
        <v>#N/A Requesting Data...3796152307</v>
        <stp/>
        <stp>BDP|11922349199438840571</stp>
        <tr r="AB182" s="1"/>
        <tr r="AB182" s="1"/>
      </tp>
      <tp t="s">
        <v>#N/A Requesting Data...3567170642</v>
        <stp/>
        <stp>BDP|18142970018865756323</stp>
        <tr r="AA845" s="1"/>
        <tr r="AA845" s="1"/>
      </tp>
      <tp t="s">
        <v>#N/A Requesting Data...3112310793</v>
        <stp/>
        <stp>BDP|11431236835823817515</stp>
        <tr r="Z578" s="1"/>
        <tr r="Z578" s="1"/>
      </tp>
      <tp t="s">
        <v>#N/A Requesting Data...3938526678</v>
        <stp/>
        <stp>BDP|10388103408391433643</stp>
        <tr r="Y372" s="1"/>
        <tr r="Y372" s="1"/>
      </tp>
      <tp t="s">
        <v>#N/A Requesting Data...3275196338</v>
        <stp/>
        <stp>BDP|16278550020813807440</stp>
        <tr r="Y26" s="1"/>
        <tr r="Y26" s="1"/>
      </tp>
      <tp t="s">
        <v>#N/A Requesting Data...3948451809</v>
        <stp/>
        <stp>BDP|18282551979484011853</stp>
        <tr r="AB175" s="1"/>
        <tr r="AB175" s="1"/>
      </tp>
      <tp t="s">
        <v>#N/A Requesting Data...3702418173</v>
        <stp/>
        <stp>BDP|10519225174927899409</stp>
        <tr r="Y827" s="1"/>
        <tr r="Y827" s="1"/>
      </tp>
      <tp t="s">
        <v>#N/A Requesting Data...4153085673</v>
        <stp/>
        <stp>BDP|12850736683488371302</stp>
        <tr r="AC1525" s="1"/>
      </tp>
      <tp t="s">
        <v>#N/A Requesting Data...3706399846</v>
        <stp/>
        <stp>BDP|13472608174225885135</stp>
        <tr r="AC607" s="1"/>
        <tr r="AC607" s="1"/>
      </tp>
      <tp t="s">
        <v>#N/A Requesting Data...3644194664</v>
        <stp/>
        <stp>BDP|10301041614365827207</stp>
        <tr r="AC561" s="1"/>
        <tr r="AC561" s="1"/>
      </tp>
      <tp t="s">
        <v>#N/A Requesting Data...4202082450</v>
        <stp/>
        <stp>BDP|16235721578938482877</stp>
        <tr r="Y940" s="1"/>
        <tr r="Y940" s="1"/>
      </tp>
      <tp t="s">
        <v>#N/A Requesting Data...3967562516</v>
        <stp/>
        <stp>BDP|14809748255271591168</stp>
        <tr r="AA777" s="1"/>
        <tr r="AA777" s="1"/>
      </tp>
      <tp t="s">
        <v>#N/A Requesting Data...3550449262</v>
        <stp/>
        <stp>BDP|17759349138548860995</stp>
        <tr r="AB11" s="1"/>
        <tr r="AB11" s="1"/>
      </tp>
      <tp t="s">
        <v>#N/A Requesting Data...3856754940</v>
        <stp/>
        <stp>BDP|17894606559960267299</stp>
        <tr r="Z16" s="1"/>
        <tr r="Z16" s="1"/>
      </tp>
      <tp t="s">
        <v>#N/A Requesting Data...4254960848</v>
        <stp/>
        <stp>BDP|13499392499798654781</stp>
        <tr r="Z1053" s="1"/>
        <tr r="Z1053" s="1"/>
      </tp>
      <tp t="s">
        <v>#N/A Requesting Data...3952646977</v>
        <stp/>
        <stp>BDP|15794178151787996020</stp>
        <tr r="Z643" s="1"/>
      </tp>
      <tp t="s">
        <v>#N/A Requesting Data...3488416381</v>
        <stp/>
        <stp>BDP|13869028674524454600</stp>
        <tr r="AB332" s="1"/>
        <tr r="AB332" s="1"/>
      </tp>
      <tp t="s">
        <v>#N/A Requesting Data...3320777852</v>
        <stp/>
        <stp>BDP|15526763798365084814</stp>
        <tr r="AC1527" s="1"/>
        <tr r="AC1527" s="1"/>
      </tp>
      <tp t="s">
        <v>#N/A Requesting Data...3848860270</v>
        <stp/>
        <stp>BDP|12515127495064188892</stp>
        <tr r="AA1320" s="1"/>
        <tr r="AA1320" s="1"/>
      </tp>
      <tp t="s">
        <v>#N/A Requesting Data...3854527988</v>
        <stp/>
        <stp>BDP|13101932216504740991</stp>
        <tr r="AB981" s="1"/>
        <tr r="AB981" s="1"/>
      </tp>
      <tp t="s">
        <v>#N/A Requesting Data...3605689594</v>
        <stp/>
        <stp>BDP|11156597986652742831</stp>
        <tr r="AA1211" s="1"/>
        <tr r="AA1211" s="1"/>
      </tp>
      <tp t="s">
        <v>#N/A Requesting Data...3043533479</v>
        <stp/>
        <stp>BDP|15415882326160745970</stp>
        <tr r="AA1266" s="1"/>
        <tr r="AA1266" s="1"/>
      </tp>
      <tp t="s">
        <v>#N/A Requesting Data...4079214213</v>
        <stp/>
        <stp>BDP|13848574355581667465</stp>
        <tr r="AC1587" s="1"/>
      </tp>
      <tp t="s">
        <v>#N/A Requesting Data...3690387367</v>
        <stp/>
        <stp>BDP|13950701503770529254</stp>
        <tr r="AA1303" s="1"/>
        <tr r="AA1303" s="1"/>
      </tp>
      <tp t="s">
        <v>#N/A Requesting Data...3600167799</v>
        <stp/>
        <stp>BDP|11938441037641121112</stp>
        <tr r="AB359" s="1"/>
        <tr r="AB359" s="1"/>
      </tp>
      <tp t="s">
        <v>#N/A Requesting Data...3519451228</v>
        <stp/>
        <stp>BDP|18271077639589408421</stp>
        <tr r="AC1094" s="1"/>
        <tr r="AC1094" s="1"/>
      </tp>
      <tp t="s">
        <v>#N/A Requesting Data...3386178936</v>
        <stp/>
        <stp>BDP|17869607560697482614</stp>
        <tr r="AA1217" s="1"/>
        <tr r="AA1217" s="1"/>
      </tp>
      <tp t="s">
        <v>#N/A Requesting Data...4010395928</v>
        <stp/>
        <stp>BDP|13942445668167005089</stp>
        <tr r="AA1500" s="1"/>
        <tr r="AA1500" s="1"/>
      </tp>
      <tp t="s">
        <v>#N/A Requesting Data...3261711952</v>
        <stp/>
        <stp>BDP|16349103887859974001</stp>
        <tr r="AA1131" s="1"/>
        <tr r="AA1131" s="1"/>
      </tp>
      <tp t="s">
        <v>#N/A Requesting Data...3533691750</v>
        <stp/>
        <stp>BDP|13370956825417698984</stp>
        <tr r="AC1622" s="1"/>
        <tr r="AC1622" s="1"/>
      </tp>
      <tp t="s">
        <v>#N/A Requesting Data...4208475021</v>
        <stp/>
        <stp>BDP|13890544210098950987</stp>
        <tr r="Y1613" s="1"/>
        <tr r="Y1613" s="1"/>
      </tp>
      <tp t="s">
        <v>#N/A Requesting Data...3133681688</v>
        <stp/>
        <stp>BDP|12675292771562093337</stp>
        <tr r="AA1136" s="1"/>
        <tr r="AA1136" s="1"/>
      </tp>
      <tp t="s">
        <v>#N/A Requesting Data...3747760496</v>
        <stp/>
        <stp>BDP|10512019073551961035</stp>
        <tr r="Y4" s="1"/>
        <tr r="Y4" s="1"/>
      </tp>
      <tp t="s">
        <v>#N/A Requesting Data...4272168024</v>
        <stp/>
        <stp>BDP|16289383327456139712</stp>
        <tr r="Y1050" s="1"/>
        <tr r="Y1050" s="1"/>
      </tp>
      <tp t="s">
        <v>#N/A Requesting Data...3753528557</v>
        <stp/>
        <stp>BDP|11129298211706779237</stp>
        <tr r="Z845" s="1"/>
        <tr r="Z845" s="1"/>
      </tp>
      <tp t="s">
        <v>#N/A Requesting Data...4050068259</v>
        <stp/>
        <stp>BDP|11818310927165499375</stp>
        <tr r="Y678" s="1"/>
        <tr r="Y678" s="1"/>
      </tp>
      <tp t="s">
        <v>#N/A Requesting Data...3160723219</v>
        <stp/>
        <stp>BDP|10272221150204407598</stp>
        <tr r="AB621" s="1"/>
        <tr r="AB621" s="1"/>
      </tp>
      <tp t="s">
        <v>#N/A Requesting Data...4063958297</v>
        <stp/>
        <stp>BDP|16836411934727950093</stp>
        <tr r="AB651" s="1"/>
        <tr r="AB651" s="1"/>
      </tp>
      <tp t="s">
        <v>#N/A Requesting Data...3385414830</v>
        <stp/>
        <stp>BDP|14678171533637939760</stp>
        <tr r="AC1595" s="1"/>
        <tr r="AC1595" s="1"/>
      </tp>
      <tp t="s">
        <v>#N/A Requesting Data...2948323864</v>
        <stp/>
        <stp>BDP|10160925969969513029</stp>
        <tr r="AC307" s="1"/>
        <tr r="AC307" s="1"/>
      </tp>
      <tp t="s">
        <v>#N/A Requesting Data...3770192005</v>
        <stp/>
        <stp>BDP|12509413909250873087</stp>
        <tr r="Z166" s="1"/>
        <tr r="Z166" s="1"/>
      </tp>
      <tp t="s">
        <v>#N/A Requesting Data...3579208638</v>
        <stp/>
        <stp>BDP|10501943031094566885</stp>
        <tr r="Y537" s="1"/>
        <tr r="Y537" s="1"/>
      </tp>
      <tp t="s">
        <v>#N/A Requesting Data...3649337181</v>
        <stp/>
        <stp>BDP|14796119729768743954</stp>
        <tr r="AC1020" s="1"/>
        <tr r="AC1020" s="1"/>
      </tp>
      <tp t="s">
        <v>#N/A Requesting Data...3082191300</v>
        <stp/>
        <stp>BDP|11028024869424533537</stp>
        <tr r="AB432" s="1"/>
        <tr r="AB432" s="1"/>
      </tp>
      <tp t="s">
        <v>#N/A Requesting Data...4011784732</v>
        <stp/>
        <stp>BDP|10467374070832673097</stp>
        <tr r="AC1066" s="1"/>
        <tr r="AC1066" s="1"/>
      </tp>
      <tp t="s">
        <v>#N/A Requesting Data...4261863537</v>
        <stp/>
        <stp>BDP|11803871953898729272</stp>
        <tr r="Z582" s="1"/>
        <tr r="Z582" s="1"/>
      </tp>
      <tp t="s">
        <v>#N/A Requesting Data...3761662934</v>
        <stp/>
        <stp>BDP|10227596027780584153</stp>
        <tr r="AA663" s="1"/>
        <tr r="AA663" s="1"/>
      </tp>
      <tp t="s">
        <v>#N/A Requesting Data...3218462552</v>
        <stp/>
        <stp>BDP|10925007765052191214</stp>
        <tr r="AB1078" s="1"/>
        <tr r="AB1078" s="1"/>
      </tp>
      <tp t="s">
        <v>#N/A Requesting Data...3392617207</v>
        <stp/>
        <stp>BDP|11340849391841285785</stp>
        <tr r="AB1270" s="1"/>
        <tr r="AB1270" s="1"/>
      </tp>
      <tp t="s">
        <v>#N/A Requesting Data...3932792479</v>
        <stp/>
        <stp>BDP|10352505528926673711</stp>
        <tr r="AA559" s="1"/>
        <tr r="AA559" s="1"/>
      </tp>
      <tp t="s">
        <v>#N/A Requesting Data...3836907986</v>
        <stp/>
        <stp>BDP|12893439340597538328</stp>
        <tr r="Z1083" s="1"/>
        <tr r="Z1083" s="1"/>
      </tp>
      <tp t="s">
        <v>#N/A Requesting Data...3723156017</v>
        <stp/>
        <stp>BDP|18367799784085611443</stp>
        <tr r="AC671" s="1"/>
        <tr r="AC671" s="1"/>
      </tp>
      <tp t="s">
        <v>#N/A Requesting Data...3617459987</v>
        <stp/>
        <stp>BDP|16787906482403844212</stp>
        <tr r="AB1579" s="1"/>
        <tr r="AB1579" s="1"/>
      </tp>
      <tp t="s">
        <v>#N/A Requesting Data...2939669139</v>
        <stp/>
        <stp>BDP|11092298535906894082</stp>
        <tr r="AA699" s="1"/>
        <tr r="AA699" s="1"/>
      </tp>
      <tp t="s">
        <v>#N/A Requesting Data...3846244000</v>
        <stp/>
        <stp>BDP|15263800209838341349</stp>
        <tr r="AC1303" s="1"/>
        <tr r="AC1303" s="1"/>
      </tp>
      <tp t="s">
        <v>#N/A Requesting Data...3584840242</v>
        <stp/>
        <stp>BDP|11218756611681299088</stp>
        <tr r="AB115" s="1"/>
        <tr r="AB115" s="1"/>
      </tp>
      <tp t="s">
        <v>#N/A Requesting Data...3056932767</v>
        <stp/>
        <stp>BDP|17238026705841942009</stp>
        <tr r="AC183" s="1"/>
        <tr r="AC183" s="1"/>
      </tp>
      <tp t="s">
        <v>#N/A Requesting Data...3243017559</v>
        <stp/>
        <stp>BDP|10590956639735092956</stp>
        <tr r="AC948" s="1"/>
        <tr r="AC948" s="1"/>
      </tp>
      <tp t="s">
        <v>#N/A Requesting Data...3620724740</v>
        <stp/>
        <stp>BDP|14945245659053978613</stp>
        <tr r="AA163" s="1"/>
        <tr r="AA163" s="1"/>
      </tp>
      <tp t="s">
        <v>#N/A Requesting Data...3278290046</v>
        <stp/>
        <stp>BDP|12046390830443543701</stp>
        <tr r="AB506" s="1"/>
        <tr r="AB506" s="1"/>
      </tp>
      <tp t="s">
        <v>#N/A Requesting Data...3589830943</v>
        <stp/>
        <stp>BDP|12803821738759638681</stp>
        <tr r="AC743" s="1"/>
        <tr r="AC743" s="1"/>
      </tp>
      <tp t="s">
        <v>#N/A Requesting Data...4164028286</v>
        <stp/>
        <stp>BDP|15605322729650268208</stp>
        <tr r="AA366" s="1"/>
        <tr r="AA366" s="1"/>
      </tp>
      <tp t="s">
        <v>#N/A Requesting Data...2968231402</v>
        <stp/>
        <stp>BDP|13674154861777988542</stp>
        <tr r="AB258" s="1"/>
        <tr r="AB258" s="1"/>
      </tp>
      <tp t="s">
        <v>#N/A Requesting Data...3114316010</v>
        <stp/>
        <stp>BDP|16974121082150539938</stp>
        <tr r="Z1600" s="1"/>
        <tr r="Z1600" s="1"/>
      </tp>
      <tp t="s">
        <v>#N/A Requesting Data...4279843055</v>
        <stp/>
        <stp>BDP|14960457042703918186</stp>
        <tr r="AA580" s="1"/>
        <tr r="AA580" s="1"/>
      </tp>
      <tp t="s">
        <v>#N/A Requesting Data...3580324169</v>
        <stp/>
        <stp>BDP|17525913180985374594</stp>
        <tr r="AC991" s="1"/>
        <tr r="AC991" s="1"/>
      </tp>
      <tp t="s">
        <v>#N/A Requesting Data...4148222738</v>
        <stp/>
        <stp>BDP|11787031249237104420</stp>
        <tr r="Y627" s="1"/>
        <tr r="Y627" s="1"/>
      </tp>
      <tp t="s">
        <v>#N/A Requesting Data...3722427884</v>
        <stp/>
        <stp>BDP|13957508110946269758</stp>
        <tr r="AC306" s="1"/>
        <tr r="AC306" s="1"/>
      </tp>
      <tp t="s">
        <v>#N/A Requesting Data...4222529427</v>
        <stp/>
        <stp>BDP|14552486480866212813</stp>
        <tr r="AA277" s="1"/>
        <tr r="AA277" s="1"/>
      </tp>
      <tp t="s">
        <v>#N/A Requesting Data...2993334607</v>
        <stp/>
        <stp>BDP|17881149212015882481</stp>
        <tr r="AA660" s="1"/>
        <tr r="AA660" s="1"/>
      </tp>
      <tp t="s">
        <v>#N/A Requesting Data...3593708596</v>
        <stp/>
        <stp>BDP|10569340138841722703</stp>
        <tr r="AC1053" s="1"/>
        <tr r="AC1053" s="1"/>
      </tp>
      <tp t="s">
        <v>#N/A Requesting Data...3312844810</v>
        <stp/>
        <stp>BDP|13292345748770545251</stp>
        <tr r="AC257" s="1"/>
        <tr r="AC257" s="1"/>
      </tp>
      <tp t="s">
        <v>#N/A Requesting Data...3788695415</v>
        <stp/>
        <stp>BDP|10769136745267649498</stp>
        <tr r="AB345" s="1"/>
        <tr r="AB345" s="1"/>
      </tp>
      <tp t="s">
        <v>#N/A Requesting Data...4228276533</v>
        <stp/>
        <stp>BDP|17736326928448378808</stp>
        <tr r="Z826" s="1"/>
        <tr r="Z826" s="1"/>
      </tp>
      <tp t="s">
        <v>#N/A Requesting Data...3618021943</v>
        <stp/>
        <stp>BDP|12636231645075685784</stp>
        <tr r="Z81" s="1"/>
        <tr r="Z81" s="1"/>
      </tp>
      <tp t="s">
        <v>#N/A Requesting Data...3071630929</v>
        <stp/>
        <stp>BDP|17888520559518598989</stp>
        <tr r="Y1100" s="1"/>
        <tr r="Y1100" s="1"/>
      </tp>
      <tp t="s">
        <v>#N/A Requesting Data...3593720551</v>
        <stp/>
        <stp>BDP|16787102656691928562</stp>
        <tr r="AC1119" s="1"/>
        <tr r="AC1119" s="1"/>
      </tp>
      <tp t="s">
        <v>#N/A Requesting Data...3232220873</v>
        <stp/>
        <stp>BDP|10958116073333359367</stp>
        <tr r="Y408" s="1"/>
        <tr r="Y408" s="1"/>
      </tp>
      <tp t="s">
        <v>#N/A Requesting Data...4022257900</v>
        <stp/>
        <stp>BDP|15390520726184914008</stp>
        <tr r="AC1402" s="1"/>
        <tr r="AC1402" s="1"/>
      </tp>
      <tp t="s">
        <v>#N/A Requesting Data...3193379685</v>
        <stp/>
        <stp>BDP|14268650819227737270</stp>
        <tr r="Z1562" s="1"/>
        <tr r="Z1562" s="1"/>
      </tp>
      <tp t="s">
        <v>#N/A Requesting Data...3997571295</v>
        <stp/>
        <stp>BDP|10060033190287848854</stp>
        <tr r="AC902" s="1"/>
        <tr r="AC902" s="1"/>
      </tp>
      <tp t="s">
        <v>#N/A Requesting Data...3560030583</v>
        <stp/>
        <stp>BDP|14977365711497467746</stp>
        <tr r="AA1588" s="1"/>
        <tr r="AA1588" s="1"/>
      </tp>
      <tp t="s">
        <v>#N/A Requesting Data...3668038877</v>
        <stp/>
        <stp>BDP|14744987411702217823</stp>
        <tr r="AB887" s="1"/>
        <tr r="AB887" s="1"/>
      </tp>
      <tp t="s">
        <v>#N/A Requesting Data...3077829125</v>
        <stp/>
        <stp>BDP|14484009788708100233</stp>
        <tr r="AB669" s="1"/>
        <tr r="AB669" s="1"/>
      </tp>
      <tp t="s">
        <v>#N/A Requesting Data...3459732560</v>
        <stp/>
        <stp>BDP|15941288001016120707</stp>
        <tr r="AB1196" s="1"/>
        <tr r="AB1196" s="1"/>
      </tp>
      <tp t="s">
        <v>#N/A Requesting Data...4028740950</v>
        <stp/>
        <stp>BDP|11884763446374118081</stp>
        <tr r="AB284" s="1"/>
        <tr r="AB284" s="1"/>
      </tp>
      <tp t="s">
        <v>#N/A Requesting Data...3576093566</v>
        <stp/>
        <stp>BDP|16611549749625279487</stp>
        <tr r="Y744" s="1"/>
        <tr r="Y744" s="1"/>
      </tp>
      <tp t="s">
        <v>#N/A Requesting Data...3454057534</v>
        <stp/>
        <stp>BDP|15228610650646133639</stp>
        <tr r="Z104" s="1"/>
        <tr r="Z104" s="1"/>
      </tp>
      <tp t="s">
        <v>#N/A Requesting Data...4101512918</v>
        <stp/>
        <stp>BDP|10705100188298867767</stp>
        <tr r="Y906" s="1"/>
        <tr r="Y906" s="1"/>
      </tp>
      <tp t="s">
        <v>#N/A Requesting Data...3874498028</v>
        <stp/>
        <stp>BDP|16045213532345322415</stp>
        <tr r="Z811" s="1"/>
        <tr r="Z811" s="1"/>
      </tp>
      <tp t="s">
        <v>#N/A Requesting Data...3791450098</v>
        <stp/>
        <stp>BDP|10911482633603062233</stp>
        <tr r="AB119" s="1"/>
        <tr r="AB119" s="1"/>
      </tp>
      <tp t="s">
        <v>#N/A Requesting Data...3097894509</v>
        <stp/>
        <stp>BDP|15729547572050366135</stp>
        <tr r="AC296" s="1"/>
        <tr r="AC296" s="1"/>
      </tp>
      <tp t="s">
        <v>#N/A Requesting Data...3527143225</v>
        <stp/>
        <stp>BDP|13403239976983914395</stp>
        <tr r="Z55" s="1"/>
        <tr r="Z55" s="1"/>
      </tp>
      <tp t="s">
        <v>#N/A Requesting Data...2999217347</v>
        <stp/>
        <stp>BDP|12157430543210195405</stp>
        <tr r="AB1053" s="1"/>
        <tr r="AB1053" s="1"/>
      </tp>
      <tp t="s">
        <v>#N/A Requesting Data...4148693728</v>
        <stp/>
        <stp>BDP|18360076961381785921</stp>
        <tr r="AC564" s="1"/>
        <tr r="AC564" s="1"/>
      </tp>
      <tp t="s">
        <v>#N/A Requesting Data...3491429848</v>
        <stp/>
        <stp>BDP|15905799055701734027</stp>
        <tr r="AC900" s="1"/>
        <tr r="AC900" s="1"/>
      </tp>
      <tp t="s">
        <v>#N/A Requesting Data...4275401043</v>
        <stp/>
        <stp>BDP|15803788850717118614</stp>
        <tr r="AA92" s="1"/>
        <tr r="AA92" s="1"/>
      </tp>
      <tp t="s">
        <v>#N/A Requesting Data...3078300186</v>
        <stp/>
        <stp>BDP|15950995195087609438</stp>
        <tr r="AB1335" s="1"/>
        <tr r="AB1335" s="1"/>
      </tp>
      <tp t="s">
        <v>#N/A Requesting Data...3322894266</v>
        <stp/>
        <stp>BDP|11981475105520811331</stp>
        <tr r="AC829" s="1"/>
        <tr r="AC829" s="1"/>
      </tp>
      <tp t="s">
        <v>#N/A Requesting Data...3527673831</v>
        <stp/>
        <stp>BDP|18023447894693882084</stp>
        <tr r="AB663" s="1"/>
        <tr r="AB663" s="1"/>
      </tp>
      <tp t="s">
        <v>#N/A Requesting Data...4175764405</v>
        <stp/>
        <stp>BDP|16226825392329297800</stp>
        <tr r="Y1394" s="1"/>
        <tr r="Y1394" s="1"/>
      </tp>
      <tp t="s">
        <v>#N/A Requesting Data...3277328408</v>
        <stp/>
        <stp>BDP|10221847779430629990</stp>
        <tr r="Z1190" s="1"/>
        <tr r="Z1190" s="1"/>
      </tp>
      <tp t="s">
        <v>#N/A Requesting Data...3366290565</v>
        <stp/>
        <stp>BDP|17458534068512854073</stp>
        <tr r="AA664" s="1"/>
        <tr r="AA664" s="1"/>
      </tp>
      <tp t="s">
        <v>#N/A Requesting Data...3432880981</v>
        <stp/>
        <stp>BDP|12866305431194960006</stp>
        <tr r="Y509" s="1"/>
        <tr r="Y509" s="1"/>
      </tp>
      <tp t="s">
        <v>#N/A Requesting Data...3479999062</v>
        <stp/>
        <stp>BDP|10421438837958918993</stp>
        <tr r="AA211" s="1"/>
        <tr r="AA211" s="1"/>
      </tp>
      <tp t="s">
        <v>#N/A Requesting Data...4289437101</v>
        <stp/>
        <stp>BDP|10758918022369317478</stp>
        <tr r="AC978" s="1"/>
        <tr r="AC978" s="1"/>
      </tp>
      <tp t="s">
        <v>#N/A Requesting Data...3449951648</v>
        <stp/>
        <stp>BDP|12570349365904586518</stp>
        <tr r="Y978" s="1"/>
        <tr r="Y978" s="1"/>
      </tp>
      <tp t="s">
        <v>#N/A Requesting Data...3599891286</v>
        <stp/>
        <stp>BDP|15771064100071173201</stp>
        <tr r="AC314" s="1"/>
        <tr r="AC314" s="1"/>
      </tp>
      <tp t="s">
        <v>#N/A Requesting Data...3295834485</v>
        <stp/>
        <stp>BDP|13832295431062036600</stp>
        <tr r="AC195" s="1"/>
        <tr r="AC195" s="1"/>
      </tp>
      <tp>
        <v>1.4999999999999999E-2</v>
        <stp/>
        <stp>BDP|5744232754274167093|22</stp>
        <stp>CHS CN Equity</stp>
        <stp>LAST_PRICE</stp>
        <tr r="AD431" s="1"/>
        <tr r="AD431" s="1"/>
      </tp>
      <tp t="s">
        <v>#N/A Requesting Data...3386188446</v>
        <stp/>
        <stp>BDP|16072764997196299800</stp>
        <tr r="Y1300" s="1"/>
        <tr r="Y1300" s="1"/>
      </tp>
      <tp t="s">
        <v>#N/A Requesting Data...4132259424</v>
        <stp/>
        <stp>BDP|14041510845287098475</stp>
        <tr r="AA1527" s="1"/>
        <tr r="AA1527" s="1"/>
      </tp>
      <tp t="s">
        <v>#N/A Requesting Data...4138977575</v>
        <stp/>
        <stp>BDP|13313868546350332933</stp>
        <tr r="AC174" s="1"/>
        <tr r="AC174" s="1"/>
      </tp>
      <tp t="s">
        <v>#N/A Requesting Data...4261357375</v>
        <stp/>
        <stp>BDP|13443550826816748432</stp>
        <tr r="Z1138" s="1"/>
        <tr r="Z1138" s="1"/>
      </tp>
      <tp t="s">
        <v>#N/A Requesting Data...2987712777</v>
        <stp/>
        <stp>BDP|13385230674041633116</stp>
        <tr r="AA74" s="1"/>
        <tr r="AA74" s="1"/>
      </tp>
      <tp t="s">
        <v>#N/A Requesting Data...3499482192</v>
        <stp/>
        <stp>BDP|15064577806901306714</stp>
        <tr r="AC1221" s="1"/>
        <tr r="AC1221" s="1"/>
      </tp>
      <tp t="s">
        <v>#N/A Requesting Data...4053779689</v>
        <stp/>
        <stp>BDP|15211930283355287736</stp>
        <tr r="Y826" s="1"/>
        <tr r="Y826" s="1"/>
      </tp>
      <tp t="s">
        <v>#N/A Requesting Data...3966246605</v>
        <stp/>
        <stp>BDP|14435925184902927181</stp>
        <tr r="AA1074" s="1"/>
        <tr r="AA1074" s="1"/>
      </tp>
      <tp t="s">
        <v>#N/A Requesting Data...3275197223</v>
        <stp/>
        <stp>BDP|12224424573470988798</stp>
        <tr r="AB976" s="1"/>
        <tr r="AB976" s="1"/>
      </tp>
      <tp t="s">
        <v>#N/A Requesting Data...3249514965</v>
        <stp/>
        <stp>BDP|13772084794225129991</stp>
        <tr r="AC72" s="1"/>
        <tr r="AC72" s="1"/>
      </tp>
      <tp t="s">
        <v>#N/A Requesting Data...4253645810</v>
        <stp/>
        <stp>BDP|11335608817822619210</stp>
        <tr r="AB931" s="1"/>
        <tr r="AB931" s="1"/>
      </tp>
      <tp t="s">
        <v>#N/A Requesting Data...3052130917</v>
        <stp/>
        <stp>BDP|11841131190667163895</stp>
        <tr r="AB1269" s="1"/>
        <tr r="AB1269" s="1"/>
      </tp>
      <tp t="s">
        <v>#N/A Requesting Data...4210100745</v>
        <stp/>
        <stp>BDP|10292614503067747749</stp>
        <tr r="AC283" s="1"/>
        <tr r="AC283" s="1"/>
      </tp>
      <tp t="s">
        <v>#N/A Requesting Data...3676250475</v>
        <stp/>
        <stp>BDP|16576353673281808586</stp>
        <tr r="AB366" s="1"/>
        <tr r="AB366" s="1"/>
      </tp>
      <tp t="s">
        <v>#N/A Requesting Data...4251237280</v>
        <stp/>
        <stp>BDP|17215073435030308205</stp>
        <tr r="AA1399" s="1"/>
        <tr r="AA1399" s="1"/>
      </tp>
      <tp t="s">
        <v>#N/A Requesting Data...3966669833</v>
        <stp/>
        <stp>BDP|11134343335163423474</stp>
        <tr r="Y505" s="1"/>
        <tr r="Y505" s="1"/>
      </tp>
      <tp t="s">
        <v>#N/A Requesting Data...3047317078</v>
        <stp/>
        <stp>BDP|13098564535313601068</stp>
        <tr r="AA775" s="1"/>
        <tr r="AA775" s="1"/>
      </tp>
      <tp t="s">
        <v>#N/A Requesting Data...3544278799</v>
        <stp/>
        <stp>BDP|17234153881750333861</stp>
        <tr r="AC1272" s="1"/>
        <tr r="AC1272" s="1"/>
      </tp>
      <tp t="s">
        <v>#N/A Requesting Data...4103636090</v>
        <stp/>
        <stp>BDP|15495039131170112045</stp>
        <tr r="Z70" s="1"/>
        <tr r="Z70" s="1"/>
      </tp>
      <tp t="s">
        <v>#N/A Requesting Data...3769162661</v>
        <stp/>
        <stp>BDP|14440370762867146023</stp>
        <tr r="Y255" s="1"/>
        <tr r="Y255" s="1"/>
      </tp>
      <tp t="s">
        <v>#N/A Requesting Data...3625968232</v>
        <stp/>
        <stp>BDP|13509159248818327899</stp>
        <tr r="AA1110" s="1"/>
        <tr r="AA1110" s="1"/>
      </tp>
      <tp t="s">
        <v>#N/A Requesting Data...3851459873</v>
        <stp/>
        <stp>BDP|14211129336083437302</stp>
        <tr r="AC1370" s="1"/>
        <tr r="AC1370" s="1"/>
      </tp>
      <tp t="s">
        <v>#N/A Requesting Data...3610374238</v>
        <stp/>
        <stp>BDP|16809071128543181145</stp>
        <tr r="AB892" s="1"/>
        <tr r="AB892" s="1"/>
      </tp>
      <tp t="s">
        <v>#N/A Requesting Data...3172919328</v>
        <stp/>
        <stp>BDP|15459047937580667038</stp>
        <tr r="AB200" s="1"/>
        <tr r="AB200" s="1"/>
      </tp>
      <tp t="s">
        <v>#N/A Requesting Data...3378571060</v>
        <stp/>
        <stp>BDP|14478603937344133309</stp>
        <tr r="Y197" s="1"/>
        <tr r="Y197" s="1"/>
      </tp>
      <tp t="s">
        <v>#N/A Requesting Data...3966870771</v>
        <stp/>
        <stp>BDP|12147823799341859403</stp>
        <tr r="AA722" s="1"/>
        <tr r="AA722" s="1"/>
      </tp>
      <tp t="s">
        <v>#N/A Requesting Data...2988047100</v>
        <stp/>
        <stp>BDP|12712279012757684066</stp>
        <tr r="AA714" s="1"/>
        <tr r="AA714" s="1"/>
      </tp>
      <tp t="s">
        <v>#N/A Requesting Data...3567476150</v>
        <stp/>
        <stp>BDP|16260519430400742668</stp>
        <tr r="AB809" s="1"/>
        <tr r="AB809" s="1"/>
      </tp>
      <tp t="s">
        <v>#N/A Requesting Data...3661847204</v>
        <stp/>
        <stp>BDP|18196752387737295632</stp>
        <tr r="AA1356" s="1"/>
        <tr r="AA1356" s="1"/>
      </tp>
      <tp t="s">
        <v>#N/A Requesting Data...3232972335</v>
        <stp/>
        <stp>BDP|12727923683014016146</stp>
        <tr r="AC232" s="1"/>
        <tr r="AC232" s="1"/>
      </tp>
      <tp t="s">
        <v>#N/A Requesting Data...3076586139</v>
        <stp/>
        <stp>BDP|13102465855180704472</stp>
        <tr r="AA329" s="1"/>
        <tr r="AA329" s="1"/>
      </tp>
      <tp t="s">
        <v>#N/A Requesting Data...3866039891</v>
        <stp/>
        <stp>BDP|14861526773427332781</stp>
        <tr r="AB1368" s="1"/>
        <tr r="AB1368" s="1"/>
      </tp>
      <tp t="s">
        <v>#N/A Requesting Data...3680443456</v>
        <stp/>
        <stp>BDP|12830670518286754521</stp>
        <tr r="Z335" s="1"/>
        <tr r="Z335" s="1"/>
      </tp>
      <tp t="s">
        <v>#N/A Requesting Data...4189901846</v>
        <stp/>
        <stp>BDP|12166417575553557424</stp>
        <tr r="Y571" s="1"/>
        <tr r="Y571" s="1"/>
      </tp>
      <tp t="s">
        <v>#N/A Requesting Data...3355428641</v>
        <stp/>
        <stp>BDP|16698223312115660629</stp>
        <tr r="AC212" s="1"/>
        <tr r="AC212" s="1"/>
      </tp>
      <tp t="s">
        <v>#N/A Requesting Data...3201133844</v>
        <stp/>
        <stp>BDP|14121362974513172579</stp>
        <tr r="AB1622" s="1"/>
        <tr r="AB1622" s="1"/>
      </tp>
      <tp t="s">
        <v>#N/A Requesting Data...4172770012</v>
        <stp/>
        <stp>BDP|16791332866994720109</stp>
        <tr r="Y437" s="1"/>
        <tr r="Y437" s="1"/>
      </tp>
      <tp t="s">
        <v>#N/A Requesting Data...3610661359</v>
        <stp/>
        <stp>BDP|12632509368141340687</stp>
        <tr r="AA1012" s="1"/>
        <tr r="AA1012" s="1"/>
      </tp>
      <tp t="s">
        <v>#N/A Requesting Data...3810712271</v>
        <stp/>
        <stp>BDP|16421496714124891144</stp>
        <tr r="AB591" s="1"/>
        <tr r="AB591" s="1"/>
      </tp>
      <tp t="s">
        <v>#N/A Requesting Data...3282508790</v>
        <stp/>
        <stp>BDP|17989217968261155440</stp>
        <tr r="AA384" s="1"/>
        <tr r="AA384" s="1"/>
      </tp>
      <tp t="s">
        <v>#N/A Requesting Data...4263549197</v>
        <stp/>
        <stp>BDP|13711283878419612948</stp>
        <tr r="AC443" s="1"/>
        <tr r="AC443" s="1"/>
      </tp>
      <tp t="s">
        <v>#N/A Requesting Data...3682997289</v>
        <stp/>
        <stp>BDP|14582359251530282462</stp>
        <tr r="AC1281" s="1"/>
        <tr r="AC1281" s="1"/>
      </tp>
      <tp t="s">
        <v>#N/A Requesting Data...3902174382</v>
        <stp/>
        <stp>BDP|10340536269825470083</stp>
        <tr r="Z275" s="1"/>
        <tr r="Z275" s="1"/>
      </tp>
      <tp t="s">
        <v>#N/A Requesting Data...3337988083</v>
        <stp/>
        <stp>BDP|13409216997477772908</stp>
        <tr r="AB576" s="1"/>
        <tr r="AB576" s="1"/>
      </tp>
      <tp t="s">
        <v>#N/A Requesting Data...3176482188</v>
        <stp/>
        <stp>BDP|12618092621351877735</stp>
        <tr r="AB168" s="1"/>
        <tr r="AB168" s="1"/>
      </tp>
      <tp t="s">
        <v>#N/A Requesting Data...3735702369</v>
        <stp/>
        <stp>BDP|13647410229627348481</stp>
        <tr r="Y20" s="1"/>
        <tr r="Y20" s="1"/>
      </tp>
      <tp t="s">
        <v>#N/A Requesting Data...4088449773</v>
        <stp/>
        <stp>BDP|10923850391350112796</stp>
        <tr r="Z1116" s="1"/>
        <tr r="Z1116" s="1"/>
      </tp>
      <tp t="s">
        <v>#N/A Requesting Data...3233178990</v>
        <stp/>
        <stp>BDP|14118722930652137470</stp>
        <tr r="AA1075" s="1"/>
        <tr r="AA1075" s="1"/>
      </tp>
      <tp t="s">
        <v>#N/A Requesting Data...3487883924</v>
        <stp/>
        <stp>BDP|17381556825264568221</stp>
        <tr r="Y1396" s="1"/>
        <tr r="Y1396" s="1"/>
      </tp>
      <tp t="s">
        <v>#N/A Requesting Data...4163778225</v>
        <stp/>
        <stp>BDP|13273463045335391065</stp>
        <tr r="AB1488" s="1"/>
        <tr r="AB1488" s="1"/>
      </tp>
      <tp t="s">
        <v>#N/A Requesting Data...3807044991</v>
        <stp/>
        <stp>BDP|18198456375735077855</stp>
        <tr r="AA540" s="1"/>
        <tr r="AA540" s="1"/>
      </tp>
      <tp t="s">
        <v>#N/A Requesting Data...3662446138</v>
        <stp/>
        <stp>BDP|15009912390997400411</stp>
        <tr r="Y859" s="1"/>
        <tr r="Y859" s="1"/>
      </tp>
      <tp t="s">
        <v>#N/A Requesting Data...3886315395</v>
        <stp/>
        <stp>BDP|15630170857443192437</stp>
        <tr r="Y64" s="1"/>
        <tr r="Y64" s="1"/>
      </tp>
      <tp t="s">
        <v>#N/A Requesting Data...3820603943</v>
        <stp/>
        <stp>BDP|18258849834484270146</stp>
        <tr r="AB43" s="1"/>
        <tr r="AB43" s="1"/>
      </tp>
      <tp t="s">
        <v>#N/A Requesting Data...3164212167</v>
        <stp/>
        <stp>BDP|18225339471738518214</stp>
        <tr r="Z523" s="1"/>
        <tr r="Z523" s="1"/>
      </tp>
      <tp t="s">
        <v>#N/A Requesting Data...3144755807</v>
        <stp/>
        <stp>BDP|10097903004009820680</stp>
        <tr r="AB1290" s="1"/>
        <tr r="AB1290" s="1"/>
      </tp>
      <tp t="s">
        <v>#N/A Requesting Data...4108141842</v>
        <stp/>
        <stp>BDP|10186841697075647202</stp>
        <tr r="Z1122" s="1"/>
        <tr r="Z1122" s="1"/>
      </tp>
      <tp t="s">
        <v>#N/A Requesting Data...3901423408</v>
        <stp/>
        <stp>BDP|13072915700285685936</stp>
        <tr r="Y907" s="1"/>
        <tr r="Y907" s="1"/>
      </tp>
      <tp t="s">
        <v>#N/A Requesting Data...3445085373</v>
        <stp/>
        <stp>BDP|17276549843831220139</stp>
        <tr r="AB885" s="1"/>
        <tr r="AB885" s="1"/>
      </tp>
      <tp t="s">
        <v>#N/A Requesting Data...4032046595</v>
        <stp/>
        <stp>BDP|17490372222149678930</stp>
        <tr r="Y15" s="1"/>
        <tr r="Y15" s="1"/>
      </tp>
      <tp t="s">
        <v>#N/A Requesting Data...3882137019</v>
        <stp/>
        <stp>BDP|14374022130524160545</stp>
        <tr r="AA1411" s="1"/>
        <tr r="AA1411" s="1"/>
      </tp>
      <tp t="s">
        <v>#N/A Requesting Data...4095594650</v>
        <stp/>
        <stp>BDP|14325027412473099079</stp>
        <tr r="Z1093" s="1"/>
        <tr r="Z1093" s="1"/>
      </tp>
      <tp t="s">
        <v>#N/A Requesting Data...3527800181</v>
        <stp/>
        <stp>BDP|12846117975332086089</stp>
        <tr r="AC714" s="1"/>
        <tr r="AC714" s="1"/>
      </tp>
      <tp t="s">
        <v>#N/A Requesting Data...3275630156</v>
        <stp/>
        <stp>BDP|11899353854254486591</stp>
        <tr r="Z841" s="1"/>
        <tr r="Z841" s="1"/>
      </tp>
      <tp t="s">
        <v>#N/A Requesting Data...3814324080</v>
        <stp/>
        <stp>BDP|12780714473621749569</stp>
        <tr r="Z814" s="1"/>
        <tr r="Z814" s="1"/>
      </tp>
      <tp t="s">
        <v>#N/A Requesting Data...3818839505</v>
        <stp/>
        <stp>BDP|14629184264273669687</stp>
        <tr r="AC1389" s="1"/>
        <tr r="AC1389" s="1"/>
      </tp>
      <tp t="s">
        <v>#N/A Requesting Data...3074243223</v>
        <stp/>
        <stp>BDP|14878626210596844365</stp>
        <tr r="AC258" s="1"/>
        <tr r="AC258" s="1"/>
      </tp>
      <tp t="s">
        <v>#N/A Requesting Data...3790155634</v>
        <stp/>
        <stp>BDP|12698410124762561013</stp>
        <tr r="AA927" s="1"/>
        <tr r="AA927" s="1"/>
      </tp>
      <tp t="s">
        <v>#N/A Requesting Data...3783469394</v>
        <stp/>
        <stp>BDP|14402205145992512636</stp>
        <tr r="AC176" s="1"/>
        <tr r="AC176" s="1"/>
      </tp>
      <tp t="s">
        <v>#N/A Requesting Data...3260490342</v>
        <stp/>
        <stp>BDP|16233024963407025148</stp>
        <tr r="AB879" s="1"/>
        <tr r="AB879" s="1"/>
      </tp>
      <tp t="s">
        <v>#N/A Requesting Data...3908729465</v>
        <stp/>
        <stp>BDP|15244557460621844188</stp>
        <tr r="Y704" s="1"/>
        <tr r="Y704" s="1"/>
      </tp>
      <tp t="s">
        <v>#N/A Requesting Data...3529004252</v>
        <stp/>
        <stp>BDP|10438239461771431350</stp>
        <tr r="AC55" s="1"/>
        <tr r="AC55" s="1"/>
      </tp>
      <tp t="s">
        <v>#N/A Requesting Data...3990285381</v>
        <stp/>
        <stp>BDP|13931581716806370730</stp>
        <tr r="Y806" s="1"/>
      </tp>
      <tp t="s">
        <v>#N/A Requesting Data...4051280349</v>
        <stp/>
        <stp>BDP|18205883218661706626</stp>
        <tr r="Z1092" s="1"/>
        <tr r="Z1092" s="1"/>
      </tp>
      <tp t="s">
        <v>#N/A Requesting Data...4164220720</v>
        <stp/>
        <stp>BDP|16168037102051702103</stp>
        <tr r="Y958" s="1"/>
        <tr r="Y958" s="1"/>
      </tp>
      <tp t="s">
        <v>#N/A Requesting Data...3805471716</v>
        <stp/>
        <stp>BDP|12334174617237618323</stp>
        <tr r="Y272" s="1"/>
        <tr r="Y272" s="1"/>
      </tp>
      <tp t="s">
        <v>#N/A Requesting Data...3165025712</v>
        <stp/>
        <stp>BDP|11164641037440258271</stp>
        <tr r="Y482" s="1"/>
        <tr r="Y482" s="1"/>
      </tp>
      <tp t="s">
        <v>#N/A Requesting Data...3599185234</v>
        <stp/>
        <stp>BDP|17139161904785369574</stp>
        <tr r="AC131" s="1"/>
        <tr r="AC131" s="1"/>
      </tp>
      <tp t="s">
        <v>#N/A Requesting Data...4009172846</v>
        <stp/>
        <stp>BDP|14302092980283955943</stp>
        <tr r="AC1576" s="1"/>
        <tr r="AC1576" s="1"/>
      </tp>
      <tp t="s">
        <v>#N/A Requesting Data...3986280087</v>
        <stp/>
        <stp>BDP|15271509534202694773</stp>
        <tr r="AB4" s="1"/>
        <tr r="AB4" s="1"/>
      </tp>
      <tp t="s">
        <v>#N/A Requesting Data...3414193739</v>
        <stp/>
        <stp>BDP|12934920883147774280</stp>
        <tr r="Y1564" s="1"/>
        <tr r="Y1564" s="1"/>
      </tp>
      <tp t="s">
        <v>#N/A Requesting Data...3387387047</v>
        <stp/>
        <stp>BDP|10630262157101256020</stp>
        <tr r="AA1396" s="1"/>
        <tr r="AA1396" s="1"/>
      </tp>
      <tp t="s">
        <v>#N/A Requesting Data...3187901910</v>
        <stp/>
        <stp>BDP|17224580679291671223</stp>
        <tr r="AB1076" s="1"/>
        <tr r="AB1076" s="1"/>
      </tp>
      <tp t="s">
        <v>#N/A Requesting Data...3396816629</v>
        <stp/>
        <stp>BDP|15551828814652542804</stp>
        <tr r="Z1449" s="1"/>
        <tr r="Z1449" s="1"/>
      </tp>
      <tp t="s">
        <v>#N/A Requesting Data...3843059735</v>
        <stp/>
        <stp>BDP|13939309349820498221</stp>
        <tr r="AC240" s="1"/>
        <tr r="AC240" s="1"/>
      </tp>
      <tp t="s">
        <v>#N/A Requesting Data...3475249089</v>
        <stp/>
        <stp>BDP|12317640737222395353</stp>
        <tr r="AC1299" s="1"/>
        <tr r="AC1299" s="1"/>
      </tp>
      <tp t="s">
        <v>#N/A Requesting Data...3357204496</v>
        <stp/>
        <stp>BDP|16432310074263098777</stp>
        <tr r="AB926" s="1"/>
        <tr r="AB926" s="1"/>
      </tp>
      <tp t="s">
        <v>#N/A Requesting Data...4264541025</v>
        <stp/>
        <stp>BDP|17615489452835254588</stp>
        <tr r="AB615" s="1"/>
        <tr r="AB615" s="1"/>
      </tp>
      <tp t="s">
        <v>#N/A Requesting Data...4240367619</v>
        <stp/>
        <stp>BDP|13188799421323787389</stp>
        <tr r="AA1281" s="1"/>
        <tr r="AA1281" s="1"/>
      </tp>
      <tp t="s">
        <v>#N/A Requesting Data...4224554095</v>
        <stp/>
        <stp>BDP|13504105903277909396</stp>
        <tr r="AA1062" s="1"/>
        <tr r="AA1062" s="1"/>
      </tp>
      <tp t="s">
        <v>#N/A Requesting Data...3121030002</v>
        <stp/>
        <stp>BDP|13365587823107760596</stp>
        <tr r="Z1561" s="1"/>
        <tr r="Z1561" s="1"/>
      </tp>
      <tp t="s">
        <v>#N/A Requesting Data...4253739248</v>
        <stp/>
        <stp>BDP|13737570830077114472</stp>
        <tr r="Z502" s="1"/>
        <tr r="Z502" s="1"/>
      </tp>
      <tp t="s">
        <v>#N/A Requesting Data...3132883474</v>
        <stp/>
        <stp>BDP|10161714714743374312</stp>
        <tr r="Y213" s="1"/>
        <tr r="Y213" s="1"/>
      </tp>
      <tp t="s">
        <v>#N/A Requesting Data...3367529440</v>
        <stp/>
        <stp>BDP|11378013633981616518</stp>
        <tr r="Z414" s="1"/>
        <tr r="Z414" s="1"/>
      </tp>
      <tp>
        <v>0.255</v>
        <stp/>
        <stp>BDP|5246161994004923391|22</stp>
        <stp>KDA CN Equity</stp>
        <stp>LAST_PRICE</stp>
        <tr r="AD827" s="1"/>
        <tr r="AD827" s="1"/>
      </tp>
      <tp>
        <v>0.45</v>
        <stp/>
        <stp>BDP|3417122517076890908|22</stp>
        <stp>EBM CN Equity</stp>
        <stp>LAST_PRICE</stp>
        <tr r="AD527" s="1"/>
        <tr r="AD527" s="1"/>
      </tp>
      <tp>
        <v>5.0000000000000001E-3</v>
        <stp/>
        <stp>BDP|370572742582239286|22</stp>
        <stp>MYCO CN Equity</stp>
        <stp>LAST_PRICE</stp>
        <tr r="AD988" s="1"/>
        <tr r="AD988" s="1"/>
      </tp>
      <tp>
        <v>1.0900000000000001</v>
        <stp/>
        <stp>BDP|582653578681977194|22</stp>
        <stp>ALZN US Equity</stp>
        <stp>LAST_PRICE</stp>
        <tr r="AD104" s="1"/>
        <tr r="AD104" s="1"/>
      </tp>
      <tp>
        <v>2.11</v>
        <stp/>
        <stp>BDP|514561116439434017|22</stp>
        <stp>TCRX US Equity</stp>
        <stp>LAST_PRICE</stp>
        <tr r="AD1493" s="1"/>
        <tr r="AD1493" s="1"/>
      </tp>
      <tp t="s">
        <v>#N/A Requesting Data...3831517979</v>
        <stp/>
        <stp>BDP|17807185200589886810</stp>
        <tr r="AC348" s="1"/>
        <tr r="AC348" s="1"/>
      </tp>
      <tp t="s">
        <v>#N/A Requesting Data...3782689309</v>
        <stp/>
        <stp>BDP|15154007436826626780</stp>
        <tr r="Y597" s="1"/>
        <tr r="Y597" s="1"/>
      </tp>
      <tp t="s">
        <v>#N/A Requesting Data...4169420132</v>
        <stp/>
        <stp>BDP|15420073878905720055</stp>
        <tr r="Y1163" s="1"/>
        <tr r="Y1163" s="1"/>
      </tp>
      <tp t="s">
        <v>#N/A Requesting Data...3533021499</v>
        <stp/>
        <stp>BDP|11025386323925524270</stp>
        <tr r="AB1515" s="1"/>
        <tr r="AB1515" s="1"/>
      </tp>
      <tp t="s">
        <v>#N/A Requesting Data...4153364658</v>
        <stp/>
        <stp>BDP|11828148536491232510</stp>
        <tr r="Y17" s="1"/>
        <tr r="Y17" s="1"/>
      </tp>
      <tp t="s">
        <v>#N/A Requesting Data...4265213411</v>
        <stp/>
        <stp>BDP|13231375803737767085</stp>
        <tr r="Z1026" s="1"/>
        <tr r="Z1026" s="1"/>
      </tp>
      <tp t="s">
        <v>#N/A Requesting Data...3448845708</v>
        <stp/>
        <stp>BDP|12855489517971942170</stp>
        <tr r="Y1521" s="1"/>
        <tr r="Y1521" s="1"/>
      </tp>
      <tp t="s">
        <v>#N/A Requesting Data...4156501879</v>
        <stp/>
        <stp>BDP|15804030630501177033</stp>
        <tr r="AA1482" s="1"/>
        <tr r="AA1482" s="1"/>
      </tp>
      <tp t="s">
        <v>#N/A Requesting Data...3083233093</v>
        <stp/>
        <stp>BDP|10662289822510520708</stp>
        <tr r="AC946" s="1"/>
        <tr r="AC946" s="1"/>
      </tp>
      <tp t="s">
        <v>#N/A Requesting Data...3874225976</v>
        <stp/>
        <stp>BDP|17183949192064623484</stp>
        <tr r="AB245" s="1"/>
        <tr r="AB245" s="1"/>
      </tp>
      <tp t="s">
        <v>#N/A Requesting Data...3760716295</v>
        <stp/>
        <stp>BDP|13836452661421278774</stp>
        <tr r="Z1605" s="1"/>
        <tr r="Z1605" s="1"/>
      </tp>
      <tp t="s">
        <v>#N/A Requesting Data...3963976955</v>
        <stp/>
        <stp>BDP|15600586200401557621</stp>
        <tr r="AC1472" s="1"/>
        <tr r="AC1472" s="1"/>
      </tp>
      <tp t="s">
        <v>#N/A Requesting Data...3943059461</v>
        <stp/>
        <stp>BDP|17458882316568505167</stp>
        <tr r="AB490" s="1"/>
        <tr r="AB490" s="1"/>
      </tp>
      <tp t="s">
        <v>#N/A Requesting Data...4159539767</v>
        <stp/>
        <stp>BDP|10405761736301976241</stp>
        <tr r="Z625" s="1"/>
        <tr r="Z625" s="1"/>
      </tp>
      <tp t="s">
        <v>#N/A Requesting Data...3331756126</v>
        <stp/>
        <stp>BDP|17716681660941578125</stp>
        <tr r="AA1460" s="1"/>
        <tr r="AA1460" s="1"/>
      </tp>
      <tp t="s">
        <v>#N/A Requesting Data...3384463815</v>
        <stp/>
        <stp>BDP|11400369410940292480</stp>
        <tr r="AC1130" s="1"/>
        <tr r="AC1130" s="1"/>
      </tp>
      <tp t="s">
        <v>#N/A Requesting Data...3082851913</v>
        <stp/>
        <stp>BDP|14268905738059470069</stp>
        <tr r="AA285" s="1"/>
        <tr r="AA285" s="1"/>
      </tp>
      <tp t="s">
        <v>#N/A Requesting Data...3427814377</v>
        <stp/>
        <stp>BDP|15109355967360326789</stp>
        <tr r="Z1073" s="1"/>
        <tr r="Z1073" s="1"/>
      </tp>
      <tp t="s">
        <v>#N/A Requesting Data...4073264543</v>
        <stp/>
        <stp>BDP|17531349599862671865</stp>
        <tr r="Z1477" s="1"/>
        <tr r="Z1477" s="1"/>
      </tp>
      <tp t="s">
        <v>#N/A Requesting Data...3156064969</v>
        <stp/>
        <stp>BDP|10728211292464413881</stp>
        <tr r="Z1015" s="1"/>
        <tr r="Z1015" s="1"/>
      </tp>
      <tp t="s">
        <v>#N/A Requesting Data...3898950215</v>
        <stp/>
        <stp>BDP|12527866372689945301</stp>
        <tr r="Y1244" s="1"/>
        <tr r="Y1244" s="1"/>
      </tp>
      <tp t="s">
        <v>#N/A Requesting Data...4142531648</v>
        <stp/>
        <stp>BDP|17886868725019439374</stp>
        <tr r="AA697" s="1"/>
        <tr r="AA697" s="1"/>
      </tp>
      <tp t="s">
        <v>#N/A Requesting Data...3112575864</v>
        <stp/>
        <stp>BDP|11637187087589014616</stp>
        <tr r="AC468" s="1"/>
        <tr r="AC468" s="1"/>
      </tp>
      <tp t="s">
        <v>#N/A Requesting Data...4109131990</v>
        <stp/>
        <stp>BDP|11577782526614125727</stp>
        <tr r="AA520" s="1"/>
        <tr r="AA520" s="1"/>
      </tp>
      <tp t="s">
        <v>#N/A Requesting Data...4207271158</v>
        <stp/>
        <stp>BDP|17176552378406068443</stp>
        <tr r="AC1598" s="1"/>
        <tr r="AC1598" s="1"/>
      </tp>
      <tp t="s">
        <v>#N/A Requesting Data...3275552125</v>
        <stp/>
        <stp>BDP|12421225388568727714</stp>
        <tr r="AA1178" s="1"/>
        <tr r="AA1178" s="1"/>
      </tp>
      <tp t="s">
        <v>#N/A Requesting Data...3231198701</v>
        <stp/>
        <stp>BDP|14385902643078877609</stp>
        <tr r="Z1051" s="1"/>
        <tr r="Z1051" s="1"/>
      </tp>
      <tp t="s">
        <v>#N/A Requesting Data...3627873847</v>
        <stp/>
        <stp>BDP|10597754925576766495</stp>
        <tr r="Y557" s="1"/>
        <tr r="Y557" s="1"/>
      </tp>
      <tp t="s">
        <v>#N/A Requesting Data...4218936826</v>
        <stp/>
        <stp>BDP|17801664972949444832</stp>
        <tr r="Y782" s="1"/>
        <tr r="Y782" s="1"/>
      </tp>
      <tp t="s">
        <v>#N/A Requesting Data...3443658885</v>
        <stp/>
        <stp>BDP|10431289871753310156</stp>
        <tr r="AA1375" s="1"/>
        <tr r="AA1375" s="1"/>
      </tp>
      <tp t="s">
        <v>#N/A Requesting Data...3139061850</v>
        <stp/>
        <stp>BDP|13282034245676667695</stp>
        <tr r="AB96" s="1"/>
        <tr r="AB96" s="1"/>
      </tp>
      <tp t="s">
        <v>#N/A Requesting Data...3991283238</v>
        <stp/>
        <stp>BDP|11204681105250330078</stp>
        <tr r="Z1341" s="1"/>
        <tr r="Z1341" s="1"/>
      </tp>
      <tp t="s">
        <v>#N/A Requesting Data...4055091559</v>
        <stp/>
        <stp>BDP|15268122065412977778</stp>
        <tr r="AB67" s="1"/>
        <tr r="AB67" s="1"/>
      </tp>
      <tp t="s">
        <v>#N/A Requesting Data...3450610196</v>
        <stp/>
        <stp>BDP|16071052803313516288</stp>
        <tr r="Z199" s="1"/>
      </tp>
      <tp t="s">
        <v>#N/A Requesting Data...3579207349</v>
        <stp/>
        <stp>BDP|12708366294709762698</stp>
        <tr r="Z907" s="1"/>
        <tr r="Z907" s="1"/>
      </tp>
      <tp t="s">
        <v>#N/A Requesting Data...3567576596</v>
        <stp/>
        <stp>BDP|17511818927149068381</stp>
        <tr r="AC766" s="1"/>
        <tr r="AC766" s="1"/>
      </tp>
      <tp t="s">
        <v>#N/A Requesting Data...3176487235</v>
        <stp/>
        <stp>BDP|11488214218375767017</stp>
        <tr r="AA1051" s="1"/>
        <tr r="AA1051" s="1"/>
      </tp>
      <tp t="s">
        <v>#N/A Requesting Data...3754982295</v>
        <stp/>
        <stp>BDP|15338633958491086030</stp>
        <tr r="AA69" s="1"/>
        <tr r="AA69" s="1"/>
      </tp>
      <tp t="s">
        <v>#N/A Requesting Data...3739449391</v>
        <stp/>
        <stp>BDP|12253811259099173100</stp>
        <tr r="AB1463" s="1"/>
        <tr r="AB1463" s="1"/>
      </tp>
      <tp t="s">
        <v>#N/A Requesting Data...3864641164</v>
        <stp/>
        <stp>BDP|13688968645471601883</stp>
        <tr r="AA204" s="1"/>
        <tr r="AA204" s="1"/>
      </tp>
      <tp t="s">
        <v>#N/A Requesting Data...3842818251</v>
        <stp/>
        <stp>BDP|18171152997115037283</stp>
        <tr r="AB1544" s="1"/>
        <tr r="AB1544" s="1"/>
      </tp>
      <tp t="s">
        <v>#N/A Requesting Data...3929873927</v>
        <stp/>
        <stp>BDP|16230136323063846115</stp>
        <tr r="AA1344" s="1"/>
        <tr r="AA1344" s="1"/>
      </tp>
      <tp t="s">
        <v>#N/A Requesting Data...3498534380</v>
        <stp/>
        <stp>BDP|11362678350546826363</stp>
        <tr r="Y1508" s="1"/>
        <tr r="Y1508" s="1"/>
      </tp>
      <tp t="s">
        <v>#N/A Requesting Data...3158328452</v>
        <stp/>
        <stp>BDP|13399993259741834917</stp>
        <tr r="Y1399" s="1"/>
        <tr r="Y1399" s="1"/>
      </tp>
      <tp t="s">
        <v>#N/A Requesting Data...3204971693</v>
        <stp/>
        <stp>BDP|10189755012421834046</stp>
        <tr r="Y1324" s="1"/>
        <tr r="Y1324" s="1"/>
      </tp>
      <tp t="s">
        <v>#N/A Requesting Data...3519695887</v>
        <stp/>
        <stp>BDP|17455579369824395731</stp>
        <tr r="Z861" s="1"/>
        <tr r="Z861" s="1"/>
      </tp>
      <tp t="s">
        <v>#N/A Requesting Data...3120271705</v>
        <stp/>
        <stp>BDP|11488228943479933965</stp>
        <tr r="AC1166" s="1"/>
        <tr r="AC1166" s="1"/>
      </tp>
      <tp t="s">
        <v>#N/A Requesting Data...4129082689</v>
        <stp/>
        <stp>BDP|11607590310267216571</stp>
        <tr r="AB289" s="1"/>
        <tr r="AB289" s="1"/>
      </tp>
      <tp t="s">
        <v>#N/A Requesting Data...3878780183</v>
        <stp/>
        <stp>BDP|14186557174959309897</stp>
        <tr r="AA926" s="1"/>
        <tr r="AA926" s="1"/>
      </tp>
      <tp t="s">
        <v>#N/A Requesting Data...3288671209</v>
        <stp/>
        <stp>BDP|17936782020202962724</stp>
        <tr r="AC1269" s="1"/>
        <tr r="AC1269" s="1"/>
      </tp>
      <tp t="s">
        <v>#N/A Requesting Data...3468067563</v>
        <stp/>
        <stp>BDP|14979507554321126261</stp>
        <tr r="AC1048" s="1"/>
        <tr r="AC1048" s="1"/>
      </tp>
      <tp t="s">
        <v>#N/A Requesting Data...3127262044</v>
        <stp/>
        <stp>BDP|12764984380535212176</stp>
        <tr r="AC470" s="1"/>
        <tr r="AC470" s="1"/>
      </tp>
      <tp t="s">
        <v>#N/A Requesting Data...4252677562</v>
        <stp/>
        <stp>BDP|10346364077462801104</stp>
        <tr r="Y1344" s="1"/>
        <tr r="Y1344" s="1"/>
      </tp>
      <tp t="s">
        <v>#N/A Requesting Data...3847848539</v>
        <stp/>
        <stp>BDP|16980456652913772337</stp>
        <tr r="AB456" s="1"/>
        <tr r="AB456" s="1"/>
      </tp>
      <tp t="s">
        <v>#N/A Requesting Data...3766070375</v>
        <stp/>
        <stp>BDP|13166742924148912922</stp>
        <tr r="AC764" s="1"/>
        <tr r="AC764" s="1"/>
      </tp>
      <tp t="s">
        <v>#N/A Requesting Data...3889167122</v>
        <stp/>
        <stp>BDP|18145274091480558487</stp>
        <tr r="AC103" s="1"/>
        <tr r="AC103" s="1"/>
      </tp>
      <tp t="s">
        <v>#N/A Requesting Data...3661306048</v>
        <stp/>
        <stp>BDP|10772306651416853745</stp>
        <tr r="AC38" s="1"/>
        <tr r="AC38" s="1"/>
      </tp>
      <tp t="s">
        <v>#N/A Requesting Data...3235347845</v>
        <stp/>
        <stp>BDP|10070466013655991714</stp>
        <tr r="Z1330" s="1"/>
        <tr r="Z1330" s="1"/>
      </tp>
      <tp t="s">
        <v>#N/A Requesting Data...4176311993</v>
        <stp/>
        <stp>BDP|13980979097016700238</stp>
        <tr r="AA629" s="1"/>
        <tr r="AA629" s="1"/>
      </tp>
      <tp t="s">
        <v>#N/A Requesting Data...3429499750</v>
        <stp/>
        <stp>BDP|13277748737571503192</stp>
        <tr r="AC698" s="1"/>
        <tr r="AC698" s="1"/>
      </tp>
      <tp t="s">
        <v>#N/A Requesting Data...3975791531</v>
        <stp/>
        <stp>BDP|14746600879866720441</stp>
        <tr r="AB503" s="1"/>
        <tr r="AB503" s="1"/>
      </tp>
      <tp t="s">
        <v>#N/A Requesting Data...3397697308</v>
        <stp/>
        <stp>BDP|18402627592956034692</stp>
        <tr r="Y1215" s="1"/>
        <tr r="Y1215" s="1"/>
      </tp>
      <tp t="s">
        <v>#N/A Requesting Data...4281903846</v>
        <stp/>
        <stp>BDP|11616172751742441092</stp>
        <tr r="AC1617" s="1"/>
        <tr r="AC1617" s="1"/>
      </tp>
      <tp t="s">
        <v>#N/A Requesting Data...4037447528</v>
        <stp/>
        <stp>BDP|11070689752567190260</stp>
        <tr r="AA630" s="1"/>
        <tr r="AA630" s="1"/>
      </tp>
      <tp t="s">
        <v>#N/A Requesting Data...4040243652</v>
        <stp/>
        <stp>BDP|11073978818808176635</stp>
        <tr r="Y1200" s="1"/>
        <tr r="Y1200" s="1"/>
      </tp>
      <tp t="s">
        <v>#N/A Requesting Data...3712746411</v>
        <stp/>
        <stp>BDP|11477934994201663783</stp>
        <tr r="AC1236" s="1"/>
        <tr r="AC1236" s="1"/>
      </tp>
      <tp t="s">
        <v>#N/A Requesting Data...3715707142</v>
        <stp/>
        <stp>BDP|16196343748270181614</stp>
        <tr r="Z105" s="1"/>
        <tr r="Z105" s="1"/>
      </tp>
      <tp t="s">
        <v>#N/A Requesting Data...4014520021</v>
        <stp/>
        <stp>BDP|17622835394023595285</stp>
        <tr r="AC1201" s="1"/>
        <tr r="AC1201" s="1"/>
      </tp>
      <tp t="s">
        <v>#N/A Requesting Data...3655109223</v>
        <stp/>
        <stp>BDP|10388636403671629091</stp>
        <tr r="Z89" s="1"/>
        <tr r="Z89" s="1"/>
      </tp>
      <tp t="s">
        <v>#N/A Requesting Data...3179361253</v>
        <stp/>
        <stp>BDP|13210998295642477661</stp>
        <tr r="AA619" s="1"/>
        <tr r="AA619" s="1"/>
      </tp>
      <tp t="s">
        <v>#N/A Requesting Data...3569865015</v>
        <stp/>
        <stp>BDP|15356911988867718414</stp>
        <tr r="AC1511" s="1"/>
        <tr r="AC1511" s="1"/>
      </tp>
      <tp t="s">
        <v>#N/A Requesting Data...3305659893</v>
        <stp/>
        <stp>BDP|10478119759050615367</stp>
        <tr r="AB661" s="1"/>
        <tr r="AB661" s="1"/>
      </tp>
      <tp t="s">
        <v>#N/A Requesting Data...3747915289</v>
        <stp/>
        <stp>BDP|12931602116965493779</stp>
        <tr r="Y688" s="1"/>
        <tr r="Y688" s="1"/>
      </tp>
      <tp t="s">
        <v>#N/A Requesting Data...3209458037</v>
        <stp/>
        <stp>BDP|10009609305931064099</stp>
        <tr r="AB1530" s="1"/>
        <tr r="AB1530" s="1"/>
      </tp>
      <tp t="s">
        <v>#N/A Requesting Data...4120808115</v>
        <stp/>
        <stp>BDP|13088487975645575240</stp>
        <tr r="AC465" s="1"/>
        <tr r="AC465" s="1"/>
      </tp>
      <tp t="s">
        <v>#N/A Requesting Data...3896502703</v>
        <stp/>
        <stp>BDP|12265719410065740686</stp>
        <tr r="AC1220" s="1"/>
        <tr r="AC1220" s="1"/>
      </tp>
      <tp t="s">
        <v>#N/A Requesting Data...3434853124</v>
        <stp/>
        <stp>BDP|15775662784165068991</stp>
        <tr r="AA966" s="1"/>
        <tr r="AA966" s="1"/>
      </tp>
      <tp t="s">
        <v>#N/A Requesting Data...3500537065</v>
        <stp/>
        <stp>BDP|10598903618908426752</stp>
        <tr r="Y9" s="1"/>
        <tr r="Y9" s="1"/>
      </tp>
      <tp t="s">
        <v>#N/A Requesting Data...3757995779</v>
        <stp/>
        <stp>BDP|12308312639484201155</stp>
        <tr r="Z916" s="1"/>
        <tr r="Z916" s="1"/>
      </tp>
      <tp t="s">
        <v>#N/A Requesting Data...3370332613</v>
        <stp/>
        <stp>BDP|12695075252637685791</stp>
        <tr r="Y1535" s="1"/>
        <tr r="Y1535" s="1"/>
      </tp>
      <tp t="s">
        <v>#N/A Requesting Data...3671963871</v>
        <stp/>
        <stp>BDP|10967582138353774221</stp>
        <tr r="Z565" s="1"/>
        <tr r="Z565" s="1"/>
      </tp>
      <tp t="s">
        <v>#N/A Requesting Data...3568457767</v>
        <stp/>
        <stp>BDP|12077351708241248737</stp>
        <tr r="AB491" s="1"/>
        <tr r="AB491" s="1"/>
      </tp>
      <tp t="s">
        <v>#N/A Requesting Data...3462374843</v>
        <stp/>
        <stp>BDP|15197845724338804058</stp>
        <tr r="Z1041" s="1"/>
        <tr r="Z1041" s="1"/>
      </tp>
      <tp t="s">
        <v>#N/A Requesting Data...3502378124</v>
        <stp/>
        <stp>BDP|12508091250174518457</stp>
        <tr r="AA1011" s="1"/>
        <tr r="AA1011" s="1"/>
      </tp>
      <tp t="s">
        <v>#N/A Requesting Data...3892931539</v>
        <stp/>
        <stp>BDP|15620310070406361086</stp>
        <tr r="AC1405" s="1"/>
        <tr r="AC1405" s="1"/>
      </tp>
      <tp t="s">
        <v>#N/A Requesting Data...3285801831</v>
        <stp/>
        <stp>BDP|16167079487891573884</stp>
        <tr r="Z1537" s="1"/>
        <tr r="Z1537" s="1"/>
      </tp>
      <tp t="s">
        <v>#N/A Requesting Data...3613198844</v>
        <stp/>
        <stp>BDP|10726203507226814346</stp>
        <tr r="Z925" s="1"/>
        <tr r="Z925" s="1"/>
      </tp>
      <tp t="s">
        <v>#N/A Requesting Data...3899307984</v>
        <stp/>
        <stp>BDP|16609604678452131208</stp>
        <tr r="Z1294" s="1"/>
        <tr r="Z1294" s="1"/>
      </tp>
      <tp t="s">
        <v>#N/A Requesting Data...3186878001</v>
        <stp/>
        <stp>BDP|14940550232137065218</stp>
        <tr r="AA858" s="1"/>
        <tr r="AA858" s="1"/>
      </tp>
      <tp t="s">
        <v>#N/A Requesting Data...3447587364</v>
        <stp/>
        <stp>BDP|14292167729056332616</stp>
        <tr r="AA141" s="1"/>
        <tr r="AA141" s="1"/>
      </tp>
      <tp t="s">
        <v>#N/A Requesting Data...3447247492</v>
        <stp/>
        <stp>BDP|17505988160118338710</stp>
        <tr r="AC1424" s="1"/>
        <tr r="AC1424" s="1"/>
      </tp>
      <tp t="s">
        <v>#N/A Requesting Data...3224067114</v>
        <stp/>
        <stp>BDP|14562738564523467195</stp>
        <tr r="AB699" s="1"/>
        <tr r="AB699" s="1"/>
      </tp>
      <tp t="s">
        <v>#N/A Requesting Data...3907714888</v>
        <stp/>
        <stp>BDP|11231887842563587926</stp>
        <tr r="Y1444" s="1"/>
        <tr r="Y1444" s="1"/>
      </tp>
      <tp t="s">
        <v>#N/A Requesting Data...3146188682</v>
        <stp/>
        <stp>BDP|12185751433713839203</stp>
        <tr r="AA53" s="1"/>
        <tr r="AA53" s="1"/>
      </tp>
      <tp t="s">
        <v>#N/A Requesting Data...3125070089</v>
        <stp/>
        <stp>BDP|11901382288559703415</stp>
        <tr r="Z465" s="1"/>
        <tr r="Z465" s="1"/>
      </tp>
      <tp t="s">
        <v>#N/A Requesting Data...4233714559</v>
        <stp/>
        <stp>BDP|17347852650619830411</stp>
        <tr r="AB580" s="1"/>
        <tr r="AB580" s="1"/>
      </tp>
      <tp t="s">
        <v>#N/A Requesting Data...4109110373</v>
        <stp/>
        <stp>BDP|15043323817565379595</stp>
        <tr r="AB851" s="1"/>
        <tr r="AB851" s="1"/>
      </tp>
      <tp t="s">
        <v>#N/A Requesting Data...3191210027</v>
        <stp/>
        <stp>BDP|12580749546963080580</stp>
        <tr r="Z580" s="1"/>
        <tr r="Z580" s="1"/>
      </tp>
      <tp t="s">
        <v>#N/A Requesting Data...3181473629</v>
        <stp/>
        <stp>BDP|13775535864290710787</stp>
        <tr r="Z73" s="1"/>
        <tr r="Z73" s="1"/>
      </tp>
      <tp t="s">
        <v>#N/A Requesting Data...4262139174</v>
        <stp/>
        <stp>BDP|13431373929236169340</stp>
        <tr r="Z1569" s="1"/>
        <tr r="Z1569" s="1"/>
      </tp>
      <tp t="s">
        <v>#N/A Requesting Data...4230658922</v>
        <stp/>
        <stp>BDP|16321644257114794694</stp>
        <tr r="AC641" s="1"/>
        <tr r="AC641" s="1"/>
      </tp>
      <tp t="s">
        <v>#N/A Requesting Data...3221333181</v>
        <stp/>
        <stp>BDP|13915549862573956481</stp>
        <tr r="AA765" s="1"/>
        <tr r="AA765" s="1"/>
      </tp>
      <tp t="s">
        <v>#N/A Requesting Data...3347154011</v>
        <stp/>
        <stp>BDP|18345918377908383984</stp>
        <tr r="Y1497" s="1"/>
        <tr r="Y1497" s="1"/>
      </tp>
      <tp t="s">
        <v>#N/A Requesting Data...3698338563</v>
        <stp/>
        <stp>BDP|10325808906317329883</stp>
        <tr r="AB1389" s="1"/>
        <tr r="AB1389" s="1"/>
      </tp>
      <tp t="s">
        <v>#N/A Requesting Data...3583595165</v>
        <stp/>
        <stp>BDP|17494281112182066100</stp>
        <tr r="Z162" s="1"/>
        <tr r="Z162" s="1"/>
      </tp>
      <tp t="s">
        <v>#N/A Requesting Data...3390241586</v>
        <stp/>
        <stp>BDP|17265809367286803833</stp>
        <tr r="AB1160" s="1"/>
        <tr r="AB1160" s="1"/>
      </tp>
      <tp t="s">
        <v>#N/A Requesting Data...3233351407</v>
        <stp/>
        <stp>BDP|10183647537465554793</stp>
        <tr r="Z117" s="1"/>
        <tr r="Z117" s="1"/>
      </tp>
      <tp t="s">
        <v>#N/A Requesting Data...3242527106</v>
        <stp/>
        <stp>BDP|18024799340225323947</stp>
        <tr r="AC459" s="1"/>
        <tr r="AC459" s="1"/>
      </tp>
      <tp t="s">
        <v>#N/A Requesting Data...3285778753</v>
        <stp/>
        <stp>BDP|10753923628859740549</stp>
        <tr r="AB1072" s="1"/>
        <tr r="AB1072" s="1"/>
      </tp>
      <tp t="s">
        <v>#N/A Requesting Data...4058229789</v>
        <stp/>
        <stp>BDP|13219941189042333722</stp>
        <tr r="AA1210" s="1"/>
        <tr r="AA1210" s="1"/>
      </tp>
      <tp t="s">
        <v>#N/A Requesting Data...4066814450</v>
        <stp/>
        <stp>BDP|11131128809264413308</stp>
        <tr r="Z772" s="1"/>
        <tr r="Z772" s="1"/>
      </tp>
      <tp t="s">
        <v>#N/A Requesting Data...4030200893</v>
        <stp/>
        <stp>BDP|11568415656640835741</stp>
        <tr r="AA1287" s="1"/>
        <tr r="AA1287" s="1"/>
      </tp>
      <tp t="s">
        <v>#N/A Requesting Data...3167902074</v>
        <stp/>
        <stp>BDP|14976812369698765582</stp>
        <tr r="AB243" s="1"/>
        <tr r="AB243" s="1"/>
      </tp>
      <tp t="s">
        <v>#N/A Requesting Data...3224485089</v>
        <stp/>
        <stp>BDP|13062080687849291530</stp>
        <tr r="AB91" s="1"/>
        <tr r="AB91" s="1"/>
      </tp>
      <tp t="s">
        <v>#N/A Requesting Data...3959418277</v>
        <stp/>
        <stp>BDP|15942504376615201531</stp>
        <tr r="Z1177" s="1"/>
        <tr r="Z1177" s="1"/>
      </tp>
      <tp t="s">
        <v>#N/A Requesting Data...3302516859</v>
        <stp/>
        <stp>BDP|12827094518680315447</stp>
        <tr r="AB830" s="1"/>
        <tr r="AB830" s="1"/>
      </tp>
      <tp t="s">
        <v>#N/A Requesting Data...3540599458</v>
        <stp/>
        <stp>BDP|13409584710257643744</stp>
        <tr r="AB889" s="1"/>
        <tr r="AB889" s="1"/>
      </tp>
      <tp t="s">
        <v>#N/A Requesting Data...4217239817</v>
        <stp/>
        <stp>BDP|15839558422516281333</stp>
        <tr r="AA547" s="1"/>
        <tr r="AA547" s="1"/>
      </tp>
      <tp t="s">
        <v>#N/A Requesting Data...3361454062</v>
        <stp/>
        <stp>BDP|12413731070721828411</stp>
        <tr r="Y200" s="1"/>
        <tr r="Y200" s="1"/>
      </tp>
      <tp t="s">
        <v>#N/A Requesting Data...3941735628</v>
        <stp/>
        <stp>BDP|10517482227265242461</stp>
        <tr r="Z965" s="1"/>
        <tr r="Z965" s="1"/>
      </tp>
      <tp t="s">
        <v>#N/A Requesting Data...3441760201</v>
        <stp/>
        <stp>BDP|16850699672189435964</stp>
        <tr r="AC1404" s="1"/>
        <tr r="AC1404" s="1"/>
      </tp>
      <tp t="s">
        <v>#N/A Requesting Data...3324132902</v>
        <stp/>
        <stp>BDP|10191775542322042651</stp>
        <tr r="Z620" s="1"/>
        <tr r="Z620" s="1"/>
      </tp>
      <tp t="s">
        <v>#N/A Requesting Data...3559177570</v>
        <stp/>
        <stp>BDP|14542958211962272928</stp>
        <tr r="AB1591" s="1"/>
        <tr r="AB1591" s="1"/>
      </tp>
      <tp t="s">
        <v>#N/A Requesting Data...3801932057</v>
        <stp/>
        <stp>BDP|11592361301187529262</stp>
        <tr r="AA1107" s="1"/>
        <tr r="AA1107" s="1"/>
      </tp>
      <tp t="s">
        <v>#N/A Requesting Data...3385653794</v>
        <stp/>
        <stp>BDP|11527214341193379378</stp>
        <tr r="AC1363" s="1"/>
        <tr r="AC1363" s="1"/>
      </tp>
      <tp t="s">
        <v>#N/A Requesting Data...3285085830</v>
        <stp/>
        <stp>BDP|13131262471889419830</stp>
        <tr r="AB88" s="1"/>
        <tr r="AB88" s="1"/>
      </tp>
      <tp t="s">
        <v>#N/A Requesting Data...3986795430</v>
        <stp/>
        <stp>BDP|16215149934080561361</stp>
        <tr r="Y769" s="1"/>
        <tr r="Y769" s="1"/>
      </tp>
      <tp t="s">
        <v>#N/A Requesting Data...3220609594</v>
        <stp/>
        <stp>BDP|12589126871872519129</stp>
        <tr r="AC1498" s="1"/>
        <tr r="AC1498" s="1"/>
      </tp>
      <tp t="s">
        <v>#N/A Requesting Data...4039819936</v>
        <stp/>
        <stp>BDP|12686383823660429481</stp>
        <tr r="Z88" s="1"/>
        <tr r="Z88" s="1"/>
      </tp>
      <tp t="s">
        <v>#N/A Requesting Data...3862636545</v>
        <stp/>
        <stp>BDP|14787676659278968819</stp>
        <tr r="Z912" s="1"/>
        <tr r="Z912" s="1"/>
      </tp>
      <tp t="s">
        <v>#N/A Requesting Data...3695510756</v>
        <stp/>
        <stp>BDP|15091164252593593507</stp>
        <tr r="AC1063" s="1"/>
        <tr r="AC1063" s="1"/>
      </tp>
      <tp t="s">
        <v>#N/A Requesting Data...3402522934</v>
        <stp/>
        <stp>BDP|18236223774658672237</stp>
        <tr r="Y1082" s="1"/>
      </tp>
      <tp t="s">
        <v>#N/A Requesting Data...3589061983</v>
        <stp/>
        <stp>BDP|14379297021270266381</stp>
        <tr r="AA257" s="1"/>
        <tr r="AA257" s="1"/>
      </tp>
      <tp t="s">
        <v>#N/A Requesting Data...4079144261</v>
        <stp/>
        <stp>BDP|14395319257844595114</stp>
        <tr r="Z1246" s="1"/>
        <tr r="Z1246" s="1"/>
      </tp>
      <tp t="s">
        <v>#N/A Requesting Data...4020654788</v>
        <stp/>
        <stp>BDP|14356452980569170661</stp>
        <tr r="Y764" s="1"/>
        <tr r="Y764" s="1"/>
      </tp>
      <tp t="s">
        <v>#N/A Requesting Data...4047991556</v>
        <stp/>
        <stp>BDP|17535135941806484322</stp>
        <tr r="AB1000" s="1"/>
        <tr r="AB1000" s="1"/>
      </tp>
      <tp t="s">
        <v>#N/A Requesting Data...3533994798</v>
        <stp/>
        <stp>BDP|11434648060255600363</stp>
        <tr r="AC1567" s="1"/>
        <tr r="AC1567" s="1"/>
      </tp>
      <tp t="s">
        <v>#N/A Requesting Data...3375167090</v>
        <stp/>
        <stp>BDP|18386182191312348594</stp>
        <tr r="AC709" s="1"/>
        <tr r="AC709" s="1"/>
      </tp>
      <tp t="s">
        <v>#N/A Requesting Data...3843476698</v>
        <stp/>
        <stp>BDP|12995663647081978614</stp>
        <tr r="Z890" s="1"/>
        <tr r="Z890" s="1"/>
      </tp>
      <tp t="s">
        <v>#N/A Requesting Data...3254444622</v>
        <stp/>
        <stp>BDP|11771109844885574669</stp>
        <tr r="AA482" s="1"/>
        <tr r="AA482" s="1"/>
      </tp>
      <tp t="s">
        <v>#N/A Requesting Data...3803649135</v>
        <stp/>
        <stp>BDP|15283048086819234323</stp>
        <tr r="AB1208" s="1"/>
        <tr r="AB1208" s="1"/>
      </tp>
      <tp t="s">
        <v>#N/A Requesting Data...4137906836</v>
        <stp/>
        <stp>BDP|15308245670350389746</stp>
        <tr r="AB94" s="1"/>
        <tr r="AB94" s="1"/>
      </tp>
      <tp t="s">
        <v>#N/A Requesting Data...3933248069</v>
        <stp/>
        <stp>BDP|16396259113193270178</stp>
        <tr r="AC112" s="1"/>
        <tr r="AC112" s="1"/>
      </tp>
      <tp t="s">
        <v>#N/A Requesting Data...4175244720</v>
        <stp/>
        <stp>BDP|14000354634480096317</stp>
        <tr r="AC872" s="1"/>
        <tr r="AC872" s="1"/>
      </tp>
      <tp t="s">
        <v>#N/A Requesting Data...3305828949</v>
        <stp/>
        <stp>BDP|15437769243938795967</stp>
        <tr r="AC305" s="1"/>
        <tr r="AC305" s="1"/>
      </tp>
      <tp t="s">
        <v>#N/A Requesting Data...3885663618</v>
        <stp/>
        <stp>BDP|12674641560701446469</stp>
        <tr r="AB733" s="1"/>
        <tr r="AB733" s="1"/>
      </tp>
      <tp t="s">
        <v>#N/A Requesting Data...3240519321</v>
        <stp/>
        <stp>BDP|14178016107221535223</stp>
        <tr r="Y1545" s="1"/>
        <tr r="Y1545" s="1"/>
      </tp>
      <tp t="s">
        <v>#N/A Requesting Data...3725503102</v>
        <stp/>
        <stp>BDP|16232780015312643597</stp>
        <tr r="Y733" s="1"/>
        <tr r="Y733" s="1"/>
      </tp>
      <tp t="s">
        <v>#N/A Requesting Data...3512410047</v>
        <stp/>
        <stp>BDP|11130153706263742454</stp>
        <tr r="Y883" s="1"/>
        <tr r="Y883" s="1"/>
      </tp>
      <tp t="s">
        <v>#N/A Requesting Data...3873515414</v>
        <stp/>
        <stp>BDP|15813540029416066353</stp>
        <tr r="AC791" s="1"/>
        <tr r="AC791" s="1"/>
      </tp>
      <tp t="s">
        <v>#N/A Requesting Data...3731971287</v>
        <stp/>
        <stp>BDP|12797215817845130300</stp>
        <tr r="AA23" s="1"/>
        <tr r="AA23" s="1"/>
      </tp>
      <tp t="s">
        <v>#N/A Requesting Data...3899831945</v>
        <stp/>
        <stp>BDP|11827567021715712484</stp>
        <tr r="AA76" s="1"/>
        <tr r="AA76" s="1"/>
      </tp>
      <tp t="s">
        <v>#N/A Requesting Data...3725661419</v>
        <stp/>
        <stp>BDP|13253773072946291251</stp>
        <tr r="AC1183" s="1"/>
        <tr r="AC1183" s="1"/>
      </tp>
      <tp t="s">
        <v>#N/A Requesting Data...3717425742</v>
        <stp/>
        <stp>BDP|14478654373287615547</stp>
        <tr r="AA964" s="1"/>
        <tr r="AA964" s="1"/>
      </tp>
      <tp t="s">
        <v>#N/A Requesting Data...4290742767</v>
        <stp/>
        <stp>BDP|10155753429277459597</stp>
        <tr r="Y1622" s="1"/>
        <tr r="Y1622" s="1"/>
      </tp>
      <tp t="s">
        <v>#N/A Requesting Data...4160693957</v>
        <stp/>
        <stp>BDP|13787179233610066637</stp>
        <tr r="AA866" s="1"/>
        <tr r="AA866" s="1"/>
      </tp>
      <tp t="s">
        <v>#N/A Requesting Data...3467646052</v>
        <stp/>
        <stp>BDP|11669141214541731714</stp>
        <tr r="AB1003" s="1"/>
        <tr r="AB1003" s="1"/>
      </tp>
      <tp t="s">
        <v>#N/A Requesting Data...3643752338</v>
        <stp/>
        <stp>BDP|11771614062072023444</stp>
        <tr r="Z56" s="1"/>
      </tp>
      <tp t="s">
        <v>#N/A Requesting Data...3713813589</v>
        <stp/>
        <stp>BDP|13170552828671920255</stp>
        <tr r="AC339" s="1"/>
        <tr r="AC339" s="1"/>
      </tp>
      <tp t="s">
        <v>#N/A Requesting Data...3770795474</v>
        <stp/>
        <stp>BDP|12804417421780108394</stp>
        <tr r="Y108" s="1"/>
        <tr r="Y108" s="1"/>
      </tp>
      <tp t="s">
        <v>#N/A Requesting Data...3189836191</v>
        <stp/>
        <stp>BDP|15627229348230818471</stp>
        <tr r="AA269" s="1"/>
      </tp>
      <tp t="s">
        <v>#N/A Requesting Data...3600468731</v>
        <stp/>
        <stp>BDP|10142258162455183649</stp>
        <tr r="AA306" s="1"/>
        <tr r="AA306" s="1"/>
      </tp>
      <tp t="s">
        <v>#N/A Requesting Data...4084909159</v>
        <stp/>
        <stp>BDP|11704317120852562501</stp>
        <tr r="Y61" s="1"/>
        <tr r="Y61" s="1"/>
      </tp>
      <tp t="s">
        <v>#N/A Requesting Data...3941377052</v>
        <stp/>
        <stp>BDP|16140903593796662779</stp>
        <tr r="AB124" s="1"/>
        <tr r="AB124" s="1"/>
      </tp>
      <tp t="s">
        <v>#N/A Requesting Data...4038721131</v>
        <stp/>
        <stp>BDP|18400558802509869384</stp>
        <tr r="Y794" s="1"/>
        <tr r="Y794" s="1"/>
      </tp>
      <tp t="s">
        <v>#N/A Requesting Data...3409028958</v>
        <stp/>
        <stp>BDP|12655143156618761908</stp>
        <tr r="Y598" s="1"/>
        <tr r="Y598" s="1"/>
      </tp>
      <tp t="s">
        <v>#N/A Requesting Data...3618892976</v>
        <stp/>
        <stp>BDP|15232307193270428869</stp>
        <tr r="Y29" s="1"/>
        <tr r="Y29" s="1"/>
      </tp>
      <tp t="s">
        <v>#N/A Requesting Data...3503106910</v>
        <stp/>
        <stp>BDP|17554040312453731271</stp>
        <tr r="AC1426" s="1"/>
        <tr r="AC1426" s="1"/>
      </tp>
      <tp t="s">
        <v>#N/A Requesting Data...3767667878</v>
        <stp/>
        <stp>BDP|10623035520780523530</stp>
        <tr r="AB927" s="1"/>
        <tr r="AB927" s="1"/>
      </tp>
      <tp t="s">
        <v>#N/A Requesting Data...3745656197</v>
        <stp/>
        <stp>BDP|11081561348405959249</stp>
        <tr r="AA1247" s="1"/>
        <tr r="AA1247" s="1"/>
      </tp>
      <tp t="s">
        <v>#N/A Requesting Data...3935955626</v>
        <stp/>
        <stp>BDP|11745463271766128322</stp>
        <tr r="Z440" s="1"/>
        <tr r="Z440" s="1"/>
      </tp>
      <tp t="s">
        <v>#N/A Requesting Data...3883901935</v>
        <stp/>
        <stp>BDP|16066699944800847363</stp>
        <tr r="AB776" s="1"/>
        <tr r="AB776" s="1"/>
      </tp>
      <tp t="s">
        <v>#N/A Requesting Data...3750092048</v>
        <stp/>
        <stp>BDP|13291631444970045665</stp>
        <tr r="AC162" s="1"/>
        <tr r="AC162" s="1"/>
      </tp>
      <tp t="s">
        <v>#N/A Requesting Data...3612064194</v>
        <stp/>
        <stp>BDP|13747086390535409880</stp>
        <tr r="AB653" s="1"/>
        <tr r="AB653" s="1"/>
      </tp>
      <tp t="s">
        <v>#N/A Requesting Data...3894940116</v>
        <stp/>
        <stp>BDP|11643101270725155541</stp>
        <tr r="Z727" s="1"/>
      </tp>
      <tp t="s">
        <v>#N/A Requesting Data...3638251537</v>
        <stp/>
        <stp>BDP|10887540519913575032</stp>
        <tr r="AB628" s="1"/>
        <tr r="AB628" s="1"/>
      </tp>
      <tp t="s">
        <v>#N/A Requesting Data...3590528607</v>
        <stp/>
        <stp>BDP|13647554800267699670</stp>
        <tr r="AB652" s="1"/>
        <tr r="AB652" s="1"/>
      </tp>
      <tp t="s">
        <v>#N/A Requesting Data...3935319101</v>
        <stp/>
        <stp>BDP|18101994886168583697</stp>
        <tr r="Y1273" s="1"/>
        <tr r="Y1273" s="1"/>
      </tp>
      <tp t="s">
        <v>#N/A Requesting Data...3531533365</v>
        <stp/>
        <stp>BDP|14393582068519150901</stp>
        <tr r="Y38" s="1"/>
        <tr r="Y38" s="1"/>
      </tp>
      <tp t="s">
        <v>#N/A Requesting Data...4148598359</v>
        <stp/>
        <stp>BDP|12846579836307977420</stp>
        <tr r="AA535" s="1"/>
        <tr r="AA535" s="1"/>
      </tp>
      <tp t="s">
        <v>#N/A Requesting Data...4072621576</v>
        <stp/>
        <stp>BDP|18198023614749532707</stp>
        <tr r="AB1518" s="1"/>
        <tr r="AB1518" s="1"/>
      </tp>
      <tp t="s">
        <v>#N/A Requesting Data...4162326560</v>
        <stp/>
        <stp>BDP|12394082127171740697</stp>
        <tr r="AA521" s="1"/>
        <tr r="AA521" s="1"/>
      </tp>
      <tp t="s">
        <v>#N/A Requesting Data...3858188687</v>
        <stp/>
        <stp>BDP|12247958423129509735</stp>
        <tr r="Z813" s="1"/>
        <tr r="Z813" s="1"/>
      </tp>
      <tp t="s">
        <v>#N/A Requesting Data...4107317011</v>
        <stp/>
        <stp>BDP|16761067600146299711</stp>
        <tr r="AA1146" s="1"/>
        <tr r="AA1146" s="1"/>
      </tp>
      <tp t="s">
        <v>#N/A Requesting Data...3737524022</v>
        <stp/>
        <stp>BDP|16033319601325744753</stp>
        <tr r="Z290" s="1"/>
        <tr r="Z290" s="1"/>
      </tp>
      <tp t="s">
        <v>#N/A Requesting Data...3812441098</v>
        <stp/>
        <stp>BDP|13471597918046754609</stp>
        <tr r="Z176" s="1"/>
        <tr r="Z176" s="1"/>
      </tp>
      <tp t="s">
        <v>#N/A Requesting Data...3299316005</v>
        <stp/>
        <stp>BDP|15328598715602509480</stp>
        <tr r="Y86" s="1"/>
        <tr r="Y86" s="1"/>
      </tp>
      <tp t="s">
        <v>#N/A Requesting Data...3800971056</v>
        <stp/>
        <stp>BDP|11774301218610951446</stp>
        <tr r="AC115" s="1"/>
        <tr r="AC115" s="1"/>
      </tp>
      <tp t="s">
        <v>#N/A Requesting Data...3220968571</v>
        <stp/>
        <stp>BDP|12427952747411260961</stp>
        <tr r="Y588" s="1"/>
        <tr r="Y588" s="1"/>
      </tp>
      <tp t="s">
        <v>#N/A Requesting Data...3893938947</v>
        <stp/>
        <stp>BDP|10447342801603040735</stp>
        <tr r="AB1406" s="1"/>
        <tr r="AB1406" s="1"/>
      </tp>
      <tp t="s">
        <v>#N/A Requesting Data...4210600076</v>
        <stp/>
        <stp>BDP|15506591757444077693</stp>
        <tr r="AB1354" s="1"/>
        <tr r="AB1354" s="1"/>
      </tp>
      <tp t="s">
        <v>#N/A Requesting Data...3223318867</v>
        <stp/>
        <stp>BDP|12422156870504790748</stp>
        <tr r="AB535" s="1"/>
        <tr r="AB535" s="1"/>
      </tp>
      <tp t="s">
        <v>#N/A Requesting Data...3327206698</v>
        <stp/>
        <stp>BDP|13285667116651202229</stp>
        <tr r="AA1485" s="1"/>
        <tr r="AA1485" s="1"/>
      </tp>
      <tp t="s">
        <v>#N/A Requesting Data...3281476066</v>
        <stp/>
        <stp>BDP|15318116521070138103</stp>
        <tr r="AA991" s="1"/>
        <tr r="AA991" s="1"/>
      </tp>
      <tp t="s">
        <v>#N/A Requesting Data...3700794463</v>
        <stp/>
        <stp>BDP|12634249821473310629</stp>
        <tr r="AB882" s="1"/>
        <tr r="AB882" s="1"/>
      </tp>
      <tp t="s">
        <v>#N/A Requesting Data...3489793856</v>
        <stp/>
        <stp>BDP|17931736776372643284</stp>
        <tr r="Z1254" s="1"/>
      </tp>
      <tp t="s">
        <v>#N/A Requesting Data...3563480342</v>
        <stp/>
        <stp>BDP|17778496340234453483</stp>
        <tr r="Y945" s="1"/>
        <tr r="Y945" s="1"/>
      </tp>
      <tp t="s">
        <v>#N/A Requesting Data...3801895080</v>
        <stp/>
        <stp>BDP|17603473052264722519</stp>
        <tr r="Z1264" s="1"/>
        <tr r="Z1264" s="1"/>
      </tp>
      <tp t="s">
        <v>#N/A Requesting Data...3381014574</v>
        <stp/>
        <stp>BDP|10728455711857306557</stp>
        <tr r="Z853" s="1"/>
        <tr r="Z853" s="1"/>
      </tp>
      <tp t="s">
        <v>#N/A Requesting Data...3979102493</v>
        <stp/>
        <stp>BDP|16486021207541163057</stp>
        <tr r="Z51" s="1"/>
        <tr r="Z51" s="1"/>
      </tp>
      <tp t="s">
        <v>#N/A Requesting Data...3757983062</v>
        <stp/>
        <stp>BDP|12676100951027693642</stp>
        <tr r="AA738" s="1"/>
        <tr r="AA738" s="1"/>
      </tp>
      <tp t="s">
        <v>#N/A Requesting Data...3582433917</v>
        <stp/>
        <stp>BDP|10912486983498497336</stp>
        <tr r="AC1399" s="1"/>
        <tr r="AC1399" s="1"/>
      </tp>
      <tp t="s">
        <v>#N/A Requesting Data...3365816722</v>
        <stp/>
        <stp>BDP|12622976880794140054</stp>
        <tr r="AC107" s="1"/>
        <tr r="AC107" s="1"/>
      </tp>
      <tp t="s">
        <v>#N/A Requesting Data...3258115160</v>
        <stp/>
        <stp>BDP|14362231291729106152</stp>
        <tr r="AC308" s="1"/>
        <tr r="AC308" s="1"/>
      </tp>
      <tp t="s">
        <v>#N/A Requesting Data...4156758681</v>
        <stp/>
        <stp>BDP|10466212518304920017</stp>
        <tr r="AA1498" s="1"/>
        <tr r="AA1498" s="1"/>
      </tp>
      <tp t="s">
        <v>#N/A Requesting Data...4156882826</v>
        <stp/>
        <stp>BDP|14140346122005362715</stp>
        <tr r="AC773" s="1"/>
        <tr r="AC773" s="1"/>
      </tp>
      <tp t="s">
        <v>#N/A Requesting Data...4207241037</v>
        <stp/>
        <stp>BDP|12283796579805742002</stp>
        <tr r="Y208" s="1"/>
        <tr r="Y208" s="1"/>
      </tp>
      <tp t="s">
        <v>#N/A Requesting Data...3858228169</v>
        <stp/>
        <stp>BDP|13811120207885881006</stp>
        <tr r="AC1327" s="1"/>
        <tr r="AC1327" s="1"/>
      </tp>
      <tp t="s">
        <v>#N/A Requesting Data...4016826012</v>
        <stp/>
        <stp>BDP|14920643338585260324</stp>
        <tr r="Y187" s="1"/>
        <tr r="Y187" s="1"/>
      </tp>
      <tp t="s">
        <v>#N/A Requesting Data...3658677445</v>
        <stp/>
        <stp>BDP|14334829387490287313</stp>
        <tr r="AC1588" s="1"/>
        <tr r="AC1588" s="1"/>
      </tp>
      <tp t="s">
        <v>#N/A Requesting Data...3893041893</v>
        <stp/>
        <stp>BDP|13266155034090376650</stp>
        <tr r="AB1533" s="1"/>
        <tr r="AB1533" s="1"/>
      </tp>
      <tp t="s">
        <v>#N/A Requesting Data...3308151269</v>
        <stp/>
        <stp>BDP|18060247495392594600</stp>
        <tr r="AA176" s="1"/>
        <tr r="AA176" s="1"/>
      </tp>
      <tp t="s">
        <v>#N/A Requesting Data...4209488847</v>
        <stp/>
        <stp>BDP|12977968428697431971</stp>
        <tr r="Y996" s="1"/>
        <tr r="Y996" s="1"/>
      </tp>
      <tp t="s">
        <v>#N/A Requesting Data...4116940770</v>
        <stp/>
        <stp>BDP|17988283221999199950</stp>
        <tr r="AB804" s="1"/>
        <tr r="AB804" s="1"/>
      </tp>
      <tp t="s">
        <v>#N/A Requesting Data...4154620420</v>
        <stp/>
        <stp>BDP|16736529636514014375</stp>
        <tr r="AA1558" s="1"/>
        <tr r="AA1558" s="1"/>
      </tp>
      <tp t="s">
        <v>#N/A Requesting Data...3585140753</v>
        <stp/>
        <stp>BDP|11285009603322407419</stp>
        <tr r="AB641" s="1"/>
        <tr r="AB641" s="1"/>
      </tp>
      <tp t="s">
        <v>#N/A Requesting Data...3335085005</v>
        <stp/>
        <stp>BDP|15989962359016224800</stp>
        <tr r="AB898" s="1"/>
        <tr r="AB898" s="1"/>
      </tp>
      <tp t="s">
        <v>#N/A Requesting Data...3813677509</v>
        <stp/>
        <stp>BDP|18068419596106256413</stp>
        <tr r="Y1107" s="1"/>
        <tr r="Y1107" s="1"/>
      </tp>
      <tp t="s">
        <v>#N/A Requesting Data...3680711975</v>
        <stp/>
        <stp>BDP|18438962553934064756</stp>
        <tr r="AC416" s="1"/>
        <tr r="AC416" s="1"/>
      </tp>
      <tp t="s">
        <v>#N/A Requesting Data...3998196169</v>
        <stp/>
        <stp>BDP|11556416138144836509</stp>
        <tr r="Z1439" s="1"/>
        <tr r="Z1439" s="1"/>
      </tp>
      <tp t="s">
        <v>#N/A Requesting Data...4186461218</v>
        <stp/>
        <stp>BDP|10700105453901522256</stp>
        <tr r="AA1008" s="1"/>
        <tr r="AA1008" s="1"/>
      </tp>
      <tp t="s">
        <v>#N/A Requesting Data...3465206323</v>
        <stp/>
        <stp>BDP|17234337624850451151</stp>
        <tr r="Z1533" s="1"/>
        <tr r="Z1533" s="1"/>
      </tp>
      <tp t="s">
        <v>#N/A Requesting Data...3930874771</v>
        <stp/>
        <stp>BDP|13188335510363607501</stp>
        <tr r="AB191" s="1"/>
        <tr r="AB191" s="1"/>
      </tp>
      <tp t="s">
        <v>#N/A Requesting Data...3296020917</v>
        <stp/>
        <stp>BDP|16767770575468850999</stp>
        <tr r="Y884" s="1"/>
        <tr r="Y884" s="1"/>
      </tp>
      <tp t="s">
        <v>#N/A Requesting Data...3680687370</v>
        <stp/>
        <stp>BDP|14875234674973252591</stp>
        <tr r="AA634" s="1"/>
        <tr r="AA634" s="1"/>
      </tp>
      <tp t="s">
        <v>#N/A Requesting Data...4085164920</v>
        <stp/>
        <stp>BDP|11637071239801937457</stp>
        <tr r="AA1103" s="1"/>
        <tr r="AA1103" s="1"/>
      </tp>
      <tp t="s">
        <v>#N/A Requesting Data...4204773912</v>
        <stp/>
        <stp>BDP|10102276974154732618</stp>
        <tr r="Y707" s="1"/>
        <tr r="Y707" s="1"/>
      </tp>
      <tp t="s">
        <v>#N/A Requesting Data...4104164265</v>
        <stp/>
        <stp>BDP|10201012836640681470</stp>
        <tr r="AC868" s="1"/>
        <tr r="AC868" s="1"/>
      </tp>
      <tp t="s">
        <v>#N/A Requesting Data...3967787330</v>
        <stp/>
        <stp>BDP|11854124473283474398</stp>
        <tr r="AA1220" s="1"/>
        <tr r="AA1220" s="1"/>
      </tp>
      <tp t="s">
        <v>#N/A Requesting Data...4210531230</v>
        <stp/>
        <stp>BDP|16626243309497784481</stp>
        <tr r="AB55" s="1"/>
        <tr r="AB55" s="1"/>
      </tp>
      <tp t="s">
        <v>#N/A Requesting Data...3983903569</v>
        <stp/>
        <stp>BDP|11384230325915756367</stp>
        <tr r="AA239" s="1"/>
        <tr r="AA239" s="1"/>
      </tp>
      <tp t="s">
        <v>#N/A Requesting Data...4021409359</v>
        <stp/>
        <stp>BDP|10318093122086813340</stp>
        <tr r="AC588" s="1"/>
        <tr r="AC588" s="1"/>
      </tp>
      <tp t="s">
        <v>#N/A Requesting Data...4124317308</v>
        <stp/>
        <stp>BDP|16254005623446614537</stp>
        <tr r="AB1487" s="1"/>
        <tr r="AB1487" s="1"/>
      </tp>
      <tp t="s">
        <v>#N/A Requesting Data...4269850356</v>
        <stp/>
        <stp>BDP|13091639559963618489</stp>
        <tr r="Z1394" s="1"/>
        <tr r="Z1394" s="1"/>
      </tp>
      <tp t="s">
        <v>#N/A Requesting Data...3347606789</v>
        <stp/>
        <stp>BDP|13120585576030312686</stp>
        <tr r="AA1031" s="1"/>
        <tr r="AA1031" s="1"/>
      </tp>
      <tp t="s">
        <v>#N/A Requesting Data...3872258188</v>
        <stp/>
        <stp>BDP|16979784009525408386</stp>
        <tr r="AB173" s="1"/>
        <tr r="AB173" s="1"/>
      </tp>
      <tp t="s">
        <v>#N/A Requesting Data...3572735268</v>
        <stp/>
        <stp>BDP|16542058877747774149</stp>
        <tr r="AB1375" s="1"/>
        <tr r="AB1375" s="1"/>
      </tp>
      <tp t="s">
        <v>#N/A Requesting Data...3717446087</v>
        <stp/>
        <stp>BDP|11638531175940576418</stp>
        <tr r="AA808" s="1"/>
        <tr r="AA808" s="1"/>
      </tp>
      <tp t="s">
        <v>#N/A Requesting Data...3442626391</v>
        <stp/>
        <stp>BDP|12700675288419800245</stp>
        <tr r="AB495" s="1"/>
        <tr r="AB495" s="1"/>
      </tp>
      <tp t="s">
        <v>#N/A Requesting Data...4210260271</v>
        <stp/>
        <stp>BDP|14716886279569409559</stp>
        <tr r="Z1367" s="1"/>
        <tr r="Z1367" s="1"/>
      </tp>
      <tp t="s">
        <v>#N/A Requesting Data...3938493337</v>
        <stp/>
        <stp>BDP|13968517728827641414</stp>
        <tr r="AC580" s="1"/>
        <tr r="AC580" s="1"/>
      </tp>
      <tp t="s">
        <v>#N/A Requesting Data...4265554312</v>
        <stp/>
        <stp>BDP|14637229376932727428</stp>
        <tr r="AB1447" s="1"/>
        <tr r="AB1447" s="1"/>
      </tp>
      <tp t="s">
        <v>#N/A Requesting Data...3977050529</v>
        <stp/>
        <stp>BDP|14614323257030629528</stp>
        <tr r="AB1032" s="1"/>
        <tr r="AB1032" s="1"/>
      </tp>
      <tp t="s">
        <v>#N/A Requesting Data...3471871685</v>
        <stp/>
        <stp>BDP|11556482618411680243</stp>
        <tr r="Z917" s="1"/>
        <tr r="Z917" s="1"/>
      </tp>
      <tp t="s">
        <v>#N/A Requesting Data...3765987906</v>
        <stp/>
        <stp>BDP|11017038805391166701</stp>
        <tr r="AC567" s="1"/>
        <tr r="AC567" s="1"/>
      </tp>
      <tp t="s">
        <v>#N/A Requesting Data...3652354054</v>
        <stp/>
        <stp>BDP|15209437717197797062</stp>
        <tr r="AB788" s="1"/>
        <tr r="AB788" s="1"/>
      </tp>
      <tp t="s">
        <v>#N/A Requesting Data...3694601975</v>
        <stp/>
        <stp>BDP|14190510268942903263</stp>
        <tr r="AA1014" s="1"/>
        <tr r="AA1014" s="1"/>
      </tp>
      <tp t="s">
        <v>#N/A Requesting Data...3480045776</v>
        <stp/>
        <stp>BDP|16168165941833287730</stp>
        <tr r="Y173" s="1"/>
        <tr r="Y173" s="1"/>
      </tp>
      <tp t="s">
        <v>#N/A Requesting Data...3223576278</v>
        <stp/>
        <stp>BDP|13570614433329088809</stp>
        <tr r="Z1266" s="1"/>
        <tr r="Z1266" s="1"/>
      </tp>
      <tp t="s">
        <v>#N/A Requesting Data...3378441109</v>
        <stp/>
        <stp>BDP|11872502379217662301</stp>
        <tr r="AB1511" s="1"/>
        <tr r="AB1511" s="1"/>
      </tp>
      <tp t="s">
        <v>#N/A Requesting Data...3626936734</v>
        <stp/>
        <stp>BDP|18276925634292710746</stp>
        <tr r="AB1498" s="1"/>
        <tr r="AB1498" s="1"/>
      </tp>
      <tp t="s">
        <v>#N/A Requesting Data...3883023231</v>
        <stp/>
        <stp>BDP|14675587185769476785</stp>
        <tr r="Z610" s="1"/>
        <tr r="Z610" s="1"/>
      </tp>
      <tp t="s">
        <v>#N/A Requesting Data...3965826073</v>
        <stp/>
        <stp>BDP|11976382501472060768</stp>
        <tr r="AC926" s="1"/>
        <tr r="AC926" s="1"/>
      </tp>
      <tp t="s">
        <v>#N/A Requesting Data...4278363304</v>
        <stp/>
        <stp>BDP|18373619588805523499</stp>
        <tr r="Y795" s="1"/>
      </tp>
      <tp t="s">
        <v>#N/A Requesting Data...4169163975</v>
        <stp/>
        <stp>BDP|17654208151011343624</stp>
        <tr r="Z1507" s="1"/>
        <tr r="Z1507" s="1"/>
      </tp>
      <tp t="s">
        <v>#N/A Requesting Data...3972336763</v>
        <stp/>
        <stp>BDP|18265991419594178358</stp>
        <tr r="AB1371" s="1"/>
        <tr r="AB1371" s="1"/>
      </tp>
      <tp t="s">
        <v>#N/A Requesting Data...3583277534</v>
        <stp/>
        <stp>BDP|10264884732365786994</stp>
        <tr r="AB1061" s="1"/>
        <tr r="AB1061" s="1"/>
      </tp>
      <tp t="s">
        <v>#N/A Requesting Data...3661385773</v>
        <stp/>
        <stp>BDP|12492787762516036285</stp>
        <tr r="AB195" s="1"/>
        <tr r="AB195" s="1"/>
      </tp>
      <tp t="s">
        <v>#N/A Requesting Data...3679448750</v>
        <stp/>
        <stp>BDP|16683548404156991294</stp>
        <tr r="Y1509" s="1"/>
        <tr r="Y1509" s="1"/>
      </tp>
      <tp t="s">
        <v>#N/A Requesting Data...3306861376</v>
        <stp/>
        <stp>BDP|17333444015283207666</stp>
        <tr r="AC1072" s="1"/>
        <tr r="AC1072" s="1"/>
      </tp>
      <tp t="s">
        <v>#N/A Requesting Data...3632196221</v>
        <stp/>
        <stp>BDP|10551983902049027797</stp>
        <tr r="AC952" s="1"/>
        <tr r="AC952" s="1"/>
      </tp>
      <tp t="s">
        <v>#N/A Requesting Data...4231033457</v>
        <stp/>
        <stp>BDP|11211603307542652251</stp>
        <tr r="AB105" s="1"/>
        <tr r="AB105" s="1"/>
      </tp>
      <tp t="s">
        <v>#N/A Requesting Data...3674781685</v>
        <stp/>
        <stp>BDP|10650623882709249026</stp>
        <tr r="Y731" s="1"/>
        <tr r="Y731" s="1"/>
      </tp>
      <tp t="s">
        <v>#N/A Requesting Data...3764646058</v>
        <stp/>
        <stp>BDP|10720440265033800680</stp>
        <tr r="AB12" s="1"/>
        <tr r="AB12" s="1"/>
      </tp>
      <tp t="s">
        <v>#N/A Requesting Data...4109424698</v>
        <stp/>
        <stp>BDP|13788590222723961038</stp>
        <tr r="AB377" s="1"/>
        <tr r="AB377" s="1"/>
      </tp>
      <tp t="s">
        <v>#N/A Requesting Data...4124288522</v>
        <stp/>
        <stp>BDP|12594633407967711403</stp>
        <tr r="AC493" s="1"/>
        <tr r="AC493" s="1"/>
      </tp>
      <tp t="s">
        <v>#N/A Requesting Data...4067970912</v>
        <stp/>
        <stp>BDP|14905729829263187553</stp>
        <tr r="AB626" s="1"/>
        <tr r="AB626" s="1"/>
      </tp>
      <tp t="s">
        <v>#N/A Requesting Data...3523339802</v>
        <stp/>
        <stp>BDP|17481560662291594233</stp>
        <tr r="Y1436" s="1"/>
        <tr r="Y1436" s="1"/>
      </tp>
      <tp t="s">
        <v>#N/A Requesting Data...3853700152</v>
        <stp/>
        <stp>BDP|17626926796553096348</stp>
        <tr r="AC263" s="1"/>
        <tr r="AC263" s="1"/>
      </tp>
      <tp t="s">
        <v>#N/A Requesting Data...3248941717</v>
        <stp/>
        <stp>BDP|12731567626644607675</stp>
        <tr r="AB322" s="1"/>
        <tr r="AB322" s="1"/>
      </tp>
      <tp t="s">
        <v>#N/A Requesting Data...4130252645</v>
        <stp/>
        <stp>BDP|17991949327952997957</stp>
        <tr r="AA729" s="1"/>
        <tr r="AA729" s="1"/>
      </tp>
      <tp t="s">
        <v>#N/A Requesting Data...3783417027</v>
        <stp/>
        <stp>BDP|10524193325594747086</stp>
        <tr r="AA203" s="1"/>
        <tr r="AA203" s="1"/>
      </tp>
      <tp t="s">
        <v>#N/A Requesting Data...3833573526</v>
        <stp/>
        <stp>BDP|14466237854371561500</stp>
        <tr r="Y1511" s="1"/>
        <tr r="Y1511" s="1"/>
      </tp>
      <tp t="s">
        <v>#N/A Requesting Data...3337221934</v>
        <stp/>
        <stp>BDP|15617302212078222805</stp>
        <tr r="Y927" s="1"/>
        <tr r="Y927" s="1"/>
      </tp>
      <tp>
        <v>46</v>
        <stp/>
        <stp>BDP|4821441263635828235|22</stp>
        <stp>AND CN Equity</stp>
        <stp>LAST_PRICE</stp>
        <tr r="AD130" s="1"/>
        <tr r="AD130" s="1"/>
      </tp>
      <tp>
        <v>9.6</v>
        <stp/>
        <stp>BDP|3309543327527869734|22</stp>
        <stp>EVH US Equity</stp>
        <stp>LAST_PRICE</stp>
        <tr r="AD593" s="1"/>
        <tr r="AD593" s="1"/>
      </tp>
      <tp>
        <v>385.63</v>
        <stp/>
        <stp>BDP|5783456157298176782|22</stp>
        <stp>SYK US Equity</stp>
        <stp>LAST_PRICE</stp>
        <tr r="AD1408" s="1"/>
        <tr r="AD1408" s="1"/>
      </tp>
      <tp t="s">
        <v>#N/A Requesting Data...4023029080</v>
        <stp/>
        <stp>BDP|10592535417512009282</stp>
        <tr r="AA1005" s="1"/>
        <tr r="AA1005" s="1"/>
      </tp>
      <tp t="s">
        <v>#N/A Requesting Data...3788934452</v>
        <stp/>
        <stp>BDP|17480624545435948435</stp>
        <tr r="AB877" s="1"/>
        <tr r="AB877" s="1"/>
      </tp>
      <tp t="s">
        <v>#N/A Requesting Data...3692700744</v>
        <stp/>
        <stp>BDP|11946340549890810253</stp>
        <tr r="Y107" s="1"/>
        <tr r="Y107" s="1"/>
      </tp>
      <tp t="s">
        <v>#N/A Requesting Data...4268033808</v>
        <stp/>
        <stp>BDP|10490225147720135295</stp>
        <tr r="AA596" s="1"/>
        <tr r="AA596" s="1"/>
      </tp>
      <tp t="s">
        <v>#N/A Requesting Data...3788464276</v>
        <stp/>
        <stp>BDP|14546494150826225777</stp>
        <tr r="Y1515" s="1"/>
        <tr r="Y1515" s="1"/>
      </tp>
      <tp t="s">
        <v>#N/A Requesting Data...3426605482</v>
        <stp/>
        <stp>BDP|14349089870762532575</stp>
        <tr r="AC824" s="1"/>
        <tr r="AC824" s="1"/>
      </tp>
      <tp t="s">
        <v>#N/A Requesting Data...3523015587</v>
        <stp/>
        <stp>BDP|14720030328053432112</stp>
        <tr r="Z1230" s="1"/>
        <tr r="Z1230" s="1"/>
      </tp>
      <tp t="s">
        <v>#N/A Requesting Data...3879205571</v>
        <stp/>
        <stp>BDP|15163762858862699106</stp>
        <tr r="AB1122" s="1"/>
        <tr r="AB1122" s="1"/>
      </tp>
      <tp t="s">
        <v>#N/A Requesting Data...4249747294</v>
        <stp/>
        <stp>BDP|18433565689888180934</stp>
        <tr r="AA671" s="1"/>
        <tr r="AA671" s="1"/>
      </tp>
      <tp t="s">
        <v>#N/A Requesting Data...3818888041</v>
        <stp/>
        <stp>BDP|12785879299426051101</stp>
        <tr r="Y923" s="1"/>
        <tr r="Y923" s="1"/>
      </tp>
      <tp t="s">
        <v>#N/A Requesting Data...3343808742</v>
        <stp/>
        <stp>BDP|16116405712310259787</stp>
        <tr r="Z741" s="1"/>
        <tr r="Z741" s="1"/>
      </tp>
      <tp t="s">
        <v>#N/A Requesting Data...3771218942</v>
        <stp/>
        <stp>BDP|18377506752178033486</stp>
        <tr r="Y1147" s="1"/>
        <tr r="Y1147" s="1"/>
      </tp>
      <tp t="s">
        <v>#N/A Requesting Data...3592539489</v>
        <stp/>
        <stp>BDP|17449597150906492507</stp>
        <tr r="Z247" s="1"/>
        <tr r="Z247" s="1"/>
      </tp>
      <tp t="s">
        <v>#N/A Requesting Data...3361119887</v>
        <stp/>
        <stp>BDP|14499007111607564687</stp>
        <tr r="Z184" s="1"/>
        <tr r="Z184" s="1"/>
      </tp>
      <tp t="s">
        <v>#N/A Requesting Data...3728354826</v>
        <stp/>
        <stp>BDP|14182360428113672217</stp>
        <tr r="Y1081" s="1"/>
        <tr r="Y1081" s="1"/>
      </tp>
      <tp t="s">
        <v>#N/A Requesting Data...3415597155</v>
        <stp/>
        <stp>BDP|10841798344330524785</stp>
        <tr r="Y554" s="1"/>
        <tr r="Y554" s="1"/>
      </tp>
      <tp t="s">
        <v>#N/A Requesting Data...3756878339</v>
        <stp/>
        <stp>BDP|13372312325190739688</stp>
        <tr r="AB240" s="1"/>
        <tr r="AB240" s="1"/>
      </tp>
      <tp t="s">
        <v>#N/A Requesting Data...3454346468</v>
        <stp/>
        <stp>BDP|11874379831503623604</stp>
        <tr r="AA1126" s="1"/>
        <tr r="AA1126" s="1"/>
      </tp>
      <tp t="s">
        <v>#N/A Requesting Data...3758643979</v>
        <stp/>
        <stp>BDP|15878784441341096394</stp>
        <tr r="AA236" s="1"/>
        <tr r="AA236" s="1"/>
      </tp>
      <tp t="s">
        <v>#N/A Requesting Data...3507611325</v>
        <stp/>
        <stp>BDP|14645121411733888356</stp>
        <tr r="Z1168" s="1"/>
        <tr r="Z1168" s="1"/>
      </tp>
      <tp t="s">
        <v>#N/A Requesting Data...3917670957</v>
        <stp/>
        <stp>BDP|17257798564433214159</stp>
        <tr r="Z226" s="1"/>
        <tr r="Z226" s="1"/>
      </tp>
      <tp t="s">
        <v>#N/A Requesting Data...4032858319</v>
        <stp/>
        <stp>BDP|15876954264519806793</stp>
        <tr r="AA1510" s="1"/>
        <tr r="AA1510" s="1"/>
      </tp>
      <tp t="s">
        <v>#N/A Requesting Data...4108920358</v>
        <stp/>
        <stp>BDP|17110812803442854936</stp>
        <tr r="Z1310" s="1"/>
        <tr r="Z1310" s="1"/>
      </tp>
      <tp t="s">
        <v>#N/A Requesting Data...4095937276</v>
        <stp/>
        <stp>BDP|17846107191292279932</stp>
        <tr r="AC23" s="1"/>
        <tr r="AC23" s="1"/>
      </tp>
      <tp t="s">
        <v>#N/A Requesting Data...3541740184</v>
        <stp/>
        <stp>BDP|11769791952664685311</stp>
        <tr r="Y278" s="1"/>
        <tr r="Y278" s="1"/>
      </tp>
      <tp t="s">
        <v>#N/A Requesting Data...4051553362</v>
        <stp/>
        <stp>BDP|12887760751735523112</stp>
        <tr r="AA1445" s="1"/>
        <tr r="AA1445" s="1"/>
      </tp>
      <tp t="s">
        <v>#N/A Requesting Data...3555346337</v>
        <stp/>
        <stp>BDP|13318707420966836401</stp>
        <tr r="Z941" s="1"/>
        <tr r="Z941" s="1"/>
      </tp>
      <tp t="s">
        <v>#N/A Requesting Data...3524409096</v>
        <stp/>
        <stp>BDP|15016972888208155858</stp>
        <tr r="Z150" s="1"/>
        <tr r="Z150" s="1"/>
      </tp>
      <tp t="s">
        <v>#N/A Requesting Data...3695463336</v>
        <stp/>
        <stp>BDP|10782839394547213299</stp>
        <tr r="AA323" s="1"/>
        <tr r="AA323" s="1"/>
      </tp>
      <tp t="s">
        <v>#N/A Requesting Data...3824449540</v>
        <stp/>
        <stp>BDP|10138346247674975706</stp>
        <tr r="Z1608" s="1"/>
        <tr r="Z1608" s="1"/>
      </tp>
      <tp t="s">
        <v>#N/A Requesting Data...3328158384</v>
        <stp/>
        <stp>BDP|10214674761715683198</stp>
        <tr r="AA618" s="1"/>
        <tr r="AA618" s="1"/>
      </tp>
      <tp t="s">
        <v>#N/A Requesting Data...3852596783</v>
        <stp/>
        <stp>BDP|17827512724322237640</stp>
        <tr r="AA763" s="1"/>
        <tr r="AA763" s="1"/>
      </tp>
      <tp t="s">
        <v>#N/A Requesting Data...3514591330</v>
        <stp/>
        <stp>BDP|16444665849473515353</stp>
        <tr r="Z1309" s="1"/>
        <tr r="Z1309" s="1"/>
      </tp>
      <tp t="s">
        <v>#N/A Requesting Data...4003080915</v>
        <stp/>
        <stp>BDP|11945163807123714741</stp>
        <tr r="AC380" s="1"/>
      </tp>
      <tp t="s">
        <v>#N/A Requesting Data...3515302755</v>
        <stp/>
        <stp>BDP|15630865230973226986</stp>
        <tr r="AC998" s="1"/>
        <tr r="AC998" s="1"/>
      </tp>
      <tp t="s">
        <v>#N/A Requesting Data...3629679740</v>
        <stp/>
        <stp>BDP|12393327262391024295</stp>
        <tr r="Y1502" s="1"/>
        <tr r="Y1502" s="1"/>
      </tp>
      <tp t="s">
        <v>#N/A Requesting Data...3512070882</v>
        <stp/>
        <stp>BDP|11560862183967339294</stp>
        <tr r="AB1449" s="1"/>
        <tr r="AB1449" s="1"/>
      </tp>
      <tp t="s">
        <v>#N/A Requesting Data...3925666601</v>
        <stp/>
        <stp>BDP|15487249468693582676</stp>
        <tr r="Y1299" s="1"/>
        <tr r="Y1299" s="1"/>
      </tp>
      <tp t="s">
        <v>#N/A Requesting Data...3766060966</v>
        <stp/>
        <stp>BDP|11993959063569648339</stp>
        <tr r="AC694" s="1"/>
        <tr r="AC694" s="1"/>
      </tp>
      <tp t="s">
        <v>#N/A Requesting Data...3762175143</v>
        <stp/>
        <stp>BDP|17935221315184091442</stp>
        <tr r="AB1138" s="1"/>
        <tr r="AB1138" s="1"/>
      </tp>
      <tp t="s">
        <v>#N/A Requesting Data...4195292744</v>
        <stp/>
        <stp>BDP|13156050875978376884</stp>
        <tr r="AC1416" s="1"/>
        <tr r="AC1416" s="1"/>
      </tp>
      <tp t="s">
        <v>#N/A Requesting Data...3371841345</v>
        <stp/>
        <stp>BDP|12201583027417402638</stp>
        <tr r="Y970" s="1"/>
        <tr r="Y970" s="1"/>
      </tp>
      <tp t="s">
        <v>#N/A Requesting Data...3761202983</v>
        <stp/>
        <stp>BDP|14026445151950904162</stp>
        <tr r="Y559" s="1"/>
        <tr r="Y559" s="1"/>
      </tp>
      <tp t="s">
        <v>#N/A Requesting Data...3599737108</v>
        <stp/>
        <stp>BDP|15386404141750142193</stp>
        <tr r="AC19" s="1"/>
        <tr r="AC19" s="1"/>
      </tp>
      <tp t="s">
        <v>#N/A Requesting Data...3397399362</v>
        <stp/>
        <stp>BDP|11492791358787791085</stp>
        <tr r="Y223" s="1"/>
        <tr r="Y223" s="1"/>
      </tp>
      <tp t="s">
        <v>#N/A Requesting Data...3483228329</v>
        <stp/>
        <stp>BDP|16122843489451143372</stp>
        <tr r="AB430" s="1"/>
        <tr r="AB430" s="1"/>
      </tp>
      <tp t="s">
        <v>#N/A Requesting Data...3576339612</v>
        <stp/>
        <stp>BDP|13395238807567858253</stp>
        <tr r="Z206" s="1"/>
        <tr r="Z206" s="1"/>
      </tp>
      <tp t="s">
        <v>#N/A Requesting Data...3882409251</v>
        <stp/>
        <stp>BDP|10986200463017166719</stp>
        <tr r="AA1439" s="1"/>
        <tr r="AA1439" s="1"/>
      </tp>
      <tp t="s">
        <v>#N/A Requesting Data...3427531950</v>
        <stp/>
        <stp>BDP|10822045835552369503</stp>
        <tr r="Z1078" s="1"/>
        <tr r="Z1078" s="1"/>
      </tp>
      <tp t="s">
        <v>#N/A Requesting Data...3389559716</v>
        <stp/>
        <stp>BDP|11086595022767693574</stp>
        <tr r="Z589" s="1"/>
        <tr r="Z589" s="1"/>
      </tp>
      <tp t="s">
        <v>#N/A Requesting Data...3423191134</v>
        <stp/>
        <stp>BDP|17291505738054688162</stp>
        <tr r="Y1365" s="1"/>
        <tr r="Y1365" s="1"/>
      </tp>
      <tp t="s">
        <v>#N/A Requesting Data...3662753008</v>
        <stp/>
        <stp>BDP|14110205877524920155</stp>
        <tr r="AA1486" s="1"/>
        <tr r="AA1486" s="1"/>
      </tp>
      <tp t="s">
        <v>#N/A Requesting Data...4014231291</v>
        <stp/>
        <stp>BDP|10473406868762320450</stp>
        <tr r="AB477" s="1"/>
        <tr r="AB477" s="1"/>
      </tp>
      <tp t="s">
        <v>#N/A Requesting Data...3499795116</v>
        <stp/>
        <stp>BDP|17595167537859847819</stp>
        <tr r="AC535" s="1"/>
        <tr r="AC535" s="1"/>
      </tp>
      <tp t="s">
        <v>#N/A Requesting Data...3551476455</v>
        <stp/>
        <stp>BDP|10015286542671288353</stp>
        <tr r="AA836" s="1"/>
        <tr r="AA836" s="1"/>
      </tp>
      <tp t="s">
        <v>#N/A Requesting Data...3942200961</v>
        <stp/>
        <stp>BDP|12279798569444608391</stp>
        <tr r="AC500" s="1"/>
        <tr r="AC500" s="1"/>
      </tp>
      <tp t="s">
        <v>#N/A Requesting Data...3423578315</v>
        <stp/>
        <stp>BDP|11153057013412991635</stp>
        <tr r="AB1336" s="1"/>
        <tr r="AB1336" s="1"/>
      </tp>
      <tp t="s">
        <v>#N/A Requesting Data...3626725852</v>
        <stp/>
        <stp>BDP|12251269261316978411</stp>
        <tr r="AC340" s="1"/>
        <tr r="AC340" s="1"/>
      </tp>
      <tp t="s">
        <v>#N/A Requesting Data...3469226517</v>
        <stp/>
        <stp>BDP|17468065519496289447</stp>
        <tr r="AC1293" s="1"/>
        <tr r="AC1293" s="1"/>
      </tp>
      <tp t="s">
        <v>#N/A Requesting Data...4293555145</v>
        <stp/>
        <stp>BDP|12960675464733641518</stp>
        <tr r="Z1574" s="1"/>
        <tr r="Z1574" s="1"/>
      </tp>
      <tp t="s">
        <v>#N/A Requesting Data...3368443662</v>
        <stp/>
        <stp>BDP|18402091285845304166</stp>
        <tr r="AA1055" s="1"/>
        <tr r="AA1055" s="1"/>
      </tp>
      <tp t="s">
        <v>#N/A Requesting Data...3442062843</v>
        <stp/>
        <stp>BDP|14266792413191524709</stp>
        <tr r="Z1236" s="1"/>
        <tr r="Z1236" s="1"/>
      </tp>
      <tp t="s">
        <v>#N/A Requesting Data...4121598091</v>
        <stp/>
        <stp>BDP|11525269965100817135</stp>
        <tr r="AC1208" s="1"/>
        <tr r="AC1208" s="1"/>
      </tp>
      <tp t="s">
        <v>#N/A Requesting Data...3565188731</v>
        <stp/>
        <stp>BDP|12876042145964716631</stp>
        <tr r="AC1104" s="1"/>
        <tr r="AC1104" s="1"/>
      </tp>
      <tp t="s">
        <v>#N/A Requesting Data...4110100141</v>
        <stp/>
        <stp>BDP|10734685904194320657</stp>
        <tr r="AA1573" s="1"/>
        <tr r="AA1573" s="1"/>
      </tp>
      <tp t="s">
        <v>#N/A Requesting Data...3364621857</v>
        <stp/>
        <stp>BDP|14405100674813482592</stp>
        <tr r="Y448" s="1"/>
        <tr r="Y448" s="1"/>
      </tp>
      <tp t="s">
        <v>#N/A Requesting Data...3384294230</v>
        <stp/>
        <stp>BDP|13801167700152245413</stp>
        <tr r="Z350" s="1"/>
        <tr r="Z350" s="1"/>
      </tp>
      <tp t="s">
        <v>#N/A Requesting Data...3831675562</v>
        <stp/>
        <stp>BDP|13467767355547815225</stp>
        <tr r="AA1257" s="1"/>
        <tr r="AA1257" s="1"/>
      </tp>
      <tp t="s">
        <v>#N/A Requesting Data...3340552229</v>
        <stp/>
        <stp>BDP|18315793497744423647</stp>
        <tr r="Y1221" s="1"/>
        <tr r="Y1221" s="1"/>
      </tp>
      <tp t="s">
        <v>#N/A Requesting Data...4249442392</v>
        <stp/>
        <stp>BDP|13160451439280012003</stp>
        <tr r="AA702" s="1"/>
        <tr r="AA702" s="1"/>
      </tp>
      <tp t="s">
        <v>#N/A Requesting Data...3897154658</v>
        <stp/>
        <stp>BDP|12156360749316666757</stp>
        <tr r="Z1578" s="1"/>
        <tr r="Z1578" s="1"/>
      </tp>
      <tp t="s">
        <v>#N/A Requesting Data...3682311087</v>
        <stp/>
        <stp>BDP|10151326559153461132</stp>
        <tr r="AC197" s="1"/>
        <tr r="AC197" s="1"/>
      </tp>
      <tp t="s">
        <v>#N/A Requesting Data...3319320082</v>
        <stp/>
        <stp>BDP|17903081298608074244</stp>
        <tr r="Z29" s="1"/>
        <tr r="Z29" s="1"/>
      </tp>
      <tp t="s">
        <v>#N/A Requesting Data...3745354637</v>
        <stp/>
        <stp>BDP|17143442858697844580</stp>
        <tr r="AB1478" s="1"/>
        <tr r="AB1478" s="1"/>
      </tp>
      <tp t="s">
        <v>#N/A Requesting Data...4006109454</v>
        <stp/>
        <stp>BDP|17072727018482518721</stp>
        <tr r="AC275" s="1"/>
        <tr r="AC275" s="1"/>
      </tp>
      <tp t="s">
        <v>#N/A Requesting Data...3779231170</v>
        <stp/>
        <stp>BDP|10139459089340040817</stp>
        <tr r="Y160" s="1"/>
        <tr r="Y160" s="1"/>
      </tp>
      <tp t="s">
        <v>#N/A Requesting Data...3756543627</v>
        <stp/>
        <stp>BDP|16893844608583821903</stp>
        <tr r="AB184" s="1"/>
        <tr r="AB184" s="1"/>
      </tp>
      <tp t="s">
        <v>#N/A Requesting Data...3675226144</v>
        <stp/>
        <stp>BDP|15850179915623203244</stp>
        <tr r="AA607" s="1"/>
        <tr r="AA607" s="1"/>
      </tp>
      <tp t="s">
        <v>#N/A Requesting Data...3829018398</v>
        <stp/>
        <stp>BDP|17661020231974840417</stp>
        <tr r="Y829" s="1"/>
        <tr r="Y829" s="1"/>
      </tp>
      <tp t="s">
        <v>#N/A Requesting Data...3416473571</v>
        <stp/>
        <stp>BDP|12605352702107466296</stp>
        <tr r="AC124" s="1"/>
        <tr r="AC124" s="1"/>
      </tp>
      <tp t="s">
        <v>#N/A Requesting Data...3335954501</v>
        <stp/>
        <stp>BDP|14229075352026359381</stp>
        <tr r="AB756" s="1"/>
        <tr r="AB756" s="1"/>
      </tp>
      <tp t="s">
        <v>#N/A Requesting Data...3975101457</v>
        <stp/>
        <stp>BDP|15123207778862675638</stp>
        <tr r="AB486" s="1"/>
        <tr r="AB486" s="1"/>
      </tp>
      <tp t="s">
        <v>#N/A Requesting Data...3973446078</v>
        <stp/>
        <stp>BDP|14394133798928570016</stp>
        <tr r="AB1531" s="1"/>
        <tr r="AB1531" s="1"/>
      </tp>
      <tp t="s">
        <v>#N/A Requesting Data...4150397880</v>
        <stp/>
        <stp>BDP|17917531767084226433</stp>
        <tr r="AA1381" s="1"/>
        <tr r="AA1381" s="1"/>
      </tp>
      <tp t="s">
        <v>#N/A Requesting Data...4101298064</v>
        <stp/>
        <stp>BDP|14610324157757729180</stp>
        <tr r="Y1544" s="1"/>
        <tr r="Y1544" s="1"/>
      </tp>
      <tp t="s">
        <v>#N/A Requesting Data...3937746429</v>
        <stp/>
        <stp>BDP|14795594622464517358</stp>
        <tr r="AB78" s="1"/>
        <tr r="AB78" s="1"/>
      </tp>
      <tp t="s">
        <v>#N/A Requesting Data...3413045036</v>
        <stp/>
        <stp>BDP|17728933058677348835</stp>
        <tr r="AB1369" s="1"/>
        <tr r="AB1369" s="1"/>
      </tp>
      <tp t="s">
        <v>#N/A Requesting Data...3783125222</v>
        <stp/>
        <stp>BDP|15618051386871840819</stp>
        <tr r="Y463" s="1"/>
        <tr r="Y463" s="1"/>
      </tp>
      <tp t="s">
        <v>#N/A Requesting Data...3952566199</v>
        <stp/>
        <stp>BDP|15074694085416652966</stp>
        <tr r="Y295" s="1"/>
        <tr r="Y295" s="1"/>
      </tp>
      <tp t="s">
        <v>#N/A Requesting Data...3778184796</v>
        <stp/>
        <stp>BDP|17277387154856473354</stp>
        <tr r="AB53" s="1"/>
        <tr r="AB53" s="1"/>
      </tp>
      <tp t="s">
        <v>#N/A Requesting Data...4089986254</v>
        <stp/>
        <stp>BDP|11044974697714695190</stp>
        <tr r="Z745" s="1"/>
        <tr r="Z745" s="1"/>
      </tp>
      <tp t="s">
        <v>#N/A Requesting Data...3926978778</v>
        <stp/>
        <stp>BDP|16968339914721249131</stp>
        <tr r="AC1533" s="1"/>
        <tr r="AC1533" s="1"/>
      </tp>
      <tp t="s">
        <v>#N/A Requesting Data...3835194141</v>
        <stp/>
        <stp>BDP|14087290567886257239</stp>
        <tr r="Y546" s="1"/>
        <tr r="Y546" s="1"/>
      </tp>
      <tp t="s">
        <v>#N/A Requesting Data...3673781731</v>
        <stp/>
        <stp>BDP|14221769882629965607</stp>
        <tr r="Y1233" s="1"/>
        <tr r="Y1233" s="1"/>
      </tp>
      <tp t="s">
        <v>#N/A Requesting Data...4238080229</v>
        <stp/>
        <stp>BDP|12778824151199268297</stp>
        <tr r="Z809" s="1"/>
        <tr r="Z809" s="1"/>
      </tp>
      <tp t="s">
        <v>#N/A Requesting Data...3636825132</v>
        <stp/>
        <stp>BDP|11946509335880157320</stp>
        <tr r="AA499" s="1"/>
        <tr r="AA499" s="1"/>
      </tp>
      <tp t="s">
        <v>#N/A Requesting Data...3878004354</v>
        <stp/>
        <stp>BDP|15200408365337837408</stp>
        <tr r="AA185" s="1"/>
        <tr r="AA185" s="1"/>
      </tp>
      <tp t="s">
        <v>#N/A Requesting Data...3347031383</v>
        <stp/>
        <stp>BDP|12673431468141023525</stp>
        <tr r="AB1095" s="1"/>
        <tr r="AB1095" s="1"/>
      </tp>
      <tp t="s">
        <v>#N/A Requesting Data...4278627995</v>
        <stp/>
        <stp>BDP|11207084293969228548</stp>
        <tr r="Z1339" s="1"/>
        <tr r="Z1339" s="1"/>
      </tp>
      <tp t="s">
        <v>#N/A Requesting Data...3648355191</v>
        <stp/>
        <stp>BDP|12686356773893619190</stp>
        <tr r="AA335" s="1"/>
        <tr r="AA335" s="1"/>
      </tp>
      <tp t="s">
        <v>#N/A Requesting Data...4176580377</v>
        <stp/>
        <stp>BDP|15921597731117986079</stp>
        <tr r="Y767" s="1"/>
        <tr r="Y767" s="1"/>
      </tp>
      <tp t="s">
        <v>#N/A Requesting Data...3819136701</v>
        <stp/>
        <stp>BDP|12153293133704790322</stp>
        <tr r="AA591" s="1"/>
        <tr r="AA591" s="1"/>
      </tp>
      <tp t="s">
        <v>#N/A Requesting Data...3506720351</v>
        <stp/>
        <stp>BDP|15253787144223080100</stp>
        <tr r="AC706" s="1"/>
        <tr r="AC706" s="1"/>
      </tp>
      <tp t="s">
        <v>#N/A Requesting Data...3419604994</v>
        <stp/>
        <stp>BDP|13802321580884467801</stp>
        <tr r="AB34" s="1"/>
      </tp>
      <tp t="s">
        <v>#N/A Requesting Data...3359476678</v>
        <stp/>
        <stp>BDP|15435393783148287227</stp>
        <tr r="AB1619" s="1"/>
        <tr r="AB1619" s="1"/>
      </tp>
      <tp t="s">
        <v>#N/A Requesting Data...3911988473</v>
        <stp/>
        <stp>BDP|10231221527546938209</stp>
        <tr r="Y604" s="1"/>
        <tr r="Y604" s="1"/>
      </tp>
      <tp t="s">
        <v>#N/A Requesting Data...3890791796</v>
        <stp/>
        <stp>BDP|13087787194099537071</stp>
        <tr r="AB1039" s="1"/>
        <tr r="AB1039" s="1"/>
      </tp>
      <tp t="s">
        <v>#N/A Requesting Data...3701477224</v>
        <stp/>
        <stp>BDP|10263763858097413169</stp>
        <tr r="Y699" s="1"/>
        <tr r="Y699" s="1"/>
      </tp>
      <tp t="s">
        <v>#N/A Requesting Data...4066627794</v>
        <stp/>
        <stp>BDP|10653611039281286022</stp>
        <tr r="AC587" s="1"/>
        <tr r="AC587" s="1"/>
      </tp>
      <tp t="s">
        <v>#N/A Requesting Data...3484167220</v>
        <stp/>
        <stp>BDP|12236384851797693735</stp>
        <tr r="AB1409" s="1"/>
        <tr r="AB1409" s="1"/>
      </tp>
      <tp t="s">
        <v>#N/A Requesting Data...3383494291</v>
        <stp/>
        <stp>BDP|14315245048920060617</stp>
        <tr r="AB1268" s="1"/>
        <tr r="AB1268" s="1"/>
      </tp>
      <tp t="s">
        <v>#N/A Requesting Data...3792050208</v>
        <stp/>
        <stp>BDP|15469783064225136577</stp>
        <tr r="Z1343" s="1"/>
        <tr r="Z1343" s="1"/>
      </tp>
      <tp t="s">
        <v>#N/A Requesting Data...3899927014</v>
        <stp/>
        <stp>BDP|13394495130243140359</stp>
        <tr r="AA1606" s="1"/>
        <tr r="AA1606" s="1"/>
      </tp>
      <tp t="s">
        <v>#N/A Requesting Data...3454865981</v>
        <stp/>
        <stp>BDP|11071603181029926266</stp>
        <tr r="AB204" s="1"/>
        <tr r="AB204" s="1"/>
      </tp>
      <tp t="s">
        <v>#N/A Requesting Data...4283375639</v>
        <stp/>
        <stp>BDP|15616794948391040392</stp>
        <tr r="AB718" s="1"/>
        <tr r="AB718" s="1"/>
      </tp>
      <tp t="s">
        <v>#N/A Requesting Data...4100840838</v>
        <stp/>
        <stp>BDP|15253637695398267681</stp>
        <tr r="AC237" s="1"/>
        <tr r="AC237" s="1"/>
      </tp>
      <tp t="s">
        <v>#N/A Requesting Data...3593783825</v>
        <stp/>
        <stp>BDP|14454252639525133477</stp>
        <tr r="AB1162" s="1"/>
        <tr r="AB1162" s="1"/>
      </tp>
      <tp t="s">
        <v>#N/A Requesting Data...4138643643</v>
        <stp/>
        <stp>BDP|11591989565089319355</stp>
        <tr r="AB353" s="1"/>
        <tr r="AB353" s="1"/>
      </tp>
      <tp t="s">
        <v>#N/A Requesting Data...4229048105</v>
        <stp/>
        <stp>BDP|10484492011033086226</stp>
        <tr r="Y839" s="1"/>
        <tr r="Y839" s="1"/>
      </tp>
      <tp t="s">
        <v>#N/A Requesting Data...3971386488</v>
        <stp/>
        <stp>BDP|17412195843923809589</stp>
        <tr r="Y966" s="1"/>
        <tr r="Y966" s="1"/>
      </tp>
      <tp t="s">
        <v>#N/A Requesting Data...3728995613</v>
        <stp/>
        <stp>BDP|15492388008892461016</stp>
        <tr r="Z1459" s="1"/>
        <tr r="Z1459" s="1"/>
      </tp>
      <tp t="s">
        <v>#N/A Requesting Data...3623888313</v>
        <stp/>
        <stp>BDP|14236109010451716140</stp>
        <tr r="Y1364" s="1"/>
        <tr r="Y1364" s="1"/>
      </tp>
      <tp t="s">
        <v>#N/A Requesting Data...3671166043</v>
        <stp/>
        <stp>BDP|17643189726519864911</stp>
        <tr r="AB373" s="1"/>
        <tr r="AB373" s="1"/>
      </tp>
      <tp t="s">
        <v>#N/A Requesting Data...4237329773</v>
        <stp/>
        <stp>BDP|14287087932984906709</stp>
        <tr r="Y114" s="1"/>
        <tr r="Y114" s="1"/>
      </tp>
      <tp t="s">
        <v>#N/A Requesting Data...3723017823</v>
        <stp/>
        <stp>BDP|15340757877812226327</stp>
        <tr r="AC794" s="1"/>
        <tr r="AC794" s="1"/>
      </tp>
      <tp t="s">
        <v>#N/A Requesting Data...4112334449</v>
        <stp/>
        <stp>BDP|10826931138487691940</stp>
        <tr r="Z1567" s="1"/>
        <tr r="Z1567" s="1"/>
      </tp>
      <tp t="s">
        <v>#N/A Requesting Data...4017646511</v>
        <stp/>
        <stp>BDP|10577595928263681036</stp>
        <tr r="Y1085" s="1"/>
        <tr r="Y1085" s="1"/>
      </tp>
      <tp t="s">
        <v>#N/A Requesting Data...3991322468</v>
        <stp/>
        <stp>BDP|11835858887063949621</stp>
        <tr r="AC1620" s="1"/>
        <tr r="AC1620" s="1"/>
      </tp>
      <tp t="s">
        <v>#N/A Requesting Data...3431738983</v>
        <stp/>
        <stp>BDP|17331739775782302170</stp>
        <tr r="Z531" s="1"/>
        <tr r="Z531" s="1"/>
      </tp>
      <tp t="s">
        <v>#N/A Requesting Data...3594845947</v>
        <stp/>
        <stp>BDP|10133436129935838722</stp>
        <tr r="Y154" s="1"/>
        <tr r="Y154" s="1"/>
      </tp>
      <tp t="s">
        <v>#N/A Requesting Data...3775805547</v>
        <stp/>
        <stp>BDP|10910928528496229903</stp>
        <tr r="Y1541" s="1"/>
        <tr r="Y1541" s="1"/>
      </tp>
      <tp t="s">
        <v>#N/A Requesting Data...3913605170</v>
        <stp/>
        <stp>BDP|18177620154428193776</stp>
        <tr r="AA1114" s="1"/>
      </tp>
      <tp t="s">
        <v>#N/A Requesting Data...3896265637</v>
        <stp/>
        <stp>BDP|14692626312576377141</stp>
        <tr r="AA109" s="1"/>
        <tr r="AA109" s="1"/>
      </tp>
      <tp t="s">
        <v>#N/A Requesting Data...3956100159</v>
        <stp/>
        <stp>BDP|18275324475071332973</stp>
        <tr r="Z382" s="1"/>
        <tr r="Z382" s="1"/>
      </tp>
      <tp t="s">
        <v>#N/A Requesting Data...3924801450</v>
        <stp/>
        <stp>BDP|10827681765452729637</stp>
        <tr r="Z1050" s="1"/>
        <tr r="Z1050" s="1"/>
      </tp>
      <tp t="s">
        <v>#N/A Requesting Data...3980627278</v>
        <stp/>
        <stp>BDP|13910917734815898855</stp>
        <tr r="AC383" s="1"/>
        <tr r="AC383" s="1"/>
      </tp>
      <tp t="s">
        <v>#N/A Requesting Data...3365626294</v>
        <stp/>
        <stp>BDP|15223597858274556570</stp>
        <tr r="Z1334" s="1"/>
        <tr r="Z1334" s="1"/>
      </tp>
      <tp t="s">
        <v>#N/A Requesting Data...4276733978</v>
        <stp/>
        <stp>BDP|13651678059674805019</stp>
        <tr r="AC795" s="1"/>
      </tp>
      <tp t="s">
        <v>#N/A Requesting Data...3831299175</v>
        <stp/>
        <stp>BDP|15699201677542969699</stp>
        <tr r="Z194" s="1"/>
        <tr r="Z194" s="1"/>
      </tp>
      <tp t="s">
        <v>#N/A Requesting Data...4237285598</v>
        <stp/>
        <stp>BDP|17732707748052760293</stp>
        <tr r="AC130" s="1"/>
        <tr r="AC130" s="1"/>
      </tp>
      <tp t="s">
        <v>#N/A Requesting Data...4159045284</v>
        <stp/>
        <stp>BDP|13263006855111343355</stp>
        <tr r="Y900" s="1"/>
        <tr r="Y900" s="1"/>
      </tp>
      <tp t="s">
        <v>#N/A Requesting Data...3904388918</v>
        <stp/>
        <stp>BDP|13589709154344078105</stp>
        <tr r="AC324" s="1"/>
      </tp>
      <tp t="s">
        <v>#N/A Requesting Data...3729276319</v>
        <stp/>
        <stp>BDP|15351905252128080509</stp>
        <tr r="AB1532" s="1"/>
        <tr r="AB1532" s="1"/>
      </tp>
      <tp t="s">
        <v>#N/A Requesting Data...4285528693</v>
        <stp/>
        <stp>BDP|13563627147631450454</stp>
        <tr r="AB1414" s="1"/>
        <tr r="AB1414" s="1"/>
      </tp>
      <tp t="s">
        <v>#N/A Requesting Data...3749272357</v>
        <stp/>
        <stp>BDP|13725020585549644675</stp>
        <tr r="Z410" s="1"/>
        <tr r="Z410" s="1"/>
      </tp>
      <tp t="s">
        <v>#N/A Requesting Data...4121372711</v>
        <stp/>
        <stp>BDP|16266212943535820196</stp>
        <tr r="AC568" s="1"/>
        <tr r="AC568" s="1"/>
      </tp>
      <tp t="s">
        <v>#N/A Requesting Data...3830265112</v>
        <stp/>
        <stp>BDP|14149295908602600073</stp>
        <tr r="Z351" s="1"/>
        <tr r="Z351" s="1"/>
      </tp>
      <tp t="s">
        <v>#N/A Requesting Data...4038461812</v>
        <stp/>
        <stp>BDP|15568510740797191753</stp>
        <tr r="AA1326" s="1"/>
        <tr r="AA1326" s="1"/>
      </tp>
      <tp t="s">
        <v>#N/A Requesting Data...3676160082</v>
        <stp/>
        <stp>BDP|10181948487911499468</stp>
        <tr r="AC664" s="1"/>
        <tr r="AC664" s="1"/>
      </tp>
      <tp t="s">
        <v>#N/A Requesting Data...3628591840</v>
        <stp/>
        <stp>BDP|13733488979996793215</stp>
        <tr r="Y1527" s="1"/>
        <tr r="Y1527" s="1"/>
      </tp>
      <tp t="s">
        <v>#N/A Requesting Data...3665020711</v>
        <stp/>
        <stp>BDP|16049457853253298045</stp>
        <tr r="AC1259" s="1"/>
        <tr r="AC1259" s="1"/>
      </tp>
      <tp t="s">
        <v>#N/A Requesting Data...3802446053</v>
        <stp/>
        <stp>BDP|10093501742617303212</stp>
        <tr r="Z687" s="1"/>
        <tr r="Z687" s="1"/>
      </tp>
      <tp t="s">
        <v>#N/A Requesting Data...3516051264</v>
        <stp/>
        <stp>BDP|13074165770327448627</stp>
        <tr r="Z572" s="1"/>
        <tr r="Z572" s="1"/>
      </tp>
      <tp t="s">
        <v>#N/A Requesting Data...3592862657</v>
        <stp/>
        <stp>BDP|13778305307486116215</stp>
        <tr r="AA1230" s="1"/>
        <tr r="AA1230" s="1"/>
      </tp>
      <tp t="s">
        <v>#N/A Requesting Data...3484717063</v>
        <stp/>
        <stp>BDP|15432529332495380276</stp>
        <tr r="AB666" s="1"/>
        <tr r="AB666" s="1"/>
      </tp>
      <tp t="s">
        <v>#N/A Requesting Data...4188730255</v>
        <stp/>
        <stp>BDP|16130809420561198906</stp>
        <tr r="AC1004" s="1"/>
        <tr r="AC1004" s="1"/>
      </tp>
      <tp t="s">
        <v>#N/A Requesting Data...3376962518</v>
        <stp/>
        <stp>BDP|14602017862970189646</stp>
        <tr r="AB1466" s="1"/>
        <tr r="AB1466" s="1"/>
      </tp>
      <tp t="s">
        <v>#N/A Requesting Data...4057010294</v>
        <stp/>
        <stp>BDP|17071417700557811093</stp>
        <tr r="Y889" s="1"/>
        <tr r="Y889" s="1"/>
      </tp>
      <tp t="s">
        <v>#N/A Requesting Data...3875104763</v>
        <stp/>
        <stp>BDP|13250051929644955171</stp>
        <tr r="AA278" s="1"/>
        <tr r="AA278" s="1"/>
      </tp>
      <tp t="s">
        <v>#N/A Requesting Data...3523861248</v>
        <stp/>
        <stp>BDP|14680452989698884420</stp>
        <tr r="AA346" s="1"/>
        <tr r="AA346" s="1"/>
      </tp>
      <tp t="s">
        <v>#N/A Requesting Data...3761508644</v>
        <stp/>
        <stp>BDP|11214721650395614258</stp>
        <tr r="AB547" s="1"/>
        <tr r="AB547" s="1"/>
      </tp>
      <tp t="s">
        <v>#N/A Requesting Data...4196513368</v>
        <stp/>
        <stp>BDP|11871271676069288984</stp>
        <tr r="Z1070" s="1"/>
        <tr r="Z1070" s="1"/>
      </tp>
      <tp t="s">
        <v>#N/A Requesting Data...3986982137</v>
        <stp/>
        <stp>BDP|12775393358354294474</stp>
        <tr r="Y1067" s="1"/>
        <tr r="Y1067" s="1"/>
      </tp>
      <tp t="s">
        <v>#N/A Requesting Data...4048334433</v>
        <stp/>
        <stp>BDP|16488741645500423126</stp>
        <tr r="Z848" s="1"/>
        <tr r="Z848" s="1"/>
      </tp>
      <tp t="s">
        <v>#N/A Requesting Data...4115976733</v>
        <stp/>
        <stp>BDP|13186067107682605551</stp>
        <tr r="AB843" s="1"/>
        <tr r="AB843" s="1"/>
      </tp>
      <tp t="s">
        <v>#N/A Requesting Data...3614159743</v>
        <stp/>
        <stp>BDP|10520158157628651824</stp>
        <tr r="AC388" s="1"/>
        <tr r="AC388" s="1"/>
      </tp>
      <tp t="s">
        <v>#N/A Requesting Data...4107482855</v>
        <stp/>
        <stp>BDP|17301211666950218755</stp>
        <tr r="AA571" s="1"/>
        <tr r="AA571" s="1"/>
      </tp>
      <tp t="s">
        <v>#N/A Requesting Data...4038395606</v>
        <stp/>
        <stp>BDP|15512369631000220139</stp>
        <tr r="Z1421" s="1"/>
        <tr r="Z1421" s="1"/>
      </tp>
      <tp t="s">
        <v>#N/A Requesting Data...4056681331</v>
        <stp/>
        <stp>BDP|17320893742566917925</stp>
        <tr r="Y1386" s="1"/>
        <tr r="Y1386" s="1"/>
      </tp>
      <tp t="s">
        <v>#N/A Requesting Data...4094804742</v>
        <stp/>
        <stp>BDP|13623705771527070042</stp>
        <tr r="Y531" s="1"/>
        <tr r="Y531" s="1"/>
      </tp>
      <tp t="s">
        <v>#N/A Requesting Data...3963683198</v>
        <stp/>
        <stp>BDP|10795623550931235646</stp>
        <tr r="Z296" s="1"/>
        <tr r="Z296" s="1"/>
      </tp>
      <tp t="s">
        <v>#N/A Requesting Data...4044044638</v>
        <stp/>
        <stp>BDP|17802107643506139094</stp>
        <tr r="Y1246" s="1"/>
        <tr r="Y1246" s="1"/>
      </tp>
      <tp t="s">
        <v>#N/A Requesting Data...3596411049</v>
        <stp/>
        <stp>BDP|10165440403020024050</stp>
        <tr r="AC955" s="1"/>
        <tr r="AC955" s="1"/>
      </tp>
      <tp t="s">
        <v>#N/A Requesting Data...3944235003</v>
        <stp/>
        <stp>BDP|14193620456310798308</stp>
        <tr r="Z584" s="1"/>
        <tr r="Z584" s="1"/>
      </tp>
      <tp t="s">
        <v>#N/A Requesting Data...3981839036</v>
        <stp/>
        <stp>BDP|15160837382850412162</stp>
        <tr r="AC901" s="1"/>
        <tr r="AC901" s="1"/>
      </tp>
      <tp t="s">
        <v>#N/A Requesting Data...3916089732</v>
        <stp/>
        <stp>BDP|12761844190903061414</stp>
        <tr r="Z1355" s="1"/>
        <tr r="Z1355" s="1"/>
      </tp>
      <tp t="s">
        <v>#N/A Requesting Data...3990927647</v>
        <stp/>
        <stp>BDP|16075110504802319146</stp>
        <tr r="AA1623" s="1"/>
        <tr r="AA1624" s="1"/>
        <tr r="AA1625" s="1"/>
        <tr r="AA1626" s="1"/>
        <tr r="AA1627" s="1"/>
        <tr r="AA1628" s="1"/>
        <tr r="AA1629" s="1"/>
        <tr r="AA1630" s="1"/>
        <tr r="AA1631" s="1"/>
        <tr r="AA1632" s="1"/>
        <tr r="AA1633" s="1"/>
        <tr r="AA1634" s="1"/>
        <tr r="AA1635" s="1"/>
        <tr r="AA1636" s="1"/>
        <tr r="AA1637" s="1"/>
        <tr r="AA1638" s="1"/>
        <tr r="AA1639" s="1"/>
        <tr r="AA1640" s="1"/>
        <tr r="AA1641" s="1"/>
        <tr r="AA1642" s="1"/>
        <tr r="AA1643" s="1"/>
        <tr r="AA1644" s="1"/>
        <tr r="AA1645" s="1"/>
        <tr r="AA1646" s="1"/>
        <tr r="AA1647" s="1"/>
        <tr r="AA1648" s="1"/>
        <tr r="AA1649" s="1"/>
        <tr r="AA1650" s="1"/>
        <tr r="AA1651" s="1"/>
        <tr r="AA1652" s="1"/>
        <tr r="AA1653" s="1"/>
        <tr r="AA1654" s="1"/>
        <tr r="AA1655" s="1"/>
        <tr r="AA1656" s="1"/>
        <tr r="AA1657" s="1"/>
        <tr r="AA1658" s="1"/>
        <tr r="AA1659" s="1"/>
        <tr r="AA1660" s="1"/>
        <tr r="AA1661" s="1"/>
        <tr r="AA1662" s="1"/>
        <tr r="AA1663" s="1"/>
        <tr r="AA1664" s="1"/>
        <tr r="AA1665" s="1"/>
        <tr r="AA1666" s="1"/>
        <tr r="AA1667" s="1"/>
        <tr r="AA1668" s="1"/>
        <tr r="AA1669" s="1"/>
        <tr r="AA1670" s="1"/>
        <tr r="AA1671" s="1"/>
        <tr r="AA1672" s="1"/>
        <tr r="AA1673" s="1"/>
        <tr r="AA1674" s="1"/>
        <tr r="AA1675" s="1"/>
        <tr r="AA1676" s="1"/>
        <tr r="AA1677" s="1"/>
        <tr r="AA1678" s="1"/>
        <tr r="AA1679" s="1"/>
        <tr r="AA1680" s="1"/>
        <tr r="AA1681" s="1"/>
        <tr r="AA1682" s="1"/>
        <tr r="AA1683" s="1"/>
        <tr r="AA1684" s="1"/>
        <tr r="AA1685" s="1"/>
        <tr r="AA1686" s="1"/>
        <tr r="AA1687" s="1"/>
        <tr r="AA1688" s="1"/>
        <tr r="AA1689" s="1"/>
        <tr r="AA1690" s="1"/>
        <tr r="AA1691" s="1"/>
        <tr r="AA1692" s="1"/>
        <tr r="AA1693" s="1"/>
        <tr r="AA1694" s="1"/>
        <tr r="AA1695" s="1"/>
        <tr r="AA1696" s="1"/>
        <tr r="AA1697" s="1"/>
        <tr r="AA1698" s="1"/>
        <tr r="AA1699" s="1"/>
        <tr r="AA1700" s="1"/>
        <tr r="AA1701" s="1"/>
        <tr r="AA1702" s="1"/>
        <tr r="AA1703" s="1"/>
        <tr r="AA1704" s="1"/>
        <tr r="AA1705" s="1"/>
        <tr r="AA1706" s="1"/>
        <tr r="AA1707" s="1"/>
        <tr r="AA1708" s="1"/>
        <tr r="AA1709" s="1"/>
        <tr r="AA1710" s="1"/>
        <tr r="AA1711" s="1"/>
        <tr r="AA1712" s="1"/>
        <tr r="AA1713" s="1"/>
        <tr r="AA1714" s="1"/>
        <tr r="AA1715" s="1"/>
        <tr r="AA1716" s="1"/>
        <tr r="AA1717" s="1"/>
        <tr r="AA1718" s="1"/>
        <tr r="AA1719" s="1"/>
        <tr r="AA1720" s="1"/>
        <tr r="AA1721" s="1"/>
        <tr r="AA1722" s="1"/>
        <tr r="AA1723" s="1"/>
        <tr r="AA1724" s="1"/>
        <tr r="AA1725" s="1"/>
        <tr r="AA1726" s="1"/>
        <tr r="AA1727" s="1"/>
        <tr r="AA1728" s="1"/>
        <tr r="AA1729" s="1"/>
        <tr r="AA1730" s="1"/>
        <tr r="AA1731" s="1"/>
        <tr r="AA1732" s="1"/>
        <tr r="AA1733" s="1"/>
        <tr r="AA1734" s="1"/>
        <tr r="AA1735" s="1"/>
        <tr r="AA1736" s="1"/>
        <tr r="AA1737" s="1"/>
        <tr r="AA1738" s="1"/>
        <tr r="AA1739" s="1"/>
        <tr r="AA1740" s="1"/>
        <tr r="AA1741" s="1"/>
        <tr r="AA1742" s="1"/>
        <tr r="AA1743" s="1"/>
        <tr r="AA1744" s="1"/>
        <tr r="AA1745" s="1"/>
        <tr r="AA1746" s="1"/>
        <tr r="AA1747" s="1"/>
        <tr r="AA1748" s="1"/>
        <tr r="AA1749" s="1"/>
        <tr r="AA1750" s="1"/>
        <tr r="AA1751" s="1"/>
        <tr r="AA1752" s="1"/>
        <tr r="AA1753" s="1"/>
        <tr r="AA1754" s="1"/>
        <tr r="AA1755" s="1"/>
        <tr r="AA1756" s="1"/>
        <tr r="AA1757" s="1"/>
        <tr r="AA1758" s="1"/>
        <tr r="AA1759" s="1"/>
        <tr r="AA1760" s="1"/>
        <tr r="AA1761" s="1"/>
        <tr r="AA1762" s="1"/>
        <tr r="AA1763" s="1"/>
        <tr r="AA1764" s="1"/>
        <tr r="AA1765" s="1"/>
        <tr r="AA1766" s="1"/>
        <tr r="AA1767" s="1"/>
        <tr r="AA1768" s="1"/>
        <tr r="AA1769" s="1"/>
        <tr r="AA1770" s="1"/>
        <tr r="AA1771" s="1"/>
        <tr r="AA1772" s="1"/>
        <tr r="AA1773" s="1"/>
        <tr r="AA1774" s="1"/>
        <tr r="AA1775" s="1"/>
        <tr r="AA1776" s="1"/>
        <tr r="AA1777" s="1"/>
        <tr r="AA1778" s="1"/>
        <tr r="AA1779" s="1"/>
        <tr r="AA1780" s="1"/>
        <tr r="AA1781" s="1"/>
        <tr r="AA1782" s="1"/>
        <tr r="AA1783" s="1"/>
        <tr r="AA1784" s="1"/>
        <tr r="AA1785" s="1"/>
        <tr r="AA1786" s="1"/>
        <tr r="AA1787" s="1"/>
        <tr r="AA1788" s="1"/>
        <tr r="AA1789" s="1"/>
        <tr r="AA1790" s="1"/>
        <tr r="AA1791" s="1"/>
        <tr r="AA1792" s="1"/>
        <tr r="AA1793" s="1"/>
        <tr r="AA1794" s="1"/>
        <tr r="AA1795" s="1"/>
        <tr r="AA1796" s="1"/>
        <tr r="AA1797" s="1"/>
        <tr r="AA1798" s="1"/>
        <tr r="AA1799" s="1"/>
        <tr r="AA1800" s="1"/>
        <tr r="AA1801" s="1"/>
        <tr r="AA1802" s="1"/>
        <tr r="AA1803" s="1"/>
        <tr r="AA1804" s="1"/>
        <tr r="AA1805" s="1"/>
        <tr r="AA1806" s="1"/>
        <tr r="AA1807" s="1"/>
        <tr r="AA1808" s="1"/>
        <tr r="AA1809" s="1"/>
        <tr r="AA1810" s="1"/>
        <tr r="AA1811" s="1"/>
        <tr r="AA1812" s="1"/>
        <tr r="AA1813" s="1"/>
        <tr r="AA1814" s="1"/>
        <tr r="AA1815" s="1"/>
        <tr r="AA1816" s="1"/>
        <tr r="AA1817" s="1"/>
        <tr r="AA1818" s="1"/>
        <tr r="AA1819" s="1"/>
        <tr r="AA1820" s="1"/>
        <tr r="AA1821" s="1"/>
        <tr r="AA1822" s="1"/>
        <tr r="AA1823" s="1"/>
        <tr r="AA1824" s="1"/>
        <tr r="AA1825" s="1"/>
        <tr r="AA1826" s="1"/>
        <tr r="AA1827" s="1"/>
        <tr r="AA1828" s="1"/>
        <tr r="AA1829" s="1"/>
        <tr r="AA1830" s="1"/>
        <tr r="AA1831" s="1"/>
        <tr r="AA1832" s="1"/>
        <tr r="AA1833" s="1"/>
        <tr r="AA1834" s="1"/>
        <tr r="AA1835" s="1"/>
        <tr r="AA1836" s="1"/>
        <tr r="AA1837" s="1"/>
        <tr r="AA1838" s="1"/>
        <tr r="AA1839" s="1"/>
        <tr r="AA1840" s="1"/>
        <tr r="AA1841" s="1"/>
        <tr r="AA1842" s="1"/>
        <tr r="AA1843" s="1"/>
        <tr r="AA1844" s="1"/>
        <tr r="AA1845" s="1"/>
        <tr r="AA1846" s="1"/>
        <tr r="AA1847" s="1"/>
        <tr r="AA1848" s="1"/>
        <tr r="AA1849" s="1"/>
        <tr r="AA1850" s="1"/>
        <tr r="AA1851" s="1"/>
        <tr r="AA1852" s="1"/>
        <tr r="AA1853" s="1"/>
        <tr r="AA1854" s="1"/>
        <tr r="AA1855" s="1"/>
        <tr r="AA1856" s="1"/>
        <tr r="AA1857" s="1"/>
        <tr r="AA1858" s="1"/>
        <tr r="AA1859" s="1"/>
        <tr r="AA1860" s="1"/>
        <tr r="AA1861" s="1"/>
        <tr r="AA1862" s="1"/>
        <tr r="AA1863" s="1"/>
        <tr r="AA1864" s="1"/>
        <tr r="AA1865" s="1"/>
        <tr r="AA1866" s="1"/>
        <tr r="AA1867" s="1"/>
        <tr r="AA1868" s="1"/>
        <tr r="AA1869" s="1"/>
        <tr r="AA1870" s="1"/>
        <tr r="AA1871" s="1"/>
        <tr r="AA1872" s="1"/>
        <tr r="AA1873" s="1"/>
        <tr r="AA1874" s="1"/>
        <tr r="AA1875" s="1"/>
        <tr r="AA1876" s="1"/>
        <tr r="AA1877" s="1"/>
        <tr r="AA1878" s="1"/>
        <tr r="AA1879" s="1"/>
        <tr r="AA1880" s="1"/>
        <tr r="AA1881" s="1"/>
        <tr r="AA1882" s="1"/>
        <tr r="AA1883" s="1"/>
        <tr r="AA1884" s="1"/>
        <tr r="AA1885" s="1"/>
        <tr r="AA1886" s="1"/>
        <tr r="AA1887" s="1"/>
        <tr r="AA1888" s="1"/>
        <tr r="AA1889" s="1"/>
        <tr r="AA1890" s="1"/>
        <tr r="AA1891" s="1"/>
        <tr r="AA1892" s="1"/>
        <tr r="AA1893" s="1"/>
        <tr r="AA1894" s="1"/>
        <tr r="AA1895" s="1"/>
        <tr r="AA1896" s="1"/>
        <tr r="AA1897" s="1"/>
        <tr r="AA1898" s="1"/>
        <tr r="AA1899" s="1"/>
        <tr r="AA1900" s="1"/>
        <tr r="AA1901" s="1"/>
        <tr r="AA1902" s="1"/>
        <tr r="AA1903" s="1"/>
        <tr r="AA1904" s="1"/>
        <tr r="AA1905" s="1"/>
        <tr r="AA1906" s="1"/>
        <tr r="AA1907" s="1"/>
        <tr r="AA1908" s="1"/>
        <tr r="AA1909" s="1"/>
        <tr r="AA1910" s="1"/>
        <tr r="AA1911" s="1"/>
        <tr r="AA1912" s="1"/>
        <tr r="AA1913" s="1"/>
        <tr r="AA1914" s="1"/>
        <tr r="AA1915" s="1"/>
        <tr r="AA1916" s="1"/>
        <tr r="AA1917" s="1"/>
        <tr r="AA1918" s="1"/>
        <tr r="AA1919" s="1"/>
        <tr r="AA1920" s="1"/>
        <tr r="AA1921" s="1"/>
        <tr r="AA1922" s="1"/>
        <tr r="AA1923" s="1"/>
        <tr r="AA1924" s="1"/>
        <tr r="AA1925" s="1"/>
        <tr r="AA1926" s="1"/>
        <tr r="AA1927" s="1"/>
        <tr r="AA1928" s="1"/>
        <tr r="AA1929" s="1"/>
        <tr r="AA1930" s="1"/>
        <tr r="AA1931" s="1"/>
        <tr r="AA1932" s="1"/>
        <tr r="AA1933" s="1"/>
        <tr r="AA1934" s="1"/>
        <tr r="AA1935" s="1"/>
        <tr r="AA1936" s="1"/>
        <tr r="AA1937" s="1"/>
        <tr r="AA1938" s="1"/>
        <tr r="AA1939" s="1"/>
        <tr r="AA1940" s="1"/>
        <tr r="AA1941" s="1"/>
        <tr r="AA1942" s="1"/>
        <tr r="AA1943" s="1"/>
        <tr r="AA1944" s="1"/>
        <tr r="AA1945" s="1"/>
        <tr r="AA1946" s="1"/>
        <tr r="AA1947" s="1"/>
        <tr r="AA1948" s="1"/>
        <tr r="AA1949" s="1"/>
        <tr r="AA1950" s="1"/>
        <tr r="AA1951" s="1"/>
        <tr r="AA1952" s="1"/>
        <tr r="AA1953" s="1"/>
        <tr r="AA1954" s="1"/>
        <tr r="AA1955" s="1"/>
        <tr r="AA1956" s="1"/>
        <tr r="AA1957" s="1"/>
        <tr r="AA1958" s="1"/>
        <tr r="AA1959" s="1"/>
        <tr r="AA1960" s="1"/>
        <tr r="AA1961" s="1"/>
        <tr r="AA1962" s="1"/>
        <tr r="AA1963" s="1"/>
        <tr r="AA1964" s="1"/>
        <tr r="AA1965" s="1"/>
        <tr r="AA1966" s="1"/>
        <tr r="AA1967" s="1"/>
        <tr r="AA1968" s="1"/>
        <tr r="AA1969" s="1"/>
        <tr r="AA1970" s="1"/>
        <tr r="AA1971" s="1"/>
        <tr r="AA1972" s="1"/>
        <tr r="AA1973" s="1"/>
        <tr r="AA1974" s="1"/>
        <tr r="AA1975" s="1"/>
        <tr r="AA1976" s="1"/>
        <tr r="AA1977" s="1"/>
        <tr r="AA1978" s="1"/>
        <tr r="AA1979" s="1"/>
        <tr r="AA1980" s="1"/>
        <tr r="AA1981" s="1"/>
        <tr r="AA1982" s="1"/>
        <tr r="AA1983" s="1"/>
        <tr r="AA1984" s="1"/>
        <tr r="AA1985" s="1"/>
        <tr r="AA1986" s="1"/>
        <tr r="AA1987" s="1"/>
        <tr r="AA1988" s="1"/>
        <tr r="AA1989" s="1"/>
        <tr r="AA1990" s="1"/>
        <tr r="AA1991" s="1"/>
        <tr r="AA1992" s="1"/>
        <tr r="AA1993" s="1"/>
        <tr r="AA1994" s="1"/>
        <tr r="AA1995" s="1"/>
        <tr r="AA1996" s="1"/>
        <tr r="AA1997" s="1"/>
        <tr r="AA1998" s="1"/>
        <tr r="AA1999" s="1"/>
        <tr r="AA2000" s="1"/>
        <tr r="AA2001" s="1"/>
      </tp>
      <tp t="s">
        <v>#N/A Requesting Data...3975181757</v>
        <stp/>
        <stp>BDP|16820888183083473155</stp>
        <tr r="Y159" s="1"/>
        <tr r="Y159" s="1"/>
      </tp>
      <tp t="s">
        <v>#N/A Requesting Data...3397325349</v>
        <stp/>
        <stp>BDP|18297137690116454272</stp>
        <tr r="Y307" s="1"/>
        <tr r="Y307" s="1"/>
      </tp>
      <tp t="s">
        <v>#N/A Requesting Data...3668793998</v>
        <stp/>
        <stp>BDP|18212669883647711520</stp>
        <tr r="AA1313" s="1"/>
        <tr r="AA1313" s="1"/>
      </tp>
      <tp t="s">
        <v>#N/A Requesting Data...3467868664</v>
        <stp/>
        <stp>BDP|15176597696288992555</stp>
        <tr r="Y910" s="1"/>
        <tr r="Y910" s="1"/>
      </tp>
      <tp t="s">
        <v>#N/A Requesting Data...4145433689</v>
        <stp/>
        <stp>BDP|10204589381170174981</stp>
        <tr r="AB103" s="1"/>
        <tr r="AB103" s="1"/>
      </tp>
      <tp t="s">
        <v>#N/A Requesting Data...3876274246</v>
        <stp/>
        <stp>BDP|10995431171817074099</stp>
        <tr r="AB215" s="1"/>
        <tr r="AB215" s="1"/>
      </tp>
      <tp t="s">
        <v>#N/A Requesting Data...3590495343</v>
        <stp/>
        <stp>BDP|10440199904621244492</stp>
        <tr r="Z573" s="1"/>
        <tr r="Z573" s="1"/>
      </tp>
      <tp t="s">
        <v>#N/A Requesting Data...4072913758</v>
        <stp/>
        <stp>BDP|18047637037471637809</stp>
        <tr r="Y1005" s="1"/>
        <tr r="Y1005" s="1"/>
      </tp>
      <tp t="s">
        <v>#N/A Requesting Data...3704155576</v>
        <stp/>
        <stp>BDP|17738422007606737178</stp>
        <tr r="AA1409" s="1"/>
        <tr r="AA1409" s="1"/>
      </tp>
      <tp t="s">
        <v>#N/A Requesting Data...3433885350</v>
        <stp/>
        <stp>BDP|13845190599137258883</stp>
        <tr r="AB1102" s="1"/>
        <tr r="AB1102" s="1"/>
      </tp>
      <tp t="s">
        <v>#N/A Requesting Data...3505997609</v>
        <stp/>
        <stp>BDP|16541164831621118114</stp>
        <tr r="Y246" s="1"/>
        <tr r="Y246" s="1"/>
      </tp>
      <tp t="s">
        <v>#N/A Requesting Data...4144042400</v>
        <stp/>
        <stp>BDP|16539253147035430111</stp>
        <tr r="AC1548" s="1"/>
        <tr r="AC1548" s="1"/>
      </tp>
      <tp t="s">
        <v>#N/A Requesting Data...4070492613</v>
        <stp/>
        <stp>BDP|16950478010224597397</stp>
        <tr r="Z1206" s="1"/>
        <tr r="Z1206" s="1"/>
      </tp>
      <tp t="s">
        <v>#N/A Requesting Data...4121676894</v>
        <stp/>
        <stp>BDP|11978667314763089198</stp>
        <tr r="AA452" s="1"/>
        <tr r="AA452" s="1"/>
      </tp>
      <tp t="s">
        <v>#N/A Requesting Data...3417879890</v>
        <stp/>
        <stp>BDP|16313795050823091383</stp>
        <tr r="Z1108" s="1"/>
        <tr r="Z1108" s="1"/>
      </tp>
      <tp t="s">
        <v>#N/A Requesting Data...3698035121</v>
        <stp/>
        <stp>BDP|11900119269636283411</stp>
        <tr r="AC1304" s="1"/>
        <tr r="AC1304" s="1"/>
      </tp>
      <tp t="s">
        <v>#N/A Requesting Data...3868550445</v>
        <stp/>
        <stp>BDP|16463373728080963306</stp>
        <tr r="Y995" s="1"/>
        <tr r="Y995" s="1"/>
      </tp>
      <tp t="s">
        <v>#N/A Requesting Data...3820842846</v>
        <stp/>
        <stp>BDP|13760571566737735336</stp>
        <tr r="Y1092" s="1"/>
        <tr r="Y1092" s="1"/>
      </tp>
      <tp t="s">
        <v>#N/A Requesting Data...4249481132</v>
        <stp/>
        <stp>BDP|15025471526630741744</stp>
        <tr r="AC24" s="1"/>
        <tr r="AC24" s="1"/>
      </tp>
      <tp t="s">
        <v>#N/A Requesting Data...3907944620</v>
        <stp/>
        <stp>BDP|10560842693891107418</stp>
        <tr r="AA280" s="1"/>
        <tr r="AA280" s="1"/>
      </tp>
      <tp t="s">
        <v>#N/A Requesting Data...3615763223</v>
        <stp/>
        <stp>BDP|17641667168722828122</stp>
        <tr r="AB309" s="1"/>
        <tr r="AB309" s="1"/>
      </tp>
      <tp t="s">
        <v>#N/A Requesting Data...4139903295</v>
        <stp/>
        <stp>BDP|16349996075849980539</stp>
        <tr r="AA271" s="1"/>
        <tr r="AA271" s="1"/>
      </tp>
      <tp t="s">
        <v>#N/A Requesting Data...3718839477</v>
        <stp/>
        <stp>BDP|16742320356901347552</stp>
        <tr r="AB268" s="1"/>
        <tr r="AB268" s="1"/>
      </tp>
      <tp t="s">
        <v>#N/A Requesting Data...4040220712</v>
        <stp/>
        <stp>BDP|15596360699872884973</stp>
        <tr r="AA757" s="1"/>
        <tr r="AA757" s="1"/>
      </tp>
      <tp t="s">
        <v>#N/A Requesting Data...3512385985</v>
        <stp/>
        <stp>BDP|15714552249232698280</stp>
        <tr r="AB999" s="1"/>
        <tr r="AB999" s="1"/>
      </tp>
      <tp t="s">
        <v>#N/A Requesting Data...4155648453</v>
        <stp/>
        <stp>BDP|10702108200757753252</stp>
        <tr r="AC699" s="1"/>
        <tr r="AC699" s="1"/>
      </tp>
      <tp t="s">
        <v>#N/A Requesting Data...4182990952</v>
        <stp/>
        <stp>BDP|17750128818885126699</stp>
        <tr r="Y750" s="1"/>
        <tr r="Y750" s="1"/>
      </tp>
      <tp t="s">
        <v>#N/A Requesting Data...4215932459</v>
        <stp/>
        <stp>BDP|11599071900357775200</stp>
        <tr r="Y1479" s="1"/>
        <tr r="Y1479" s="1"/>
      </tp>
      <tp t="s">
        <v>#N/A Requesting Data...4032710783</v>
        <stp/>
        <stp>BDP|17448517641186101401</stp>
        <tr r="Z934" s="1"/>
        <tr r="Z934" s="1"/>
      </tp>
      <tp t="s">
        <v>#N/A Requesting Data...3715400853</v>
        <stp/>
        <stp>BDP|10366431719188860942</stp>
        <tr r="Y366" s="1"/>
        <tr r="Y366" s="1"/>
      </tp>
      <tp t="s">
        <v>#N/A Requesting Data...4221792501</v>
        <stp/>
        <stp>BDP|11412422513544274423</stp>
        <tr r="AC823" s="1"/>
        <tr r="AC823" s="1"/>
      </tp>
      <tp t="s">
        <v>#N/A Requesting Data...4153498094</v>
        <stp/>
        <stp>BDP|15920893935322357836</stp>
        <tr r="Y1025" s="1"/>
        <tr r="Y1025" s="1"/>
      </tp>
      <tp t="s">
        <v>#N/A Requesting Data...4010723281</v>
        <stp/>
        <stp>BDP|13938708609014128448</stp>
        <tr r="Z175" s="1"/>
        <tr r="Z175" s="1"/>
      </tp>
      <tp t="s">
        <v>#N/A Requesting Data...3638586930</v>
        <stp/>
        <stp>BDP|14001131074890278609</stp>
        <tr r="AA592" s="1"/>
        <tr r="AA592" s="1"/>
      </tp>
      <tp t="s">
        <v>#N/A Requesting Data...3550106218</v>
        <stp/>
        <stp>BDP|10039481769212527414</stp>
        <tr r="AB118" s="1"/>
        <tr r="AB118" s="1"/>
      </tp>
      <tp t="s">
        <v>#N/A Requesting Data...3967465408</v>
        <stp/>
        <stp>BDP|11315665657706366040</stp>
        <tr r="Z504" s="1"/>
        <tr r="Z504" s="1"/>
      </tp>
      <tp t="s">
        <v>#N/A Requesting Data...3589725400</v>
        <stp/>
        <stp>BDP|13356112423311643525</stp>
        <tr r="AA10" s="1"/>
        <tr r="AA10" s="1"/>
      </tp>
      <tp t="s">
        <v>#N/A Requesting Data...4291348479</v>
        <stp/>
        <stp>BDP|16132778771394629651</stp>
        <tr r="AC1008" s="1"/>
        <tr r="AC1008" s="1"/>
      </tp>
      <tp t="s">
        <v>#N/A Requesting Data...4045058999</v>
        <stp/>
        <stp>BDP|15426479626547667072</stp>
        <tr r="Y848" s="1"/>
        <tr r="Y848" s="1"/>
      </tp>
      <tp t="s">
        <v>#N/A Requesting Data...4158599829</v>
        <stp/>
        <stp>BDP|14605552545390035123</stp>
        <tr r="Y277" s="1"/>
        <tr r="Y277" s="1"/>
      </tp>
      <tp t="s">
        <v>#N/A Requesting Data...3985002751</v>
        <stp/>
        <stp>BDP|18408133707038337571</stp>
        <tr r="AB421" s="1"/>
        <tr r="AB421" s="1"/>
      </tp>
      <tp t="s">
        <v>#N/A Requesting Data...4217959839</v>
        <stp/>
        <stp>BDP|14180806700911160940</stp>
        <tr r="AB323" s="1"/>
        <tr r="AB323" s="1"/>
      </tp>
      <tp t="s">
        <v>#N/A Requesting Data...3448421419</v>
        <stp/>
        <stp>BDP|15189563444070421039</stp>
        <tr r="AB1199" s="1"/>
        <tr r="AB1199" s="1"/>
      </tp>
      <tp t="s">
        <v>#N/A Requesting Data...4171217606</v>
        <stp/>
        <stp>BDP|11289705926043610369</stp>
        <tr r="AC1418" s="1"/>
        <tr r="AC1418" s="1"/>
      </tp>
      <tp t="s">
        <v>#N/A Requesting Data...3943620167</v>
        <stp/>
        <stp>BDP|12463350224183578479</stp>
        <tr r="Z493" s="1"/>
        <tr r="Z493" s="1"/>
      </tp>
      <tp t="s">
        <v>#N/A Requesting Data...3847964953</v>
        <stp/>
        <stp>BDP|17316002427211198027</stp>
        <tr r="AC106" s="1"/>
        <tr r="AC106" s="1"/>
      </tp>
      <tp t="s">
        <v>#N/A Requesting Data...3615033616</v>
        <stp/>
        <stp>BDP|10063326713973473521</stp>
        <tr r="AC118" s="1"/>
        <tr r="AC118" s="1"/>
      </tp>
      <tp t="s">
        <v>#N/A Requesting Data...3471544708</v>
        <stp/>
        <stp>BDP|14341838085188434863</stp>
        <tr r="AB1274" s="1"/>
        <tr r="AB1274" s="1"/>
      </tp>
      <tp t="s">
        <v>#N/A Requesting Data...4167938521</v>
        <stp/>
        <stp>BDP|12293268854527101668</stp>
        <tr r="Z1298" s="1"/>
        <tr r="Z1298" s="1"/>
      </tp>
      <tp t="s">
        <v>#N/A Requesting Data...4276457423</v>
        <stp/>
        <stp>BDP|10394046924064342278</stp>
        <tr r="AB646" s="1"/>
        <tr r="AB646" s="1"/>
      </tp>
      <tp t="s">
        <v>#N/A Requesting Data...4050066572</v>
        <stp/>
        <stp>BDP|15578679670428017858</stp>
        <tr r="AA368" s="1"/>
        <tr r="AA368" s="1"/>
      </tp>
      <tp t="s">
        <v>#N/A Requesting Data...3577203336</v>
        <stp/>
        <stp>BDP|17301055230304813494</stp>
        <tr r="Z527" s="1"/>
        <tr r="Z527" s="1"/>
      </tp>
      <tp t="s">
        <v>#N/A Requesting Data...3839447076</v>
        <stp/>
        <stp>BDP|10123282936535006087</stp>
        <tr r="AC1033" s="1"/>
        <tr r="AC1033" s="1"/>
      </tp>
      <tp t="s">
        <v>#N/A Requesting Data...3742568414</v>
        <stp/>
        <stp>BDP|17523475891017454905</stp>
        <tr r="AC804" s="1"/>
        <tr r="AC804" s="1"/>
      </tp>
      <tp t="s">
        <v>#N/A Requesting Data...3902329247</v>
        <stp/>
        <stp>BDP|15526010256576446214</stp>
        <tr r="AC1593" s="1"/>
        <tr r="AC1593" s="1"/>
      </tp>
      <tp t="s">
        <v>#N/A Requesting Data...4269478590</v>
        <stp/>
        <stp>BDP|12326002322375606104</stp>
        <tr r="AB170" s="1"/>
        <tr r="AB170" s="1"/>
      </tp>
      <tp t="s">
        <v>#N/A Requesting Data...3925366787</v>
        <stp/>
        <stp>BDP|12616944669291948855</stp>
        <tr r="AA502" s="1"/>
        <tr r="AA502" s="1"/>
      </tp>
      <tp t="s">
        <v>#N/A Requesting Data...3658515781</v>
        <stp/>
        <stp>BDP|10408087685309815560</stp>
        <tr r="AC13" s="1"/>
        <tr r="AC13" s="1"/>
      </tp>
      <tp t="s">
        <v>#N/A Requesting Data...3975367526</v>
        <stp/>
        <stp>BDP|17172614544760052134</stp>
        <tr r="AA876" s="1"/>
        <tr r="AA876" s="1"/>
      </tp>
      <tp t="s">
        <v>#N/A Requesting Data...4108308747</v>
        <stp/>
        <stp>BDP|16852629229757346164</stp>
        <tr r="Z1089" s="1"/>
        <tr r="Z1089" s="1"/>
      </tp>
      <tp t="s">
        <v>#N/A Requesting Data...4136754157</v>
        <stp/>
        <stp>BDP|16734409550007131403</stp>
        <tr r="AC139" s="1"/>
        <tr r="AC139" s="1"/>
      </tp>
      <tp t="s">
        <v>#N/A Requesting Data...3688726452</v>
        <stp/>
        <stp>BDP|12068113952975119743</stp>
        <tr r="Y92" s="1"/>
        <tr r="Y92" s="1"/>
      </tp>
      <tp t="s">
        <v>#N/A Requesting Data...3834123002</v>
        <stp/>
        <stp>BDP|13365031932572650629</stp>
        <tr r="AB283" s="1"/>
        <tr r="AB283" s="1"/>
      </tp>
      <tp t="s">
        <v>#N/A Requesting Data...4004729164</v>
        <stp/>
        <stp>BDP|10141771811975602771</stp>
        <tr r="AB577" s="1"/>
        <tr r="AB577" s="1"/>
      </tp>
      <tp t="s">
        <v>#N/A Requesting Data...3629636107</v>
        <stp/>
        <stp>BDP|17838199254724087339</stp>
        <tr r="Y1207" s="1"/>
        <tr r="Y1207" s="1"/>
      </tp>
      <tp t="s">
        <v>#N/A Requesting Data...4167195090</v>
        <stp/>
        <stp>BDP|16515227874010185742</stp>
        <tr r="AC1218" s="1"/>
        <tr r="AC1218" s="1"/>
      </tp>
      <tp t="s">
        <v>#N/A Requesting Data...3524022052</v>
        <stp/>
        <stp>BDP|11493556572471729625</stp>
        <tr r="Y400" s="1"/>
        <tr r="Y400" s="1"/>
      </tp>
      <tp t="s">
        <v>#N/A Requesting Data...3851769325</v>
        <stp/>
        <stp>BDP|14437854047979866584</stp>
        <tr r="AA692" s="1"/>
        <tr r="AA692" s="1"/>
      </tp>
      <tp t="s">
        <v>#N/A Requesting Data...3865485925</v>
        <stp/>
        <stp>BDP|13737046133953472727</stp>
        <tr r="Z675" s="1"/>
        <tr r="Z675" s="1"/>
      </tp>
      <tp t="s">
        <v>#N/A Requesting Data...3614505097</v>
        <stp/>
        <stp>BDP|13975671465735412293</stp>
        <tr r="AC169" s="1"/>
        <tr r="AC169" s="1"/>
      </tp>
      <tp t="s">
        <v>#N/A Requesting Data...3537959157</v>
        <stp/>
        <stp>BDP|13904038133132822679</stp>
        <tr r="AC1356" s="1"/>
        <tr r="AC1356" s="1"/>
      </tp>
      <tp t="s">
        <v>#N/A Requesting Data...3499695128</v>
        <stp/>
        <stp>BDP|15485320744445242369</stp>
        <tr r="AC1188" s="1"/>
        <tr r="AC1188" s="1"/>
      </tp>
      <tp t="s">
        <v>#N/A Requesting Data...3619287414</v>
        <stp/>
        <stp>BDP|13834146705647623191</stp>
        <tr r="AA841" s="1"/>
        <tr r="AA841" s="1"/>
      </tp>
      <tp t="s">
        <v>#N/A Requesting Data...3775206850</v>
        <stp/>
        <stp>BDP|17471923512272763955</stp>
        <tr r="AA642" s="1"/>
      </tp>
      <tp>
        <v>5.0000000000000001E-3</v>
        <stp/>
        <stp>BDP|7514642126858470686|22</stp>
        <stp>IAN CN Equity</stp>
        <stp>LAST_PRICE</stp>
        <tr r="AD712" s="1"/>
        <tr r="AD712" s="1"/>
      </tp>
      <tp>
        <v>9.06</v>
        <stp/>
        <stp>BDP|8346526830472336370|22</stp>
        <stp>ACB CN Equity</stp>
        <stp>LAST_PRICE</stp>
        <tr r="AD197" s="1"/>
        <tr r="AD197" s="1"/>
      </tp>
      <tp>
        <v>9.9999999999999995E-7</v>
        <stp/>
        <stp>BDP|930004079149095802|22</stp>
        <stp>BSPM US Equity</stp>
        <stp>LAST_PRICE</stp>
        <tr r="AD280" s="1"/>
        <tr r="AD280" s="1"/>
      </tp>
      <tp>
        <v>17.7</v>
        <stp/>
        <stp>BDP|592635337622780805|22</stp>
        <stp>PHVS US Equity</stp>
        <stp>LAST_PRICE</stp>
        <tr r="AD1161" s="1"/>
        <tr r="AD1161" s="1"/>
      </tp>
      <tp t="s">
        <v>#N/A Requesting Data...4199824486</v>
        <stp/>
        <stp>BDP|16278922424461436999</stp>
        <tr r="Z1181" s="1"/>
        <tr r="Z1181" s="1"/>
      </tp>
      <tp t="s">
        <v>#N/A Requesting Data...3464276214</v>
        <stp/>
        <stp>BDP|14932467145425386403</stp>
        <tr r="AA982" s="1"/>
        <tr r="AA982" s="1"/>
      </tp>
      <tp t="s">
        <v>#N/A Requesting Data...4007009218</v>
        <stp/>
        <stp>BDP|16231370425822033091</stp>
        <tr r="Z1442" s="1"/>
        <tr r="Z1442" s="1"/>
      </tp>
      <tp t="s">
        <v>#N/A Requesting Data...4269319641</v>
        <stp/>
        <stp>BDP|10190024425495948265</stp>
        <tr r="AB947" s="1"/>
        <tr r="AB947" s="1"/>
      </tp>
      <tp t="s">
        <v>#N/A Requesting Data...4232253343</v>
        <stp/>
        <stp>BDP|12729696366254584340</stp>
        <tr r="Y1520" s="1"/>
        <tr r="Y1520" s="1"/>
      </tp>
      <tp t="s">
        <v>#N/A Requesting Data...4182596489</v>
        <stp/>
        <stp>BDP|14376915248155044939</stp>
        <tr r="AA917" s="1"/>
        <tr r="AA917" s="1"/>
      </tp>
      <tp t="s">
        <v>#N/A Requesting Data...3908631040</v>
        <stp/>
        <stp>BDP|15684691016130326737</stp>
        <tr r="AC194" s="1"/>
      </tp>
      <tp t="s">
        <v>#N/A Requesting Data...3791540870</v>
        <stp/>
        <stp>BDP|11876175556274309433</stp>
        <tr r="Y932" s="1"/>
        <tr r="Y932" s="1"/>
      </tp>
      <tp t="s">
        <v>#N/A Requesting Data...3634644372</v>
        <stp/>
        <stp>BDP|16942775396204278937</stp>
        <tr r="Y1064" s="1"/>
        <tr r="Y1064" s="1"/>
      </tp>
      <tp t="s">
        <v>#N/A Requesting Data...4204040863</v>
        <stp/>
        <stp>BDP|14574086067117301002</stp>
        <tr r="AA310" s="1"/>
        <tr r="AA310" s="1"/>
      </tp>
      <tp t="s">
        <v>#N/A Requesting Data...4183989435</v>
        <stp/>
        <stp>BDP|16851668324797532068</stp>
        <tr r="Z92" s="1"/>
        <tr r="Z92" s="1"/>
      </tp>
      <tp t="s">
        <v>#N/A Requesting Data...3500255366</v>
        <stp/>
        <stp>BDP|10643584954333472673</stp>
        <tr r="AC1240" s="1"/>
        <tr r="AC1240" s="1"/>
      </tp>
      <tp t="s">
        <v>#N/A Requesting Data...3685150125</v>
        <stp/>
        <stp>BDP|11135980926538761716</stp>
        <tr r="Z1291" s="1"/>
        <tr r="Z1291" s="1"/>
      </tp>
      <tp t="s">
        <v>#N/A Requesting Data...4184903918</v>
        <stp/>
        <stp>BDP|10187230303873020484</stp>
        <tr r="AA1367" s="1"/>
        <tr r="AA1367" s="1"/>
      </tp>
      <tp t="s">
        <v>#N/A Requesting Data...4145762785</v>
        <stp/>
        <stp>BDP|16672906984502318081</stp>
        <tr r="Z1373" s="1"/>
        <tr r="Z1373" s="1"/>
      </tp>
      <tp t="s">
        <v>#N/A Requesting Data...4045848626</v>
        <stp/>
        <stp>BDP|11149056936782966538</stp>
        <tr r="AA1071" s="1"/>
        <tr r="AA1071" s="1"/>
      </tp>
      <tp t="s">
        <v>#N/A Requesting Data...4115974728</v>
        <stp/>
        <stp>BDP|14900311176724279148</stp>
        <tr r="AA501" s="1"/>
        <tr r="AA501" s="1"/>
      </tp>
      <tp t="s">
        <v>#N/A Requesting Data...3525153585</v>
        <stp/>
        <stp>BDP|11791646418696550564</stp>
        <tr r="AB1253" s="1"/>
        <tr r="AB1253" s="1"/>
      </tp>
      <tp t="s">
        <v>#N/A Requesting Data...3470123711</v>
        <stp/>
        <stp>BDP|10157781645784131258</stp>
        <tr r="AB433" s="1"/>
        <tr r="AB433" s="1"/>
      </tp>
      <tp t="s">
        <v>#N/A Requesting Data...4035839434</v>
        <stp/>
        <stp>BDP|13486887027538579463</stp>
        <tr r="AB825" s="1"/>
        <tr r="AB825" s="1"/>
      </tp>
      <tp t="s">
        <v>#N/A Requesting Data...4165484213</v>
        <stp/>
        <stp>BDP|16001476704321818637</stp>
        <tr r="AB790" s="1"/>
        <tr r="AB790" s="1"/>
      </tp>
      <tp t="s">
        <v>#N/A Requesting Data...4278987604</v>
        <stp/>
        <stp>BDP|16005353494218074195</stp>
        <tr r="Z178" s="1"/>
        <tr r="Z178" s="1"/>
      </tp>
      <tp t="s">
        <v>#N/A Requesting Data...3549585025</v>
        <stp/>
        <stp>BDP|14274334406840685290</stp>
        <tr r="Y1388" s="1"/>
        <tr r="Y1388" s="1"/>
      </tp>
      <tp t="s">
        <v>#N/A Requesting Data...4047924124</v>
        <stp/>
        <stp>BDP|17448802858547207860</stp>
        <tr r="AA906" s="1"/>
        <tr r="AA906" s="1"/>
      </tp>
      <tp t="s">
        <v>#N/A Requesting Data...4221219837</v>
        <stp/>
        <stp>BDP|16379454625166354386</stp>
        <tr r="Y1152" s="1"/>
        <tr r="Y1152" s="1"/>
      </tp>
      <tp t="s">
        <v>#N/A Requesting Data...4075575288</v>
        <stp/>
        <stp>BDP|11965663360223314747</stp>
        <tr r="AB990" s="1"/>
        <tr r="AB990" s="1"/>
      </tp>
      <tp t="s">
        <v>#N/A Requesting Data...3966019223</v>
        <stp/>
        <stp>BDP|15541182877605259304</stp>
        <tr r="AC508" s="1"/>
        <tr r="AC508" s="1"/>
      </tp>
      <tp t="s">
        <v>#N/A Requesting Data...3892390871</v>
        <stp/>
        <stp>BDP|10967152352935695404</stp>
        <tr r="Y387" s="1"/>
        <tr r="Y387" s="1"/>
      </tp>
      <tp t="s">
        <v>#N/A Requesting Data...3844794217</v>
        <stp/>
        <stp>BDP|16637185188028676281</stp>
        <tr r="Z516" s="1"/>
        <tr r="Z516" s="1"/>
      </tp>
      <tp t="s">
        <v>#N/A Requesting Data...3600654929</v>
        <stp/>
        <stp>BDP|16704360323693961136</stp>
        <tr r="AA371" s="1"/>
        <tr r="AA371" s="1"/>
      </tp>
      <tp t="s">
        <v>#N/A Requesting Data...3828328272</v>
        <stp/>
        <stp>BDP|14282375758640492714</stp>
        <tr r="AB1148" s="1"/>
        <tr r="AB1148" s="1"/>
      </tp>
      <tp t="s">
        <v>#N/A Requesting Data...3961755257</v>
        <stp/>
        <stp>BDP|11177746051283940552</stp>
        <tr r="AC1311" s="1"/>
        <tr r="AC1311" s="1"/>
      </tp>
      <tp t="s">
        <v>#N/A Requesting Data...3799382441</v>
        <stp/>
        <stp>BDP|16765160124295583589</stp>
        <tr r="Y460" s="1"/>
        <tr r="Y460" s="1"/>
      </tp>
      <tp t="s">
        <v>#N/A Requesting Data...4116768419</v>
        <stp/>
        <stp>BDP|13027676379176105171</stp>
        <tr r="Y1102" s="1"/>
        <tr r="Y1102" s="1"/>
      </tp>
      <tp t="s">
        <v>#N/A Requesting Data...3719861767</v>
        <stp/>
        <stp>BDP|15010267532763921257</stp>
        <tr r="Y1519" s="1"/>
        <tr r="Y1519" s="1"/>
      </tp>
      <tp t="s">
        <v>#N/A Requesting Data...3705127362</v>
        <stp/>
        <stp>BDP|10520339387737960932</stp>
        <tr r="Z1447" s="1"/>
        <tr r="Z1447" s="1"/>
      </tp>
      <tp t="s">
        <v>#N/A Requesting Data...4063309773</v>
        <stp/>
        <stp>BDP|16226845696601392380</stp>
        <tr r="Z910" s="1"/>
        <tr r="Z910" s="1"/>
      </tp>
      <tp t="s">
        <v>#N/A Requesting Data...4081464137</v>
        <stp/>
        <stp>BDP|14274929611941807828</stp>
        <tr r="Y1288" s="1"/>
        <tr r="Y1288" s="1"/>
      </tp>
      <tp t="s">
        <v>#N/A Requesting Data...3779841757</v>
        <stp/>
        <stp>BDP|18337472349168045569</stp>
        <tr r="AB1038" s="1"/>
        <tr r="AB1038" s="1"/>
      </tp>
      <tp t="s">
        <v>#N/A Requesting Data...4105532240</v>
        <stp/>
        <stp>BDP|14642598646730336015</stp>
        <tr r="Z833" s="1"/>
        <tr r="Z833" s="1"/>
      </tp>
      <tp t="s">
        <v>#N/A Requesting Data...3857930147</v>
        <stp/>
        <stp>BDP|18269243988017408016</stp>
        <tr r="AB1522" s="1"/>
        <tr r="AB1522" s="1"/>
      </tp>
      <tp t="s">
        <v>#N/A Requesting Data...4119774383</v>
        <stp/>
        <stp>BDP|12555425958143200560</stp>
        <tr r="AB1472" s="1"/>
        <tr r="AB1472" s="1"/>
      </tp>
      <tp t="s">
        <v>#N/A Requesting Data...3729586824</v>
        <stp/>
        <stp>BDP|12002324534215554282</stp>
        <tr r="Y1227" s="1"/>
        <tr r="Y1227" s="1"/>
      </tp>
      <tp t="s">
        <v>#N/A Requesting Data...4121998954</v>
        <stp/>
        <stp>BDP|12429165821610070481</stp>
        <tr r="AB265" s="1"/>
        <tr r="AB265" s="1"/>
      </tp>
      <tp t="s">
        <v>#N/A Requesting Data...3517414320</v>
        <stp/>
        <stp>BDP|10159338061049132998</stp>
        <tr r="Z1267" s="1"/>
        <tr r="Z1267" s="1"/>
      </tp>
      <tp t="s">
        <v>#N/A Requesting Data...4007561081</v>
        <stp/>
        <stp>BDP|12182827906917690889</stp>
        <tr r="Z1223" s="1"/>
        <tr r="Z1223" s="1"/>
      </tp>
      <tp t="s">
        <v>#N/A Requesting Data...4270339728</v>
        <stp/>
        <stp>BDP|12959824076001687910</stp>
        <tr r="AC1367" s="1"/>
        <tr r="AC1367" s="1"/>
      </tp>
      <tp t="s">
        <v>#N/A Requesting Data...4014673427</v>
        <stp/>
        <stp>BDP|10996192823085920300</stp>
        <tr r="AC1558" s="1"/>
        <tr r="AC1558" s="1"/>
      </tp>
      <tp t="s">
        <v>#N/A Requesting Data...3889109391</v>
        <stp/>
        <stp>BDP|17364578992076443882</stp>
        <tr r="Y207" s="1"/>
        <tr r="Y207" s="1"/>
      </tp>
      <tp t="s">
        <v>#N/A Requesting Data...4294303198</v>
        <stp/>
        <stp>BDP|14275892007419396050</stp>
        <tr r="Z209" s="1"/>
        <tr r="Z209" s="1"/>
      </tp>
      <tp t="s">
        <v>#N/A Requesting Data...4103738106</v>
        <stp/>
        <stp>BDP|15237547510242905659</stp>
        <tr r="Z377" s="1"/>
        <tr r="Z377" s="1"/>
      </tp>
      <tp t="s">
        <v>#N/A Requesting Data...4184208580</v>
        <stp/>
        <stp>BDP|17138438594299822646</stp>
        <tr r="AA189" s="1"/>
        <tr r="AA189" s="1"/>
      </tp>
      <tp t="s">
        <v>#N/A Requesting Data...3757283995</v>
        <stp/>
        <stp>BDP|13673655257056849365</stp>
        <tr r="AB1109" s="1"/>
        <tr r="AB1109" s="1"/>
      </tp>
      <tp t="s">
        <v>#N/A Requesting Data...3713162961</v>
        <stp/>
        <stp>BDP|16155592737710218572</stp>
        <tr r="AA1295" s="1"/>
      </tp>
      <tp t="s">
        <v>#N/A Requesting Data...4060052924</v>
        <stp/>
        <stp>BDP|17311090109603157183</stp>
        <tr r="AC1448" s="1"/>
        <tr r="AC1448" s="1"/>
      </tp>
      <tp t="s">
        <v>#N/A Requesting Data...4112774451</v>
        <stp/>
        <stp>BDP|15854549706345066009</stp>
        <tr r="Y1054" s="1"/>
        <tr r="Y1054" s="1"/>
      </tp>
      <tp t="s">
        <v>#N/A Requesting Data...4058809923</v>
        <stp/>
        <stp>BDP|11046254350285853673</stp>
        <tr r="Z519" s="1"/>
        <tr r="Z519" s="1"/>
      </tp>
      <tp t="s">
        <v>#N/A Requesting Data...3482124901</v>
        <stp/>
        <stp>BDP|10277337781749201783</stp>
        <tr r="AA131" s="1"/>
        <tr r="AA131" s="1"/>
      </tp>
      <tp t="s">
        <v>#N/A Requesting Data...3869700798</v>
        <stp/>
        <stp>BDP|14075880643585939885</stp>
        <tr r="Z1220" s="1"/>
        <tr r="Z1220" s="1"/>
      </tp>
      <tp t="s">
        <v>#N/A Requesting Data...3625770155</v>
        <stp/>
        <stp>BDP|15359299632711738023</stp>
        <tr r="AA359" s="1"/>
        <tr r="AA359" s="1"/>
      </tp>
      <tp t="s">
        <v>#N/A Requesting Data...4206457772</v>
        <stp/>
        <stp>BDP|15394684262705569516</stp>
        <tr r="Z901" s="1"/>
        <tr r="Z901" s="1"/>
      </tp>
      <tp t="s">
        <v>#N/A Requesting Data...4108100555</v>
        <stp/>
        <stp>BDP|17643887092470885395</stp>
        <tr r="Y1609" s="1"/>
        <tr r="Y1609" s="1"/>
      </tp>
      <tp t="s">
        <v>#N/A Requesting Data...3875632340</v>
        <stp/>
        <stp>BDP|11472131739985333305</stp>
        <tr r="AB656" s="1"/>
        <tr r="AB656" s="1"/>
      </tp>
      <tp t="s">
        <v>#N/A Requesting Data...4220363892</v>
        <stp/>
        <stp>BDP|14582667744452253187</stp>
        <tr r="AB362" s="1"/>
        <tr r="AB362" s="1"/>
      </tp>
      <tp t="s">
        <v>#N/A Requesting Data...4042062796</v>
        <stp/>
        <stp>BDP|12888624590929439139</stp>
        <tr r="AB1113" s="1"/>
        <tr r="AB1113" s="1"/>
      </tp>
      <tp t="s">
        <v>#N/A Requesting Data...4258191561</v>
        <stp/>
        <stp>BDP|17496659321395583385</stp>
        <tr r="AB312" s="1"/>
        <tr r="AB312" s="1"/>
      </tp>
      <tp t="s">
        <v>#N/A Requesting Data...3953860713</v>
        <stp/>
        <stp>BDP|17027414261191594180</stp>
        <tr r="Y1338" s="1"/>
        <tr r="Y1338" s="1"/>
      </tp>
      <tp t="s">
        <v>#N/A Requesting Data...3954068726</v>
        <stp/>
        <stp>BDP|12042164437876934356</stp>
        <tr r="Y1217" s="1"/>
        <tr r="Y1217" s="1"/>
      </tp>
      <tp t="s">
        <v>#N/A Requesting Data...4248256557</v>
        <stp/>
        <stp>BDP|14305738901210402686</stp>
        <tr r="AB454" s="1"/>
        <tr r="AB454" s="1"/>
      </tp>
      <tp t="s">
        <v>#N/A Requesting Data...3555754676</v>
        <stp/>
        <stp>BDP|14671972393790644195</stp>
        <tr r="Y419" s="1"/>
        <tr r="Y419" s="1"/>
      </tp>
      <tp t="s">
        <v>#N/A Requesting Data...3684839081</v>
        <stp/>
        <stp>BDP|16911207567821549668</stp>
        <tr r="Z931" s="1"/>
        <tr r="Z931" s="1"/>
      </tp>
      <tp t="s">
        <v>#N/A Requesting Data...3936355886</v>
        <stp/>
        <stp>BDP|16189643955237892752</stp>
        <tr r="Y933" s="1"/>
        <tr r="Y933" s="1"/>
      </tp>
      <tp t="s">
        <v>#N/A Requesting Data...3767918212</v>
        <stp/>
        <stp>BDP|12217461582392825930</stp>
        <tr r="AC514" s="1"/>
        <tr r="AC514" s="1"/>
      </tp>
      <tp t="s">
        <v>#N/A Requesting Data...3786981365</v>
        <stp/>
        <stp>BDP|17012546798449756767</stp>
        <tr r="Y374" s="1"/>
        <tr r="Y374" s="1"/>
      </tp>
      <tp t="s">
        <v>#N/A Requesting Data...3569109081</v>
        <stp/>
        <stp>BDP|18309399537889831484</stp>
        <tr r="Z1313" s="1"/>
        <tr r="Z1313" s="1"/>
      </tp>
      <tp t="s">
        <v>#N/A Requesting Data...3658401982</v>
        <stp/>
        <stp>BDP|13368375547168679983</stp>
        <tr r="AC1040" s="1"/>
        <tr r="AC1040" s="1"/>
      </tp>
      <tp t="s">
        <v>#N/A Requesting Data...3988462968</v>
        <stp/>
        <stp>BDP|10778899492555485156</stp>
        <tr r="AA1165" s="1"/>
        <tr r="AA1165" s="1"/>
      </tp>
      <tp t="s">
        <v>#N/A Requesting Data...3784408243</v>
        <stp/>
        <stp>BDP|16142052810206051494</stp>
        <tr r="Y1575" s="1"/>
        <tr r="Y1575" s="1"/>
      </tp>
      <tp t="s">
        <v>#N/A Requesting Data...3680549083</v>
        <stp/>
        <stp>BDP|12249546848200572663</stp>
        <tr r="AC159" s="1"/>
        <tr r="AC159" s="1"/>
      </tp>
      <tp t="s">
        <v>#N/A Requesting Data...3703757610</v>
        <stp/>
        <stp>BDP|14245286376411305522</stp>
        <tr r="AB145" s="1"/>
        <tr r="AB145" s="1"/>
      </tp>
      <tp t="s">
        <v>#N/A Requesting Data...4279507975</v>
        <stp/>
        <stp>BDP|15402059139613630038</stp>
        <tr r="Z1527" s="1"/>
        <tr r="Z1527" s="1"/>
      </tp>
      <tp t="s">
        <v>#N/A Requesting Data...4282775662</v>
        <stp/>
        <stp>BDP|14277992534489632259</stp>
        <tr r="AA1539" s="1"/>
        <tr r="AA1539" s="1"/>
      </tp>
      <tp t="s">
        <v>#N/A Requesting Data...3813653058</v>
        <stp/>
        <stp>BDP|13552099561902063218</stp>
        <tr r="AB1063" s="1"/>
        <tr r="AB1063" s="1"/>
      </tp>
      <tp t="s">
        <v>#N/A Requesting Data...3977569975</v>
        <stp/>
        <stp>BDP|17639116348945338201</stp>
        <tr r="AA58" s="1"/>
        <tr r="AA58" s="1"/>
      </tp>
      <tp t="s">
        <v>#N/A Requesting Data...3601282157</v>
        <stp/>
        <stp>BDP|17148640400074089092</stp>
        <tr r="AA974" s="1"/>
        <tr r="AA974" s="1"/>
      </tp>
      <tp t="s">
        <v>#N/A Requesting Data...3512641736</v>
        <stp/>
        <stp>BDP|11877252814704462319</stp>
        <tr r="Z364" s="1"/>
        <tr r="Z364" s="1"/>
      </tp>
      <tp t="s">
        <v>#N/A Requesting Data...4285140911</v>
        <stp/>
        <stp>BDP|11715984874312223859</stp>
        <tr r="AB1454" s="1"/>
        <tr r="AB1454" s="1"/>
      </tp>
      <tp t="s">
        <v>#N/A Requesting Data...3931935958</v>
        <stp/>
        <stp>BDP|13750092071335255412</stp>
        <tr r="AC792" s="1"/>
        <tr r="AC792" s="1"/>
      </tp>
      <tp t="s">
        <v>#N/A Requesting Data...3705945945</v>
        <stp/>
        <stp>BDP|16961656953425167520</stp>
        <tr r="Y905" s="1"/>
        <tr r="Y905" s="1"/>
      </tp>
      <tp t="s">
        <v>#N/A Requesting Data...4013443517</v>
        <stp/>
        <stp>BDP|18152847975521470381</stp>
        <tr r="Y879" s="1"/>
        <tr r="Y879" s="1"/>
      </tp>
      <tp t="s">
        <v>#N/A Requesting Data...4059081034</v>
        <stp/>
        <stp>BDP|18103067038517023930</stp>
        <tr r="AB609" s="1"/>
        <tr r="AB609" s="1"/>
      </tp>
      <tp t="s">
        <v>#N/A Requesting Data...3587576930</v>
        <stp/>
        <stp>BDP|12414489284908186359</stp>
        <tr r="AB1623" s="1"/>
        <tr r="AB1624" s="1"/>
        <tr r="AB1625" s="1"/>
        <tr r="AB1626" s="1"/>
        <tr r="AB1627" s="1"/>
        <tr r="AB1628" s="1"/>
        <tr r="AB1629" s="1"/>
        <tr r="AB1630" s="1"/>
        <tr r="AB1631" s="1"/>
        <tr r="AB1632" s="1"/>
        <tr r="AB1633" s="1"/>
        <tr r="AB1634" s="1"/>
        <tr r="AB1635" s="1"/>
        <tr r="AB1636" s="1"/>
        <tr r="AB1637" s="1"/>
        <tr r="AB1638" s="1"/>
        <tr r="AB1639" s="1"/>
        <tr r="AB1640" s="1"/>
        <tr r="AB1641" s="1"/>
        <tr r="AB1642" s="1"/>
        <tr r="AB1643" s="1"/>
        <tr r="AB1644" s="1"/>
        <tr r="AB1645" s="1"/>
        <tr r="AB1646" s="1"/>
        <tr r="AB1647" s="1"/>
        <tr r="AB1648" s="1"/>
        <tr r="AB1649" s="1"/>
        <tr r="AB1650" s="1"/>
        <tr r="AB1651" s="1"/>
        <tr r="AB1652" s="1"/>
        <tr r="AB1653" s="1"/>
        <tr r="AB1654" s="1"/>
        <tr r="AB1655" s="1"/>
        <tr r="AB1656" s="1"/>
        <tr r="AB1657" s="1"/>
        <tr r="AB1658" s="1"/>
        <tr r="AB1659" s="1"/>
        <tr r="AB1660" s="1"/>
        <tr r="AB1661" s="1"/>
        <tr r="AB1662" s="1"/>
        <tr r="AB1663" s="1"/>
        <tr r="AB1664" s="1"/>
        <tr r="AB1665" s="1"/>
        <tr r="AB1666" s="1"/>
        <tr r="AB1667" s="1"/>
        <tr r="AB1668" s="1"/>
        <tr r="AB1669" s="1"/>
        <tr r="AB1670" s="1"/>
        <tr r="AB1671" s="1"/>
        <tr r="AB1672" s="1"/>
        <tr r="AB1673" s="1"/>
        <tr r="AB1674" s="1"/>
        <tr r="AB1675" s="1"/>
        <tr r="AB1676" s="1"/>
        <tr r="AB1677" s="1"/>
        <tr r="AB1678" s="1"/>
        <tr r="AB1679" s="1"/>
        <tr r="AB1680" s="1"/>
        <tr r="AB1681" s="1"/>
        <tr r="AB1682" s="1"/>
        <tr r="AB1683" s="1"/>
        <tr r="AB1684" s="1"/>
        <tr r="AB1685" s="1"/>
        <tr r="AB1686" s="1"/>
        <tr r="AB1687" s="1"/>
        <tr r="AB1688" s="1"/>
        <tr r="AB1689" s="1"/>
        <tr r="AB1690" s="1"/>
        <tr r="AB1691" s="1"/>
        <tr r="AB1692" s="1"/>
        <tr r="AB1693" s="1"/>
        <tr r="AB1694" s="1"/>
        <tr r="AB1695" s="1"/>
        <tr r="AB1696" s="1"/>
        <tr r="AB1697" s="1"/>
        <tr r="AB1698" s="1"/>
        <tr r="AB1699" s="1"/>
        <tr r="AB1700" s="1"/>
        <tr r="AB1701" s="1"/>
        <tr r="AB1702" s="1"/>
        <tr r="AB1703" s="1"/>
        <tr r="AB1704" s="1"/>
        <tr r="AB1705" s="1"/>
        <tr r="AB1706" s="1"/>
        <tr r="AB1707" s="1"/>
        <tr r="AB1708" s="1"/>
        <tr r="AB1709" s="1"/>
        <tr r="AB1710" s="1"/>
        <tr r="AB1711" s="1"/>
        <tr r="AB1712" s="1"/>
        <tr r="AB1713" s="1"/>
        <tr r="AB1714" s="1"/>
        <tr r="AB1715" s="1"/>
        <tr r="AB1716" s="1"/>
        <tr r="AB1717" s="1"/>
        <tr r="AB1718" s="1"/>
        <tr r="AB1719" s="1"/>
        <tr r="AB1720" s="1"/>
        <tr r="AB1721" s="1"/>
        <tr r="AB1722" s="1"/>
        <tr r="AB1723" s="1"/>
        <tr r="AB1724" s="1"/>
        <tr r="AB1725" s="1"/>
        <tr r="AB1726" s="1"/>
        <tr r="AB1727" s="1"/>
        <tr r="AB1728" s="1"/>
        <tr r="AB1729" s="1"/>
        <tr r="AB1730" s="1"/>
        <tr r="AB1731" s="1"/>
        <tr r="AB1732" s="1"/>
        <tr r="AB1733" s="1"/>
        <tr r="AB1734" s="1"/>
        <tr r="AB1735" s="1"/>
        <tr r="AB1736" s="1"/>
        <tr r="AB1737" s="1"/>
        <tr r="AB1738" s="1"/>
        <tr r="AB1739" s="1"/>
        <tr r="AB1740" s="1"/>
        <tr r="AB1741" s="1"/>
        <tr r="AB1742" s="1"/>
        <tr r="AB1743" s="1"/>
        <tr r="AB1744" s="1"/>
        <tr r="AB1745" s="1"/>
        <tr r="AB1746" s="1"/>
        <tr r="AB1747" s="1"/>
        <tr r="AB1748" s="1"/>
        <tr r="AB1749" s="1"/>
        <tr r="AB1750" s="1"/>
        <tr r="AB1751" s="1"/>
        <tr r="AB1752" s="1"/>
        <tr r="AB1753" s="1"/>
        <tr r="AB1754" s="1"/>
        <tr r="AB1755" s="1"/>
        <tr r="AB1756" s="1"/>
        <tr r="AB1757" s="1"/>
        <tr r="AB1758" s="1"/>
        <tr r="AB1759" s="1"/>
        <tr r="AB1760" s="1"/>
        <tr r="AB1761" s="1"/>
        <tr r="AB1762" s="1"/>
        <tr r="AB1763" s="1"/>
        <tr r="AB1764" s="1"/>
        <tr r="AB1765" s="1"/>
        <tr r="AB1766" s="1"/>
        <tr r="AB1767" s="1"/>
        <tr r="AB1768" s="1"/>
        <tr r="AB1769" s="1"/>
        <tr r="AB1770" s="1"/>
        <tr r="AB1771" s="1"/>
        <tr r="AB1772" s="1"/>
        <tr r="AB1773" s="1"/>
        <tr r="AB1774" s="1"/>
        <tr r="AB1775" s="1"/>
        <tr r="AB1776" s="1"/>
        <tr r="AB1777" s="1"/>
        <tr r="AB1778" s="1"/>
        <tr r="AB1779" s="1"/>
        <tr r="AB1780" s="1"/>
        <tr r="AB1781" s="1"/>
        <tr r="AB1782" s="1"/>
        <tr r="AB1783" s="1"/>
        <tr r="AB1784" s="1"/>
        <tr r="AB1785" s="1"/>
        <tr r="AB1786" s="1"/>
        <tr r="AB1787" s="1"/>
        <tr r="AB1788" s="1"/>
        <tr r="AB1789" s="1"/>
        <tr r="AB1790" s="1"/>
        <tr r="AB1791" s="1"/>
        <tr r="AB1792" s="1"/>
        <tr r="AB1793" s="1"/>
        <tr r="AB1794" s="1"/>
        <tr r="AB1795" s="1"/>
        <tr r="AB1796" s="1"/>
        <tr r="AB1797" s="1"/>
        <tr r="AB1798" s="1"/>
        <tr r="AB1799" s="1"/>
        <tr r="AB1800" s="1"/>
        <tr r="AB1801" s="1"/>
        <tr r="AB1802" s="1"/>
        <tr r="AB1803" s="1"/>
        <tr r="AB1804" s="1"/>
        <tr r="AB1805" s="1"/>
        <tr r="AB1806" s="1"/>
        <tr r="AB1807" s="1"/>
        <tr r="AB1808" s="1"/>
        <tr r="AB1809" s="1"/>
        <tr r="AB1810" s="1"/>
        <tr r="AB1811" s="1"/>
        <tr r="AB1812" s="1"/>
        <tr r="AB1813" s="1"/>
        <tr r="AB1814" s="1"/>
        <tr r="AB1815" s="1"/>
        <tr r="AB1816" s="1"/>
        <tr r="AB1817" s="1"/>
        <tr r="AB1818" s="1"/>
        <tr r="AB1819" s="1"/>
        <tr r="AB1820" s="1"/>
        <tr r="AB1821" s="1"/>
        <tr r="AB1822" s="1"/>
        <tr r="AB1823" s="1"/>
        <tr r="AB1824" s="1"/>
        <tr r="AB1825" s="1"/>
        <tr r="AB1826" s="1"/>
        <tr r="AB1827" s="1"/>
        <tr r="AB1828" s="1"/>
        <tr r="AB1829" s="1"/>
        <tr r="AB1830" s="1"/>
        <tr r="AB1831" s="1"/>
        <tr r="AB1832" s="1"/>
        <tr r="AB1833" s="1"/>
        <tr r="AB1834" s="1"/>
        <tr r="AB1835" s="1"/>
        <tr r="AB1836" s="1"/>
        <tr r="AB1837" s="1"/>
        <tr r="AB1838" s="1"/>
        <tr r="AB1839" s="1"/>
        <tr r="AB1840" s="1"/>
        <tr r="AB1841" s="1"/>
        <tr r="AB1842" s="1"/>
        <tr r="AB1843" s="1"/>
        <tr r="AB1844" s="1"/>
        <tr r="AB1845" s="1"/>
        <tr r="AB1846" s="1"/>
        <tr r="AB1847" s="1"/>
        <tr r="AB1848" s="1"/>
        <tr r="AB1849" s="1"/>
        <tr r="AB1850" s="1"/>
        <tr r="AB1851" s="1"/>
        <tr r="AB1852" s="1"/>
        <tr r="AB1853" s="1"/>
        <tr r="AB1854" s="1"/>
        <tr r="AB1855" s="1"/>
        <tr r="AB1856" s="1"/>
        <tr r="AB1857" s="1"/>
        <tr r="AB1858" s="1"/>
        <tr r="AB1859" s="1"/>
        <tr r="AB1860" s="1"/>
        <tr r="AB1861" s="1"/>
        <tr r="AB1862" s="1"/>
        <tr r="AB1863" s="1"/>
        <tr r="AB1864" s="1"/>
        <tr r="AB1865" s="1"/>
        <tr r="AB1866" s="1"/>
        <tr r="AB1867" s="1"/>
        <tr r="AB1868" s="1"/>
        <tr r="AB1869" s="1"/>
        <tr r="AB1870" s="1"/>
        <tr r="AB1871" s="1"/>
        <tr r="AB1872" s="1"/>
        <tr r="AB1873" s="1"/>
        <tr r="AB1874" s="1"/>
        <tr r="AB1875" s="1"/>
        <tr r="AB1876" s="1"/>
        <tr r="AB1877" s="1"/>
        <tr r="AB1878" s="1"/>
        <tr r="AB1879" s="1"/>
        <tr r="AB1880" s="1"/>
        <tr r="AB1881" s="1"/>
        <tr r="AB1882" s="1"/>
        <tr r="AB1883" s="1"/>
        <tr r="AB1884" s="1"/>
        <tr r="AB1885" s="1"/>
        <tr r="AB1886" s="1"/>
        <tr r="AB1887" s="1"/>
        <tr r="AB1888" s="1"/>
        <tr r="AB1889" s="1"/>
        <tr r="AB1890" s="1"/>
        <tr r="AB1891" s="1"/>
        <tr r="AB1892" s="1"/>
        <tr r="AB1893" s="1"/>
        <tr r="AB1894" s="1"/>
        <tr r="AB1895" s="1"/>
        <tr r="AB1896" s="1"/>
        <tr r="AB1897" s="1"/>
        <tr r="AB1898" s="1"/>
        <tr r="AB1899" s="1"/>
        <tr r="AB1900" s="1"/>
        <tr r="AB1901" s="1"/>
        <tr r="AB1902" s="1"/>
        <tr r="AB1903" s="1"/>
        <tr r="AB1904" s="1"/>
        <tr r="AB1905" s="1"/>
        <tr r="AB1906" s="1"/>
        <tr r="AB1907" s="1"/>
        <tr r="AB1908" s="1"/>
        <tr r="AB1909" s="1"/>
        <tr r="AB1910" s="1"/>
        <tr r="AB1911" s="1"/>
        <tr r="AB1912" s="1"/>
        <tr r="AB1913" s="1"/>
        <tr r="AB1914" s="1"/>
        <tr r="AB1915" s="1"/>
        <tr r="AB1916" s="1"/>
        <tr r="AB1917" s="1"/>
        <tr r="AB1918" s="1"/>
        <tr r="AB1919" s="1"/>
        <tr r="AB1920" s="1"/>
        <tr r="AB1921" s="1"/>
        <tr r="AB1922" s="1"/>
        <tr r="AB1923" s="1"/>
        <tr r="AB1924" s="1"/>
        <tr r="AB1925" s="1"/>
        <tr r="AB1926" s="1"/>
        <tr r="AB1927" s="1"/>
        <tr r="AB1928" s="1"/>
        <tr r="AB1929" s="1"/>
        <tr r="AB1930" s="1"/>
        <tr r="AB1931" s="1"/>
        <tr r="AB1932" s="1"/>
        <tr r="AB1933" s="1"/>
        <tr r="AB1934" s="1"/>
        <tr r="AB1935" s="1"/>
        <tr r="AB1936" s="1"/>
        <tr r="AB1937" s="1"/>
        <tr r="AB1938" s="1"/>
        <tr r="AB1939" s="1"/>
        <tr r="AB1940" s="1"/>
        <tr r="AB1941" s="1"/>
        <tr r="AB1942" s="1"/>
        <tr r="AB1943" s="1"/>
        <tr r="AB1944" s="1"/>
        <tr r="AB1945" s="1"/>
        <tr r="AB1946" s="1"/>
        <tr r="AB1947" s="1"/>
        <tr r="AB1948" s="1"/>
        <tr r="AB1949" s="1"/>
        <tr r="AB1950" s="1"/>
        <tr r="AB1951" s="1"/>
        <tr r="AB1952" s="1"/>
        <tr r="AB1953" s="1"/>
        <tr r="AB1954" s="1"/>
        <tr r="AB1955" s="1"/>
        <tr r="AB1956" s="1"/>
        <tr r="AB1957" s="1"/>
        <tr r="AB1958" s="1"/>
        <tr r="AB1959" s="1"/>
        <tr r="AB1960" s="1"/>
        <tr r="AB1961" s="1"/>
        <tr r="AB1962" s="1"/>
        <tr r="AB1963" s="1"/>
        <tr r="AB1964" s="1"/>
        <tr r="AB1965" s="1"/>
        <tr r="AB1966" s="1"/>
        <tr r="AB1967" s="1"/>
        <tr r="AB1968" s="1"/>
        <tr r="AB1969" s="1"/>
        <tr r="AB1970" s="1"/>
        <tr r="AB1971" s="1"/>
        <tr r="AB1972" s="1"/>
        <tr r="AB1973" s="1"/>
        <tr r="AB1974" s="1"/>
        <tr r="AB1975" s="1"/>
        <tr r="AB1976" s="1"/>
        <tr r="AB1977" s="1"/>
        <tr r="AB1978" s="1"/>
        <tr r="AB1979" s="1"/>
        <tr r="AB1980" s="1"/>
        <tr r="AB1981" s="1"/>
        <tr r="AB1982" s="1"/>
        <tr r="AB1983" s="1"/>
        <tr r="AB1984" s="1"/>
        <tr r="AB1985" s="1"/>
        <tr r="AB1986" s="1"/>
        <tr r="AB1987" s="1"/>
        <tr r="AB1988" s="1"/>
        <tr r="AB1989" s="1"/>
        <tr r="AB1990" s="1"/>
        <tr r="AB1991" s="1"/>
        <tr r="AB1992" s="1"/>
        <tr r="AB1993" s="1"/>
        <tr r="AB1994" s="1"/>
        <tr r="AB1995" s="1"/>
        <tr r="AB1996" s="1"/>
        <tr r="AB1997" s="1"/>
        <tr r="AB1998" s="1"/>
        <tr r="AB1999" s="1"/>
        <tr r="AB2000" s="1"/>
        <tr r="AB2001" s="1"/>
      </tp>
      <tp t="s">
        <v>#N/A Requesting Data...4280652429</v>
        <stp/>
        <stp>BDP|13592359978725347774</stp>
        <tr r="Z1226" s="1"/>
        <tr r="Z1226" s="1"/>
      </tp>
      <tp t="s">
        <v>#N/A Requesting Data...3968862810</v>
        <stp/>
        <stp>BDP|14228508589149343548</stp>
        <tr r="AC935" s="1"/>
        <tr r="AC935" s="1"/>
      </tp>
      <tp t="s">
        <v>#N/A Requesting Data...3686157047</v>
        <stp/>
        <stp>BDP|14463930144089766585</stp>
        <tr r="AA377" s="1"/>
        <tr r="AA377" s="1"/>
      </tp>
      <tp t="s">
        <v>#N/A Requesting Data...3987314903</v>
        <stp/>
        <stp>BDP|12078783015487209635</stp>
        <tr r="AB314" s="1"/>
        <tr r="AB314" s="1"/>
      </tp>
      <tp t="s">
        <v>#N/A Requesting Data...3602698389</v>
        <stp/>
        <stp>BDP|12526608056875847173</stp>
        <tr r="AB799" s="1"/>
        <tr r="AB799" s="1"/>
      </tp>
      <tp t="s">
        <v>#N/A Requesting Data...3531131395</v>
        <stp/>
        <stp>BDP|11146413502321692188</stp>
        <tr r="Y352" s="1"/>
        <tr r="Y352" s="1"/>
      </tp>
      <tp t="s">
        <v>#N/A Requesting Data...3685329483</v>
        <stp/>
        <stp>BDP|11825700296673218901</stp>
        <tr r="AC184" s="1"/>
        <tr r="AC184" s="1"/>
      </tp>
      <tp t="s">
        <v>#N/A Requesting Data...4202431335</v>
        <stp/>
        <stp>BDP|11357887679438646386</stp>
        <tr r="AB1469" s="1"/>
        <tr r="AB1469" s="1"/>
      </tp>
      <tp t="s">
        <v>#N/A Requesting Data...3626773850</v>
        <stp/>
        <stp>BDP|16234040120772093396</stp>
        <tr r="Y623" s="1"/>
        <tr r="Y623" s="1"/>
      </tp>
      <tp t="s">
        <v>#N/A Requesting Data...3601207372</v>
        <stp/>
        <stp>BDP|13728418139040901192</stp>
        <tr r="AC186" s="1"/>
        <tr r="AC186" s="1"/>
      </tp>
      <tp t="s">
        <v>#N/A Requesting Data...3822755568</v>
        <stp/>
        <stp>BDP|17905325692891061963</stp>
        <tr r="AB1521" s="1"/>
        <tr r="AB1521" s="1"/>
      </tp>
      <tp t="s">
        <v>#N/A Requesting Data...4033719561</v>
        <stp/>
        <stp>BDP|10673897522286584972</stp>
        <tr r="AA1418" s="1"/>
        <tr r="AA1418" s="1"/>
      </tp>
      <tp t="s">
        <v>#N/A Requesting Data...3635023722</v>
        <stp/>
        <stp>BDP|10371049519727606371</stp>
        <tr r="AC6" s="1"/>
        <tr r="AC6" s="1"/>
      </tp>
      <tp t="s">
        <v>#N/A Requesting Data...3638193073</v>
        <stp/>
        <stp>BDP|14860033081570375968</stp>
        <tr r="Z716" s="1"/>
        <tr r="Z716" s="1"/>
      </tp>
      <tp t="s">
        <v>#N/A Requesting Data...3935767543</v>
        <stp/>
        <stp>BDP|12657489434941621134</stp>
        <tr r="Y406" s="1"/>
        <tr r="Y406" s="1"/>
      </tp>
      <tp t="s">
        <v>#N/A Requesting Data...3899600527</v>
        <stp/>
        <stp>BDP|11958763810541206320</stp>
        <tr r="Z1397" s="1"/>
        <tr r="Z1397" s="1"/>
      </tp>
      <tp t="s">
        <v>#N/A Requesting Data...4145667558</v>
        <stp/>
        <stp>BDP|15019111308732104376</stp>
        <tr r="AB1425" s="1"/>
        <tr r="AB1425" s="1"/>
      </tp>
      <tp t="s">
        <v>#N/A Requesting Data...3588065056</v>
        <stp/>
        <stp>BDP|13503511665042690789</stp>
        <tr r="AA128" s="1"/>
        <tr r="AA128" s="1"/>
      </tp>
      <tp t="s">
        <v>#N/A Requesting Data...3531676236</v>
        <stp/>
        <stp>BDP|12354579360815936122</stp>
        <tr r="Z1412" s="1"/>
        <tr r="Z1412" s="1"/>
      </tp>
      <tp t="s">
        <v>#N/A Requesting Data...3648743030</v>
        <stp/>
        <stp>BDP|16378585296596585966</stp>
        <tr r="Z1130" s="1"/>
        <tr r="Z1130" s="1"/>
      </tp>
      <tp t="s">
        <v>#N/A Requesting Data...3825261121</v>
        <stp/>
        <stp>BDP|17768445082179752789</stp>
        <tr r="AC325" s="1"/>
        <tr r="AC325" s="1"/>
      </tp>
      <tp t="s">
        <v>#N/A Requesting Data...3703106811</v>
        <stp/>
        <stp>BDP|17823305081159612019</stp>
        <tr r="AA38" s="1"/>
        <tr r="AA38" s="1"/>
      </tp>
      <tp t="s">
        <v>#N/A Requesting Data...4242873682</v>
        <stp/>
        <stp>BDP|11387117514231068586</stp>
        <tr r="Y16" s="1"/>
        <tr r="Y16" s="1"/>
      </tp>
      <tp t="s">
        <v>#N/A Requesting Data...3724474040</v>
        <stp/>
        <stp>BDP|10195345064445759580</stp>
        <tr r="AA1544" s="1"/>
        <tr r="AA1544" s="1"/>
      </tp>
      <tp t="s">
        <v>#N/A Requesting Data...4119715660</v>
        <stp/>
        <stp>BDP|12733193392006552978</stp>
        <tr r="AC82" s="1"/>
        <tr r="AC82" s="1"/>
      </tp>
      <tp t="s">
        <v>#N/A Requesting Data...3830328129</v>
        <stp/>
        <stp>BDP|11689110045041471083</stp>
        <tr r="AA1283" s="1"/>
        <tr r="AA1283" s="1"/>
      </tp>
      <tp t="s">
        <v>#N/A Requesting Data...3840967357</v>
        <stp/>
        <stp>BDP|13825879879000993911</stp>
        <tr r="AA1512" s="1"/>
        <tr r="AA1512" s="1"/>
      </tp>
      <tp t="s">
        <v>#N/A Requesting Data...3963054869</v>
        <stp/>
        <stp>BDP|18417854226151946603</stp>
        <tr r="AB774" s="1"/>
        <tr r="AB774" s="1"/>
      </tp>
      <tp t="s">
        <v>#N/A Requesting Data...3910462818</v>
        <stp/>
        <stp>BDP|14743802957218848463</stp>
        <tr r="Z361" s="1"/>
        <tr r="Z361" s="1"/>
      </tp>
      <tp t="s">
        <v>#N/A Requesting Data...4015991256</v>
        <stp/>
        <stp>BDP|14812255911076249407</stp>
        <tr r="AA467" s="1"/>
        <tr r="AA467" s="1"/>
      </tp>
      <tp t="s">
        <v>#N/A Requesting Data...4093644404</v>
        <stp/>
        <stp>BDP|18147034901724869956</stp>
        <tr r="Z1619" s="1"/>
        <tr r="Z1619" s="1"/>
      </tp>
      <tp t="s">
        <v>#N/A Requesting Data...4118085136</v>
        <stp/>
        <stp>BDP|10367240715726462080</stp>
        <tr r="AB1402" s="1"/>
        <tr r="AB1402" s="1"/>
      </tp>
      <tp t="s">
        <v>#N/A Requesting Data...4178025910</v>
        <stp/>
        <stp>BDP|15065119408890383149</stp>
        <tr r="Y1591" s="1"/>
        <tr r="Y1591" s="1"/>
      </tp>
      <tp t="s">
        <v>#N/A Requesting Data...4183495193</v>
        <stp/>
        <stp>BDP|10226592403262330254</stp>
        <tr r="AC989" s="1"/>
      </tp>
      <tp t="s">
        <v>#N/A Requesting Data...4146955799</v>
        <stp/>
        <stp>BDP|12740080377774614407</stp>
        <tr r="Y314" s="1"/>
        <tr r="Y314" s="1"/>
      </tp>
      <tp t="s">
        <v>#N/A Requesting Data...3601322014</v>
        <stp/>
        <stp>BDP|14863518037971736670</stp>
        <tr r="AB467" s="1"/>
        <tr r="AB467" s="1"/>
      </tp>
      <tp t="s">
        <v>#N/A Requesting Data...4228713699</v>
        <stp/>
        <stp>BDP|12743706333050793320</stp>
        <tr r="AC1097" s="1"/>
        <tr r="AC1097" s="1"/>
      </tp>
      <tp t="s">
        <v>#N/A Requesting Data...4271285410</v>
        <stp/>
        <stp>BDP|16865198519334027795</stp>
        <tr r="Z1054" s="1"/>
        <tr r="Z1054" s="1"/>
      </tp>
      <tp t="s">
        <v>#N/A Requesting Data...4257219703</v>
        <stp/>
        <stp>BDP|13241350915012779649</stp>
        <tr r="Y1114" s="1"/>
      </tp>
      <tp t="s">
        <v>#N/A Requesting Data...3648672214</v>
        <stp/>
        <stp>BDP|16460303454771724469</stp>
        <tr r="AB875" s="1"/>
        <tr r="AB875" s="1"/>
      </tp>
      <tp t="s">
        <v>#N/A Requesting Data...4163711061</v>
        <stp/>
        <stp>BDP|16371100426562085243</stp>
        <tr r="AC226" s="1"/>
        <tr r="AC226" s="1"/>
      </tp>
      <tp t="s">
        <v>#N/A Requesting Data...3898972701</v>
        <stp/>
        <stp>BDP|14454989737138238386</stp>
        <tr r="AB1068" s="1"/>
        <tr r="AB1068" s="1"/>
      </tp>
      <tp t="s">
        <v>#N/A Requesting Data...4018406148</v>
        <stp/>
        <stp>BDP|13706379522214322301</stp>
        <tr r="AA241" s="1"/>
        <tr r="AA241" s="1"/>
      </tp>
      <tp t="s">
        <v>#N/A Requesting Data...4059514963</v>
        <stp/>
        <stp>BDP|14921186838080952319</stp>
        <tr r="Y469" s="1"/>
        <tr r="Y469" s="1"/>
      </tp>
      <tp t="s">
        <v>#N/A Requesting Data...4202685496</v>
        <stp/>
        <stp>BDP|14804767308825283358</stp>
        <tr r="AC93" s="1"/>
        <tr r="AC93" s="1"/>
      </tp>
      <tp t="s">
        <v>#N/A Requesting Data...4075052366</v>
        <stp/>
        <stp>BDP|10982587478333034480</stp>
        <tr r="AA1452" s="1"/>
        <tr r="AA1452" s="1"/>
      </tp>
      <tp t="s">
        <v>#N/A Requesting Data...3595962226</v>
        <stp/>
        <stp>BDP|10392060627085462271</stp>
        <tr r="AB924" s="1"/>
        <tr r="AB924" s="1"/>
      </tp>
      <tp t="s">
        <v>#N/A Requesting Data...3965770062</v>
        <stp/>
        <stp>BDP|16927264113866500680</stp>
        <tr r="Y53" s="1"/>
        <tr r="Y53" s="1"/>
      </tp>
      <tp t="s">
        <v>#N/A Requesting Data...4206818602</v>
        <stp/>
        <stp>BDP|14226260142400481733</stp>
        <tr r="AC1521" s="1"/>
        <tr r="AC1521" s="1"/>
      </tp>
      <tp t="s">
        <v>#N/A Requesting Data...4127256129</v>
        <stp/>
        <stp>BDP|12389597041133840529</stp>
        <tr r="AB1281" s="1"/>
        <tr r="AB1281" s="1"/>
      </tp>
      <tp t="s">
        <v>#N/A Requesting Data...3731497411</v>
        <stp/>
        <stp>BDP|11052313963337778641</stp>
        <tr r="Z597" s="1"/>
        <tr r="Z597" s="1"/>
      </tp>
      <tp t="s">
        <v>#N/A Requesting Data...3557969472</v>
        <stp/>
        <stp>BDP|15634402856417507647</stp>
        <tr r="AB1279" s="1"/>
        <tr r="AB1279" s="1"/>
      </tp>
      <tp t="s">
        <v>#N/A Requesting Data...3919438046</v>
        <stp/>
        <stp>BDP|14536908143809610513</stp>
        <tr r="Z1117" s="1"/>
        <tr r="Z1117" s="1"/>
      </tp>
      <tp t="s">
        <v>#N/A Requesting Data...4088269309</v>
        <stp/>
        <stp>BDP|12614528656722793546</stp>
        <tr r="AC120" s="1"/>
        <tr r="AC120" s="1"/>
      </tp>
      <tp t="s">
        <v>#N/A Requesting Data...3683264322</v>
        <stp/>
        <stp>BDP|11912438018832323302</stp>
        <tr r="Z835" s="1"/>
        <tr r="Z835" s="1"/>
      </tp>
      <tp t="s">
        <v>#N/A Requesting Data...4126944835</v>
        <stp/>
        <stp>BDP|10864812613004905824</stp>
        <tr r="Y721" s="1"/>
        <tr r="Y721" s="1"/>
      </tp>
      <tp t="s">
        <v>#N/A Requesting Data...4091217449</v>
        <stp/>
        <stp>BDP|13277357623997289071</stp>
        <tr r="AA905" s="1"/>
        <tr r="AA905" s="1"/>
      </tp>
      <tp t="s">
        <v>#N/A Requesting Data...4209784533</v>
        <stp/>
        <stp>BDP|11800976435606328887</stp>
        <tr r="AA975" s="1"/>
        <tr r="AA975" s="1"/>
      </tp>
      <tp t="s">
        <v>#N/A Requesting Data...3609768104</v>
        <stp/>
        <stp>BDP|13240682806934539489</stp>
        <tr r="AB793" s="1"/>
        <tr r="AB793" s="1"/>
      </tp>
      <tp t="s">
        <v>#N/A Requesting Data...4042625149</v>
        <stp/>
        <stp>BDP|11043863991902413734</stp>
        <tr r="Y703" s="1"/>
        <tr r="Y703" s="1"/>
      </tp>
      <tp t="s">
        <v>#N/A Requesting Data...3965033831</v>
        <stp/>
        <stp>BDP|14714754620964239005</stp>
        <tr r="Z1547" s="1"/>
        <tr r="Z1547" s="1"/>
      </tp>
      <tp t="s">
        <v>#N/A Requesting Data...3786074653</v>
        <stp/>
        <stp>BDP|15515621666151423159</stp>
        <tr r="AA1614" s="1"/>
        <tr r="AA1614" s="1"/>
      </tp>
      <tp t="s">
        <v>#N/A Requesting Data...3877672588</v>
        <stp/>
        <stp>BDP|14028844872789591731</stp>
        <tr r="AB538" s="1"/>
        <tr r="AB538" s="1"/>
      </tp>
      <tp t="s">
        <v>#N/A Requesting Data...3732003986</v>
        <stp/>
        <stp>BDP|15519014904806820686</stp>
        <tr r="Y466" s="1"/>
        <tr r="Y466" s="1"/>
      </tp>
      <tp t="s">
        <v>#N/A Requesting Data...3862341035</v>
        <stp/>
        <stp>BDP|15684094231291914277</stp>
        <tr r="Z301" s="1"/>
        <tr r="Z301" s="1"/>
      </tp>
      <tp t="s">
        <v>#N/A Requesting Data...3664533965</v>
        <stp/>
        <stp>BDP|12085509964892565617</stp>
        <tr r="AB529" s="1"/>
      </tp>
      <tp t="s">
        <v>#N/A Requesting Data...4277874023</v>
        <stp/>
        <stp>BDP|11052061297088731569</stp>
        <tr r="Z490" s="1"/>
        <tr r="Z490" s="1"/>
      </tp>
      <tp t="s">
        <v>#N/A Requesting Data...4053583189</v>
        <stp/>
        <stp>BDP|17548641001470342438</stp>
        <tr r="AA516" s="1"/>
        <tr r="AA516" s="1"/>
      </tp>
      <tp t="s">
        <v>#N/A Requesting Data...3573284611</v>
        <stp/>
        <stp>BDP|17060164620261498025</stp>
        <tr r="AC1326" s="1"/>
        <tr r="AC1326" s="1"/>
      </tp>
      <tp t="s">
        <v>#N/A Requesting Data...3559322397</v>
        <stp/>
        <stp>BDP|12845914090113990404</stp>
        <tr r="AA48" s="1"/>
        <tr r="AA48" s="1"/>
      </tp>
      <tp t="s">
        <v>#N/A Requesting Data...3755021233</v>
        <stp/>
        <stp>BDP|12055607103901632054</stp>
        <tr r="Z1167" s="1"/>
        <tr r="Z1167" s="1"/>
      </tp>
      <tp t="s">
        <v>#N/A Requesting Data...3692436827</v>
        <stp/>
        <stp>BDP|12884446053412973461</stp>
        <tr r="AB613" s="1"/>
        <tr r="AB613" s="1"/>
      </tp>
      <tp t="s">
        <v>#N/A Requesting Data...3701843140</v>
        <stp/>
        <stp>BDP|13443582677781267594</stp>
        <tr r="AA221" s="1"/>
        <tr r="AA221" s="1"/>
      </tp>
      <tp t="s">
        <v>#N/A Requesting Data...3933885554</v>
        <stp/>
        <stp>BDP|10043394320326084299</stp>
        <tr r="AC832" s="1"/>
        <tr r="AC832" s="1"/>
      </tp>
      <tp t="s">
        <v>#N/A Requesting Data...4104555575</v>
        <stp/>
        <stp>BDP|10366260955987490547</stp>
        <tr r="AB996" s="1"/>
        <tr r="AB996" s="1"/>
      </tp>
      <tp t="s">
        <v>#N/A Requesting Data...4133878823</v>
        <stp/>
        <stp>BDP|17744720750037300764</stp>
        <tr r="AC770" s="1"/>
        <tr r="AC770" s="1"/>
      </tp>
      <tp t="s">
        <v>#N/A Requesting Data...3579664138</v>
        <stp/>
        <stp>BDP|13232631456110238557</stp>
        <tr r="AA744" s="1"/>
        <tr r="AA744" s="1"/>
      </tp>
      <tp t="s">
        <v>#N/A Requesting Data...3669804301</v>
        <stp/>
        <stp>BDP|10732038109332475798</stp>
        <tr r="AB446" s="1"/>
        <tr r="AB446" s="1"/>
      </tp>
      <tp t="s">
        <v>#N/A Requesting Data...3918868191</v>
        <stp/>
        <stp>BDP|13603854942762264833</stp>
        <tr r="AC719" s="1"/>
        <tr r="AC719" s="1"/>
      </tp>
      <tp t="s">
        <v>#N/A Requesting Data...3823245055</v>
        <stp/>
        <stp>BDP|12982738054233902674</stp>
        <tr r="Z1301" s="1"/>
        <tr r="Z1301" s="1"/>
      </tp>
      <tp t="s">
        <v>#N/A Requesting Data...4223542451</v>
        <stp/>
        <stp>BDP|16686349923720470254</stp>
        <tr r="Z10" s="1"/>
        <tr r="Z10" s="1"/>
      </tp>
      <tp t="s">
        <v>#N/A Requesting Data...3623287273</v>
        <stp/>
        <stp>BDP|12927000263916969739</stp>
        <tr r="Y435" s="1"/>
        <tr r="Y435" s="1"/>
      </tp>
      <tp t="s">
        <v>#N/A Requesting Data...4287234478</v>
        <stp/>
        <stp>BDP|13823998393183799556</stp>
        <tr r="AB634" s="1"/>
        <tr r="AB634" s="1"/>
      </tp>
      <tp t="s">
        <v>#N/A Requesting Data...4048907423</v>
        <stp/>
        <stp>BDP|17022203140703362734</stp>
        <tr r="AA1528" s="1"/>
        <tr r="AA1528" s="1"/>
      </tp>
      <tp t="s">
        <v>#N/A Requesting Data...3640162774</v>
        <stp/>
        <stp>BDP|11849011323315842319</stp>
        <tr r="Y243" s="1"/>
        <tr r="Y243" s="1"/>
      </tp>
      <tp t="s">
        <v>#N/A Requesting Data...3584829044</v>
        <stp/>
        <stp>BDP|13811331590629845509</stp>
        <tr r="AC1388" s="1"/>
        <tr r="AC1388" s="1"/>
      </tp>
      <tp t="s">
        <v>#N/A Requesting Data...3653363199</v>
        <stp/>
        <stp>BDP|10240998319304045911</stp>
        <tr r="AC808" s="1"/>
        <tr r="AC808" s="1"/>
      </tp>
      <tp t="s">
        <v>#N/A Requesting Data...3723478297</v>
        <stp/>
        <stp>BDP|15000159537742762061</stp>
        <tr r="Y256" s="1"/>
        <tr r="Y256" s="1"/>
      </tp>
      <tp t="s">
        <v>#N/A Requesting Data...3845562970</v>
        <stp/>
        <stp>BDP|14277258997638390208</stp>
        <tr r="AB831" s="1"/>
        <tr r="AB831" s="1"/>
      </tp>
      <tp t="s">
        <v>#N/A Requesting Data...3939463134</v>
        <stp/>
        <stp>BDP|17657489978300475117</stp>
        <tr r="AC1368" s="1"/>
        <tr r="AC1368" s="1"/>
      </tp>
      <tp t="s">
        <v>#N/A Requesting Data...3880734302</v>
        <stp/>
        <stp>BDP|13734538549002764592</stp>
        <tr r="AC526" s="1"/>
        <tr r="AC526" s="1"/>
      </tp>
      <tp t="s">
        <v>#N/A Requesting Data...4276156478</v>
        <stp/>
        <stp>BDP|18398964666745940793</stp>
        <tr r="Z1115" s="1"/>
        <tr r="Z1115" s="1"/>
      </tp>
      <tp t="s">
        <v>#N/A Requesting Data...3959485730</v>
        <stp/>
        <stp>BDP|12884966225305023982</stp>
        <tr r="AC369" s="1"/>
        <tr r="AC369" s="1"/>
      </tp>
      <tp t="s">
        <v>#N/A Requesting Data...4026415132</v>
        <stp/>
        <stp>BDP|14611631130554418028</stp>
        <tr r="Y748" s="1"/>
        <tr r="Y748" s="1"/>
      </tp>
      <tp t="s">
        <v>#N/A Requesting Data...3680764708</v>
        <stp/>
        <stp>BDP|13535935597802464464</stp>
        <tr r="AB1261" s="1"/>
        <tr r="AB1261" s="1"/>
      </tp>
      <tp t="s">
        <v>#N/A Requesting Data...4014609284</v>
        <stp/>
        <stp>BDP|13983310744341796081</stp>
        <tr r="AA1253" s="1"/>
        <tr r="AA1253" s="1"/>
      </tp>
      <tp t="s">
        <v>#N/A Requesting Data...3825606371</v>
        <stp/>
        <stp>BDP|12146080639550270414</stp>
        <tr r="AC1340" s="1"/>
        <tr r="AC1340" s="1"/>
      </tp>
      <tp t="s">
        <v>#N/A Requesting Data...3909388103</v>
        <stp/>
        <stp>BDP|14019437722455674244</stp>
        <tr r="AA647" s="1"/>
        <tr r="AA647" s="1"/>
      </tp>
      <tp t="s">
        <v>#N/A Requesting Data...4061308040</v>
        <stp/>
        <stp>BDP|17033875394845984691</stp>
        <tr r="AA194" s="1"/>
        <tr r="AA194" s="1"/>
      </tp>
      <tp t="s">
        <v>#N/A Requesting Data...4257269579</v>
        <stp/>
        <stp>BDP|17934953856346130886</stp>
        <tr r="AA393" s="1"/>
        <tr r="AA393" s="1"/>
      </tp>
      <tp t="s">
        <v>#N/A Requesting Data...4202649584</v>
        <stp/>
        <stp>BDP|12828573823204725484</stp>
        <tr r="AB1060" s="1"/>
        <tr r="AB1060" s="1"/>
      </tp>
      <tp t="s">
        <v>#N/A Requesting Data...3882454130</v>
        <stp/>
        <stp>BDP|16290745554492966394</stp>
        <tr r="AA1536" s="1"/>
        <tr r="AA1536" s="1"/>
      </tp>
      <tp t="s">
        <v>#N/A Requesting Data...4026252049</v>
        <stp/>
        <stp>BDP|14977383746456322068</stp>
        <tr r="AB418" s="1"/>
        <tr r="AB418" s="1"/>
      </tp>
      <tp t="s">
        <v>#N/A Requesting Data...4010540643</v>
        <stp/>
        <stp>BDP|18130032999385980100</stp>
        <tr r="AC489" s="1"/>
        <tr r="AC489" s="1"/>
      </tp>
      <tp t="s">
        <v>#N/A Requesting Data...4054177214</v>
        <stp/>
        <stp>BDP|15980575450575542595</stp>
        <tr r="AA50" s="1"/>
        <tr r="AA50" s="1"/>
      </tp>
      <tp t="s">
        <v>#N/A Requesting Data...4031813935</v>
        <stp/>
        <stp>BDP|13333344337614213208</stp>
        <tr r="AA409" s="1"/>
        <tr r="AA409" s="1"/>
      </tp>
      <tp t="s">
        <v>#N/A Requesting Data...4148189687</v>
        <stp/>
        <stp>BDP|16984281879671365796</stp>
        <tr r="Z54" s="1"/>
        <tr r="Z54" s="1"/>
      </tp>
      <tp t="s">
        <v>#N/A Requesting Data...4239288585</v>
        <stp/>
        <stp>BDP|16014714555389694802</stp>
        <tr r="AC141" s="1"/>
        <tr r="AC141" s="1"/>
      </tp>
      <tp t="s">
        <v>#N/A Requesting Data...4095940896</v>
        <stp/>
        <stp>BDP|13494849991905609254</stp>
        <tr r="AC721" s="1"/>
        <tr r="AC721" s="1"/>
      </tp>
      <tp t="s">
        <v>#N/A Requesting Data...3916334958</v>
        <stp/>
        <stp>BDP|12839742708058182875</stp>
        <tr r="Y109" s="1"/>
        <tr r="Y109" s="1"/>
      </tp>
      <tp t="s">
        <v>#N/A Requesting Data...3898817544</v>
        <stp/>
        <stp>BDP|15785833624999006321</stp>
        <tr r="AA1563" s="1"/>
        <tr r="AA1563" s="1"/>
      </tp>
      <tp t="s">
        <v>#N/A Requesting Data...3995653965</v>
        <stp/>
        <stp>BDP|11520701524819786840</stp>
        <tr r="AA1436" s="1"/>
        <tr r="AA1436" s="1"/>
      </tp>
      <tp t="s">
        <v>#N/A Requesting Data...3940812218</v>
        <stp/>
        <stp>BDP|13267852598361459690</stp>
        <tr r="AA617" s="1"/>
        <tr r="AA617" s="1"/>
      </tp>
      <tp t="s">
        <v>#N/A Requesting Data...4123184405</v>
        <stp/>
        <stp>BDP|10355803016079558521</stp>
        <tr r="Z1072" s="1"/>
        <tr r="Z1072" s="1"/>
      </tp>
      <tp t="s">
        <v>#N/A Requesting Data...3680020149</v>
        <stp/>
        <stp>BDP|17530313798018740096</stp>
        <tr r="Y75" s="1"/>
        <tr r="Y75" s="1"/>
      </tp>
      <tp t="s">
        <v>#N/A Requesting Data...4006985210</v>
        <stp/>
        <stp>BDP|15851013668326166022</stp>
        <tr r="Z865" s="1"/>
        <tr r="Z865" s="1"/>
      </tp>
      <tp t="s">
        <v>#N/A Requesting Data...3824101974</v>
        <stp/>
        <stp>BDP|13927091869520265090</stp>
        <tr r="Z496" s="1"/>
        <tr r="Z496" s="1"/>
      </tp>
      <tp t="s">
        <v>#N/A Requesting Data...4028581036</v>
        <stp/>
        <stp>BDP|11588414593101198844</stp>
        <tr r="Y1418" s="1"/>
        <tr r="Y1418" s="1"/>
      </tp>
      <tp t="s">
        <v>#N/A Requesting Data...3656382215</v>
        <stp/>
        <stp>BDP|17850018429105738558</stp>
        <tr r="AC175" s="1"/>
        <tr r="AC175" s="1"/>
      </tp>
      <tp t="s">
        <v>#N/A Requesting Data...3694757420</v>
        <stp/>
        <stp>BDP|12550772707256029670</stp>
        <tr r="AB114" s="1"/>
        <tr r="AB114" s="1"/>
      </tp>
      <tp t="s">
        <v>#N/A Requesting Data...4150179804</v>
        <stp/>
        <stp>BDP|10729954878089825201</stp>
        <tr r="Y1451" s="1"/>
        <tr r="Y1451" s="1"/>
      </tp>
      <tp t="s">
        <v>#N/A Requesting Data...3983595359</v>
        <stp/>
        <stp>BDP|11229525094949635108</stp>
        <tr r="Z526" s="1"/>
        <tr r="Z526" s="1"/>
      </tp>
      <tp t="s">
        <v>#N/A Requesting Data...4177461443</v>
        <stp/>
        <stp>BDP|15554235431434785529</stp>
        <tr r="AA13" s="1"/>
        <tr r="AA13" s="1"/>
      </tp>
      <tp t="s">
        <v>#N/A Requesting Data...4069451262</v>
        <stp/>
        <stp>BDP|13419489925280485089</stp>
        <tr r="Y1353" s="1"/>
        <tr r="Y1353" s="1"/>
      </tp>
      <tp t="s">
        <v>#N/A Requesting Data...4140922735</v>
        <stp/>
        <stp>BDP|18381806383409409411</stp>
        <tr r="Y740" s="1"/>
        <tr r="Y740" s="1"/>
      </tp>
      <tp t="s">
        <v>#N/A Requesting Data...3945464784</v>
        <stp/>
        <stp>BDP|12339559823440963093</stp>
        <tr r="AC1549" s="1"/>
        <tr r="AC1549" s="1"/>
      </tp>
      <tp t="s">
        <v>#N/A Requesting Data...4183593217</v>
        <stp/>
        <stp>BDP|10788844801064747907</stp>
        <tr r="AC616" s="1"/>
        <tr r="AC616" s="1"/>
      </tp>
      <tp t="s">
        <v>#N/A Requesting Data...3821507879</v>
        <stp/>
        <stp>BDP|12807387177745385616</stp>
        <tr r="AC1470" s="1"/>
        <tr r="AC1470" s="1"/>
      </tp>
      <tp t="s">
        <v>#N/A Requesting Data...3670858241</v>
        <stp/>
        <stp>BDP|16627979267225530964</stp>
        <tr r="Z1129" s="1"/>
        <tr r="Z1129" s="1"/>
      </tp>
      <tp t="s">
        <v>#N/A Requesting Data...3658539297</v>
        <stp/>
        <stp>BDP|13630454940451383756</stp>
        <tr r="Z1616" s="1"/>
        <tr r="Z1616" s="1"/>
      </tp>
      <tp t="s">
        <v>#N/A Requesting Data...3829432464</v>
        <stp/>
        <stp>BDP|16912251328044706763</stp>
        <tr r="AB447" s="1"/>
        <tr r="AB447" s="1"/>
      </tp>
      <tp t="s">
        <v>#N/A Requesting Data...3655965760</v>
        <stp/>
        <stp>BDP|15818145470527089198</stp>
        <tr r="Z866" s="1"/>
        <tr r="Z866" s="1"/>
      </tp>
      <tp t="s">
        <v>#N/A Requesting Data...3975771547</v>
        <stp/>
        <stp>BDP|16562079096789189301</stp>
        <tr r="AA651" s="1"/>
        <tr r="AA651" s="1"/>
      </tp>
      <tp t="s">
        <v>#N/A Requesting Data...3792416689</v>
        <stp/>
        <stp>BDP|15103751290689908787</stp>
        <tr r="AB1040" s="1"/>
        <tr r="AB1040" s="1"/>
      </tp>
      <tp t="s">
        <v>#N/A Requesting Data...3686933240</v>
        <stp/>
        <stp>BDP|15549848560749698722</stp>
        <tr r="Z939" s="1"/>
        <tr r="Z939" s="1"/>
      </tp>
      <tp t="s">
        <v>#N/A Requesting Data...3705976746</v>
        <stp/>
        <stp>BDP|17840785005704513157</stp>
        <tr r="Y1206" s="1"/>
        <tr r="Y1206" s="1"/>
      </tp>
      <tp t="s">
        <v>#N/A Requesting Data...4293909795</v>
        <stp/>
        <stp>BDP|10137790367647918333</stp>
        <tr r="AB730" s="1"/>
        <tr r="AB730" s="1"/>
      </tp>
      <tp t="s">
        <v>#N/A Requesting Data...3801849904</v>
        <stp/>
        <stp>BDP|12242029167877045626</stp>
        <tr r="AC950" s="1"/>
      </tp>
      <tp t="s">
        <v>#N/A Requesting Data...4146485793</v>
        <stp/>
        <stp>BDP|13641946681247510036</stp>
        <tr r="Z118" s="1"/>
        <tr r="Z118" s="1"/>
      </tp>
      <tp t="s">
        <v>#N/A Requesting Data...4029177707</v>
        <stp/>
        <stp>BDP|14687408844564646514</stp>
        <tr r="AB32" s="1"/>
        <tr r="AB32" s="1"/>
      </tp>
      <tp t="s">
        <v>#N/A Requesting Data...3914136087</v>
        <stp/>
        <stp>BDP|14880339347420091698</stp>
        <tr r="AA197" s="1"/>
        <tr r="AA197" s="1"/>
      </tp>
      <tp t="s">
        <v>#N/A Requesting Data...3992990108</v>
        <stp/>
        <stp>BDP|11807189814953823788</stp>
        <tr r="AB252" s="1"/>
        <tr r="AB252" s="1"/>
      </tp>
      <tp t="s">
        <v>#N/A Requesting Data...3638156255</v>
        <stp/>
        <stp>BDP|13697203861705669751</stp>
        <tr r="AB1091" s="1"/>
        <tr r="AB1091" s="1"/>
      </tp>
      <tp t="s">
        <v>#N/A Requesting Data...4059341052</v>
        <stp/>
        <stp>BDP|11950369437300413487</stp>
        <tr r="AA908" s="1"/>
        <tr r="AA908" s="1"/>
      </tp>
      <tp t="s">
        <v>#N/A Requesting Data...4184816311</v>
        <stp/>
        <stp>BDP|11068742190812432840</stp>
        <tr r="AB542" s="1"/>
        <tr r="AB542" s="1"/>
      </tp>
      <tp t="s">
        <v>#N/A Requesting Data...4159547101</v>
        <stp/>
        <stp>BDP|15562052584928040007</stp>
        <tr r="Y1313" s="1"/>
        <tr r="Y1313" s="1"/>
      </tp>
      <tp t="s">
        <v>#N/A Requesting Data...3997661928</v>
        <stp/>
        <stp>BDP|15098498339594708338</stp>
        <tr r="AC170" s="1"/>
        <tr r="AC170" s="1"/>
      </tp>
      <tp t="s">
        <v>#N/A Requesting Data...3661399556</v>
        <stp/>
        <stp>BDP|17663623021711786766</stp>
        <tr r="AB939" s="1"/>
        <tr r="AB939" s="1"/>
      </tp>
      <tp t="s">
        <v>#N/A Requesting Data...4155037430</v>
        <stp/>
        <stp>BDP|17570854394331225221</stp>
        <tr r="Z170" s="1"/>
        <tr r="Z170" s="1"/>
      </tp>
      <tp t="s">
        <v>#N/A Requesting Data...4281867903</v>
        <stp/>
        <stp>BDP|17638310767690333774</stp>
        <tr r="Z746" s="1"/>
        <tr r="Z746" s="1"/>
      </tp>
      <tp t="s">
        <v>#N/A Requesting Data...4086314940</v>
        <stp/>
        <stp>BDP|12730202183775643863</stp>
        <tr r="Y894" s="1"/>
        <tr r="Y894" s="1"/>
      </tp>
      <tp t="s">
        <v>#N/A Requesting Data...4123281666</v>
        <stp/>
        <stp>BDP|16606352754652576762</stp>
        <tr r="Y530" s="1"/>
        <tr r="Y530" s="1"/>
      </tp>
      <tp t="s">
        <v>#N/A Requesting Data...3743314074</v>
        <stp/>
        <stp>BDP|17317260741470772472</stp>
        <tr r="Y664" s="1"/>
        <tr r="Y664" s="1"/>
      </tp>
      <tp t="s">
        <v>#N/A Requesting Data...3705532907</v>
        <stp/>
        <stp>BDP|17729904683675454640</stp>
        <tr r="Y1118" s="1"/>
        <tr r="Y1118" s="1"/>
      </tp>
      <tp t="s">
        <v>#N/A Requesting Data...3690448759</v>
        <stp/>
        <stp>BDP|14231971444578401412</stp>
        <tr r="AB585" s="1"/>
        <tr r="AB585" s="1"/>
      </tp>
      <tp t="s">
        <v>#N/A Requesting Data...3868735673</v>
        <stp/>
        <stp>BDP|16504192103557908523</stp>
        <tr r="AA1130" s="1"/>
        <tr r="AA1130" s="1"/>
      </tp>
      <tp t="s">
        <v>#N/A Requesting Data...3803570866</v>
        <stp/>
        <stp>BDP|17726808038100276998</stp>
        <tr r="AA159" s="1"/>
        <tr r="AA159" s="1"/>
      </tp>
      <tp t="s">
        <v>#N/A Requesting Data...3941920318</v>
        <stp/>
        <stp>BDP|11875519147760918502</stp>
        <tr r="AB649" s="1"/>
        <tr r="AB649" s="1"/>
      </tp>
      <tp t="s">
        <v>#N/A Requesting Data...4261277593</v>
        <stp/>
        <stp>BDP|17706432683916124813</stp>
        <tr r="AC233" s="1"/>
        <tr r="AC233" s="1"/>
      </tp>
      <tp t="s">
        <v>#N/A Requesting Data...3918240167</v>
        <stp/>
        <stp>BDP|13650011246340777219</stp>
        <tr r="Z962" s="1"/>
        <tr r="Z962" s="1"/>
      </tp>
      <tp t="s">
        <v>#N/A Requesting Data...3677922775</v>
        <stp/>
        <stp>BDP|10213550436385490623</stp>
        <tr r="Y579" s="1"/>
        <tr r="Y579" s="1"/>
      </tp>
      <tp t="s">
        <v>#N/A Requesting Data...4169429346</v>
        <stp/>
        <stp>BDP|14561431164330053359</stp>
        <tr r="Z650" s="1"/>
        <tr r="Z650" s="1"/>
      </tp>
      <tp t="s">
        <v>#N/A Requesting Data...3800057225</v>
        <stp/>
        <stp>BDP|14215520621470296644</stp>
        <tr r="AA600" s="1"/>
        <tr r="AA600" s="1"/>
      </tp>
      <tp t="s">
        <v>#N/A Requesting Data...4234114572</v>
        <stp/>
        <stp>BDP|10877234026282877728</stp>
        <tr r="AC1009" s="1"/>
        <tr r="AC1009" s="1"/>
      </tp>
      <tp t="s">
        <v>#N/A Requesting Data...3989940648</v>
        <stp/>
        <stp>BDP|10366707805383451159</stp>
        <tr r="Y583" s="1"/>
        <tr r="Y583" s="1"/>
      </tp>
      <tp t="s">
        <v>#N/A Requesting Data...3842674775</v>
        <stp/>
        <stp>BDP|15217130773570181642</stp>
        <tr r="AB550" s="1"/>
        <tr r="AB550" s="1"/>
      </tp>
      <tp t="s">
        <v>#N/A Requesting Data...3641203638</v>
        <stp/>
        <stp>BDP|15984589345881302005</stp>
        <tr r="Y1358" s="1"/>
      </tp>
      <tp t="s">
        <v>#N/A Requesting Data...3956597166</v>
        <stp/>
        <stp>BDP|13752133536761355567</stp>
        <tr r="Z327" s="1"/>
        <tr r="Z327" s="1"/>
      </tp>
      <tp t="s">
        <v>#N/A Requesting Data...4133818634</v>
        <stp/>
        <stp>BDP|12534647405869264819</stp>
        <tr r="AB516" s="1"/>
        <tr r="AB516" s="1"/>
      </tp>
      <tp t="s">
        <v>#N/A Requesting Data...3717596136</v>
        <stp/>
        <stp>BDP|16343000635626418651</stp>
        <tr r="Y573" s="1"/>
        <tr r="Y573" s="1"/>
      </tp>
      <tp t="s">
        <v>#N/A Requesting Data...3806326382</v>
        <stp/>
        <stp>BDP|15841084866161555745</stp>
        <tr r="AA1079" s="1"/>
        <tr r="AA1079" s="1"/>
      </tp>
      <tp t="s">
        <v>#N/A Requesting Data...4019512401</v>
        <stp/>
        <stp>BDP|13192186444405337699</stp>
        <tr r="Z212" s="1"/>
        <tr r="Z212" s="1"/>
      </tp>
      <tp t="s">
        <v>#N/A Requesting Data...4283754547</v>
        <stp/>
        <stp>BDP|15747621932786155316</stp>
        <tr r="Y97" s="1"/>
        <tr r="Y97" s="1"/>
      </tp>
      <tp t="s">
        <v>#N/A Requesting Data...4005530032</v>
        <stp/>
        <stp>BDP|11462107851355300517</stp>
        <tr r="AA1159" s="1"/>
        <tr r="AA1159" s="1"/>
      </tp>
      <tp t="s">
        <v>#N/A Requesting Data...3966252989</v>
        <stp/>
        <stp>BDP|15033532809354865150</stp>
        <tr r="Y42" s="1"/>
        <tr r="Y42" s="1"/>
      </tp>
      <tp t="s">
        <v>#N/A Requesting Data...4289886693</v>
        <stp/>
        <stp>BDP|16671046075280873480</stp>
        <tr r="AA1068" s="1"/>
        <tr r="AA1068" s="1"/>
      </tp>
      <tp t="s">
        <v>#N/A Requesting Data...4098674032</v>
        <stp/>
        <stp>BDP|11542821305714475811</stp>
        <tr r="Y1427" s="1"/>
        <tr r="Y1427" s="1"/>
      </tp>
      <tp t="s">
        <v>#N/A Requesting Data...3646139535</v>
        <stp/>
        <stp>BDP|12229159687609754713</stp>
        <tr r="Z894" s="1"/>
        <tr r="Z894" s="1"/>
      </tp>
      <tp t="s">
        <v>#N/A Requesting Data...3907676931</v>
        <stp/>
        <stp>BDP|14556768200573790528</stp>
        <tr r="AB844" s="1"/>
        <tr r="AB844" s="1"/>
      </tp>
      <tp t="s">
        <v>#N/A Requesting Data...3671267328</v>
        <stp/>
        <stp>BDP|10400484305069841878</stp>
        <tr r="AC1572" s="1"/>
        <tr r="AC1572" s="1"/>
      </tp>
      <tp t="s">
        <v>#N/A Requesting Data...3636124166</v>
        <stp/>
        <stp>BDP|15417166742020317559</stp>
        <tr r="AB1259" s="1"/>
        <tr r="AB1259" s="1"/>
      </tp>
      <tp t="s">
        <v>#N/A Requesting Data...3949277351</v>
        <stp/>
        <stp>BDP|11729300622381349409</stp>
        <tr r="AB805" s="1"/>
        <tr r="AB805" s="1"/>
      </tp>
      <tp t="s">
        <v>#N/A Requesting Data...4002042496</v>
        <stp/>
        <stp>BDP|11978782754940420672</stp>
        <tr r="AB434" s="1"/>
        <tr r="AB434" s="1"/>
      </tp>
      <tp t="s">
        <v>#N/A Requesting Data...4227142418</v>
        <stp/>
        <stp>BDP|11218135340542415333</stp>
        <tr r="AA1246" s="1"/>
        <tr r="AA1246" s="1"/>
      </tp>
      <tp t="s">
        <v>#N/A Requesting Data...4064983914</v>
        <stp/>
        <stp>BDP|15089362149693061499</stp>
        <tr r="Z773" s="1"/>
        <tr r="Z773" s="1"/>
      </tp>
      <tp t="s">
        <v>#N/A Requesting Data...3963565701</v>
        <stp/>
        <stp>BDP|13526756325064042732</stp>
        <tr r="Y1089" s="1"/>
        <tr r="Y1089" s="1"/>
      </tp>
      <tp t="s">
        <v>#N/A Requesting Data...4282677691</v>
        <stp/>
        <stp>BDP|11043572410451547146</stp>
        <tr r="AB1504" s="1"/>
        <tr r="AB1504" s="1"/>
      </tp>
      <tp t="s">
        <v>#N/A Requesting Data...4192906649</v>
        <stp/>
        <stp>BDP|12227898198852651437</stp>
        <tr r="AB1007" s="1"/>
        <tr r="AB1007" s="1"/>
      </tp>
      <tp t="s">
        <v>#N/A Requesting Data...3939206341</v>
        <stp/>
        <stp>BDP|11934701978363019776</stp>
        <tr r="AC496" s="1"/>
        <tr r="AC496" s="1"/>
      </tp>
      <tp t="s">
        <v>#N/A Requesting Data...3744579493</v>
        <stp/>
        <stp>BDP|17610442837643363606</stp>
        <tr r="AB229" s="1"/>
        <tr r="AB229" s="1"/>
      </tp>
      <tp t="s">
        <v>#N/A Requesting Data...3717391583</v>
        <stp/>
        <stp>BDP|17493103937178663838</stp>
        <tr r="AA420" s="1"/>
        <tr r="AA420" s="1"/>
      </tp>
      <tp t="s">
        <v>#N/A Requesting Data...4005027102</v>
        <stp/>
        <stp>BDP|17843906479775435933</stp>
        <tr r="AC1355" s="1"/>
        <tr r="AC1355" s="1"/>
      </tp>
      <tp t="s">
        <v>#N/A Requesting Data...3912414338</v>
        <stp/>
        <stp>BDP|16717350920267323575</stp>
        <tr r="Y153" s="1"/>
        <tr r="Y153" s="1"/>
      </tp>
      <tp t="s">
        <v>#N/A Requesting Data...4207346869</v>
        <stp/>
        <stp>BDP|11972983558738773080</stp>
        <tr r="AA939" s="1"/>
        <tr r="AA939" s="1"/>
      </tp>
      <tp>
        <v>0.02</v>
        <stp/>
        <stp>BDP|9841387950333584939|22</stp>
        <stp>DHB CN Equity</stp>
        <stp>LAST_PRICE</stp>
        <tr r="AD496" s="1"/>
        <tr r="AD496" s="1"/>
      </tp>
      <tp t="s">
        <v>#N/A N/A</v>
        <stp/>
        <stp>BDP|14855807435672534254|22</stp>
        <stp>TRGM US Equity</stp>
        <stp>LAST_PRICE</stp>
        <tr r="AD1435" s="1"/>
      </tp>
      <tp>
        <v>9.89</v>
        <stp/>
        <stp>BDP|14502820669168477456|22</stp>
        <stp>CGEM US Equity</stp>
        <stp>LAST_PRICE</stp>
        <tr r="AD465" s="1"/>
        <tr r="AD465" s="1"/>
      </tp>
      <tp>
        <v>3.13</v>
        <stp/>
        <stp>BDP|14032050337272679524|22</stp>
        <stp>ATLN US Equity</stp>
        <stp>LAST_PRICE</stp>
        <tr r="AD190" s="1"/>
        <tr r="AD190" s="1"/>
      </tp>
      <tp>
        <v>3.19</v>
        <stp/>
        <stp>BDP|10429836151702339786|22</stp>
        <stp>NXGL US Equity</stp>
        <stp>LAST_PRICE</stp>
        <tr r="AD1039" s="1"/>
        <tr r="AD1039" s="1"/>
      </tp>
      <tp>
        <v>9.9999999999999995E-7</v>
        <stp/>
        <stp>BDP|11254368534324762918|22</stp>
        <stp>FRLI US Equity</stp>
        <stp>LAST_PRICE</stp>
        <tr r="AD624" s="1"/>
        <tr r="AD624" s="1"/>
      </tp>
      <tp>
        <v>103.31</v>
        <stp/>
        <stp>BDP|17488061550247109756|22</stp>
        <stp>GILD US Equity</stp>
        <stp>LAST_PRICE</stp>
        <tr r="AD648" s="1"/>
        <tr r="AD648" s="1"/>
      </tp>
      <tp>
        <v>18.57</v>
        <stp/>
        <stp>BDP|16110686978335626234|22</stp>
        <stp>NGNE US Equity</stp>
        <stp>LAST_PRICE</stp>
        <tr r="AD1026" s="1"/>
        <tr r="AD1026" s="1"/>
      </tp>
      <tp>
        <v>2.5099999999999998</v>
        <stp/>
        <stp>BDP|13191549869287140895|22</stp>
        <stp>VYNE US Equity</stp>
        <stp>LAST_PRICE</stp>
        <tr r="AD1574" s="1"/>
        <tr r="AD1574" s="1"/>
      </tp>
      <tp>
        <v>2.11</v>
        <stp/>
        <stp>BDP|11784817973551586280|22</stp>
        <stp>AKBA US Equity</stp>
        <stp>LAST_PRICE</stp>
        <tr r="AD77" s="1"/>
        <tr r="AD77" s="1"/>
      </tp>
      <tp>
        <v>0.4446</v>
        <stp/>
        <stp>BDP|17549654767748195135|22</stp>
        <stp>NAOV US Equity</stp>
        <stp>LAST_PRICE</stp>
        <tr r="AD1000" s="1"/>
        <tr r="AD1000" s="1"/>
      </tp>
      <tp>
        <v>33.5</v>
        <stp/>
        <stp>BDP|15373650040678695017|22</stp>
        <stp>ALKS US Equity</stp>
        <stp>LAST_PRICE</stp>
        <tr r="AD87" s="1"/>
        <tr r="AD87" s="1"/>
      </tp>
      <tp>
        <v>0.9153</v>
        <stp/>
        <stp>BDP|10156067483265480987|22</stp>
        <stp>IOBT US Equity</stp>
        <stp>LAST_PRICE</stp>
        <tr r="AD791" s="1"/>
        <tr r="AD791" s="1"/>
      </tp>
      <tp>
        <v>13</v>
        <stp/>
        <stp>BDP|11483786820007243096|22</stp>
        <stp>ZIMV US Equity</stp>
        <stp>LAST_PRICE</stp>
        <tr r="AD1615" s="1"/>
        <tr r="AD1615" s="1"/>
      </tp>
    </main>
    <main first="bofaddin.rtdserver">
      <tp>
        <v>2.15</v>
        <stp/>
        <stp>BDP|14904669926577443185|22</stp>
        <stp>MBOT US Equity</stp>
        <stp>LAST_PRICE</stp>
        <tr r="AD953" s="1"/>
        <tr r="AD953" s="1"/>
      </tp>
      <tp>
        <v>1.9499999999999999E-3</v>
        <stp/>
        <stp>BDP|18031403047052900900|22</stp>
        <stp>CBDY US Equity</stp>
        <stp>LAST_PRICE</stp>
        <tr r="AD1434" s="1"/>
        <tr r="AD1434" s="1"/>
      </tp>
      <tp>
        <v>117.18</v>
        <stp/>
        <stp>BDP|14558903384761459765|22</stp>
        <stp>NBIX US Equity</stp>
        <stp>LAST_PRICE</stp>
        <tr r="AD1025" s="1"/>
        <tr r="AD1025" s="1"/>
      </tp>
      <tp>
        <v>1.18</v>
        <stp/>
        <stp>BDP|10668019163406473384|22</stp>
        <stp>KRBP US Equity</stp>
        <stp>LAST_PRICE</stp>
        <tr r="AD838" s="1"/>
        <tr r="AD838" s="1"/>
      </tp>
      <tp>
        <v>0.9</v>
        <stp/>
        <stp>BDP|12457843975463985089|22</stp>
        <stp>USNU US Equity</stp>
        <stp>LAST_PRICE</stp>
        <tr r="AD1515" s="1"/>
        <tr r="AD1515" s="1"/>
      </tp>
      <tp>
        <v>1.355</v>
        <stp/>
        <stp>BDP|565756280857262035|22</stp>
        <stp>LAB US Equity</stp>
        <stp>LAST_PRICE</stp>
        <tr r="AD1394" s="1"/>
        <tr r="AD1394" s="1"/>
      </tp>
      <tp t="s">
        <v>#N/A Requesting Data...3711874684</v>
        <stp/>
        <stp>BDP|1423066878014093</stp>
        <tr r="AA1389" s="1"/>
        <tr r="AA1389" s="1"/>
      </tp>
      <tp>
        <v>3.36</v>
        <stp/>
        <stp>BDP|16533440133099991739|22</stp>
        <stp>CYCN US Equity</stp>
        <stp>LAST_PRICE</stp>
        <tr r="AD477" s="1"/>
        <tr r="AD477" s="1"/>
      </tp>
      <tp>
        <v>0.97009999999999996</v>
        <stp/>
        <stp>BDP|11520028053946536652|22</stp>
        <stp>KRON US Equity</stp>
        <stp>LAST_PRICE</stp>
        <tr r="AD848" s="1"/>
        <tr r="AD848" s="1"/>
      </tp>
      <tp>
        <v>2.84</v>
        <stp/>
        <stp>BDP|17288572357057348844|22</stp>
        <stp>SANA US Equity</stp>
        <stp>LAST_PRICE</stp>
        <tr r="AD1305" s="1"/>
        <tr r="AD1305" s="1"/>
      </tp>
      <tp>
        <v>2.0099999999999998</v>
        <stp/>
        <stp>BDP|14053454041069780250|22</stp>
        <stp>CMMB US Equity</stp>
        <stp>LAST_PRICE</stp>
        <tr r="AD393" s="1"/>
        <tr r="AD393" s="1"/>
      </tp>
      <tp>
        <v>5.1200000000000002E-2</v>
        <stp/>
        <stp>BDP|16863905061392256928|22</stp>
        <stp>WDBG US Equity</stp>
        <stp>LAST_PRICE</stp>
        <tr r="AD1588" s="1"/>
        <tr r="AD1588" s="1"/>
      </tp>
      <tp>
        <v>4.95</v>
        <stp/>
        <stp>BDP|14352683286419322261|22</stp>
        <stp>POCI US Equity</stp>
        <stp>LAST_PRICE</stp>
        <tr r="AD1183" s="1"/>
        <tr r="AD1183" s="1"/>
      </tp>
      <tp>
        <v>6.9999999999999999E-4</v>
        <stp/>
        <stp>BDP|11146100523628735471|22</stp>
        <stp>CBIH US Equity</stp>
        <stp>LAST_PRICE</stp>
        <tr r="AD328" s="1"/>
        <tr r="AD328" s="1"/>
      </tp>
      <tp>
        <v>1.01</v>
        <stp/>
        <stp>BDP|10230455006032065373|22</stp>
        <stp>TXMD US Equity</stp>
        <stp>LAST_PRICE</stp>
        <tr r="AD1462" s="1"/>
        <tr r="AD1462" s="1"/>
      </tp>
      <tp>
        <v>0.66</v>
        <stp/>
        <stp>BDP|10502590201145392223|22</stp>
        <stp>OCGN US Equity</stp>
        <stp>LAST_PRICE</stp>
        <tr r="AD1071" s="1"/>
        <tr r="AD1071" s="1"/>
      </tp>
      <tp>
        <v>2.68</v>
        <stp/>
        <stp>BDP|13231948073729910837|22</stp>
        <stp>AADI US Equity</stp>
        <stp>LAST_PRICE</stp>
        <tr r="AD13" s="1"/>
        <tr r="AD13" s="1"/>
      </tp>
      <tp>
        <v>0.10199999999999999</v>
        <stp/>
        <stp>BDP|10839100173296006153|22</stp>
        <stp>KPEA US Equity</stp>
        <stp>LAST_PRICE</stp>
        <tr r="AD851" s="1"/>
        <tr r="AD851" s="1"/>
      </tp>
      <tp>
        <v>0.9</v>
        <stp/>
        <stp>BDP|16590686959640708665|22</stp>
        <stp>IINN US Equity</stp>
        <stp>LAST_PRICE</stp>
        <tr r="AD770" s="1"/>
        <tr r="AD770" s="1"/>
      </tp>
      <tp>
        <v>5.2</v>
        <stp/>
        <stp>BDP|14634602372090497808|22</stp>
        <stp>CTKB US Equity</stp>
        <stp>LAST_PRICE</stp>
        <tr r="AD480" s="1"/>
        <tr r="AD480" s="1"/>
      </tp>
      <tp>
        <v>0.33</v>
        <stp/>
        <stp>BDP|17288306672615399541|22</stp>
        <stp>PBLA US Equity</stp>
        <stp>LAST_PRICE</stp>
        <tr r="AD1133" s="1"/>
        <tr r="AD1133" s="1"/>
      </tp>
      <tp>
        <v>7.0000000000000001E-3</v>
        <stp/>
        <stp>BDP|14183460418370814795|22</stp>
        <stp>NXEN US Equity</stp>
        <stp>LAST_PRICE</stp>
        <tr r="AD1040" s="1"/>
        <tr r="AD1040" s="1"/>
      </tp>
      <tp>
        <v>1E-4</v>
        <stp/>
        <stp>BDP|13043036968918999947|22</stp>
        <stp>CHME US Equity</stp>
        <stp>LAST_PRICE</stp>
        <tr r="AD396" s="1"/>
        <tr r="AD396" s="1"/>
      </tp>
      <tp>
        <v>4.1399999999999997</v>
        <stp/>
        <stp>BDP|17098835049363713682|22</stp>
        <stp>TTNP US Equity</stp>
        <stp>LAST_PRICE</stp>
        <tr r="AD1472" s="1"/>
        <tr r="AD1472" s="1"/>
      </tp>
      <tp>
        <v>9.3800000000000008</v>
        <stp/>
        <stp>BDP|13938689535178672324|22</stp>
        <stp>INKT US Equity</stp>
        <stp>LAST_PRICE</stp>
        <tr r="AD962" s="1"/>
        <tr r="AD962" s="1"/>
      </tp>
      <tp>
        <v>5.72</v>
        <stp/>
        <stp>BDP|15172168857307065884|22</stp>
        <stp>LFCR US Equity</stp>
        <stp>LAST_PRICE</stp>
        <tr r="AD869" s="1"/>
        <tr r="AD869" s="1"/>
      </tp>
      <tp>
        <v>0.46</v>
        <stp/>
        <stp>BDP|17653618138719356006|22</stp>
        <stp>AVGR US Equity</stp>
        <stp>LAST_PRICE</stp>
        <tr r="AD214" s="1"/>
        <tr r="AD214" s="1"/>
      </tp>
      <tp>
        <v>0.11</v>
        <stp/>
        <stp>BDP|10851585540820469066|22</stp>
        <stp>BETR CN Equity</stp>
        <stp>LAST_PRICE</stp>
        <tr r="AD244" s="1"/>
        <tr r="AD244" s="1"/>
      </tp>
      <tp>
        <v>1.36</v>
        <stp/>
        <stp>BDP|11786685527235447455|22</stp>
        <stp>SYBX US Equity</stp>
        <stp>LAST_PRICE</stp>
        <tr r="AD1422" s="1"/>
        <tr r="AD1422" s="1"/>
      </tp>
      <tp>
        <v>3.0000000000000001E-3</v>
        <stp/>
        <stp>BDP|17417339436859324741|22</stp>
        <stp>NIMU US Equity</stp>
        <stp>LAST_PRICE</stp>
        <tr r="AD1048" s="1"/>
        <tr r="AD1048" s="1"/>
      </tp>
      <tp>
        <v>16.2</v>
        <stp/>
        <stp>BDP|15482978123539129041|22</stp>
        <stp>FONR US Equity</stp>
        <stp>LAST_PRICE</stp>
        <tr r="AD617" s="1"/>
        <tr r="AD617" s="1"/>
      </tp>
      <tp>
        <v>1.06</v>
        <stp/>
        <stp>BDP|17389704252255599014|22</stp>
        <stp>BRNS US Equity</stp>
        <stp>LAST_PRICE</stp>
        <tr r="AD232" s="1"/>
        <tr r="AD232" s="1"/>
      </tp>
      <tp>
        <v>5.0000000000000001E-3</v>
        <stp/>
        <stp>BDP|15536567301176334403|22</stp>
        <stp>NEWU CN Equity</stp>
        <stp>LAST_PRICE</stp>
        <tr r="AD1037" s="1"/>
        <tr r="AD1037" s="1"/>
      </tp>
      <tp t="s">
        <v>#N/A Requesting Data...4085656308</v>
        <stp/>
        <stp>BDP|3411506777877831</stp>
        <tr r="Z707" s="1"/>
        <tr r="Z707" s="1"/>
      </tp>
      <tp>
        <v>0.65</v>
        <stp/>
        <stp>BDP|12709127079356611718|22</stp>
        <stp>VRCA US Equity</stp>
        <stp>LAST_PRICE</stp>
        <tr r="AD1538" s="1"/>
        <tr r="AD1538" s="1"/>
      </tp>
      <tp>
        <v>7.79</v>
        <stp/>
        <stp>BDP|13797021972249293932|22</stp>
        <stp>CTNM US Equity</stp>
        <stp>LAST_PRICE</stp>
        <tr r="AD441" s="1"/>
        <tr r="AD441" s="1"/>
      </tp>
      <tp>
        <v>3.9750000000000001</v>
        <stp/>
        <stp>BDP|11575963707382277177|22</stp>
        <stp>STIM US Equity</stp>
        <stp>LAST_PRICE</stp>
        <tr r="AD1028" s="1"/>
        <tr r="AD1028" s="1"/>
      </tp>
      <tp>
        <v>1.89</v>
        <stp/>
        <stp>BDP|10194157412241255538|22</stp>
        <stp>HOOK US Equity</stp>
        <stp>LAST_PRICE</stp>
        <tr r="AD703" s="1"/>
        <tr r="AD703" s="1"/>
      </tp>
      <tp>
        <v>0.73</v>
        <stp/>
        <stp>BDP|15158373400732257175|22</stp>
        <stp>CNVI CN Equity</stp>
        <stp>LAST_PRICE</stp>
        <tr r="AD434" s="1"/>
        <tr r="AD434" s="1"/>
      </tp>
      <tp>
        <v>0.88990000000000002</v>
        <stp/>
        <stp>BDP|17731420629543281486|22</stp>
        <stp>IMNN US Equity</stp>
        <stp>LAST_PRICE</stp>
        <tr r="AD740" s="1"/>
        <tr r="AD740" s="1"/>
      </tp>
      <tp t="s">
        <v>#N/A N/A</v>
        <stp/>
        <stp>BDP|13644692400850495003|22</stp>
        <stp>VICA US Equity</stp>
        <stp>LAST_PRICE</stp>
        <tr r="AD1242" s="1"/>
      </tp>
      <tp>
        <v>9.51</v>
        <stp/>
        <stp>BDP|15617846178608604685|22</stp>
        <stp>NTLA US Equity</stp>
        <stp>LAST_PRICE</stp>
        <tr r="AD780" s="1"/>
        <tr r="AD780" s="1"/>
      </tp>
      <tp>
        <v>0.57099999999999995</v>
        <stp/>
        <stp>BDP|14851268431990370564|22</stp>
        <stp>YCBD US Equity</stp>
        <stp>LAST_PRICE</stp>
        <tr r="AD368" s="1"/>
        <tr r="AD368" s="1"/>
      </tp>
      <tp>
        <v>9.6999999999999993</v>
        <stp/>
        <stp>BDP|15616682222548940648|22</stp>
        <stp>SSII US Equity</stp>
        <stp>LAST_PRICE</stp>
        <tr r="AD1391" s="1"/>
        <tr r="AD1391" s="1"/>
      </tp>
      <tp>
        <v>17.47</v>
        <stp/>
        <stp>BDP|12965485276480224298|22</stp>
        <stp>VRDN US Equity</stp>
        <stp>LAST_PRICE</stp>
        <tr r="AD1558" s="1"/>
        <tr r="AD1558" s="1"/>
      </tp>
      <tp>
        <v>5.05</v>
        <stp/>
        <stp>BDP|17962952836559410550|22</stp>
        <stp>ICCC US Equity</stp>
        <stp>LAST_PRICE</stp>
        <tr r="AD731" s="1"/>
        <tr r="AD731" s="1"/>
      </tp>
      <tp>
        <v>11.87</v>
        <stp/>
        <stp>BDP|10002226331200074300|22</stp>
        <stp>ORKA US Equity</stp>
        <stp>LAST_PRICE</stp>
        <tr r="AD1116" s="1"/>
        <tr r="AD1116" s="1"/>
      </tp>
      <tp>
        <v>27.03</v>
        <stp/>
        <stp>BDP|17262455844830703504|22</stp>
        <stp>MPLN US Equity</stp>
        <stp>LAST_PRICE</stp>
        <tr r="AD985" s="1"/>
        <tr r="AD985" s="1"/>
      </tp>
      <tp>
        <v>1.35</v>
        <stp/>
        <stp>BDP|14675898378917535842|22</stp>
        <stp>ATNF US Equity</stp>
        <stp>LAST_PRICE</stp>
        <tr r="AD5" s="1"/>
        <tr r="AD5" s="1"/>
      </tp>
      <tp>
        <v>1.29</v>
        <stp/>
        <stp>BDP|61446851264676009|22</stp>
        <stp>XRTX CN Equity</stp>
        <stp>LAST_PRICE</stp>
        <tr r="AD1602" s="1"/>
        <tr r="AD1602" s="1"/>
      </tp>
      <tp>
        <v>12.45</v>
        <stp/>
        <stp>BDP|13322120229015751961|22</stp>
        <stp>DVAX US Equity</stp>
        <stp>LAST_PRICE</stp>
        <tr r="AD521" s="1"/>
        <tr r="AD521" s="1"/>
      </tp>
      <tp t="s">
        <v>#N/A Real Time</v>
        <stp/>
        <stp>BDP|15891692035762021823|22</stp>
        <stp>MRNS US Equity</stp>
        <stp>LAST_PRICE</stp>
        <tr r="AD906" s="1"/>
      </tp>
      <tp>
        <v>2.4</v>
        <stp/>
        <stp>BDP|10564969801688386174|22</stp>
        <stp>MGNX US Equity</stp>
        <stp>LAST_PRICE</stp>
        <tr r="AD896" s="1"/>
        <tr r="AD896" s="1"/>
      </tp>
      <tp>
        <v>9.9999999999999995E-7</v>
        <stp/>
        <stp>BDP|10816366345596222184|22</stp>
        <stp>IPIX US Equity</stp>
        <stp>LAST_PRICE</stp>
        <tr r="AD758" s="1"/>
        <tr r="AD758" s="1"/>
      </tp>
      <tp>
        <v>1.2</v>
        <stp/>
        <stp>BDP|14646490593884291321|22</stp>
        <stp>AXDX US Equity</stp>
        <stp>LAST_PRICE</stp>
        <tr r="AD25" s="1"/>
        <tr r="AD25" s="1"/>
      </tp>
      <tp>
        <v>4.55</v>
        <stp/>
        <stp>BDP|14216240763509208326|22</stp>
        <stp>SGMT US Equity</stp>
        <stp>LAST_PRICE</stp>
        <tr r="AD1303" s="1"/>
        <tr r="AD1303" s="1"/>
      </tp>
      <tp>
        <v>1E-4</v>
        <stp/>
        <stp>BDP|13939864398629861032|22</stp>
        <stp>ARDS US Equity</stp>
        <stp>LAST_PRICE</stp>
        <tr r="AD165" s="1"/>
        <tr r="AD165" s="1"/>
      </tp>
      <tp>
        <v>15.86</v>
        <stp/>
        <stp>BDP|12455267069722942296|22</stp>
        <stp>ARCT US Equity</stp>
        <stp>LAST_PRICE</stp>
        <tr r="AD160" s="1"/>
        <tr r="AD160" s="1"/>
      </tp>
      <tp>
        <v>9.9999999999999995E-7</v>
        <stp/>
        <stp>BDP|13420317841274218002|22</stp>
        <stp>IGNT US Equity</stp>
        <stp>LAST_PRICE</stp>
        <tr r="AD748" s="1"/>
        <tr r="AD748" s="1"/>
      </tp>
      <tp t="s">
        <v>#N/A N/A</v>
        <stp/>
        <stp>BDP|499434455947949809|22</stp>
        <stp>VXL CN Equity</stp>
        <stp>LAST_PRICE</stp>
        <tr r="AD1525" s="1"/>
      </tp>
      <tp>
        <v>2.39</v>
        <stp/>
        <stp>BDP|682183347001493869|22</stp>
        <stp>MGX US Equity</stp>
        <stp>LAST_PRICE</stp>
        <tr r="AD947" s="1"/>
        <tr r="AD947" s="1"/>
      </tp>
      <tp>
        <v>0.20300000000000001</v>
        <stp/>
        <stp>BDP|17818154565272077486|22</stp>
        <stp>PIII US Equity</stp>
        <stp>LAST_PRICE</stp>
        <tr r="AD1122" s="1"/>
        <tr r="AD1122" s="1"/>
      </tp>
      <tp>
        <v>0.13500000000000001</v>
        <stp/>
        <stp>BDP|17551411183281948003|22</stp>
        <stp>RDGL US Equity</stp>
        <stp>LAST_PRICE</stp>
        <tr r="AD1566" s="1"/>
        <tr r="AD1566" s="1"/>
      </tp>
      <tp>
        <v>0.3921</v>
        <stp/>
        <stp>BDP|17385015416504823840|22</stp>
        <stp>TRAA US Equity</stp>
        <stp>LAST_PRICE</stp>
        <tr r="AD1479" s="1"/>
        <tr r="AD1479" s="1"/>
      </tp>
      <tp>
        <v>2.5499999999999998</v>
        <stp/>
        <stp>BDP|14087373054375403936|22</stp>
        <stp>PRME US Equity</stp>
        <stp>LAST_PRICE</stp>
        <tr r="AD1192" s="1"/>
        <tr r="AD1192" s="1"/>
      </tp>
      <tp>
        <v>1.7999999999999999E-2</v>
        <stp/>
        <stp>BDP|16353188865173903173|22</stp>
        <stp>ALID US Equity</stp>
        <stp>LAST_PRICE</stp>
        <tr r="AD90" s="1"/>
        <tr r="AD90" s="1"/>
      </tp>
      <tp>
        <v>1.37</v>
        <stp/>
        <stp>BDP|16423029103400327688|22</stp>
        <stp>OPGN US Equity</stp>
        <stp>LAST_PRICE</stp>
        <tr r="AD1096" s="1"/>
        <tr r="AD1096" s="1"/>
      </tp>
      <tp>
        <v>6.9999999999999999E-4</v>
        <stp/>
        <stp>BDP|12423370718081312040|22</stp>
        <stp>BIEI US Equity</stp>
        <stp>LAST_PRICE</stp>
        <tr r="AD1186" s="1"/>
        <tr r="AD1186" s="1"/>
      </tp>
      <tp>
        <v>1.752</v>
        <stp/>
        <stp>BDP|17029648289366417715|22</stp>
        <stp>ADAG US Equity</stp>
        <stp>LAST_PRICE</stp>
        <tr r="AD43" s="1"/>
        <tr r="AD43" s="1"/>
      </tp>
      <tp>
        <v>1.56</v>
        <stp/>
        <stp>BDP|17732566279553902266|22</stp>
        <stp>SONN US Equity</stp>
        <stp>LAST_PRICE</stp>
        <tr r="AD1374" s="1"/>
        <tr r="AD1374" s="1"/>
      </tp>
      <tp>
        <v>39.94</v>
        <stp/>
        <stp>BDP|12239676242270971324|22</stp>
        <stp>QDEL US Equity</stp>
        <stp>LAST_PRICE</stp>
        <tr r="AD1237" s="1"/>
        <tr r="AD1237" s="1"/>
      </tp>
      <tp>
        <v>1.25</v>
        <stp/>
        <stp>BDP|14660347981802674725|22</stp>
        <stp>VINC US Equity</stp>
        <stp>LAST_PRICE</stp>
        <tr r="AD1552" s="1"/>
        <tr r="AD1552" s="1"/>
      </tp>
      <tp>
        <v>0.17380000000000001</v>
        <stp/>
        <stp>BDP|11949723125794004829|22</stp>
        <stp>OCEA US Equity</stp>
        <stp>LAST_PRICE</stp>
        <tr r="AD1070" s="1"/>
        <tr r="AD1070" s="1"/>
      </tp>
      <tp>
        <v>2.54</v>
        <stp/>
        <stp>BDP|18210510272786414131|22</stp>
        <stp>SNOA US Equity</stp>
        <stp>LAST_PRICE</stp>
        <tr r="AD1375" s="1"/>
        <tr r="AD1375" s="1"/>
      </tp>
      <tp>
        <v>0.01</v>
        <stp/>
        <stp>BDP|10489726204720794672|22</stp>
        <stp>WAVE CN Equity</stp>
        <stp>LAST_PRICE</stp>
        <tr r="AD1577" s="1"/>
        <tr r="AD1577" s="1"/>
      </tp>
      <tp>
        <v>3.7000000000000002E-3</v>
        <stp/>
        <stp>BDP|14377304697059237413|22</stp>
        <stp>SRNE US Equity</stp>
        <stp>LAST_PRICE</stp>
        <tr r="AD1377" s="1"/>
        <tr r="AD1377" s="1"/>
      </tp>
      <tp>
        <v>14.3</v>
        <stp/>
        <stp>BDP|14709274131530023150|22</stp>
        <stp>ZYME US Equity</stp>
        <stp>LAST_PRICE</stp>
        <tr r="AD1619" s="1"/>
        <tr r="AD1619" s="1"/>
      </tp>
      <tp>
        <v>2.48</v>
        <stp/>
        <stp>BDP|13917647632224652926|22</stp>
        <stp>CABA US Equity</stp>
        <stp>LAST_PRICE</stp>
        <tr r="AD317" s="1"/>
        <tr r="AD317" s="1"/>
      </tp>
      <tp>
        <v>4.5999999999999999E-3</v>
        <stp/>
        <stp>BDP|12902951522121783046|22</stp>
        <stp>MRDH US Equity</stp>
        <stp>LAST_PRICE</stp>
        <tr r="AD942" s="1"/>
        <tr r="AD942" s="1"/>
      </tp>
      <tp>
        <v>1.06</v>
        <stp/>
        <stp>BDP|11986478413516744948|22</stp>
        <stp>ADGM US Equity</stp>
        <stp>LAST_PRICE</stp>
        <tr r="AD44" s="1"/>
        <tr r="AD44" s="1"/>
      </tp>
      <tp t="s">
        <v>#N/A N/A</v>
        <stp/>
        <stp>BDP|13268792758952912241|22</stp>
        <stp>HMGN US Equity</stp>
        <stp>LAST_PRICE</stp>
        <tr r="AD691" s="1"/>
      </tp>
      <tp>
        <v>5.8</v>
        <stp/>
        <stp>BDP|12787982489879765572|22</stp>
        <stp>ACOG US Equity</stp>
        <stp>LAST_PRICE</stp>
        <tr r="AD94" s="1"/>
        <tr r="AD94" s="1"/>
      </tp>
      <tp>
        <v>1.41</v>
        <stp/>
        <stp>BDP|14532041239231776283|22</stp>
        <stp>CMND US Equity</stp>
        <stp>LAST_PRICE</stp>
        <tr r="AD409" s="1"/>
        <tr r="AD409" s="1"/>
      </tp>
      <tp>
        <v>10.44</v>
        <stp/>
        <stp>BDP|17078706052839025123|22</stp>
        <stp>ROIV US Equity</stp>
        <stp>LAST_PRICE</stp>
        <tr r="AD1296" s="1"/>
        <tr r="AD1296" s="1"/>
      </tp>
      <tp>
        <v>14.26</v>
        <stp/>
        <stp>BDP|10288863635439220960|22</stp>
        <stp>EOLS US Equity</stp>
        <stp>LAST_PRICE</stp>
        <tr r="AD594" s="1"/>
        <tr r="AD594" s="1"/>
      </tp>
      <tp>
        <v>0.8</v>
        <stp/>
        <stp>BDP|15780885725292945525|22</stp>
        <stp>ZYUS CN Equity</stp>
        <stp>LAST_PRICE</stp>
        <tr r="AD1621" s="1"/>
        <tr r="AD1621" s="1"/>
      </tp>
      <tp>
        <v>1E-4</v>
        <stp/>
        <stp>BDP|15797277729060121259|22</stp>
        <stp>CBDX US Equity</stp>
        <stp>LAST_PRICE</stp>
        <tr r="AD468" s="1"/>
        <tr r="AD468" s="1"/>
      </tp>
      <tp>
        <v>3.29</v>
        <stp/>
        <stp>BDP|12213053075861142124|22</stp>
        <stp>ACHV US Equity</stp>
        <stp>LAST_PRICE</stp>
        <tr r="AD30" s="1"/>
        <tr r="AD30" s="1"/>
      </tp>
      <tp>
        <v>26.9</v>
        <stp/>
        <stp>BDP|15650461995032920371|22</stp>
        <stp>AVBP US Equity</stp>
        <stp>LAST_PRICE</stp>
        <tr r="AD169" s="1"/>
        <tr r="AD169" s="1"/>
      </tp>
      <tp>
        <v>1.1499999999999999</v>
        <stp/>
        <stp>BDP|15026659310793421563|22</stp>
        <stp>VCNX US Equity</stp>
        <stp>LAST_PRICE</stp>
        <tr r="AD1519" s="1"/>
        <tr r="AD1519" s="1"/>
      </tp>
      <tp>
        <v>35.15</v>
        <stp/>
        <stp>BDP|12700247470094677817|22</stp>
        <stp>KYMR US Equity</stp>
        <stp>LAST_PRICE</stp>
        <tr r="AD853" s="1"/>
        <tr r="AD853" s="1"/>
      </tp>
      <tp>
        <v>9.33</v>
        <stp/>
        <stp>BDP|16632188834164897771|22</stp>
        <stp>KALV US Equity</stp>
        <stp>LAST_PRICE</stp>
        <tr r="AD823" s="1"/>
        <tr r="AD823" s="1"/>
      </tp>
      <tp t="s">
        <v>#N/A N/A</v>
        <stp/>
        <stp>BDP|13585767017838078547|22</stp>
        <stp>MDIT US Equity</stp>
        <stp>LAST_PRICE</stp>
        <tr r="AD928" s="1"/>
      </tp>
      <tp t="s">
        <v>#N/A N/A</v>
        <stp/>
        <stp>BDP|15543846437413758315|22</stp>
        <stp>OVIT US Equity</stp>
        <stp>LAST_PRICE</stp>
        <tr r="AD1090" s="1"/>
      </tp>
      <tp>
        <v>39.5</v>
        <stp/>
        <stp>BDP|13002054178235579288|22</stp>
        <stp>XENE US Equity</stp>
        <stp>LAST_PRICE</stp>
        <tr r="AD1598" s="1"/>
        <tr r="AD1598" s="1"/>
      </tp>
      <tp>
        <v>4.5999999999999996</v>
        <stp/>
        <stp>BDP|10713330232548124174|22</stp>
        <stp>CLNN US Equity</stp>
        <stp>LAST_PRICE</stp>
        <tr r="AD412" s="1"/>
        <tr r="AD412" s="1"/>
      </tp>
      <tp>
        <v>5.45</v>
        <stp/>
        <stp>BDP|62340694666805200|22</stp>
        <stp>ARDX US Equity</stp>
        <stp>LAST_PRICE</stp>
        <tr r="AD163" s="1"/>
        <tr r="AD163" s="1"/>
      </tp>
      <tp>
        <v>0.26450000000000001</v>
        <stp/>
        <stp>BDP|13562262821397666260|22</stp>
        <stp>ALLK US Equity</stp>
        <stp>LAST_PRICE</stp>
        <tr r="AD88" s="1"/>
        <tr r="AD88" s="1"/>
      </tp>
      <tp>
        <v>2.46</v>
        <stp/>
        <stp>BDP|16691101785004447540|22</stp>
        <stp>GLMD US Equity</stp>
        <stp>LAST_PRICE</stp>
        <tr r="AD633" s="1"/>
        <tr r="AD633" s="1"/>
      </tp>
      <tp>
        <v>9.9999999999999995E-7</v>
        <stp/>
        <stp>BDP|12830016327678676830|22</stp>
        <stp>NHEL US Equity</stp>
        <stp>LAST_PRICE</stp>
        <tr r="AD1007" s="1"/>
        <tr r="AD1007" s="1"/>
      </tp>
      <tp>
        <v>7.32</v>
        <stp/>
        <stp>BDP|11839295995094081564|22</stp>
        <stp>PULM US Equity</stp>
        <stp>LAST_PRICE</stp>
        <tr r="AD1219" s="1"/>
        <tr r="AD1219" s="1"/>
      </tp>
      <tp>
        <v>2.5099999999999998</v>
        <stp/>
        <stp>BDP|10509935093858123722|22</stp>
        <stp>RMHI US Equity</stp>
        <stp>LAST_PRICE</stp>
        <tr r="AD1281" s="1"/>
        <tr r="AD1281" s="1"/>
      </tp>
      <tp>
        <v>60.48</v>
        <stp/>
        <stp>BDP|17943255068421008972|22</stp>
        <stp>IRMD US Equity</stp>
        <stp>LAST_PRICE</stp>
        <tr r="AD797" s="1"/>
        <tr r="AD797" s="1"/>
      </tp>
      <tp t="s">
        <v>#N/A N/A</v>
        <stp/>
        <stp>BDP|13051304537590683729|22</stp>
        <stp>KVMD US Equity</stp>
        <stp>LAST_PRICE</stp>
        <tr r="AD828" s="1"/>
      </tp>
      <tp>
        <v>4.1399999999999997</v>
        <stp/>
        <stp>BDP|15788306530360409516|22</stp>
        <stp>TALK US Equity</stp>
        <stp>LAST_PRICE</stp>
        <tr r="AD1430" s="1"/>
        <tr r="AD1430" s="1"/>
      </tp>
      <tp t="s">
        <v>#N/A N/A</v>
        <stp/>
        <stp>BDP|15182340341370717543|22</stp>
        <stp>VCII US Equity</stp>
        <stp>LAST_PRICE</stp>
        <tr r="AD1565" s="1"/>
      </tp>
      <tp>
        <v>2.6200000000000001E-2</v>
        <stp/>
        <stp>BDP|18035327735309897300|22</stp>
        <stp>ACAN US Equity</stp>
        <stp>LAST_PRICE</stp>
        <tr r="AD117" s="1"/>
        <tr r="AD117" s="1"/>
      </tp>
      <tp>
        <v>2.04</v>
        <stp/>
        <stp>BDP|12162479238002953888|22</stp>
        <stp>VRAX US Equity</stp>
        <stp>LAST_PRICE</stp>
        <tr r="AD1556" s="1"/>
        <tr r="AD1556" s="1"/>
      </tp>
      <tp>
        <v>1.7</v>
        <stp/>
        <stp>BDP|10065028205567779695|22</stp>
        <stp>ORGS US Equity</stp>
        <stp>LAST_PRICE</stp>
        <tr r="AD1110" s="1"/>
        <tr r="AD1110" s="1"/>
      </tp>
      <tp>
        <v>5.03</v>
        <stp/>
        <stp>BDP|12548736374848370027|22</stp>
        <stp>ALMS US Equity</stp>
        <stp>LAST_PRICE</stp>
        <tr r="AD101" s="1"/>
        <tr r="AD101" s="1"/>
      </tp>
      <tp>
        <v>24.84</v>
        <stp/>
        <stp>BDP|11470947086250116570|22</stp>
        <stp>LENZ US Equity</stp>
        <stp>LAST_PRICE</stp>
        <tr r="AD865" s="1"/>
        <tr r="AD865" s="1"/>
      </tp>
      <tp>
        <v>2.46</v>
        <stp/>
        <stp>BDP|12588661924531739797|22</stp>
        <stp>TNGX US Equity</stp>
        <stp>LAST_PRICE</stp>
        <tr r="AD1433" s="1"/>
        <tr r="AD1433" s="1"/>
      </tp>
      <tp>
        <v>29.94</v>
        <stp/>
        <stp>BDP|13665517237646915081|22</stp>
        <stp>HROW US Equity</stp>
        <stp>LAST_PRICE</stp>
        <tr r="AD672" s="1"/>
        <tr r="AD672" s="1"/>
      </tp>
      <tp t="s">
        <v>#N/A N/A</v>
        <stp/>
        <stp>BDP|13065761242600151397|22</stp>
        <stp>IRBS US Equity</stp>
        <stp>LAST_PRICE</stp>
        <tr r="AD795" s="1"/>
      </tp>
      <tp>
        <v>0</v>
        <stp/>
        <stp>BDP|14741692998581830823|22</stp>
        <stp>MDCN US Equity</stp>
        <stp>LAST_PRICE</stp>
        <tr r="AD921" s="1"/>
        <tr r="AD921" s="1"/>
      </tp>
      <tp>
        <v>5.21E-2</v>
        <stp/>
        <stp>BDP|16498110779503412747|22</stp>
        <stp>RSCF US Equity</stp>
        <stp>LAST_PRICE</stp>
        <tr r="AD1253" s="1"/>
        <tr r="AD1253" s="1"/>
      </tp>
      <tp>
        <v>17.61</v>
        <stp/>
        <stp>BDP|14134034214901812888|22</stp>
        <stp>ANIK US Equity</stp>
        <stp>LAST_PRICE</stp>
        <tr r="AD134" s="1"/>
        <tr r="AD134" s="1"/>
      </tp>
      <tp>
        <v>1E-4</v>
        <stp/>
        <stp>BDP|18231425891742545354|22</stp>
        <stp>IONM US Equity</stp>
        <stp>LAST_PRICE</stp>
        <tr r="AD182" s="1"/>
        <tr r="AD182" s="1"/>
      </tp>
      <tp>
        <v>1.74</v>
        <stp/>
        <stp>BDP|13898649024343549279|22</stp>
        <stp>VSEE US Equity</stp>
        <stp>LAST_PRICE</stp>
        <tr r="AD1571" s="1"/>
        <tr r="AD1571" s="1"/>
      </tp>
      <tp>
        <v>3.95</v>
        <stp/>
        <stp>BDP|15287195008747167688|22</stp>
        <stp>LXEO US Equity</stp>
        <stp>LAST_PRICE</stp>
        <tr r="AD867" s="1"/>
        <tr r="AD867" s="1"/>
      </tp>
      <tp>
        <v>1.04E-2</v>
        <stp/>
        <stp>BDP|15994270438959702214|22</stp>
        <stp>MGON US Equity</stp>
        <stp>LAST_PRICE</stp>
        <tr r="AD935" s="1"/>
        <tr r="AD935" s="1"/>
      </tp>
      <tp>
        <v>0</v>
        <stp/>
        <stp>BDP|14082388898800460562|22</stp>
        <stp>PXMD US Equity</stp>
        <stp>LAST_PRICE</stp>
        <tr r="AD1141" s="1"/>
        <tr r="AD1141" s="1"/>
      </tp>
      <tp>
        <v>7.44</v>
        <stp/>
        <stp>BDP|13917475199593515816|22</stp>
        <stp>KALA US Equity</stp>
        <stp>LAST_PRICE</stp>
        <tr r="AD820" s="1"/>
        <tr r="AD820" s="1"/>
      </tp>
      <tp>
        <v>20.82</v>
        <stp/>
        <stp>BDP|17460163018521953209|22</stp>
        <stp>DNLI US Equity</stp>
        <stp>LAST_PRICE</stp>
        <tr r="AD497" s="1"/>
        <tr r="AD497" s="1"/>
      </tp>
      <tp>
        <v>1E-4</v>
        <stp/>
        <stp>BDP|18416791572567032278|22</stp>
        <stp>CBGL US Equity</stp>
        <stp>LAST_PRICE</stp>
        <tr r="AD329" s="1"/>
        <tr r="AD329" s="1"/>
      </tp>
      <tp>
        <v>3.26</v>
        <stp/>
        <stp>BDP|15423189718167124541|22</stp>
        <stp>SCNI US Equity</stp>
        <stp>LAST_PRICE</stp>
        <tr r="AD1319" s="1"/>
        <tr r="AD1319" s="1"/>
      </tp>
      <tp>
        <v>8.0500000000000007</v>
        <stp/>
        <stp>BDP|10081054117519002736|22</stp>
        <stp>TKNO US Equity</stp>
        <stp>LAST_PRICE</stp>
        <tr r="AD96" s="1"/>
        <tr r="AD96" s="1"/>
      </tp>
      <tp>
        <v>265.95999999999998</v>
        <stp/>
        <stp>BDP|14422481474709132383|22</stp>
        <stp>ALNY US Equity</stp>
        <stp>LAST_PRICE</stp>
        <tr r="AD93" s="1"/>
        <tr r="AD93" s="1"/>
      </tp>
      <tp>
        <v>1.59</v>
        <stp/>
        <stp>BDP|16720958537250937680|22</stp>
        <stp>MRKR US Equity</stp>
        <stp>LAST_PRICE</stp>
        <tr r="AD908" s="1"/>
        <tr r="AD908" s="1"/>
      </tp>
      <tp>
        <v>2.0000000000000001E-4</v>
        <stp/>
        <stp>BDP|17215900309572707475|22</stp>
        <stp>ENDV US Equity</stp>
        <stp>LAST_PRICE</stp>
        <tr r="AD555" s="1"/>
        <tr r="AD555" s="1"/>
      </tp>
      <tp>
        <v>1.67</v>
        <stp/>
        <stp>BDP|17795478731755105068|22</stp>
        <stp>EPIX US Equity</stp>
        <stp>LAST_PRICE</stp>
        <tr r="AD579" s="1"/>
        <tr r="AD579" s="1"/>
      </tp>
      <tp>
        <v>4.55</v>
        <stp/>
        <stp>BDP|15930706839793023221|22</stp>
        <stp>FDMT US Equity</stp>
        <stp>LAST_PRICE</stp>
        <tr r="AD9" s="1"/>
        <tr r="AD9" s="1"/>
      </tp>
      <tp>
        <v>10.78</v>
        <stp/>
        <stp>BDP|12321052678361498843|22</stp>
        <stp>RNAZ US Equity</stp>
        <stp>LAST_PRICE</stp>
        <tr r="AD1481" s="1"/>
        <tr r="AD1481" s="1"/>
      </tp>
      <tp>
        <v>9.9999999999999995E-7</v>
        <stp/>
        <stp>BDP|55509701061057152|22</stp>
        <stp>GBIM US Equity</stp>
        <stp>LAST_PRICE</stp>
        <tr r="AD652" s="1"/>
        <tr r="AD652" s="1"/>
      </tp>
      <tp>
        <v>41.28</v>
        <stp/>
        <stp>BDP|11187300725363964791|22</stp>
        <stp>ACHC US Equity</stp>
        <stp>LAST_PRICE</stp>
        <tr r="AD22" s="1"/>
        <tr r="AD22" s="1"/>
      </tp>
      <tp>
        <v>1.54</v>
        <stp/>
        <stp>BDP|11076880611314830722|22</stp>
        <stp>PROK US Equity</stp>
        <stp>LAST_PRICE</stp>
        <tr r="AD1201" s="1"/>
        <tr r="AD1201" s="1"/>
      </tp>
      <tp>
        <v>17.79</v>
        <stp/>
        <stp>BDP|12173880958256854120|22</stp>
        <stp>AXGN US Equity</stp>
        <stp>LAST_PRICE</stp>
        <tr r="AD221" s="1"/>
        <tr r="AD221" s="1"/>
      </tp>
      <tp>
        <v>1E-4</v>
        <stp/>
        <stp>BDP|11644461692154292263|22</stp>
        <stp>PPJE US Equity</stp>
        <stp>LAST_PRICE</stp>
        <tr r="AD1178" s="1"/>
        <tr r="AD1178" s="1"/>
      </tp>
      <tp>
        <v>2.5499999999999998</v>
        <stp/>
        <stp>BDP|11784553212437050200|22</stp>
        <stp>TELA US Equity</stp>
        <stp>LAST_PRICE</stp>
        <tr r="AD1440" s="1"/>
        <tr r="AD1440" s="1"/>
      </tp>
      <tp>
        <v>2.5499999999999998</v>
        <stp/>
        <stp>BDP|16768323424695511490|22</stp>
        <stp>ATAI US Equity</stp>
        <stp>LAST_PRICE</stp>
        <tr r="AD185" s="1"/>
        <tr r="AD185" s="1"/>
      </tp>
      <tp>
        <v>10.37</v>
        <stp/>
        <stp>BDP|17834240103753783738|22</stp>
        <stp>URGN US Equity</stp>
        <stp>LAST_PRICE</stp>
        <tr r="AD1513" s="1"/>
        <tr r="AD1513" s="1"/>
      </tp>
      <tp>
        <v>9.9999999999999995E-7</v>
        <stp/>
        <stp>BDP|10602854358567884323|22</stp>
        <stp>PHMB US Equity</stp>
        <stp>LAST_PRICE</stp>
        <tr r="AD1157" s="1"/>
        <tr r="AD1157" s="1"/>
      </tp>
      <tp>
        <v>3.5749999999999997E-2</v>
        <stp/>
        <stp>BDP|14655616329000958072|22</stp>
        <stp>OTLC US Equity</stp>
        <stp>LAST_PRICE</stp>
        <tr r="AD1089" s="1"/>
        <tr r="AD1089" s="1"/>
      </tp>
      <tp t="s">
        <v>#N/A N/A</v>
        <stp/>
        <stp>BDP|16395181523737296689|22</stp>
        <stp>SYNI US Equity</stp>
        <stp>LAST_PRICE</stp>
        <tr r="AD1424" s="1"/>
      </tp>
      <tp>
        <v>0.155</v>
        <stp/>
        <stp>BDP|10107302590257127517|22</stp>
        <stp>ESMC US Equity</stp>
        <stp>LAST_PRICE</stp>
        <tr r="AD577" s="1"/>
        <tr r="AD577" s="1"/>
      </tp>
      <tp>
        <v>2.52</v>
        <stp/>
        <stp>BDP|12648317262270139244|22</stp>
        <stp>CALC US Equity</stp>
        <stp>LAST_PRICE</stp>
        <tr r="AD320" s="1"/>
        <tr r="AD320" s="1"/>
      </tp>
      <tp>
        <v>1.31</v>
        <stp/>
        <stp>BDP|13377678491806853189|22</stp>
        <stp>HBIO US Equity</stp>
        <stp>LAST_PRICE</stp>
        <tr r="AD674" s="1"/>
        <tr r="AD674" s="1"/>
      </tp>
      <tp t="s">
        <v>#N/A N/A</v>
        <stp/>
        <stp>BDP|13759583101626014863|22</stp>
        <stp>MCDA US Equity</stp>
        <stp>LAST_PRICE</stp>
        <tr r="AD840" s="1"/>
      </tp>
      <tp>
        <v>0</v>
        <stp/>
        <stp>BDP|12418623551801863573|22</stp>
        <stp>KLDO US Equity</stp>
        <stp>LAST_PRICE</stp>
        <tr r="AD821" s="1"/>
        <tr r="AD821" s="1"/>
      </tp>
      <tp>
        <v>16.62</v>
        <stp/>
        <stp>BDP|11870746603334428753|22</stp>
        <stp>EMBC US Equity</stp>
        <stp>LAST_PRICE</stp>
        <tr r="AD548" s="1"/>
        <tr r="AD548" s="1"/>
      </tp>
      <tp>
        <v>6.5</v>
        <stp/>
        <stp>BDP|17044730942166068344|22</stp>
        <stp>CDIX US Equity</stp>
        <stp>LAST_PRICE</stp>
        <tr r="AD343" s="1"/>
        <tr r="AD343" s="1"/>
      </tp>
      <tp>
        <v>4.47</v>
        <stp/>
        <stp>BDP|12965546771959957867|22</stp>
        <stp>CLOV US Equity</stp>
        <stp>LAST_PRICE</stp>
        <tr r="AD415" s="1"/>
        <tr r="AD415" s="1"/>
      </tp>
      <tp>
        <v>3.53</v>
        <stp/>
        <stp>BDP|17389297728642281704|22</stp>
        <stp>AMLX US Equity</stp>
        <stp>LAST_PRICE</stp>
        <tr r="AD125" s="1"/>
        <tr r="AD125" s="1"/>
      </tp>
      <tp>
        <v>1.5</v>
        <stp/>
        <stp>BDP|15863644010347953207|22</stp>
        <stp>IRIX US Equity</stp>
        <stp>LAST_PRICE</stp>
        <tr r="AD799" s="1"/>
        <tr r="AD799" s="1"/>
      </tp>
      <tp>
        <v>1.23</v>
        <stp/>
        <stp>BDP|13634794372923828466|22</stp>
        <stp>CTOR US Equity</stp>
        <stp>LAST_PRICE</stp>
        <tr r="AD405" s="1"/>
        <tr r="AD405" s="1"/>
      </tp>
      <tp>
        <v>1.17</v>
        <stp/>
        <stp>BDP|14137866674501935984|22</stp>
        <stp>SENS US Equity</stp>
        <stp>LAST_PRICE</stp>
        <tr r="AD1334" s="1"/>
        <tr r="AD1334" s="1"/>
      </tp>
      <tp t="s">
        <v>#N/A N/A</v>
        <stp/>
        <stp>BDP|13303650375342048124|22</stp>
        <stp>AXMP US Equity</stp>
        <stp>LAST_PRICE</stp>
        <tr r="AD220" s="1"/>
      </tp>
      <tp>
        <v>1.0200000000000001E-2</v>
        <stp/>
        <stp>BDP|10056777980430151351|22</stp>
        <stp>CEOS US Equity</stp>
        <stp>LAST_PRICE</stp>
        <tr r="AD369" s="1"/>
        <tr r="AD369" s="1"/>
      </tp>
      <tp>
        <v>3.96</v>
        <stp/>
        <stp>BDP|12721623515998332437|22</stp>
        <stp>HUMA US Equity</stp>
        <stp>LAST_PRICE</stp>
        <tr r="AD706" s="1"/>
        <tr r="AD706" s="1"/>
      </tp>
      <tp>
        <v>205.34</v>
        <stp/>
        <stp>BDP|12778400317192201585|22</stp>
        <stp>ALGN US Equity</stp>
        <stp>LAST_PRICE</stp>
        <tr r="AD84" s="1"/>
        <tr r="AD84" s="1"/>
      </tp>
      <tp t="s">
        <v>#N/A N/A</v>
        <stp/>
        <stp>BDP|14112322987350303450|22</stp>
        <stp>DSOL US Equity</stp>
        <stp>LAST_PRICE</stp>
        <tr r="AD517" s="1"/>
      </tp>
      <tp>
        <v>1.35E-2</v>
        <stp/>
        <stp>BDP|16279836521408484614|22</stp>
        <stp>UAHC US Equity</stp>
        <stp>LAST_PRICE</stp>
        <tr r="AD1503" s="1"/>
        <tr r="AD1503" s="1"/>
      </tp>
      <tp>
        <v>3.46</v>
        <stp/>
        <stp>BDP|13897578611620301150|22</stp>
        <stp>AGEN US Equity</stp>
        <stp>LAST_PRICE</stp>
        <tr r="AD67" s="1"/>
        <tr r="AD67" s="1"/>
      </tp>
      <tp>
        <v>53.64</v>
        <stp/>
        <stp>BDP|11135775317699518167|22</stp>
        <stp>IRON US Equity</stp>
        <stp>LAST_PRICE</stp>
        <tr r="AD511" s="1"/>
        <tr r="AD511" s="1"/>
      </tp>
      <tp>
        <v>0.61709999999999998</v>
        <stp/>
        <stp>BDP|16492910354833345067|22</stp>
        <stp>OVID US Equity</stp>
        <stp>LAST_PRICE</stp>
        <tr r="AD1119" s="1"/>
        <tr r="AD1119" s="1"/>
      </tp>
      <tp>
        <v>6.9</v>
        <stp/>
        <stp>BDP|11279051868338466552|22</stp>
        <stp>ACCD US Equity</stp>
        <stp>LAST_PRICE</stp>
        <tr r="AD26" s="1"/>
        <tr r="AD26" s="1"/>
      </tp>
      <tp>
        <v>1.82</v>
        <stp/>
        <stp>BDP|11760390400418446038|22</stp>
        <stp>SNDL US Equity</stp>
        <stp>LAST_PRICE</stp>
        <tr r="AD1363" s="1"/>
        <tr r="AD1363" s="1"/>
      </tp>
      <tp>
        <v>18.89</v>
        <stp/>
        <stp>BDP|12965293427735601317|22</stp>
        <stp>INMD US Equity</stp>
        <stp>LAST_PRICE</stp>
        <tr r="AD753" s="1"/>
        <tr r="AD753" s="1"/>
      </tp>
      <tp>
        <v>12.83</v>
        <stp/>
        <stp>BDP|12118687850240269141|22</stp>
        <stp>INBX US Equity</stp>
        <stp>LAST_PRICE</stp>
        <tr r="AD751" s="1"/>
        <tr r="AD751" s="1"/>
      </tp>
      <tp>
        <v>51.65</v>
        <stp/>
        <stp>BDP|12854567613778992727|22</stp>
        <stp>BRKR US Equity</stp>
        <stp>LAST_PRICE</stp>
        <tr r="AD310" s="1"/>
        <tr r="AD310" s="1"/>
      </tp>
      <tp>
        <v>9.9999999999999995E-7</v>
        <stp/>
        <stp>BDP|14109639524594834815|22</stp>
        <stp>CXBS US Equity</stp>
        <stp>LAST_PRICE</stp>
        <tr r="AD446" s="1"/>
        <tr r="AD446" s="1"/>
      </tp>
      <tp t="s">
        <v>#N/A N/A</v>
        <stp/>
        <stp>BDP|12231021943524162721|22</stp>
        <stp>NNMX US Equity</stp>
        <stp>LAST_PRICE</stp>
        <tr r="AD998" s="1"/>
      </tp>
      <tp>
        <v>1.73</v>
        <stp/>
        <stp>BDP|49970336289229104|22</stp>
        <stp>FBLG US Equity</stp>
        <stp>LAST_PRICE</stp>
        <tr r="AD609" s="1"/>
        <tr r="AD609" s="1"/>
      </tp>
      <tp>
        <v>24.33</v>
        <stp/>
        <stp>BDP|10720892329253913103|22</stp>
        <stp>GPCR US Equity</stp>
        <stp>LAST_PRICE</stp>
        <tr r="AD1407" s="1"/>
        <tr r="AD1407" s="1"/>
      </tp>
      <tp>
        <v>16.22</v>
        <stp/>
        <stp>BDP|17229499447892075327|22</stp>
        <stp>XNCR US Equity</stp>
        <stp>LAST_PRICE</stp>
        <tr r="AD1595" s="1"/>
        <tr r="AD1595" s="1"/>
      </tp>
      <tp>
        <v>1.84</v>
        <stp/>
        <stp>BDP|13435712686701804090|22</stp>
        <stp>MNOV US Equity</stp>
        <stp>LAST_PRICE</stp>
        <tr r="AD924" s="1"/>
        <tr r="AD924" s="1"/>
      </tp>
      <tp>
        <v>243.59</v>
        <stp/>
        <stp>BDP|279612289299325676|22</stp>
        <stp>COR US Equity</stp>
        <stp>LAST_PRICE</stp>
        <tr r="AD376" s="1"/>
        <tr r="AD376" s="1"/>
      </tp>
      <tp>
        <v>2.0099</v>
        <stp/>
        <stp>BDP|14879247848944231639|22</stp>
        <stp>RTGN US Equity</stp>
        <stp>LAST_PRICE</stp>
        <tr r="AD1279" s="1"/>
        <tr r="AD1279" s="1"/>
      </tp>
      <tp>
        <v>30.535</v>
        <stp/>
        <stp>BDP|14141196335385805799|22</stp>
        <stp>MRNA US Equity</stp>
        <stp>LAST_PRICE</stp>
        <tr r="AD968" s="1"/>
        <tr r="AD968" s="1"/>
      </tp>
      <tp>
        <v>4.3600000000000003</v>
        <stp/>
        <stp>BDP|15730892890112985695|22</stp>
        <stp>CCLD US Equity</stp>
        <stp>LAST_PRICE</stp>
        <tr r="AD352" s="1"/>
        <tr r="AD352" s="1"/>
      </tp>
      <tp>
        <v>9.9999999999999995E-7</v>
        <stp/>
        <stp>BDP|14436783931642022518|22</stp>
        <stp>PFND US Equity</stp>
        <stp>LAST_PRICE</stp>
        <tr r="AD1138" s="1"/>
        <tr r="AD1138" s="1"/>
      </tp>
      <tp>
        <v>0.3049</v>
        <stp/>
        <stp>BDP|12637701852189943126|22</stp>
        <stp>RLMD US Equity</stp>
        <stp>LAST_PRICE</stp>
        <tr r="AD1263" s="1"/>
        <tr r="AD1263" s="1"/>
      </tp>
      <tp>
        <v>3.76</v>
        <stp/>
        <stp>BDP|14980196369800180932|22</stp>
        <stp>HITI CN Equity</stp>
        <stp>LAST_PRICE</stp>
        <tr r="AD698" s="1"/>
        <tr r="AD698" s="1"/>
      </tp>
      <tp>
        <v>0.53680000000000005</v>
        <stp/>
        <stp>BDP|18234718344694514654|22</stp>
        <stp>LYEL US Equity</stp>
        <stp>LAST_PRICE</stp>
        <tr r="AD892" s="1"/>
        <tr r="AD892" s="1"/>
      </tp>
      <tp>
        <v>5.33</v>
        <stp/>
        <stp>BDP|16608556752042895022|22</stp>
        <stp>OBIO US Equity</stp>
        <stp>LAST_PRICE</stp>
        <tr r="AD1105" s="1"/>
        <tr r="AD1105" s="1"/>
      </tp>
      <tp>
        <v>30.53</v>
        <stp/>
        <stp>BDP|13828861578355066988|22</stp>
        <stp>COLL US Equity</stp>
        <stp>LAST_PRICE</stp>
        <tr r="AD425" s="1"/>
        <tr r="AD425" s="1"/>
      </tp>
      <tp>
        <v>1.07</v>
        <stp/>
        <stp>BDP|11733658563859663993|22</stp>
        <stp>BBLG US Equity</stp>
        <stp>LAST_PRICE</stp>
        <tr r="AD296" s="1"/>
        <tr r="AD296" s="1"/>
      </tp>
      <tp>
        <v>4.5</v>
        <stp/>
        <stp>BDP|11374830678218721635|22</stp>
        <stp>AONC US Equity</stp>
        <stp>LAST_PRICE</stp>
        <tr r="AD114" s="1"/>
        <tr r="AD114" s="1"/>
      </tp>
      <tp>
        <v>9.9999999999999995E-7</v>
        <stp/>
        <stp>BDP|14983947392480853105|22</stp>
        <stp>MCET US Equity</stp>
        <stp>LAST_PRICE</stp>
        <tr r="AD983" s="1"/>
        <tr r="AD983" s="1"/>
      </tp>
      <tp>
        <v>19.37</v>
        <stp/>
        <stp>BDP|17158628616998295180|22</stp>
        <stp>NAMS US Equity</stp>
        <stp>LAST_PRICE</stp>
        <tr r="AD1034" s="1"/>
        <tr r="AD1034" s="1"/>
      </tp>
      <tp>
        <v>75.180000000000007</v>
        <stp/>
        <stp>BDP|13257655157437696172|22</stp>
        <stp>DOCS US Equity</stp>
        <stp>LAST_PRICE</stp>
        <tr r="AD516" s="1"/>
        <tr r="AD516" s="1"/>
      </tp>
      <tp>
        <v>0.08</v>
        <stp/>
        <stp>BDP|17339628259512304770|22</stp>
        <stp>CBST CN Equity</stp>
        <stp>LAST_PRICE</stp>
        <tr r="AD332" s="1"/>
        <tr r="AD332" s="1"/>
      </tp>
      <tp>
        <v>2.9999999999999997E-4</v>
        <stp/>
        <stp>BDP|16107021217746916017|22</stp>
        <stp>XSNX US Equity</stp>
        <stp>LAST_PRICE</stp>
        <tr r="AD1053" s="1"/>
        <tr r="AD1053" s="1"/>
      </tp>
      <tp>
        <v>0</v>
        <stp/>
        <stp>BDP|13237086542583829536|22</stp>
        <stp>RCAR US Equity</stp>
        <stp>LAST_PRICE</stp>
        <tr r="AD1267" s="1"/>
        <tr r="AD1267" s="1"/>
      </tp>
      <tp>
        <v>186.53</v>
        <stp/>
        <stp>BDP|17402863898021522916|22</stp>
        <stp>ICLR US Equity</stp>
        <stp>LAST_PRICE</stp>
        <tr r="AD716" s="1"/>
        <tr r="AD716" s="1"/>
      </tp>
      <tp>
        <v>6.86</v>
        <stp/>
        <stp>BDP|10212262723789646307|22</stp>
        <stp>NVCT US Equity</stp>
        <stp>LAST_PRICE</stp>
        <tr r="AD1068" s="1"/>
        <tr r="AD1068" s="1"/>
      </tp>
      <tp t="s">
        <v>#N/A Requesting Data...4040954857</v>
        <stp/>
        <stp>BDP|3588160159063817</stp>
        <tr r="Z1462" s="1"/>
        <tr r="Z1462" s="1"/>
      </tp>
      <tp>
        <v>2.9</v>
        <stp/>
        <stp>BDP|15559558397786139409|22</stp>
        <stp>MREO US Equity</stp>
        <stp>LAST_PRICE</stp>
        <tr r="AD941" s="1"/>
        <tr r="AD941" s="1"/>
      </tp>
      <tp>
        <v>1.41</v>
        <stp/>
        <stp>BDP|10118613608116837607|22</stp>
        <stp>COCH US Equity</stp>
        <stp>LAST_PRICE</stp>
        <tr r="AD570" s="1"/>
        <tr r="AD570" s="1"/>
      </tp>
      <tp>
        <v>2.9999999999999997E-4</v>
        <stp/>
        <stp>BDP|18298517291902622254|22</stp>
        <stp>LLBO US Equity</stp>
        <stp>LAST_PRICE</stp>
        <tr r="AD871" s="1"/>
        <tr r="AD871" s="1"/>
      </tp>
      <tp>
        <v>0.85</v>
        <stp/>
        <stp>BDP|13371956694456318654|22</stp>
        <stp>BSGM US Equity</stp>
        <stp>LAST_PRICE</stp>
        <tr r="AD279" s="1"/>
        <tr r="AD279" s="1"/>
      </tp>
      <tp>
        <v>35.869999999999997</v>
        <stp/>
        <stp>BDP|12974550789702905883|22</stp>
        <stp>LEGN US Equity</stp>
        <stp>LAST_PRICE</stp>
        <tr r="AD862" s="1"/>
        <tr r="AD862" s="1"/>
      </tp>
      <tp>
        <v>3.53</v>
        <stp/>
        <stp>BDP|17033860123952111235|22</stp>
        <stp>SLDB US Equity</stp>
        <stp>LAST_PRICE</stp>
        <tr r="AD1367" s="1"/>
        <tr r="AD1367" s="1"/>
      </tp>
      <tp>
        <v>0.61</v>
        <stp/>
        <stp>BDP|10275838244873173147|22</stp>
        <stp>BACK US Equity</stp>
        <stp>LAST_PRICE</stp>
        <tr r="AD726" s="1"/>
        <tr r="AD726" s="1"/>
      </tp>
      <tp>
        <v>16.22</v>
        <stp/>
        <stp>BDP|15747025231412454215|22</stp>
        <stp>SIBN US Equity</stp>
        <stp>LAST_PRICE</stp>
        <tr r="AD1347" s="1"/>
        <tr r="AD1347" s="1"/>
      </tp>
      <tp>
        <v>1E-4</v>
        <stp/>
        <stp>BDP|10579988964325280354|22</stp>
        <stp>FPMI US Equity</stp>
        <stp>LAST_PRICE</stp>
        <tr r="AD615" s="1"/>
        <tr r="AD615" s="1"/>
      </tp>
      <tp>
        <v>9.82</v>
        <stp/>
        <stp>BDP|13601942804758727816|22</stp>
        <stp>TMCI US Equity</stp>
        <stp>LAST_PRICE</stp>
        <tr r="AD1485" s="1"/>
        <tr r="AD1485" s="1"/>
      </tp>
      <tp>
        <v>35.5</v>
        <stp/>
        <stp>BDP|13627884762505966417|22</stp>
        <stp>APGE US Equity</stp>
        <stp>LAST_PRICE</stp>
        <tr r="AD142" s="1"/>
        <tr r="AD142" s="1"/>
      </tp>
      <tp>
        <v>0.93400000000000005</v>
        <stp/>
        <stp>BDP|13512786612521219533|22</stp>
        <stp>ONMD US Equity</stp>
        <stp>LAST_PRICE</stp>
        <tr r="AD1093" s="1"/>
        <tr r="AD1093" s="1"/>
      </tp>
      <tp>
        <v>1.58</v>
        <stp/>
        <stp>BDP|16398218700896443640|22</stp>
        <stp>DYAI US Equity</stp>
        <stp>LAST_PRICE</stp>
        <tr r="AD519" s="1"/>
        <tr r="AD519" s="1"/>
      </tp>
      <tp>
        <v>40.49</v>
        <stp/>
        <stp>BDP|16843989596096473222|22</stp>
        <stp>OMCL US Equity</stp>
        <stp>LAST_PRICE</stp>
        <tr r="AD1081" s="1"/>
        <tr r="AD1081" s="1"/>
      </tp>
      <tp>
        <v>2.0000000000000001E-4</v>
        <stp/>
        <stp>BDP|11126984328805936633|22</stp>
        <stp>UPHL US Equity</stp>
        <stp>LAST_PRICE</stp>
        <tr r="AD1511" s="1"/>
        <tr r="AD1511" s="1"/>
      </tp>
      <tp>
        <v>1.1599999999999999</v>
        <stp/>
        <stp>BDP|14063406416465967687|22</stp>
        <stp>MODD US Equity</stp>
        <stp>LAST_PRICE</stp>
        <tr r="AD970" s="1"/>
        <tr r="AD970" s="1"/>
      </tp>
      <tp>
        <v>2.35</v>
        <stp/>
        <stp>BDP|17923610772912001650|22</stp>
        <stp>PHLT US Equity</stp>
        <stp>LAST_PRICE</stp>
        <tr r="AD1147" s="1"/>
        <tr r="AD1147" s="1"/>
      </tp>
      <tp>
        <v>13.44</v>
        <stp/>
        <stp>BDP|13362172789448225297|22</stp>
        <stp>VREX US Equity</stp>
        <stp>LAST_PRICE</stp>
        <tr r="AD1521" s="1"/>
        <tr r="AD1521" s="1"/>
      </tp>
      <tp>
        <v>2.1800000000000002</v>
        <stp/>
        <stp>BDP|11846336325826614973|22</stp>
        <stp>GELS US Equity</stp>
        <stp>LAST_PRICE</stp>
        <tr r="AD636" s="1"/>
        <tr r="AD636" s="1"/>
      </tp>
      <tp>
        <v>63.314999999999998</v>
        <stp/>
        <stp>BDP|15673823397661977756|22</stp>
        <stp>ACLX US Equity</stp>
        <stp>LAST_PRICE</stp>
        <tr r="AD156" s="1"/>
        <tr r="AD156" s="1"/>
      </tp>
      <tp>
        <v>2.56</v>
        <stp/>
        <stp>BDP|16351611218940233130|22</stp>
        <stp>SGHT US Equity</stp>
        <stp>LAST_PRICE</stp>
        <tr r="AD1350" s="1"/>
        <tr r="AD1350" s="1"/>
      </tp>
      <tp>
        <v>1.89</v>
        <stp/>
        <stp>BDP|15498877214236676933|22</stp>
        <stp>THAR US Equity</stp>
        <stp>LAST_PRICE</stp>
        <tr r="AD1457" s="1"/>
        <tr r="AD1457" s="1"/>
      </tp>
      <tp>
        <v>0.79449999999999998</v>
        <stp/>
        <stp>BDP|14297848721316040398|22</stp>
        <stp>CTMX US Equity</stp>
        <stp>LAST_PRICE</stp>
        <tr r="AD484" s="1"/>
        <tr r="AD484" s="1"/>
      </tp>
      <tp>
        <v>16.63</v>
        <stp/>
        <stp>BDP|15265955569540618141|22</stp>
        <stp>ECOR US Equity</stp>
        <stp>LAST_PRICE</stp>
        <tr r="AD538" s="1"/>
        <tr r="AD538" s="1"/>
      </tp>
      <tp t="s">
        <v>#N/A N/A</v>
        <stp/>
        <stp>BDP|13997694695359710958|22</stp>
        <stp>QMDT US Equity</stp>
        <stp>LAST_PRICE</stp>
        <tr r="AD1236" s="1"/>
      </tp>
      <tp>
        <v>48.93</v>
        <stp/>
        <stp>BDP|17120140017710689349|22</stp>
        <stp>PTCT US Equity</stp>
        <stp>LAST_PRICE</stp>
        <tr r="AD1218" s="1"/>
        <tr r="AD1218" s="1"/>
      </tp>
      <tp>
        <v>100.2</v>
        <stp/>
        <stp>BDP|980235704459679301|22</stp>
        <stp>NHC US Equity</stp>
        <stp>LAST_PRICE</stp>
        <tr r="AD1005" s="1"/>
        <tr r="AD1005" s="1"/>
      </tp>
      <tp t="s">
        <v>#N/A Requesting Data...4234713648</v>
        <stp/>
        <stp>BDP|4622053195664527</stp>
        <tr r="AB705" s="1"/>
        <tr r="AB705" s="1"/>
      </tp>
      <tp>
        <v>0.60299999999999998</v>
        <stp/>
        <stp>BDP|15593799217301923352|22</stp>
        <stp>SLGL US Equity</stp>
        <stp>LAST_PRICE</stp>
        <tr r="AD1365" s="1"/>
        <tr r="AD1365" s="1"/>
      </tp>
      <tp>
        <v>16.82</v>
        <stp/>
        <stp>BDP|14603245256468987001|22</stp>
        <stp>TCMD US Equity</stp>
        <stp>LAST_PRICE</stp>
        <tr r="AD1428" s="1"/>
        <tr r="AD1428" s="1"/>
      </tp>
      <tp>
        <v>1.46</v>
        <stp/>
        <stp>BDP|15424020629408668985|22</stp>
        <stp>POAI US Equity</stp>
        <stp>LAST_PRICE</stp>
        <tr r="AD1184" s="1"/>
        <tr r="AD1184" s="1"/>
      </tp>
      <tp>
        <v>2.1</v>
        <stp/>
        <stp>BDP|10289647838478672977|22</stp>
        <stp>CURA CN Equity</stp>
        <stp>LAST_PRICE</stp>
        <tr r="AD467" s="1"/>
        <tr r="AD467" s="1"/>
      </tp>
      <tp>
        <v>77.2</v>
        <stp/>
        <stp>BDP|13726852540368283991|22</stp>
        <stp>HSIC US Equity</stp>
        <stp>LAST_PRICE</stp>
        <tr r="AD693" s="1"/>
        <tr r="AD693" s="1"/>
      </tp>
      <tp>
        <v>9.9999999999999995E-7</v>
        <stp/>
        <stp>BDP|15769070786043912861|22</stp>
        <stp>BIIO US Equity</stp>
        <stp>LAST_PRICE</stp>
        <tr r="AD275" s="1"/>
        <tr r="AD275" s="1"/>
      </tp>
      <tp t="s">
        <v>#N/A N/A</v>
        <stp/>
        <stp>BDP|10855073541075298128|22</stp>
        <stp>XENO US Equity</stp>
        <stp>LAST_PRICE</stp>
        <tr r="AD1597" s="1"/>
      </tp>
      <tp>
        <v>0.71840000000000004</v>
        <stp/>
        <stp>BDP|10737890167809496935|22</stp>
        <stp>RENB US Equity</stp>
        <stp>LAST_PRICE</stp>
        <tr r="AD1268" s="1"/>
        <tr r="AD1268" s="1"/>
      </tp>
      <tp>
        <v>24.3</v>
        <stp/>
        <stp>BDP|15590526927459090878|22</stp>
        <stp>PRGO US Equity</stp>
        <stp>LAST_PRICE</stp>
        <tr r="AD1149" s="1"/>
        <tr r="AD1149" s="1"/>
      </tp>
      <tp>
        <v>0.84179999999999999</v>
        <stp/>
        <stp>BDP|17274918100783470605|22</stp>
        <stp>NKGN US Equity</stp>
        <stp>LAST_PRICE</stp>
        <tr r="AD1046" s="1"/>
        <tr r="AD1046" s="1"/>
      </tp>
      <tp>
        <v>10.455</v>
        <stp/>
        <stp>BDP|18251831580604719318|22</stp>
        <stp>ANGO US Equity</stp>
        <stp>LAST_PRICE</stp>
        <tr r="AD132" s="1"/>
        <tr r="AD132" s="1"/>
      </tp>
      <tp>
        <v>2.81</v>
        <stp/>
        <stp>BDP|14204179192636163073|22</stp>
        <stp>BTAI US Equity</stp>
        <stp>LAST_PRICE</stp>
        <tr r="AD288" s="1"/>
        <tr r="AD288" s="1"/>
      </tp>
      <tp>
        <v>3.53</v>
        <stp/>
        <stp>BDP|11976780632478295127|22</stp>
        <stp>LPCN US Equity</stp>
        <stp>LAST_PRICE</stp>
        <tr r="AD879" s="1"/>
        <tr r="AD879" s="1"/>
      </tp>
      <tp>
        <v>2.87</v>
        <stp/>
        <stp>BDP|11980983828722106311|22</stp>
        <stp>MBIO US Equity</stp>
        <stp>LAST_PRICE</stp>
        <tr r="AD987" s="1"/>
        <tr r="AD987" s="1"/>
      </tp>
      <tp>
        <v>1E-4</v>
        <stp/>
        <stp>BDP|16910220643411831914|22</stp>
        <stp>STAB US Equity</stp>
        <stp>LAST_PRICE</stp>
        <tr r="AD1396" s="1"/>
        <tr r="AD1396" s="1"/>
      </tp>
      <tp>
        <v>3.1</v>
        <stp/>
        <stp>BDP|16582960601710360625|22</stp>
        <stp>ABCL US Equity</stp>
        <stp>LAST_PRICE</stp>
        <tr r="AD16" s="1"/>
        <tr r="AD16" s="1"/>
      </tp>
      <tp>
        <v>62.05</v>
        <stp/>
        <stp>BDP|18258592782367493836|22</stp>
        <stp>RDNT US Equity</stp>
        <stp>LAST_PRICE</stp>
        <tr r="AD1241" s="1"/>
        <tr r="AD1241" s="1"/>
      </tp>
      <tp>
        <v>9.9999999999999995E-7</v>
        <stp/>
        <stp>BDP|17809392589307396997|22</stp>
        <stp>NNBP US Equity</stp>
        <stp>LAST_PRICE</stp>
        <tr r="AD996" s="1"/>
        <tr r="AD996" s="1"/>
      </tp>
      <tp>
        <v>14.86</v>
        <stp/>
        <stp>BDP|16879503237705324187|22</stp>
        <stp>SNDX US Equity</stp>
        <stp>LAST_PRICE</stp>
        <tr r="AD1421" s="1"/>
        <tr r="AD1421" s="1"/>
      </tp>
      <tp>
        <v>3.819</v>
        <stp/>
        <stp>BDP|15900543284028284786|22</stp>
        <stp>HSCS US Equity</stp>
        <stp>LAST_PRICE</stp>
        <tr r="AD687" s="1"/>
        <tr r="AD687" s="1"/>
      </tp>
      <tp>
        <v>34.505000000000003</v>
        <stp/>
        <stp>BDP|14512430992135436656|22</stp>
        <stp>PDEX US Equity</stp>
        <stp>LAST_PRICE</stp>
        <tr r="AD1194" s="1"/>
        <tr r="AD1194" s="1"/>
      </tp>
      <tp>
        <v>1.95</v>
        <stp/>
        <stp>BDP|10826414442955123576|22</stp>
        <stp>ARMP US Equity</stp>
        <stp>LAST_PRICE</stp>
        <tr r="AD166" s="1"/>
        <tr r="AD166" s="1"/>
      </tp>
      <tp>
        <v>8.3999999999999995E-3</v>
        <stp/>
        <stp>BDP|11364704123321010322|22</stp>
        <stp>CNBX US Equity</stp>
        <stp>LAST_PRICE</stp>
        <tr r="AD416" s="1"/>
        <tr r="AD416" s="1"/>
      </tp>
      <tp>
        <v>233.34</v>
        <stp/>
        <stp>BDP|11257369722587278510|22</stp>
        <stp>VEEV US Equity</stp>
        <stp>LAST_PRICE</stp>
        <tr r="AD1527" s="1"/>
        <tr r="AD1527" s="1"/>
      </tp>
      <tp>
        <v>1.37</v>
        <stp/>
        <stp>BDP|15209318011840889053|22</stp>
        <stp>ABOS US Equity</stp>
        <stp>LAST_PRICE</stp>
        <tr r="AD38" s="1"/>
        <tr r="AD38" s="1"/>
      </tp>
      <tp>
        <v>14.06</v>
        <stp/>
        <stp>BDP|18071545751181040767|22</stp>
        <stp>PACS US Equity</stp>
        <stp>LAST_PRICE</stp>
        <tr r="AD1126" s="1"/>
        <tr r="AD1126" s="1"/>
      </tp>
      <tp>
        <v>2.2999999999999998</v>
        <stp/>
        <stp>BDP|12081518323891461015|22</stp>
        <stp>SNGX US Equity</stp>
        <stp>LAST_PRICE</stp>
        <tr r="AD1368" s="1"/>
        <tr r="AD1368" s="1"/>
      </tp>
      <tp>
        <v>30.84</v>
        <stp/>
        <stp>BDP|13936972744577129556|22</stp>
        <stp>IONS US Equity</stp>
        <stp>LAST_PRICE</stp>
        <tr r="AD792" s="1"/>
        <tr r="AD792" s="1"/>
      </tp>
      <tp>
        <v>1.31</v>
        <stp/>
        <stp>BDP|113634647659542429|22</stp>
        <stp>SLS US Equity</stp>
        <stp>LAST_PRICE</stp>
        <tr r="AD1330" s="1"/>
        <tr r="AD1330" s="1"/>
      </tp>
      <tp>
        <v>0.15690000000000001</v>
        <stp/>
        <stp>BDP|10441224700806020432|22</stp>
        <stp>LUDG US Equity</stp>
        <stp>LAST_PRICE</stp>
        <tr r="AD891" s="1"/>
        <tr r="AD891" s="1"/>
      </tp>
      <tp>
        <v>0.11625000000000001</v>
        <stp/>
        <stp>BDP|17162064757006176134|22</stp>
        <stp>ISCO US Equity</stp>
        <stp>LAST_PRICE</stp>
        <tr r="AD784" s="1"/>
        <tr r="AD784" s="1"/>
      </tp>
      <tp>
        <v>1E-4</v>
        <stp/>
        <stp>BDP|12960488458956151357|22</stp>
        <stp>MDLH US Equity</stp>
        <stp>LAST_PRICE</stp>
        <tr r="AD919" s="1"/>
        <tr r="AD919" s="1"/>
      </tp>
      <tp t="s">
        <v>#N/A N/A</v>
        <stp/>
        <stp>BDP|15120925360862856828|22</stp>
        <stp>WUHN US Equity</stp>
        <stp>LAST_PRICE</stp>
        <tr r="AD894" s="1"/>
      </tp>
      <tp>
        <v>0.45</v>
        <stp/>
        <stp>BDP|14969904645989145852|22</stp>
        <stp>ECIA US Equity</stp>
        <stp>LAST_PRICE</stp>
        <tr r="AD552" s="1"/>
        <tr r="AD552" s="1"/>
      </tp>
      <tp>
        <v>10.14</v>
        <stp/>
        <stp>BDP|14112710626778787975|22</stp>
        <stp>INGN US Equity</stp>
        <stp>LAST_PRICE</stp>
        <tr r="AD765" s="1"/>
        <tr r="AD765" s="1"/>
      </tp>
      <tp>
        <v>1.5E-3</v>
        <stp/>
        <stp>BDP|17242583283612467650|22</stp>
        <stp>MCIC US Equity</stp>
        <stp>LAST_PRICE</stp>
        <tr r="AD984" s="1"/>
        <tr r="AD984" s="1"/>
      </tp>
      <tp>
        <v>39.26</v>
        <stp/>
        <stp>BDP|18237898647147947750|22</stp>
        <stp>GRAL US Equity</stp>
        <stp>LAST_PRICE</stp>
        <tr r="AD660" s="1"/>
        <tr r="AD660" s="1"/>
      </tp>
      <tp t="s">
        <v>#N/A N/A</v>
        <stp/>
        <stp>BDP|16757158132333464981|22</stp>
        <stp>OMMH US Equity</stp>
        <stp>LAST_PRICE</stp>
        <tr r="AD1082" s="1"/>
      </tp>
      <tp>
        <v>0.90600000000000003</v>
        <stp/>
        <stp>BDP|13896467276119485813|22</stp>
        <stp>PRLD US Equity</stp>
        <stp>LAST_PRICE</stp>
        <tr r="AD1185" s="1"/>
        <tr r="AD1185" s="1"/>
      </tp>
      <tp>
        <v>2.9999999999999997E-4</v>
        <stp/>
        <stp>BDP|12753388560044113519|22</stp>
        <stp>MJNE US Equity</stp>
        <stp>LAST_PRICE</stp>
        <tr r="AD966" s="1"/>
        <tr r="AD966" s="1"/>
      </tp>
      <tp>
        <v>7.52</v>
        <stp/>
        <stp>BDP|10813150799063270793|22</stp>
        <stp>TENX US Equity</stp>
        <stp>LAST_PRICE</stp>
        <tr r="AD1448" s="1"/>
        <tr r="AD1448" s="1"/>
      </tp>
      <tp>
        <v>1E-4</v>
        <stp/>
        <stp>BDP|11441070247052386532|22</stp>
        <stp>THER US Equity</stp>
        <stp>LAST_PRICE</stp>
        <tr r="AD1461" s="1"/>
        <tr r="AD1461" s="1"/>
      </tp>
      <tp>
        <v>15.84</v>
        <stp/>
        <stp>BDP|44508378258408327|22</stp>
        <stp>ADMA US Equity</stp>
        <stp>LAST_PRICE</stp>
        <tr r="AD55" s="1"/>
        <tr r="AD55" s="1"/>
      </tp>
      <tp>
        <v>0.13500000000000001</v>
        <stp/>
        <stp>BDP|17732790422863921316|22</stp>
        <stp>VEXT CN Equity</stp>
        <stp>LAST_PRICE</stp>
        <tr r="AD1541" s="1"/>
        <tr r="AD1541" s="1"/>
      </tp>
      <tp>
        <v>3.59</v>
        <stp/>
        <stp>BDP|10792482027609698384|22</stp>
        <stp>CRGX US Equity</stp>
        <stp>LAST_PRICE</stp>
        <tr r="AD357" s="1"/>
        <tr r="AD357" s="1"/>
      </tp>
      <tp>
        <v>370.74</v>
        <stp/>
        <stp>BDP|12803413313450061136|22</stp>
        <stp>UTHR US Equity</stp>
        <stp>LAST_PRICE</stp>
        <tr r="AD1505" s="1"/>
        <tr r="AD1505" s="1"/>
      </tp>
      <tp>
        <v>0.103641</v>
        <stp/>
        <stp>BDP|13095778824796875490|22</stp>
        <stp>PVCT US Equity</stp>
        <stp>LAST_PRICE</stp>
        <tr r="AD1214" s="1"/>
        <tr r="AD1214" s="1"/>
      </tp>
      <tp>
        <v>1.1399999999999999</v>
        <stp/>
        <stp>BDP|12093889773427606105|22</stp>
        <stp>RGLS US Equity</stp>
        <stp>LAST_PRICE</stp>
        <tr r="AD1260" s="1"/>
        <tr r="AD1260" s="1"/>
      </tp>
      <tp>
        <v>6.9999999999999999E-4</v>
        <stp/>
        <stp>BDP|13830970056965450785|22</stp>
        <stp>MDCE US Equity</stp>
        <stp>LAST_PRICE</stp>
        <tr r="AD917" s="1"/>
        <tr r="AD917" s="1"/>
      </tp>
      <tp>
        <v>3.66</v>
        <stp/>
        <stp>BDP|14308212310242193028|22</stp>
        <stp>ORGO US Equity</stp>
        <stp>LAST_PRICE</stp>
        <tr r="AD1107" s="1"/>
        <tr r="AD1107" s="1"/>
      </tp>
      <tp>
        <v>5.6</v>
        <stp/>
        <stp>BDP|18038482576496085537|22</stp>
        <stp>MNKD US Equity</stp>
        <stp>LAST_PRICE</stp>
        <tr r="AD901" s="1"/>
        <tr r="AD901" s="1"/>
      </tp>
      <tp>
        <v>1.85</v>
        <stp/>
        <stp>BDP|13128417305408691408|22</stp>
        <stp>EYEN US Equity</stp>
        <stp>LAST_PRICE</stp>
        <tr r="AD604" s="1"/>
        <tr r="AD604" s="1"/>
      </tp>
      <tp>
        <v>8.23</v>
        <stp/>
        <stp>BDP|13220780909250568919|22</stp>
        <stp>EHAB US Equity</stp>
        <stp>LAST_PRICE</stp>
        <tr r="AD558" s="1"/>
        <tr r="AD558" s="1"/>
      </tp>
      <tp>
        <v>9.9999999999999995E-7</v>
        <stp/>
        <stp>BDP|16736126624022750428|22</stp>
        <stp>RLBD US Equity</stp>
        <stp>LAST_PRICE</stp>
        <tr r="AD1250" s="1"/>
        <tr r="AD1250" s="1"/>
      </tp>
      <tp>
        <v>2.9999999999999997E-4</v>
        <stp/>
        <stp>BDP|11530289830190664308|22</stp>
        <stp>THMO US Equity</stp>
        <stp>LAST_PRICE</stp>
        <tr r="AD1467" s="1"/>
        <tr r="AD1467" s="1"/>
      </tp>
      <tp>
        <v>279.55</v>
        <stp/>
        <stp>BDP|12171198571357316380|22</stp>
        <stp>PODD US Equity</stp>
        <stp>LAST_PRICE</stp>
        <tr r="AD775" s="1"/>
        <tr r="AD775" s="1"/>
      </tp>
      <tp>
        <v>1.36</v>
        <stp/>
        <stp>BDP|14054891840263585494|22</stp>
        <stp>PACB US Equity</stp>
        <stp>LAST_PRICE</stp>
        <tr r="AD1123" s="1"/>
        <tr r="AD1123" s="1"/>
      </tp>
      <tp>
        <v>58.11</v>
        <stp/>
        <stp>BDP|16747694953722270057|22</stp>
        <stp>HALO US Equity</stp>
        <stp>LAST_PRICE</stp>
        <tr r="AD670" s="1"/>
        <tr r="AD670" s="1"/>
      </tp>
      <tp t="s">
        <v>#N/A N/A</v>
        <stp/>
        <stp>BDP|14708551305573093327|22</stp>
        <stp>MBCI US Equity</stp>
        <stp>LAST_PRICE</stp>
        <tr r="AD895" s="1"/>
      </tp>
      <tp>
        <v>1.6000000000000001E-3</v>
        <stp/>
        <stp>BDP|15207461928709538092|22</stp>
        <stp>SOFE US Equity</stp>
        <stp>LAST_PRICE</stp>
        <tr r="AD354" s="1"/>
        <tr r="AD354" s="1"/>
      </tp>
      <tp>
        <v>4.2249999999999996E-3</v>
        <stp/>
        <stp>BDP|11730389016657484523|22</stp>
        <stp>TLIF US Equity</stp>
        <stp>LAST_PRICE</stp>
        <tr r="AD1476" s="1"/>
        <tr r="AD1476" s="1"/>
      </tp>
      <tp>
        <v>6.5000000000000002E-2</v>
        <stp/>
        <stp>BDP|15704847869362006537|22</stp>
        <stp>HERB CN Equity</stp>
        <stp>LAST_PRICE</stp>
        <tr r="AD695" s="1"/>
        <tr r="AD695" s="1"/>
      </tp>
      <tp>
        <v>60.54</v>
        <stp/>
        <stp>BDP|15763274019724427363|22</stp>
        <stp>UTMD US Equity</stp>
        <stp>LAST_PRICE</stp>
        <tr r="AD1518" s="1"/>
        <tr r="AD1518" s="1"/>
      </tp>
      <tp>
        <v>1E-4</v>
        <stp/>
        <stp>BDP|15595188956791927576|22</stp>
        <stp>THCT US Equity</stp>
        <stp>LAST_PRICE</stp>
        <tr r="AD1459" s="1"/>
        <tr r="AD1459" s="1"/>
      </tp>
      <tp>
        <v>2.23</v>
        <stp/>
        <stp>BDP|15325855967270394656|22</stp>
        <stp>ARAY US Equity</stp>
        <stp>LAST_PRICE</stp>
        <tr r="AD27" s="1"/>
        <tr r="AD27" s="1"/>
      </tp>
      <tp>
        <v>2.25</v>
        <stp/>
        <stp>BDP|16670287527506367229|22</stp>
        <stp>SONX US Equity</stp>
        <stp>LAST_PRICE</stp>
        <tr r="AD1372" s="1"/>
        <tr r="AD1372" s="1"/>
      </tp>
      <tp>
        <v>5.44</v>
        <stp/>
        <stp>BDP|10279546899713843304|22</stp>
        <stp>HCAT US Equity</stp>
        <stp>LAST_PRICE</stp>
        <tr r="AD677" s="1"/>
        <tr r="AD677" s="1"/>
      </tp>
      <tp>
        <v>1.4</v>
        <stp/>
        <stp>BDP|12793705317280429615|22</stp>
        <stp>QNCX US Equity</stp>
        <stp>LAST_PRICE</stp>
        <tr r="AD1238" s="1"/>
        <tr r="AD1238" s="1"/>
      </tp>
      <tp t="s">
        <v>#N/A Requesting Data...4257326938</v>
        <stp/>
        <stp>BDP|2733032214349626</stp>
        <tr r="Y324" s="1"/>
        <tr r="Y324" s="1"/>
      </tp>
      <tp>
        <v>1.53</v>
        <stp/>
        <stp>BDP|16432772177005833172|22</stp>
        <stp>SILO US Equity</stp>
        <stp>LAST_PRICE</stp>
        <tr r="AD1353" s="1"/>
        <tr r="AD1353" s="1"/>
      </tp>
      <tp>
        <v>1.6999999999999999E-3</v>
        <stp/>
        <stp>BDP|15506808860429107818|22</stp>
        <stp>JTBK US Equity</stp>
        <stp>LAST_PRICE</stp>
        <tr r="AD812" s="1"/>
        <tr r="AD812" s="1"/>
      </tp>
      <tp>
        <v>42</v>
        <stp/>
        <stp>BDP|14518232125129803918|22</stp>
        <stp>RVMD US Equity</stp>
        <stp>LAST_PRICE</stp>
        <tr r="AD1286" s="1"/>
        <tr r="AD1286" s="1"/>
      </tp>
      <tp>
        <v>10.4</v>
        <stp/>
        <stp>BDP|17831826814345334546|22</stp>
        <stp>IMNM US Equity</stp>
        <stp>LAST_PRICE</stp>
        <tr r="AD736" s="1"/>
        <tr r="AD736" s="1"/>
      </tp>
      <tp>
        <v>6.0999999999999999E-2</v>
        <stp/>
        <stp>BDP|13716625601793795293|22</stp>
        <stp>FZMD US Equity</stp>
        <stp>LAST_PRICE</stp>
        <tr r="AD628" s="1"/>
        <tr r="AD628" s="1"/>
      </tp>
      <tp>
        <v>83.87</v>
        <stp/>
        <stp>BDP|10954848702899849337|22</stp>
        <stp>DXCM US Equity</stp>
        <stp>LAST_PRICE</stp>
        <tr r="AD505" s="1"/>
        <tr r="AD505" s="1"/>
      </tp>
      <tp>
        <v>3.3000000000000002E-2</v>
        <stp/>
        <stp>BDP|13772244630839877517|22</stp>
        <stp>EMMA US Equity</stp>
        <stp>LAST_PRICE</stp>
        <tr r="AD550" s="1"/>
        <tr r="AD550" s="1"/>
      </tp>
      <tp>
        <v>22.32</v>
        <stp/>
        <stp>BDP|10728037278691220957|22</stp>
        <stp>CBLL US Equity</stp>
        <stp>LAST_PRICE</stp>
        <tr r="AD380" s="1"/>
        <tr r="AD380" s="1"/>
      </tp>
      <tp>
        <v>1.72</v>
        <stp/>
        <stp>BDP|11343743437654372052|22</stp>
        <stp>AKAN US Equity</stp>
        <stp>LAST_PRICE</stp>
        <tr r="AD75" s="1"/>
        <tr r="AD75" s="1"/>
      </tp>
      <tp>
        <v>0.44900000000000001</v>
        <stp/>
        <stp>BDP|13917938371289511811|22</stp>
        <stp>ATHA US Equity</stp>
        <stp>LAST_PRICE</stp>
        <tr r="AD188" s="1"/>
        <tr r="AD188" s="1"/>
      </tp>
      <tp>
        <v>2.69</v>
        <stp/>
        <stp>BDP|15657856201523365315|22</stp>
        <stp>VIGL US Equity</stp>
        <stp>LAST_PRICE</stp>
        <tr r="AD1550" s="1"/>
        <tr r="AD1550" s="1"/>
      </tp>
      <tp>
        <v>1.1999999999999999E-3</v>
        <stp/>
        <stp>BDP|15374128583376558078|22</stp>
        <stp>ECGI US Equity</stp>
        <stp>LAST_PRICE</stp>
        <tr r="AD528" s="1"/>
        <tr r="AD528" s="1"/>
      </tp>
      <tp>
        <v>4.9399999999999999E-2</v>
        <stp/>
        <stp>BDP|15884198934954456770|22</stp>
        <stp>IHAI US Equity</stp>
        <stp>LAST_PRICE</stp>
        <tr r="AD760" s="1"/>
        <tr r="AD760" s="1"/>
      </tp>
      <tp>
        <v>3.3</v>
        <stp/>
        <stp>BDP|12540747676291320804|22</stp>
        <stp>CCCC US Equity</stp>
        <stp>LAST_PRICE</stp>
        <tr r="AD316" s="1"/>
        <tr r="AD316" s="1"/>
      </tp>
      <tp>
        <v>16.399999999999999</v>
        <stp/>
        <stp>BDP|10423261767051359388|22</stp>
        <stp>QNTM CN Equity</stp>
        <stp>LAST_PRICE</stp>
        <tr r="AD1231" s="1"/>
        <tr r="AD1231" s="1"/>
      </tp>
      <tp>
        <v>18.920000000000002</v>
        <stp/>
        <stp>BDP|13030828796877182338|22</stp>
        <stp>RNAC US Equity</stp>
        <stp>LAST_PRICE</stp>
        <tr r="AD361" s="1"/>
        <tr r="AD361" s="1"/>
      </tp>
      <tp>
        <v>2.86</v>
        <stp/>
        <stp>BDP|17888450799729561417|22</stp>
        <stp>HRGN US Equity</stp>
        <stp>LAST_PRICE</stp>
        <tr r="AD673" s="1"/>
        <tr r="AD673" s="1"/>
      </tp>
      <tp t="s">
        <v>#N/A N/A</v>
        <stp/>
        <stp>BDP|15706324089417593301|22</stp>
        <stp>CGNH US Equity</stp>
        <stp>LAST_PRICE</stp>
        <tr r="AD348" s="1"/>
      </tp>
      <tp>
        <v>9.9999999999999995E-7</v>
        <stp/>
        <stp>BDP|10946295179712723840|22</stp>
        <stp>BGMD US Equity</stp>
        <stp>LAST_PRICE</stp>
        <tr r="AD247" s="1"/>
        <tr r="AD247" s="1"/>
      </tp>
      <tp>
        <v>8.5500000000000007</v>
        <stp/>
        <stp>BDP|11441725303284494426|22</stp>
        <stp>CADL US Equity</stp>
        <stp>LAST_PRICE</stp>
        <tr r="AD327" s="1"/>
        <tr r="AD327" s="1"/>
      </tp>
      <tp>
        <v>31.6</v>
        <stp/>
        <stp>BDP|16446823824552015764|22</stp>
        <stp>TECX US Equity</stp>
        <stp>LAST_PRICE</stp>
        <tr r="AD1439" s="1"/>
        <tr r="AD1439" s="1"/>
      </tp>
      <tp>
        <v>2.2400000000000002</v>
        <stp/>
        <stp>BDP|10114741469024881121|22</stp>
        <stp>BEAT US Equity</stp>
        <stp>LAST_PRICE</stp>
        <tr r="AD686" s="1"/>
        <tr r="AD686" s="1"/>
      </tp>
      <tp>
        <v>1.19</v>
        <stp/>
        <stp>BDP|11818121926935552770|22</stp>
        <stp>EDIT US Equity</stp>
        <stp>LAST_PRICE</stp>
        <tr r="AD534" s="1"/>
        <tr r="AD534" s="1"/>
      </tp>
      <tp>
        <v>336.47</v>
        <stp/>
        <stp>BDP|13338481950177949011|22</stp>
        <stp>MEDP US Equity</stp>
        <stp>LAST_PRICE</stp>
        <tr r="AD932" s="1"/>
        <tr r="AD932" s="1"/>
      </tp>
      <tp>
        <v>5.8500000000000003E-2</v>
        <stp/>
        <stp>BDP|10175139747364049962|22</stp>
        <stp>SLDX US Equity</stp>
        <stp>LAST_PRICE</stp>
        <tr r="AD1397" s="1"/>
        <tr r="AD1397" s="1"/>
      </tp>
      <tp>
        <v>2.4700000000000002</v>
        <stp/>
        <stp>BDP|40808803317917694|22</stp>
        <stp>SBFM US Equity</stp>
        <stp>LAST_PRICE</stp>
        <tr r="AD1412" s="1"/>
        <tr r="AD1412" s="1"/>
      </tp>
      <tp>
        <v>3.22</v>
        <stp/>
        <stp>BDP|12355886457538523172|22</stp>
        <stp>XBIT US Equity</stp>
        <stp>LAST_PRICE</stp>
        <tr r="AD1592" s="1"/>
        <tr r="AD1592" s="1"/>
      </tp>
      <tp>
        <v>6.99</v>
        <stp/>
        <stp>BDP|10183445568784709620|22</stp>
        <stp>NNOX US Equity</stp>
        <stp>LAST_PRICE</stp>
        <tr r="AD995" s="1"/>
        <tr r="AD995" s="1"/>
      </tp>
      <tp t="s">
        <v>#N/A Requesting Data...4279875675</v>
        <stp/>
        <stp>BDP|3741606494583482</stp>
        <tr r="Z614" s="1"/>
      </tp>
      <tp t="s">
        <v>#N/A Requesting Data...4248294426</v>
        <stp/>
        <stp>BDP|1242828032942515</stp>
        <tr r="Z1153" s="1"/>
        <tr r="Z1153" s="1"/>
      </tp>
      <tp>
        <v>1.03</v>
        <stp/>
        <stp>BDP|12379198310006202809|22</stp>
        <stp>PALI US Equity</stp>
        <stp>LAST_PRICE</stp>
        <tr r="AD1129" s="1"/>
        <tr r="AD1129" s="1"/>
      </tp>
      <tp>
        <v>0</v>
        <stp/>
        <stp>BDP|14465972237394556485|22</stp>
        <stp>STMH US Equity</stp>
        <stp>LAST_PRICE</stp>
        <tr r="AD1398" s="1"/>
        <tr r="AD1398" s="1"/>
      </tp>
      <tp>
        <v>1.1299999999999999</v>
        <stp/>
        <stp>BDP|12968258531712415916|22</stp>
        <stp>ESLA US Equity</stp>
        <stp>LAST_PRICE</stp>
        <tr r="AD581" s="1"/>
        <tr r="AD581" s="1"/>
      </tp>
      <tp>
        <v>0.86429999999999996</v>
        <stp/>
        <stp>BDP|10262286152748100182|22</stp>
        <stp>CHEK US Equity</stp>
        <stp>LAST_PRICE</stp>
        <tr r="AD390" s="1"/>
        <tr r="AD390" s="1"/>
      </tp>
      <tp>
        <v>9.9999999999999995E-7</v>
        <stp/>
        <stp>BDP|18189544053511326853|22</stp>
        <stp>SPDE US Equity</stp>
        <stp>LAST_PRICE</stp>
        <tr r="AD1383" s="1"/>
        <tr r="AD1383" s="1"/>
      </tp>
      <tp>
        <v>0.32100000000000001</v>
        <stp/>
        <stp>BDP|11540836078731501361|22</stp>
        <stp>QTIH US Equity</stp>
        <stp>LAST_PRICE</stp>
        <tr r="AD1227" s="1"/>
        <tr r="AD1227" s="1"/>
      </tp>
      <tp>
        <v>4.12</v>
        <stp/>
        <stp>BDP|18043937788673618707|22</stp>
        <stp>XBIO US Equity</stp>
        <stp>LAST_PRICE</stp>
        <tr r="AD1596" s="1"/>
        <tr r="AD1596" s="1"/>
      </tp>
      <tp>
        <v>0</v>
        <stp/>
        <stp>BDP|16512972001463947560|22</stp>
        <stp>NOHO US Equity</stp>
        <stp>LAST_PRICE</stp>
        <tr r="AD1054" s="1"/>
        <tr r="AD1054" s="1"/>
      </tp>
      <tp t="s">
        <v>#N/A N/A</v>
        <stp/>
        <stp>BDP|12943151901721419631|22</stp>
        <stp>ARNI US Equity</stp>
        <stp>LAST_PRICE</stp>
        <tr r="AD167" s="1"/>
      </tp>
      <tp>
        <v>4.9000000000000002E-2</v>
        <stp/>
        <stp>BDP|15091913848712563912|22</stp>
        <stp>AFIB US Equity</stp>
        <stp>LAST_PRICE</stp>
        <tr r="AD42" s="1"/>
        <tr r="AD42" s="1"/>
      </tp>
      <tp>
        <v>1E-4</v>
        <stp/>
        <stp>BDP|10910260500672246886|22</stp>
        <stp>BBAL US Equity</stp>
        <stp>LAST_PRICE</stp>
        <tr r="AD1033" s="1"/>
        <tr r="AD1033" s="1"/>
      </tp>
      <tp>
        <v>6</v>
        <stp/>
        <stp>BDP|15909313516658846377|22</stp>
        <stp>ABEO US Equity</stp>
        <stp>LAST_PRICE</stp>
        <tr r="AD17" s="1"/>
        <tr r="AD17" s="1"/>
      </tp>
      <tp>
        <v>10.68</v>
        <stp/>
        <stp>BDP|13547278413344059700|22</stp>
        <stp>ATEC US Equity</stp>
        <stp>LAST_PRICE</stp>
        <tr r="AD97" s="1"/>
        <tr r="AD97" s="1"/>
      </tp>
      <tp>
        <v>7.16</v>
        <stp/>
        <stp>BDP|14815726333060837226|22</stp>
        <stp>SAGE US Equity</stp>
        <stp>LAST_PRICE</stp>
        <tr r="AD1302" s="1"/>
        <tr r="AD1302" s="1"/>
      </tp>
      <tp>
        <v>11.01</v>
        <stp/>
        <stp>BDP|11571989391395087063|22</stp>
        <stp>ETNB US Equity</stp>
        <stp>LAST_PRICE</stp>
        <tr r="AD12" s="1"/>
        <tr r="AD12" s="1"/>
      </tp>
      <tp>
        <v>1.4999999999999999E-2</v>
        <stp/>
        <stp>BDP|14637030485245353030|22</stp>
        <stp>PSYG CN Equity</stp>
        <stp>LAST_PRICE</stp>
        <tr r="AD1217" s="1"/>
        <tr r="AD1217" s="1"/>
      </tp>
      <tp>
        <v>0.30690000000000001</v>
        <stp/>
        <stp>BDP|11067398359631100168|22</stp>
        <stp>CYCC US Equity</stp>
        <stp>LAST_PRICE</stp>
        <tr r="AD476" s="1"/>
        <tr r="AD476" s="1"/>
      </tp>
      <tp>
        <v>1.04</v>
        <stp/>
        <stp>BDP|17739826529771213547|22</stp>
        <stp>SCND US Equity</stp>
        <stp>LAST_PRICE</stp>
        <tr r="AD1316" s="1"/>
        <tr r="AD1316" s="1"/>
      </tp>
      <tp>
        <v>3.13</v>
        <stp/>
        <stp>BDP|16993780250279876281|22</stp>
        <stp>SNES US Equity</stp>
        <stp>LAST_PRICE</stp>
        <tr r="AD1332" s="1"/>
        <tr r="AD1332" s="1"/>
      </tp>
      <tp>
        <v>47.69</v>
        <stp/>
        <stp>BDP|10160075290891665182|22</stp>
        <stp>SMLR US Equity</stp>
        <stp>LAST_PRICE</stp>
        <tr r="AD1331" s="1"/>
        <tr r="AD1331" s="1"/>
      </tp>
      <tp>
        <v>22.26</v>
        <stp/>
        <stp>BDP|12249645344413683449|22</stp>
        <stp>CLDX US Equity</stp>
        <stp>LAST_PRICE</stp>
        <tr r="AD373" s="1"/>
        <tr r="AD373" s="1"/>
      </tp>
      <tp>
        <v>10.99</v>
        <stp/>
        <stp>BDP|10238103876817158334|22</stp>
        <stp>CSBR US Equity</stp>
        <stp>LAST_PRICE</stp>
        <tr r="AD386" s="1"/>
        <tr r="AD386" s="1"/>
      </tp>
      <tp>
        <v>0.77500000000000002</v>
        <stp/>
        <stp>BDP|14748712333914293875|22</stp>
        <stp>CSDX US Equity</stp>
        <stp>LAST_PRICE</stp>
        <tr r="AD462" s="1"/>
        <tr r="AD462" s="1"/>
      </tp>
      <tp>
        <v>8.0299999999999994</v>
        <stp/>
        <stp>BDP|16325326184762417130|22</stp>
        <stp>INFU US Equity</stp>
        <stp>LAST_PRICE</stp>
        <tr r="AD747" s="1"/>
        <tr r="AD747" s="1"/>
      </tp>
      <tp>
        <v>0.2</v>
        <stp/>
        <stp>BDP|18389600104536239455|22</stp>
        <stp>CYDX US Equity</stp>
        <stp>LAST_PRICE</stp>
        <tr r="AD479" s="1"/>
        <tr r="AD479" s="1"/>
      </tp>
      <tp>
        <v>0.89</v>
        <stp/>
        <stp>BDP|12971963144079051161|22</stp>
        <stp>CPTR CN Equity</stp>
        <stp>LAST_PRICE</stp>
        <tr r="AD340" s="1"/>
        <tr r="AD340" s="1"/>
      </tp>
      <tp t="s">
        <v>#N/A N/A</v>
        <stp/>
        <stp>BDP|16055390413956179121|22</stp>
        <stp>MYMX US Equity</stp>
        <stp>LAST_PRICE</stp>
        <tr r="AD989" s="1"/>
      </tp>
      <tp>
        <v>0.79</v>
        <stp/>
        <stp>BDP|510370291125040543|22</stp>
        <stp>MPH CN Equity</stp>
        <stp>LAST_PRICE</stp>
        <tr r="AD925" s="1"/>
        <tr r="AD925" s="1"/>
      </tp>
      <tp>
        <v>4.9400000000000004</v>
        <stp/>
        <stp>BDP|17615013675920856421|22</stp>
        <stp>OLMA US Equity</stp>
        <stp>LAST_PRICE</stp>
        <tr r="AD1076" s="1"/>
        <tr r="AD1076" s="1"/>
      </tp>
      <tp>
        <v>6.1</v>
        <stp/>
        <stp>BDP|16172325966170780807|22</stp>
        <stp>SIGA US Equity</stp>
        <stp>LAST_PRICE</stp>
        <tr r="AD1349" s="1"/>
        <tr r="AD1349" s="1"/>
      </tp>
      <tp>
        <v>9.9999999999999995E-7</v>
        <stp/>
        <stp>BDP|13487785547428860607|22</stp>
        <stp>BLFE US Equity</stp>
        <stp>LAST_PRICE</stp>
        <tr r="AD265" s="1"/>
        <tr r="AD265" s="1"/>
      </tp>
      <tp>
        <v>1.33</v>
        <stp/>
        <stp>BDP|16322925588955635894|22</stp>
        <stp>LUCD US Equity</stp>
        <stp>LAST_PRICE</stp>
        <tr r="AD890" s="1"/>
        <tr r="AD890" s="1"/>
      </tp>
      <tp>
        <v>28</v>
        <stp/>
        <stp>BDP|18441510672867596187|22</stp>
        <stp>CGON US Equity</stp>
        <stp>LAST_PRICE</stp>
        <tr r="AD385" s="1"/>
        <tr r="AD385" s="1"/>
      </tp>
      <tp>
        <v>0.35959999999999998</v>
        <stp/>
        <stp>BDP|14783326090279698974|22</stp>
        <stp>VTAK US Equity</stp>
        <stp>LAST_PRICE</stp>
        <tr r="AD366" s="1"/>
        <tr r="AD366" s="1"/>
      </tp>
      <tp>
        <v>0.13</v>
        <stp/>
        <stp>BDP|11928558092867396755|22</stp>
        <stp>MRMD US Equity</stp>
        <stp>LAST_PRICE</stp>
        <tr r="AD905" s="1"/>
        <tr r="AD905" s="1"/>
      </tp>
      <tp>
        <v>0.61899999999999999</v>
        <stp/>
        <stp>BDP|15079190404204939580|22</stp>
        <stp>GBIO US Equity</stp>
        <stp>LAST_PRICE</stp>
        <tr r="AD640" s="1"/>
        <tr r="AD640" s="1"/>
      </tp>
      <tp>
        <v>2.1</v>
        <stp/>
        <stp>BDP|17200825690431646474|22</stp>
        <stp>PMDI US Equity</stp>
        <stp>LAST_PRICE</stp>
        <tr r="AD1215" s="1"/>
        <tr r="AD1215" s="1"/>
      </tp>
      <tp>
        <v>9.1000000000000004E-3</v>
        <stp/>
        <stp>BDP|14772622426125557254|22</stp>
        <stp>EVFM US Equity</stp>
        <stp>LAST_PRICE</stp>
        <tr r="AD590" s="1"/>
        <tr r="AD590" s="1"/>
      </tp>
      <tp>
        <v>5.35</v>
        <stp/>
        <stp>BDP|11350641118210528783|22</stp>
        <stp>DCGO US Equity</stp>
        <stp>LAST_PRICE</stp>
        <tr r="AD513" s="1"/>
        <tr r="AD513" s="1"/>
      </tp>
      <tp>
        <v>5.93</v>
        <stp/>
        <stp>BDP|17398530760148043749|22</stp>
        <stp>YMAB US Equity</stp>
        <stp>LAST_PRICE</stp>
        <tr r="AD1605" s="1"/>
        <tr r="AD1605" s="1"/>
      </tp>
      <tp>
        <v>9.9499999999999993</v>
        <stp/>
        <stp>BDP|17175239151805156483|22</stp>
        <stp>NEOG US Equity</stp>
        <stp>LAST_PRICE</stp>
        <tr r="AD1013" s="1"/>
        <tr r="AD1013" s="1"/>
      </tp>
      <tp>
        <v>19.100000000000001</v>
        <stp/>
        <stp>BDP|13415130636259302863|22</stp>
        <stp>ACAD US Equity</stp>
        <stp>LAST_PRICE</stp>
        <tr r="AD23" s="1"/>
        <tr r="AD23" s="1"/>
      </tp>
      <tp>
        <v>16.48</v>
        <stp/>
        <stp>BDP|16159144320749457651|22</stp>
        <stp>STAA US Equity</stp>
        <stp>LAST_PRICE</stp>
        <tr r="AD1392" s="1"/>
        <tr r="AD1392" s="1"/>
      </tp>
      <tp>
        <v>11.38</v>
        <stp/>
        <stp>BDP|11441658125007637762|22</stp>
        <stp>ELAN US Equity</stp>
        <stp>LAST_PRICE</stp>
        <tr r="AD537" s="1"/>
        <tr r="AD537" s="1"/>
      </tp>
      <tp>
        <v>7.1250000000000003E-3</v>
        <stp/>
        <stp>BDP|11785177358648692842|22</stp>
        <stp>CSOC US Equity</stp>
        <stp>LAST_PRICE</stp>
        <tr r="AD319" s="1"/>
        <tr r="AD319" s="1"/>
      </tp>
      <tp>
        <v>4.66</v>
        <stp/>
        <stp>BDP|15523504908152745226|22</stp>
        <stp>BTMD US Equity</stp>
        <stp>LAST_PRICE</stp>
        <tr r="AD284" s="1"/>
        <tr r="AD284" s="1"/>
      </tp>
      <tp>
        <v>6.61</v>
        <stp/>
        <stp>BDP|17225742558288768748|22</stp>
        <stp>TRUL CN Equity</stp>
        <stp>LAST_PRICE</stp>
        <tr r="AD1492" s="1"/>
        <tr r="AD1492" s="1"/>
      </tp>
      <tp>
        <v>3.26</v>
        <stp/>
        <stp>BDP|13220925018259052344|22</stp>
        <stp>RPID US Equity</stp>
        <stp>LAST_PRICE</stp>
        <tr r="AD1246" s="1"/>
        <tr r="AD1246" s="1"/>
      </tp>
      <tp>
        <v>21.01</v>
        <stp/>
        <stp>BDP|15294703721708727463|22</stp>
        <stp>ALGS US Equity</stp>
        <stp>LAST_PRICE</stp>
        <tr r="AD86" s="1"/>
        <tr r="AD86" s="1"/>
      </tp>
      <tp>
        <v>3.39E-2</v>
        <stp/>
        <stp>BDP|15635035741639387903|22</stp>
        <stp>AIBT US Equity</stp>
        <stp>LAST_PRICE</stp>
        <tr r="AD70" s="1"/>
        <tr r="AD70" s="1"/>
      </tp>
      <tp>
        <v>0.41349999999999998</v>
        <stp/>
        <stp>BDP|12235006490098250966|22</stp>
        <stp>BICX US Equity</stp>
        <stp>LAST_PRICE</stp>
        <tr r="AD259" s="1"/>
        <tr r="AD259" s="1"/>
      </tp>
      <tp>
        <v>10.199999999999999</v>
        <stp/>
        <stp>BDP|10566918942313425880|22</stp>
        <stp>KROS US Equity</stp>
        <stp>LAST_PRICE</stp>
        <tr r="AD830" s="1"/>
        <tr r="AD830" s="1"/>
      </tp>
      <tp>
        <v>0.36959999999999998</v>
        <stp/>
        <stp>BDP|16780744035790966736|22</stp>
        <stp>XAIR US Equity</stp>
        <stp>LAST_PRICE</stp>
        <tr r="AD245" s="1"/>
        <tr r="AD245" s="1"/>
      </tp>
      <tp>
        <v>19.57</v>
        <stp/>
        <stp>BDP|10938890721170868519|22</stp>
        <stp>SMMT US Equity</stp>
        <stp>LAST_PRICE</stp>
        <tr r="AD1409" s="1"/>
        <tr r="AD1409" s="1"/>
      </tp>
      <tp>
        <v>2.25</v>
        <stp/>
        <stp>BDP|18199815551465063515|22</stp>
        <stp>SEER US Equity</stp>
        <stp>LAST_PRICE</stp>
        <tr r="AD1328" s="1"/>
        <tr r="AD1328" s="1"/>
      </tp>
      <tp>
        <v>0</v>
        <stp/>
        <stp>BDP|13296146799374469915|22</stp>
        <stp>ELOX US Equity</stp>
        <stp>LAST_PRICE</stp>
        <tr r="AD546" s="1"/>
        <tr r="AD546" s="1"/>
      </tp>
      <tp>
        <v>0.54290000000000005</v>
        <stp/>
        <stp>BDP|14829688220617460558|22</stp>
        <stp>HSDT US Equity</stp>
        <stp>LAST_PRICE</stp>
        <tr r="AD688" s="1"/>
        <tr r="AD688" s="1"/>
      </tp>
      <tp>
        <v>193</v>
        <stp/>
        <stp>BDP|16752060277771342720|22</stp>
        <stp>ABBV US Equity</stp>
        <stp>LAST_PRICE</stp>
        <tr r="AD15" s="1"/>
        <tr r="AD15" s="1"/>
      </tp>
      <tp t="s">
        <v>#N/A Requesting Data...2654432464</v>
        <stp/>
        <stp>BDP|8222421024724185</stp>
        <tr r="AA646" s="1"/>
        <tr r="AA646" s="1"/>
      </tp>
      <tp>
        <v>9.4499999999999993</v>
        <stp/>
        <stp>BDP|14548695994816430624|22</stp>
        <stp>DVTC US Equity</stp>
        <stp>LAST_PRICE</stp>
        <tr r="AD503" s="1"/>
        <tr r="AD503" s="1"/>
      </tp>
      <tp t="s">
        <v>#N/A N/A</v>
        <stp/>
        <stp>BDP|18025482030392246628|22</stp>
        <stp>PARD US Equity</stp>
        <stp>LAST_PRICE</stp>
        <tr r="AD1175" s="1"/>
      </tp>
      <tp>
        <v>2</v>
        <stp/>
        <stp>BDP|16678422739927184943|22</stp>
        <stp>SLRN US Equity</stp>
        <stp>LAST_PRICE</stp>
        <tr r="AD29" s="1"/>
        <tr r="AD29" s="1"/>
      </tp>
      <tp>
        <v>1.61</v>
        <stp/>
        <stp>BDP|13886387091427067297|22</stp>
        <stp>STRO US Equity</stp>
        <stp>LAST_PRICE</stp>
        <tr r="AD1419" s="1"/>
        <tr r="AD1419" s="1"/>
      </tp>
      <tp>
        <v>5.61</v>
        <stp/>
        <stp>BDP|13951789329766123005|22</stp>
        <stp>TLSI US Equity</stp>
        <stp>LAST_PRICE</stp>
        <tr r="AD1490" s="1"/>
        <tr r="AD1490" s="1"/>
      </tp>
      <tp>
        <v>1.1499999999999999</v>
        <stp/>
        <stp>BDP|14331072878240796727|22</stp>
        <stp>CTSO US Equity</stp>
        <stp>LAST_PRICE</stp>
        <tr r="AD485" s="1"/>
        <tr r="AD485" s="1"/>
      </tp>
      <tp>
        <v>1.87</v>
        <stp/>
        <stp>BDP|17790484609004426686|22</stp>
        <stp>RVPH US Equity</stp>
        <stp>LAST_PRICE</stp>
        <tr r="AD1284" s="1"/>
        <tr r="AD1284" s="1"/>
      </tp>
      <tp>
        <v>0.32100000000000001</v>
        <stp/>
        <stp>BDP|17598828878781531748|22</stp>
        <stp>AZTR US Equity</stp>
        <stp>LAST_PRICE</stp>
        <tr r="AD227" s="1"/>
        <tr r="AD227" s="1"/>
      </tp>
      <tp>
        <v>6.35</v>
        <stp/>
        <stp>BDP|12916802234250486535|22</stp>
        <stp>EYPT US Equity</stp>
        <stp>LAST_PRICE</stp>
        <tr r="AD605" s="1"/>
        <tr r="AD605" s="1"/>
      </tp>
      <tp>
        <v>6.75</v>
        <stp/>
        <stp>BDP|15657181587639849696|22</stp>
        <stp>CYRX US Equity</stp>
        <stp>LAST_PRICE</stp>
        <tr r="AD461" s="1"/>
        <tr r="AD461" s="1"/>
      </tp>
      <tp>
        <v>1E-3</v>
        <stp/>
        <stp>BDP|11683289837361359363|22</stp>
        <stp>CLVR US Equity</stp>
        <stp>LAST_PRICE</stp>
        <tr r="AD413" s="1"/>
        <tr r="AD413" s="1"/>
      </tp>
      <tp>
        <v>85.42</v>
        <stp/>
        <stp>BDP|14553486012775382105|22</stp>
        <stp>PCVX US Equity</stp>
        <stp>LAST_PRICE</stp>
        <tr r="AD1524" s="1"/>
        <tr r="AD1524" s="1"/>
      </tp>
      <tp>
        <v>50.52</v>
        <stp/>
        <stp>BDP|10749432558455673006|22</stp>
        <stp>MNPR US Equity</stp>
        <stp>LAST_PRICE</stp>
        <tr r="AD977" s="1"/>
        <tr r="AD977" s="1"/>
      </tp>
      <tp>
        <v>7.16</v>
        <stp/>
        <stp>BDP|909197222782794811|22</stp>
        <stp>UPB US Equity</stp>
        <stp>LAST_PRICE</stp>
        <tr r="AD1512" s="1"/>
        <tr r="AD1512" s="1"/>
      </tp>
      <tp>
        <v>7.05</v>
        <stp/>
        <stp>BDP|554109184538314081|22</stp>
        <stp>DXR US Equity</stp>
        <stp>LAST_PRICE</stp>
        <tr r="AD491" s="1"/>
        <tr r="AD491" s="1"/>
      </tp>
      <tp>
        <v>0.49199999999999999</v>
        <stp/>
        <stp>BDP|13573837149372842283|22</stp>
        <stp>ENTO US Equity</stp>
        <stp>LAST_PRICE</stp>
        <tr r="AD565" s="1"/>
        <tr r="AD565" s="1"/>
      </tp>
      <tp>
        <v>1.19</v>
        <stp/>
        <stp>BDP|16533384956481575017|22</stp>
        <stp>STTK US Equity</stp>
        <stp>LAST_PRICE</stp>
        <tr r="AD1344" s="1"/>
        <tr r="AD1344" s="1"/>
      </tp>
      <tp>
        <v>0.69630000000000003</v>
        <stp/>
        <stp>BDP|18386698005423735973|22</stp>
        <stp>NXTC US Equity</stp>
        <stp>LAST_PRICE</stp>
        <tr r="AD1042" s="1"/>
        <tr r="AD1042" s="1"/>
      </tp>
      <tp>
        <v>1.57</v>
        <stp/>
        <stp>BDP|17058598980604601223|22</stp>
        <stp>LGVN US Equity</stp>
        <stp>LAST_PRICE</stp>
        <tr r="AD886" s="1"/>
        <tr r="AD886" s="1"/>
      </tp>
      <tp>
        <v>4.55</v>
        <stp/>
        <stp>BDP|14751213998935277658|22</stp>
        <stp>HURA US Equity</stp>
        <stp>LAST_PRICE</stp>
        <tr r="AD1494" s="1"/>
        <tr r="AD1494" s="1"/>
      </tp>
      <tp>
        <v>0.111</v>
        <stp/>
        <stp>BDP|16730027423095743429|22</stp>
        <stp>NEXI US Equity</stp>
        <stp>LAST_PRICE</stp>
        <tr r="AD1041" s="1"/>
        <tr r="AD1041" s="1"/>
      </tp>
      <tp>
        <v>7.55</v>
        <stp/>
        <stp>BDP|14192982723760621575|22</stp>
        <stp>ADPT US Equity</stp>
        <stp>LAST_PRICE</stp>
        <tr r="AD47" s="1"/>
        <tr r="AD47" s="1"/>
      </tp>
      <tp>
        <v>3.14</v>
        <stp/>
        <stp>BDP|16911920524878550518|22</stp>
        <stp>SNPX US Equity</stp>
        <stp>LAST_PRICE</stp>
        <tr r="AD1420" s="1"/>
        <tr r="AD1420" s="1"/>
      </tp>
      <tp>
        <v>0.50460000000000005</v>
        <stp/>
        <stp>BDP|12007439050311999450|22</stp>
        <stp>LPTX US Equity</stp>
        <stp>LAST_PRICE</stp>
        <tr r="AD861" s="1"/>
        <tr r="AD861" s="1"/>
      </tp>
      <tp>
        <v>5.0000000000000001E-3</v>
        <stp/>
        <stp>BDP|10232629440702303726|22</stp>
        <stp>CVGR CN Equity</stp>
        <stp>LAST_PRICE</stp>
        <tr r="AD407" s="1"/>
        <tr r="AD407" s="1"/>
      </tp>
      <tp>
        <v>0.4758</v>
        <stp/>
        <stp>BDP|11448000999780254549|22</stp>
        <stp>GNPX US Equity</stp>
        <stp>LAST_PRICE</stp>
        <tr r="AD644" s="1"/>
        <tr r="AD644" s="1"/>
      </tp>
      <tp>
        <v>2.62</v>
        <stp/>
        <stp>BDP|17811503369165462561|22</stp>
        <stp>CTXR US Equity</stp>
        <stp>LAST_PRICE</stp>
        <tr r="AD406" s="1"/>
        <tr r="AD406" s="1"/>
      </tp>
      <tp>
        <v>2.72</v>
        <stp/>
        <stp>BDP|11975879125099123431|22</stp>
        <stp>PLRX US Equity</stp>
        <stp>LAST_PRICE</stp>
        <tr r="AD1169" s="1"/>
        <tr r="AD1169" s="1"/>
      </tp>
      <tp>
        <v>0.73099999999999998</v>
        <stp/>
        <stp>BDP|13002644288205030233|22</stp>
        <stp>NKTR US Equity</stp>
        <stp>LAST_PRICE</stp>
        <tr r="AD1011" s="1"/>
        <tr r="AD1011" s="1"/>
      </tp>
      <tp>
        <v>1.1599999999999999</v>
        <stp/>
        <stp>BDP|17940746686479095409|22</stp>
        <stp>RAPT US Equity</stp>
        <stp>LAST_PRICE</stp>
        <tr r="AD1249" s="1"/>
        <tr r="AD1249" s="1"/>
      </tp>
      <tp>
        <v>1.91</v>
        <stp/>
        <stp>BDP|14946167129827617487|22</stp>
        <stp>ISPC US Equity</stp>
        <stp>LAST_PRICE</stp>
        <tr r="AD801" s="1"/>
        <tr r="AD801" s="1"/>
      </tp>
      <tp>
        <v>0.34129999999999999</v>
        <stp/>
        <stp>BDP|15452583830809197511|22</stp>
        <stp>KLTO US Equity</stp>
        <stp>LAST_PRICE</stp>
        <tr r="AD839" s="1"/>
        <tr r="AD839" s="1"/>
      </tp>
      <tp>
        <v>9.4999999999999998E-3</v>
        <stp/>
        <stp>BDP|10107376231577232594|22</stp>
        <stp>NSTM US Equity</stp>
        <stp>LAST_PRICE</stp>
        <tr r="AD1056" s="1"/>
        <tr r="AD1056" s="1"/>
      </tp>
      <tp>
        <v>0.72</v>
        <stp/>
        <stp>BDP|14428352146393355386|22</stp>
        <stp>BPTH US Equity</stp>
        <stp>LAST_PRICE</stp>
        <tr r="AD252" s="1"/>
        <tr r="AD252" s="1"/>
      </tp>
      <tp>
        <v>25.93</v>
        <stp/>
        <stp>BDP|18183772930975959834|22</stp>
        <stp>PNTG US Equity</stp>
        <stp>LAST_PRICE</stp>
        <tr r="AD1144" s="1"/>
        <tr r="AD1144" s="1"/>
      </tp>
      <tp>
        <v>1.03</v>
        <stp/>
        <stp>BDP|16609681640892296971|22</stp>
        <stp>CLSD US Equity</stp>
        <stp>LAST_PRICE</stp>
        <tr r="AD411" s="1"/>
        <tr r="AD411" s="1"/>
      </tp>
      <tp>
        <v>5.0000000000000001E-3</v>
        <stp/>
        <stp>BDP|16394743078401057939|22</stp>
        <stp>TGIF CN Equity</stp>
        <stp>LAST_PRICE</stp>
        <tr r="AD6" s="1"/>
        <tr r="AD6" s="1"/>
      </tp>
      <tp t="s">
        <v>#N/A N/A</v>
        <stp/>
        <stp>BDP|11435916676874066787|22</stp>
        <stp>SVSO US Equity</stp>
        <stp>LAST_PRICE</stp>
        <tr r="AD1345" s="1"/>
      </tp>
      <tp>
        <v>4.25</v>
        <stp/>
        <stp>BDP|13066465643287216291|22</stp>
        <stp>REVB US Equity</stp>
        <stp>LAST_PRICE</stp>
        <tr r="AD1283" s="1"/>
        <tr r="AD1283" s="1"/>
      </tp>
      <tp>
        <v>79.599999999999994</v>
        <stp/>
        <stp>BDP|12816853805888336205|22</stp>
        <stp>INSM US Equity</stp>
        <stp>LAST_PRICE</stp>
        <tr r="AD769" s="1"/>
        <tr r="AD769" s="1"/>
      </tp>
      <tp>
        <v>7.12</v>
        <stp/>
        <stp>BDP|11334562689524309056|22</stp>
        <stp>NTRB US Equity</stp>
        <stp>LAST_PRICE</stp>
        <tr r="AD1065" s="1"/>
        <tr r="AD1065" s="1"/>
      </tp>
      <tp>
        <v>7.33</v>
        <stp/>
        <stp>BDP|16800804425549000004|22</stp>
        <stp>NEUE US Equity</stp>
        <stp>LAST_PRICE</stp>
        <tr r="AD1019" s="1"/>
        <tr r="AD1019" s="1"/>
      </tp>
      <tp>
        <v>5.16</v>
        <stp/>
        <stp>BDP|13684984702277737415|22</stp>
        <stp>ACRV US Equity</stp>
        <stp>LAST_PRICE</stp>
        <tr r="AD33" s="1"/>
        <tr r="AD33" s="1"/>
      </tp>
      <tp>
        <v>10.78</v>
        <stp/>
        <stp>BDP|12081111375354707981|22</stp>
        <stp>LNSR US Equity</stp>
        <stp>LAST_PRICE</stp>
        <tr r="AD864" s="1"/>
        <tr r="AD864" s="1"/>
      </tp>
      <tp>
        <v>3.3000000000000002E-2</v>
        <stp/>
        <stp>BDP|16260159287062899388|22</stp>
        <stp>BGXX US Equity</stp>
        <stp>LAST_PRICE</stp>
        <tr r="AD304" s="1"/>
        <tr r="AD304" s="1"/>
      </tp>
      <tp>
        <v>5.7000000000000002E-3</v>
        <stp/>
        <stp>BDP|14823001905695331730|22</stp>
        <stp>ACUR US Equity</stp>
        <stp>LAST_PRICE</stp>
        <tr r="AD39" s="1"/>
        <tr r="AD39" s="1"/>
      </tp>
      <tp>
        <v>2.34</v>
        <stp/>
        <stp>BDP|16008085504511398249|22</stp>
        <stp>NLSP US Equity</stp>
        <stp>LAST_PRICE</stp>
        <tr r="AD1047" s="1"/>
        <tr r="AD1047" s="1"/>
      </tp>
      <tp>
        <v>12.65</v>
        <stp/>
        <stp>BDP|15135702587098842714|22</stp>
        <stp>ALVO US Equity</stp>
        <stp>LAST_PRICE</stp>
        <tr r="AD102" s="1"/>
        <tr r="AD102" s="1"/>
      </tp>
      <tp>
        <v>0.24</v>
        <stp/>
        <stp>BDP|14817262361222266543|22</stp>
        <stp>PTPI US Equity</stp>
        <stp>LAST_PRICE</stp>
        <tr r="AD1152" s="1"/>
        <tr r="AD1152" s="1"/>
      </tp>
      <tp>
        <v>1E-4</v>
        <stp/>
        <stp>BDP|16781195871726581667|22</stp>
        <stp>WCUI US Equity</stp>
        <stp>LAST_PRICE</stp>
        <tr r="AD1581" s="1"/>
        <tr r="AD1581" s="1"/>
      </tp>
      <tp>
        <v>0.33660000000000001</v>
        <stp/>
        <stp>BDP|16471531649707016154|22</stp>
        <stp>VERO US Equity</stp>
        <stp>LAST_PRICE</stp>
        <tr r="AD1531" s="1"/>
        <tr r="AD1531" s="1"/>
      </tp>
      <tp>
        <v>0.28050000000000003</v>
        <stp/>
        <stp>BDP|11433588136903586268|22</stp>
        <stp>PRPH US Equity</stp>
        <stp>LAST_PRICE</stp>
        <tr r="AD1203" s="1"/>
        <tr r="AD1203" s="1"/>
      </tp>
      <tp>
        <v>65.86</v>
        <stp/>
        <stp>BDP|11244051255092985604|22</stp>
        <stp>BMRN US Equity</stp>
        <stp>LAST_PRICE</stp>
        <tr r="AD268" s="1"/>
        <tr r="AD268" s="1"/>
      </tp>
      <tp>
        <v>2.65</v>
        <stp/>
        <stp>BDP|11227757761092838931|22</stp>
        <stp>GDTC US Equity</stp>
        <stp>LAST_PRICE</stp>
        <tr r="AD483" s="1"/>
        <tr r="AD483" s="1"/>
      </tp>
      <tp>
        <v>34.549999999999997</v>
        <stp/>
        <stp>BDP|10575676783357334791|22</stp>
        <stp>VERA US Equity</stp>
        <stp>LAST_PRICE</stp>
        <tr r="AD1532" s="1"/>
        <tr r="AD1532" s="1"/>
      </tp>
      <tp>
        <v>25.85</v>
        <stp/>
        <stp>BDP|12922284063109819070|22</stp>
        <stp>EWTX US Equity</stp>
        <stp>LAST_PRICE</stp>
        <tr r="AD533" s="1"/>
        <tr r="AD533" s="1"/>
      </tp>
      <tp>
        <v>40.380000000000003</v>
        <stp/>
        <stp>BDP|10385022401173592850|22</stp>
        <stp>VCYT US Equity</stp>
        <stp>LAST_PRICE</stp>
        <tr r="AD1533" s="1"/>
        <tr r="AD1533" s="1"/>
      </tp>
      <tp>
        <v>31.9</v>
        <stp/>
        <stp>BDP|10516597115939084432|22</stp>
        <stp>RXST US Equity</stp>
        <stp>LAST_PRICE</stp>
        <tr r="AD1299" s="1"/>
        <tr r="AD1299" s="1"/>
      </tp>
      <tp>
        <v>4.63</v>
        <stp/>
        <stp>BDP|17659275145193137793|22</stp>
        <stp>NEUP US Equity</stp>
        <stp>LAST_PRICE</stp>
        <tr r="AD1022" s="1"/>
        <tr r="AD1022" s="1"/>
      </tp>
      <tp>
        <v>4.4400000000000004</v>
        <stp/>
        <stp>BDP|17499443679306130532|22</stp>
        <stp>CMRX US Equity</stp>
        <stp>LAST_PRICE</stp>
        <tr r="AD394" s="1"/>
        <tr r="AD394" s="1"/>
      </tp>
      <tp>
        <v>0.69499999999999995</v>
        <stp/>
        <stp>BDP|11686323309645356650|22</stp>
        <stp>LXRX US Equity</stp>
        <stp>LAST_PRICE</stp>
        <tr r="AD868" s="1"/>
        <tr r="AD868" s="1"/>
      </tp>
      <tp>
        <v>3.84</v>
        <stp/>
        <stp>BDP|12527019629575233452|22</stp>
        <stp>GNTA US Equity</stp>
        <stp>LAST_PRICE</stp>
        <tr r="AD639" s="1"/>
        <tr r="AD639" s="1"/>
      </tp>
      <tp>
        <v>5.48</v>
        <stp/>
        <stp>BDP|17555212020077285600|22</stp>
        <stp>CDXC US Equity</stp>
        <stp>LAST_PRICE</stp>
        <tr r="AD399" s="1"/>
        <tr r="AD399" s="1"/>
      </tp>
      <tp>
        <v>7.0000000000000007E-2</v>
        <stp/>
        <stp>BDP|12009380875802535555|22</stp>
        <stp>CANB CN Equity</stp>
        <stp>LAST_PRICE</stp>
        <tr r="AD326" s="1"/>
        <tr r="AD326" s="1"/>
      </tp>
      <tp t="s">
        <v>#N/A N/A</v>
        <stp/>
        <stp>BDP|10701128257244450886|22</stp>
        <stp>APPB US Equity</stp>
        <stp>LAST_PRICE</stp>
        <tr r="AD145" s="1"/>
      </tp>
      <tp>
        <v>0.40010000000000001</v>
        <stp/>
        <stp>BDP|14468994325265199803|22</stp>
        <stp>HCWB US Equity</stp>
        <stp>LAST_PRICE</stp>
        <tr r="AD676" s="1"/>
        <tr r="AD676" s="1"/>
      </tp>
      <tp t="s">
        <v>#N/A N/A</v>
        <stp/>
        <stp>BDP|13548136493905674514|22</stp>
        <stp>TCAN CN Equity</stp>
        <stp>LAST_PRICE</stp>
        <tr r="AD1480" s="1"/>
      </tp>
      <tp>
        <v>1.07</v>
        <stp/>
        <stp>BDP|15279313557864223107|22</stp>
        <stp>ALXO US Equity</stp>
        <stp>LAST_PRICE</stp>
        <tr r="AD103" s="1"/>
        <tr r="AD103" s="1"/>
      </tp>
      <tp>
        <v>1E-4</v>
        <stp/>
        <stp>BDP|15936432923154267136|22</stp>
        <stp>VIVE US Equity</stp>
        <stp>LAST_PRICE</stp>
        <tr r="AD1564" s="1"/>
        <tr r="AD1564" s="1"/>
      </tp>
      <tp>
        <v>1.27</v>
        <stp/>
        <stp>BDP|10815732237488930680|22</stp>
        <stp>MDNA CN Equity</stp>
        <stp>LAST_PRICE</stp>
        <tr r="AD922" s="1"/>
        <tr r="AD922" s="1"/>
      </tp>
      <tp>
        <v>45.32</v>
        <stp/>
        <stp>BDP|12262799888313084794|22</stp>
        <stp>AZTA US Equity</stp>
        <stp>LAST_PRICE</stp>
        <tr r="AD226" s="1"/>
        <tr r="AD226" s="1"/>
      </tp>
      <tp>
        <v>16.13</v>
        <stp/>
        <stp>BDP|13352433854303897223|22</stp>
        <stp>RAPP US Equity</stp>
        <stp>LAST_PRICE</stp>
        <tr r="AD1248" s="1"/>
        <tr r="AD1248" s="1"/>
      </tp>
      <tp>
        <v>7.86</v>
        <stp/>
        <stp>BDP|16009303990755542480|22</stp>
        <stp>LFST US Equity</stp>
        <stp>LAST_PRICE</stp>
        <tr r="AD874" s="1"/>
        <tr r="AD874" s="1"/>
      </tp>
      <tp>
        <v>151.32</v>
        <stp/>
        <stp>BDP|11213461083552831186|22</stp>
        <stp>KRYS US Equity</stp>
        <stp>LAST_PRICE</stp>
        <tr r="AD850" s="1"/>
        <tr r="AD850" s="1"/>
      </tp>
      <tp t="s">
        <v>#N/A N/A</v>
        <stp/>
        <stp>BDP|10477152679367206534|22</stp>
        <stp>OMWS US Equity</stp>
        <stp>LAST_PRICE</stp>
        <tr r="AD1079" s="1"/>
      </tp>
      <tp>
        <v>0.72440000000000004</v>
        <stp/>
        <stp>BDP|17949643654347452415|22</stp>
        <stp>VXRT US Equity</stp>
        <stp>LAST_PRICE</stp>
        <tr r="AD1523" s="1"/>
        <tr r="AD1523" s="1"/>
      </tp>
      <tp>
        <v>0.02</v>
        <stp/>
        <stp>BDP|16166932962367556586|22</stp>
        <stp>FFNT CN Equity</stp>
        <stp>LAST_PRICE</stp>
        <tr r="AD10" s="1"/>
        <tr r="AD10" s="1"/>
      </tp>
      <tp>
        <v>4.9474999999999998E-2</v>
        <stp/>
        <stp>BDP|13922695231202507381|22</stp>
        <stp>PLSH US Equity</stp>
        <stp>LAST_PRICE</stp>
        <tr r="AD1131" s="1"/>
        <tr r="AD1131" s="1"/>
      </tp>
      <tp>
        <v>9.5000000000000001E-2</v>
        <stp/>
        <stp>BDP|14371297759857168329|22</stp>
        <stp>CRBK CN Equity</stp>
        <stp>LAST_PRICE</stp>
        <tr r="AD351" s="1"/>
        <tr r="AD351" s="1"/>
      </tp>
      <tp>
        <v>31.82</v>
        <stp/>
        <stp>BDP|13800802413067723633|22</stp>
        <stp>AMPH US Equity</stp>
        <stp>LAST_PRICE</stp>
        <tr r="AD123" s="1"/>
        <tr r="AD123" s="1"/>
      </tp>
      <tp>
        <v>38.380000000000003</v>
        <stp/>
        <stp>BDP|14942334600068296039|22</stp>
        <stp>ASTH US Equity</stp>
        <stp>LAST_PRICE</stp>
        <tr r="AD183" s="1"/>
        <tr r="AD183" s="1"/>
      </tp>
      <tp>
        <v>11.32</v>
        <stp/>
        <stp>BDP|13972317881532494427|22</stp>
        <stp>SEPN US Equity</stp>
        <stp>LAST_PRICE</stp>
        <tr r="AD1337" s="1"/>
        <tr r="AD1337" s="1"/>
      </tp>
      <tp>
        <v>1.4800000000000001E-2</v>
        <stp/>
        <stp>BDP|14554028078416484568|22</stp>
        <stp>VDRM US Equity</stp>
        <stp>LAST_PRICE</stp>
        <tr r="AD1544" s="1"/>
        <tr r="AD1544" s="1"/>
      </tp>
      <tp>
        <v>3.5000000000000003E-2</v>
        <stp/>
        <stp>BDP|10916405497682782177|22</stp>
        <stp>APLI CN Equity</stp>
        <stp>LAST_PRICE</stp>
        <tr r="AD144" s="1"/>
        <tr r="AD144" s="1"/>
      </tp>
      <tp>
        <v>0.54800000000000004</v>
        <stp/>
        <stp>BDP|11966157666845069515|22</stp>
        <stp>HCTI US Equity</stp>
        <stp>LAST_PRICE</stp>
        <tr r="AD680" s="1"/>
        <tr r="AD680" s="1"/>
      </tp>
      <tp>
        <v>29.75</v>
        <stp/>
        <stp>BDP|18069020329182797512|22</stp>
        <stp>KRRO US Equity</stp>
        <stp>LAST_PRICE</stp>
        <tr r="AD845" s="1"/>
        <tr r="AD845" s="1"/>
      </tp>
      <tp>
        <v>4.34</v>
        <stp/>
        <stp>BDP|17422300298631914389|22</stp>
        <stp>TERN US Equity</stp>
        <stp>LAST_PRICE</stp>
        <tr r="AD1452" s="1"/>
        <tr r="AD1452" s="1"/>
      </tp>
      <tp>
        <v>23.27</v>
        <stp/>
        <stp>BDP|17532091194128731524|22</stp>
        <stp>SYRE US Equity</stp>
        <stp>LAST_PRICE</stp>
        <tr r="AD1389" s="1"/>
        <tr r="AD1389" s="1"/>
      </tp>
      <tp>
        <v>0.31900000000000001</v>
        <stp/>
        <stp>BDP|16123098805874738177|22</stp>
        <stp>QNRX US Equity</stp>
        <stp>LAST_PRICE</stp>
        <tr r="AD1240" s="1"/>
        <tr r="AD1240" s="1"/>
      </tp>
      <tp t="s">
        <v>#N/A N/A</v>
        <stp/>
        <stp>BDP|13683795522438351595|22</stp>
        <stp>IGXT US Equity</stp>
        <stp>LAST_PRICE</stp>
        <tr r="AD779" s="1"/>
      </tp>
      <tp>
        <v>24.08</v>
        <stp/>
        <stp>BDP|14019511945522851219|22</stp>
        <stp>IART US Equity</stp>
        <stp>LAST_PRICE</stp>
        <tr r="AD777" s="1"/>
        <tr r="AD777" s="1"/>
      </tp>
      <tp t="s">
        <v>#N/A N/A</v>
        <stp/>
        <stp>BDP|16053865690490893101|22</stp>
        <stp>VOQP US Equity</stp>
        <stp>LAST_PRICE</stp>
        <tr r="AD1553" s="1"/>
      </tp>
      <tp>
        <v>2.1350000000000001E-2</v>
        <stp/>
        <stp>BDP|15709843558128539434|22</stp>
        <stp>XCRT US Equity</stp>
        <stp>LAST_PRICE</stp>
        <tr r="AD1593" s="1"/>
        <tr r="AD1593" s="1"/>
      </tp>
      <tp>
        <v>6.1</v>
        <stp/>
        <stp>BDP|11026223747596950812|22</stp>
        <stp>WELL CN Equity</stp>
        <stp>LAST_PRICE</stp>
        <tr r="AD1580" s="1"/>
        <tr r="AD1580" s="1"/>
      </tp>
      <tp>
        <v>0.93</v>
        <stp/>
        <stp>BDP|12982738021711379605|22</stp>
        <stp>CYTH US Equity</stp>
        <stp>LAST_PRICE</stp>
        <tr r="AD478" s="1"/>
        <tr r="AD478" s="1"/>
      </tp>
      <tp>
        <v>8.4500000000000006E-2</v>
        <stp/>
        <stp>BDP|17602968038256537726|22</stp>
        <stp>CBSC US Equity</stp>
        <stp>LAST_PRICE</stp>
        <tr r="AD367" s="1"/>
        <tr r="AD367" s="1"/>
      </tp>
      <tp>
        <v>0</v>
        <stp/>
        <stp>BDP|14457576554900243116|22</stp>
        <stp>DYXC US Equity</stp>
        <stp>LAST_PRICE</stp>
        <tr r="AD509" s="1"/>
        <tr r="AD509" s="1"/>
      </tp>
      <tp>
        <v>4.38</v>
        <stp/>
        <stp>BDP|12299938929233470722|22</stp>
        <stp>NURO US Equity</stp>
        <stp>LAST_PRICE</stp>
        <tr r="AD1027" s="1"/>
        <tr r="AD1027" s="1"/>
      </tp>
      <tp>
        <v>4.5499999999999999E-2</v>
        <stp/>
        <stp>BDP|11987306476146109961|22</stp>
        <stp>MSTH US Equity</stp>
        <stp>LAST_PRICE</stp>
        <tr r="AD993" s="1"/>
        <tr r="AD993" s="1"/>
      </tp>
      <tp>
        <v>3.2800000000000003E-2</v>
        <stp/>
        <stp>BDP|17396841056094862415|22</stp>
        <stp>SETO US Equity</stp>
        <stp>LAST_PRICE</stp>
        <tr r="AD1342" s="1"/>
        <tr r="AD1342" s="1"/>
      </tp>
      <tp>
        <v>2.1800000000000002</v>
        <stp/>
        <stp>BDP|12150852594748394492|22</stp>
        <stp>CRVO US Equity</stp>
        <stp>LAST_PRICE</stp>
        <tr r="AD384" s="1"/>
        <tr r="AD384" s="1"/>
      </tp>
      <tp>
        <v>9.9999999999999995E-7</v>
        <stp/>
        <stp>BDP|12830106849829275977|22</stp>
        <stp>IYXI US Equity</stp>
        <stp>LAST_PRICE</stp>
        <tr r="AD790" s="1"/>
        <tr r="AD790" s="1"/>
      </tp>
      <tp>
        <v>2.66</v>
        <stp/>
        <stp>BDP|17539387154202976682|22</stp>
        <stp>QTTB US Equity</stp>
        <stp>LAST_PRICE</stp>
        <tr r="AD1225" s="1"/>
        <tr r="AD1225" s="1"/>
      </tp>
      <tp>
        <v>1.24</v>
        <stp/>
        <stp>BDP|12673010111210433860|22</stp>
        <stp>IDXG US Equity</stp>
        <stp>LAST_PRICE</stp>
        <tr r="AD785" s="1"/>
        <tr r="AD785" s="1"/>
      </tp>
      <tp>
        <v>0.41289999999999999</v>
        <stp/>
        <stp>BDP|14070676558919244551|22</stp>
        <stp>CUTR US Equity</stp>
        <stp>LAST_PRICE</stp>
        <tr r="AD471" s="1"/>
        <tr r="AD471" s="1"/>
      </tp>
      <tp>
        <v>1.35</v>
        <stp/>
        <stp>BDP|13661327421675703641|22</stp>
        <stp>INZY US Equity</stp>
        <stp>LAST_PRICE</stp>
        <tr r="AD768" s="1"/>
        <tr r="AD768" s="1"/>
      </tp>
      <tp>
        <v>5.04</v>
        <stp/>
        <stp>BDP|17960240403087088140|22</stp>
        <stp>CRVS US Equity</stp>
        <stp>LAST_PRICE</stp>
        <tr r="AD449" s="1"/>
        <tr r="AD449" s="1"/>
      </tp>
      <tp>
        <v>1.18</v>
        <stp/>
        <stp>BDP|18205299684136924388|22</stp>
        <stp>EGRX US Equity</stp>
        <stp>LAST_PRICE</stp>
        <tr r="AD524" s="1"/>
        <tr r="AD524" s="1"/>
      </tp>
      <tp>
        <v>1.39</v>
        <stp/>
        <stp>BDP|13164688591125356139|22</stp>
        <stp>AYTU US Equity</stp>
        <stp>LAST_PRICE</stp>
        <tr r="AD224" s="1"/>
        <tr r="AD224" s="1"/>
      </tp>
      <tp>
        <v>2.66</v>
        <stp/>
        <stp>BDP|15507662850822828036|22</stp>
        <stp>KYTX US Equity</stp>
        <stp>LAST_PRICE</stp>
        <tr r="AD854" s="1"/>
        <tr r="AD854" s="1"/>
      </tp>
      <tp t="s">
        <v>#N/A N/A</v>
        <stp/>
        <stp>BDP|17713873601649845178|22</stp>
        <stp>OMRX US Equity</stp>
        <stp>LAST_PRICE</stp>
        <tr r="AD1114" s="1"/>
      </tp>
      <tp>
        <v>2.2799999999999998</v>
        <stp/>
        <stp>BDP|13284859477714270198|22</stp>
        <stp>NUVB US Equity</stp>
        <stp>LAST_PRICE</stp>
        <tr r="AD1067" s="1"/>
        <tr r="AD1067" s="1"/>
      </tp>
      <tp>
        <v>1.7</v>
        <stp/>
        <stp>BDP|11688843776976213598|22</stp>
        <stp>NMRA US Equity</stp>
        <stp>LAST_PRICE</stp>
        <tr r="AD1020" s="1"/>
        <tr r="AD1020" s="1"/>
      </tp>
      <tp>
        <v>82.1</v>
        <stp/>
        <stp>BDP|14314731777375874765|22</stp>
        <stp>LNTH US Equity</stp>
        <stp>LAST_PRICE</stp>
        <tr r="AD858" s="1"/>
        <tr r="AD858" s="1"/>
      </tp>
      <tp>
        <v>2.5099999999999998</v>
        <stp/>
        <stp>BDP|14751064527967072496|22</stp>
        <stp>FORA US Equity</stp>
        <stp>LAST_PRICE</stp>
        <tr r="AD618" s="1"/>
        <tr r="AD618" s="1"/>
      </tp>
      <tp>
        <v>4.6100000000000003</v>
        <stp/>
        <stp>BDP|12169048996692217681|22</stp>
        <stp>GLTO US Equity</stp>
        <stp>LAST_PRICE</stp>
        <tr r="AD631" s="1"/>
        <tr r="AD631" s="1"/>
      </tp>
      <tp>
        <v>18.239999999999998</v>
        <stp/>
        <stp>BDP|17814541644045006278|22</stp>
        <stp>CCRN US Equity</stp>
        <stp>LAST_PRICE</stp>
        <tr r="AD459" s="1"/>
        <tr r="AD459" s="1"/>
      </tp>
      <tp>
        <v>4.0000000000000001E-3</v>
        <stp/>
        <stp>BDP|13942208370553446434|22</stp>
        <stp>RTSL US Equity</stp>
        <stp>LAST_PRICE</stp>
        <tr r="AD1247" s="1"/>
        <tr r="AD1247" s="1"/>
      </tp>
      <tp>
        <v>0.20050000000000001</v>
        <stp/>
        <stp>BDP|13823175817951680732|22</stp>
        <stp>HEPA US Equity</stp>
        <stp>LAST_PRICE</stp>
        <tr r="AD694" s="1"/>
        <tr r="AD694" s="1"/>
      </tp>
      <tp>
        <v>111.17</v>
        <stp/>
        <stp>BDP|10213527559720713776|22</stp>
        <stp>IRTC US Equity</stp>
        <stp>LAST_PRICE</stp>
        <tr r="AD798" s="1"/>
        <tr r="AD798" s="1"/>
      </tp>
      <tp>
        <v>2.9999999999999997E-4</v>
        <stp/>
        <stp>BDP|16406197870616745634|22</stp>
        <stp>GSTC US Equity</stp>
        <stp>LAST_PRICE</stp>
        <tr r="AD653" s="1"/>
        <tr r="AD653" s="1"/>
      </tp>
      <tp>
        <v>11.62</v>
        <stp/>
        <stp>BDP|13775752414319938501|22</stp>
        <stp>GYRE US Equity</stp>
        <stp>LAST_PRICE</stp>
        <tr r="AD668" s="1"/>
        <tr r="AD668" s="1"/>
      </tp>
      <tp>
        <v>10.6</v>
        <stp/>
        <stp>BDP|15673412317811685498|22</stp>
        <stp>VTRS US Equity</stp>
        <stp>LAST_PRICE</stp>
        <tr r="AD1545" s="1"/>
        <tr r="AD1545" s="1"/>
      </tp>
      <tp>
        <v>1.4</v>
        <stp/>
        <stp>BDP|79059496912774795|22</stp>
        <stp>OTRK US Equity</stp>
        <stp>LAST_PRICE</stp>
        <tr r="AD1095" s="1"/>
        <tr r="AD1095" s="1"/>
      </tp>
      <tp>
        <v>31.65</v>
        <stp/>
        <stp>BDP|14683137938939693055|22</stp>
        <stp>MTSR US Equity</stp>
        <stp>LAST_PRICE</stp>
        <tr r="AD950" s="1"/>
        <tr r="AD950" s="1"/>
      </tp>
      <tp t="s">
        <v>#N/A N/A</v>
        <stp/>
        <stp>BDP|11964867405600357715|22</stp>
        <stp>SYUP US Equity</stp>
        <stp>LAST_PRICE</stp>
        <tr r="AD129" s="1"/>
      </tp>
      <tp>
        <v>1.1599999999999999</v>
        <stp/>
        <stp>BDP|12219989638821071974|22</stp>
        <stp>RNXT US Equity</stp>
        <stp>LAST_PRICE</stp>
        <tr r="AD1269" s="1"/>
        <tr r="AD1269" s="1"/>
      </tp>
      <tp>
        <v>0.05</v>
        <stp/>
        <stp>BDP|12258051300962225019|22</stp>
        <stp>BZYR US Equity</stp>
        <stp>LAST_PRICE</stp>
        <tr r="AD313" s="1"/>
        <tr r="AD313" s="1"/>
      </tp>
      <tp>
        <v>1.67</v>
        <stp/>
        <stp>BDP|16399167522244090282|22</stp>
        <stp>TCRT US Equity</stp>
        <stp>LAST_PRICE</stp>
        <tr r="AD81" s="1"/>
        <tr r="AD81" s="1"/>
      </tp>
      <tp t="s">
        <v>#N/A N/A</v>
        <stp/>
        <stp>BDP|12580284825717993759|22</stp>
        <stp>ARYX US Equity</stp>
        <stp>LAST_PRICE</stp>
        <tr r="AD176" s="1"/>
      </tp>
      <tp t="s">
        <v>#N/A N/A</v>
        <stp/>
        <stp>BDP|13299182929736753988|22</stp>
        <stp>SZLS CN Equity</stp>
        <stp>LAST_PRICE</stp>
        <tr r="AD1393" s="1"/>
      </tp>
      <tp>
        <v>0.93</v>
        <stp/>
        <stp>BDP|16756236779019183651|22</stp>
        <stp>FRTX US Equity</stp>
        <stp>LAST_PRICE</stp>
        <tr r="AD625" s="1"/>
        <tr r="AD625" s="1"/>
      </tp>
      <tp>
        <v>4.5999999999999999E-3</v>
        <stp/>
        <stp>BDP|15952906364546767322|22</stp>
        <stp>LTUS US Equity</stp>
        <stp>LAST_PRICE</stp>
        <tr r="AD888" s="1"/>
        <tr r="AD888" s="1"/>
      </tp>
    </main>
    <main first="bofaddin.rtdserver">
      <tp>
        <v>1.8E-3</v>
        <stp/>
        <stp>BDP|14822805180341862724|22</stp>
        <stp>RSPI US Equity</stp>
        <stp>LAST_PRICE</stp>
        <tr r="AD1276" s="1"/>
        <tr r="AD1276" s="1"/>
      </tp>
      <tp>
        <v>2.7974999999999999</v>
        <stp/>
        <stp>BDP|17484232734602965280|22</stp>
        <stp>CMPD US Equity</stp>
        <stp>LAST_PRICE</stp>
        <tr r="AD433" s="1"/>
        <tr r="AD433" s="1"/>
      </tp>
      <tp>
        <v>42.12</v>
        <stp/>
        <stp>BDP|11580514286856210747|22</stp>
        <stp>BHVN US Equity</stp>
        <stp>LAST_PRICE</stp>
        <tr r="AD264" s="1"/>
        <tr r="AD264" s="1"/>
      </tp>
      <tp>
        <v>42.18</v>
        <stp/>
        <stp>BDP|12366100764629487058|22</stp>
        <stp>CYTK US Equity</stp>
        <stp>LAST_PRICE</stp>
        <tr r="AD482" s="1"/>
        <tr r="AD482" s="1"/>
      </tp>
      <tp t="s">
        <v>#N/A N/A</v>
        <stp/>
        <stp>BDP|15967231262258526364|22</stp>
        <stp>BSYI US Equity</stp>
        <stp>LAST_PRICE</stp>
        <tr r="AD283" s="1"/>
      </tp>
      <tp>
        <v>5.25</v>
        <stp/>
        <stp>BDP|15412667405147550329|22</stp>
        <stp>CARA US Equity</stp>
        <stp>LAST_PRICE</stp>
        <tr r="AD341" s="1"/>
        <tr r="AD341" s="1"/>
      </tp>
      <tp>
        <v>0.80640000000000001</v>
        <stp/>
        <stp>BDP|10010953183692119173|22</stp>
        <stp>SPRO US Equity</stp>
        <stp>LAST_PRICE</stp>
        <tr r="AD1384" s="1"/>
        <tr r="AD1384" s="1"/>
      </tp>
      <tp>
        <v>9.9999999999999995E-7</v>
        <stp/>
        <stp>BDP|11510311208639961330|22</stp>
        <stp>AVTI US Equity</stp>
        <stp>LAST_PRICE</stp>
        <tr r="AD216" s="1"/>
        <tr r="AD216" s="1"/>
      </tp>
      <tp>
        <v>1.32</v>
        <stp/>
        <stp>BDP|15681982791315533105|22</stp>
        <stp>ATXI US Equity</stp>
        <stp>LAST_PRICE</stp>
        <tr r="AD211" s="1"/>
        <tr r="AD211" s="1"/>
      </tp>
      <tp>
        <v>4.05</v>
        <stp/>
        <stp>BDP|10190786364410307387|22</stp>
        <stp>SNTI US Equity</stp>
        <stp>LAST_PRICE</stp>
        <tr r="AD1336" s="1"/>
        <tr r="AD1336" s="1"/>
      </tp>
      <tp>
        <v>17.95</v>
        <stp/>
        <stp>BDP|14329307323975218066|22</stp>
        <stp>ARVN US Equity</stp>
        <stp>LAST_PRICE</stp>
        <tr r="AD175" s="1"/>
        <tr r="AD175" s="1"/>
      </tp>
      <tp>
        <v>4.49</v>
        <stp/>
        <stp>BDP|18000356265953354010|22</stp>
        <stp>LIPO US Equity</stp>
        <stp>LAST_PRICE</stp>
        <tr r="AD878" s="1"/>
        <tr r="AD878" s="1"/>
      </tp>
      <tp>
        <v>21.67</v>
        <stp/>
        <stp>BDP|14479623242653326562|22</stp>
        <stp>BTSG US Equity</stp>
        <stp>LAST_PRICE</stp>
        <tr r="AD306" s="1"/>
        <tr r="AD306" s="1"/>
      </tp>
      <tp>
        <v>0.39300000000000002</v>
        <stp/>
        <stp>BDP|17270058127610365958|22</stp>
        <stp>SXTC US Equity</stp>
        <stp>LAST_PRICE</stp>
        <tr r="AD398" s="1"/>
        <tr r="AD398" s="1"/>
      </tp>
      <tp>
        <v>7.0000000000000007E-2</v>
        <stp/>
        <stp>BDP|13216841304696900962|22</stp>
        <stp>VIBE CN Equity</stp>
        <stp>LAST_PRICE</stp>
        <tr r="AD1546" s="1"/>
        <tr r="AD1546" s="1"/>
      </tp>
      <tp>
        <v>9.9999999999999995E-7</v>
        <stp/>
        <stp>BDP|16670051779120679669|22</stp>
        <stp>CDXI US Equity</stp>
        <stp>LAST_PRICE</stp>
        <tr r="AD342" s="1"/>
        <tr r="AD342" s="1"/>
      </tp>
      <tp>
        <v>3.58</v>
        <stp/>
        <stp>BDP|12712705235931677547|22</stp>
        <stp>XERS US Equity</stp>
        <stp>LAST_PRICE</stp>
        <tr r="AD1599" s="1"/>
        <tr r="AD1599" s="1"/>
      </tp>
      <tp>
        <v>1.0900000000000001</v>
        <stp/>
        <stp>BDP|14175342837518444802|22</stp>
        <stp>ANTX US Equity</stp>
        <stp>LAST_PRICE</stp>
        <tr r="AD126" s="1"/>
        <tr r="AD126" s="1"/>
      </tp>
      <tp>
        <v>10.01</v>
        <stp/>
        <stp>BDP|12470854826161558659|22</stp>
        <stp>XCUR US Equity</stp>
        <stp>LAST_PRICE</stp>
        <tr r="AD600" s="1"/>
        <tr r="AD600" s="1"/>
      </tp>
      <tp>
        <v>3.39</v>
        <stp/>
        <stp>BDP|11902876218242280054|22</stp>
        <stp>AQST US Equity</stp>
        <stp>LAST_PRICE</stp>
        <tr r="AD154" s="1"/>
        <tr r="AD154" s="1"/>
      </tp>
      <tp>
        <v>187.01</v>
        <stp/>
        <stp>BDP|11866993330909959295|22</stp>
        <stp>INSP US Equity</stp>
        <stp>LAST_PRICE</stp>
        <tr r="AD771" s="1"/>
        <tr r="AD771" s="1"/>
      </tp>
      <tp>
        <v>5.45</v>
        <stp/>
        <stp>BDP|10770808663578023636|22</stp>
        <stp>OKUR US Equity</stp>
        <stp>LAST_PRICE</stp>
        <tr r="AD1094" s="1"/>
        <tr r="AD1094" s="1"/>
      </tp>
      <tp>
        <v>453.2</v>
        <stp/>
        <stp>BDP|12269941835671258776|22</stp>
        <stp>VRTX US Equity</stp>
        <stp>LAST_PRICE</stp>
        <tr r="AD1539" s="1"/>
        <tr r="AD1539" s="1"/>
      </tp>
      <tp>
        <v>1E-4</v>
        <stp/>
        <stp>BDP|18175698055936280594|22</stp>
        <stp>BTTX US Equity</stp>
        <stp>LAST_PRICE</stp>
        <tr r="AD243" s="1"/>
        <tr r="AD243" s="1"/>
      </tp>
      <tp>
        <v>7.81</v>
        <stp/>
        <stp>BDP|12615526548235894845|22</stp>
        <stp>QTRX US Equity</stp>
        <stp>LAST_PRICE</stp>
        <tr r="AD1229" s="1"/>
        <tr r="AD1229" s="1"/>
      </tp>
      <tp>
        <v>1.27</v>
        <stp/>
        <stp>BDP|15646803598458679291|22</stp>
        <stp>AVNT CN Equity</stp>
        <stp>LAST_PRICE</stp>
        <tr r="AD206" s="1"/>
        <tr r="AD206" s="1"/>
      </tp>
      <tp>
        <v>1.6</v>
        <stp/>
        <stp>BDP|14732980914180465281|22</stp>
        <stp>NAUT US Equity</stp>
        <stp>LAST_PRICE</stp>
        <tr r="AD1008" s="1"/>
        <tr r="AD1008" s="1"/>
      </tp>
      <tp>
        <v>1.1499999999999999</v>
        <stp/>
        <stp>BDP|12285010075249540256|22</stp>
        <stp>RPTX US Equity</stp>
        <stp>LAST_PRICE</stp>
        <tr r="AD1270" s="1"/>
        <tr r="AD1270" s="1"/>
      </tp>
      <tp>
        <v>43.43</v>
        <stp/>
        <stp>BDP|13700837361943529116|22</stp>
        <stp>RARE US Equity</stp>
        <stp>LAST_PRICE</stp>
        <tr r="AD1500" s="1"/>
        <tr r="AD1500" s="1"/>
      </tp>
      <tp>
        <v>5.22</v>
        <stp/>
        <stp>BDP|13273512181450418572|22</stp>
        <stp>DERM US Equity</stp>
        <stp>LAST_PRICE</stp>
        <tr r="AD816" s="1"/>
        <tr r="AD816" s="1"/>
      </tp>
      <tp>
        <v>19.28</v>
        <stp/>
        <stp>BDP|16414641502584537279|22</stp>
        <stp>KNSA US Equity</stp>
        <stp>LAST_PRICE</stp>
        <tr r="AD836" s="1"/>
        <tr r="AD836" s="1"/>
      </tp>
      <tp>
        <v>9.9999999999999995E-7</v>
        <stp/>
        <stp>BDP|17665629398371594485|22</stp>
        <stp>USRM US Equity</stp>
        <stp>LAST_PRICE</stp>
        <tr r="AD1517" s="1"/>
        <tr r="AD1517" s="1"/>
      </tp>
      <tp>
        <v>1.96</v>
        <stp/>
        <stp>BDP|15608356743184161861|22</stp>
        <stp>AUTL US Equity</stp>
        <stp>LAST_PRICE</stp>
        <tr r="AD200" s="1"/>
        <tr r="AD200" s="1"/>
      </tp>
      <tp>
        <v>12.35</v>
        <stp/>
        <stp>BDP|15072100575859606078|22</stp>
        <stp>AMWL US Equity</stp>
        <stp>LAST_PRICE</stp>
        <tr r="AD116" s="1"/>
        <tr r="AD116" s="1"/>
      </tp>
      <tp>
        <v>0.08</v>
        <stp/>
        <stp>BDP|14864092316231216571|22</stp>
        <stp>PCLO CN Equity</stp>
        <stp>LAST_PRICE</stp>
        <tr r="AD1156" s="1"/>
        <tr r="AD1156" s="1"/>
      </tp>
      <tp>
        <v>2.4500000000000002</v>
        <stp/>
        <stp>BDP|10143403866224184510|22</stp>
        <stp>AVTE US Equity</stp>
        <stp>LAST_PRICE</stp>
        <tr r="AD63" s="1"/>
        <tr r="AD63" s="1"/>
      </tp>
      <tp>
        <v>0.67</v>
        <stp/>
        <stp>BDP|18061737877996519741|22</stp>
        <stp>PAVM US Equity</stp>
        <stp>LAST_PRICE</stp>
        <tr r="AD1140" s="1"/>
        <tr r="AD1140" s="1"/>
      </tp>
      <tp>
        <v>2.79</v>
        <stp/>
        <stp>BDP|10194044709570406825|22</stp>
        <stp>PBYI US Equity</stp>
        <stp>LAST_PRICE</stp>
        <tr r="AD1222" s="1"/>
        <tr r="AD1222" s="1"/>
      </tp>
      <tp>
        <v>0.81789999999999996</v>
        <stp/>
        <stp>BDP|11060049467514485264|22</stp>
        <stp>MCRB US Equity</stp>
        <stp>LAST_PRICE</stp>
        <tr r="AD1339" s="1"/>
        <tr r="AD1339" s="1"/>
      </tp>
      <tp>
        <v>1.04</v>
        <stp/>
        <stp>BDP|17958444162973234020|22</stp>
        <stp>AIAI CN Equity</stp>
        <stp>LAST_PRICE</stp>
        <tr r="AD1018" s="1"/>
        <tr r="AD1018" s="1"/>
      </tp>
      <tp>
        <v>3.24</v>
        <stp/>
        <stp>BDP|17764565183515697659|22</stp>
        <stp>IBRX US Equity</stp>
        <stp>LAST_PRICE</stp>
        <tr r="AD734" s="1"/>
        <tr r="AD734" s="1"/>
      </tp>
      <tp>
        <v>1.73</v>
        <stp/>
        <stp>BDP|16745506741085274911|22</stp>
        <stp>GOVX US Equity</stp>
        <stp>LAST_PRICE</stp>
        <tr r="AD645" s="1"/>
        <tr r="AD645" s="1"/>
      </tp>
      <tp>
        <v>5.52</v>
        <stp/>
        <stp>BDP|13327335680109102067|22</stp>
        <stp>FHTX US Equity</stp>
        <stp>LAST_PRICE</stp>
        <tr r="AD616" s="1"/>
        <tr r="AD616" s="1"/>
      </tp>
      <tp>
        <v>1.53</v>
        <stp/>
        <stp>BDP|10202437172905683708|22</stp>
        <stp>TOVX US Equity</stp>
        <stp>LAST_PRICE</stp>
        <tr r="AD1464" s="1"/>
        <tr r="AD1464" s="1"/>
      </tp>
      <tp>
        <v>13.21</v>
        <stp/>
        <stp>BDP|12142650653046756926|22</stp>
        <stp>ARQT US Equity</stp>
        <stp>LAST_PRICE</stp>
        <tr r="AD162" s="1"/>
        <tr r="AD162" s="1"/>
      </tp>
      <tp>
        <v>2.9999999999999997E-4</v>
        <stp/>
        <stp>BDP|18342860222528135753|22</stp>
        <stp>SCPS US Equity</stp>
        <stp>LAST_PRICE</stp>
        <tr r="AD1321" s="1"/>
        <tr r="AD1321" s="1"/>
      </tp>
      <tp>
        <v>6.12</v>
        <stp/>
        <stp>BDP|17928678870572199184|22</stp>
        <stp>ALTS US Equity</stp>
        <stp>LAST_PRICE</stp>
        <tr r="AD98" s="1"/>
        <tr r="AD98" s="1"/>
      </tp>
      <tp>
        <v>4.37</v>
        <stp/>
        <stp>BDP|15710360855321287408|22</stp>
        <stp>PLUR US Equity</stp>
        <stp>LAST_PRICE</stp>
        <tr r="AD1170" s="1"/>
        <tr r="AD1170" s="1"/>
      </tp>
      <tp t="s">
        <v>#N/A N/A</v>
        <stp/>
        <stp>BDP|15852215123377311932|22</stp>
        <stp>MNZO US Equity</stp>
        <stp>LAST_PRICE</stp>
        <tr r="AD902" s="1"/>
      </tp>
      <tp>
        <v>79.92</v>
        <stp/>
        <stp>BDP|14697363813805732262|22</stp>
        <stp>NARI US Equity</stp>
        <stp>LAST_PRICE</stp>
        <tr r="AD742" s="1"/>
        <tr r="AD742" s="1"/>
      </tp>
      <tp>
        <v>23.01</v>
        <stp/>
        <stp>BDP|12162421886618817890|22</stp>
        <stp>DNTH US Equity</stp>
        <stp>LAST_PRICE</stp>
        <tr r="AD508" s="1"/>
        <tr r="AD508" s="1"/>
      </tp>
      <tp>
        <v>1.87</v>
        <stp/>
        <stp>BDP|10084395562087654036|22</stp>
        <stp>ARCH CN Equity</stp>
        <stp>LAST_PRICE</stp>
        <tr r="AD157" s="1"/>
        <tr r="AD157" s="1"/>
      </tp>
      <tp>
        <v>1.51</v>
        <stp/>
        <stp>BDP|16202267273780719698|22</stp>
        <stp>CLYM US Equity</stp>
        <stp>LAST_PRICE</stp>
        <tr r="AD414" s="1"/>
        <tr r="AD414" s="1"/>
      </tp>
      <tp>
        <v>5.34</v>
        <stp/>
        <stp>BDP|15459722097360333944|22</stp>
        <stp>IOVA US Equity</stp>
        <stp>LAST_PRICE</stp>
        <tr r="AD793" s="1"/>
        <tr r="AD793" s="1"/>
      </tp>
      <tp>
        <v>4.05</v>
        <stp/>
        <stp>BDP|15423582172573085485|22</stp>
        <stp>TRVI US Equity</stp>
        <stp>LAST_PRICE</stp>
        <tr r="AD1488" s="1"/>
        <tr r="AD1488" s="1"/>
      </tp>
      <tp t="s">
        <v>#N/A N/A</v>
        <stp/>
        <stp>BDP|11057266366805071672|22</stp>
        <stp>WOWU US Equity</stp>
        <stp>LAST_PRICE</stp>
        <tr r="AD1590" s="1"/>
      </tp>
      <tp>
        <v>0.42</v>
        <stp/>
        <stp>BDP|12830815192586044696|22</stp>
        <stp>MBRX US Equity</stp>
        <stp>LAST_PRICE</stp>
        <tr r="AD973" s="1"/>
        <tr r="AD973" s="1"/>
      </tp>
      <tp>
        <v>5.69</v>
        <stp/>
        <stp>BDP|17681041841212375126|22</stp>
        <stp>AIRS US Equity</stp>
        <stp>LAST_PRICE</stp>
        <tr r="AD74" s="1"/>
        <tr r="AD74" s="1"/>
      </tp>
      <tp>
        <v>11</v>
        <stp/>
        <stp>BDP|15413408389716800074|22</stp>
        <stp>FBRX US Equity</stp>
        <stp>LAST_PRICE</stp>
        <tr r="AD619" s="1"/>
        <tr r="AD619" s="1"/>
      </tp>
      <tp>
        <v>3.75</v>
        <stp/>
        <stp>BDP|17807541206094325399|22</stp>
        <stp>CMPX US Equity</stp>
        <stp>LAST_PRICE</stp>
        <tr r="AD430" s="1"/>
        <tr r="AD430" s="1"/>
      </tp>
      <tp>
        <v>14.7</v>
        <stp/>
        <stp>BDP|13297796358027778761|22</stp>
        <stp>CVRX US Equity</stp>
        <stp>LAST_PRICE</stp>
        <tr r="AD472" s="1"/>
        <tr r="AD472" s="1"/>
      </tp>
      <tp>
        <v>3.0099999999999998E-2</v>
        <stp/>
        <stp>BDP|16840345239788115261|22</stp>
        <stp>AVRW US Equity</stp>
        <stp>LAST_PRICE</stp>
        <tr r="AD210" s="1"/>
        <tr r="AD210" s="1"/>
      </tp>
      <tp>
        <v>6.29</v>
        <stp/>
        <stp>BDP|329757698235427116|22</stp>
        <stp>MYO US Equity</stp>
        <stp>LAST_PRICE</stp>
        <tr r="AD990" s="1"/>
        <tr r="AD990" s="1"/>
      </tp>
      <tp t="s">
        <v>#N/A N/A</v>
        <stp/>
        <stp>BDP|12246363685530603635|22</stp>
        <stp>BKUH US Equity</stp>
        <stp>LAST_PRICE</stp>
        <tr r="AD229" s="1"/>
      </tp>
      <tp t="s">
        <v>#N/A N/A</v>
        <stp/>
        <stp>BDP|14372674886083253171|22</stp>
        <stp>IVVI US Equity</stp>
        <stp>LAST_PRICE</stp>
        <tr r="AD806" s="1"/>
      </tp>
      <tp>
        <v>126.12</v>
        <stp/>
        <stp>BDP|15101763374043894997|22</stp>
        <stp>ENSG US Equity</stp>
        <stp>LAST_PRICE</stp>
        <tr r="AD562" s="1"/>
        <tr r="AD562" s="1"/>
      </tp>
      <tp>
        <v>2.63E-2</v>
        <stp/>
        <stp>BDP|10826614018086097908|22</stp>
        <stp>OWPC US Equity</stp>
        <stp>LAST_PRICE</stp>
        <tr r="AD1091" s="1"/>
        <tr r="AD1091" s="1"/>
      </tp>
      <tp>
        <v>116.78</v>
        <stp/>
        <stp>BDP|10013304550365509728|22</stp>
        <stp>CRVL US Equity</stp>
        <stp>LAST_PRICE</stp>
        <tr r="AD448" s="1"/>
        <tr r="AD448" s="1"/>
      </tp>
      <tp>
        <v>27.85</v>
        <stp/>
        <stp>BDP|10819950450551901419|22</stp>
        <stp>CSTL US Equity</stp>
        <stp>LAST_PRICE</stp>
        <tr r="AD364" s="1"/>
        <tr r="AD364" s="1"/>
      </tp>
      <tp>
        <v>2.2999999999999998</v>
        <stp/>
        <stp>BDP|13945585670183352873|22</stp>
        <stp>RNTX US Equity</stp>
        <stp>LAST_PRICE</stp>
        <tr r="AD1261" s="1"/>
        <tr r="AD1261" s="1"/>
      </tp>
      <tp>
        <v>40.26</v>
        <stp/>
        <stp>BDP|12911743794010589387|22</stp>
        <stp>MRUS US Equity</stp>
        <stp>LAST_PRICE</stp>
        <tr r="AD945" s="1"/>
        <tr r="AD945" s="1"/>
      </tp>
      <tp>
        <v>0.60760000000000003</v>
        <stp/>
        <stp>BDP|16444157127471389609|22</stp>
        <stp>CGTX US Equity</stp>
        <stp>LAST_PRICE</stp>
        <tr r="AD423" s="1"/>
        <tr r="AD423" s="1"/>
      </tp>
      <tp>
        <v>6.0000000000000001E-3</v>
        <stp/>
        <stp>BDP|15350201106343175827|22</stp>
        <stp>SHWZ US Equity</stp>
        <stp>LAST_PRICE</stp>
        <tr r="AD923" s="1"/>
        <tr r="AD923" s="1"/>
      </tp>
      <tp>
        <v>2.5</v>
        <stp/>
        <stp>BDP|17640836566342204025|22</stp>
        <stp>PDRX US Equity</stp>
        <stp>LAST_PRICE</stp>
        <tr r="AD1142" s="1"/>
        <tr r="AD1142" s="1"/>
      </tp>
      <tp>
        <v>3.6</v>
        <stp/>
        <stp>BDP|13341984127814003246|22</stp>
        <stp>ATYR US Equity</stp>
        <stp>LAST_PRICE</stp>
        <tr r="AD193" s="1"/>
        <tr r="AD193" s="1"/>
      </tp>
      <tp>
        <v>11.63</v>
        <stp/>
        <stp>BDP|12446676673490370203|22</stp>
        <stp>SPRY US Equity</stp>
        <stp>LAST_PRICE</stp>
        <tr r="AD171" s="1"/>
        <tr r="AD171" s="1"/>
      </tp>
      <tp>
        <v>44.27</v>
        <stp/>
        <stp>BDP|13170048585284399567|22</stp>
        <stp>MLTX US Equity</stp>
        <stp>LAST_PRICE</stp>
        <tr r="AD979" s="1"/>
        <tr r="AD979" s="1"/>
      </tp>
      <tp>
        <v>0.64549999999999996</v>
        <stp/>
        <stp>BDP|10374803386848173011|22</stp>
        <stp>SXTP US Equity</stp>
        <stp>LAST_PRICE</stp>
        <tr r="AD11" s="1"/>
        <tr r="AD11" s="1"/>
      </tp>
      <tp>
        <v>23.2</v>
        <stp/>
        <stp>BDP|17724328606986501432|22</stp>
        <stp>TVTX US Equity</stp>
        <stp>LAST_PRICE</stp>
        <tr r="AD1483" s="1"/>
        <tr r="AD1483" s="1"/>
      </tp>
      <tp>
        <v>52.33</v>
        <stp/>
        <stp>BDP|15318876523240753234|22</stp>
        <stp>TARS US Equity</stp>
        <stp>LAST_PRICE</stp>
        <tr r="AD1436" s="1"/>
        <tr r="AD1436" s="1"/>
      </tp>
      <tp>
        <v>2.13</v>
        <stp/>
        <stp>BDP|16771719627691665428|22</stp>
        <stp>INTS US Equity</stp>
        <stp>LAST_PRICE</stp>
        <tr r="AD782" s="1"/>
        <tr r="AD782" s="1"/>
      </tp>
      <tp>
        <v>45.37</v>
        <stp/>
        <stp>BDP|14110098919989313607|22</stp>
        <stp>TWST US Equity</stp>
        <stp>LAST_PRICE</stp>
        <tr r="AD1497" s="1"/>
        <tr r="AD1497" s="1"/>
      </tp>
      <tp>
        <v>0.14000000000000001</v>
        <stp/>
        <stp>BDP|17887533127886817500|22</stp>
        <stp>NSHS CN Equity</stp>
        <stp>LAST_PRICE</stp>
        <tr r="AD999" s="1"/>
        <tr r="AD999" s="1"/>
      </tp>
      <tp>
        <v>9.9999999999999995E-7</v>
        <stp/>
        <stp>BDP|14634262003437315422|22</stp>
        <stp>LPTI US Equity</stp>
        <stp>LAST_PRICE</stp>
        <tr r="AD887" s="1"/>
        <tr r="AD887" s="1"/>
      </tp>
      <tp>
        <v>0.61099999999999999</v>
        <stp/>
        <stp>BDP|17438254241232335352|22</stp>
        <stp>TLPH US Equity</stp>
        <stp>LAST_PRICE</stp>
        <tr r="AD1431" s="1"/>
        <tr r="AD1431" s="1"/>
      </tp>
      <tp>
        <v>10.199999999999999</v>
        <stp/>
        <stp>BDP|12313549028739480498|22</stp>
        <stp>BNTC US Equity</stp>
        <stp>LAST_PRICE</stp>
        <tr r="AD240" s="1"/>
        <tr r="AD240" s="1"/>
      </tp>
      <tp t="s">
        <v>#N/A N/A</v>
        <stp/>
        <stp>BDP|14401656853180145575|22</stp>
        <stp>COOL CN Equity</stp>
        <stp>LAST_PRICE</stp>
        <tr r="AD445" s="1"/>
      </tp>
      <tp>
        <v>34.51</v>
        <stp/>
        <stp>BDP|13514457564671663609|22</stp>
        <stp>SMTI US Equity</stp>
        <stp>LAST_PRICE</stp>
        <tr r="AD1306" s="1"/>
        <tr r="AD1306" s="1"/>
      </tp>
      <tp>
        <v>13.82</v>
        <stp/>
        <stp>BDP|13188126191822528151|22</stp>
        <stp>PRTA US Equity</stp>
        <stp>LAST_PRICE</stp>
        <tr r="AD1212" s="1"/>
        <tr r="AD1212" s="1"/>
      </tp>
      <tp>
        <v>9.36</v>
        <stp/>
        <stp>BDP|16706868874471419175|22</stp>
        <stp>TBPH US Equity</stp>
        <stp>LAST_PRICE</stp>
        <tr r="AD1463" s="1"/>
        <tr r="AD1463" s="1"/>
      </tp>
      <tp>
        <v>5.2</v>
        <stp/>
        <stp>BDP|17890391004891770461|22</stp>
        <stp>MDRX US Equity</stp>
        <stp>LAST_PRICE</stp>
        <tr r="AD1534" s="1"/>
        <tr r="AD1534" s="1"/>
      </tp>
      <tp>
        <v>9.9999999999999995E-7</v>
        <stp/>
        <stp>BDP|10694424118645859377|22</stp>
        <stp>KKUR US Equity</stp>
        <stp>LAST_PRICE</stp>
        <tr r="AD400" s="1"/>
        <tr r="AD400" s="1"/>
      </tp>
      <tp>
        <v>70.150000000000006</v>
        <stp/>
        <stp>BDP|15673340791812509420|22</stp>
        <stp>CORT US Equity</stp>
        <stp>LAST_PRICE</stp>
        <tr r="AD444" s="1"/>
        <tr r="AD444" s="1"/>
      </tp>
      <tp>
        <v>1.62</v>
        <stp/>
        <stp>BDP|10929926255778107501|22</stp>
        <stp>VTYX US Equity</stp>
        <stp>LAST_PRICE</stp>
        <tr r="AD1530" s="1"/>
        <tr r="AD1530" s="1"/>
      </tp>
      <tp>
        <v>9.75</v>
        <stp/>
        <stp>BDP|10813504344122551594|22</stp>
        <stp>ALVR US Equity</stp>
        <stp>LAST_PRICE</stp>
        <tr r="AD92" s="1"/>
        <tr r="AD92" s="1"/>
      </tp>
      <tp>
        <v>1.1200000000000001</v>
        <stp/>
        <stp>BDP|14874574760645835056|22</stp>
        <stp>PSTV US Equity</stp>
        <stp>LAST_PRICE</stp>
        <tr r="AD1171" s="1"/>
        <tr r="AD1171" s="1"/>
      </tp>
      <tp>
        <v>18.05</v>
        <stp/>
        <stp>BDP|15944712828370172335|22</stp>
        <stp>AVTR US Equity</stp>
        <stp>LAST_PRICE</stp>
        <tr r="AD207" s="1"/>
        <tr r="AD207" s="1"/>
      </tp>
      <tp>
        <v>0.86260000000000003</v>
        <stp/>
        <stp>BDP|12702758095784597266|22</stp>
        <stp>ASRT US Equity</stp>
        <stp>LAST_PRICE</stp>
        <tr r="AD181" s="1"/>
        <tr r="AD181" s="1"/>
      </tp>
      <tp>
        <v>65.5</v>
        <stp/>
        <stp>BDP|14548514896738231470|22</stp>
        <stp>KEQU US Equity</stp>
        <stp>LAST_PRICE</stp>
        <tr r="AD831" s="1"/>
        <tr r="AD831" s="1"/>
      </tp>
      <tp>
        <v>1.1100000000000001</v>
        <stp/>
        <stp>BDP|434512122935531496|22</stp>
        <stp>ONC CN Equity</stp>
        <stp>LAST_PRICE</stp>
        <tr r="AD1087" s="1"/>
        <tr r="AD1087" s="1"/>
      </tp>
      <tp>
        <v>57.64</v>
        <stp/>
        <stp>BDP|12638694781296825854|22</stp>
        <stp>RYTM US Equity</stp>
        <stp>LAST_PRICE</stp>
        <tr r="AD1289" s="1"/>
        <tr r="AD1289" s="1"/>
      </tp>
      <tp>
        <v>0.05</v>
        <stp/>
        <stp>BDP|11408194380165237582|22</stp>
        <stp>NUMI CN Equity</stp>
        <stp>LAST_PRICE</stp>
        <tr r="AD1061" s="1"/>
        <tr r="AD1061" s="1"/>
      </tp>
      <tp>
        <v>0.46839999999999998</v>
        <stp/>
        <stp>BDP|14743483652883158883|22</stp>
        <stp>SNSE US Equity</stp>
        <stp>LAST_PRICE</stp>
        <tr r="AD1333" s="1"/>
        <tr r="AD1333" s="1"/>
      </tp>
      <tp>
        <v>1.1299999999999999</v>
        <stp/>
        <stp>BDP|10447155362307291940|22</stp>
        <stp>MIRA US Equity</stp>
        <stp>LAST_PRICE</stp>
        <tr r="AD963" s="1"/>
        <tr r="AD963" s="1"/>
      </tp>
      <tp>
        <v>6.39</v>
        <stp/>
        <stp>BDP|15626320586985714976|22</stp>
        <stp>BLUE US Equity</stp>
        <stp>LAST_PRICE</stp>
        <tr r="AD292" s="1"/>
        <tr r="AD292" s="1"/>
      </tp>
      <tp>
        <v>0.25</v>
        <stp/>
        <stp>BDP|14266066977817794875|22</stp>
        <stp>EPIC CN Equity</stp>
        <stp>LAST_PRICE</stp>
        <tr r="AD7" s="1"/>
        <tr r="AD7" s="1"/>
      </tp>
      <tp>
        <v>0.53</v>
        <stp/>
        <stp>BDP|12759719216277702328|22</stp>
        <stp>SPRC US Equity</stp>
        <stp>LAST_PRICE</stp>
        <tr r="AD1320" s="1"/>
        <tr r="AD1320" s="1"/>
      </tp>
      <tp>
        <v>4.25</v>
        <stp/>
        <stp>BDP|13003307241132256660|22</stp>
        <stp>MURA US Equity</stp>
        <stp>LAST_PRICE</stp>
        <tr r="AD986" s="1"/>
        <tr r="AD986" s="1"/>
      </tp>
      <tp>
        <v>0.3609</v>
        <stp/>
        <stp>BDP|11161159578544570282|22</stp>
        <stp>ONVO US Equity</stp>
        <stp>LAST_PRICE</stp>
        <tr r="AD1109" s="1"/>
        <tr r="AD1109" s="1"/>
      </tp>
      <tp>
        <v>1.36</v>
        <stp/>
        <stp>BDP|11949728083986370554|22</stp>
        <stp>APYX US Equity</stp>
        <stp>LAST_PRICE</stp>
        <tr r="AD152" s="1"/>
        <tr r="AD152" s="1"/>
      </tp>
      <tp>
        <v>9.9999999999999995E-7</v>
        <stp/>
        <stp>BDP|10542219481399731503|22</stp>
        <stp>ACUS US Equity</stp>
        <stp>LAST_PRICE</stp>
        <tr r="AD41" s="1"/>
        <tr r="AD41" s="1"/>
      </tp>
      <tp>
        <v>0.74739999999999995</v>
        <stp/>
        <stp>BDP|12130305103617477935|22</stp>
        <stp>DRRX US Equity</stp>
        <stp>LAST_PRICE</stp>
        <tr r="AD518" s="1"/>
        <tr r="AD518" s="1"/>
      </tp>
      <tp>
        <v>0.94</v>
        <stp/>
        <stp>BDP|10235023551771360010|22</stp>
        <stp>LVTX US Equity</stp>
        <stp>LAST_PRICE</stp>
        <tr r="AD860" s="1"/>
        <tr r="AD860" s="1"/>
      </tp>
      <tp>
        <v>109.81</v>
        <stp/>
        <stp>BDP|18310045678722160199|22</stp>
        <stp>SRPT US Equity</stp>
        <stp>LAST_PRICE</stp>
        <tr r="AD1310" s="1"/>
        <tr r="AD1310" s="1"/>
      </tp>
      <tp>
        <v>2.5000000000000001E-2</v>
        <stp/>
        <stp>BDP|12273456278203122680|22</stp>
        <stp>WLLW CN Equity</stp>
        <stp>LAST_PRICE</stp>
        <tr r="AD1585" s="1"/>
        <tr r="AD1585" s="1"/>
      </tp>
      <tp>
        <v>1.1599999999999999</v>
        <stp/>
        <stp>BDP|11136447122592612755|22</stp>
        <stp>MLSS US Equity</stp>
        <stp>LAST_PRICE</stp>
        <tr r="AD955" s="1"/>
        <tr r="AD955" s="1"/>
      </tp>
      <tp>
        <v>2.15</v>
        <stp/>
        <stp>BDP|11079487388876700588|22</stp>
        <stp>STXS US Equity</stp>
        <stp>LAST_PRICE</stp>
        <tr r="AD1399" s="1"/>
        <tr r="AD1399" s="1"/>
      </tp>
      <tp>
        <v>0.54779999999999995</v>
        <stp/>
        <stp>BDP|18053875957773357601|22</stp>
        <stp>ELTP US Equity</stp>
        <stp>LAST_PRICE</stp>
        <tr r="AD545" s="1"/>
        <tr r="AD545" s="1"/>
      </tp>
      <tp>
        <v>2.94</v>
        <stp/>
        <stp>BDP|16292540799906512852|22</stp>
        <stp>NRXP US Equity</stp>
        <stp>LAST_PRICE</stp>
        <tr r="AD1059" s="1"/>
        <tr r="AD1059" s="1"/>
      </tp>
      <tp>
        <v>9.9999999999999995E-7</v>
        <stp/>
        <stp>BDP|17909870265850587508|22</stp>
        <stp>ADYX US Equity</stp>
        <stp>LAST_PRICE</stp>
        <tr r="AD59" s="1"/>
        <tr r="AD59" s="1"/>
      </tp>
      <tp>
        <v>1312.6</v>
        <stp/>
        <stp>BDP|353094132812870138|22</stp>
        <stp>MTD US Equity</stp>
        <stp>LAST_PRICE</stp>
        <tr r="AD951" s="1"/>
        <tr r="AD951" s="1"/>
      </tp>
      <tp>
        <v>0.54</v>
        <stp/>
        <stp>BDP|16703164497699644672|22</stp>
        <stp>PINK CN Equity</stp>
        <stp>LAST_PRICE</stp>
        <tr r="AD1148" s="1"/>
        <tr r="AD1148" s="1"/>
      </tp>
      <tp>
        <v>1.93</v>
        <stp/>
        <stp>BDP|15348921616840043742|22</stp>
        <stp>LFWD US Equity</stp>
        <stp>LAST_PRICE</stp>
        <tr r="AD875" s="1"/>
        <tr r="AD875" s="1"/>
      </tp>
      <tp>
        <v>1.37</v>
        <stp/>
        <stp>BDP|11732430073480052970|22</stp>
        <stp>ARTL US Equity</stp>
        <stp>LAST_PRICE</stp>
        <tr r="AD172" s="1"/>
        <tr r="AD172" s="1"/>
      </tp>
      <tp>
        <v>1.58</v>
        <stp/>
        <stp>BDP|17336646550052736029|22</stp>
        <stp>ENVB US Equity</stp>
        <stp>LAST_PRICE</stp>
        <tr r="AD568" s="1"/>
        <tr r="AD568" s="1"/>
      </tp>
      <tp>
        <v>1.83</v>
        <stp/>
        <stp>BDP|18357156461902973529|22</stp>
        <stp>MDXH US Equity</stp>
        <stp>LAST_PRICE</stp>
        <tr r="AD914" s="1"/>
        <tr r="AD914" s="1"/>
      </tp>
      <tp>
        <v>5.9999999999999995E-4</v>
        <stp/>
        <stp>BDP|10138647710870665952|22</stp>
        <stp>CLRD US Equity</stp>
        <stp>LAST_PRICE</stp>
        <tr r="AD408" s="1"/>
        <tr r="AD408" s="1"/>
      </tp>
      <tp>
        <v>0.89749999999999996</v>
        <stp/>
        <stp>BDP|14580503549860405859|22</stp>
        <stp>TNYA US Equity</stp>
        <stp>LAST_PRICE</stp>
        <tr r="AD1449" s="1"/>
        <tr r="AD1449" s="1"/>
      </tp>
      <tp t="s">
        <v>#N/A N/A</v>
        <stp/>
        <stp>BDP|16409664582081472444|22</stp>
        <stp>RMTN US Equity</stp>
        <stp>LAST_PRICE</stp>
        <tr r="AD1295" s="1"/>
      </tp>
      <tp>
        <v>1E-4</v>
        <stp/>
        <stp>BDP|10991591638377857162|22</stp>
        <stp>NMRD US Equity</stp>
        <stp>LAST_PRICE</stp>
        <tr r="AD1012" s="1"/>
        <tr r="AD1012" s="1"/>
      </tp>
      <tp>
        <v>1.0000000000000001E-5</v>
        <stp/>
        <stp>BDP|15372696315768131491|22</stp>
        <stp>CVSC US Equity</stp>
        <stp>LAST_PRICE</stp>
        <tr r="AD350" s="1"/>
        <tr r="AD350" s="1"/>
      </tp>
      <tp>
        <v>1.1200000000000001</v>
        <stp/>
        <stp>BDP|17766722043072661606|22</stp>
        <stp>NMTC US Equity</stp>
        <stp>LAST_PRICE</stp>
        <tr r="AD1029" s="1"/>
        <tr r="AD1029" s="1"/>
      </tp>
      <tp>
        <v>0.21</v>
        <stp/>
        <stp>BDP|14487461808791443734|22</stp>
        <stp>EBYH US Equity</stp>
        <stp>LAST_PRICE</stp>
        <tr r="AD1404" s="1"/>
        <tr r="AD1404" s="1"/>
      </tp>
      <tp>
        <v>9.9999999999999995E-7</v>
        <stp/>
        <stp>BDP|18319719359509232546|22</stp>
        <stp>BNYN US Equity</stp>
        <stp>LAST_PRICE</stp>
        <tr r="AD231" s="1"/>
        <tr r="AD231" s="1"/>
      </tp>
      <tp>
        <v>2.13</v>
        <stp/>
        <stp>BDP|12598822854015495150|22</stp>
        <stp>NIVF US Equity</stp>
        <stp>LAST_PRICE</stp>
        <tr r="AD1036" s="1"/>
        <tr r="AD1036" s="1"/>
      </tp>
      <tp>
        <v>1.82</v>
        <stp/>
        <stp>BDP|10015669768703614984|22</stp>
        <stp>RMTI US Equity</stp>
        <stp>LAST_PRICE</stp>
        <tr r="AD1294" s="1"/>
        <tr r="AD1294" s="1"/>
      </tp>
      <tp>
        <v>24.14</v>
        <stp/>
        <stp>BDP|11920433969313425452|22</stp>
        <stp>PRVA US Equity</stp>
        <stp>LAST_PRICE</stp>
        <tr r="AD1193" s="1"/>
        <tr r="AD1193" s="1"/>
      </tp>
      <tp>
        <v>0.93</v>
        <stp/>
        <stp>BDP|10272582298393627905|22</stp>
        <stp>ATPC US Equity</stp>
        <stp>LAST_PRICE</stp>
        <tr r="AD66" s="1"/>
        <tr r="AD66" s="1"/>
      </tp>
      <tp>
        <v>8.6</v>
        <stp/>
        <stp>BDP|11538703593557032105|22</stp>
        <stp>ATRA US Equity</stp>
        <stp>LAST_PRICE</stp>
        <tr r="AD186" s="1"/>
        <tr r="AD186" s="1"/>
      </tp>
      <tp>
        <v>0.66100000000000003</v>
        <stp/>
        <stp>BDP|18157521146497106827|22</stp>
        <stp>CBRF US Equity</stp>
        <stp>LAST_PRICE</stp>
        <tr r="AD474" s="1"/>
        <tr r="AD474" s="1"/>
      </tp>
      <tp t="s">
        <v>#N/A N/A</v>
        <stp/>
        <stp>BDP|16503505522682768410|22</stp>
        <stp>STHZ CN Equity</stp>
        <stp>LAST_PRICE</stp>
        <tr r="AD1395" s="1"/>
      </tp>
      <tp>
        <v>0.71530499999999997</v>
        <stp/>
        <stp>BDP|12717559578469256780|22</stp>
        <stp>PETV US Equity</stp>
        <stp>LAST_PRICE</stp>
        <tr r="AD1153" s="1"/>
        <tr r="AD1153" s="1"/>
      </tp>
      <tp>
        <v>25.35</v>
        <stp/>
        <stp>BDP|16072041887832345468|22</stp>
        <stp>SGRY US Equity</stp>
        <stp>LAST_PRICE</stp>
        <tr r="AD1415" s="1"/>
        <tr r="AD1415" s="1"/>
      </tp>
      <tp>
        <v>1E-4</v>
        <stp/>
        <stp>BDP|14465788950768536092|22</stp>
        <stp>MOTS US Equity</stp>
        <stp>LAST_PRICE</stp>
        <tr r="AD980" s="1"/>
        <tr r="AD980" s="1"/>
      </tp>
      <tp>
        <v>8.2000000000000003E-2</v>
        <stp/>
        <stp>BDP|13362286581864749313|22</stp>
        <stp>BIXT US Equity</stp>
        <stp>LAST_PRICE</stp>
        <tr r="AD289" s="1"/>
        <tr r="AD289" s="1"/>
      </tp>
      <tp>
        <v>1.4</v>
        <stp/>
        <stp>BDP|32108665535185044|22</stp>
        <stp>NNVC US Equity</stp>
        <stp>LAST_PRICE</stp>
        <tr r="AD1001" s="1"/>
        <tr r="AD1001" s="1"/>
      </tp>
      <tp>
        <v>4.83</v>
        <stp/>
        <stp>BDP|11157836775285693370|22</stp>
        <stp>GDRX US Equity</stp>
        <stp>LAST_PRICE</stp>
        <tr r="AD657" s="1"/>
        <tr r="AD657" s="1"/>
      </tp>
      <tp>
        <v>1.0900000000000001</v>
        <stp/>
        <stp>BDP|15935732247457655871|22</stp>
        <stp>OKYO US Equity</stp>
        <stp>LAST_PRICE</stp>
        <tr r="AD1075" s="1"/>
        <tr r="AD1075" s="1"/>
      </tp>
      <tp t="s">
        <v>#N/A N/A</v>
        <stp/>
        <stp>BDP|16108937173428116731|22</stp>
        <stp>AWKN CN Equity</stp>
        <stp>LAST_PRICE</stp>
        <tr r="AD218" s="1"/>
      </tp>
      <tp>
        <v>21.44</v>
        <stp/>
        <stp>BDP|15363715149334542389|22</stp>
        <stp>PLSE US Equity</stp>
        <stp>LAST_PRICE</stp>
        <tr r="AD1221" s="1"/>
        <tr r="AD1221" s="1"/>
      </tp>
      <tp>
        <v>0.72499999999999998</v>
        <stp/>
        <stp>BDP|15035887083392635311|22</stp>
        <stp>RLYB US Equity</stp>
        <stp>LAST_PRICE</stp>
        <tr r="AD1243" s="1"/>
        <tr r="AD1243" s="1"/>
      </tp>
      <tp>
        <v>2.33</v>
        <stp/>
        <stp>BDP|18106677470095031153|22</stp>
        <stp>SAVA US Equity</stp>
        <stp>LAST_PRICE</stp>
        <tr r="AD363" s="1"/>
        <tr r="AD363" s="1"/>
      </tp>
      <tp>
        <v>3.24</v>
        <stp/>
        <stp>BDP|15220156140375254523|22</stp>
        <stp>BFRG US Equity</stp>
        <stp>LAST_PRICE</stp>
        <tr r="AD311" s="1"/>
        <tr r="AD311" s="1"/>
      </tp>
      <tp>
        <v>0.01</v>
        <stp/>
        <stp>BDP|11856711424297112494|22</stp>
        <stp>AMPE US Equity</stp>
        <stp>LAST_PRICE</stp>
        <tr r="AD124" s="1"/>
        <tr r="AD124" s="1"/>
      </tp>
      <tp>
        <v>0.42899999999999999</v>
        <stp/>
        <stp>BDP|14138740723719398141|22</stp>
        <stp>MITI US Equity</stp>
        <stp>LAST_PRICE</stp>
        <tr r="AD965" s="1"/>
        <tr r="AD965" s="1"/>
      </tp>
      <tp>
        <v>2.01E-2</v>
        <stp/>
        <stp>BDP|18348329827412813192|22</stp>
        <stp>BRRN US Equity</stp>
        <stp>LAST_PRICE</stp>
        <tr r="AD297" s="1"/>
        <tr r="AD297" s="1"/>
      </tp>
      <tp>
        <v>0.25</v>
        <stp/>
        <stp>BDP|15078408969240331611|22</stp>
        <stp>AVCN CN Equity</stp>
        <stp>LAST_PRICE</stp>
        <tr r="AD212" s="1"/>
        <tr r="AD212" s="1"/>
      </tp>
      <tp>
        <v>9.9999999999999995E-7</v>
        <stp/>
        <stp>BDP|15658082191818986719|22</stp>
        <stp>IVRN US Equity</stp>
        <stp>LAST_PRICE</stp>
        <tr r="AD762" s="1"/>
        <tr r="AD762" s="1"/>
      </tp>
      <tp t="s">
        <v>#N/A N/A</v>
        <stp/>
        <stp>BDP|15639605539845512162|22</stp>
        <stp>CPYT US Equity</stp>
        <stp>LAST_PRICE</stp>
        <tr r="AD355" s="1"/>
      </tp>
      <tp>
        <v>22.7</v>
        <stp/>
        <stp>BDP|16371706843743386241|22</stp>
        <stp>CPRX US Equity</stp>
        <stp>LAST_PRICE</stp>
        <tr r="AD365" s="1"/>
        <tr r="AD365" s="1"/>
      </tp>
      <tp>
        <v>0.82492500000000002</v>
        <stp/>
        <stp>BDP|17664431672430637800|22</stp>
        <stp>PRTT US Equity</stp>
        <stp>LAST_PRICE</stp>
        <tr r="AD1209" s="1"/>
        <tr r="AD1209" s="1"/>
      </tp>
      <tp>
        <v>1.3</v>
        <stp/>
        <stp>BDP|13632877544034005128|22</stp>
        <stp>WORX US Equity</stp>
        <stp>LAST_PRICE</stp>
        <tr r="AD1325" s="1"/>
        <tr r="AD1325" s="1"/>
      </tp>
      <tp>
        <v>0.32500000000000001</v>
        <stp/>
        <stp>BDP|17224657407698449547|22</stp>
        <stp>ACUT US Equity</stp>
        <stp>LAST_PRICE</stp>
        <tr r="AD28" s="1"/>
        <tr r="AD28" s="1"/>
      </tp>
      <tp>
        <v>3.85</v>
        <stp/>
        <stp>BDP|15466620302717954668|22</stp>
        <stp>MDCX CN Equity</stp>
        <stp>LAST_PRICE</stp>
        <tr r="AD926" s="1"/>
        <tr r="AD926" s="1"/>
      </tp>
      <tp>
        <v>1.27</v>
        <stp/>
        <stp>BDP|16765811732068763350|22</stp>
        <stp>GOSS US Equity</stp>
        <stp>LAST_PRICE</stp>
        <tr r="AD658" s="1"/>
        <tr r="AD658" s="1"/>
      </tp>
      <tp>
        <v>111.27</v>
        <stp/>
        <stp>BDP|15924184284544287463|22</stp>
        <stp>RVTY US Equity</stp>
        <stp>LAST_PRICE</stp>
        <tr r="AD1287" s="1"/>
        <tr r="AD1287" s="1"/>
      </tp>
      <tp t="s">
        <v>#N/A Requesting Data...1163662982</v>
        <stp/>
        <stp>BDP|5679832218764385441</stp>
        <tr r="AC419" s="1"/>
        <tr r="AC419" s="1"/>
      </tp>
      <tp t="s">
        <v>#N/A Requesting Data...3445469666</v>
        <stp/>
        <stp>BDP|2293257386757870334</stp>
        <tr r="Y1409" s="1"/>
        <tr r="Y1409" s="1"/>
      </tp>
      <tp t="s">
        <v>#N/A Requesting Data...988340894</v>
        <stp/>
        <stp>BDP|8654088742148432823</stp>
        <tr r="AC761" s="1"/>
        <tr r="AC761" s="1"/>
      </tp>
      <tp t="s">
        <v>#N/A Requesting Data...2688177491</v>
        <stp/>
        <stp>BDP|5490380775679703441</stp>
        <tr r="AB51" s="1"/>
        <tr r="AB51" s="1"/>
      </tp>
      <tp t="s">
        <v>#N/A Requesting Data...2867421667</v>
        <stp/>
        <stp>BDP|1714331628418643402</stp>
        <tr r="AC733" s="1"/>
        <tr r="AC733" s="1"/>
      </tp>
      <tp t="s">
        <v>#N/A Requesting Data...699759974</v>
        <stp/>
        <stp>BDP|7655339394930955125</stp>
        <tr r="AC684" s="1"/>
        <tr r="AC684" s="1"/>
      </tp>
      <tp t="s">
        <v>#N/A Requesting Data...3830555172</v>
        <stp/>
        <stp>BDP|9025914230219342684</stp>
        <tr r="Z902" s="1"/>
        <tr r="Z902" s="1"/>
      </tp>
      <tp t="s">
        <v>#N/A Requesting Data...2067210721</v>
        <stp/>
        <stp>BDP|9675830152088562085</stp>
        <tr r="AA1290" s="1"/>
        <tr r="AA1290" s="1"/>
      </tp>
      <tp t="s">
        <v>#N/A Requesting Data...729716581</v>
        <stp/>
        <stp>BDP|5953387369249546573</stp>
        <tr r="AA1455" s="1"/>
        <tr r="AA1455" s="1"/>
      </tp>
      <tp t="s">
        <v>#N/A Requesting Data...4193571092</v>
        <stp/>
        <stp>BDP|7449876109712871185</stp>
        <tr r="AC521" s="1"/>
        <tr r="AC521" s="1"/>
      </tp>
      <tp t="s">
        <v>#N/A Requesting Data...785299906</v>
        <stp/>
        <stp>BDP|2861777857958308403</stp>
        <tr r="Z709" s="1"/>
        <tr r="Z709" s="1"/>
      </tp>
      <tp t="s">
        <v>#N/A Requesting Data...2230603748</v>
        <stp/>
        <stp>BDP|2527157940642397981</stp>
        <tr r="AB962" s="1"/>
        <tr r="AB962" s="1"/>
      </tp>
      <tp t="s">
        <v>#N/A Requesting Data...1627564600</v>
        <stp/>
        <stp>BDP|8774228567728870812</stp>
        <tr r="AC128" s="1"/>
        <tr r="AC128" s="1"/>
      </tp>
      <tp t="s">
        <v>#N/A Requesting Data...2165557429</v>
        <stp/>
        <stp>BDP|9035912225397976968</stp>
        <tr r="Z345" s="1"/>
        <tr r="Z345" s="1"/>
      </tp>
      <tp t="s">
        <v>#N/A Requesting Data...4156357356</v>
        <stp/>
        <stp>BDP|8890854320589538737</stp>
        <tr r="AB479" s="1"/>
        <tr r="AB479" s="1"/>
      </tp>
      <tp t="s">
        <v>#N/A Requesting Data...3691362334</v>
        <stp/>
        <stp>BDP|8812558576195852381</stp>
        <tr r="Y615" s="1"/>
        <tr r="Y615" s="1"/>
      </tp>
      <tp t="s">
        <v>#N/A Requesting Data...2624960829</v>
        <stp/>
        <stp>BDP|4059715227105920842</stp>
        <tr r="AA192" s="1"/>
        <tr r="AA192" s="1"/>
      </tp>
      <tp t="s">
        <v>#N/A Requesting Data...570890425</v>
        <stp/>
        <stp>BDP|1571276852452971822</stp>
        <tr r="AB30" s="1"/>
        <tr r="AB30" s="1"/>
      </tp>
      <tp t="s">
        <v>#N/A Requesting Data...2189182722</v>
        <stp/>
        <stp>BDP|5266783821118014405</stp>
        <tr r="AC673" s="1"/>
        <tr r="AC673" s="1"/>
      </tp>
      <tp t="s">
        <v>#N/A Requesting Data...1494097418</v>
        <stp/>
        <stp>BDP|1619025490675776181</stp>
        <tr r="Y1318" s="1"/>
        <tr r="Y1318" s="1"/>
      </tp>
      <tp t="s">
        <v>#N/A Requesting Data...3549235297</v>
        <stp/>
        <stp>BDP|4284756895542144488</stp>
        <tr r="AC1176" s="1"/>
        <tr r="AC1176" s="1"/>
      </tp>
      <tp t="s">
        <v>#N/A Requesting Data...2176433303</v>
        <stp/>
        <stp>BDP|9604489812511636118</stp>
        <tr r="Y299" s="1"/>
        <tr r="Y299" s="1"/>
      </tp>
      <tp t="s">
        <v>#N/A Requesting Data...3398271396</v>
        <stp/>
        <stp>BDP|3866392050669352091</stp>
        <tr r="Z174" s="1"/>
        <tr r="Z174" s="1"/>
      </tp>
      <tp t="s">
        <v>#N/A Requesting Data...4002187384</v>
        <stp/>
        <stp>BDP|6641746690717848317</stp>
        <tr r="AB1135" s="1"/>
        <tr r="AB1135" s="1"/>
      </tp>
      <tp t="s">
        <v>#N/A Requesting Data...4061924937</v>
        <stp/>
        <stp>BDP|2596428081974736692</stp>
        <tr r="AB1526" s="1"/>
        <tr r="AB1526" s="1"/>
      </tp>
      <tp t="s">
        <v>#N/A Requesting Data...4086664357</v>
        <stp/>
        <stp>BDP|7801678490517327346</stp>
        <tr r="Z110" s="1"/>
        <tr r="Z110" s="1"/>
      </tp>
      <tp t="s">
        <v>#N/A Requesting Data...3584458274</v>
        <stp/>
        <stp>BDP|5084298691882387039</stp>
        <tr r="Z596" s="1"/>
        <tr r="Z596" s="1"/>
      </tp>
      <tp t="s">
        <v>#N/A Requesting Data...541359695</v>
        <stp/>
        <stp>BDP|5063343019599096252</stp>
        <tr r="Y1175" s="1"/>
        <tr r="Y1175" s="1"/>
      </tp>
      <tp t="s">
        <v>#N/A Requesting Data...4199226571</v>
        <stp/>
        <stp>BDP|2706706054188989420</stp>
        <tr r="AA992" s="1"/>
        <tr r="AA992" s="1"/>
      </tp>
      <tp t="s">
        <v>#N/A Requesting Data...3342066574</v>
        <stp/>
        <stp>BDP|9537840442548207194</stp>
        <tr r="Z1609" s="1"/>
        <tr r="Z1609" s="1"/>
      </tp>
      <tp t="s">
        <v>#N/A Requesting Data...2390227370</v>
        <stp/>
        <stp>BDP|4330411298186438365</stp>
        <tr r="Z23" s="1"/>
        <tr r="Z23" s="1"/>
      </tp>
      <tp t="s">
        <v>#N/A Requesting Data...3738871088</v>
        <stp/>
        <stp>BDP|6603276069759946792</stp>
        <tr r="AA1088" s="1"/>
        <tr r="AA1088" s="1"/>
      </tp>
      <tp t="s">
        <v>#N/A Requesting Data...3900338648</v>
        <stp/>
        <stp>BDP|3798586620671263947</stp>
        <tr r="Z122" s="1"/>
        <tr r="Z122" s="1"/>
      </tp>
      <tp t="s">
        <v>#N/A Requesting Data...3260794802</v>
        <stp/>
        <stp>BDP|4361455182223591783</stp>
        <tr r="AC652" s="1"/>
        <tr r="AC652" s="1"/>
      </tp>
      <tp t="s">
        <v>#N/A Requesting Data...4242323463</v>
        <stp/>
        <stp>BDP|6285940660721754487</stp>
        <tr r="Y1129" s="1"/>
        <tr r="Y1129" s="1"/>
      </tp>
      <tp t="s">
        <v>#N/A Requesting Data...3983148595</v>
        <stp/>
        <stp>BDP|2884103266030548920</stp>
        <tr r="AB33" s="1"/>
        <tr r="AB33" s="1"/>
      </tp>
      <tp t="s">
        <v>#N/A Requesting Data...2547048443</v>
        <stp/>
        <stp>BDP|8343864968773604928</stp>
        <tr r="Y1400" s="1"/>
        <tr r="Y1400" s="1"/>
      </tp>
      <tp t="s">
        <v>#N/A Requesting Data...2022460332</v>
        <stp/>
        <stp>BDP|7408415477958898034</stp>
        <tr r="AC636" s="1"/>
      </tp>
      <tp t="s">
        <v>#N/A Requesting Data...1045215030</v>
        <stp/>
        <stp>BDP|2828231390166749356</stp>
        <tr r="Z1044" s="1"/>
        <tr r="Z1044" s="1"/>
      </tp>
      <tp t="s">
        <v>#N/A Requesting Data...2007249220</v>
        <stp/>
        <stp>BDP|7296803349927234003</stp>
        <tr r="AA840" s="1"/>
      </tp>
      <tp t="s">
        <v>#N/A Requesting Data...3990817147</v>
        <stp/>
        <stp>BDP|6060961909014471722</stp>
        <tr r="AB100" s="1"/>
        <tr r="AB100" s="1"/>
      </tp>
      <tp t="s">
        <v>#N/A Requesting Data...3033012337</v>
        <stp/>
        <stp>BDP|6543952444234535382</stp>
        <tr r="Y484" s="1"/>
        <tr r="Y484" s="1"/>
      </tp>
      <tp t="s">
        <v>#N/A Requesting Data...1212466058</v>
        <stp/>
        <stp>BDP|1657198774812310910</stp>
        <tr r="AC303" s="1"/>
        <tr r="AC303" s="1"/>
      </tp>
      <tp t="s">
        <v>#N/A Requesting Data...4264231839</v>
        <stp/>
        <stp>BDP|7840547619096906957</stp>
        <tr r="Y741" s="1"/>
        <tr r="Y741" s="1"/>
      </tp>
      <tp t="s">
        <v>#N/A Requesting Data...1882125495</v>
        <stp/>
        <stp>BDP|6845810378284044185</stp>
        <tr r="Y293" s="1"/>
        <tr r="Y293" s="1"/>
      </tp>
      <tp t="s">
        <v>#N/A Requesting Data...2685362031</v>
        <stp/>
        <stp>BDP|1835721097713636020</stp>
        <tr r="AB499" s="1"/>
        <tr r="AB499" s="1"/>
      </tp>
      <tp t="s">
        <v>#N/A Requesting Data...1198815043</v>
        <stp/>
        <stp>BDP|5264411055910069881</stp>
        <tr r="AC1552" s="1"/>
        <tr r="AC1552" s="1"/>
      </tp>
      <tp t="s">
        <v>#N/A Requesting Data...1771273540</v>
        <stp/>
        <stp>BDP|5732116066827652983</stp>
        <tr r="AB104" s="1"/>
        <tr r="AB104" s="1"/>
      </tp>
      <tp t="s">
        <v>#N/A Requesting Data...1576300895</v>
        <stp/>
        <stp>BDP|6580526036348826472</stp>
        <tr r="Z1379" s="1"/>
        <tr r="Z1379" s="1"/>
      </tp>
      <tp t="s">
        <v>#N/A Requesting Data...596165468</v>
        <stp/>
        <stp>BDP|4133525588875479014</stp>
        <tr r="Y1566" s="1"/>
        <tr r="Y1566" s="1"/>
      </tp>
      <tp t="s">
        <v>#N/A Requesting Data...2014678655</v>
        <stp/>
        <stp>BDP|6442991577982549619</stp>
        <tr r="AA1049" s="1"/>
        <tr r="AA1049" s="1"/>
      </tp>
      <tp t="s">
        <v>#N/A Requesting Data...2472545319</v>
        <stp/>
        <stp>BDP|5661605489170255737</stp>
        <tr r="Z1451" s="1"/>
        <tr r="Z1451" s="1"/>
      </tp>
      <tp t="s">
        <v>#N/A Requesting Data...3613252878</v>
        <stp/>
        <stp>BDP|8780340479588029848</stp>
        <tr r="Z1593" s="1"/>
        <tr r="Z1593" s="1"/>
      </tp>
      <tp t="s">
        <v>#N/A Requesting Data...1299725045</v>
        <stp/>
        <stp>BDP|3060242773979122388</stp>
        <tr r="AA1369" s="1"/>
        <tr r="AA1369" s="1"/>
      </tp>
      <tp t="s">
        <v>#N/A Requesting Data...2310295052</v>
        <stp/>
        <stp>BDP|6963606493290075542</stp>
        <tr r="AA635" s="1"/>
        <tr r="AA635" s="1"/>
      </tp>
      <tp t="s">
        <v>#N/A Requesting Data...3658536063</v>
        <stp/>
        <stp>BDP|9217374758641768243</stp>
        <tr r="AB1542" s="1"/>
        <tr r="AB1542" s="1"/>
      </tp>
      <tp t="s">
        <v>#N/A Requesting Data...3507703245</v>
        <stp/>
        <stp>BDP|8503857256669891011</stp>
        <tr r="AB1307" s="1"/>
        <tr r="AB1307" s="1"/>
      </tp>
      <tp t="s">
        <v>#N/A Requesting Data...3092093277</v>
        <stp/>
        <stp>BDP|8956129026566359115</stp>
        <tr r="AA1494" s="1"/>
        <tr r="AA1494" s="1"/>
      </tp>
      <tp t="s">
        <v>#N/A Requesting Data...3252708354</v>
        <stp/>
        <stp>BDP|6786984229406009790</stp>
        <tr r="Y681" s="1"/>
        <tr r="Y681" s="1"/>
      </tp>
      <tp t="s">
        <v>#N/A Requesting Data...705146039</v>
        <stp/>
        <stp>BDP|4985559954920211851</stp>
        <tr r="AC1052" s="1"/>
        <tr r="AC1052" s="1"/>
      </tp>
      <tp t="s">
        <v>#N/A Requesting Data...3695462544</v>
        <stp/>
        <stp>BDP|9377671343882853501</stp>
        <tr r="AC1614" s="1"/>
        <tr r="AC1614" s="1"/>
      </tp>
      <tp t="s">
        <v>#N/A Requesting Data...1053830563</v>
        <stp/>
        <stp>BDP|6421172177368961429</stp>
        <tr r="Z1555" s="1"/>
        <tr r="Z1555" s="1"/>
      </tp>
      <tp t="s">
        <v>#N/A Requesting Data...3259029638</v>
        <stp/>
        <stp>BDP|6117271184167566785</stp>
        <tr r="Z340" s="1"/>
        <tr r="Z340" s="1"/>
      </tp>
      <tp t="s">
        <v>#N/A Requesting Data...2927129804</v>
        <stp/>
        <stp>BDP|1654584192101609052</stp>
        <tr r="Y1052" s="1"/>
        <tr r="Y1052" s="1"/>
      </tp>
      <tp t="s">
        <v>#N/A Requesting Data...3880523904</v>
        <stp/>
        <stp>BDP|8673498794940318975</stp>
        <tr r="AB588" s="1"/>
        <tr r="AB588" s="1"/>
      </tp>
      <tp t="s">
        <v>#N/A Requesting Data...2986613617</v>
        <stp/>
        <stp>BDP|1773990837064345357</stp>
        <tr r="Z1480" s="1"/>
      </tp>
      <tp t="s">
        <v>#N/A Requesting Data...3622841377</v>
        <stp/>
        <stp>BDP|4372332744248895738</stp>
        <tr r="AA1461" s="1"/>
        <tr r="AA1461" s="1"/>
      </tp>
      <tp t="s">
        <v>#N/A Requesting Data...2873084854</v>
        <stp/>
        <stp>BDP|5782910632592934128</stp>
        <tr r="AA1169" s="1"/>
        <tr r="AA1169" s="1"/>
      </tp>
      <tp t="s">
        <v>#N/A Requesting Data...928109255</v>
        <stp/>
        <stp>BDP|6343245166177580980</stp>
        <tr r="AA1268" s="1"/>
        <tr r="AA1268" s="1"/>
      </tp>
      <tp t="s">
        <v>#N/A Requesting Data...2591606770</v>
        <stp/>
        <stp>BDP|7064498821508659522</stp>
        <tr r="AB1517" s="1"/>
        <tr r="AB1517" s="1"/>
      </tp>
      <tp t="s">
        <v>#N/A Requesting Data...3482021061</v>
        <stp/>
        <stp>BDP|7874228595223456377</stp>
        <tr r="Y518" s="1"/>
        <tr r="Y518" s="1"/>
      </tp>
      <tp t="s">
        <v>#N/A Requesting Data...2100033499</v>
        <stp/>
        <stp>BDP|9284819199424294043</stp>
        <tr r="Y845" s="1"/>
        <tr r="Y845" s="1"/>
      </tp>
      <tp t="s">
        <v>#N/A Requesting Data...1122184793</v>
        <stp/>
        <stp>BDP|8552575901753689291</stp>
        <tr r="AA258" s="1"/>
        <tr r="AA258" s="1"/>
      </tp>
      <tp t="s">
        <v>#N/A Requesting Data...2076780796</v>
        <stp/>
        <stp>BDP|9787932088607954399</stp>
        <tr r="AB1145" s="1"/>
        <tr r="AB1145" s="1"/>
      </tp>
      <tp t="s">
        <v>#N/A Requesting Data...753835058</v>
        <stp/>
        <stp>BDP|7225365799943927289</stp>
        <tr r="AA1101" s="1"/>
        <tr r="AA1101" s="1"/>
      </tp>
      <tp t="s">
        <v>#N/A Requesting Data...1651661177</v>
        <stp/>
        <stp>BDP|3847209761298691333</stp>
        <tr r="Y1122" s="1"/>
        <tr r="Y1122" s="1"/>
      </tp>
      <tp t="s">
        <v>#N/A Requesting Data...2688300392</v>
        <stp/>
        <stp>BDP|2962821366805797562</stp>
        <tr r="Y1484" s="1"/>
        <tr r="Y1484" s="1"/>
      </tp>
      <tp t="s">
        <v>#N/A Requesting Data...3558143785</v>
        <stp/>
        <stp>BDP|2653597240226705947</stp>
        <tr r="Y149" s="1"/>
        <tr r="Y149" s="1"/>
      </tp>
      <tp t="s">
        <v>#N/A Requesting Data...3774420990</v>
        <stp/>
        <stp>BDP|9296245431683296794</stp>
        <tr r="AB66" s="1"/>
        <tr r="AB66" s="1"/>
      </tp>
      <tp t="s">
        <v>#N/A Requesting Data...2990403445</v>
        <stp/>
        <stp>BDP|6321756884417939275</stp>
        <tr r="Z1385" s="1"/>
        <tr r="Z1385" s="1"/>
      </tp>
      <tp t="s">
        <v>#N/A Requesting Data...3407507445</v>
        <stp/>
        <stp>BDP|9145647800885136691</stp>
        <tr r="AC856" s="1"/>
        <tr r="AC856" s="1"/>
      </tp>
      <tp t="s">
        <v>#N/A Requesting Data...2327848561</v>
        <stp/>
        <stp>BDP|1762065797666998225</stp>
        <tr r="AB1316" s="1"/>
        <tr r="AB1316" s="1"/>
      </tp>
      <tp t="s">
        <v>#N/A Requesting Data...1230660287</v>
        <stp/>
        <stp>BDP|3782974607362336496</stp>
        <tr r="AB1362" s="1"/>
        <tr r="AB1362" s="1"/>
      </tp>
      <tp t="s">
        <v>#N/A Requesting Data...1730181095</v>
        <stp/>
        <stp>BDP|9663283516056787027</stp>
        <tr r="AB1377" s="1"/>
        <tr r="AB1377" s="1"/>
      </tp>
      <tp t="s">
        <v>#N/A Requesting Data...3881291532</v>
        <stp/>
        <stp>BDP|8648033559767388622</stp>
        <tr r="AC825" s="1"/>
        <tr r="AC825" s="1"/>
      </tp>
      <tp t="s">
        <v>#N/A Requesting Data...1607726251</v>
        <stp/>
        <stp>BDP|1785716011988381395</stp>
        <tr r="Z82" s="1"/>
        <tr r="Z82" s="1"/>
      </tp>
      <tp t="s">
        <v>#N/A Requesting Data...1166889907</v>
        <stp/>
        <stp>BDP|5663891936670095242</stp>
        <tr r="AB842" s="1"/>
        <tr r="AB842" s="1"/>
      </tp>
      <tp t="s">
        <v>#N/A Requesting Data...2204076265</v>
        <stp/>
        <stp>BDP|4591408760612921818</stp>
        <tr r="Y1334" s="1"/>
        <tr r="Y1334" s="1"/>
      </tp>
      <tp t="s">
        <v>#N/A Requesting Data...2783616447</v>
        <stp/>
        <stp>BDP|7609666968018726328</stp>
        <tr r="Z676" s="1"/>
        <tr r="Z676" s="1"/>
      </tp>
      <tp t="s">
        <v>#N/A Requesting Data...3331756431</v>
        <stp/>
        <stp>BDP|9948631133133286362</stp>
        <tr r="AC712" s="1"/>
        <tr r="AC712" s="1"/>
      </tp>
      <tp t="s">
        <v>#N/A Requesting Data...1834889309</v>
        <stp/>
        <stp>BDP|7324963574586520397</stp>
        <tr r="AB1618" s="1"/>
        <tr r="AB1618" s="1"/>
      </tp>
      <tp t="s">
        <v>#N/A Requesting Data...2045053210</v>
        <stp/>
        <stp>BDP|4907405727748070635</stp>
        <tr r="Z386" s="1"/>
        <tr r="Z386" s="1"/>
      </tp>
      <tp t="s">
        <v>#N/A Requesting Data...1259931950</v>
        <stp/>
        <stp>BDP|2750756024288938321</stp>
        <tr r="AC1015" s="1"/>
        <tr r="AC1015" s="1"/>
      </tp>
      <tp t="s">
        <v>#N/A Requesting Data...1572753546</v>
        <stp/>
        <stp>BDP|9006091521754330367</stp>
        <tr r="AB498" s="1"/>
        <tr r="AB498" s="1"/>
      </tp>
      <tp t="s">
        <v>#N/A Requesting Data...2915505514</v>
        <stp/>
        <stp>BDP|5197662398642401468</stp>
        <tr r="AB759" s="1"/>
      </tp>
      <tp t="s">
        <v>#N/A Requesting Data...3011028812</v>
        <stp/>
        <stp>BDP|1929250304208371762</stp>
        <tr r="AB424" s="1"/>
        <tr r="AB424" s="1"/>
      </tp>
      <tp t="s">
        <v>#N/A Requesting Data...1905520602</v>
        <stp/>
        <stp>BDP|4739980226785163656</stp>
        <tr r="Z230" s="1"/>
      </tp>
      <tp t="s">
        <v>#N/A Requesting Data...1699820586</v>
        <stp/>
        <stp>BDP|4805433277448941384</stp>
        <tr r="AB199" s="1"/>
      </tp>
      <tp t="s">
        <v>#N/A Requesting Data...3206983270</v>
        <stp/>
        <stp>BDP|2391093178711932868</stp>
        <tr r="Y1044" s="1"/>
        <tr r="Y1044" s="1"/>
      </tp>
      <tp t="s">
        <v>#N/A Requesting Data...980573603</v>
        <stp/>
        <stp>BDP|5785355880753460145</stp>
        <tr r="Y1374" s="1"/>
        <tr r="Y1374" s="1"/>
      </tp>
      <tp t="s">
        <v>#N/A Requesting Data...3845872445</v>
        <stp/>
        <stp>BDP|6534539035714331826</stp>
        <tr r="AB590" s="1"/>
        <tr r="AB590" s="1"/>
      </tp>
      <tp t="s">
        <v>#N/A Requesting Data...2517874923</v>
        <stp/>
        <stp>BDP|9825944519824531925</stp>
        <tr r="Y320" s="1"/>
        <tr r="Y320" s="1"/>
      </tp>
      <tp t="s">
        <v>#N/A Requesting Data...4255490875</v>
        <stp/>
        <stp>BDP|6289971074447511364</stp>
        <tr r="Z24" s="1"/>
        <tr r="Z24" s="1"/>
      </tp>
      <tp t="s">
        <v>#N/A Requesting Data...4071421148</v>
        <stp/>
        <stp>BDP|1068877251720045048</stp>
        <tr r="Y1022" s="1"/>
        <tr r="Y1022" s="1"/>
      </tp>
      <tp t="s">
        <v>#N/A Requesting Data...3172871053</v>
        <stp/>
        <stp>BDP|6477303082894656523</stp>
        <tr r="AA878" s="1"/>
        <tr r="AA878" s="1"/>
      </tp>
      <tp t="s">
        <v>#N/A Requesting Data...3712096557</v>
        <stp/>
        <stp>BDP|6894624127476851870</stp>
        <tr r="AC370" s="1"/>
        <tr r="AC370" s="1"/>
      </tp>
      <tp t="s">
        <v>#N/A Requesting Data...1214723701</v>
        <stp/>
        <stp>BDP|1501969741824758478</stp>
        <tr r="Y470" s="1"/>
        <tr r="Y470" s="1"/>
      </tp>
      <tp t="s">
        <v>#N/A Requesting Data...3165191965</v>
        <stp/>
        <stp>BDP|4759809402821486130</stp>
        <tr r="Z855" s="1"/>
        <tr r="Z855" s="1"/>
      </tp>
      <tp t="s">
        <v>#N/A Requesting Data...924572534</v>
        <stp/>
        <stp>BDP|8815753119827321557</stp>
        <tr r="Z1419" s="1"/>
        <tr r="Z1419" s="1"/>
      </tp>
      <tp t="s">
        <v>#N/A Requesting Data...2859580167</v>
        <stp/>
        <stp>BDP|3416688332368961253</stp>
        <tr r="Y1259" s="1"/>
        <tr r="Y1259" s="1"/>
      </tp>
      <tp t="s">
        <v>#N/A Requesting Data...1178572827</v>
        <stp/>
        <stp>BDP|7269463507517060819</stp>
        <tr r="AC555" s="1"/>
        <tr r="AC555" s="1"/>
      </tp>
      <tp t="s">
        <v>#N/A Requesting Data...4176086221</v>
        <stp/>
        <stp>BDP|3168060044959918280</stp>
        <tr r="AB787" s="1"/>
        <tr r="AB787" s="1"/>
      </tp>
      <tp t="s">
        <v>#N/A Requesting Data...3956863652</v>
        <stp/>
        <stp>BDP|6312443541092207863</stp>
        <tr r="AC485" s="1"/>
        <tr r="AC485" s="1"/>
      </tp>
      <tp t="s">
        <v>#N/A Requesting Data...2626996404</v>
        <stp/>
        <stp>BDP|7429901539438609997</stp>
        <tr r="AA709" s="1"/>
        <tr r="AA709" s="1"/>
      </tp>
      <tp t="s">
        <v>#N/A Requesting Data...943329964</v>
        <stp/>
        <stp>BDP|7641346688035114593</stp>
        <tr r="Y1332" s="1"/>
        <tr r="Y1332" s="1"/>
      </tp>
      <tp t="s">
        <v>#N/A Requesting Data...3991364535</v>
        <stp/>
        <stp>BDP|7066523435205356860</stp>
        <tr r="Z451" s="1"/>
        <tr r="Z451" s="1"/>
      </tp>
      <tp t="s">
        <v>#N/A Requesting Data...2346230396</v>
        <stp/>
        <stp>BDP|2192080201528967638</stp>
        <tr r="Y1285" s="1"/>
        <tr r="Y1285" s="1"/>
      </tp>
      <tp t="s">
        <v>#N/A Requesting Data...4104034308</v>
        <stp/>
        <stp>BDP|2634940665893512208</stp>
        <tr r="Z127" s="1"/>
        <tr r="Z127" s="1"/>
      </tp>
      <tp t="s">
        <v>#N/A Requesting Data...3795753031</v>
        <stp/>
        <stp>BDP|2920624209788679063</stp>
        <tr r="AB80" s="1"/>
        <tr r="AB80" s="1"/>
      </tp>
      <tp t="s">
        <v>#N/A Requesting Data...3177967472</v>
        <stp/>
        <stp>BDP|9934595842211265527</stp>
        <tr r="AC720" s="1"/>
        <tr r="AC720" s="1"/>
      </tp>
      <tp t="s">
        <v>#N/A Requesting Data...2352219504</v>
        <stp/>
        <stp>BDP|6463126418103873942</stp>
        <tr r="Y994" s="1"/>
        <tr r="Y994" s="1"/>
      </tp>
      <tp t="s">
        <v>#N/A Requesting Data...2004548229</v>
        <stp/>
        <stp>BDP|1957829948967226633</stp>
        <tr r="AB1119" s="1"/>
        <tr r="AB1119" s="1"/>
      </tp>
      <tp t="s">
        <v>#N/A Requesting Data...774228141</v>
        <stp/>
        <stp>BDP|9633211709001433686</stp>
        <tr r="Y74" s="1"/>
        <tr r="Y74" s="1"/>
      </tp>
      <tp t="s">
        <v>#N/A Requesting Data...1964469243</v>
        <stp/>
        <stp>BDP|4291838409909976938</stp>
        <tr r="Y865" s="1"/>
        <tr r="Y865" s="1"/>
      </tp>
      <tp t="s">
        <v>#N/A Requesting Data...3654175253</v>
        <stp/>
        <stp>BDP|4119847785968583070</stp>
        <tr r="AB205" s="1"/>
        <tr r="AB205" s="1"/>
      </tp>
      <tp t="s">
        <v>#N/A Requesting Data...2716134805</v>
        <stp/>
        <stp>BDP|9638408775997847190</stp>
        <tr r="Z1022" s="1"/>
        <tr r="Z1022" s="1"/>
      </tp>
      <tp t="s">
        <v>#N/A Requesting Data...3309234656</v>
        <stp/>
        <stp>BDP|2331861577484289537</stp>
        <tr r="AC372" s="1"/>
        <tr r="AC372" s="1"/>
      </tp>
      <tp t="s">
        <v>#N/A Requesting Data...2126099544</v>
        <stp/>
        <stp>BDP|3345373027828144611</stp>
        <tr r="AC871" s="1"/>
        <tr r="AC871" s="1"/>
      </tp>
      <tp t="s">
        <v>#N/A Requesting Data...3419700351</v>
        <stp/>
        <stp>BDP|9821711985773998960</stp>
        <tr r="AB139" s="1"/>
        <tr r="AB139" s="1"/>
      </tp>
      <tp t="s">
        <v>#N/A Requesting Data...2176681126</v>
        <stp/>
        <stp>BDP|1263560277559697666</stp>
        <tr r="AA795" s="1"/>
      </tp>
      <tp t="s">
        <v>#N/A Requesting Data...2879587216</v>
        <stp/>
        <stp>BDP|8293755021821012059</stp>
        <tr r="Y939" s="1"/>
        <tr r="Y939" s="1"/>
      </tp>
      <tp t="s">
        <v>#N/A Requesting Data...3834332730</v>
        <stp/>
        <stp>BDP|1079389189775432366</stp>
        <tr r="Y351" s="1"/>
        <tr r="Y351" s="1"/>
      </tp>
      <tp t="s">
        <v>#N/A Requesting Data...1050299697</v>
        <stp/>
        <stp>BDP|1553925942763734314</stp>
        <tr r="AC1288" s="1"/>
        <tr r="AC1288" s="1"/>
      </tp>
      <tp t="s">
        <v>#N/A Requesting Data...3340316713</v>
        <stp/>
        <stp>BDP|9217091031254085298</stp>
        <tr r="Y182" s="1"/>
        <tr r="Y182" s="1"/>
      </tp>
      <tp t="s">
        <v>#N/A Requesting Data...859898467</v>
        <stp/>
        <stp>BDP|3650959627850360440</stp>
        <tr r="Y1194" s="1"/>
        <tr r="Y1194" s="1"/>
      </tp>
      <tp t="s">
        <v>#N/A Requesting Data...4118605614</v>
        <stp/>
        <stp>BDP|8700170712865792164</stp>
        <tr r="AC1481" s="1"/>
        <tr r="AC1481" s="1"/>
      </tp>
      <tp t="s">
        <v>#N/A Requesting Data...1865727514</v>
        <stp/>
        <stp>BDP|9277324366038709826</stp>
        <tr r="Y268" s="1"/>
        <tr r="Y268" s="1"/>
      </tp>
      <tp t="s">
        <v>#N/A Requesting Data...4085060814</v>
        <stp/>
        <stp>BDP|2056611891149295818</stp>
        <tr r="Y1031" s="1"/>
        <tr r="Y1031" s="1"/>
      </tp>
      <tp t="s">
        <v>#N/A Requesting Data...1951774169</v>
        <stp/>
        <stp>BDP|8102207177610301166</stp>
        <tr r="AA933" s="1"/>
        <tr r="AA933" s="1"/>
      </tp>
      <tp t="s">
        <v>#N/A Requesting Data...3160383297</v>
        <stp/>
        <stp>BDP|4182626142828276207</stp>
        <tr r="AC1238" s="1"/>
        <tr r="AC1238" s="1"/>
      </tp>
      <tp t="s">
        <v>#N/A Requesting Data...4034616513</v>
        <stp/>
        <stp>BDP|1748714799340903355</stp>
        <tr r="Y687" s="1"/>
        <tr r="Y687" s="1"/>
      </tp>
      <tp t="s">
        <v>#N/A Requesting Data...2706547842</v>
        <stp/>
        <stp>BDP|7052314752684769948</stp>
        <tr r="AA569" s="1"/>
        <tr r="AA569" s="1"/>
      </tp>
      <tp t="s">
        <v>#N/A Requesting Data...2344666256</v>
        <stp/>
        <stp>BDP|9811788550741740675</stp>
        <tr r="AA354" s="1"/>
        <tr r="AA354" s="1"/>
      </tp>
      <tp t="s">
        <v>#N/A Requesting Data...3590431929</v>
        <stp/>
        <stp>BDP|9104128626467650137</stp>
        <tr r="AC177" s="1"/>
        <tr r="AC177" s="1"/>
      </tp>
      <tp t="s">
        <v>#N/A Requesting Data...1601589226</v>
        <stp/>
        <stp>BDP|4456748785210356764</stp>
        <tr r="AA1386" s="1"/>
        <tr r="AA1386" s="1"/>
      </tp>
      <tp t="s">
        <v>#N/A Requesting Data...3267162294</v>
        <stp/>
        <stp>BDP|8286836010735798861</stp>
        <tr r="Z1014" s="1"/>
        <tr r="Z1014" s="1"/>
      </tp>
      <tp t="s">
        <v>#N/A Requesting Data...4008465177</v>
        <stp/>
        <stp>BDP|1602926730691101653</stp>
        <tr r="AB149" s="1"/>
        <tr r="AB149" s="1"/>
      </tp>
      <tp t="s">
        <v>#N/A Requesting Data...1571087260</v>
        <stp/>
        <stp>BDP|4255804101406009637</stp>
        <tr r="AB134" s="1"/>
        <tr r="AB134" s="1"/>
      </tp>
      <tp t="s">
        <v>#N/A Requesting Data...1591366121</v>
        <stp/>
        <stp>BDP|8814656099952300978</stp>
        <tr r="AA380" s="1"/>
        <tr r="AA380" s="1"/>
      </tp>
      <tp t="s">
        <v>#N/A Requesting Data...4071566679</v>
        <stp/>
        <stp>BDP|6451872767786215267</stp>
        <tr r="Z514" s="1"/>
        <tr r="Z514" s="1"/>
      </tp>
      <tp t="s">
        <v>#N/A Requesting Data...4271081510</v>
        <stp/>
        <stp>BDP|7665577240812787878</stp>
        <tr r="Z1558" s="1"/>
        <tr r="Z1558" s="1"/>
      </tp>
      <tp t="s">
        <v>#N/A Requesting Data...1718284255</v>
        <stp/>
        <stp>BDP|5473170621882630855</stp>
        <tr r="AB525" s="1"/>
        <tr r="AB525" s="1"/>
      </tp>
      <tp t="s">
        <v>#N/A Requesting Data...3855801678</v>
        <stp/>
        <stp>BDP|7483381193181914071</stp>
        <tr r="AD1623" s="1"/>
        <tr r="AD1624" s="1"/>
        <tr r="AD1625" s="1"/>
        <tr r="AD1626" s="1"/>
        <tr r="AD1627" s="1"/>
        <tr r="AD1628" s="1"/>
        <tr r="AD1629" s="1"/>
        <tr r="AD1630" s="1"/>
        <tr r="AD1631" s="1"/>
        <tr r="AD1632" s="1"/>
        <tr r="AD1633" s="1"/>
        <tr r="AD1634" s="1"/>
        <tr r="AD1635" s="1"/>
        <tr r="AD1636" s="1"/>
        <tr r="AD1637" s="1"/>
        <tr r="AD1638" s="1"/>
        <tr r="AD1639" s="1"/>
        <tr r="AD1640" s="1"/>
        <tr r="AD1641" s="1"/>
        <tr r="AD1642" s="1"/>
        <tr r="AD1643" s="1"/>
        <tr r="AD1644" s="1"/>
        <tr r="AD1645" s="1"/>
        <tr r="AD1646" s="1"/>
        <tr r="AD1647" s="1"/>
        <tr r="AD1648" s="1"/>
        <tr r="AD1649" s="1"/>
        <tr r="AD1650" s="1"/>
        <tr r="AD1651" s="1"/>
        <tr r="AD1652" s="1"/>
        <tr r="AD1653" s="1"/>
        <tr r="AD1654" s="1"/>
        <tr r="AD1655" s="1"/>
        <tr r="AD1656" s="1"/>
        <tr r="AD1657" s="1"/>
        <tr r="AD1658" s="1"/>
        <tr r="AD1659" s="1"/>
        <tr r="AD1660" s="1"/>
        <tr r="AD1661" s="1"/>
        <tr r="AD1662" s="1"/>
        <tr r="AD1663" s="1"/>
        <tr r="AD1664" s="1"/>
        <tr r="AD1665" s="1"/>
        <tr r="AD1666" s="1"/>
        <tr r="AD1667" s="1"/>
        <tr r="AD1668" s="1"/>
        <tr r="AD1669" s="1"/>
        <tr r="AD1670" s="1"/>
        <tr r="AD1671" s="1"/>
        <tr r="AD1672" s="1"/>
        <tr r="AD1673" s="1"/>
        <tr r="AD1674" s="1"/>
        <tr r="AD1675" s="1"/>
        <tr r="AD1676" s="1"/>
        <tr r="AD1677" s="1"/>
        <tr r="AD1678" s="1"/>
        <tr r="AD1679" s="1"/>
        <tr r="AD1680" s="1"/>
        <tr r="AD1681" s="1"/>
        <tr r="AD1682" s="1"/>
        <tr r="AD1683" s="1"/>
        <tr r="AD1684" s="1"/>
        <tr r="AD1685" s="1"/>
        <tr r="AD1686" s="1"/>
        <tr r="AD1687" s="1"/>
        <tr r="AD1688" s="1"/>
        <tr r="AD1689" s="1"/>
        <tr r="AD1690" s="1"/>
        <tr r="AD1691" s="1"/>
        <tr r="AD1692" s="1"/>
        <tr r="AD1693" s="1"/>
        <tr r="AD1694" s="1"/>
        <tr r="AD1695" s="1"/>
        <tr r="AD1696" s="1"/>
        <tr r="AD1697" s="1"/>
        <tr r="AD1698" s="1"/>
        <tr r="AD1699" s="1"/>
        <tr r="AD1700" s="1"/>
        <tr r="AD1701" s="1"/>
        <tr r="AD1702" s="1"/>
        <tr r="AD1703" s="1"/>
        <tr r="AD1704" s="1"/>
        <tr r="AD1705" s="1"/>
        <tr r="AD1706" s="1"/>
        <tr r="AD1707" s="1"/>
        <tr r="AD1708" s="1"/>
        <tr r="AD1709" s="1"/>
        <tr r="AD1710" s="1"/>
        <tr r="AD1711" s="1"/>
        <tr r="AD1712" s="1"/>
        <tr r="AD1713" s="1"/>
        <tr r="AD1714" s="1"/>
        <tr r="AD1715" s="1"/>
        <tr r="AD1716" s="1"/>
        <tr r="AD1717" s="1"/>
        <tr r="AD1718" s="1"/>
        <tr r="AD1719" s="1"/>
        <tr r="AD1720" s="1"/>
        <tr r="AD1721" s="1"/>
        <tr r="AD1722" s="1"/>
        <tr r="AD1723" s="1"/>
        <tr r="AD1724" s="1"/>
        <tr r="AD1725" s="1"/>
        <tr r="AD1726" s="1"/>
        <tr r="AD1727" s="1"/>
        <tr r="AD1728" s="1"/>
        <tr r="AD1729" s="1"/>
        <tr r="AD1730" s="1"/>
        <tr r="AD1731" s="1"/>
        <tr r="AD1732" s="1"/>
        <tr r="AD1733" s="1"/>
        <tr r="AD1734" s="1"/>
        <tr r="AD1735" s="1"/>
        <tr r="AD1736" s="1"/>
        <tr r="AD1737" s="1"/>
        <tr r="AD1738" s="1"/>
        <tr r="AD1739" s="1"/>
        <tr r="AD1740" s="1"/>
        <tr r="AD1741" s="1"/>
        <tr r="AD1742" s="1"/>
        <tr r="AD1743" s="1"/>
        <tr r="AD1744" s="1"/>
        <tr r="AD1745" s="1"/>
        <tr r="AD1746" s="1"/>
        <tr r="AD1747" s="1"/>
        <tr r="AD1748" s="1"/>
        <tr r="AD1749" s="1"/>
        <tr r="AD1750" s="1"/>
        <tr r="AD1751" s="1"/>
        <tr r="AD1752" s="1"/>
        <tr r="AD1753" s="1"/>
        <tr r="AD1754" s="1"/>
        <tr r="AD1755" s="1"/>
        <tr r="AD1756" s="1"/>
        <tr r="AD1757" s="1"/>
        <tr r="AD1758" s="1"/>
        <tr r="AD1759" s="1"/>
        <tr r="AD1760" s="1"/>
        <tr r="AD1761" s="1"/>
        <tr r="AD1762" s="1"/>
        <tr r="AD1763" s="1"/>
        <tr r="AD1764" s="1"/>
        <tr r="AD1765" s="1"/>
        <tr r="AD1766" s="1"/>
        <tr r="AD1767" s="1"/>
        <tr r="AD1768" s="1"/>
        <tr r="AD1769" s="1"/>
        <tr r="AD1770" s="1"/>
        <tr r="AD1771" s="1"/>
        <tr r="AD1772" s="1"/>
        <tr r="AD1773" s="1"/>
        <tr r="AD1774" s="1"/>
        <tr r="AD1775" s="1"/>
        <tr r="AD1776" s="1"/>
        <tr r="AD1777" s="1"/>
        <tr r="AD1778" s="1"/>
        <tr r="AD1779" s="1"/>
        <tr r="AD1780" s="1"/>
        <tr r="AD1781" s="1"/>
        <tr r="AD1782" s="1"/>
        <tr r="AD1783" s="1"/>
        <tr r="AD1784" s="1"/>
        <tr r="AD1785" s="1"/>
        <tr r="AD1786" s="1"/>
        <tr r="AD1787" s="1"/>
        <tr r="AD1788" s="1"/>
        <tr r="AD1789" s="1"/>
        <tr r="AD1790" s="1"/>
        <tr r="AD1791" s="1"/>
        <tr r="AD1792" s="1"/>
        <tr r="AD1793" s="1"/>
        <tr r="AD1794" s="1"/>
        <tr r="AD1795" s="1"/>
        <tr r="AD1796" s="1"/>
        <tr r="AD1797" s="1"/>
        <tr r="AD1798" s="1"/>
        <tr r="AD1799" s="1"/>
        <tr r="AD1800" s="1"/>
        <tr r="AD1801" s="1"/>
        <tr r="AD1802" s="1"/>
        <tr r="AD1803" s="1"/>
        <tr r="AD1804" s="1"/>
        <tr r="AD1805" s="1"/>
        <tr r="AD1806" s="1"/>
        <tr r="AD1807" s="1"/>
        <tr r="AD1808" s="1"/>
        <tr r="AD1809" s="1"/>
        <tr r="AD1810" s="1"/>
        <tr r="AD1811" s="1"/>
        <tr r="AD1812" s="1"/>
        <tr r="AD1813" s="1"/>
        <tr r="AD1814" s="1"/>
        <tr r="AD1815" s="1"/>
        <tr r="AD1816" s="1"/>
        <tr r="AD1817" s="1"/>
        <tr r="AD1818" s="1"/>
        <tr r="AD1819" s="1"/>
        <tr r="AD1820" s="1"/>
        <tr r="AD1821" s="1"/>
        <tr r="AD1822" s="1"/>
        <tr r="AD1823" s="1"/>
        <tr r="AD1824" s="1"/>
        <tr r="AD1825" s="1"/>
        <tr r="AD1826" s="1"/>
        <tr r="AD1827" s="1"/>
        <tr r="AD1828" s="1"/>
        <tr r="AD1829" s="1"/>
        <tr r="AD1830" s="1"/>
        <tr r="AD1831" s="1"/>
        <tr r="AD1832" s="1"/>
        <tr r="AD1833" s="1"/>
        <tr r="AD1834" s="1"/>
        <tr r="AD1835" s="1"/>
        <tr r="AD1836" s="1"/>
        <tr r="AD1837" s="1"/>
        <tr r="AD1838" s="1"/>
        <tr r="AD1839" s="1"/>
        <tr r="AD1840" s="1"/>
        <tr r="AD1841" s="1"/>
        <tr r="AD1842" s="1"/>
        <tr r="AD1843" s="1"/>
        <tr r="AD1844" s="1"/>
        <tr r="AD1845" s="1"/>
        <tr r="AD1846" s="1"/>
        <tr r="AD1847" s="1"/>
        <tr r="AD1848" s="1"/>
        <tr r="AD1849" s="1"/>
        <tr r="AD1850" s="1"/>
        <tr r="AD1851" s="1"/>
        <tr r="AD1852" s="1"/>
        <tr r="AD1853" s="1"/>
        <tr r="AD1854" s="1"/>
        <tr r="AD1855" s="1"/>
        <tr r="AD1856" s="1"/>
        <tr r="AD1857" s="1"/>
        <tr r="AD1858" s="1"/>
        <tr r="AD1859" s="1"/>
        <tr r="AD1860" s="1"/>
        <tr r="AD1861" s="1"/>
        <tr r="AD1862" s="1"/>
        <tr r="AD1863" s="1"/>
        <tr r="AD1864" s="1"/>
        <tr r="AD1865" s="1"/>
        <tr r="AD1866" s="1"/>
        <tr r="AD1867" s="1"/>
        <tr r="AD1868" s="1"/>
        <tr r="AD1869" s="1"/>
        <tr r="AD1870" s="1"/>
        <tr r="AD1871" s="1"/>
        <tr r="AD1872" s="1"/>
        <tr r="AD1873" s="1"/>
        <tr r="AD1874" s="1"/>
        <tr r="AD1875" s="1"/>
        <tr r="AD1876" s="1"/>
        <tr r="AD1877" s="1"/>
        <tr r="AD1878" s="1"/>
        <tr r="AD1879" s="1"/>
        <tr r="AD1880" s="1"/>
        <tr r="AD1881" s="1"/>
        <tr r="AD1882" s="1"/>
        <tr r="AD1883" s="1"/>
        <tr r="AD1884" s="1"/>
        <tr r="AD1885" s="1"/>
        <tr r="AD1886" s="1"/>
        <tr r="AD1887" s="1"/>
        <tr r="AD1888" s="1"/>
        <tr r="AD1889" s="1"/>
        <tr r="AD1890" s="1"/>
        <tr r="AD1891" s="1"/>
        <tr r="AD1892" s="1"/>
        <tr r="AD1893" s="1"/>
        <tr r="AD1894" s="1"/>
        <tr r="AD1895" s="1"/>
        <tr r="AD1896" s="1"/>
        <tr r="AD1897" s="1"/>
        <tr r="AD1898" s="1"/>
        <tr r="AD1899" s="1"/>
        <tr r="AD1900" s="1"/>
        <tr r="AD1901" s="1"/>
        <tr r="AD1902" s="1"/>
        <tr r="AD1903" s="1"/>
        <tr r="AD1904" s="1"/>
        <tr r="AD1905" s="1"/>
        <tr r="AD1906" s="1"/>
        <tr r="AD1907" s="1"/>
        <tr r="AD1908" s="1"/>
        <tr r="AD1909" s="1"/>
        <tr r="AD1910" s="1"/>
        <tr r="AD1911" s="1"/>
        <tr r="AD1912" s="1"/>
        <tr r="AD1913" s="1"/>
        <tr r="AD1914" s="1"/>
        <tr r="AD1915" s="1"/>
        <tr r="AD1916" s="1"/>
        <tr r="AD1917" s="1"/>
        <tr r="AD1918" s="1"/>
        <tr r="AD1919" s="1"/>
        <tr r="AD1920" s="1"/>
        <tr r="AD1921" s="1"/>
        <tr r="AD1922" s="1"/>
        <tr r="AD1923" s="1"/>
        <tr r="AD1924" s="1"/>
        <tr r="AD1925" s="1"/>
        <tr r="AD1926" s="1"/>
        <tr r="AD1927" s="1"/>
        <tr r="AD1928" s="1"/>
        <tr r="AD1929" s="1"/>
        <tr r="AD1930" s="1"/>
        <tr r="AD1931" s="1"/>
        <tr r="AD1932" s="1"/>
        <tr r="AD1933" s="1"/>
        <tr r="AD1934" s="1"/>
        <tr r="AD1935" s="1"/>
        <tr r="AD1936" s="1"/>
        <tr r="AD1937" s="1"/>
        <tr r="AD1938" s="1"/>
        <tr r="AD1939" s="1"/>
        <tr r="AD1940" s="1"/>
        <tr r="AD1941" s="1"/>
        <tr r="AD1942" s="1"/>
        <tr r="AD1943" s="1"/>
        <tr r="AD1944" s="1"/>
        <tr r="AD1945" s="1"/>
        <tr r="AD1946" s="1"/>
        <tr r="AD1947" s="1"/>
        <tr r="AD1948" s="1"/>
        <tr r="AD1949" s="1"/>
        <tr r="AD1950" s="1"/>
        <tr r="AD1951" s="1"/>
        <tr r="AD1952" s="1"/>
        <tr r="AD1953" s="1"/>
        <tr r="AD1954" s="1"/>
        <tr r="AD1955" s="1"/>
        <tr r="AD1956" s="1"/>
        <tr r="AD1957" s="1"/>
        <tr r="AD1958" s="1"/>
        <tr r="AD1959" s="1"/>
        <tr r="AD1960" s="1"/>
        <tr r="AD1961" s="1"/>
        <tr r="AD1962" s="1"/>
        <tr r="AD1963" s="1"/>
        <tr r="AD1964" s="1"/>
        <tr r="AD1965" s="1"/>
        <tr r="AD1966" s="1"/>
        <tr r="AD1967" s="1"/>
        <tr r="AD1968" s="1"/>
        <tr r="AD1969" s="1"/>
        <tr r="AD1970" s="1"/>
        <tr r="AD1971" s="1"/>
        <tr r="AD1972" s="1"/>
        <tr r="AD1973" s="1"/>
        <tr r="AD1974" s="1"/>
        <tr r="AD1975" s="1"/>
        <tr r="AD1976" s="1"/>
        <tr r="AD1977" s="1"/>
        <tr r="AD1978" s="1"/>
        <tr r="AD1979" s="1"/>
        <tr r="AD1980" s="1"/>
        <tr r="AD1981" s="1"/>
        <tr r="AD1982" s="1"/>
        <tr r="AD1983" s="1"/>
        <tr r="AD1984" s="1"/>
        <tr r="AD1985" s="1"/>
        <tr r="AD1986" s="1"/>
        <tr r="AD1987" s="1"/>
        <tr r="AD1988" s="1"/>
        <tr r="AD1989" s="1"/>
        <tr r="AD1990" s="1"/>
        <tr r="AD1991" s="1"/>
        <tr r="AD1992" s="1"/>
        <tr r="AD1993" s="1"/>
        <tr r="AD1994" s="1"/>
        <tr r="AD1995" s="1"/>
        <tr r="AD1996" s="1"/>
        <tr r="AD1997" s="1"/>
        <tr r="AD1998" s="1"/>
        <tr r="AD1999" s="1"/>
        <tr r="AD2000" s="1"/>
        <tr r="AD2001" s="1"/>
      </tp>
      <tp t="s">
        <v>#N/A Requesting Data...825368504</v>
        <stp/>
        <stp>BDP|7539289589355436412</stp>
        <tr r="AC1369" s="1"/>
      </tp>
      <tp t="s">
        <v>#N/A Requesting Data...1020713502</v>
        <stp/>
        <stp>BDP|4874935656996451286</stp>
        <tr r="AA959" s="1"/>
        <tr r="AA959" s="1"/>
      </tp>
      <tp t="s">
        <v>#N/A Requesting Data...1440411122</v>
        <stp/>
        <stp>BDP|3651901072694113548</stp>
        <tr r="AC276" s="1"/>
        <tr r="AC276" s="1"/>
      </tp>
      <tp t="s">
        <v>#N/A Requesting Data...1953875047</v>
        <stp/>
        <stp>BDP|6082470845559313301</stp>
        <tr r="Y487" s="1"/>
        <tr r="Y487" s="1"/>
      </tp>
      <tp t="s">
        <v>#N/A Requesting Data...1195181262</v>
        <stp/>
        <stp>BDP|1195816866383305040</stp>
        <tr r="AC196" s="1"/>
        <tr r="AC196" s="1"/>
      </tp>
      <tp t="s">
        <v>#N/A Requesting Data...3689154074</v>
        <stp/>
        <stp>BDP|5714607284164189333</stp>
        <tr r="Z431" s="1"/>
        <tr r="Z431" s="1"/>
      </tp>
      <tp t="s">
        <v>#N/A Requesting Data...2672948877</v>
        <stp/>
        <stp>BDP|5204967973143072460</stp>
        <tr r="AB543" s="1"/>
        <tr r="AB543" s="1"/>
      </tp>
      <tp t="s">
        <v>#N/A Requesting Data...3090067813</v>
        <stp/>
        <stp>BDP|2725370400745524847</stp>
        <tr r="AC1001" s="1"/>
        <tr r="AC1001" s="1"/>
      </tp>
      <tp t="s">
        <v>#N/A Requesting Data...2931440611</v>
        <stp/>
        <stp>BDP|1714154120747405971</stp>
        <tr r="Y631" s="1"/>
        <tr r="Y631" s="1"/>
      </tp>
      <tp t="s">
        <v>#N/A Requesting Data...1975858298</v>
        <stp/>
        <stp>BDP|4532865575127374042</stp>
        <tr r="AC95" s="1"/>
        <tr r="AC95" s="1"/>
      </tp>
      <tp t="s">
        <v>#N/A Requesting Data...1222426217</v>
        <stp/>
        <stp>BDP|2924204498263934693</stp>
        <tr r="AC665" s="1"/>
        <tr r="AC665" s="1"/>
      </tp>
      <tp t="s">
        <v>#N/A Requesting Data...3477718603</v>
        <stp/>
        <stp>BDP|6402109894055957788</stp>
        <tr r="AB1245" s="1"/>
        <tr r="AB1245" s="1"/>
      </tp>
      <tp t="s">
        <v>#N/A Requesting Data...990376805</v>
        <stp/>
        <stp>BDP|1481528695052282371</stp>
        <tr r="Z1157" s="1"/>
        <tr r="Z1157" s="1"/>
      </tp>
      <tp t="s">
        <v>#N/A Requesting Data...1617046632</v>
        <stp/>
        <stp>BDP|2285704292061145170</stp>
        <tr r="AA1242" s="1"/>
        <tr r="AA1242" s="1"/>
      </tp>
      <tp t="s">
        <v>#N/A Requesting Data...3334396388</v>
        <stp/>
        <stp>BDP|8656603965920068452</stp>
        <tr r="Z1430" s="1"/>
        <tr r="Z1430" s="1"/>
      </tp>
      <tp t="s">
        <v>#N/A Requesting Data...3705652463</v>
        <stp/>
        <stp>BDP|9486245069149901867</stp>
        <tr r="AA863" s="1"/>
        <tr r="AA863" s="1"/>
      </tp>
      <tp t="s">
        <v>#N/A Requesting Data...2003490197</v>
        <stp/>
        <stp>BDP|3105883998837491939</stp>
        <tr r="AC502" s="1"/>
        <tr r="AC502" s="1"/>
      </tp>
      <tp t="s">
        <v>#N/A Requesting Data...2936146597</v>
        <stp/>
        <stp>BDP|2676847919907536085</stp>
        <tr r="Z511" s="1"/>
        <tr r="Z511" s="1"/>
      </tp>
      <tp t="s">
        <v>#N/A Requesting Data...3602524247</v>
        <stp/>
        <stp>BDP|9214018851777170756</stp>
        <tr r="Z1368" s="1"/>
        <tr r="Z1368" s="1"/>
      </tp>
      <tp t="s">
        <v>#N/A Requesting Data...765242688</v>
        <stp/>
        <stp>BDP|5977517736588894702</stp>
        <tr r="AC1411" s="1"/>
        <tr r="AC1411" s="1"/>
      </tp>
      <tp t="s">
        <v>#N/A Requesting Data...3729877056</v>
        <stp/>
        <stp>BDP|5657456420776376962</stp>
        <tr r="Z40" s="1"/>
        <tr r="Z40" s="1"/>
      </tp>
      <tp t="s">
        <v>#N/A Requesting Data...791028700</v>
        <stp/>
        <stp>BDP|7927095929611871876</stp>
        <tr r="AA251" s="1"/>
        <tr r="AA251" s="1"/>
      </tp>
      <tp t="s">
        <v>#N/A Requesting Data...3539856304</v>
        <stp/>
        <stp>BDP|5727735075241268853</stp>
        <tr r="AB1474" s="1"/>
        <tr r="AB1474" s="1"/>
      </tp>
      <tp t="s">
        <v>#N/A Requesting Data...2261856613</v>
        <stp/>
        <stp>BDP|3437547592702491108</stp>
        <tr r="Z107" s="1"/>
        <tr r="Z107" s="1"/>
      </tp>
      <tp t="s">
        <v>#N/A Requesting Data...4158068828</v>
        <stp/>
        <stp>BDP|8000690593763496897</stp>
        <tr r="AA465" s="1"/>
        <tr r="AA465" s="1"/>
      </tp>
      <tp t="s">
        <v>#N/A Requesting Data...2330012214</v>
        <stp/>
        <stp>BDP|6209142063964174936</stp>
        <tr r="Z701" s="1"/>
        <tr r="Z701" s="1"/>
      </tp>
      <tp t="s">
        <v>#N/A Requesting Data...1922566097</v>
        <stp/>
        <stp>BDP|2664799339403420954</stp>
        <tr r="AB725" s="1"/>
        <tr r="AB725" s="1"/>
      </tp>
      <tp t="s">
        <v>#N/A Requesting Data...3597573872</v>
        <stp/>
        <stp>BDP|4594743528775921873</stp>
        <tr r="AA507" s="1"/>
        <tr r="AA507" s="1"/>
      </tp>
      <tp t="s">
        <v>#N/A Requesting Data...1386798915</v>
        <stp/>
        <stp>BDP|4911996342311191441</stp>
        <tr r="Z1305" s="1"/>
        <tr r="Z1305" s="1"/>
      </tp>
      <tp t="s">
        <v>#N/A Requesting Data...3143252240</v>
        <stp/>
        <stp>BDP|2676701472049652753</stp>
        <tr r="AA388" s="1"/>
        <tr r="AA388" s="1"/>
      </tp>
      <tp t="s">
        <v>#N/A Requesting Data...1484616654</v>
        <stp/>
        <stp>BDP|8515237933635114031</stp>
        <tr r="Z311" s="1"/>
        <tr r="Z311" s="1"/>
      </tp>
      <tp t="s">
        <v>#N/A Requesting Data...3175566482</v>
        <stp/>
        <stp>BDP|5243135838412714997</stp>
        <tr r="AA923" s="1"/>
        <tr r="AA923" s="1"/>
      </tp>
      <tp t="s">
        <v>#N/A Requesting Data...2051980663</v>
        <stp/>
        <stp>BDP|4958247283644157682</stp>
        <tr r="AC438" s="1"/>
        <tr r="AC438" s="1"/>
      </tp>
      <tp t="s">
        <v>#N/A Requesting Data...3063936520</v>
        <stp/>
        <stp>BDP|3555575654277753865</stp>
        <tr r="AA693" s="1"/>
        <tr r="AA693" s="1"/>
      </tp>
      <tp t="s">
        <v>#N/A Requesting Data...2197287067</v>
        <stp/>
        <stp>BDP|9515777427382600247</stp>
        <tr r="AC395" s="1"/>
      </tp>
      <tp t="s">
        <v>#N/A Requesting Data...3255728207</v>
        <stp/>
        <stp>BDP|9462316782757720973</stp>
        <tr r="AA854" s="1"/>
        <tr r="AA854" s="1"/>
      </tp>
      <tp t="s">
        <v>#N/A Requesting Data...721780859</v>
        <stp/>
        <stp>BDP|8933290410260029775</stp>
        <tr r="Z283" s="1"/>
        <tr r="Z283" s="1"/>
      </tp>
      <tp t="s">
        <v>#N/A Requesting Data...2961735548</v>
        <stp/>
        <stp>BDP|9047850292623334709</stp>
        <tr r="AB1471" s="1"/>
        <tr r="AB1471" s="1"/>
      </tp>
      <tp t="s">
        <v>#N/A Requesting Data...2090649041</v>
        <stp/>
        <stp>BDP|9198732146212191418</stp>
        <tr r="Z969" s="1"/>
        <tr r="Z969" s="1"/>
      </tp>
      <tp t="s">
        <v>#N/A Requesting Data...1561535014</v>
        <stp/>
        <stp>BDP|9354470731700847299</stp>
        <tr r="AB1181" s="1"/>
        <tr r="AB1181" s="1"/>
      </tp>
      <tp t="s">
        <v>#N/A Requesting Data...2468593226</v>
        <stp/>
        <stp>BDP|8305775767956421331</stp>
        <tr r="AC893" s="1"/>
        <tr r="AC893" s="1"/>
      </tp>
      <tp t="s">
        <v>#N/A Requesting Data...1047380334</v>
        <stp/>
        <stp>BDP|9103402498019982144</stp>
        <tr r="AA1215" s="1"/>
        <tr r="AA1215" s="1"/>
      </tp>
      <tp t="s">
        <v>#N/A Requesting Data...2009074767</v>
        <stp/>
        <stp>BDP|1557383959302134918</stp>
        <tr r="AC680" s="1"/>
        <tr r="AC680" s="1"/>
      </tp>
      <tp t="s">
        <v>#N/A Requesting Data...3600614606</v>
        <stp/>
        <stp>BDP|9290431164984674376</stp>
        <tr r="AA1284" s="1"/>
        <tr r="AA1284" s="1"/>
      </tp>
      <tp t="s">
        <v>#N/A Requesting Data...3306789926</v>
        <stp/>
        <stp>BDP|3976191676439295008</stp>
        <tr r="AC337" s="1"/>
        <tr r="AC337" s="1"/>
      </tp>
      <tp t="s">
        <v>#N/A Requesting Data...1268459313</v>
        <stp/>
        <stp>BDP|3220165780894540259</stp>
        <tr r="Z836" s="1"/>
        <tr r="Z836" s="1"/>
      </tp>
      <tp t="s">
        <v>#N/A Requesting Data...2741587061</v>
        <stp/>
        <stp>BDP|3203869917102331449</stp>
        <tr r="AB1244" s="1"/>
        <tr r="AB1244" s="1"/>
      </tp>
      <tp t="s">
        <v>#N/A Requesting Data...1249940102</v>
        <stp/>
        <stp>BDP|3598572096380346339</stp>
        <tr r="AB1062" s="1"/>
        <tr r="AB1062" s="1"/>
      </tp>
      <tp t="s">
        <v>#N/A Requesting Data...3513220500</v>
        <stp/>
        <stp>BDP|1882499046798054536</stp>
        <tr r="AC1379" s="1"/>
        <tr r="AC1379" s="1"/>
      </tp>
      <tp t="s">
        <v>#N/A Requesting Data...2454732549</v>
        <stp/>
        <stp>BDP|7522016126489028065</stp>
        <tr r="Z34" s="1"/>
      </tp>
      <tp t="s">
        <v>#N/A Requesting Data...2219274775</v>
        <stp/>
        <stp>BDP|3475992773276831722</stp>
        <tr r="Y853" s="1"/>
        <tr r="Y853" s="1"/>
      </tp>
      <tp t="s">
        <v>#N/A Requesting Data...2573377897</v>
        <stp/>
        <stp>BDP|2774939651925346725</stp>
        <tr r="AA198" s="1"/>
        <tr r="AA198" s="1"/>
      </tp>
      <tp t="s">
        <v>#N/A Requesting Data...3297624784</v>
        <stp/>
        <stp>BDP|4111949051375489145</stp>
        <tr r="Y1229" s="1"/>
        <tr r="Y1229" s="1"/>
      </tp>
      <tp t="s">
        <v>#N/A Requesting Data...1029959614</v>
        <stp/>
        <stp>BDP|4309920526167575460</stp>
        <tr r="Y402" s="1"/>
        <tr r="Y402" s="1"/>
      </tp>
      <tp t="s">
        <v>#N/A Requesting Data...754061000</v>
        <stp/>
        <stp>BDP|2160859653010537375</stp>
        <tr r="AB1558" s="1"/>
        <tr r="AB1558" s="1"/>
      </tp>
      <tp t="s">
        <v>#N/A Requesting Data...2246451512</v>
        <stp/>
        <stp>BDP|5206788482691446791</stp>
        <tr r="Z543" s="1"/>
        <tr r="Z543" s="1"/>
      </tp>
      <tp t="s">
        <v>#N/A Requesting Data...3851595518</v>
        <stp/>
        <stp>BDP|2421956862732103379</stp>
        <tr r="AA1487" s="1"/>
        <tr r="AA1487" s="1"/>
      </tp>
      <tp t="s">
        <v>#N/A Requesting Data...3914109868</v>
        <stp/>
        <stp>BDP|9192163500890682447</stp>
        <tr r="AB1260" s="1"/>
        <tr r="AB1260" s="1"/>
      </tp>
      <tp t="s">
        <v>#N/A Requesting Data...3351153105</v>
        <stp/>
        <stp>BDP|5209722066018066039</stp>
        <tr r="Z564" s="1"/>
        <tr r="Z564" s="1"/>
      </tp>
      <tp t="s">
        <v>#N/A Requesting Data...1811539900</v>
        <stp/>
        <stp>BDP|2137846600275683363</stp>
        <tr r="Y1098" s="1"/>
        <tr r="Y1098" s="1"/>
      </tp>
      <tp t="s">
        <v>#N/A Requesting Data...3159861463</v>
        <stp/>
        <stp>BDP|5497956604303004300</stp>
        <tr r="Z18" s="1"/>
        <tr r="Z18" s="1"/>
      </tp>
      <tp t="s">
        <v>#N/A Requesting Data...3136098073</v>
        <stp/>
        <stp>BDP|4487186779107320932</stp>
        <tr r="AB1581" s="1"/>
        <tr r="AB1581" s="1"/>
      </tp>
      <tp t="s">
        <v>#N/A Requesting Data...1619166852</v>
        <stp/>
        <stp>BDP|7179520449409629392</stp>
        <tr r="Z888" s="1"/>
        <tr r="Z888" s="1"/>
      </tp>
      <tp t="s">
        <v>#N/A Requesting Data...1111918755</v>
        <stp/>
        <stp>BDP|9447372398048975772</stp>
        <tr r="AC546" s="1"/>
        <tr r="AC546" s="1"/>
      </tp>
      <tp t="s">
        <v>#N/A Requesting Data...1154681114</v>
        <stp/>
        <stp>BDP|3948019283734785391</stp>
        <tr r="AB42" s="1"/>
        <tr r="AB42" s="1"/>
      </tp>
      <tp t="s">
        <v>#N/A Requesting Data...1940377057</v>
        <stp/>
        <stp>BDP|5601844774883079539</stp>
        <tr r="AC1583" s="1"/>
      </tp>
      <tp t="s">
        <v>#N/A Requesting Data...1058209930</v>
        <stp/>
        <stp>BDP|3242608082302291374</stp>
        <tr r="Z512" s="1"/>
        <tr r="Z512" s="1"/>
      </tp>
      <tp t="s">
        <v>#N/A Requesting Data...1987787055</v>
        <stp/>
        <stp>BDP|9017194133797922062</stp>
        <tr r="Y276" s="1"/>
        <tr r="Y276" s="1"/>
      </tp>
      <tp t="s">
        <v>#N/A Requesting Data...2794962484</v>
        <stp/>
        <stp>BDP|8107650000706549441</stp>
        <tr r="Y694" s="1"/>
        <tr r="Y694" s="1"/>
      </tp>
      <tp t="s">
        <v>#N/A Requesting Data...833390442</v>
        <stp/>
        <stp>BDP|1371875317377533337</stp>
        <tr r="Y1240" s="1"/>
        <tr r="Y1240" s="1"/>
      </tp>
      <tp t="s">
        <v>#N/A Requesting Data...3863718200</v>
        <stp/>
        <stp>BDP|6145624247211964980</stp>
        <tr r="AC393" s="1"/>
        <tr r="AC393" s="1"/>
      </tp>
      <tp t="s">
        <v>#N/A Requesting Data...1164895712</v>
        <stp/>
        <stp>BDP|9503800354379124156</stp>
        <tr r="AB1114" s="1"/>
      </tp>
      <tp>
        <v>4.25</v>
        <stp/>
        <stp>BDP|4555582485379629676|22</stp>
        <stp>CMPS US Equity</stp>
        <stp>LAST_PRICE</stp>
        <tr r="AD429" s="1"/>
        <tr r="AD429" s="1"/>
      </tp>
      <tp>
        <v>29.32</v>
        <stp/>
        <stp>BDP|2974028277093245632|22</stp>
        <stp>VKTX US Equity</stp>
        <stp>LAST_PRICE</stp>
        <tr r="AD1551" s="1"/>
        <tr r="AD1551" s="1"/>
      </tp>
      <tp>
        <v>1.52</v>
        <stp/>
        <stp>BDP|6410360586866348664|22</stp>
        <stp>LEXX US Equity</stp>
        <stp>LAST_PRICE</stp>
        <tr r="AD866" s="1"/>
        <tr r="AD866" s="1"/>
      </tp>
      <tp>
        <v>4.8</v>
        <stp/>
        <stp>BDP|5949592200174979448|22</stp>
        <stp>PRTG US Equity</stp>
        <stp>LAST_PRICE</stp>
        <tr r="AD1176" s="1"/>
        <tr r="AD1176" s="1"/>
      </tp>
      <tp>
        <v>12.32</v>
        <stp/>
        <stp>BDP|9570512200046721039|22</stp>
        <stp>BCYC US Equity</stp>
        <stp>LAST_PRICE</stp>
        <tr r="AD250" s="1"/>
        <tr r="AD250" s="1"/>
      </tp>
      <tp>
        <v>23.76</v>
        <stp/>
        <stp>BDP|3762679383723465405|22</stp>
        <stp>BLCO CN Equity</stp>
        <stp>LAST_PRICE</stp>
        <tr r="AD233" s="1"/>
        <tr r="AD233" s="1"/>
      </tp>
      <tp>
        <v>179.51</v>
        <stp/>
        <stp>BDP|5144482204587223558|22</stp>
        <stp>MASI US Equity</stp>
        <stp>LAST_PRICE</stp>
        <tr r="AD909" s="1"/>
        <tr r="AD909" s="1"/>
      </tp>
      <tp>
        <v>0</v>
        <stp/>
        <stp>BDP|7774837809792118305|22</stp>
        <stp>ERUC US Equity</stp>
        <stp>LAST_PRICE</stp>
        <tr r="AD575" s="1"/>
        <tr r="AD575" s="1"/>
      </tp>
      <tp>
        <v>2.0000000000000001E-4</v>
        <stp/>
        <stp>BDP|6907383659787112725|22</stp>
        <stp>CMRA US Equity</stp>
        <stp>LAST_PRICE</stp>
        <tr r="AD427" s="1"/>
        <tr r="AD427" s="1"/>
      </tp>
      <tp>
        <v>1.43</v>
        <stp/>
        <stp>BDP|4150608451730485992|22</stp>
        <stp>KTTA US Equity</stp>
        <stp>LAST_PRICE</stp>
        <tr r="AD1136" s="1"/>
        <tr r="AD1136" s="1"/>
      </tp>
      <tp>
        <v>0.45300000000000001</v>
        <stp/>
        <stp>BDP|12663703440960398943|22</stp>
        <stp>IPA US Equity</stp>
        <stp>LAST_PRICE</stp>
        <tr r="AD737" s="1"/>
        <tr r="AD737" s="1"/>
      </tp>
      <tp t="s">
        <v>#N/A N/A</v>
        <stp/>
        <stp>BDP|18391138555472193229|22</stp>
        <stp>BIO CN Equity</stp>
        <stp>LAST_PRICE</stp>
        <tr r="AD269" s="1"/>
      </tp>
      <tp t="s">
        <v>#N/A Requesting Data...1577258299</v>
        <stp/>
        <stp>BDP|3747798891800548008</stp>
        <tr r="Z1203" s="1"/>
        <tr r="Z1203" s="1"/>
      </tp>
      <tp t="s">
        <v>#N/A Requesting Data...3876646484</v>
        <stp/>
        <stp>BDP|8785288841885421601</stp>
        <tr r="Z1029" s="1"/>
        <tr r="Z1029" s="1"/>
      </tp>
      <tp t="s">
        <v>#N/A Requesting Data...3871653681</v>
        <stp/>
        <stp>BDP|8210448678105304375</stp>
        <tr r="Y1268" s="1"/>
        <tr r="Y1268" s="1"/>
      </tp>
      <tp t="s">
        <v>#N/A Requesting Data...3952349406</v>
        <stp/>
        <stp>BDP|5171282531251422868</stp>
        <tr r="AC633" s="1"/>
        <tr r="AC633" s="1"/>
      </tp>
      <tp t="s">
        <v>#N/A Requesting Data...3166527687</v>
        <stp/>
        <stp>BDP|5972082986443982345</stp>
        <tr r="Y949" s="1"/>
        <tr r="Y949" s="1"/>
      </tp>
      <tp t="s">
        <v>#N/A Requesting Data...1529833620</v>
        <stp/>
        <stp>BDP|3579203281186729298</stp>
        <tr r="Y117" s="1"/>
        <tr r="Y117" s="1"/>
      </tp>
      <tp t="s">
        <v>#N/A Requesting Data...3458859004</v>
        <stp/>
        <stp>BDP|2376127812049191686</stp>
        <tr r="AB1580" s="1"/>
        <tr r="AB1580" s="1"/>
      </tp>
      <tp t="s">
        <v>#N/A Requesting Data...3332842131</v>
        <stp/>
        <stp>BDP|7019639125026990850</stp>
        <tr r="AA1106" s="1"/>
        <tr r="AA1106" s="1"/>
      </tp>
      <tp t="s">
        <v>#N/A Requesting Data...1589075327</v>
        <stp/>
        <stp>BDP|6352126851638858722</stp>
        <tr r="Y1335" s="1"/>
        <tr r="Y1335" s="1"/>
      </tp>
      <tp t="s">
        <v>#N/A Requesting Data...4074963511</v>
        <stp/>
        <stp>BDP|7293197089220890307</stp>
        <tr r="Y462" s="1"/>
        <tr r="Y462" s="1"/>
      </tp>
      <tp t="s">
        <v>#N/A Requesting Data...756687350</v>
        <stp/>
        <stp>BDP|8247431420440858332</stp>
        <tr r="AA575" s="1"/>
        <tr r="AA575" s="1"/>
      </tp>
      <tp t="s">
        <v>#N/A Requesting Data...3217821191</v>
        <stp/>
        <stp>BDP|9988630854460452710</stp>
        <tr r="Y875" s="1"/>
        <tr r="Y875" s="1"/>
      </tp>
      <tp t="s">
        <v>#N/A Requesting Data...2820261906</v>
        <stp/>
        <stp>BDP|4072654987672189587</stp>
        <tr r="AC1483" s="1"/>
        <tr r="AC1483" s="1"/>
      </tp>
      <tp t="s">
        <v>#N/A Requesting Data...1393769360</v>
        <stp/>
        <stp>BDP|8781327210465966277</stp>
        <tr r="Z402" s="1"/>
        <tr r="Z402" s="1"/>
      </tp>
      <tp t="s">
        <v>#N/A Requesting Data...3548671128</v>
        <stp/>
        <stp>BDP|8019421600368870919</stp>
        <tr r="AB970" s="1"/>
        <tr r="AB970" s="1"/>
      </tp>
      <tp t="s">
        <v>#N/A Requesting Data...1673668230</v>
        <stp/>
        <stp>BDP|7477389105938174131</stp>
        <tr r="AC918" s="1"/>
      </tp>
      <tp t="s">
        <v>#N/A Requesting Data...3191862091</v>
        <stp/>
        <stp>BDP|3812717481489653856</stp>
        <tr r="Y1558" s="1"/>
        <tr r="Y1558" s="1"/>
      </tp>
      <tp t="s">
        <v>#N/A Requesting Data...3123190291</v>
        <stp/>
        <stp>BDP|7224580382066658155</stp>
        <tr r="AB1612" s="1"/>
        <tr r="AB1612" s="1"/>
      </tp>
      <tp t="s">
        <v>#N/A Requesting Data...3463795442</v>
        <stp/>
        <stp>BDP|9534017350293637291</stp>
        <tr r="AC890" s="1"/>
        <tr r="AC890" s="1"/>
      </tp>
      <tp t="s">
        <v>#N/A Requesting Data...805792665</v>
        <stp/>
        <stp>BDP|4031273476954264888</stp>
        <tr r="AB815" s="1"/>
        <tr r="AB815" s="1"/>
      </tp>
      <tp t="s">
        <v>#N/A Requesting Data...3876403868</v>
        <stp/>
        <stp>BDP|9121335340945893611</stp>
        <tr r="AB600" s="1"/>
        <tr r="AB600" s="1"/>
      </tp>
      <tp t="s">
        <v>#N/A Requesting Data...1139284485</v>
        <stp/>
        <stp>BDP|7540919501615423691</stp>
        <tr r="Z343" s="1"/>
        <tr r="Z343" s="1"/>
      </tp>
      <tp t="s">
        <v>#N/A Requesting Data...1261496361</v>
        <stp/>
        <stp>BDP|9308776112583807168</stp>
        <tr r="Z430" s="1"/>
        <tr r="Z430" s="1"/>
      </tp>
      <tp t="s">
        <v>#N/A Requesting Data...1411439191</v>
        <stp/>
        <stp>BDP|3929278476643540854</stp>
        <tr r="Y471" s="1"/>
        <tr r="Y471" s="1"/>
      </tp>
      <tp t="s">
        <v>#N/A Requesting Data...3945674266</v>
        <stp/>
        <stp>BDP|6021575999930337752</stp>
        <tr r="Z305" s="1"/>
        <tr r="Z305" s="1"/>
      </tp>
      <tp t="s">
        <v>#N/A Requesting Data...3219529921</v>
        <stp/>
        <stp>BDP|3835569921291588821</stp>
        <tr r="AA1182" s="1"/>
        <tr r="AA1182" s="1"/>
      </tp>
      <tp t="s">
        <v>#N/A Requesting Data...1650178000</v>
        <stp/>
        <stp>BDP|7637095532590252975</stp>
        <tr r="AB201" s="1"/>
        <tr r="AB201" s="1"/>
      </tp>
      <tp t="s">
        <v>#N/A Requesting Data...727063871</v>
        <stp/>
        <stp>BDP|5570632141639959364</stp>
        <tr r="Y1459" s="1"/>
        <tr r="Y1459" s="1"/>
      </tp>
      <tp t="s">
        <v>#N/A Requesting Data...2779284162</v>
        <stp/>
        <stp>BDP|2253063258158532212</stp>
        <tr r="AB837" s="1"/>
        <tr r="AB837" s="1"/>
      </tp>
      <tp t="s">
        <v>#N/A Requesting Data...1537201539</v>
        <stp/>
        <stp>BDP|4271573698751035456</stp>
        <tr r="Z1009" s="1"/>
        <tr r="Z1009" s="1"/>
      </tp>
      <tp t="s">
        <v>#N/A Requesting Data...3353954940</v>
        <stp/>
        <stp>BDP|3537988575759870990</stp>
        <tr r="Y497" s="1"/>
        <tr r="Y497" s="1"/>
      </tp>
      <tp t="s">
        <v>#N/A Requesting Data...3538034895</v>
        <stp/>
        <stp>BDP|4076929315189627881</stp>
        <tr r="AA650" s="1"/>
        <tr r="AA650" s="1"/>
      </tp>
      <tp t="s">
        <v>#N/A Requesting Data...3236213018</v>
        <stp/>
        <stp>BDP|3853123181351098623</stp>
        <tr r="AC817" s="1"/>
      </tp>
      <tp t="s">
        <v>#N/A Requesting Data...1325451883</v>
        <stp/>
        <stp>BDP|4610056875029981760</stp>
        <tr r="Y1554" s="1"/>
        <tr r="Y1554" s="1"/>
      </tp>
      <tp t="s">
        <v>#N/A Requesting Data...1116068072</v>
        <stp/>
        <stp>BDP|4975967345731509569</stp>
        <tr r="AA1141" s="1"/>
        <tr r="AA1141" s="1"/>
      </tp>
      <tp t="s">
        <v>#N/A Requesting Data...837077171</v>
        <stp/>
        <stp>BDP|5900833401398683849</stp>
        <tr r="Y1109" s="1"/>
        <tr r="Y1109" s="1"/>
      </tp>
      <tp t="s">
        <v>#N/A Requesting Data...2199171584</v>
        <stp/>
        <stp>BDP|7445261723648925212</stp>
        <tr r="AA1156" s="1"/>
        <tr r="AA1156" s="1"/>
      </tp>
      <tp t="s">
        <v>#N/A Requesting Data...3280604069</v>
        <stp/>
        <stp>BDP|3349657699547014664</stp>
        <tr r="AC145" s="1"/>
        <tr r="AC145" s="1"/>
      </tp>
      <tp t="s">
        <v>#N/A Requesting Data...3344517843</v>
        <stp/>
        <stp>BDP|3409630389573434334</stp>
        <tr r="Y1411" s="1"/>
        <tr r="Y1411" s="1"/>
      </tp>
      <tp t="s">
        <v>#N/A Requesting Data...965240383</v>
        <stp/>
        <stp>BDP|5679864371760039782</stp>
        <tr r="Y1179" s="1"/>
        <tr r="Y1179" s="1"/>
      </tp>
      <tp t="s">
        <v>#N/A Requesting Data...1214478531</v>
        <stp/>
        <stp>BDP|1076663618782517925</stp>
        <tr r="Y808" s="1"/>
        <tr r="Y808" s="1"/>
      </tp>
      <tp t="s">
        <v>#N/A Requesting Data...3326028684</v>
        <stp/>
        <stp>BDP|8583146163365910755</stp>
        <tr r="Z395" s="1"/>
      </tp>
      <tp t="s">
        <v>#N/A Requesting Data...3740397967</v>
        <stp/>
        <stp>BDP|5984715413768306661</stp>
        <tr r="AB1178" s="1"/>
        <tr r="AB1178" s="1"/>
      </tp>
      <tp t="s">
        <v>#N/A Requesting Data...1788566684</v>
        <stp/>
        <stp>BDP|1704589309158106194</stp>
        <tr r="AA577" s="1"/>
        <tr r="AA577" s="1"/>
      </tp>
      <tp t="s">
        <v>#N/A Requesting Data...3100591757</v>
        <stp/>
        <stp>BDP|3994831412647063064</stp>
        <tr r="AC648" s="1"/>
        <tr r="AC648" s="1"/>
      </tp>
      <tp t="s">
        <v>#N/A Requesting Data...2685460763</v>
        <stp/>
        <stp>BDP|3966528141806416908</stp>
        <tr r="AA743" s="1"/>
        <tr r="AA743" s="1"/>
      </tp>
      <tp t="s">
        <v>#N/A Requesting Data...1523381061</v>
        <stp/>
        <stp>BDP|2719799441528466454</stp>
        <tr r="AA28" s="1"/>
        <tr r="AA28" s="1"/>
      </tp>
      <tp t="s">
        <v>#N/A Requesting Data...3408169037</v>
        <stp/>
        <stp>BDP|7943107271468091460</stp>
        <tr r="AC929" s="1"/>
        <tr r="AC929" s="1"/>
      </tp>
      <tp t="s">
        <v>#N/A Requesting Data...1196656668</v>
        <stp/>
        <stp>BDP|5074587319025794988</stp>
        <tr r="Y1507" s="1"/>
        <tr r="Y1507" s="1"/>
      </tp>
      <tp t="s">
        <v>#N/A Requesting Data...2384510103</v>
        <stp/>
        <stp>BDP|8669729829823210315</stp>
        <tr r="AB627" s="1"/>
        <tr r="AB627" s="1"/>
      </tp>
      <tp t="s">
        <v>#N/A Requesting Data...3912005702</v>
        <stp/>
        <stp>BDP|6744681414505603937</stp>
        <tr r="AA802" s="1"/>
        <tr r="AA802" s="1"/>
      </tp>
      <tp t="s">
        <v>#N/A Requesting Data...2532164722</v>
        <stp/>
        <stp>BDP|8840503276733403459</stp>
        <tr r="AB48" s="1"/>
        <tr r="AB48" s="1"/>
      </tp>
      <tp t="s">
        <v>#N/A Requesting Data...4121617299</v>
        <stp/>
        <stp>BDP|4017561005374535898</stp>
        <tr r="Z1601" s="1"/>
        <tr r="Z1601" s="1"/>
      </tp>
      <tp t="s">
        <v>#N/A Requesting Data...2329146292</v>
        <stp/>
        <stp>BDP|7234641944940869855</stp>
        <tr r="Z644" s="1"/>
        <tr r="Z644" s="1"/>
      </tp>
      <tp t="s">
        <v>#N/A Requesting Data...859856877</v>
        <stp/>
        <stp>BDP|6548505588822136432</stp>
        <tr r="Z1196" s="1"/>
        <tr r="Z1196" s="1"/>
      </tp>
      <tp t="s">
        <v>#N/A Requesting Data...1427225666</v>
        <stp/>
        <stp>BDP|9271151275906974442</stp>
        <tr r="AC102" s="1"/>
        <tr r="AC102" s="1"/>
      </tp>
      <tp t="s">
        <v>#N/A Requesting Data...3092902580</v>
        <stp/>
        <stp>BDP|5327382740979427601</stp>
        <tr r="AC809" s="1"/>
        <tr r="AC809" s="1"/>
      </tp>
      <tp t="s">
        <v>#N/A Requesting Data...3821369998</v>
        <stp/>
        <stp>BDP|6375645943851217891</stp>
        <tr r="AB782" s="1"/>
        <tr r="AB782" s="1"/>
      </tp>
      <tp t="s">
        <v>#N/A Requesting Data...1377341902</v>
        <stp/>
        <stp>BDP|8420459760472927570</stp>
        <tr r="Y540" s="1"/>
        <tr r="Y540" s="1"/>
      </tp>
      <tp t="s">
        <v>#N/A Requesting Data...3676275164</v>
        <stp/>
        <stp>BDP|3637557292375881762</stp>
        <tr r="AB914" s="1"/>
        <tr r="AB914" s="1"/>
      </tp>
      <tp t="s">
        <v>#N/A Requesting Data...3696815032</v>
        <stp/>
        <stp>BDP|1345791314808566247</stp>
        <tr r="AC1184" s="1"/>
        <tr r="AC1184" s="1"/>
      </tp>
      <tp t="s">
        <v>#N/A Requesting Data...4242472393</v>
        <stp/>
        <stp>BDP|7291294774927337838</stp>
        <tr r="Z37" s="1"/>
        <tr r="Z37" s="1"/>
      </tp>
      <tp t="s">
        <v>#N/A Requesting Data...1577170391</v>
        <stp/>
        <stp>BDP|5594654410828895772</stp>
        <tr r="AA735" s="1"/>
        <tr r="AA735" s="1"/>
      </tp>
      <tp t="s">
        <v>#N/A Requesting Data...3942887941</v>
        <stp/>
        <stp>BDP|7986448723118427452</stp>
        <tr r="AB955" s="1"/>
        <tr r="AB955" s="1"/>
      </tp>
      <tp t="s">
        <v>#N/A Requesting Data...951457583</v>
        <stp/>
        <stp>BDP|1834766776944245859</stp>
        <tr r="Y962" s="1"/>
        <tr r="Y962" s="1"/>
      </tp>
      <tp t="s">
        <v>#N/A Requesting Data...2100580180</v>
        <stp/>
        <stp>BDP|4605982454554070153</stp>
        <tr r="AA275" s="1"/>
        <tr r="AA275" s="1"/>
      </tp>
      <tp t="s">
        <v>#N/A Requesting Data...2395363830</v>
        <stp/>
        <stp>BDP|8472394939206831330</stp>
        <tr r="AB397" s="1"/>
        <tr r="AB397" s="1"/>
      </tp>
      <tp t="s">
        <v>#N/A Requesting Data...1307977115</v>
        <stp/>
        <stp>BDP|1848935830313572510</stp>
        <tr r="Y1165" s="1"/>
        <tr r="Y1165" s="1"/>
      </tp>
      <tp t="s">
        <v>#N/A Requesting Data...947400613</v>
        <stp/>
        <stp>BDP|3259516243456618992</stp>
        <tr r="Z128" s="1"/>
        <tr r="Z128" s="1"/>
      </tp>
      <tp t="s">
        <v>#N/A Requesting Data...1284309361</v>
        <stp/>
        <stp>BDP|7200294234469342230</stp>
        <tr r="AA1155" s="1"/>
        <tr r="AA1155" s="1"/>
      </tp>
      <tp t="s">
        <v>#N/A Requesting Data...1200095987</v>
        <stp/>
        <stp>BDP|4300532818185018876</stp>
        <tr r="Y1302" s="1"/>
        <tr r="Y1302" s="1"/>
      </tp>
      <tp t="s">
        <v>#N/A Requesting Data...2630838490</v>
        <stp/>
        <stp>BDP|2879554707688626231</stp>
        <tr r="Z1483" s="1"/>
        <tr r="Z1483" s="1"/>
      </tp>
      <tp t="s">
        <v>#N/A Requesting Data...4013890669</v>
        <stp/>
        <stp>BDP|6712925329973928396</stp>
        <tr r="AB715" s="1"/>
        <tr r="AB715" s="1"/>
      </tp>
      <tp t="s">
        <v>#N/A Requesting Data...1359047461</v>
        <stp/>
        <stp>BDP|4325289891715269741</stp>
        <tr r="AC1508" s="1"/>
        <tr r="AC1508" s="1"/>
      </tp>
      <tp t="s">
        <v>#N/A Requesting Data...2547737062</v>
        <stp/>
        <stp>BDP|3395614599363083279</stp>
        <tr r="AA1564" s="1"/>
        <tr r="AA1564" s="1"/>
      </tp>
      <tp t="s">
        <v>#N/A Requesting Data...2297432849</v>
        <stp/>
        <stp>BDP|1608837759014918599</stp>
        <tr r="AC904" s="1"/>
        <tr r="AC904" s="1"/>
      </tp>
      <tp t="s">
        <v>#N/A Requesting Data...4129376283</v>
        <stp/>
        <stp>BDP|9828048937651005673</stp>
        <tr r="Y655" s="1"/>
        <tr r="Y655" s="1"/>
      </tp>
      <tp t="s">
        <v>#N/A Requesting Data...1881327668</v>
        <stp/>
        <stp>BDP|8311585149416963279</stp>
        <tr r="AC1284" s="1"/>
        <tr r="AC1284" s="1"/>
      </tp>
      <tp t="s">
        <v>#N/A Requesting Data...920200872</v>
        <stp/>
        <stp>BDP|3414857632655667097</stp>
        <tr r="Z791" s="1"/>
        <tr r="Z791" s="1"/>
      </tp>
      <tp t="s">
        <v>#N/A Requesting Data...1600827704</v>
        <stp/>
        <stp>BDP|9917113437616233014</stp>
        <tr r="AA1085" s="1"/>
        <tr r="AA1085" s="1"/>
      </tp>
      <tp t="s">
        <v>#N/A Requesting Data...3434675518</v>
        <stp/>
        <stp>BDP|2374058580492803528</stp>
        <tr r="AB944" s="1"/>
        <tr r="AB944" s="1"/>
      </tp>
      <tp t="s">
        <v>#N/A Requesting Data...881091073</v>
        <stp/>
        <stp>BDP|3848124856829194316</stp>
        <tr r="AB1298" s="1"/>
        <tr r="AB1298" s="1"/>
      </tp>
      <tp t="s">
        <v>#N/A Requesting Data...1784352317</v>
        <stp/>
        <stp>BDP|3070908216884396286</stp>
        <tr r="Z21" s="1"/>
        <tr r="Z21" s="1"/>
      </tp>
      <tp t="s">
        <v>#N/A Requesting Data...3823872536</v>
        <stp/>
        <stp>BDP|3895704056825791941</stp>
        <tr r="AC601" s="1"/>
        <tr r="AC601" s="1"/>
      </tp>
      <tp t="s">
        <v>#N/A Requesting Data...3682569143</v>
        <stp/>
        <stp>BDP|4457789200197957985</stp>
        <tr r="Y100" s="1"/>
        <tr r="Y100" s="1"/>
      </tp>
      <tp t="s">
        <v>#N/A Requesting Data...4042956132</v>
        <stp/>
        <stp>BDP|2259938613387718083</stp>
        <tr r="AB745" s="1"/>
        <tr r="AB745" s="1"/>
      </tp>
      <tp t="s">
        <v>#N/A Requesting Data...2662788892</v>
        <stp/>
        <stp>BDP|4765006199994267413</stp>
        <tr r="Y450" s="1"/>
        <tr r="Y450" s="1"/>
      </tp>
      <tp t="s">
        <v>#N/A Requesting Data...1211405258</v>
        <stp/>
        <stp>BDP|7279921653320920676</stp>
        <tr r="AB83" s="1"/>
        <tr r="AB83" s="1"/>
      </tp>
      <tp t="s">
        <v>#N/A Requesting Data...1182395353</v>
        <stp/>
        <stp>BDP|3190680942994774817</stp>
        <tr r="AC1413" s="1"/>
        <tr r="AC1413" s="1"/>
      </tp>
      <tp t="s">
        <v>#N/A Requesting Data...3184812661</v>
        <stp/>
        <stp>BDP|9976566443392942785</stp>
        <tr r="AB1510" s="1"/>
        <tr r="AB1510" s="1"/>
      </tp>
      <tp t="s">
        <v>#N/A Requesting Data...2208623928</v>
        <stp/>
        <stp>BDP|7022870528278573875</stp>
        <tr r="Z96" s="1"/>
        <tr r="Z96" s="1"/>
      </tp>
      <tp t="s">
        <v>#N/A Requesting Data...3255715066</v>
        <stp/>
        <stp>BDP|6252605958120262855</stp>
        <tr r="AB108" s="1"/>
        <tr r="AB108" s="1"/>
      </tp>
      <tp t="s">
        <v>#N/A Requesting Data...2562928996</v>
        <stp/>
        <stp>BDP|5049967175483841566</stp>
        <tr r="AC1351" s="1"/>
        <tr r="AC1351" s="1"/>
      </tp>
      <tp t="s">
        <v>#N/A Requesting Data...2855045985</v>
        <stp/>
        <stp>BDP|3087798578776574897</stp>
        <tr r="Y1185" s="1"/>
        <tr r="Y1185" s="1"/>
      </tp>
      <tp t="s">
        <v>#N/A Requesting Data...2587265751</v>
        <stp/>
        <stp>BDP|7973811636924085531</stp>
        <tr r="AA419" s="1"/>
        <tr r="AA419" s="1"/>
      </tp>
      <tp t="s">
        <v>#N/A Requesting Data...1231525681</v>
        <stp/>
        <stp>BDP|3770193864979102094</stp>
        <tr r="AC529" s="1"/>
      </tp>
      <tp t="s">
        <v>#N/A Requesting Data...3086370865</v>
        <stp/>
        <stp>BDP|6682192910289813251</stp>
        <tr r="AB230" s="1"/>
      </tp>
      <tp t="s">
        <v>#N/A Requesting Data...3383104672</v>
        <stp/>
        <stp>BDP|4915387925458332059</stp>
        <tr r="AA200" s="1"/>
        <tr r="AA200" s="1"/>
      </tp>
      <tp t="s">
        <v>#N/A Requesting Data...2424837200</v>
        <stp/>
        <stp>BDP|9325573242452598716</stp>
        <tr r="Y358" s="1"/>
        <tr r="Y358" s="1"/>
      </tp>
      <tp t="s">
        <v>#N/A Requesting Data...1349458494</v>
        <stp/>
        <stp>BDP|7562549125609302456</stp>
        <tr r="AC822" s="1"/>
        <tr r="AC822" s="1"/>
      </tp>
      <tp t="s">
        <v>#N/A Requesting Data...1975331762</v>
        <stp/>
        <stp>BDP|3400259499680217581</stp>
        <tr r="AC873" s="1"/>
        <tr r="AC873" s="1"/>
      </tp>
      <tp t="s">
        <v>#N/A Requesting Data...2392666804</v>
        <stp/>
        <stp>BDP|8678353467858518833</stp>
        <tr r="AA18" s="1"/>
        <tr r="AA18" s="1"/>
      </tp>
      <tp t="s">
        <v>#N/A Requesting Data...3526427769</v>
        <stp/>
        <stp>BDP|7338130888532954133</stp>
        <tr r="Y130" s="1"/>
        <tr r="Y130" s="1"/>
      </tp>
      <tp t="s">
        <v>#N/A Requesting Data...2202250926</v>
        <stp/>
        <stp>BDP|1943825160636003497</stp>
        <tr r="AC69" s="1"/>
        <tr r="AC69" s="1"/>
      </tp>
      <tp t="s">
        <v>#N/A Requesting Data...2812326071</v>
        <stp/>
        <stp>BDP|4180176294082663368</stp>
        <tr r="Z133" s="1"/>
        <tr r="Z133" s="1"/>
      </tp>
      <tp t="s">
        <v>#N/A Requesting Data...3245569425</v>
        <stp/>
        <stp>BDP|1573716257547929985</stp>
        <tr r="AB266" s="1"/>
        <tr r="AB266" s="1"/>
      </tp>
      <tp t="s">
        <v>#N/A Requesting Data...1060803597</v>
        <stp/>
        <stp>BDP|3524851903267240137</stp>
        <tr r="AB1049" s="1"/>
        <tr r="AB1049" s="1"/>
      </tp>
      <tp t="s">
        <v>#N/A Requesting Data...2652910122</v>
        <stp/>
        <stp>BDP|2592165678610090997</stp>
        <tr r="AA1023" s="1"/>
        <tr r="AA1023" s="1"/>
      </tp>
      <tp t="s">
        <v>#N/A Requesting Data...2077685608</v>
        <stp/>
        <stp>BDP|9215208268729901919</stp>
        <tr r="AB112" s="1"/>
        <tr r="AB112" s="1"/>
      </tp>
      <tp t="s">
        <v>#N/A Requesting Data...2570027591</v>
        <stp/>
        <stp>BDP|2385308088636805211</stp>
        <tr r="AC83" s="1"/>
        <tr r="AC83" s="1"/>
      </tp>
      <tp t="s">
        <v>#N/A Requesting Data...3972045268</v>
        <stp/>
        <stp>BDP|6447929032362410329</stp>
        <tr r="AB1293" s="1"/>
        <tr r="AB1293" s="1"/>
      </tp>
      <tp t="s">
        <v>#N/A Requesting Data...3038870065</v>
        <stp/>
        <stp>BDP|7918456479160674917</stp>
        <tr r="AA292" s="1"/>
        <tr r="AA292" s="1"/>
      </tp>
      <tp t="s">
        <v>#N/A Requesting Data...3018775770</v>
        <stp/>
        <stp>BDP|1274982911561182591</stp>
        <tr r="Y913" s="1"/>
        <tr r="Y913" s="1"/>
      </tp>
      <tp t="s">
        <v>#N/A Requesting Data...4037876278</v>
        <stp/>
        <stp>BDP|3061290528009588776</stp>
        <tr r="AB1326" s="1"/>
        <tr r="AB1326" s="1"/>
      </tp>
      <tp t="s">
        <v>#N/A Requesting Data...1283413956</v>
        <stp/>
        <stp>BDP|6116185398291099224</stp>
        <tr r="AA1345" s="1"/>
      </tp>
      <tp t="s">
        <v>#N/A Requesting Data...2090330688</v>
        <stp/>
        <stp>BDP|1609908627466302117</stp>
        <tr r="Z375" s="1"/>
        <tr r="Z375" s="1"/>
      </tp>
      <tp t="s">
        <v>#N/A Requesting Data...3066754534</v>
        <stp/>
        <stp>BDP|8165479266034110324</stp>
        <tr r="AB238" s="1"/>
        <tr r="AB238" s="1"/>
      </tp>
      <tp t="s">
        <v>#N/A Requesting Data...1409836311</v>
        <stp/>
        <stp>BDP|5149062527699342309</stp>
        <tr r="Y444" s="1"/>
        <tr r="Y444" s="1"/>
      </tp>
      <tp t="s">
        <v>#N/A Requesting Data...1350484003</v>
        <stp/>
        <stp>BDP|5913821617659791882</stp>
        <tr r="AA1553" s="1"/>
      </tp>
      <tp t="s">
        <v>#N/A Requesting Data...1786744897</v>
        <stp/>
        <stp>BDP|1302825398984352994</stp>
        <tr r="Z403" s="1"/>
        <tr r="Z403" s="1"/>
      </tp>
      <tp t="s">
        <v>#N/A Requesting Data...4226016273</v>
        <stp/>
        <stp>BDP|5445268996077257455</stp>
        <tr r="AB1387" s="1"/>
      </tp>
      <tp t="s">
        <v>#N/A Requesting Data...2281803758</v>
        <stp/>
        <stp>BDP|5418681856748809319</stp>
        <tr r="Y844" s="1"/>
        <tr r="Y844" s="1"/>
      </tp>
      <tp t="s">
        <v>#N/A Requesting Data...2762689836</v>
        <stp/>
        <stp>BDP|2153984302326070084</stp>
        <tr r="AB593" s="1"/>
        <tr r="AB593" s="1"/>
      </tp>
      <tp t="s">
        <v>#N/A Requesting Data...3240275227</v>
        <stp/>
        <stp>BDP|9252211652396515576</stp>
        <tr r="AC435" s="1"/>
      </tp>
      <tp t="s">
        <v>#N/A Requesting Data...2903522997</v>
        <stp/>
        <stp>BDP|5995079332483944860</stp>
        <tr r="Y363" s="1"/>
        <tr r="Y363" s="1"/>
      </tp>
      <tp t="s">
        <v>#N/A Requesting Data...3616826244</v>
        <stp/>
        <stp>BDP|6420773980483724775</stp>
        <tr r="Y270" s="1"/>
        <tr r="Y270" s="1"/>
      </tp>
      <tp t="s">
        <v>#N/A Requesting Data...1258023247</v>
        <stp/>
        <stp>BDP|7454374722738065322</stp>
        <tr r="Y87" s="1"/>
        <tr r="Y87" s="1"/>
      </tp>
      <tp t="s">
        <v>#N/A Requesting Data...3734252913</v>
        <stp/>
        <stp>BDP|9935120856253620386</stp>
        <tr r="AC1396" s="1"/>
        <tr r="AC1396" s="1"/>
      </tp>
      <tp t="s">
        <v>#N/A Requesting Data...1679708146</v>
        <stp/>
        <stp>BDP|2337870185377708854</stp>
        <tr r="AB983" s="1"/>
        <tr r="AB983" s="1"/>
      </tp>
      <tp t="s">
        <v>#N/A Requesting Data...1433211009</v>
        <stp/>
        <stp>BDP|1067547804589414073</stp>
        <tr r="Z1299" s="1"/>
        <tr r="Z1299" s="1"/>
      </tp>
      <tp t="s">
        <v>#N/A Requesting Data...1555756842</v>
        <stp/>
        <stp>BDP|3086872560311235153</stp>
        <tr r="AB1265" s="1"/>
        <tr r="AB1265" s="1"/>
      </tp>
      <tp t="s">
        <v>#N/A Requesting Data...2834827386</v>
        <stp/>
        <stp>BDP|8198131126980114658</stp>
        <tr r="Z1101" s="1"/>
        <tr r="Z1101" s="1"/>
      </tp>
      <tp t="s">
        <v>#N/A Requesting Data...2013634427</v>
        <stp/>
        <stp>BDP|9411739871563716714</stp>
        <tr r="AB954" s="1"/>
        <tr r="AB954" s="1"/>
      </tp>
      <tp t="s">
        <v>#N/A Requesting Data...3884517226</v>
        <stp/>
        <stp>BDP|3481735192464711423</stp>
        <tr r="AC1241" s="1"/>
        <tr r="AC1241" s="1"/>
      </tp>
      <tp t="s">
        <v>#N/A Requesting Data...1212358417</v>
        <stp/>
        <stp>BDP|7130224251194285904</stp>
        <tr r="AA339" s="1"/>
        <tr r="AA339" s="1"/>
      </tp>
      <tp t="s">
        <v>#N/A Requesting Data...1552773120</v>
        <stp/>
        <stp>BDP|9472628293603634836</stp>
        <tr r="Y1069" s="1"/>
        <tr r="Y1069" s="1"/>
      </tp>
      <tp t="s">
        <v>#N/A Requesting Data...1662052610</v>
        <stp/>
        <stp>BDP|6477914303851751312</stp>
        <tr r="Y527" s="1"/>
        <tr r="Y527" s="1"/>
      </tp>
      <tp t="s">
        <v>#N/A Requesting Data...2523011070</v>
        <stp/>
        <stp>BDP|9043768617231684379</stp>
        <tr r="Z540" s="1"/>
        <tr r="Z540" s="1"/>
      </tp>
      <tp t="s">
        <v>#N/A Requesting Data...1425967953</v>
        <stp/>
        <stp>BDP|5816214959399513656</stp>
        <tr r="Y283" s="1"/>
        <tr r="Y283" s="1"/>
      </tp>
      <tp t="s">
        <v>#N/A Requesting Data...3310922358</v>
        <stp/>
        <stp>BDP|1271475800120271874</stp>
        <tr r="Z251" s="1"/>
        <tr r="Z251" s="1"/>
      </tp>
      <tp t="s">
        <v>#N/A Requesting Data...2759275231</v>
        <stp/>
        <stp>BDP|2524909811913212461</stp>
        <tr r="AC1400" s="1"/>
        <tr r="AC1400" s="1"/>
      </tp>
      <tp t="s">
        <v>#N/A Requesting Data...3437881872</v>
        <stp/>
        <stp>BDP|2824485358408848602</stp>
        <tr r="AC959" s="1"/>
        <tr r="AC959" s="1"/>
      </tp>
      <tp t="s">
        <v>#N/A Requesting Data...3016320789</v>
        <stp/>
        <stp>BDP|1379849241743490324</stp>
        <tr r="AB1486" s="1"/>
        <tr r="AB1486" s="1"/>
      </tp>
      <tp t="s">
        <v>#N/A Requesting Data...3959203950</v>
        <stp/>
        <stp>BDP|9839285340241126312</stp>
        <tr r="AB237" s="1"/>
        <tr r="AB237" s="1"/>
      </tp>
      <tp t="s">
        <v>#N/A Requesting Data...1311023288</v>
        <stp/>
        <stp>BDP|7633824346683623547</stp>
        <tr r="AB472" s="1"/>
        <tr r="AB472" s="1"/>
      </tp>
      <tp t="s">
        <v>#N/A Requesting Data...3845070010</v>
        <stp/>
        <stp>BDP|8582304236880205513</stp>
        <tr r="Z1249" s="1"/>
        <tr r="Z1249" s="1"/>
      </tp>
      <tp t="s">
        <v>#N/A Requesting Data...2446655125</v>
        <stp/>
        <stp>BDP|3290129405278225776</stp>
        <tr r="AB1092" s="1"/>
        <tr r="AB1092" s="1"/>
      </tp>
      <tp t="s">
        <v>#N/A Requesting Data...840177097</v>
        <stp/>
        <stp>BDP|9322062710136230374</stp>
        <tr r="AC883" s="1"/>
        <tr r="AC883" s="1"/>
      </tp>
      <tp t="s">
        <v>#N/A Requesting Data...1259399369</v>
        <stp/>
        <stp>BDP|7702834367580069431</stp>
        <tr r="AA1415" s="1"/>
        <tr r="AA1415" s="1"/>
      </tp>
      <tp t="s">
        <v>#N/A Requesting Data...1773757795</v>
        <stp/>
        <stp>BDP|1673610033581407804</stp>
        <tr r="AB1079" s="1"/>
        <tr r="AB1079" s="1"/>
      </tp>
      <tp t="s">
        <v>#N/A Requesting Data...4189160162</v>
        <stp/>
        <stp>BDP|1276151791391355556</stp>
        <tr r="AC971" s="1"/>
        <tr r="AC971" s="1"/>
      </tp>
      <tp t="s">
        <v>#N/A Requesting Data...1517116101</v>
        <stp/>
        <stp>BDP|2603454388487333485</stp>
        <tr r="AB150" s="1"/>
        <tr r="AB150" s="1"/>
      </tp>
      <tp t="s">
        <v>#N/A Requesting Data...2324344845</v>
        <stp/>
        <stp>BDP|4435107556948457570</stp>
        <tr r="Z999" s="1"/>
        <tr r="Z999" s="1"/>
      </tp>
      <tp t="s">
        <v>#N/A Requesting Data...1703118552</v>
        <stp/>
        <stp>BDP|6083095885070537385</stp>
        <tr r="AA1041" s="1"/>
        <tr r="AA1041" s="1"/>
      </tp>
      <tp t="s">
        <v>#N/A Requesting Data...1874590939</v>
        <stp/>
        <stp>BDP|2984755046254925827</stp>
        <tr r="AC1003" s="1"/>
        <tr r="AC1003" s="1"/>
      </tp>
      <tp t="s">
        <v>#N/A Requesting Data...3554599124</v>
        <stp/>
        <stp>BDP|6925190667335630908</stp>
        <tr r="AB228" s="1"/>
        <tr r="AB228" s="1"/>
      </tp>
      <tp t="s">
        <v>#N/A Requesting Data...3799529308</v>
        <stp/>
        <stp>BDP|2584949653254796746</stp>
        <tr r="AB1249" s="1"/>
        <tr r="AB1249" s="1"/>
      </tp>
      <tp t="s">
        <v>#N/A Requesting Data...1373542724</v>
        <stp/>
        <stp>BDP|9671461489908944015</stp>
        <tr r="AA1190" s="1"/>
        <tr r="AA1190" s="1"/>
      </tp>
      <tp t="s">
        <v>#N/A Requesting Data...1690029424</v>
        <stp/>
        <stp>BDP|6633950785693633916</stp>
        <tr r="AC1447" s="1"/>
      </tp>
      <tp t="s">
        <v>#N/A Requesting Data...4179517048</v>
        <stp/>
        <stp>BDP|3453115604557407846</stp>
        <tr r="Y335" s="1"/>
        <tr r="Y335" s="1"/>
      </tp>
      <tp t="s">
        <v>#N/A Requesting Data...2793235081</v>
        <stp/>
        <stp>BDP|7615032993475039676</stp>
        <tr r="Z898" s="1"/>
        <tr r="Z898" s="1"/>
      </tp>
      <tp t="s">
        <v>#N/A Requesting Data...1345512593</v>
        <stp/>
        <stp>BDP|1055317193743363506</stp>
        <tr r="AC70" s="1"/>
        <tr r="AC70" s="1"/>
      </tp>
      <tp t="s">
        <v>#N/A Requesting Data...1119420239</v>
        <stp/>
        <stp>BDP|2325850176340079011</stp>
        <tr r="AC342" s="1"/>
        <tr r="AC342" s="1"/>
      </tp>
      <tp t="s">
        <v>#N/A Requesting Data...2071397491</v>
        <stp/>
        <stp>BDP|1742625086621322313</stp>
        <tr r="AA1432" s="1"/>
        <tr r="AA1432" s="1"/>
      </tp>
      <tp t="s">
        <v>#N/A Requesting Data...1979646690</v>
        <stp/>
        <stp>BDP|7485049855306273963</stp>
        <tr r="AC91" s="1"/>
        <tr r="AC91" s="1"/>
      </tp>
      <tp t="s">
        <v>#N/A Requesting Data...3828824426</v>
        <stp/>
        <stp>BDP|3285026134134446962</stp>
        <tr r="AC927" s="1"/>
        <tr r="AC927" s="1"/>
      </tp>
      <tp t="s">
        <v>#N/A Requesting Data...4002530157</v>
        <stp/>
        <stp>BDP|7930788770732445831</stp>
        <tr r="Z677" s="1"/>
        <tr r="Z677" s="1"/>
      </tp>
      <tp t="s">
        <v>#N/A Requesting Data...3763548123</v>
        <stp/>
        <stp>BDP|5917110964687985837</stp>
        <tr r="AA149" s="1"/>
        <tr r="AA149" s="1"/>
      </tp>
      <tp t="s">
        <v>#N/A Requesting Data...2389889507</v>
        <stp/>
        <stp>BDP|4618534095411600409</stp>
        <tr r="Z1598" s="1"/>
        <tr r="Z1598" s="1"/>
      </tp>
      <tp t="s">
        <v>#N/A Requesting Data...3292005605</v>
        <stp/>
        <stp>BDP|7715808921942813289</stp>
        <tr r="AC1280" s="1"/>
        <tr r="AC1280" s="1"/>
      </tp>
      <tp t="s">
        <v>#N/A Requesting Data...1293535288</v>
        <stp/>
        <stp>BDP|9188484619018158974</stp>
        <tr r="AB1275" s="1"/>
        <tr r="AB1275" s="1"/>
      </tp>
      <tp t="s">
        <v>#N/A Requesting Data...3381246169</v>
        <stp/>
        <stp>BDP|1679428072088024701</stp>
        <tr r="AA1243" s="1"/>
        <tr r="AA1243" s="1"/>
      </tp>
      <tp t="s">
        <v>#N/A Requesting Data...1430867606</v>
        <stp/>
        <stp>BDP|1351367337439412508</stp>
        <tr r="AA1315" s="1"/>
        <tr r="AA1315" s="1"/>
      </tp>
      <tp t="s">
        <v>#N/A Requesting Data...4196094144</v>
        <stp/>
        <stp>BDP|1264236056263741865</stp>
        <tr r="Y1528" s="1"/>
        <tr r="Y1528" s="1"/>
      </tp>
      <tp t="s">
        <v>#N/A Requesting Data...1484998584</v>
        <stp/>
        <stp>BDP|4624876262161347663</stp>
        <tr r="Z1068" s="1"/>
        <tr r="Z1068" s="1"/>
      </tp>
      <tp t="s">
        <v>#N/A Requesting Data...1350709137</v>
        <stp/>
        <stp>BDP|6756217742694572976</stp>
        <tr r="AB1112" s="1"/>
        <tr r="AB1112" s="1"/>
      </tp>
      <tp t="s">
        <v>#N/A Requesting Data...3120079725</v>
        <stp/>
        <stp>BDP|6624858242916139164</stp>
        <tr r="Z243" s="1"/>
        <tr r="Z243" s="1"/>
      </tp>
      <tp t="s">
        <v>#N/A Requesting Data...2561700830</v>
        <stp/>
        <stp>BDP|6275591587091997738</stp>
        <tr r="AC1342" s="1"/>
        <tr r="AC1342" s="1"/>
      </tp>
      <tp t="s">
        <v>#N/A Requesting Data...3828490712</v>
        <stp/>
        <stp>BDP|4082942059577805227</stp>
        <tr r="Z31" s="1"/>
        <tr r="Z31" s="1"/>
      </tp>
      <tp t="s">
        <v>#N/A Requesting Data...2496311705</v>
        <stp/>
        <stp>BDP|9183742835143050376</stp>
        <tr r="AB1073" s="1"/>
        <tr r="AB1073" s="1"/>
      </tp>
      <tp t="s">
        <v>#N/A Requesting Data...3707300788</v>
        <stp/>
        <stp>BDP|1996494287046848683</stp>
        <tr r="Z545" s="1"/>
        <tr r="Z545" s="1"/>
      </tp>
      <tp t="s">
        <v>#N/A Requesting Data...2121301647</v>
        <stp/>
        <stp>BDP|7573988536248862847</stp>
        <tr r="AB343" s="1"/>
        <tr r="AB343" s="1"/>
      </tp>
      <tp t="s">
        <v>#N/A Requesting Data...1982664282</v>
        <stp/>
        <stp>BDP|8417432015237106742</stp>
        <tr r="Z474" s="1"/>
        <tr r="Z474" s="1"/>
      </tp>
      <tp t="s">
        <v>#N/A Requesting Data...1293674508</v>
        <stp/>
        <stp>BDP|8376030132550015651</stp>
        <tr r="AA325" s="1"/>
        <tr r="AA325" s="1"/>
      </tp>
      <tp t="s">
        <v>#N/A Requesting Data...1530913498</v>
        <stp/>
        <stp>BDP|4519801595199415132</stp>
        <tr r="AA412" s="1"/>
        <tr r="AA412" s="1"/>
      </tp>
      <tp t="s">
        <v>#N/A Requesting Data...1271020970</v>
        <stp/>
        <stp>BDP|5216822725416530470</stp>
        <tr r="AB1547" s="1"/>
        <tr r="AB1547" s="1"/>
      </tp>
      <tp t="s">
        <v>#N/A Requesting Data...3762038262</v>
        <stp/>
        <stp>BDP|7004992424529192887</stp>
        <tr r="AC659" s="1"/>
        <tr r="AC659" s="1"/>
      </tp>
      <tp t="s">
        <v>#N/A Requesting Data...1409775818</v>
        <stp/>
        <stp>BDP|5148179882306545752</stp>
        <tr r="AB1276" s="1"/>
        <tr r="AB1276" s="1"/>
      </tp>
      <tp t="s">
        <v>#N/A Requesting Data...3776340101</v>
        <stp/>
        <stp>BDP|3404556410083780926</stp>
        <tr r="Z1133" s="1"/>
        <tr r="Z1133" s="1"/>
      </tp>
      <tp t="s">
        <v>#N/A Requesting Data...2405997990</v>
        <stp/>
        <stp>BDP|8234850481063195631</stp>
        <tr r="Y1434" s="1"/>
        <tr r="Y1434" s="1"/>
      </tp>
      <tp t="s">
        <v>#N/A Requesting Data...2844788549</v>
        <stp/>
        <stp>BDP|8422547601542483215</stp>
        <tr r="AA969" s="1"/>
        <tr r="AA969" s="1"/>
      </tp>
      <tp t="s">
        <v>#N/A Requesting Data...1068703470</v>
        <stp/>
        <stp>BDP|9670574155313063708</stp>
        <tr r="Y533" s="1"/>
        <tr r="Y533" s="1"/>
      </tp>
      <tp t="s">
        <v>#N/A Requesting Data...4019645885</v>
        <stp/>
        <stp>BDP|3221656892747291639</stp>
        <tr r="Z1064" s="1"/>
        <tr r="Z1064" s="1"/>
      </tp>
      <tp t="s">
        <v>#N/A Requesting Data...1604352791</v>
        <stp/>
        <stp>BDP|1808946569126632577</stp>
        <tr r="Y1450" s="1"/>
        <tr r="Y1450" s="1"/>
      </tp>
      <tp t="s">
        <v>#N/A Requesting Data...2691529770</v>
        <stp/>
        <stp>BDP|5286352386483545008</stp>
        <tr r="Z678" s="1"/>
        <tr r="Z678" s="1"/>
      </tp>
      <tp t="s">
        <v>#N/A Requesting Data...1329995273</v>
        <stp/>
        <stp>BDP|1051111130259253776</stp>
        <tr r="AA1567" s="1"/>
        <tr r="AA1567" s="1"/>
      </tp>
      <tp t="s">
        <v>#N/A Requesting Data...1637208769</v>
        <stp/>
        <stp>BDP|5491667721935149967</stp>
        <tr r="Z556" s="1"/>
        <tr r="Z556" s="1"/>
      </tp>
      <tp t="s">
        <v>#N/A Requesting Data...3111170514</v>
        <stp/>
        <stp>BDP|4309851614152366251</stp>
        <tr r="Y590" s="1"/>
        <tr r="Y590" s="1"/>
      </tp>
      <tp t="s">
        <v>#N/A Requesting Data...1596448758</v>
        <stp/>
        <stp>BDP|9878453328103561144</stp>
        <tr r="Z646" s="1"/>
        <tr r="Z646" s="1"/>
      </tp>
      <tp t="s">
        <v>#N/A Requesting Data...3879271680</v>
        <stp/>
        <stp>BDP|7569013755406019956</stp>
        <tr r="AB791" s="1"/>
        <tr r="AB791" s="1"/>
      </tp>
      <tp t="s">
        <v>#N/A Requesting Data...1606873822</v>
        <stp/>
        <stp>BDP|3635629497036713710</stp>
        <tr r="AC134" s="1"/>
        <tr r="AC134" s="1"/>
      </tp>
      <tp t="s">
        <v>#N/A Requesting Data...3929021175</v>
        <stp/>
        <stp>BDP|9189486029462008050</stp>
        <tr r="AC1275" s="1"/>
        <tr r="AC1275" s="1"/>
      </tp>
      <tp t="s">
        <v>#N/A Requesting Data...1356021999</v>
        <stp/>
        <stp>BDP|4571848330837050548</stp>
        <tr r="Z491" s="1"/>
        <tr r="Z491" s="1"/>
      </tp>
      <tp t="s">
        <v>#N/A Requesting Data...2201108031</v>
        <stp/>
        <stp>BDP|8329727682963245942</stp>
        <tr r="Y572" s="1"/>
        <tr r="Y572" s="1"/>
      </tp>
      <tp t="s">
        <v>#N/A Requesting Data...2723315017</v>
        <stp/>
        <stp>BDP|7421662847479096107</stp>
        <tr r="Y1028" s="1"/>
        <tr r="Y1028" s="1"/>
      </tp>
      <tp t="s">
        <v>#N/A Requesting Data...2358459855</v>
        <stp/>
        <stp>BDP|3063765120849123225</stp>
        <tr r="AB860" s="1"/>
        <tr r="AB860" s="1"/>
      </tp>
      <tp t="s">
        <v>#N/A Requesting Data...2709863744</v>
        <stp/>
        <stp>BDP|6920037807859151294</stp>
        <tr r="AC881" s="1"/>
        <tr r="AC881" s="1"/>
      </tp>
      <tp t="s">
        <v>#N/A Requesting Data...1885180354</v>
        <stp/>
        <stp>BDP|3986103319787044954</stp>
        <tr r="AC1011" s="1"/>
        <tr r="AC1011" s="1"/>
      </tp>
      <tp t="s">
        <v>#N/A Requesting Data...2420071522</v>
        <stp/>
        <stp>BDP|7364707649211745888</stp>
        <tr r="AB39" s="1"/>
        <tr r="AB39" s="1"/>
      </tp>
      <tp t="s">
        <v>#N/A Requesting Data...3155389662</v>
        <stp/>
        <stp>BDP|7149398093523794393</stp>
        <tr r="Y1510" s="1"/>
        <tr r="Y1510" s="1"/>
      </tp>
      <tp t="s">
        <v>#N/A Requesting Data...1532770865</v>
        <stp/>
        <stp>BDP|6643326548555800915</stp>
        <tr r="AC469" s="1"/>
        <tr r="AC469" s="1"/>
      </tp>
      <tp t="s">
        <v>#N/A Requesting Data...3120647746</v>
        <stp/>
        <stp>BDP|2773956457374555752</stp>
        <tr r="Z164" s="1"/>
        <tr r="Z164" s="1"/>
      </tp>
      <tp t="s">
        <v>#N/A Requesting Data...3539334789</v>
        <stp/>
        <stp>BDP|3981821258701624209</stp>
        <tr r="AC203" s="1"/>
        <tr r="AC203" s="1"/>
      </tp>
      <tp t="s">
        <v>#N/A Requesting Data...2452641289</v>
        <stp/>
        <stp>BDP|4376401608689620486</stp>
        <tr r="AA636" s="1"/>
        <tr r="AA636" s="1"/>
      </tp>
      <tp t="s">
        <v>#N/A Requesting Data...2783215151</v>
        <stp/>
        <stp>BDP|5407389109088047309</stp>
        <tr r="Y413" s="1"/>
        <tr r="Y413" s="1"/>
      </tp>
      <tp t="s">
        <v>#N/A Requesting Data...1533494490</v>
        <stp/>
        <stp>BDP|8454389499327198812</stp>
        <tr r="AA739" s="1"/>
        <tr r="AA739" s="1"/>
      </tp>
      <tp t="s">
        <v>#N/A Requesting Data...3954948298</v>
        <stp/>
        <stp>BDP|8752354123451271565</stp>
        <tr r="AC1177" s="1"/>
        <tr r="AC1177" s="1"/>
      </tp>
      <tp t="s">
        <v>#N/A Requesting Data...2843256135</v>
        <stp/>
        <stp>BDP|2558016585030021747</stp>
        <tr r="AC1456" s="1"/>
        <tr r="AC1456" s="1"/>
      </tp>
      <tp>
        <v>0.18410000000000001</v>
        <stp/>
        <stp>BDP|7619698472069232055|22</stp>
        <stp>SYRS US Equity</stp>
        <stp>LAST_PRICE</stp>
        <tr r="AD1426" s="1"/>
        <tr r="AD1426" s="1"/>
      </tp>
      <tp>
        <v>6.44</v>
        <stp/>
        <stp>BDP|9444387611937571349|22</stp>
        <stp>MGTX US Equity</stp>
        <stp>LAST_PRICE</stp>
        <tr r="AD938" s="1"/>
        <tr r="AD938" s="1"/>
      </tp>
      <tp>
        <v>1.0000000000000001E-5</v>
        <stp/>
        <stp>BDP|3677889572312745150|22</stp>
        <stp>ADVT US Equity</stp>
        <stp>LAST_PRICE</stp>
        <tr r="AD57" s="1"/>
        <tr r="AD57" s="1"/>
      </tp>
      <tp>
        <v>59.28</v>
        <stp/>
        <stp>BDP|1745984332976092910|22</stp>
        <stp>SWTX US Equity</stp>
        <stp>LAST_PRICE</stp>
        <tr r="AD1386" s="1"/>
        <tr r="AD1386" s="1"/>
      </tp>
      <tp>
        <v>18</v>
        <stp/>
        <stp>BDP|9862772663052617149|22</stp>
        <stp>VTVT US Equity</stp>
        <stp>LAST_PRICE</stp>
        <tr r="AD1572" s="1"/>
        <tr r="AD1572" s="1"/>
      </tp>
      <tp>
        <v>11.5</v>
        <stp/>
        <stp>BDP|6782176619348158780|22</stp>
        <stp>TNXP US Equity</stp>
        <stp>LAST_PRICE</stp>
        <tr r="AD1477" s="1"/>
        <tr r="AD1477" s="1"/>
      </tp>
      <tp>
        <v>23.465</v>
        <stp/>
        <stp>BDP|7938627357437059105|22</stp>
        <stp>CDTX US Equity</stp>
        <stp>LAST_PRICE</stp>
        <tr r="AD402" s="1"/>
        <tr r="AD402" s="1"/>
      </tp>
      <tp>
        <v>2.58</v>
        <stp/>
        <stp>BDP|9752094178377161792|22</stp>
        <stp>ANVS US Equity</stp>
        <stp>LAST_PRICE</stp>
        <tr r="AD137" s="1"/>
        <tr r="AD137" s="1"/>
      </tp>
      <tp t="s">
        <v>#N/A N/A</v>
        <stp/>
        <stp>BDP|3567994532295189239|22</stp>
        <stp>HRTT US Equity</stp>
        <stp>LAST_PRICE</stp>
        <tr r="AD685" s="1"/>
      </tp>
      <tp>
        <v>13.66</v>
        <stp/>
        <stp>BDP|8377981821506852481|22</stp>
        <stp>CERT US Equity</stp>
        <stp>LAST_PRICE</stp>
        <tr r="AD382" s="1"/>
        <tr r="AD382" s="1"/>
      </tp>
      <tp>
        <v>9.9999999999999995E-7</v>
        <stp/>
        <stp>BDP|4073182354059208367|22</stp>
        <stp>EAPH US Equity</stp>
        <stp>LAST_PRICE</stp>
        <tr r="AD526" s="1"/>
        <tr r="AD526" s="1"/>
      </tp>
      <tp>
        <v>10.38</v>
        <stp/>
        <stp>BDP|2752982872154012214|22</stp>
        <stp>GTII CN Equity</stp>
        <stp>LAST_PRICE</stp>
        <tr r="AD662" s="1"/>
        <tr r="AD662" s="1"/>
      </tp>
      <tp>
        <v>1.8</v>
        <stp/>
        <stp>BDP|8070344729324209154|22</stp>
        <stp>CERO US Equity</stp>
        <stp>LAST_PRICE</stp>
        <tr r="AD381" s="1"/>
        <tr r="AD381" s="1"/>
      </tp>
      <tp>
        <v>131.55000000000001</v>
        <stp/>
        <stp>BDP|7879364130210088452|22</stp>
        <stp>AXSM US Equity</stp>
        <stp>LAST_PRICE</stp>
        <tr r="AD222" s="1"/>
        <tr r="AD222" s="1"/>
      </tp>
      <tp t="s">
        <v>#N/A N/A</v>
        <stp/>
        <stp>BDP|3137191868804467426|22</stp>
        <stp>MLCL CN Equity</stp>
        <stp>LAST_PRICE</stp>
        <tr r="AD972" s="1"/>
      </tp>
      <tp>
        <v>12.04</v>
        <stp/>
        <stp>BDP|8949328049119832708|22</stp>
        <stp>TYRA US Equity</stp>
        <stp>LAST_PRICE</stp>
        <tr r="AD1498" s="1"/>
        <tr r="AD1498" s="1"/>
      </tp>
      <tp>
        <v>0.38</v>
        <stp/>
        <stp>BDP|1435954025734974458|22</stp>
        <stp>ROMJ CN Equity</stp>
        <stp>LAST_PRICE</stp>
        <tr r="AD1298" s="1"/>
        <tr r="AD1298" s="1"/>
      </tp>
      <tp>
        <v>1.08</v>
        <stp/>
        <stp>BDP|9853656044989536204|22</stp>
        <stp>HOTH US Equity</stp>
        <stp>LAST_PRICE</stp>
        <tr r="AD704" s="1"/>
        <tr r="AD704" s="1"/>
      </tp>
      <tp>
        <v>0.91779999999999995</v>
        <stp/>
        <stp>BDP|7293940546305401088|22</stp>
        <stp>CNTB US Equity</stp>
        <stp>LAST_PRICE</stp>
        <tr r="AD439" s="1"/>
        <tr r="AD439" s="1"/>
      </tp>
      <tp>
        <v>2.68</v>
        <stp/>
        <stp>BDP|5125528819749395038|22</stp>
        <stp>MGRM US Equity</stp>
        <stp>LAST_PRICE</stp>
        <tr r="AD976" s="1"/>
        <tr r="AD976" s="1"/>
      </tp>
      <tp>
        <v>3.84</v>
        <stp/>
        <stp>BDP|9824253415393892463|22</stp>
        <stp>CSCI CN Equity</stp>
        <stp>LAST_PRICE</stp>
        <tr r="AD450" s="1"/>
        <tr r="AD450" s="1"/>
      </tp>
      <tp t="s">
        <v>#N/A Requesting Data...3710147527</v>
        <stp/>
        <stp>BDP|3657880532822004464</stp>
        <tr r="Y68" s="1"/>
        <tr r="Y68" s="1"/>
      </tp>
      <tp t="s">
        <v>#N/A Requesting Data...2926156183</v>
        <stp/>
        <stp>BDP|2976447124022721849</stp>
        <tr r="AC1274" s="1"/>
        <tr r="AC1274" s="1"/>
      </tp>
      <tp t="s">
        <v>#N/A Requesting Data...1574807070</v>
        <stp/>
        <stp>BDP|2353329483092800500</stp>
        <tr r="Y398" s="1"/>
        <tr r="Y398" s="1"/>
      </tp>
      <tp t="s">
        <v>#N/A Requesting Data...1139294514</v>
        <stp/>
        <stp>BDP|3404048278782235800</stp>
        <tr r="Z1259" s="1"/>
        <tr r="Z1259" s="1"/>
      </tp>
      <tp t="s">
        <v>#N/A Requesting Data...3291375376</v>
        <stp/>
        <stp>BDP|3087350800607942965</stp>
        <tr r="AA1183" s="1"/>
        <tr r="AA1183" s="1"/>
      </tp>
      <tp t="s">
        <v>#N/A Requesting Data...3683543182</v>
        <stp/>
        <stp>BDP|4520788802034515904</stp>
        <tr r="AC705" s="1"/>
        <tr r="AC705" s="1"/>
      </tp>
      <tp t="s">
        <v>#N/A Requesting Data...1523276375</v>
        <stp/>
        <stp>BDP|7538639555158867212</stp>
        <tr r="AA1538" s="1"/>
        <tr r="AA1538" s="1"/>
      </tp>
      <tp t="s">
        <v>#N/A Requesting Data...2925739108</v>
        <stp/>
        <stp>BDP|9052129928404001007</stp>
        <tr r="AB1008" s="1"/>
        <tr r="AB1008" s="1"/>
      </tp>
      <tp t="s">
        <v>#N/A Requesting Data...2181205284</v>
        <stp/>
        <stp>BDP|6634585336326652841</stp>
        <tr r="AA1180" s="1"/>
        <tr r="AA1180" s="1"/>
      </tp>
      <tp t="s">
        <v>#N/A Requesting Data...3150040313</v>
        <stp/>
        <stp>BDP|2883558890491551120</stp>
        <tr r="AC378" s="1"/>
        <tr r="AC378" s="1"/>
      </tp>
      <tp t="s">
        <v>#N/A Requesting Data...1256984934</v>
        <stp/>
        <stp>BDP|4738186583606446527</stp>
        <tr r="Y920" s="1"/>
        <tr r="Y920" s="1"/>
      </tp>
      <tp t="s">
        <v>#N/A Requesting Data...1197492798</v>
        <stp/>
        <stp>BDP|4923271385693908381</stp>
        <tr r="Z1529" s="1"/>
        <tr r="Z1529" s="1"/>
      </tp>
      <tp t="s">
        <v>#N/A Requesting Data...1603925551</v>
        <stp/>
        <stp>BDP|8886004275647096674</stp>
        <tr r="AA572" s="1"/>
        <tr r="AA572" s="1"/>
      </tp>
      <tp t="s">
        <v>#N/A Requesting Data...1328924731</v>
        <stp/>
        <stp>BDP|3064933356811926068</stp>
        <tr r="AC869" s="1"/>
        <tr r="AC869" s="1"/>
      </tp>
      <tp t="s">
        <v>#N/A Requesting Data...1750670143</v>
        <stp/>
        <stp>BDP|2128156579709216355</stp>
        <tr r="Y1192" s="1"/>
        <tr r="Y1192" s="1"/>
      </tp>
      <tp t="s">
        <v>#N/A Requesting Data...3834052500</v>
        <stp/>
        <stp>BDP|8980335141764445558</stp>
        <tr r="Z538" s="1"/>
        <tr r="Z538" s="1"/>
      </tp>
      <tp t="s">
        <v>#N/A Requesting Data...2752902238</v>
        <stp/>
        <stp>BDP|2979460162006615810</stp>
        <tr r="AC928" s="1"/>
        <tr r="AC928" s="1"/>
      </tp>
      <tp>
        <v>0.84</v>
        <stp/>
        <stp>BDP|12260714550060538456|22</stp>
        <stp>HBP CN Equity</stp>
        <stp>LAST_PRICE</stp>
        <tr r="AD690" s="1"/>
        <tr r="AD690" s="1"/>
      </tp>
      <tp t="s">
        <v>#N/A Requesting Data...3997758683</v>
        <stp/>
        <stp>BDP|5979338624893147948</stp>
        <tr r="AC1372" s="1"/>
        <tr r="AC1372" s="1"/>
      </tp>
      <tp t="s">
        <v>#N/A Requesting Data...4293827883</v>
        <stp/>
        <stp>BDP|1821351001029703509</stp>
        <tr r="Z585" s="1"/>
        <tr r="Z585" s="1"/>
      </tp>
      <tp t="s">
        <v>#N/A Requesting Data...3992804249</v>
        <stp/>
        <stp>BDP|4376354323892937974</stp>
        <tr r="Z125" s="1"/>
        <tr r="Z125" s="1"/>
      </tp>
      <tp t="s">
        <v>#N/A Requesting Data...4224290034</v>
        <stp/>
        <stp>BDP|3779341698076419148</stp>
        <tr r="AA1309" s="1"/>
        <tr r="AA1309" s="1"/>
      </tp>
      <tp t="s">
        <v>#N/A Requesting Data...4050705732</v>
        <stp/>
        <stp>BDP|5066653314278927434</stp>
        <tr r="AA1464" s="1"/>
        <tr r="AA1464" s="1"/>
      </tp>
      <tp t="s">
        <v>#N/A Requesting Data...3715568034</v>
        <stp/>
        <stp>BDP|9418310061172914061</stp>
        <tr r="AA1226" s="1"/>
        <tr r="AA1226" s="1"/>
      </tp>
      <tp t="s">
        <v>#N/A Requesting Data...2185385156</v>
        <stp/>
        <stp>BDP|7003432968839999291</stp>
        <tr r="Z729" s="1"/>
        <tr r="Z729" s="1"/>
      </tp>
      <tp t="s">
        <v>#N/A Requesting Data...3143668985</v>
        <stp/>
        <stp>BDP|3588988123235710326</stp>
        <tr r="Z339" s="1"/>
        <tr r="Z339" s="1"/>
      </tp>
      <tp t="s">
        <v>#N/A Requesting Data...3498453927</v>
        <stp/>
        <stp>BDP|1204915014135822242</stp>
        <tr r="Z1363" s="1"/>
        <tr r="Z1363" s="1"/>
      </tp>
      <tp t="s">
        <v>#N/A Requesting Data...2549883634</v>
        <stp/>
        <stp>BDP|1194304844998724091</stp>
        <tr r="Z711" s="1"/>
        <tr r="Z711" s="1"/>
      </tp>
      <tp t="s">
        <v>#N/A Requesting Data...2309082343</v>
        <stp/>
        <stp>BDP|9292767044465284194</stp>
        <tr r="AB1304" s="1"/>
        <tr r="AB1304" s="1"/>
      </tp>
      <tp t="s">
        <v>#N/A Requesting Data...1915129259</v>
        <stp/>
        <stp>BDP|3328284333479063532</stp>
        <tr r="Z1348" s="1"/>
        <tr r="Z1348" s="1"/>
      </tp>
      <tp t="s">
        <v>#N/A Requesting Data...1176811700</v>
        <stp/>
        <stp>BDP|9766452179222285616</stp>
        <tr r="Y549" s="1"/>
        <tr r="Y549" s="1"/>
      </tp>
      <tp t="s">
        <v>#N/A Requesting Data...2045065203</v>
        <stp/>
        <stp>BDP|7082046286153944233</stp>
        <tr r="Y564" s="1"/>
        <tr r="Y564" s="1"/>
      </tp>
      <tp t="s">
        <v>#N/A Requesting Data...3552274588</v>
        <stp/>
        <stp>BDP|9814439312636031416</stp>
        <tr r="AA1477" s="1"/>
        <tr r="AA1477" s="1"/>
      </tp>
      <tp t="s">
        <v>#N/A Requesting Data...3410684172</v>
        <stp/>
        <stp>BDP|2139794892713081123</stp>
        <tr r="Y417" s="1"/>
        <tr r="Y417" s="1"/>
      </tp>
      <tp t="s">
        <v>#N/A Requesting Data...4271154506</v>
        <stp/>
        <stp>BDP|8911090667931744186</stp>
        <tr r="Y902" s="1"/>
        <tr r="Y902" s="1"/>
      </tp>
      <tp t="s">
        <v>#N/A Requesting Data...1337726921</v>
        <stp/>
        <stp>BDP|1709260669232887980</stp>
        <tr r="Y1128" s="1"/>
        <tr r="Y1128" s="1"/>
      </tp>
      <tp t="s">
        <v>#N/A Requesting Data...1823694004</v>
        <stp/>
        <stp>BDP|1280915686758928645</stp>
        <tr r="Z1085" s="1"/>
        <tr r="Z1085" s="1"/>
      </tp>
      <tp t="s">
        <v>#N/A Requesting Data...1648452195</v>
        <stp/>
        <stp>BDP|2655668560309066584</stp>
        <tr r="Y523" s="1"/>
        <tr r="Y523" s="1"/>
      </tp>
      <tp t="s">
        <v>#N/A Requesting Data...1977564657</v>
        <stp/>
        <stp>BDP|6060456865009071388</stp>
        <tr r="AB633" s="1"/>
        <tr r="AB633" s="1"/>
      </tp>
      <tp t="s">
        <v>#N/A Requesting Data...3533370466</v>
        <stp/>
        <stp>BDP|5874890611233937118</stp>
        <tr r="Z1125" s="1"/>
        <tr r="Z1125" s="1"/>
      </tp>
      <tp t="s">
        <v>#N/A Requesting Data...1165392414</v>
        <stp/>
        <stp>BDP|1086656272197857974</stp>
        <tr r="Z1359" s="1"/>
        <tr r="Z1359" s="1"/>
      </tp>
      <tp t="s">
        <v>#N/A Requesting Data...1191710710</v>
        <stp/>
        <stp>BDP|3226113404544668893</stp>
        <tr r="Y692" s="1"/>
        <tr r="Y692" s="1"/>
      </tp>
      <tp t="s">
        <v>#N/A Requesting Data...3729429406</v>
        <stp/>
        <stp>BDP|3868907091569817494</stp>
        <tr r="AB1363" s="1"/>
        <tr r="AB1363" s="1"/>
      </tp>
      <tp t="s">
        <v>#N/A Requesting Data...1332158495</v>
        <stp/>
        <stp>BDP|2772703273294515897</stp>
        <tr r="Z1369" s="1"/>
        <tr r="Z1369" s="1"/>
      </tp>
      <tp t="s">
        <v>#N/A Requesting Data...2531861234</v>
        <stp/>
        <stp>BDP|2533658187691863378</stp>
        <tr r="AA231" s="1"/>
        <tr r="AA231" s="1"/>
      </tp>
      <tp t="s">
        <v>#N/A Requesting Data...4128202218</v>
        <stp/>
        <stp>BDP|5633786220568218644</stp>
        <tr r="AB27" s="1"/>
        <tr r="AB27" s="1"/>
      </tp>
      <tp t="s">
        <v>#N/A Requesting Data...3996946789</v>
        <stp/>
        <stp>BDP|9946930715058786708</stp>
        <tr r="AA1529" s="1"/>
        <tr r="AA1529" s="1"/>
      </tp>
      <tp t="s">
        <v>#N/A Requesting Data...2060501626</v>
        <stp/>
        <stp>BDP|9479988885392235425</stp>
        <tr r="Y1420" s="1"/>
        <tr r="Y1420" s="1"/>
      </tp>
      <tp t="s">
        <v>#N/A Requesting Data...2229804160</v>
        <stp/>
        <stp>BDP|9733537904854032692</stp>
        <tr r="AA609" s="1"/>
        <tr r="AA609" s="1"/>
      </tp>
      <tp t="s">
        <v>#N/A Requesting Data...1345199034</v>
        <stp/>
        <stp>BDP|5145054019059093345</stp>
        <tr r="Z1058" s="1"/>
        <tr r="Z1058" s="1"/>
      </tp>
      <tp t="s">
        <v>#N/A Requesting Data...3857347745</v>
        <stp/>
        <stp>BDP|2549793982750685319</stp>
        <tr r="Y756" s="1"/>
        <tr r="Y756" s="1"/>
      </tp>
      <tp t="s">
        <v>#N/A Requesting Data...1970056327</v>
        <stp/>
        <stp>BDP|3497906559387758638</stp>
        <tr r="Z423" s="1"/>
        <tr r="Z423" s="1"/>
      </tp>
      <tp t="s">
        <v>#N/A Requesting Data...2871669626</v>
        <stp/>
        <stp>BDP|3513305106618823620</stp>
        <tr r="Z1175" s="1"/>
        <tr r="Z1175" s="1"/>
      </tp>
      <tp t="s">
        <v>#N/A Requesting Data...2883991865</v>
        <stp/>
        <stp>BDP|4985083378328734579</stp>
        <tr r="AC913" s="1"/>
        <tr r="AC913" s="1"/>
      </tp>
      <tp t="s">
        <v>#N/A Requesting Data...1499470285</v>
        <stp/>
        <stp>BDP|8831582196208811276</stp>
        <tr r="AA902" s="1"/>
        <tr r="AA902" s="1"/>
      </tp>
      <tp t="s">
        <v>#N/A Requesting Data...1105880352</v>
        <stp/>
        <stp>BDP|3018015091601814517</stp>
        <tr r="Y468" s="1"/>
        <tr r="Y468" s="1"/>
      </tp>
      <tp t="s">
        <v>#N/A Requesting Data...1827353738</v>
        <stp/>
        <stp>BDP|2648521242559864472</stp>
        <tr r="Z238" s="1"/>
        <tr r="Z238" s="1"/>
      </tp>
      <tp t="s">
        <v>#N/A Requesting Data...948076165</v>
        <stp/>
        <stp>BDP|1431995836687268200</stp>
        <tr r="Y151" s="1"/>
        <tr r="Y151" s="1"/>
      </tp>
      <tp t="s">
        <v>#N/A Requesting Data...3927659617</v>
        <stp/>
        <stp>BDP|4892805721000632015</stp>
        <tr r="Z1491" s="1"/>
        <tr r="Z1491" s="1"/>
      </tp>
      <tp t="s">
        <v>#N/A Requesting Data...4238249853</v>
        <stp/>
        <stp>BDP|1238829407897090096</stp>
        <tr r="Z1548" s="1"/>
        <tr r="Z1548" s="1"/>
      </tp>
      <tp t="s">
        <v>#N/A Requesting Data...2809119991</v>
        <stp/>
        <stp>BDP|6275860045842804673</stp>
        <tr r="AB552" s="1"/>
        <tr r="AB552" s="1"/>
      </tp>
      <tp t="s">
        <v>#N/A Requesting Data...1479872941</v>
        <stp/>
        <stp>BDP|5276087867365050839</stp>
        <tr r="AA515" s="1"/>
      </tp>
      <tp t="s">
        <v>#N/A Requesting Data...3669943171</v>
        <stp/>
        <stp>BDP|3130074250341027988</stp>
        <tr r="Z387" s="1"/>
        <tr r="Z387" s="1"/>
      </tp>
      <tp t="s">
        <v>#N/A Requesting Data...3700114990</v>
        <stp/>
        <stp>BDP|1962336926746042823</stp>
        <tr r="Z921" s="1"/>
        <tr r="Z921" s="1"/>
      </tp>
      <tp t="s">
        <v>#N/A Requesting Data...4040013357</v>
        <stp/>
        <stp>BDP|9405173268062223272</stp>
        <tr r="AA1089" s="1"/>
        <tr r="AA1089" s="1"/>
      </tp>
      <tp t="s">
        <v>#N/A Requesting Data...1190716356</v>
        <stp/>
        <stp>BDP|9983048635751762512</stp>
        <tr r="AB838" s="1"/>
        <tr r="AB838" s="1"/>
      </tp>
      <tp t="s">
        <v>#N/A Requesting Data...4204114947</v>
        <stp/>
        <stp>BDP|2540690782245240720</stp>
        <tr r="AC277" s="1"/>
        <tr r="AC277" s="1"/>
      </tp>
      <tp t="s">
        <v>#N/A Requesting Data...2687106068</v>
        <stp/>
        <stp>BDP|9538506948035061331</stp>
        <tr r="AC554" s="1"/>
        <tr r="AC554" s="1"/>
      </tp>
      <tp t="s">
        <v>#N/A Requesting Data...3497503767</v>
        <stp/>
        <stp>BDP|7675728768519392114</stp>
        <tr r="AC942" s="1"/>
        <tr r="AC942" s="1"/>
      </tp>
      <tp t="s">
        <v>#N/A Requesting Data...1795423479</v>
        <stp/>
        <stp>BDP|1790280360982428955</stp>
        <tr r="AA326" s="1"/>
        <tr r="AA326" s="1"/>
      </tp>
      <tp t="s">
        <v>#N/A Requesting Data...1754695839</v>
        <stp/>
        <stp>BDP|3645143950640557993</stp>
        <tr r="AB212" s="1"/>
        <tr r="AB212" s="1"/>
      </tp>
      <tp t="s">
        <v>#N/A Requesting Data...3608639044</v>
        <stp/>
        <stp>BDP|8246153488638905799</stp>
        <tr r="AB994" s="1"/>
        <tr r="AB994" s="1"/>
      </tp>
      <tp t="s">
        <v>#N/A Requesting Data...2608345110</v>
        <stp/>
        <stp>BDP|6879986809245720419</stp>
        <tr r="AC1123" s="1"/>
        <tr r="AC1123" s="1"/>
      </tp>
      <tp t="s">
        <v>#N/A Requesting Data...1894636342</v>
        <stp/>
        <stp>BDP|3461461372278645699</stp>
        <tr r="AA94" s="1"/>
        <tr r="AA94" s="1"/>
      </tp>
      <tp t="s">
        <v>#N/A Requesting Data...3538235531</v>
        <stp/>
        <stp>BDP|2788909352966834623</stp>
        <tr r="Z1551" s="1"/>
        <tr r="Z1551" s="1"/>
      </tp>
      <tp t="s">
        <v>#N/A Requesting Data...976584888</v>
        <stp/>
        <stp>BDP|8084181643431337271</stp>
        <tr r="Y645" s="1"/>
        <tr r="Y645" s="1"/>
      </tp>
      <tp t="s">
        <v>#N/A Requesting Data...1317338803</v>
        <stp/>
        <stp>BDP|9985518810832543123</stp>
        <tr r="AA416" s="1"/>
        <tr r="AA416" s="1"/>
      </tp>
      <tp t="s">
        <v>#N/A Requesting Data...4204974416</v>
        <stp/>
        <stp>BDP|4751972768006719308</stp>
        <tr r="Y833" s="1"/>
        <tr r="Y833" s="1"/>
      </tp>
      <tp t="s">
        <v>#N/A Requesting Data...2043871642</v>
        <stp/>
        <stp>BDP|4770930904836735582</stp>
        <tr r="Y1492" s="1"/>
        <tr r="Y1492" s="1"/>
      </tp>
      <tp t="s">
        <v>#N/A Requesting Data...2335772499</v>
        <stp/>
        <stp>BDP|8618916957139905367</stp>
        <tr r="AC594" s="1"/>
        <tr r="AC594" s="1"/>
      </tp>
      <tp t="s">
        <v>#N/A Requesting Data...1723257192</v>
        <stp/>
        <stp>BDP|5582988488062812820</stp>
        <tr r="AA1379" s="1"/>
        <tr r="AA1379" s="1"/>
      </tp>
      <tp t="s">
        <v>#N/A Requesting Data...2772496619</v>
        <stp/>
        <stp>BDP|9521484813743511141</stp>
        <tr r="Y1337" s="1"/>
        <tr r="Y1337" s="1"/>
      </tp>
      <tp t="s">
        <v>#N/A Requesting Data...1134573704</v>
        <stp/>
        <stp>BDP|1802028180703653439</stp>
        <tr r="AA421" s="1"/>
        <tr r="AA421" s="1"/>
      </tp>
      <tp t="s">
        <v>#N/A Requesting Data...1992921829</v>
        <stp/>
        <stp>BDP|2605936418275552177</stp>
        <tr r="AA320" s="1"/>
        <tr r="AA320" s="1"/>
      </tp>
      <tp t="s">
        <v>#N/A Requesting Data...2992230005</v>
        <stp/>
        <stp>BDP|9416411757265892362</stp>
        <tr r="AB1563" s="1"/>
        <tr r="AB1563" s="1"/>
      </tp>
      <tp t="s">
        <v>#N/A Requesting Data...3025779030</v>
        <stp/>
        <stp>BDP|5010418808078409710</stp>
        <tr r="Y1620" s="1"/>
        <tr r="Y1620" s="1"/>
      </tp>
      <tp t="s">
        <v>#N/A Requesting Data...3315167990</v>
        <stp/>
        <stp>BDP|2868959183728206501</stp>
        <tr r="Z447" s="1"/>
        <tr r="Z447" s="1"/>
      </tp>
      <tp t="s">
        <v>#N/A Requesting Data...3995822742</v>
        <stp/>
        <stp>BDP|2673681152977907897</stp>
        <tr r="Y956" s="1"/>
        <tr r="Y956" s="1"/>
      </tp>
      <tp t="s">
        <v>#N/A Requesting Data...1366563029</v>
        <stp/>
        <stp>BDP|2354279171628974106</stp>
        <tr r="AA30" s="1"/>
        <tr r="AA30" s="1"/>
      </tp>
      <tp t="s">
        <v>#N/A Requesting Data...1620961519</v>
        <stp/>
        <stp>BDP|8194415935080917102</stp>
        <tr r="AB464" s="1"/>
        <tr r="AB464" s="1"/>
      </tp>
      <tp t="s">
        <v>#N/A Requesting Data...1176624784</v>
        <stp/>
        <stp>BDP|4843487494435886201</stp>
        <tr r="Z1229" s="1"/>
        <tr r="Z1229" s="1"/>
      </tp>
      <tp t="s">
        <v>#N/A Requesting Data...1923456226</v>
        <stp/>
        <stp>BDP|2968055976648698302</stp>
        <tr r="AC64" s="1"/>
        <tr r="AC64" s="1"/>
      </tp>
      <tp t="s">
        <v>#N/A Requesting Data...1839242983</v>
        <stp/>
        <stp>BDP|7992850990978510050</stp>
        <tr r="AB950" s="1"/>
      </tp>
      <tp t="s">
        <v>#N/A Requesting Data...4004325270</v>
        <stp/>
        <stp>BDP|8189886925308362438</stp>
        <tr r="AC1347" s="1"/>
        <tr r="AC1347" s="1"/>
      </tp>
      <tp t="s">
        <v>#N/A Requesting Data...2806193800</v>
        <stp/>
        <stp>BDP|8678282850724650544</stp>
        <tr r="AC191" s="1"/>
        <tr r="AC191" s="1"/>
      </tp>
      <tp t="s">
        <v>#N/A Requesting Data...3091349324</v>
        <stp/>
        <stp>BDP|7773972644762825607</stp>
        <tr r="Y723" s="1"/>
        <tr r="Y723" s="1"/>
      </tp>
      <tp t="s">
        <v>#N/A Requesting Data...4189870075</v>
        <stp/>
        <stp>BDP|6403929189568760152</stp>
        <tr r="Y1090" s="1"/>
        <tr r="Y1090" s="1"/>
      </tp>
      <tp t="s">
        <v>#N/A Requesting Data...2885562635</v>
        <stp/>
        <stp>BDP|6471678150713771894</stp>
        <tr r="AA583" s="1"/>
        <tr r="AA583" s="1"/>
      </tp>
      <tp t="s">
        <v>#N/A Requesting Data...4096241820</v>
        <stp/>
        <stp>BDP|9380688949731851479</stp>
        <tr r="AB1022" s="1"/>
        <tr r="AB1022" s="1"/>
      </tp>
      <tp t="s">
        <v>#N/A Requesting Data...4057233858</v>
        <stp/>
        <stp>BDP|1379391243489091146</stp>
        <tr r="Y489" s="1"/>
        <tr r="Y489" s="1"/>
      </tp>
      <tp t="s">
        <v>#N/A Requesting Data...1512785435</v>
        <stp/>
        <stp>BDP|9699205034082799484</stp>
        <tr r="AC4" s="1"/>
        <tr r="AC4" s="1"/>
      </tp>
      <tp t="s">
        <v>#N/A Requesting Data...1572448865</v>
        <stp/>
        <stp>BDP|1131151753283252886</stp>
        <tr r="Y1016" s="1"/>
        <tr r="Y1016" s="1"/>
      </tp>
      <tp t="s">
        <v>#N/A Requesting Data...2722799258</v>
        <stp/>
        <stp>BDP|8445593150565330333</stp>
        <tr r="AB1359" s="1"/>
        <tr r="AB1359" s="1"/>
      </tp>
      <tp t="s">
        <v>#N/A Requesting Data...3913741968</v>
        <stp/>
        <stp>BDP|6642495141170023837</stp>
        <tr r="AA1300" s="1"/>
        <tr r="AA1300" s="1"/>
      </tp>
      <tp t="s">
        <v>#N/A Requesting Data...2028986166</v>
        <stp/>
        <stp>BDP|5667100051519826624</stp>
        <tr r="Y1277" s="1"/>
        <tr r="Y1277" s="1"/>
      </tp>
      <tp t="s">
        <v>#N/A Requesting Data...3305351171</v>
        <stp/>
        <stp>BDP|1980828941101121266</stp>
        <tr r="AB1605" s="1"/>
        <tr r="AB1605" s="1"/>
      </tp>
      <tp t="s">
        <v>#N/A Requesting Data...1201057697</v>
        <stp/>
        <stp>BDP|5887208021903901820</stp>
        <tr r="Y1576" s="1"/>
        <tr r="Y1576" s="1"/>
      </tp>
      <tp t="s">
        <v>#N/A Requesting Data...3322339056</v>
        <stp/>
        <stp>BDP|9461900186435893382</stp>
        <tr r="AA1338" s="1"/>
        <tr r="AA1338" s="1"/>
      </tp>
      <tp t="s">
        <v>#N/A Requesting Data...1995119577</v>
        <stp/>
        <stp>BDP|1609736796440199102</stp>
        <tr r="AC870" s="1"/>
      </tp>
      <tp t="s">
        <v>#N/A Requesting Data...3176136908</v>
        <stp/>
        <stp>BDP|9512349357112065347</stp>
        <tr r="Y955" s="1"/>
        <tr r="Y955" s="1"/>
      </tp>
      <tp t="s">
        <v>#N/A Requesting Data...1375735756</v>
        <stp/>
        <stp>BDP|6307845630195367669</stp>
        <tr r="Z5" s="1"/>
        <tr r="Z5" s="1"/>
      </tp>
      <tp t="s">
        <v>#N/A Requesting Data...2020359888</v>
        <stp/>
        <stp>BDP|8998131650256159492</stp>
        <tr r="Z389" s="1"/>
        <tr r="Z389" s="1"/>
      </tp>
      <tp t="s">
        <v>#N/A Requesting Data...1182195302</v>
        <stp/>
        <stp>BDP|9641929607619808796</stp>
        <tr r="AC861" s="1"/>
        <tr r="AC861" s="1"/>
      </tp>
      <tp t="s">
        <v>#N/A Requesting Data...2232229365</v>
        <stp/>
        <stp>BDP|8484206266601633367</stp>
        <tr r="Z986" s="1"/>
        <tr r="Z986" s="1"/>
      </tp>
      <tp t="s">
        <v>#N/A Requesting Data...1986121505</v>
        <stp/>
        <stp>BDP|2871861362354737696</stp>
        <tr r="Z734" s="1"/>
        <tr r="Z734" s="1"/>
      </tp>
      <tp t="s">
        <v>#N/A Requesting Data...3380215354</v>
        <stp/>
        <stp>BDP|2218577479427653987</stp>
        <tr r="AB1192" s="1"/>
        <tr r="AB1192" s="1"/>
      </tp>
      <tp t="s">
        <v>#N/A Requesting Data...2868664538</v>
        <stp/>
        <stp>BDP|8576640949291269581</stp>
        <tr r="AC345" s="1"/>
        <tr r="AC345" s="1"/>
      </tp>
      <tp t="s">
        <v>#N/A Requesting Data...3124198294</v>
        <stp/>
        <stp>BDP|9457581445040280699</stp>
        <tr r="AC180" s="1"/>
        <tr r="AC180" s="1"/>
      </tp>
      <tp t="s">
        <v>#N/A Requesting Data...3978477599</v>
        <stp/>
        <stp>BDP|9404270090324176801</stp>
        <tr r="AC1168" s="1"/>
        <tr r="AC1168" s="1"/>
      </tp>
      <tp t="s">
        <v>#N/A Requesting Data...2611924950</v>
        <stp/>
        <stp>BDP|2206067196121459446</stp>
        <tr r="AA32" s="1"/>
        <tr r="AA32" s="1"/>
      </tp>
      <tp t="s">
        <v>#N/A Requesting Data...3899892443</v>
        <stp/>
        <stp>BDP|4607111705399619267</stp>
        <tr r="AA1250" s="1"/>
        <tr r="AA1250" s="1"/>
      </tp>
      <tp t="s">
        <v>#N/A Requesting Data...2384740932</v>
        <stp/>
        <stp>BDP|3763163901658023425</stp>
        <tr r="Z1114" s="1"/>
      </tp>
      <tp t="s">
        <v>#N/A Requesting Data...3223689989</v>
        <stp/>
        <stp>BDP|9450334112685475037</stp>
        <tr r="AB992" s="1"/>
        <tr r="AB992" s="1"/>
      </tp>
      <tp t="s">
        <v>#N/A Requesting Data...3100141531</v>
        <stp/>
        <stp>BDP|7764931517129810891</stp>
        <tr r="Y338" s="1"/>
        <tr r="Y338" s="1"/>
      </tp>
      <tp t="s">
        <v>#N/A Requesting Data...2241900133</v>
        <stp/>
        <stp>BDP|2496325792051698703</stp>
        <tr r="AA861" s="1"/>
        <tr r="AA861" s="1"/>
      </tp>
      <tp t="s">
        <v>#N/A Requesting Data...4243587894</v>
        <stp/>
        <stp>BDP|1409187180551863762</stp>
        <tr r="AB1355" s="1"/>
        <tr r="AB1355" s="1"/>
      </tp>
      <tp t="s">
        <v>#N/A Requesting Data...1202648420</v>
        <stp/>
        <stp>BDP|9279337010980318511</stp>
        <tr r="AB618" s="1"/>
        <tr r="AB618" s="1"/>
      </tp>
      <tp t="s">
        <v>#N/A Requesting Data...2943032592</v>
        <stp/>
        <stp>BDP|8109210120071557764</stp>
        <tr r="AB821" s="1"/>
        <tr r="AB821" s="1"/>
      </tp>
      <tp t="s">
        <v>#N/A Requesting Data...3824946877</v>
        <stp/>
        <stp>BDP|1994920120242088682</stp>
        <tr r="AC539" s="1"/>
        <tr r="AC539" s="1"/>
      </tp>
      <tp t="s">
        <v>#N/A Requesting Data...3478459769</v>
        <stp/>
        <stp>BDP|3526815762190539305</stp>
        <tr r="AB65" s="1"/>
        <tr r="AB65" s="1"/>
      </tp>
      <tp t="s">
        <v>#N/A Requesting Data...3272346045</v>
        <stp/>
        <stp>BDP|9842725917415868463</stp>
        <tr r="AA1521" s="1"/>
        <tr r="AA1521" s="1"/>
      </tp>
      <tp t="s">
        <v>#N/A Requesting Data...1570400963</v>
        <stp/>
        <stp>BDP|6575137885128821980</stp>
        <tr r="Y1525" s="1"/>
      </tp>
      <tp t="s">
        <v>#N/A Requesting Data...3000193189</v>
        <stp/>
        <stp>BDP|1572681331818620299</stp>
        <tr r="AA146" s="1"/>
        <tr r="AA146" s="1"/>
      </tp>
      <tp t="s">
        <v>#N/A Requesting Data...1159703414</v>
        <stp/>
        <stp>BDP|2509855073072974196</stp>
        <tr r="AA921" s="1"/>
        <tr r="AA921" s="1"/>
      </tp>
      <tp t="s">
        <v>#N/A Requesting Data...1128077850</v>
        <stp/>
        <stp>BDP|8259465922608464817</stp>
        <tr r="AC58" s="1"/>
        <tr r="AC58" s="1"/>
      </tp>
      <tp t="s">
        <v>#N/A Requesting Data...2166837879</v>
        <stp/>
        <stp>BDP|2850681483986533459</stp>
        <tr r="Z1342" s="1"/>
        <tr r="Z1342" s="1"/>
      </tp>
      <tp t="s">
        <v>#N/A Requesting Data...2719369789</v>
        <stp/>
        <stp>BDP|9382738111637185638</stp>
        <tr r="AA255" s="1"/>
        <tr r="AA255" s="1"/>
      </tp>
      <tp t="s">
        <v>#N/A Requesting Data...1005046372</v>
        <stp/>
        <stp>BDP|6207225783162950097</stp>
        <tr r="Z1183" s="1"/>
        <tr r="Z1183" s="1"/>
      </tp>
      <tp t="s">
        <v>#N/A Requesting Data...1840103193</v>
        <stp/>
        <stp>BDP|6644609803726459829</stp>
        <tr r="AB817" s="1"/>
      </tp>
      <tp t="s">
        <v>#N/A Requesting Data...2467544682</v>
        <stp/>
        <stp>BDP|2015814770061308213</stp>
        <tr r="AB331" s="1"/>
        <tr r="AB331" s="1"/>
      </tp>
      <tp t="s">
        <v>#N/A Requesting Data...2265572649</v>
        <stp/>
        <stp>BDP|6792092156185067884</stp>
        <tr r="Z1251" s="1"/>
        <tr r="Z1251" s="1"/>
      </tp>
      <tp t="s">
        <v>#N/A Requesting Data...2009505842</v>
        <stp/>
        <stp>BDP|8857326928450446768</stp>
        <tr r="Y139" s="1"/>
        <tr r="Y139" s="1"/>
      </tp>
      <tp t="s">
        <v>#N/A Requesting Data...1891315378</v>
        <stp/>
        <stp>BDP|6977239850019337696</stp>
        <tr r="AB1551" s="1"/>
        <tr r="AB1551" s="1"/>
      </tp>
      <tp t="s">
        <v>#N/A Requesting Data...3591440873</v>
        <stp/>
        <stp>BDP|6268722374948560016</stp>
        <tr r="AA336" s="1"/>
        <tr r="AA336" s="1"/>
      </tp>
      <tp t="s">
        <v>#N/A Requesting Data...2045315952</v>
        <stp/>
        <stp>BDP|8314156800453290446</stp>
        <tr r="Z762" s="1"/>
        <tr r="Z762" s="1"/>
      </tp>
      <tp t="s">
        <v>#N/A Requesting Data...2608149195</v>
        <stp/>
        <stp>BDP|3707755909328988220</stp>
        <tr r="AB1016" s="1"/>
        <tr r="AB1016" s="1"/>
      </tp>
      <tp t="s">
        <v>#N/A Requesting Data...3049568183</v>
        <stp/>
        <stp>BDP|6541533743829635032</stp>
        <tr r="Z1437" s="1"/>
        <tr r="Z1437" s="1"/>
      </tp>
      <tp t="s">
        <v>#N/A Requesting Data...3921879506</v>
        <stp/>
        <stp>BDP|9928838382967149096</stp>
        <tr r="Y821" s="1"/>
        <tr r="Y821" s="1"/>
      </tp>
      <tp t="s">
        <v>#N/A Requesting Data...2480931786</v>
        <stp/>
        <stp>BDP|8036211302234064036</stp>
        <tr r="AA661" s="1"/>
        <tr r="AA661" s="1"/>
      </tp>
      <tp t="s">
        <v>#N/A Requesting Data...1540222709</v>
        <stp/>
        <stp>BDP|1240929831884455155</stp>
        <tr r="AA345" s="1"/>
        <tr r="AA345" s="1"/>
      </tp>
      <tp t="s">
        <v>#N/A Requesting Data...1865682209</v>
        <stp/>
        <stp>BDP|9738511154134438365</stp>
        <tr r="Y1029" s="1"/>
        <tr r="Y1029" s="1"/>
      </tp>
      <tp t="s">
        <v>#N/A Requesting Data...1701492265</v>
        <stp/>
        <stp>BDP|6734826666770238616</stp>
        <tr r="AC1324" s="1"/>
        <tr r="AC1324" s="1"/>
      </tp>
      <tp t="s">
        <v>#N/A Requesting Data...2550108033</v>
        <stp/>
        <stp>BDP|9840487820198883993</stp>
        <tr r="AC51" s="1"/>
        <tr r="AC51" s="1"/>
      </tp>
      <tp t="s">
        <v>#N/A Requesting Data...3055298258</v>
        <stp/>
        <stp>BDP|1885763538178544326</stp>
        <tr r="Z1566" s="1"/>
        <tr r="Z1566" s="1"/>
      </tp>
      <tp t="s">
        <v>#N/A Requesting Data...2429477234</v>
        <stp/>
        <stp>BDP|2112786676089949578</stp>
        <tr r="Y1385" s="1"/>
        <tr r="Y1385" s="1"/>
      </tp>
      <tp t="s">
        <v>#N/A Requesting Data...1511684090</v>
        <stp/>
        <stp>BDP|4738903131562480236</stp>
        <tr r="AA659" s="1"/>
        <tr r="AA659" s="1"/>
      </tp>
      <tp t="s">
        <v>#N/A Requesting Data...1540429809</v>
        <stp/>
        <stp>BDP|3800219788134778373</stp>
        <tr r="Y871" s="1"/>
        <tr r="Y871" s="1"/>
      </tp>
      <tp t="s">
        <v>#N/A Requesting Data...1075251843</v>
        <stp/>
        <stp>BDP|1629412215779126329</stp>
        <tr r="Y1548" s="1"/>
        <tr r="Y1548" s="1"/>
      </tp>
      <tp t="s">
        <v>#N/A Requesting Data...1035662277</v>
        <stp/>
        <stp>BDP|6167992104732955349</stp>
        <tr r="AA987" s="1"/>
        <tr r="AA987" s="1"/>
      </tp>
      <tp t="s">
        <v>#N/A Requesting Data...3689817590</v>
        <stp/>
        <stp>BDP|7963189156725330854</stp>
        <tr r="AA1195" s="1"/>
        <tr r="AA1195" s="1"/>
      </tp>
      <tp t="s">
        <v>#N/A Requesting Data...2589085688</v>
        <stp/>
        <stp>BDP|7942384122038066027</stp>
        <tr r="AB333" s="1"/>
      </tp>
      <tp t="s">
        <v>#N/A Requesting Data...4279626391</v>
        <stp/>
        <stp>BDP|6679023054934559949</stp>
        <tr r="AB310" s="1"/>
        <tr r="AB310" s="1"/>
      </tp>
      <tp t="s">
        <v>#N/A Requesting Data...2853674788</v>
        <stp/>
        <stp>BDP|4657303942209109443</stp>
        <tr r="Z1545" s="1"/>
        <tr r="Z1545" s="1"/>
      </tp>
      <tp t="s">
        <v>#N/A Requesting Data...1683639370</v>
        <stp/>
        <stp>BDP|9990900645198893257</stp>
        <tr r="AC779" s="1"/>
      </tp>
      <tp t="s">
        <v>#N/A Requesting Data...3994655341</v>
        <stp/>
        <stp>BDP|1594636698374065483</stp>
        <tr r="AA1153" s="1"/>
        <tr r="AA1153" s="1"/>
      </tp>
      <tp t="s">
        <v>#N/A Requesting Data...4161650218</v>
        <stp/>
        <stp>BDP|5851788382651236560</stp>
        <tr r="Y1072" s="1"/>
        <tr r="Y1072" s="1"/>
      </tp>
      <tp t="s">
        <v>#N/A Requesting Data...3185392342</v>
        <stp/>
        <stp>BDP|1750731537338393364</stp>
        <tr r="AA932" s="1"/>
        <tr r="AA932" s="1"/>
      </tp>
      <tp t="s">
        <v>#N/A Requesting Data...4037460442</v>
        <stp/>
        <stp>BDP|1181390977982873919</stp>
        <tr r="AA1133" s="1"/>
        <tr r="AA1133" s="1"/>
      </tp>
      <tp t="s">
        <v>#N/A Requesting Data...1656729880</v>
        <stp/>
        <stp>BDP|8455945736898426445</stp>
        <tr r="AA103" s="1"/>
        <tr r="AA103" s="1"/>
      </tp>
      <tp t="s">
        <v>#N/A Requesting Data...3443803108</v>
        <stp/>
        <stp>BDP|8679302940607861684</stp>
        <tr r="AC367" s="1"/>
        <tr r="AC367" s="1"/>
      </tp>
      <tp t="s">
        <v>#N/A Requesting Data...1650619451</v>
        <stp/>
        <stp>BDP|4927817478776779315</stp>
        <tr r="AB808" s="1"/>
        <tr r="AB808" s="1"/>
      </tp>
      <tp t="s">
        <v>#N/A Requesting Data...2768589381</v>
        <stp/>
        <stp>BDP|5099354055455292843</stp>
        <tr r="Y362" s="1"/>
        <tr r="Y362" s="1"/>
      </tp>
      <tp t="s">
        <v>#N/A Requesting Data...3969481089</v>
        <stp/>
        <stp>BDP|8838277179590139310</stp>
        <tr r="AB7" s="1"/>
        <tr r="AB7" s="1"/>
      </tp>
      <tp t="s">
        <v>#N/A Requesting Data...2180401873</v>
        <stp/>
        <stp>BDP|7011870046782779706</stp>
        <tr r="AC49" s="1"/>
        <tr r="AC49" s="1"/>
      </tp>
      <tp t="s">
        <v>#N/A Requesting Data...3102740362</v>
        <stp/>
        <stp>BDP|5603480238034470840</stp>
        <tr r="AB1574" s="1"/>
        <tr r="AB1574" s="1"/>
      </tp>
      <tp t="s">
        <v>#N/A Requesting Data...1595265671</v>
        <stp/>
        <stp>BDP|9949592443077764127</stp>
        <tr r="Y1113" s="1"/>
        <tr r="Y1113" s="1"/>
      </tp>
      <tp t="s">
        <v>#N/A Requesting Data...3959601033</v>
        <stp/>
        <stp>BDP|1252176126458248475</stp>
        <tr r="Y1155" s="1"/>
        <tr r="Y1155" s="1"/>
      </tp>
      <tp t="s">
        <v>#N/A Requesting Data...2562293555</v>
        <stp/>
        <stp>BDP|2199553234248337240</stp>
        <tr r="AB984" s="1"/>
        <tr r="AB984" s="1"/>
      </tp>
      <tp t="s">
        <v>#N/A Requesting Data...2761476106</v>
        <stp/>
        <stp>BDP|9180614083850081940</stp>
        <tr r="AB178" s="1"/>
        <tr r="AB178" s="1"/>
      </tp>
      <tp t="s">
        <v>#N/A Requesting Data...4029612275</v>
        <stp/>
        <stp>BDP|4464744080411056472</stp>
        <tr r="AB839" s="1"/>
        <tr r="AB839" s="1"/>
      </tp>
      <tp t="s">
        <v>#N/A Requesting Data...3976366948</v>
        <stp/>
        <stp>BDP|6790959948015447094</stp>
        <tr r="AA796" s="1"/>
        <tr r="AA796" s="1"/>
      </tp>
      <tp t="s">
        <v>#N/A Requesting Data...4285713155</v>
        <stp/>
        <stp>BDP|2223332686556506156</stp>
        <tr r="Y1298" s="1"/>
        <tr r="Y1298" s="1"/>
      </tp>
      <tp t="s">
        <v>#N/A Requesting Data...3090692927</v>
        <stp/>
        <stp>BDP|7941142691232203397</stp>
        <tr r="AB246" s="1"/>
        <tr r="AB246" s="1"/>
      </tp>
      <tp t="s">
        <v>#N/A Requesting Data...3432900911</v>
        <stp/>
        <stp>BDP|5739927246074123255</stp>
        <tr r="AC122" s="1"/>
        <tr r="AC122" s="1"/>
      </tp>
      <tp t="s">
        <v>#N/A Requesting Data...2624816859</v>
        <stp/>
        <stp>BDP|5473629653868216005</stp>
        <tr r="AB1234" s="1"/>
        <tr r="AB1234" s="1"/>
      </tp>
      <tp t="s">
        <v>#N/A Requesting Data...2842236416</v>
        <stp/>
        <stp>BDP|1222913665604012414</stp>
        <tr r="Y964" s="1"/>
        <tr r="Y964" s="1"/>
      </tp>
      <tp t="s">
        <v>#N/A Requesting Data...2122615450</v>
        <stp/>
        <stp>BDP|4218920406724031717</stp>
        <tr r="AA897" s="1"/>
        <tr r="AA897" s="1"/>
      </tp>
      <tp t="s">
        <v>#N/A Requesting Data...2352591318</v>
        <stp/>
        <stp>BDP|4113435787574661243</stp>
        <tr r="Z354" s="1"/>
        <tr r="Z354" s="1"/>
      </tp>
      <tp t="s">
        <v>#N/A Requesting Data...2189290037</v>
        <stp/>
        <stp>BDP|5127615884245336002</stp>
        <tr r="AA774" s="1"/>
        <tr r="AA774" s="1"/>
      </tp>
      <tp t="s">
        <v>#N/A Requesting Data...4085319656</v>
        <stp/>
        <stp>BDP|9359740320635949791</stp>
        <tr r="Y397" s="1"/>
        <tr r="Y397" s="1"/>
      </tp>
      <tp t="s">
        <v>#N/A Requesting Data...3156988984</v>
        <stp/>
        <stp>BDP|8703583938343840382</stp>
        <tr r="Z1573" s="1"/>
        <tr r="Z1573" s="1"/>
      </tp>
      <tp t="s">
        <v>#N/A Requesting Data...4085407073</v>
        <stp/>
        <stp>BDP|9868649067010746783</stp>
        <tr r="AA1129" s="1"/>
        <tr r="AA1129" s="1"/>
      </tp>
      <tp t="s">
        <v>#N/A Requesting Data...1953986829</v>
        <stp/>
        <stp>BDP|3886992824143532540</stp>
        <tr r="Y1290" s="1"/>
        <tr r="Y1290" s="1"/>
      </tp>
      <tp t="s">
        <v>#N/A Requesting Data...2199808968</v>
        <stp/>
        <stp>BDP|7925809276543963523</stp>
        <tr r="AC1439" s="1"/>
        <tr r="AC1439" s="1"/>
      </tp>
      <tp t="s">
        <v>#N/A Requesting Data...2740341459</v>
        <stp/>
        <stp>BDP|8923740020262129189</stp>
        <tr r="Y54" s="1"/>
        <tr r="Y54" s="1"/>
      </tp>
      <tp t="s">
        <v>#N/A Requesting Data...4058370524</v>
        <stp/>
        <stp>BDP|4391925023140515131</stp>
        <tr r="AB698" s="1"/>
        <tr r="AB698" s="1"/>
      </tp>
      <tp t="s">
        <v>#N/A Requesting Data...4064138936</v>
        <stp/>
        <stp>BDP|4387779680061694465</stp>
        <tr r="AB918" s="1"/>
      </tp>
      <tp t="s">
        <v>#N/A Requesting Data...3884122533</v>
        <stp/>
        <stp>BDP|6920458972733961837</stp>
        <tr r="AB436" s="1"/>
        <tr r="AB436" s="1"/>
      </tp>
      <tp t="s">
        <v>#N/A Requesting Data...1772406570</v>
        <stp/>
        <stp>BDP|8112312565995852691</stp>
        <tr r="Y830" s="1"/>
        <tr r="Y830" s="1"/>
      </tp>
      <tp t="s">
        <v>#N/A Requesting Data...2859642011</v>
        <stp/>
        <stp>BDP|3064522584582712250</stp>
        <tr r="Y1542" s="1"/>
        <tr r="Y1542" s="1"/>
      </tp>
      <tp t="s">
        <v>#N/A Requesting Data...4254235722</v>
        <stp/>
        <stp>BDP|6673548083984169144</stp>
        <tr r="AC799" s="1"/>
        <tr r="AC799" s="1"/>
      </tp>
      <tp t="s">
        <v>#N/A Requesting Data...2742961137</v>
        <stp/>
        <stp>BDP|2518873049592994268</stp>
        <tr r="Y638" s="1"/>
        <tr r="Y638" s="1"/>
      </tp>
      <tp t="s">
        <v>#N/A Requesting Data...1501784894</v>
        <stp/>
        <stp>BDP|2661951746678679970</stp>
        <tr r="Y729" s="1"/>
        <tr r="Y729" s="1"/>
      </tp>
      <tp t="s">
        <v>#N/A Requesting Data...3898461189</v>
        <stp/>
        <stp>BDP|2891584691501682129</stp>
        <tr r="AC422" s="1"/>
        <tr r="AC422" s="1"/>
      </tp>
      <tp t="s">
        <v>#N/A Requesting Data...4186513507</v>
        <stp/>
        <stp>BDP|7355787768750280845</stp>
        <tr r="AB750" s="1"/>
        <tr r="AB750" s="1"/>
      </tp>
      <tp t="s">
        <v>#N/A Requesting Data...2970144068</v>
        <stp/>
        <stp>BDP|4411964180938462332</stp>
        <tr r="AA1148" s="1"/>
        <tr r="AA1148" s="1"/>
      </tp>
      <tp t="s">
        <v>#N/A Requesting Data...3221931250</v>
        <stp/>
        <stp>BDP|9804881481394388372</stp>
        <tr r="AB26" s="1"/>
        <tr r="AB26" s="1"/>
      </tp>
      <tp t="s">
        <v>#N/A Requesting Data...1415588636</v>
        <stp/>
        <stp>BDP|8753338803566660346</stp>
        <tr r="AA938" s="1"/>
        <tr r="AA938" s="1"/>
      </tp>
      <tp t="s">
        <v>#N/A Requesting Data...2618214721</v>
        <stp/>
        <stp>BDP|3906186085217692376</stp>
        <tr r="Y51" s="1"/>
        <tr r="Y51" s="1"/>
      </tp>
      <tp t="s">
        <v>#N/A Requesting Data...2029081269</v>
        <stp/>
        <stp>BDP|5061276158575294987</stp>
        <tr r="Y1537" s="1"/>
        <tr r="Y1537" s="1"/>
      </tp>
      <tp t="s">
        <v>#N/A Requesting Data...2264756290</v>
        <stp/>
        <stp>BDP|7407408043001029821</stp>
        <tr r="AB1372" s="1"/>
        <tr r="AB1372" s="1"/>
      </tp>
      <tp t="s">
        <v>#N/A Requesting Data...2722496401</v>
        <stp/>
        <stp>BDP|1845261065992766991</stp>
        <tr r="AC1601" s="1"/>
        <tr r="AC1601" s="1"/>
      </tp>
      <tp t="s">
        <v>#N/A Requesting Data...2483675426</v>
        <stp/>
        <stp>BDP|3513804773603592160</stp>
        <tr r="AB369" s="1"/>
        <tr r="AB369" s="1"/>
      </tp>
      <tp t="s">
        <v>#N/A Requesting Data...4097615668</v>
        <stp/>
        <stp>BDP|3282444345205203843</stp>
        <tr r="Y52" s="1"/>
        <tr r="Y52" s="1"/>
      </tp>
      <tp t="s">
        <v>#N/A Requesting Data...2950411060</v>
        <stp/>
        <stp>BDP|4227644071182038928</stp>
        <tr r="Z963" s="1"/>
        <tr r="Z963" s="1"/>
      </tp>
      <tp t="s">
        <v>#N/A Requesting Data...4102185354</v>
        <stp/>
        <stp>BDP|6370807356175368038</stp>
        <tr r="AB273" s="1"/>
        <tr r="AB273" s="1"/>
      </tp>
      <tp t="s">
        <v>#N/A Requesting Data...3602877229</v>
        <stp/>
        <stp>BDP|5416242121969100254</stp>
        <tr r="AB364" s="1"/>
        <tr r="AB364" s="1"/>
      </tp>
      <tp t="s">
        <v>#N/A Requesting Data...3650223876</v>
        <stp/>
        <stp>BDP|8557508807316356545</stp>
        <tr r="AA779" s="1"/>
      </tp>
      <tp t="s">
        <v>#N/A Requesting Data...3274077906</v>
        <stp/>
        <stp>BDP|7362593305489375596</stp>
        <tr r="AC582" s="1"/>
        <tr r="AC582" s="1"/>
      </tp>
      <tp t="s">
        <v>#N/A Requesting Data...3715373900</v>
        <stp/>
        <stp>BDP|8501132466015784429</stp>
        <tr r="AB1187" s="1"/>
        <tr r="AB1187" s="1"/>
      </tp>
      <tp t="s">
        <v>#N/A Requesting Data...1735509237</v>
        <stp/>
        <stp>BDP|7007102246038576467</stp>
        <tr r="AA1380" s="1"/>
        <tr r="AA1380" s="1"/>
      </tp>
      <tp t="s">
        <v>#N/A Requesting Data...4040140473</v>
        <stp/>
        <stp>BDP|6245744823118753571</stp>
        <tr r="Z140" s="1"/>
        <tr r="Z140" s="1"/>
      </tp>
      <tp t="s">
        <v>#N/A Requesting Data...4111354852</v>
        <stp/>
        <stp>BDP|2987082770942763931</stp>
        <tr r="Z281" s="1"/>
        <tr r="Z281" s="1"/>
      </tp>
      <tp t="s">
        <v>#N/A Requesting Data...2922835412</v>
        <stp/>
        <stp>BDP|6310423266303301917</stp>
        <tr r="AC448" s="1"/>
        <tr r="AC448" s="1"/>
      </tp>
      <tp t="s">
        <v>#N/A Requesting Data...3647772220</v>
        <stp/>
        <stp>BDP|6762096299793705251</stp>
        <tr r="Y32" s="1"/>
        <tr r="Y32" s="1"/>
      </tp>
      <tp>
        <v>30.9</v>
        <stp/>
        <stp>BDP|3989818876189838695|22</stp>
        <stp>TGTX US Equity</stp>
        <stp>LAST_PRICE</stp>
        <tr r="AD1456" s="1"/>
        <tr r="AD1456" s="1"/>
      </tp>
      <tp>
        <v>0.04</v>
        <stp/>
        <stp>BDP|7158048722823859401|22</stp>
        <stp>GRTX US Equity</stp>
        <stp>LAST_PRICE</stp>
        <tr r="AD632" s="1"/>
        <tr r="AD632" s="1"/>
      </tp>
      <tp>
        <v>1.88</v>
        <stp/>
        <stp>BDP|8953100471084567766|22</stp>
        <stp>ESPR US Equity</stp>
        <stp>LAST_PRICE</stp>
        <tr r="AD578" s="1"/>
        <tr r="AD578" s="1"/>
      </tp>
      <tp>
        <v>0.37290000000000001</v>
        <stp/>
        <stp>BDP|1340553960082672583|22</stp>
        <stp>STSS US Equity</stp>
        <stp>LAST_PRICE</stp>
        <tr r="AD1343" s="1"/>
        <tr r="AD1343" s="1"/>
      </tp>
      <tp t="s">
        <v>#N/A N/A</v>
        <stp/>
        <stp>BDP|3834964469496652996|22</stp>
        <stp>RASP US Equity</stp>
        <stp>LAST_PRICE</stp>
        <tr r="AD35" s="1"/>
      </tp>
      <tp>
        <v>1.74</v>
        <stp/>
        <stp>BDP|9550037121462098756|22</stp>
        <stp>AIDX CN Equity</stp>
        <stp>LAST_PRICE</stp>
        <tr r="AD684" s="1"/>
        <tr r="AD684" s="1"/>
      </tp>
      <tp>
        <v>171.95</v>
        <stp/>
        <stp>BDP|5140204479765103908|22</stp>
        <stp>NTRA US Equity</stp>
        <stp>LAST_PRICE</stp>
        <tr r="AD1003" s="1"/>
        <tr r="AD1003" s="1"/>
      </tp>
      <tp t="s">
        <v>#N/A N/A</v>
        <stp/>
        <stp>BDP|7729758290065837337|22</stp>
        <stp>TURA US Equity</stp>
        <stp>LAST_PRICE</stp>
        <tr r="AD1495" s="1"/>
      </tp>
      <tp>
        <v>9.9999999999999995E-7</v>
        <stp/>
        <stp>BDP|1934487484374019697|22</stp>
        <stp>DRWN US Equity</stp>
        <stp>LAST_PRICE</stp>
        <tr r="AD1232" s="1"/>
        <tr r="AD1232" s="1"/>
      </tp>
      <tp>
        <v>1.64</v>
        <stp/>
        <stp>BDP|7009443474454819914|22</stp>
        <stp>CHRO US Equity</stp>
        <stp>LAST_PRICE</stp>
        <tr r="AD387" s="1"/>
        <tr r="AD387" s="1"/>
      </tp>
      <tp>
        <v>2.56</v>
        <stp/>
        <stp>BDP|5156363860008180150|22</stp>
        <stp>WEED CN Equity</stp>
        <stp>LAST_PRICE</stp>
        <tr r="AD337" s="1"/>
        <tr r="AD337" s="1"/>
      </tp>
      <tp>
        <v>0.58579999999999999</v>
        <stp/>
        <stp>BDP|3989124759084487297|22</stp>
        <stp>KPTI US Equity</stp>
        <stp>LAST_PRICE</stp>
        <tr r="AD825" s="1"/>
        <tr r="AD825" s="1"/>
      </tp>
      <tp>
        <v>9.9999999999999995E-7</v>
        <stp/>
        <stp>BDP|1521847952109842240|22</stp>
        <stp>ANTH US Equity</stp>
        <stp>LAST_PRICE</stp>
        <tr r="AD139" s="1"/>
        <tr r="AD139" s="1"/>
      </tp>
      <tp>
        <v>1.22</v>
        <stp/>
        <stp>BDP|6820751833310709221|22</stp>
        <stp>PEPG US Equity</stp>
        <stp>LAST_PRICE</stp>
        <tr r="AD1146" s="1"/>
        <tr r="AD1146" s="1"/>
      </tp>
      <tp>
        <v>42.36</v>
        <stp/>
        <stp>BDP|4713682800482647107|22</stp>
        <stp>ATRC US Equity</stp>
        <stp>LAST_PRICE</stp>
        <tr r="AD192" s="1"/>
        <tr r="AD192" s="1"/>
      </tp>
      <tp>
        <v>1.81</v>
        <stp/>
        <stp>BDP|5336150635304833569|22</stp>
        <stp>TRVN US Equity</stp>
        <stp>LAST_PRICE</stp>
        <tr r="AD1487" s="1"/>
        <tr r="AD1487" s="1"/>
      </tp>
      <tp>
        <v>0.65259999999999996</v>
        <stp/>
        <stp>BDP|6015304390810910015|22</stp>
        <stp>COSM US Equity</stp>
        <stp>LAST_PRICE</stp>
        <tr r="AD451" s="1"/>
        <tr r="AD451" s="1"/>
      </tp>
      <tp>
        <v>0.1095</v>
        <stp/>
        <stp>BDP|9180772849398167920|22</stp>
        <stp>MDWK US Equity</stp>
        <stp>LAST_PRICE</stp>
        <tr r="AD913" s="1"/>
        <tr r="AD913" s="1"/>
      </tp>
      <tp>
        <v>12.13</v>
        <stp/>
        <stp>BDP|9484963398764675300|22</stp>
        <stp>DAWN US Equity</stp>
        <stp>LAST_PRICE</stp>
        <tr r="AD492" s="1"/>
        <tr r="AD492" s="1"/>
      </tp>
      <tp>
        <v>1.86</v>
        <stp/>
        <stp>BDP|8128438546901184675|22</stp>
        <stp>CRDL CN Equity</stp>
        <stp>LAST_PRICE</stp>
        <tr r="AD349" s="1"/>
        <tr r="AD349" s="1"/>
      </tp>
      <tp>
        <v>7.48</v>
        <stp/>
        <stp>BDP|8418710017769288634|22</stp>
        <stp>ZYXI US Equity</stp>
        <stp>LAST_PRICE</stp>
        <tr r="AD1620" s="1"/>
        <tr r="AD1620" s="1"/>
      </tp>
      <tp>
        <v>0.18</v>
        <stp/>
        <stp>BDP|1437363175824702727|22</stp>
        <stp>PCYN US Equity</stp>
        <stp>LAST_PRICE</stp>
        <tr r="AD1197" s="1"/>
        <tr r="AD1197" s="1"/>
      </tp>
      <tp>
        <v>0.01</v>
        <stp/>
        <stp>BDP|14954967194508891068|22</stp>
        <stp>EKG CN Equity</stp>
        <stp>LAST_PRICE</stp>
        <tr r="AD347" s="1"/>
        <tr r="AD347" s="1"/>
      </tp>
      <tp>
        <v>2.4</v>
        <stp/>
        <stp>BDP|14568384554953973806|22</stp>
        <stp>LSB US Equity</stp>
        <stp>LAST_PRICE</stp>
        <tr r="AD856" s="1"/>
        <tr r="AD856" s="1"/>
      </tp>
      <tp>
        <v>6.5000000000000002E-2</v>
        <stp/>
        <stp>BDP|13459317128116134164|22</stp>
        <stp>SBM CN Equity</stp>
        <stp>LAST_PRICE</stp>
        <tr r="AD1360" s="1"/>
        <tr r="AD1360" s="1"/>
      </tp>
      <tp>
        <v>154</v>
        <stp/>
        <stp>BDP|17308598260578161431|22</stp>
        <stp>CRL US Equity</stp>
        <stp>LAST_PRICE</stp>
        <tr r="AD388" s="1"/>
        <tr r="AD388" s="1"/>
      </tp>
      <tp t="s">
        <v>#N/A Requesting Data...4278054443</v>
        <stp/>
        <stp>BDP|4364797017838381548</stp>
        <tr r="Z1311" s="1"/>
        <tr r="Z1311" s="1"/>
      </tp>
      <tp t="s">
        <v>#N/A Requesting Data...2072856331</v>
        <stp/>
        <stp>BDP|5809493340852330880</stp>
        <tr r="AA468" s="1"/>
        <tr r="AA468" s="1"/>
      </tp>
      <tp t="s">
        <v>#N/A Requesting Data...1975222946</v>
        <stp/>
        <stp>BDP|4653979348293076534</stp>
        <tr r="Z1119" s="1"/>
        <tr r="Z1119" s="1"/>
      </tp>
      <tp t="s">
        <v>#N/A Requesting Data...2757667195</v>
        <stp/>
        <stp>BDP|8350163142052483091</stp>
        <tr r="Z604" s="1"/>
        <tr r="Z604" s="1"/>
      </tp>
      <tp t="s">
        <v>#N/A Requesting Data...1464938740</v>
        <stp/>
        <stp>BDP|9586891461651135963</stp>
        <tr r="AC207" s="1"/>
        <tr r="AC207" s="1"/>
      </tp>
      <tp t="s">
        <v>#N/A Requesting Data...3298531933</v>
        <stp/>
        <stp>BDP|3905404583961764175</stp>
        <tr r="AB1235" s="1"/>
        <tr r="AB1235" s="1"/>
      </tp>
      <tp t="s">
        <v>#N/A Requesting Data...4261218499</v>
        <stp/>
        <stp>BDP|2565264017899604784</stp>
        <tr r="Z332" s="1"/>
        <tr r="Z332" s="1"/>
      </tp>
      <tp t="s">
        <v>#N/A Requesting Data...3109966693</v>
        <stp/>
        <stp>BDP|1533895431996391347</stp>
        <tr r="Z1255" s="1"/>
        <tr r="Z1255" s="1"/>
      </tp>
      <tp t="s">
        <v>#N/A Requesting Data...2436786933</v>
        <stp/>
        <stp>BDP|7594993716620388035</stp>
        <tr r="Z1452" s="1"/>
        <tr r="Z1452" s="1"/>
      </tp>
      <tp t="s">
        <v>#N/A Requesting Data...2091819867</v>
        <stp/>
        <stp>BDP|4075950544733387588</stp>
        <tr r="Z666" s="1"/>
        <tr r="Z666" s="1"/>
      </tp>
      <tp t="s">
        <v>#N/A Requesting Data...1913449354</v>
        <stp/>
        <stp>BDP|8177540819035041663</stp>
        <tr r="AC1334" s="1"/>
        <tr r="AC1334" s="1"/>
      </tp>
      <tp t="s">
        <v>#N/A Requesting Data...1810986930</v>
        <stp/>
        <stp>BDP|7561900234142802034</stp>
        <tr r="AB494" s="1"/>
        <tr r="AB494" s="1"/>
      </tp>
      <tp t="s">
        <v>#N/A Requesting Data...2861066206</v>
        <stp/>
        <stp>BDP|2403777716258803376</stp>
        <tr r="Z420" s="1"/>
        <tr r="Z420" s="1"/>
      </tp>
      <tp t="s">
        <v>#N/A Requesting Data...3174207302</v>
        <stp/>
        <stp>BDP|5984626713684224908</stp>
        <tr r="AC1454" s="1"/>
        <tr r="AC1454" s="1"/>
      </tp>
      <tp t="s">
        <v>#N/A Requesting Data...2169174139</v>
        <stp/>
        <stp>BDP|5148375502841959878</stp>
        <tr r="Z549" s="1"/>
        <tr r="Z549" s="1"/>
      </tp>
      <tp t="s">
        <v>#N/A Requesting Data...1148515546</v>
        <stp/>
        <stp>BDP|6344383688744820614</stp>
        <tr r="Z1128" s="1"/>
        <tr r="Z1128" s="1"/>
      </tp>
      <tp t="s">
        <v>#N/A Requesting Data...2781108933</v>
        <stp/>
        <stp>BDP|2934517871378688759</stp>
        <tr r="Y569" s="1"/>
        <tr r="Y569" s="1"/>
      </tp>
      <tp t="s">
        <v>#N/A Requesting Data...1768567455</v>
        <stp/>
        <stp>BDP|9704979278069015131</stp>
        <tr r="Y1041" s="1"/>
        <tr r="Y1041" s="1"/>
      </tp>
      <tp t="s">
        <v>#N/A Requesting Data...3157461998</v>
        <stp/>
        <stp>BDP|5805414904146048869</stp>
        <tr r="AA1511" s="1"/>
        <tr r="AA1511" s="1"/>
      </tp>
      <tp t="s">
        <v>#N/A Requesting Data...1331299107</v>
        <stp/>
        <stp>BDP|7251207388997624571</stp>
        <tr r="AA161" s="1"/>
        <tr r="AA161" s="1"/>
      </tp>
      <tp t="s">
        <v>#N/A Requesting Data...1166127017</v>
        <stp/>
        <stp>BDP|1904606292858674962</stp>
        <tr r="AA681" s="1"/>
        <tr r="AA681" s="1"/>
      </tp>
      <tp t="s">
        <v>#N/A Requesting Data...1810895966</v>
        <stp/>
        <stp>BDP|1085951299646475832</stp>
        <tr r="Z405" s="1"/>
        <tr r="Z405" s="1"/>
      </tp>
      <tp t="s">
        <v>#N/A Requesting Data...1700850539</v>
        <stp/>
        <stp>BDP|2862203517977076947</stp>
        <tr r="AC1383" s="1"/>
        <tr r="AC1383" s="1"/>
      </tp>
      <tp t="s">
        <v>#N/A Requesting Data...1513891990</v>
        <stp/>
        <stp>BDP|8612308472202629197</stp>
        <tr r="AB146" s="1"/>
        <tr r="AB146" s="1"/>
      </tp>
      <tp t="s">
        <v>#N/A Requesting Data...1860298715</v>
        <stp/>
        <stp>BDP|6300665259062752800</stp>
        <tr r="AB664" s="1"/>
        <tr r="AB664" s="1"/>
      </tp>
      <tp t="s">
        <v>#N/A Requesting Data...1207954548</v>
        <stp/>
        <stp>BDP|2475286945022542976</stp>
        <tr r="AB801" s="1"/>
        <tr r="AB801" s="1"/>
      </tp>
      <tp t="s">
        <v>#N/A Requesting Data...1171941080</v>
        <stp/>
        <stp>BDP|3223700065605915857</stp>
        <tr r="AC420" s="1"/>
        <tr r="AC420" s="1"/>
      </tp>
      <tp t="s">
        <v>#N/A Requesting Data...2994788836</v>
        <stp/>
        <stp>BDP|2067379150488895340</stp>
        <tr r="AA222" s="1"/>
        <tr r="AA222" s="1"/>
      </tp>
      <tp t="s">
        <v>#N/A Requesting Data...2122941093</v>
        <stp/>
        <stp>BDP|2107929042899865922</stp>
        <tr r="AB57" s="1"/>
        <tr r="AB57" s="1"/>
      </tp>
      <tp t="s">
        <v>#N/A Requesting Data...3545208168</v>
        <stp/>
        <stp>BDP|1929314063169937293</stp>
        <tr r="Z998" s="1"/>
        <tr r="Z998" s="1"/>
      </tp>
      <tp t="s">
        <v>#N/A Requesting Data...1592466719</v>
        <stp/>
        <stp>BDP|2181410312988003096</stp>
        <tr r="AC789" s="1"/>
        <tr r="AC789" s="1"/>
      </tp>
      <tp t="s">
        <v>#N/A Requesting Data...1983538063</v>
        <stp/>
        <stp>BDP|3788667005008466281</stp>
        <tr r="AC1437" s="1"/>
        <tr r="AC1437" s="1"/>
      </tp>
      <tp t="s">
        <v>#N/A Requesting Data...2226053512</v>
        <stp/>
        <stp>BDP|9611437359031583615</stp>
        <tr r="AA1237" s="1"/>
        <tr r="AA1237" s="1"/>
      </tp>
      <tp t="s">
        <v>#N/A Requesting Data...2208920916</v>
        <stp/>
        <stp>BDP|8137603323633383094</stp>
        <tr r="AC1301" s="1"/>
        <tr r="AC1301" s="1"/>
      </tp>
      <tp t="s">
        <v>#N/A Requesting Data...2609303466</v>
        <stp/>
        <stp>BDP|3552061352811149882</stp>
        <tr r="AA216" s="1"/>
        <tr r="AA216" s="1"/>
      </tp>
      <tp t="s">
        <v>#N/A Requesting Data...1852061943</v>
        <stp/>
        <stp>BDP|1566988125737077203</stp>
        <tr r="AA1086" s="1"/>
        <tr r="AA1086" s="1"/>
      </tp>
      <tp t="s">
        <v>#N/A Requesting Data...2010558085</v>
        <stp/>
        <stp>BDP|3516734378945433923</stp>
        <tr r="AA594" s="1"/>
        <tr r="AA594" s="1"/>
      </tp>
      <tp t="s">
        <v>#N/A Requesting Data...3674526624</v>
        <stp/>
        <stp>BDP|2080364488080370657</stp>
        <tr r="Z425" s="1"/>
        <tr r="Z425" s="1"/>
      </tp>
      <tp t="s">
        <v>#N/A Requesting Data...3854585018</v>
        <stp/>
        <stp>BDP|8328442708475715609</stp>
        <tr r="AC185" s="1"/>
        <tr r="AC185" s="1"/>
      </tp>
      <tp t="s">
        <v>#N/A Requesting Data...3093644171</v>
        <stp/>
        <stp>BDP|3522358440902905913</stp>
        <tr r="AA440" s="1"/>
        <tr r="AA440" s="1"/>
      </tp>
      <tp t="s">
        <v>#N/A Requesting Data...2271040669</v>
        <stp/>
        <stp>BDP|2909071792071426503</stp>
        <tr r="Z1019" s="1"/>
        <tr r="Z1019" s="1"/>
      </tp>
      <tp t="s">
        <v>#N/A Requesting Data...1967163517</v>
        <stp/>
        <stp>BDP|9776519730788896860</stp>
        <tr r="AC1271" s="1"/>
        <tr r="AC1271" s="1"/>
      </tp>
      <tp t="s">
        <v>#N/A Requesting Data...3520305184</v>
        <stp/>
        <stp>BDP|8361420000014818714</stp>
        <tr r="AB293" s="1"/>
        <tr r="AB293" s="1"/>
      </tp>
      <tp t="s">
        <v>#N/A Requesting Data...2522067138</v>
        <stp/>
        <stp>BDP|7409661988582153433</stp>
        <tr r="Y1039" s="1"/>
        <tr r="Y1039" s="1"/>
      </tp>
      <tp t="s">
        <v>#N/A Requesting Data...2395601326</v>
        <stp/>
        <stp>BDP|4727033378539387579</stp>
        <tr r="Y1415" s="1"/>
        <tr r="Y1415" s="1"/>
      </tp>
      <tp t="s">
        <v>#N/A Requesting Data...2035346082</v>
        <stp/>
        <stp>BDP|6724487742428706125</stp>
        <tr r="AB611" s="1"/>
        <tr r="AB611" s="1"/>
      </tp>
      <tp t="s">
        <v>#N/A Requesting Data...2099247720</v>
        <stp/>
        <stp>BDP|8976554496048627345</stp>
        <tr r="AC983" s="1"/>
        <tr r="AC983" s="1"/>
      </tp>
      <tp t="s">
        <v>#N/A Requesting Data...4259982914</v>
        <stp/>
        <stp>BDP|8820680309836179714</stp>
        <tr r="AA713" s="1"/>
        <tr r="AA713" s="1"/>
      </tp>
      <tp t="s">
        <v>#N/A Requesting Data...3636975725</v>
        <stp/>
        <stp>BDP|8385143741005945767</stp>
        <tr r="AB1030" s="1"/>
        <tr r="AB1030" s="1"/>
      </tp>
      <tp t="s">
        <v>#N/A Requesting Data...3277016229</v>
        <stp/>
        <stp>BDP|4668263849895501855</stp>
        <tr r="Z1411" s="1"/>
        <tr r="Z1411" s="1"/>
      </tp>
      <tp t="s">
        <v>#N/A Requesting Data...2097918479</v>
        <stp/>
        <stp>BDP|5969878655362250503</stp>
        <tr r="AC456" s="1"/>
        <tr r="AC456" s="1"/>
      </tp>
      <tp t="s">
        <v>#N/A Requesting Data...3668345555</v>
        <stp/>
        <stp>BDP|1336490854067398847</stp>
        <tr r="AA97" s="1"/>
        <tr r="AA97" s="1"/>
      </tp>
      <tp t="s">
        <v>#N/A Requesting Data...1598557468</v>
        <stp/>
        <stp>BDP|7207200552596190980</stp>
        <tr r="Z499" s="1"/>
        <tr r="Z499" s="1"/>
      </tp>
      <tp t="s">
        <v>#N/A Requesting Data...3540082435</v>
        <stp/>
        <stp>BDP|5676956174111603581</stp>
        <tr r="AA839" s="1"/>
        <tr r="AA839" s="1"/>
      </tp>
      <tp t="s">
        <v>#N/A Requesting Data...3078311501</v>
        <stp/>
        <stp>BDP|4966396396720848170</stp>
        <tr r="Y792" s="1"/>
        <tr r="Y792" s="1"/>
      </tp>
      <tp t="s">
        <v>#N/A Requesting Data...3880945570</v>
        <stp/>
        <stp>BDP|8852370703412629636</stp>
        <tr r="Y1144" s="1"/>
        <tr r="Y1144" s="1"/>
      </tp>
      <tp t="s">
        <v>#N/A Requesting Data...3459304342</v>
        <stp/>
        <stp>BDP|1890108971271214927</stp>
        <tr r="Y568" s="1"/>
        <tr r="Y568" s="1"/>
      </tp>
      <tp t="s">
        <v>#N/A Requesting Data...3684019281</v>
        <stp/>
        <stp>BDP|8476889722829533421</stp>
        <tr r="Y284" s="1"/>
        <tr r="Y284" s="1"/>
      </tp>
      <tp t="s">
        <v>#N/A Requesting Data...1703005295</v>
        <stp/>
        <stp>BDP|2909921380705314913</stp>
        <tr r="AC932" s="1"/>
        <tr r="AC932" s="1"/>
      </tp>
      <tp t="s">
        <v>#N/A Requesting Data...4156659885</v>
        <stp/>
        <stp>BDP|7980349714228810285</stp>
        <tr r="Z515" s="1"/>
      </tp>
      <tp t="s">
        <v>#N/A Requesting Data...1626572684</v>
        <stp/>
        <stp>BDP|4255053587771077291</stp>
        <tr r="Z630" s="1"/>
        <tr r="Z630" s="1"/>
      </tp>
      <tp t="s">
        <v>#N/A Requesting Data...2709704761</v>
        <stp/>
        <stp>BDP|5353580855188356238</stp>
        <tr r="AB485" s="1"/>
        <tr r="AB485" s="1"/>
      </tp>
      <tp t="s">
        <v>#N/A Requesting Data...2254903734</v>
        <stp/>
        <stp>BDP|8845123687367182924</stp>
        <tr r="Z1338" s="1"/>
        <tr r="Z1338" s="1"/>
      </tp>
      <tp t="s">
        <v>#N/A Requesting Data...2915724398</v>
        <stp/>
        <stp>BDP|1511795083288386926</stp>
        <tr r="AA753" s="1"/>
        <tr r="AA753" s="1"/>
      </tp>
      <tp t="s">
        <v>#N/A Requesting Data...2248061881</v>
        <stp/>
        <stp>BDP|9565189320863689657</stp>
        <tr r="Z1205" s="1"/>
        <tr r="Z1205" s="1"/>
      </tp>
      <tp t="s">
        <v>#N/A Requesting Data...3082168745</v>
        <stp/>
        <stp>BDP|3672098286061328546</stp>
        <tr r="AC663" s="1"/>
        <tr r="AC663" s="1"/>
      </tp>
      <tp t="s">
        <v>#N/A Requesting Data...3312019222</v>
        <stp/>
        <stp>BDP|8623495624690199142</stp>
        <tr r="AB14" s="1"/>
        <tr r="AB14" s="1"/>
      </tp>
      <tp t="s">
        <v>#N/A Requesting Data...3349134771</v>
        <stp/>
        <stp>BDP|5598666783646654281</stp>
        <tr r="AA771" s="1"/>
        <tr r="AA771" s="1"/>
      </tp>
      <tp t="s">
        <v>#N/A Requesting Data...2808823103</v>
        <stp/>
        <stp>BDP|2670778957778965712</stp>
        <tr r="AA1572" s="1"/>
        <tr r="AA1572" s="1"/>
      </tp>
      <tp t="s">
        <v>#N/A Requesting Data...3517796694</v>
        <stp/>
        <stp>BDP|1750385833897404967</stp>
        <tr r="AB908" s="1"/>
        <tr r="AB908" s="1"/>
      </tp>
      <tp t="s">
        <v>#N/A Requesting Data...3884744219</v>
        <stp/>
        <stp>BDP|2857115717975598853</stp>
        <tr r="Z1279" s="1"/>
        <tr r="Z1279" s="1"/>
      </tp>
      <tp t="s">
        <v>#N/A Requesting Data...2920195428</v>
        <stp/>
        <stp>BDP|2611926919661144421</stp>
        <tr r="AC827" s="1"/>
        <tr r="AC827" s="1"/>
      </tp>
      <tp t="s">
        <v>#N/A Requesting Data...2349114983</v>
        <stp/>
        <stp>BDP|4918122868485835952</stp>
        <tr r="AB316" s="1"/>
        <tr r="AB316" s="1"/>
      </tp>
      <tp t="s">
        <v>#N/A Requesting Data...2994708057</v>
        <stp/>
        <stp>BDP|3423750444057318885</stp>
        <tr r="Y280" s="1"/>
        <tr r="Y280" s="1"/>
      </tp>
      <tp t="s">
        <v>#N/A Requesting Data...2957540273</v>
        <stp/>
        <stp>BDP|8416887581786711159</stp>
        <tr r="Y428" s="1"/>
        <tr r="Y428" s="1"/>
      </tp>
      <tp t="s">
        <v>#N/A Requesting Data...4244012858</v>
        <stp/>
        <stp>BDP|6815051442399708479</stp>
        <tr r="AB692" s="1"/>
        <tr r="AB692" s="1"/>
      </tp>
      <tp t="s">
        <v>#N/A Requesting Data...2052173478</v>
        <stp/>
        <stp>BDP|5036293982805003542</stp>
        <tr r="AC1371" s="1"/>
        <tr r="AC1371" s="1"/>
      </tp>
      <tp t="s">
        <v>#N/A Requesting Data...1218952702</v>
        <stp/>
        <stp>BDP|8683862180420820770</stp>
        <tr r="Y1432" s="1"/>
        <tr r="Y1432" s="1"/>
      </tp>
      <tp t="s">
        <v>#N/A Requesting Data...3446740937</v>
        <stp/>
        <stp>BDP|4762212795305433585</stp>
        <tr r="Z68" s="1"/>
        <tr r="Z68" s="1"/>
      </tp>
      <tp t="s">
        <v>#N/A Requesting Data...1312794003</v>
        <stp/>
        <stp>BDP|3231491898708534995</stp>
        <tr r="AB1018" s="1"/>
        <tr r="AB1018" s="1"/>
      </tp>
      <tp t="s">
        <v>#N/A Requesting Data...3803658919</v>
        <stp/>
        <stp>BDP|8115144540807991536</stp>
        <tr r="AA84" s="1"/>
        <tr r="AA84" s="1"/>
      </tp>
      <tp t="s">
        <v>#N/A Requesting Data...3722899037</v>
        <stp/>
        <stp>BDP|8884205072875140743</stp>
        <tr r="AB375" s="1"/>
        <tr r="AB375" s="1"/>
      </tp>
      <tp t="s">
        <v>#N/A Requesting Data...3493384575</v>
        <stp/>
        <stp>BDP|7831161457619438522</stp>
        <tr r="AC957" s="1"/>
        <tr r="AC957" s="1"/>
      </tp>
      <tp t="s">
        <v>#N/A Requesting Data...3887863528</v>
        <stp/>
        <stp>BDP|4069922848290450616</stp>
        <tr r="AC278" s="1"/>
        <tr r="AC278" s="1"/>
      </tp>
      <tp t="s">
        <v>#N/A Requesting Data...1781217066</v>
        <stp/>
        <stp>BDP|4063214545454250994</stp>
        <tr r="Y217" s="1"/>
        <tr r="Y217" s="1"/>
      </tp>
      <tp t="s">
        <v>#N/A Requesting Data...2505160855</v>
        <stp/>
        <stp>BDP|2567899545905145474</stp>
        <tr r="AC576" s="1"/>
        <tr r="AC576" s="1"/>
      </tp>
      <tp t="s">
        <v>#N/A Requesting Data...3021879114</v>
        <stp/>
        <stp>BDP|9022571143557969026</stp>
        <tr r="AA669" s="1"/>
        <tr r="AA669" s="1"/>
      </tp>
      <tp t="s">
        <v>#N/A Requesting Data...3920480663</v>
        <stp/>
        <stp>BDP|3438343099802569407</stp>
        <tr r="Z328" s="1"/>
        <tr r="Z328" s="1"/>
      </tp>
      <tp t="s">
        <v>#N/A Requesting Data...4023108532</v>
        <stp/>
        <stp>BDP|5185343118399640175</stp>
        <tr r="Y1239" s="1"/>
        <tr r="Y1239" s="1"/>
      </tp>
      <tp t="s">
        <v>#N/A Requesting Data...2336109696</v>
        <stp/>
        <stp>BDP|8618697065722714518</stp>
        <tr r="AC1497" s="1"/>
        <tr r="AC1497" s="1"/>
      </tp>
      <tp t="s">
        <v>#N/A Requesting Data...1841901309</v>
        <stp/>
        <stp>BDP|8740871284956967111</stp>
        <tr r="Y602" s="1"/>
        <tr r="Y602" s="1"/>
      </tp>
      <tp t="s">
        <v>#N/A Requesting Data...3597208858</v>
        <stp/>
        <stp>BDP|1073667184148629888</stp>
        <tr r="AA506" s="1"/>
        <tr r="AA506" s="1"/>
      </tp>
      <tp t="s">
        <v>#N/A Requesting Data...1769018546</v>
        <stp/>
        <stp>BDP|5562981504945407614</stp>
        <tr r="AA104" s="1"/>
        <tr r="AA104" s="1"/>
      </tp>
      <tp t="s">
        <v>#N/A Requesting Data...4254831954</v>
        <stp/>
        <stp>BDP|5990720987636505352</stp>
        <tr r="Y409" s="1"/>
        <tr r="Y409" s="1"/>
      </tp>
      <tp t="s">
        <v>#N/A Requesting Data...2203160724</v>
        <stp/>
        <stp>BDP|4043705348550035846</stp>
        <tr r="AB979" s="1"/>
        <tr r="AB979" s="1"/>
      </tp>
      <tp t="s">
        <v>#N/A Requesting Data...1211443157</v>
        <stp/>
        <stp>BDP|9329917139404545824</stp>
        <tr r="Z1207" s="1"/>
        <tr r="Z1207" s="1"/>
      </tp>
      <tp t="s">
        <v>#N/A Requesting Data...2362665463</v>
        <stp/>
        <stp>BDP|9722048985107909938</stp>
        <tr r="Y706" s="1"/>
        <tr r="Y706" s="1"/>
      </tp>
      <tp t="s">
        <v>#N/A Requesting Data...1875279745</v>
        <stp/>
        <stp>BDP|6537150345185044994</stp>
        <tr r="AA820" s="1"/>
        <tr r="AA820" s="1"/>
      </tp>
      <tp t="s">
        <v>#N/A Requesting Data...2990546918</v>
        <stp/>
        <stp>BDP|2825565447034753825</stp>
        <tr r="AB453" s="1"/>
        <tr r="AB453" s="1"/>
      </tp>
      <tp t="s">
        <v>#N/A Requesting Data...3062135111</v>
        <stp/>
        <stp>BDP|9578354755720846017</stp>
        <tr r="AB1143" s="1"/>
        <tr r="AB1143" s="1"/>
      </tp>
      <tp t="s">
        <v>#N/A Requesting Data...1910032731</v>
        <stp/>
        <stp>BDP|1504257080081891548</stp>
        <tr r="AC1431" s="1"/>
        <tr r="AC1431" s="1"/>
      </tp>
      <tp>
        <v>197.82</v>
        <stp/>
        <stp>BDP|18078426027212284747|22</stp>
        <stp>IQV US Equity</stp>
        <stp>LAST_PRICE</stp>
        <tr r="AD794" s="1"/>
        <tr r="AD794" s="1"/>
      </tp>
      <tp t="s">
        <v>#N/A Requesting Data...3920612552</v>
        <stp/>
        <stp>BDP|9126670739647517478</stp>
        <tr r="Y396" s="1"/>
        <tr r="Y396" s="1"/>
      </tp>
      <tp t="s">
        <v>#N/A Requesting Data...3450142235</v>
        <stp/>
        <stp>BDP|3986934516785964180</stp>
        <tr r="AA460" s="1"/>
        <tr r="AA460" s="1"/>
      </tp>
      <tp t="s">
        <v>#N/A Requesting Data...1260597039</v>
        <stp/>
        <stp>BDP|3299576840618010586</stp>
        <tr r="AA1400" s="1"/>
        <tr r="AA1400" s="1"/>
      </tp>
      <tp t="s">
        <v>#N/A Requesting Data...1724074474</v>
        <stp/>
        <stp>BDP|3249354497505827356</stp>
        <tr r="AB457" s="1"/>
        <tr r="AB457" s="1"/>
      </tp>
      <tp t="s">
        <v>#N/A Requesting Data...3075318403</v>
        <stp/>
        <stp>BDP|8400847580517808051</stp>
        <tr r="AC25" s="1"/>
        <tr r="AC25" s="1"/>
      </tp>
      <tp t="s">
        <v>#N/A Requesting Data...3541686174</v>
        <stp/>
        <stp>BDP|7487942851865501191</stp>
        <tr r="Y158" s="1"/>
        <tr r="Y158" s="1"/>
      </tp>
      <tp t="s">
        <v>#N/A Requesting Data...1659921708</v>
        <stp/>
        <stp>BDP|2323383599256713180</stp>
        <tr r="Z223" s="1"/>
        <tr r="Z223" s="1"/>
      </tp>
      <tp t="s">
        <v>#N/A Requesting Data...1361040013</v>
        <stp/>
        <stp>BDP|3344396438539623597</stp>
        <tr r="AA1278" s="1"/>
        <tr r="AA1278" s="1"/>
      </tp>
      <tp t="s">
        <v>#N/A Requesting Data...3910412527</v>
        <stp/>
        <stp>BDP|8872928340948160265</stp>
        <tr r="AC222" s="1"/>
        <tr r="AC222" s="1"/>
      </tp>
      <tp t="s">
        <v>#N/A Requesting Data...1254212740</v>
        <stp/>
        <stp>BDP|2546897721615262226</stp>
        <tr r="AA414" s="1"/>
        <tr r="AA414" s="1"/>
      </tp>
      <tp t="s">
        <v>#N/A Requesting Data...3316064382</v>
        <stp/>
        <stp>BDP|3736007127316877854</stp>
        <tr r="Y373" s="1"/>
        <tr r="Y373" s="1"/>
      </tp>
      <tp t="s">
        <v>#N/A Requesting Data...4145391588</v>
        <stp/>
        <stp>BDP|6635085669419231686</stp>
        <tr r="AB1210" s="1"/>
        <tr r="AB1210" s="1"/>
      </tp>
      <tp t="s">
        <v>#N/A Requesting Data...4045051395</v>
        <stp/>
        <stp>BDP|8980494228979448816</stp>
        <tr r="AA853" s="1"/>
        <tr r="AA853" s="1"/>
      </tp>
      <tp t="s">
        <v>#N/A Requesting Data...2765130526</v>
        <stp/>
        <stp>BDP|2118883565797478454</stp>
        <tr r="AC650" s="1"/>
        <tr r="AC650" s="1"/>
      </tp>
      <tp t="s">
        <v>#N/A Requesting Data...2422657347</v>
        <stp/>
        <stp>BDP|9201304977905122799</stp>
        <tr r="Y224" s="1"/>
        <tr r="Y224" s="1"/>
      </tp>
      <tp t="s">
        <v>#N/A Requesting Data...3766885299</v>
        <stp/>
        <stp>BDP|5322464552749197240</stp>
        <tr r="AB466" s="1"/>
        <tr r="AB466" s="1"/>
      </tp>
      <tp t="s">
        <v>#N/A Requesting Data...1279294227</v>
        <stp/>
        <stp>BDP|7192079980400350079</stp>
        <tr r="Z778" s="1"/>
        <tr r="Z778" s="1"/>
      </tp>
      <tp t="s">
        <v>#N/A Requesting Data...4048695921</v>
        <stp/>
        <stp>BDP|7603401199561972448</stp>
        <tr r="AB281" s="1"/>
        <tr r="AB281" s="1"/>
      </tp>
      <tp t="s">
        <v>#N/A Requesting Data...1369943797</v>
        <stp/>
        <stp>BDP|2123579348775938952</stp>
        <tr r="AB780" s="1"/>
        <tr r="AB780" s="1"/>
      </tp>
      <tp t="s">
        <v>#N/A Requesting Data...3708228448</v>
        <stp/>
        <stp>BDP|7880971503713681288</stp>
        <tr r="AC1144" s="1"/>
        <tr r="AC1144" s="1"/>
      </tp>
      <tp t="s">
        <v>#N/A Requesting Data...3701756949</v>
        <stp/>
        <stp>BDP|5203356052884403830</stp>
        <tr r="Z1102" s="1"/>
        <tr r="Z1102" s="1"/>
      </tp>
      <tp t="s">
        <v>#N/A Requesting Data...2161909967</v>
        <stp/>
        <stp>BDP|5975584803989489643</stp>
        <tr r="AA534" s="1"/>
        <tr r="AA534" s="1"/>
      </tp>
      <tp t="s">
        <v>#N/A Requesting Data...1962540342</v>
        <stp/>
        <stp>BDP|5614279291538399917</stp>
        <tr r="Y1057" s="1"/>
        <tr r="Y1057" s="1"/>
      </tp>
      <tp t="s">
        <v>#N/A Requesting Data...1691812194</v>
        <stp/>
        <stp>BDP|3673335017119013700</stp>
        <tr r="Z1604" s="1"/>
        <tr r="Z1604" s="1"/>
      </tp>
      <tp t="s">
        <v>#N/A Requesting Data...2458040899</v>
        <stp/>
        <stp>BDP|1231856862662531222</stp>
        <tr r="Z1156" s="1"/>
        <tr r="Z1156" s="1"/>
      </tp>
      <tp t="s">
        <v>#N/A Requesting Data...4131781719</v>
        <stp/>
        <stp>BDP|3071521486348778910</stp>
        <tr r="AC1170" s="1"/>
        <tr r="AC1170" s="1"/>
      </tp>
      <tp t="s">
        <v>#N/A Requesting Data...2410936387</v>
        <stp/>
        <stp>BDP|6216512844899770129</stp>
        <tr r="Z943" s="1"/>
        <tr r="Z943" s="1"/>
      </tp>
      <tp t="s">
        <v>#N/A Requesting Data...3644358204</v>
        <stp/>
        <stp>BDP|8589431318294992657</stp>
        <tr r="AA1593" s="1"/>
        <tr r="AA1593" s="1"/>
      </tp>
      <tp t="s">
        <v>#N/A Requesting Data...2310856983</v>
        <stp/>
        <stp>BDP|6249815155350473400</stp>
        <tr r="AC685" s="1"/>
        <tr r="AC685" s="1"/>
      </tp>
      <tp t="s">
        <v>#N/A Requesting Data...3863172507</v>
        <stp/>
        <stp>BDP|1846435769608571454</stp>
        <tr r="Y1026" s="1"/>
        <tr r="Y1026" s="1"/>
      </tp>
      <tp t="s">
        <v>#N/A Requesting Data...1616513488</v>
        <stp/>
        <stp>BDP|6278482848580323936</stp>
        <tr r="Z45" s="1"/>
        <tr r="Z45" s="1"/>
      </tp>
      <tp t="s">
        <v>#N/A Requesting Data...3293725356</v>
        <stp/>
        <stp>BDP|4617379302139012105</stp>
        <tr r="AC1516" s="1"/>
        <tr r="AC1516" s="1"/>
      </tp>
      <tp t="s">
        <v>#N/A Requesting Data...1671019750</v>
        <stp/>
        <stp>BDP|2441891905620985526</stp>
        <tr r="AC1167" s="1"/>
        <tr r="AC1167" s="1"/>
      </tp>
      <tp t="s">
        <v>#N/A Requesting Data...3454916241</v>
        <stp/>
        <stp>BDP|7541945610905310515</stp>
        <tr r="AB1125" s="1"/>
        <tr r="AB1125" s="1"/>
      </tp>
      <tp t="s">
        <v>#N/A Requesting Data...1797447384</v>
        <stp/>
        <stp>BDP|3308006991115438058</stp>
        <tr r="Z315" s="1"/>
        <tr r="Z315" s="1"/>
      </tp>
      <tp t="s">
        <v>#N/A Requesting Data...2449303179</v>
        <stp/>
        <stp>BDP|5711350833478781252</stp>
        <tr r="AB813" s="1"/>
        <tr r="AB813" s="1"/>
      </tp>
      <tp t="s">
        <v>#N/A Requesting Data...4043487446</v>
        <stp/>
        <stp>BDP|9717015256471071239</stp>
        <tr r="AB392" s="1"/>
        <tr r="AB392" s="1"/>
      </tp>
      <tp t="s">
        <v>#N/A Requesting Data...4047027721</v>
        <stp/>
        <stp>BDP|4386939202776512447</stp>
        <tr r="AA434" s="1"/>
        <tr r="AA434" s="1"/>
      </tp>
      <tp t="s">
        <v>#N/A Requesting Data...3299000013</v>
        <stp/>
        <stp>BDP|8724323034703241401</stp>
        <tr r="AC724" s="1"/>
        <tr r="AC724" s="1"/>
      </tp>
      <tp t="s">
        <v>#N/A Requesting Data...1290244570</v>
        <stp/>
        <stp>BDP|8516253971192589078</stp>
        <tr r="Y491" s="1"/>
        <tr r="Y491" s="1"/>
      </tp>
      <tp t="s">
        <v>#N/A Requesting Data...1790716701</v>
        <stp/>
        <stp>BDP|6436273315879140349</stp>
        <tr r="AB317" s="1"/>
        <tr r="AB317" s="1"/>
      </tp>
      <tp t="s">
        <v>#N/A Requesting Data...2120739226</v>
        <stp/>
        <stp>BDP|9274568195992219803</stp>
        <tr r="Z1584" s="1"/>
        <tr r="Z1584" s="1"/>
      </tp>
      <tp t="s">
        <v>#N/A Requesting Data...1973797242</v>
        <stp/>
        <stp>BDP|6435001645518430560</stp>
        <tr r="AC1151" s="1"/>
        <tr r="AC1151" s="1"/>
      </tp>
      <tp t="s">
        <v>#N/A Requesting Data...3233117382</v>
        <stp/>
        <stp>BDP|3745494198682672335</stp>
        <tr r="Y1531" s="1"/>
        <tr r="Y1531" s="1"/>
      </tp>
      <tp t="s">
        <v>#N/A Requesting Data...3630311513</v>
        <stp/>
        <stp>BDP|1506951576725159545</stp>
        <tr r="AB667" s="1"/>
        <tr r="AB667" s="1"/>
      </tp>
      <tp t="s">
        <v>#N/A Requesting Data...3742624579</v>
        <stp/>
        <stp>BDP|3780144092611648548</stp>
        <tr r="AA1474" s="1"/>
        <tr r="AA1474" s="1"/>
      </tp>
      <tp t="s">
        <v>#N/A Requesting Data...1281243221</v>
        <stp/>
        <stp>BDP|7915640419898175757</stp>
        <tr r="AB1391" s="1"/>
        <tr r="AB1391" s="1"/>
      </tp>
      <tp t="s">
        <v>#N/A Requesting Data...1496379448</v>
        <stp/>
        <stp>BDP|2139805244145399466</stp>
        <tr r="AA137" s="1"/>
        <tr r="AA137" s="1"/>
      </tp>
      <tp t="s">
        <v>#N/A Requesting Data...1656632347</v>
        <stp/>
        <stp>BDP|3882635433901987816</stp>
        <tr r="AA165" s="1"/>
        <tr r="AA165" s="1"/>
      </tp>
      <tp t="s">
        <v>#N/A Requesting Data...4069536113</v>
        <stp/>
        <stp>BDP|8917345944137885717</stp>
        <tr r="Z1474" s="1"/>
        <tr r="Z1474" s="1"/>
      </tp>
      <tp t="s">
        <v>#N/A Requesting Data...2760798142</v>
        <stp/>
        <stp>BDP|9251145823543024656</stp>
        <tr r="Z461" s="1"/>
        <tr r="Z461" s="1"/>
      </tp>
      <tp t="s">
        <v>#N/A Requesting Data...1763592344</v>
        <stp/>
        <stp>BDP|1310415964294130875</stp>
        <tr r="AA1078" s="1"/>
        <tr r="AA1078" s="1"/>
      </tp>
      <tp t="s">
        <v>#N/A Requesting Data...1609456483</v>
        <stp/>
        <stp>BDP|2100041629747950850</stp>
        <tr r="AB1147" s="1"/>
        <tr r="AB1147" s="1"/>
      </tp>
      <tp t="s">
        <v>#N/A Requesting Data...2733745526</v>
        <stp/>
        <stp>BDP|5835383396480046063</stp>
        <tr r="AA1546" s="1"/>
        <tr r="AA1546" s="1"/>
      </tp>
      <tp t="s">
        <v>#N/A Requesting Data...2546758890</v>
        <stp/>
        <stp>BDP|6593863828665876638</stp>
        <tr r="Z801" s="1"/>
        <tr r="Z801" s="1"/>
      </tp>
      <tp t="s">
        <v>#N/A Requesting Data...3849293227</v>
        <stp/>
        <stp>BDP|3278954606205648077</stp>
        <tr r="AB710" s="1"/>
        <tr r="AB710" s="1"/>
      </tp>
      <tp t="s">
        <v>#N/A Requesting Data...2621457510</v>
        <stp/>
        <stp>BDP|3222048617848653572</stp>
        <tr r="Z807" s="1"/>
        <tr r="Z807" s="1"/>
      </tp>
      <tp t="s">
        <v>#N/A Requesting Data...1996391963</v>
        <stp/>
        <stp>BDP|5074858245231118719</stp>
        <tr r="AB1399" s="1"/>
        <tr r="AB1399" s="1"/>
      </tp>
      <tp t="s">
        <v>#N/A Requesting Data...1279754206</v>
        <stp/>
        <stp>BDP|8251145574768365915</stp>
        <tr r="Z1245" s="1"/>
        <tr r="Z1245" s="1"/>
      </tp>
      <tp t="s">
        <v>#N/A Requesting Data...3529201036</v>
        <stp/>
        <stp>BDP|2388829974454495618</stp>
        <tr r="AC734" s="1"/>
        <tr r="AC734" s="1"/>
      </tp>
      <tp t="s">
        <v>#N/A Requesting Data...2427238905</v>
        <stp/>
        <stp>BDP|9587482034813053290</stp>
        <tr r="Y411" s="1"/>
        <tr r="Y411" s="1"/>
      </tp>
      <tp t="s">
        <v>#N/A Requesting Data...3403324683</v>
        <stp/>
        <stp>BDP|3651971930281712760</stp>
        <tr r="Y499" s="1"/>
        <tr r="Y499" s="1"/>
      </tp>
      <tp t="s">
        <v>#N/A Requesting Data...4259450392</v>
        <stp/>
        <stp>BDP|3430947473190574265</stp>
        <tr r="AA899" s="1"/>
        <tr r="AA899" s="1"/>
      </tp>
      <tp t="s">
        <v>#N/A Requesting Data...2136711443</v>
        <stp/>
        <stp>BDP|5989459089184228275</stp>
        <tr r="Y452" s="1"/>
        <tr r="Y452" s="1"/>
      </tp>
      <tp t="s">
        <v>#N/A Requesting Data...3671320693</v>
        <stp/>
        <stp>BDP|1392329826529022670</stp>
        <tr r="AC892" s="1"/>
        <tr r="AC892" s="1"/>
      </tp>
      <tp t="s">
        <v>#N/A Requesting Data...1947853378</v>
        <stp/>
        <stp>BDP|5845900310524047683</stp>
        <tr r="AC1531" s="1"/>
        <tr r="AC1531" s="1"/>
      </tp>
      <tp t="s">
        <v>#N/A Requesting Data...1447871860</v>
        <stp/>
        <stp>BDP|6043140085080474055</stp>
        <tr r="Y1166" s="1"/>
        <tr r="Y1166" s="1"/>
      </tp>
      <tp t="s">
        <v>#N/A Requesting Data...3513097523</v>
        <stp/>
        <stp>BDP|2290133899712152780</stp>
        <tr r="AB1185" s="1"/>
        <tr r="AB1185" s="1"/>
      </tp>
      <tp t="s">
        <v>#N/A Requesting Data...2116503207</v>
        <stp/>
        <stp>BDP|9292647979201715697</stp>
        <tr r="Y1261" s="1"/>
        <tr r="Y1261" s="1"/>
      </tp>
      <tp t="s">
        <v>#N/A Requesting Data...2322487227</v>
        <stp/>
        <stp>BDP|9619351332817541151</stp>
        <tr r="Z66" s="1"/>
        <tr r="Z66" s="1"/>
      </tp>
      <tp t="s">
        <v>#N/A Requesting Data...2583364893</v>
        <stp/>
        <stp>BDP|6776537940090097855</stp>
        <tr r="AB442" s="1"/>
        <tr r="AB442" s="1"/>
      </tp>
      <tp t="s">
        <v>#N/A Requesting Data...4265847353</v>
        <stp/>
        <stp>BDP|6643309606192660876</stp>
        <tr r="AB993" s="1"/>
        <tr r="AB993" s="1"/>
      </tp>
      <tp t="s">
        <v>#N/A Requesting Data...2367745152</v>
        <stp/>
        <stp>BDP|1870674864607902939</stp>
        <tr r="AB682" s="1"/>
        <tr r="AB682" s="1"/>
      </tp>
      <tp t="s">
        <v>#N/A Requesting Data...1996726117</v>
        <stp/>
        <stp>BDP|5226373232982256841</stp>
        <tr r="AB836" s="1"/>
        <tr r="AB836" s="1"/>
      </tp>
      <tp t="s">
        <v>#N/A Requesting Data...1944233068</v>
        <stp/>
        <stp>BDP|6658665251953047902</stp>
        <tr r="AC967" s="1"/>
      </tp>
      <tp t="s">
        <v>#N/A Requesting Data...4164965041</v>
        <stp/>
        <stp>BDP|6105832407225679429</stp>
        <tr r="Z1147" s="1"/>
        <tr r="Z1147" s="1"/>
      </tp>
      <tp t="s">
        <v>#N/A Requesting Data...3327218726</v>
        <stp/>
        <stp>BDP|7792228960179797537</stp>
        <tr r="Z1091" s="1"/>
        <tr r="Z1091" s="1"/>
      </tp>
      <tp t="s">
        <v>#N/A Requesting Data...1290626645</v>
        <stp/>
        <stp>BDP|4774904192449006247</stp>
        <tr r="AB826" s="1"/>
        <tr r="AB826" s="1"/>
      </tp>
      <tp t="s">
        <v>#N/A Requesting Data...2363170493</v>
        <stp/>
        <stp>BDP|9805775407597819613</stp>
        <tr r="AC513" s="1"/>
        <tr r="AC513" s="1"/>
      </tp>
      <tp t="s">
        <v>#N/A Requesting Data...3454742553</v>
        <stp/>
        <stp>BDP|7896310638380997891</stp>
        <tr r="AA1276" s="1"/>
        <tr r="AA1276" s="1"/>
      </tp>
      <tp t="s">
        <v>#N/A Requesting Data...4239286486</v>
        <stp/>
        <stp>BDP|6205149950754127969</stp>
        <tr r="AA828" s="1"/>
        <tr r="AA828" s="1"/>
      </tp>
      <tp t="s">
        <v>#N/A Requesting Data...1898596990</v>
        <stp/>
        <stp>BDP|8001676345691368402</stp>
        <tr r="Z1581" s="1"/>
        <tr r="Z1581" s="1"/>
      </tp>
      <tp t="s">
        <v>#N/A Requesting Data...1994564792</v>
        <stp/>
        <stp>BDP|4646604982082732724</stp>
        <tr r="AB820" s="1"/>
        <tr r="AB820" s="1"/>
      </tp>
      <tp t="s">
        <v>#N/A Requesting Data...3566328096</v>
        <stp/>
        <stp>BDP|3593041070709590250</stp>
        <tr r="AC894" s="1"/>
        <tr r="AC894" s="1"/>
      </tp>
      <tp t="s">
        <v>#N/A Requesting Data...1787533420</v>
        <stp/>
        <stp>BDP|8663091408207529031</stp>
        <tr r="AA1301" s="1"/>
        <tr r="AA1301" s="1"/>
      </tp>
      <tp t="s">
        <v>#N/A Requesting Data...4153133902</v>
        <stp/>
        <stp>BDP|2997201329005545835</stp>
        <tr r="AC537" s="1"/>
        <tr r="AC537" s="1"/>
      </tp>
      <tp t="s">
        <v>#N/A Requesting Data...3599433134</v>
        <stp/>
        <stp>BDP|2949842849890734157</stp>
        <tr r="AA945" s="1"/>
        <tr r="AA945" s="1"/>
      </tp>
      <tp t="s">
        <v>#N/A Requesting Data...1490650779</v>
        <stp/>
        <stp>BDP|1258317186651202418</stp>
        <tr r="Z575" s="1"/>
        <tr r="Z575" s="1"/>
      </tp>
      <tp t="s">
        <v>#N/A Requesting Data...3799945924</v>
        <stp/>
        <stp>BDP|8398953109707096998</stp>
        <tr r="AA791" s="1"/>
        <tr r="AA791" s="1"/>
      </tp>
      <tp t="s">
        <v>#N/A Requesting Data...2718475487</v>
        <stp/>
        <stp>BDP|9730760031672523039</stp>
        <tr r="AB693" s="1"/>
        <tr r="AB693" s="1"/>
      </tp>
      <tp t="s">
        <v>#N/A Requesting Data...3756360268</v>
        <stp/>
        <stp>BDP|8739104550480551348</stp>
        <tr r="Z119" s="1"/>
        <tr r="Z119" s="1"/>
      </tp>
      <tp t="s">
        <v>#N/A Requesting Data...2552260926</v>
        <stp/>
        <stp>BDP|2042112190110314548</stp>
        <tr r="Z930" s="1"/>
        <tr r="Z930" s="1"/>
      </tp>
      <tp t="s">
        <v>#N/A Requesting Data...1723966016</v>
        <stp/>
        <stp>BDP|2186887539545607304</stp>
        <tr r="AB380" s="1"/>
      </tp>
      <tp t="s">
        <v>#N/A Requesting Data...3629160936</v>
        <stp/>
        <stp>BDP|8437027913866729040</stp>
        <tr r="AA615" s="1"/>
        <tr r="AA615" s="1"/>
      </tp>
      <tp t="s">
        <v>#N/A Requesting Data...2020638280</v>
        <stp/>
        <stp>BDP|7133415690037614209</stp>
        <tr r="Y260" s="1"/>
        <tr r="Y260" s="1"/>
      </tp>
      <tp t="s">
        <v>#N/A Requesting Data...1435344747</v>
        <stp/>
        <stp>BDP|7575920215337743731</stp>
        <tr r="AA389" s="1"/>
        <tr r="AA389" s="1"/>
      </tp>
      <tp t="s">
        <v>#N/A Requesting Data...4086656382</v>
        <stp/>
        <stp>BDP|3311736172374306875</stp>
        <tr r="Z554" s="1"/>
        <tr r="Z554" s="1"/>
      </tp>
      <tp t="s">
        <v>#N/A Requesting Data...3635147799</v>
        <stp/>
        <stp>BDP|5573658957119599046</stp>
        <tr r="Y1280" s="1"/>
        <tr r="Y1280" s="1"/>
      </tp>
      <tp t="s">
        <v>#N/A Requesting Data...4133494383</v>
        <stp/>
        <stp>BDP|5738258920052387872</stp>
        <tr r="AB720" s="1"/>
        <tr r="AB720" s="1"/>
      </tp>
      <tp t="s">
        <v>#N/A Requesting Data...2989318350</v>
        <stp/>
        <stp>BDP|5734662626107874997</stp>
        <tr r="AB197" s="1"/>
        <tr r="AB197" s="1"/>
      </tp>
      <tp t="s">
        <v>#N/A Requesting Data...1594385671</v>
        <stp/>
        <stp>BDP|2066433746529456476</stp>
        <tr r="AB296" s="1"/>
        <tr r="AB296" s="1"/>
      </tp>
      <tp t="s">
        <v>#N/A Requesting Data...3289798844</v>
        <stp/>
        <stp>BDP|4243474390426101026</stp>
        <tr r="Y838" s="1"/>
        <tr r="Y838" s="1"/>
      </tp>
      <tp t="s">
        <v>#N/A Requesting Data...3966400554</v>
        <stp/>
        <stp>BDP|6514985673576017187</stp>
        <tr r="AC1322" s="1"/>
        <tr r="AC1322" s="1"/>
      </tp>
      <tp t="s">
        <v>#N/A Requesting Data...2700920096</v>
        <stp/>
        <stp>BDP|8285613751882323669</stp>
        <tr r="AB870" s="1"/>
      </tp>
      <tp t="s">
        <v>#N/A Requesting Data...1311576714</v>
        <stp/>
        <stp>BDP|3808884911864563130</stp>
        <tr r="AC1055" s="1"/>
        <tr r="AC1055" s="1"/>
      </tp>
      <tp t="s">
        <v>#N/A Requesting Data...3833145243</v>
        <stp/>
        <stp>BDP|1302967754427198577</stp>
        <tr r="AB1413" s="1"/>
        <tr r="AB1413" s="1"/>
      </tp>
      <tp t="s">
        <v>#N/A Requesting Data...1901021232</v>
        <stp/>
        <stp>BDP|8019740451952521777</stp>
        <tr r="Z203" s="1"/>
        <tr r="Z203" s="1"/>
      </tp>
      <tp t="s">
        <v>#N/A Requesting Data...1579429537</v>
        <stp/>
        <stp>BDP|3494766357467250902</stp>
        <tr r="Y201" s="1"/>
        <tr r="Y201" s="1"/>
      </tp>
      <tp t="s">
        <v>#N/A Requesting Data...3988466438</v>
        <stp/>
        <stp>BDP|6167275095791004348</stp>
        <tr r="AA1551" s="1"/>
        <tr r="AA1551" s="1"/>
      </tp>
      <tp t="s">
        <v>#N/A Requesting Data...4185539931</v>
        <stp/>
        <stp>BDP|8643649301299756835</stp>
        <tr r="Y1487" s="1"/>
        <tr r="Y1487" s="1"/>
      </tp>
      <tp t="s">
        <v>#N/A Requesting Data...3471719076</v>
        <stp/>
        <stp>BDP|5731641157409798040</stp>
        <tr r="AB136" s="1"/>
        <tr r="AB136" s="1"/>
      </tp>
      <tp t="s">
        <v>#N/A Requesting Data...2617459115</v>
        <stp/>
        <stp>BDP|7780514381660798572</stp>
        <tr r="Z1559" s="1"/>
        <tr r="Z1559" s="1"/>
      </tp>
      <tp t="s">
        <v>#N/A Requesting Data...1497460291</v>
        <stp/>
        <stp>BDP|5395411294896063115</stp>
        <tr r="Z608" s="1"/>
        <tr r="Z608" s="1"/>
      </tp>
      <tp t="s">
        <v>#N/A Requesting Data...3176820139</v>
        <stp/>
        <stp>BDP|4639930348083915530</stp>
        <tr r="AA1163" s="1"/>
        <tr r="AA1163" s="1"/>
      </tp>
      <tp t="s">
        <v>#N/A Requesting Data...3967822790</v>
        <stp/>
        <stp>BDP|5959971918233023116</stp>
        <tr r="AA477" s="1"/>
        <tr r="AA477" s="1"/>
      </tp>
      <tp t="s">
        <v>#N/A Requesting Data...2588089082</v>
        <stp/>
        <stp>BDP|1043118382752216568</stp>
        <tr r="AC1210" s="1"/>
        <tr r="AC1210" s="1"/>
      </tp>
      <tp t="s">
        <v>#N/A Requesting Data...4066259023</v>
        <stp/>
        <stp>BDP|3830770039851416958</stp>
        <tr r="AB1080" s="1"/>
        <tr r="AB1080" s="1"/>
      </tp>
      <tp t="s">
        <v>#N/A Requesting Data...2446800007</v>
        <stp/>
        <stp>BDP|9538092778565240412</stp>
        <tr r="AA80" s="1"/>
        <tr r="AA80" s="1"/>
      </tp>
      <tp t="s">
        <v>#N/A Requesting Data...2355919030</v>
        <stp/>
        <stp>BDP|3973497756298365521</stp>
        <tr r="Y693" s="1"/>
        <tr r="Y693" s="1"/>
      </tp>
      <tp t="s">
        <v>#N/A Requesting Data...2793908037</v>
        <stp/>
        <stp>BDP|6248940507541642102</stp>
        <tr r="AB239" s="1"/>
        <tr r="AB239" s="1"/>
      </tp>
      <tp t="s">
        <v>#N/A Requesting Data...3501698201</v>
        <stp/>
        <stp>BDP|5974773286487769280</stp>
        <tr r="AB1513" s="1"/>
        <tr r="AB1513" s="1"/>
      </tp>
      <tp t="s">
        <v>#N/A Requesting Data...4210992119</v>
        <stp/>
        <stp>BDP|5144239869786996855</stp>
        <tr r="AC1230" s="1"/>
        <tr r="AC1230" s="1"/>
      </tp>
      <tp t="s">
        <v>#N/A Requesting Data...1425909039</v>
        <stp/>
        <stp>BDP|1458174215326747860</stp>
        <tr r="AB1528" s="1"/>
        <tr r="AB1528" s="1"/>
      </tp>
      <tp t="s">
        <v>#N/A Requesting Data...3047087360</v>
        <stp/>
        <stp>BDP|7322700527058305539</stp>
        <tr r="AC973" s="1"/>
        <tr r="AC973" s="1"/>
      </tp>
      <tp t="s">
        <v>#N/A Requesting Data...1423864805</v>
        <stp/>
        <stp>BDP|7991912379497258171</stp>
        <tr r="Y1074" s="1"/>
        <tr r="Y1074" s="1"/>
      </tp>
      <tp t="s">
        <v>#N/A Requesting Data...3807912630</v>
        <stp/>
        <stp>BDP|3982542524499979243</stp>
        <tr r="Z1331" s="1"/>
        <tr r="Z1331" s="1"/>
      </tp>
      <tp t="s">
        <v>#N/A Requesting Data...1704521438</v>
        <stp/>
        <stp>BDP|7528276908829959373</stp>
        <tr r="AC1135" s="1"/>
        <tr r="AC1135" s="1"/>
      </tp>
      <tp t="s">
        <v>#N/A Requesting Data...1595700279</v>
        <stp/>
        <stp>BDP|5190867966516629234</stp>
        <tr r="AA576" s="1"/>
        <tr r="AA576" s="1"/>
      </tp>
      <tp t="s">
        <v>#N/A Requesting Data...1308605678</v>
        <stp/>
        <stp>BDP|7552937117654202478</stp>
        <tr r="AC1542" s="1"/>
        <tr r="AC1542" s="1"/>
      </tp>
      <tp t="s">
        <v>#N/A Requesting Data...1460852404</v>
        <stp/>
        <stp>BDP|2430898245117912657</stp>
        <tr r="AB1443" s="1"/>
        <tr r="AB1443" s="1"/>
      </tp>
      <tp t="s">
        <v>#N/A Requesting Data...4039937829</v>
        <stp/>
        <stp>BDP|5303008287291802385</stp>
        <tr r="Y1500" s="1"/>
        <tr r="Y1500" s="1"/>
      </tp>
      <tp t="s">
        <v>#N/A Requesting Data...3501051434</v>
        <stp/>
        <stp>BDP|3321763195794372670</stp>
        <tr r="AA913" s="1"/>
        <tr r="AA913" s="1"/>
      </tp>
      <tp t="s">
        <v>#N/A Requesting Data...2274663070</v>
        <stp/>
        <stp>BDP|2774311791370723747</stp>
        <tr r="Y817" s="1"/>
        <tr r="Y817" s="1"/>
      </tp>
      <tp t="s">
        <v>#N/A Requesting Data...3275726990</v>
        <stp/>
        <stp>BDP|8293717452972269772</stp>
        <tr r="AA1009" s="1"/>
        <tr r="AA1009" s="1"/>
      </tp>
      <tp t="s">
        <v>#N/A Requesting Data...1458005359</v>
        <stp/>
        <stp>BDP|4631751545911583971</stp>
        <tr r="Z71" s="1"/>
        <tr r="Z71" s="1"/>
      </tp>
      <tp t="s">
        <v>#N/A Requesting Data...3240981901</v>
        <stp/>
        <stp>BDP|8564662024184000737</stp>
        <tr r="Y1241" s="1"/>
        <tr r="Y1241" s="1"/>
      </tp>
      <tp t="s">
        <v>#N/A Requesting Data...3391873073</v>
        <stp/>
        <stp>BDP|4157942355065734231</stp>
        <tr r="AB186" s="1"/>
        <tr r="AB186" s="1"/>
      </tp>
      <tp t="s">
        <v>#N/A Requesting Data...1931379419</v>
        <stp/>
        <stp>BDP|3696904213524588045</stp>
        <tr r="Y1328" s="1"/>
        <tr r="Y1328" s="1"/>
      </tp>
      <tp t="s">
        <v>#N/A Requesting Data...2067187780</v>
        <stp/>
        <stp>BDP|6136064555785361952</stp>
        <tr r="Z1446" s="1"/>
        <tr r="Z1446" s="1"/>
      </tp>
      <tp t="s">
        <v>#N/A Requesting Data...4133807130</v>
        <stp/>
        <stp>BDP|3420212851722401943</stp>
        <tr r="AC577" s="1"/>
        <tr r="AC577" s="1"/>
      </tp>
      <tp t="s">
        <v>#N/A Requesting Data...3592146560</v>
        <stp/>
        <stp>BDP|1533920231507277306</stp>
        <tr r="AC21" s="1"/>
        <tr r="AC21" s="1"/>
      </tp>
      <tp t="s">
        <v>#N/A Requesting Data...1327627601</v>
        <stp/>
        <stp>BDP|6557311162059016523</stp>
        <tr r="Y1099" s="1"/>
        <tr r="Y1099" s="1"/>
      </tp>
      <tp t="s">
        <v>#N/A Requesting Data...3816802225</v>
        <stp/>
        <stp>BDP|2834257748918564353</stp>
        <tr r="AA209" s="1"/>
        <tr r="AA209" s="1"/>
      </tp>
      <tp t="s">
        <v>#N/A Requesting Data...1608404342</v>
        <stp/>
        <stp>BDP|5489675327907896995</stp>
        <tr r="Z207" s="1"/>
        <tr r="Z207" s="1"/>
      </tp>
      <tp t="s">
        <v>#N/A Requesting Data...1569147578</v>
        <stp/>
        <stp>BDP|7507937108644833539</stp>
        <tr r="AC474" s="1"/>
        <tr r="AC474" s="1"/>
      </tp>
      <tp t="s">
        <v>#N/A Requesting Data...1713748634</v>
        <stp/>
        <stp>BDP|3518246875821448850</stp>
        <tr r="AC1291" s="1"/>
        <tr r="AC1291" s="1"/>
      </tp>
      <tp t="s">
        <v>#N/A Requesting Data...1568369910</v>
        <stp/>
        <stp>BDP|5776332864466538908</stp>
        <tr r="Y344" s="1"/>
        <tr r="Y344" s="1"/>
      </tp>
      <tp t="s">
        <v>#N/A Requesting Data...1810462369</v>
        <stp/>
        <stp>BDP|5394802557062676576</stp>
        <tr r="AB1093" s="1"/>
        <tr r="AB1093" s="1"/>
      </tp>
      <tp t="s">
        <v>#N/A Requesting Data...2837183767</v>
        <stp/>
        <stp>BDP|3618263015426192915</stp>
        <tr r="Y646" s="1"/>
        <tr r="Y646" s="1"/>
      </tp>
      <tp t="s">
        <v>#N/A Requesting Data...2126876922</v>
        <stp/>
        <stp>BDP|3768248216078854786</stp>
        <tr r="AA413" s="1"/>
        <tr r="AA413" s="1"/>
      </tp>
      <tp t="s">
        <v>#N/A Requesting Data...2753103420</v>
        <stp/>
        <stp>BDP|4814178088344145632</stp>
        <tr r="AA344" s="1"/>
        <tr r="AA344" s="1"/>
      </tp>
      <tp t="s">
        <v>#N/A Requesting Data...3449709603</v>
        <stp/>
        <stp>BDP|6140626752048293264</stp>
        <tr r="AB716" s="1"/>
        <tr r="AB716" s="1"/>
      </tp>
      <tp t="s">
        <v>#N/A Requesting Data...2038397452</v>
        <stp/>
        <stp>BDP|2341355032378389525</stp>
        <tr r="AB76" s="1"/>
        <tr r="AB76" s="1"/>
      </tp>
      <tp t="s">
        <v>#N/A Requesting Data...1712881815</v>
        <stp/>
        <stp>BDP|9419360256069176908</stp>
        <tr r="AA698" s="1"/>
        <tr r="AA698" s="1"/>
      </tp>
      <tp t="s">
        <v>#N/A Requesting Data...1351758042</v>
        <stp/>
        <stp>BDP|8257051153311414354</stp>
        <tr r="AC961" s="1"/>
        <tr r="AC961" s="1"/>
      </tp>
      <tp t="s">
        <v>#N/A Requesting Data...3493636702</v>
        <stp/>
        <stp>BDP|6304427083227566226</stp>
        <tr r="Y135" s="1"/>
        <tr r="Y135" s="1"/>
      </tp>
      <tp t="s">
        <v>#N/A Requesting Data...2984053610</v>
        <stp/>
        <stp>BDP|1259876691429788669</stp>
        <tr r="Z398" s="1"/>
        <tr r="Z398" s="1"/>
      </tp>
      <tp>
        <v>3.6749999999999998E-2</v>
        <stp/>
        <stp>BDP|8325939428722255192|22</stp>
        <stp>KAYS US Equity</stp>
        <stp>LAST_PRICE</stp>
        <tr r="AD826" s="1"/>
        <tr r="AD826" s="1"/>
      </tp>
      <tp>
        <v>8.0399999999999991</v>
        <stp/>
        <stp>BDP|4484808198152116851|22</stp>
        <stp>VERV US Equity</stp>
        <stp>LAST_PRICE</stp>
        <tr r="AD1540" s="1"/>
        <tr r="AD1540" s="1"/>
      </tp>
      <tp>
        <v>3.03</v>
        <stp/>
        <stp>BDP|4672725058020224900|22</stp>
        <stp>DRTS US Equity</stp>
        <stp>LAST_PRICE</stp>
        <tr r="AD95" s="1"/>
        <tr r="AD95" s="1"/>
      </tp>
      <tp>
        <v>0.01</v>
        <stp/>
        <stp>BDP|9276283241210325031|22</stp>
        <stp>TILT CN Equity</stp>
        <stp>LAST_PRICE</stp>
        <tr r="AD1471" s="1"/>
        <tr r="AD1471" s="1"/>
      </tp>
      <tp>
        <v>21.95</v>
        <stp/>
        <stp>BDP|1456698684542215987|22</stp>
        <stp>IDYA US Equity</stp>
        <stp>LAST_PRICE</stp>
        <tr r="AD719" s="1"/>
        <tr r="AD719" s="1"/>
      </tp>
      <tp>
        <v>9.9999999999999995E-7</v>
        <stp/>
        <stp>BDP|9972632766727260847|22</stp>
        <stp>MRPI US Equity</stp>
        <stp>LAST_PRICE</stp>
        <tr r="AD939" s="1"/>
        <tr r="AD939" s="1"/>
      </tp>
      <tp>
        <v>0.53039999999999998</v>
        <stp/>
        <stp>BDP|2574417533567177580|22</stp>
        <stp>GCTK US Equity</stp>
        <stp>LAST_PRICE</stp>
        <tr r="AD655" s="1"/>
        <tr r="AD655" s="1"/>
      </tp>
      <tp>
        <v>33.22</v>
        <stp/>
        <stp>BDP|2810646589469217496|22</stp>
        <stp>HSTM US Equity</stp>
        <stp>LAST_PRICE</stp>
        <tr r="AD683" s="1"/>
        <tr r="AD683" s="1"/>
      </tp>
      <tp>
        <v>5.51</v>
        <stp/>
        <stp>BDP|3772164693876422180|22</stp>
        <stp>OPTN US Equity</stp>
        <stp>LAST_PRICE</stp>
        <tr r="AD1099" s="1"/>
        <tr r="AD1099" s="1"/>
      </tp>
      <tp>
        <v>8.9999999999999998E-4</v>
        <stp/>
        <stp>BDP|4131768500353158785|22</stp>
        <stp>TXTM US Equity</stp>
        <stp>LAST_PRICE</stp>
        <tr r="AD1211" s="1"/>
        <tr r="AD1211" s="1"/>
      </tp>
      <tp>
        <v>13.3</v>
        <stp/>
        <stp>BDP|5099891472407493675|22</stp>
        <stp>QURE US Equity</stp>
        <stp>LAST_PRICE</stp>
        <tr r="AD1502" s="1"/>
        <tr r="AD1502" s="1"/>
      </tp>
      <tp>
        <v>47.65</v>
        <stp/>
        <stp>BDP|7877448076734334350|22</stp>
        <stp>LIVN US Equity</stp>
        <stp>LAST_PRICE</stp>
        <tr r="AD882" s="1"/>
        <tr r="AD882" s="1"/>
      </tp>
      <tp>
        <v>17.98</v>
        <stp/>
        <stp>BDP|2237262875324911240|22</stp>
        <stp>INVA US Equity</stp>
        <stp>LAST_PRICE</stp>
        <tr r="AD763" s="1"/>
        <tr r="AD763" s="1"/>
      </tp>
      <tp>
        <v>0.76</v>
        <stp/>
        <stp>BDP|12611813183586287819|22</stp>
        <stp>AQB US Equity</stp>
        <stp>LAST_PRICE</stp>
        <tr r="AD153" s="1"/>
        <tr r="AD153" s="1"/>
      </tp>
      <tp t="s">
        <v>#N/A Requesting Data...4149094109</v>
        <stp/>
        <stp>BDP|3180889283938392338</stp>
        <tr r="AA1422" s="1"/>
        <tr r="AA1422" s="1"/>
      </tp>
      <tp t="s">
        <v>#N/A Requesting Data...3238856098</v>
        <stp/>
        <stp>BDP|7119655171667629998</stp>
        <tr r="AA996" s="1"/>
        <tr r="AA996" s="1"/>
      </tp>
      <tp t="s">
        <v>#N/A Requesting Data...2397017282</v>
        <stp/>
        <stp>BDP|1231639631714816824</stp>
        <tr r="AB1010" s="1"/>
        <tr r="AB1010" s="1"/>
      </tp>
      <tp t="s">
        <v>#N/A Requesting Data...4060657008</v>
        <stp/>
        <stp>BDP|5187974438153736436</stp>
        <tr r="Y1443" s="1"/>
        <tr r="Y1443" s="1"/>
      </tp>
      <tp t="s">
        <v>#N/A Requesting Data...3244721208</v>
        <stp/>
        <stp>BDP|3721991505981226332</stp>
        <tr r="AA1417" s="1"/>
        <tr r="AA1417" s="1"/>
      </tp>
      <tp t="s">
        <v>#N/A Requesting Data...3771919388</v>
        <stp/>
        <stp>BDP|9712231660464814169</stp>
        <tr r="AB198" s="1"/>
        <tr r="AB198" s="1"/>
      </tp>
      <tp t="s">
        <v>#N/A Requesting Data...2006291567</v>
        <stp/>
        <stp>BDP|3432106035899255096</stp>
        <tr r="AB111" s="1"/>
        <tr r="AB111" s="1"/>
      </tp>
      <tp t="s">
        <v>#N/A Requesting Data...2424993021</v>
        <stp/>
        <stp>BDP|2432706081546623393</stp>
        <tr r="Z1243" s="1"/>
        <tr r="Z1243" s="1"/>
      </tp>
      <tp t="s">
        <v>#N/A Requesting Data...2361900415</v>
        <stp/>
        <stp>BDP|2250764186645107096</stp>
        <tr r="Z1523" s="1"/>
        <tr r="Z1523" s="1"/>
      </tp>
      <tp t="s">
        <v>#N/A Requesting Data...1819428536</v>
        <stp/>
        <stp>BDP|4685708498022294069</stp>
        <tr r="AC1348" s="1"/>
        <tr r="AC1348" s="1"/>
      </tp>
      <tp t="s">
        <v>#N/A Requesting Data...3261807070</v>
        <stp/>
        <stp>BDP|6578913519324516223</stp>
        <tr r="AC1582" s="1"/>
        <tr r="AC1582" s="1"/>
      </tp>
      <tp t="s">
        <v>#N/A Requesting Data...1949548568</v>
        <stp/>
        <stp>BDP|1435119323058843248</stp>
        <tr r="AA1548" s="1"/>
        <tr r="AA1548" s="1"/>
      </tp>
      <tp t="s">
        <v>#N/A Requesting Data...3053277887</v>
        <stp/>
        <stp>BDP|8956694882747199999</stp>
        <tr r="Y1105" s="1"/>
        <tr r="Y1105" s="1"/>
      </tp>
      <tp t="s">
        <v>#N/A Requesting Data...3711146595</v>
        <stp/>
        <stp>BDP|9648639728617288248</stp>
        <tr r="AC710" s="1"/>
        <tr r="AC710" s="1"/>
      </tp>
      <tp t="s">
        <v>#N/A Requesting Data...2641038212</v>
        <stp/>
        <stp>BDP|3492845392598873210</stp>
        <tr r="AB1236" s="1"/>
        <tr r="AB1236" s="1"/>
      </tp>
      <tp t="s">
        <v>#N/A Requesting Data...1866261693</v>
        <stp/>
        <stp>BDP|8069999216709620124</stp>
        <tr r="AC1195" s="1"/>
        <tr r="AC1195" s="1"/>
      </tp>
      <tp t="s">
        <v>#N/A Requesting Data...1837969938</v>
        <stp/>
        <stp>BDP|3637043315228442287</stp>
        <tr r="AC472" s="1"/>
        <tr r="AC472" s="1"/>
      </tp>
      <tp t="s">
        <v>#N/A Requesting Data...2050538196</v>
        <stp/>
        <stp>BDP|7431942524743932767</stp>
        <tr r="AC65" s="1"/>
        <tr r="AC65" s="1"/>
      </tp>
      <tp t="s">
        <v>#N/A Requesting Data...3529980640</v>
        <stp/>
        <stp>BDP|4059136813404252890</stp>
        <tr r="AC1606" s="1"/>
        <tr r="AC1606" s="1"/>
      </tp>
      <tp t="s">
        <v>#N/A Requesting Data...3445275011</v>
        <stp/>
        <stp>BDP|4321950121537900055</stp>
        <tr r="AC444" s="1"/>
        <tr r="AC444" s="1"/>
      </tp>
      <tp t="s">
        <v>#N/A Requesting Data...3304847086</v>
        <stp/>
        <stp>BDP|1367655562661780888</stp>
        <tr r="Y1516" s="1"/>
        <tr r="Y1516" s="1"/>
      </tp>
      <tp t="s">
        <v>#N/A Requesting Data...3796916610</v>
        <stp/>
        <stp>BDP|4518726901342981949</stp>
        <tr r="Y917" s="1"/>
        <tr r="Y917" s="1"/>
      </tp>
      <tp t="s">
        <v>#N/A Requesting Data...4182792572</v>
        <stp/>
        <stp>BDP|1144145928312245843</stp>
        <tr r="AC739" s="1"/>
        <tr r="AC739" s="1"/>
      </tp>
      <tp t="s">
        <v>#N/A Requesting Data...1924044849</v>
        <stp/>
        <stp>BDP|6754614890111964043</stp>
        <tr r="AB488" s="1"/>
        <tr r="AB488" s="1"/>
      </tp>
      <tp t="s">
        <v>#N/A Requesting Data...1951253531</v>
        <stp/>
        <stp>BDP|2922113314633319941</stp>
        <tr r="Z75" s="1"/>
        <tr r="Z75" s="1"/>
      </tp>
      <tp t="s">
        <v>#N/A Requesting Data...3350719992</v>
        <stp/>
        <stp>BDP|4061726506808678399</stp>
        <tr r="Z533" s="1"/>
        <tr r="Z533" s="1"/>
      </tp>
      <tp t="s">
        <v>#N/A Requesting Data...2419843299</v>
        <stp/>
        <stp>BDP|8673471230191955634</stp>
        <tr r="Y186" s="1"/>
        <tr r="Y186" s="1"/>
      </tp>
      <tp t="s">
        <v>#N/A Requesting Data...1781029418</v>
        <stp/>
        <stp>BDP|6735032930448906563</stp>
        <tr r="Z463" s="1"/>
        <tr r="Z463" s="1"/>
      </tp>
      <tp t="s">
        <v>#N/A Requesting Data...3003144497</v>
        <stp/>
        <stp>BDP|2388547909687718810</stp>
        <tr r="AA1150" s="1"/>
        <tr r="AA1150" s="1"/>
      </tp>
      <tp t="s">
        <v>#N/A Requesting Data...1836571122</v>
        <stp/>
        <stp>BDP|6073490633661433869</stp>
        <tr r="Z190" s="1"/>
        <tr r="Z190" s="1"/>
      </tp>
      <tp t="s">
        <v>#N/A Requesting Data...3764189068</v>
        <stp/>
        <stp>BDP|4986206492257014037</stp>
        <tr r="Y589" s="1"/>
        <tr r="Y589" s="1"/>
      </tp>
      <tp t="s">
        <v>#N/A Requesting Data...4010576109</v>
        <stp/>
        <stp>BDP|6783732193196855670</stp>
        <tr r="AB697" s="1"/>
        <tr r="AB697" s="1"/>
      </tp>
      <tp t="s">
        <v>#N/A Requesting Data...3670315311</v>
        <stp/>
        <stp>BDP|9021249616752396096</stp>
        <tr r="Y395" s="1"/>
      </tp>
      <tp t="s">
        <v>#N/A Requesting Data...2774321955</v>
        <stp/>
        <stp>BDP|9932404836466017071</stp>
        <tr r="Y423" s="1"/>
        <tr r="Y423" s="1"/>
      </tp>
      <tp t="s">
        <v>#N/A Requesting Data...3409487438</v>
        <stp/>
        <stp>BDP|7338662320409830254</stp>
        <tr r="AB426" s="1"/>
        <tr r="AB426" s="1"/>
      </tp>
      <tp t="s">
        <v>#N/A Requesting Data...3519313375</v>
        <stp/>
        <stp>BDP|5520354927759824576</stp>
        <tr r="Y577" s="1"/>
        <tr r="Y577" s="1"/>
      </tp>
      <tp t="s">
        <v>#N/A Requesting Data...3583790411</v>
        <stp/>
        <stp>BDP|7831008178160845809</stp>
        <tr r="AB1106" s="1"/>
        <tr r="AB1106" s="1"/>
      </tp>
      <tp t="s">
        <v>#N/A Requesting Data...1512024889</v>
        <stp/>
        <stp>BDP|6941248472873227850</stp>
        <tr r="AB422" s="1"/>
        <tr r="AB422" s="1"/>
      </tp>
      <tp t="s">
        <v>#N/A Requesting Data...1670004425</v>
        <stp/>
        <stp>BDP|6534766087945431496</stp>
        <tr r="AA379" s="1"/>
        <tr r="AA379" s="1"/>
      </tp>
      <tp t="s">
        <v>#N/A Requesting Data...1984994061</v>
        <stp/>
        <stp>BDP|3189435049122079926</stp>
        <tr r="AB1033" s="1"/>
        <tr r="AB1033" s="1"/>
      </tp>
      <tp t="s">
        <v>#N/A Requesting Data...4182633362</v>
        <stp/>
        <stp>BDP|2439048437641924872</stp>
        <tr r="AB905" s="1"/>
        <tr r="AB905" s="1"/>
      </tp>
      <tp t="s">
        <v>#N/A Requesting Data...2896238983</v>
        <stp/>
        <stp>BDP|9345335108223901183</stp>
        <tr r="Y1076" s="1"/>
        <tr r="Y1076" s="1"/>
      </tp>
      <tp t="s">
        <v>#N/A Requesting Data...3946788957</v>
        <stp/>
        <stp>BDP|3710314482724582489</stp>
        <tr r="Z906" s="1"/>
        <tr r="Z906" s="1"/>
      </tp>
      <tp t="s">
        <v>#N/A Requesting Data...3899947583</v>
        <stp/>
        <stp>BDP|6110675060038978660</stp>
        <tr r="AA1140" s="1"/>
        <tr r="AA1140" s="1"/>
      </tp>
      <tp t="s">
        <v>#N/A Requesting Data...2888386197</v>
        <stp/>
        <stp>BDP|2216436780057816104</stp>
        <tr r="Z922" s="1"/>
        <tr r="Z922" s="1"/>
      </tp>
      <tp t="s">
        <v>#N/A Requesting Data...1983386828</v>
        <stp/>
        <stp>BDP|7637959808674475269</stp>
        <tr r="Y1169" s="1"/>
        <tr r="Y1169" s="1"/>
      </tp>
      <tp t="s">
        <v>#N/A Requesting Data...3481284772</v>
        <stp/>
        <stp>BDP|4367637108538954284</stp>
        <tr r="Z1441" s="1"/>
        <tr r="Z1441" s="1"/>
      </tp>
      <tp t="s">
        <v>#N/A Requesting Data...2571915163</v>
        <stp/>
        <stp>BDP|9237165328234676636</stp>
        <tr r="AC85" s="1"/>
        <tr r="AC85" s="1"/>
      </tp>
      <tp t="s">
        <v>#N/A Requesting Data...3285257969</v>
        <stp/>
        <stp>BDP|8712057921777351591</stp>
        <tr r="AC1499" s="1"/>
        <tr r="AC1499" s="1"/>
      </tp>
      <tp t="s">
        <v>#N/A Requesting Data...3028169725</v>
        <stp/>
        <stp>BDP|9343680732133953794</stp>
        <tr r="Y367" s="1"/>
        <tr r="Y367" s="1"/>
      </tp>
      <tp t="s">
        <v>#N/A Requesting Data...3258368469</v>
        <stp/>
        <stp>BDP|8620684944405515767</stp>
        <tr r="Y659" s="1"/>
        <tr r="Y659" s="1"/>
      </tp>
      <tp t="s">
        <v>#N/A Requesting Data...2896326197</v>
        <stp/>
        <stp>BDP|2082456672360794993</stp>
        <tr r="AA298" s="1"/>
        <tr r="AA298" s="1"/>
      </tp>
      <tp t="s">
        <v>#N/A Requesting Data...3869122840</v>
        <stp/>
        <stp>BDP|8570298955491699665</stp>
        <tr r="Y1013" s="1"/>
        <tr r="Y1013" s="1"/>
      </tp>
      <tp t="s">
        <v>#N/A Requesting Data...3895249134</v>
        <stp/>
        <stp>BDP|6883601516509876083</stp>
        <tr r="AB81" s="1"/>
        <tr r="AB81" s="1"/>
      </tp>
      <tp t="s">
        <v>#N/A Requesting Data...4147503530</v>
        <stp/>
        <stp>BDP|5559891245972277356</stp>
        <tr r="AB601" s="1"/>
        <tr r="AB601" s="1"/>
      </tp>
      <tp t="s">
        <v>#N/A Requesting Data...3600439658</v>
        <stp/>
        <stp>BDP|9165782417840491744</stp>
        <tr r="Z1314" s="1"/>
        <tr r="Z1314" s="1"/>
      </tp>
      <tp t="s">
        <v>#N/A Requesting Data...1879796877</v>
        <stp/>
        <stp>BDP|8572667415743065480</stp>
        <tr r="Z1432" s="1"/>
        <tr r="Z1432" s="1"/>
      </tp>
      <tp t="s">
        <v>#N/A Requesting Data...3666359234</v>
        <stp/>
        <stp>BDP|7410772861747839947</stp>
        <tr r="AC880" s="1"/>
        <tr r="AC880" s="1"/>
      </tp>
      <tp t="s">
        <v>#N/A Requesting Data...2312358514</v>
        <stp/>
        <stp>BDP|4883979121605622265</stp>
        <tr r="Y1201" s="1"/>
        <tr r="Y1201" s="1"/>
      </tp>
      <tp t="s">
        <v>#N/A Requesting Data...4001261340</v>
        <stp/>
        <stp>BDP|1138420599642262663</stp>
        <tr r="Y1173" s="1"/>
        <tr r="Y1173" s="1"/>
      </tp>
      <tp t="s">
        <v>#N/A Requesting Data...3908278632</v>
        <stp/>
        <stp>BDP|2480492197357387072</stp>
        <tr r="AB556" s="1"/>
        <tr r="AB556" s="1"/>
      </tp>
      <tp t="s">
        <v>#N/A Requesting Data...1596854103</v>
        <stp/>
        <stp>BDP|8278404172053724094</stp>
        <tr r="Y1210" s="1"/>
        <tr r="Y1210" s="1"/>
      </tp>
      <tp t="s">
        <v>#N/A Requesting Data...2046025653</v>
        <stp/>
        <stp>BDP|9922221714584346627</stp>
        <tr r="AC1187" s="1"/>
        <tr r="AC1187" s="1"/>
      </tp>
      <tp t="s">
        <v>#N/A Requesting Data...3862288879</v>
        <stp/>
        <stp>BDP|7985624895290218029</stp>
        <tr r="AA301" s="1"/>
        <tr r="AA301" s="1"/>
      </tp>
      <tp t="s">
        <v>#N/A Requesting Data...2183345816</v>
        <stp/>
        <stp>BDP|9252907418078439119</stp>
        <tr r="Z860" s="1"/>
        <tr r="Z860" s="1"/>
      </tp>
      <tp t="s">
        <v>#N/A Requesting Data...2953410077</v>
        <stp/>
        <stp>BDP|5750004349911462854</stp>
        <tr r="AB1434" s="1"/>
        <tr r="AB1434" s="1"/>
      </tp>
      <tp t="s">
        <v>#N/A Requesting Data...3556105394</v>
        <stp/>
        <stp>BDP|7406915367511996143</stp>
        <tr r="Y1416" s="1"/>
        <tr r="Y1416" s="1"/>
      </tp>
      <tp t="s">
        <v>#N/A Requesting Data...2516214361</v>
        <stp/>
        <stp>BDP|5956544001968439076</stp>
        <tr r="AC841" s="1"/>
        <tr r="AC841" s="1"/>
      </tp>
      <tp t="s">
        <v>#N/A Requesting Data...1520601626</v>
        <stp/>
        <stp>BDP|9028263784703800857</stp>
        <tr r="Y840" s="1"/>
      </tp>
      <tp t="s">
        <v>#N/A Requesting Data...2465908208</v>
        <stp/>
        <stp>BDP|9737183657540172562</stp>
        <tr r="AC1207" s="1"/>
        <tr r="AC1207" s="1"/>
      </tp>
      <tp t="s">
        <v>#N/A Requesting Data...3866314446</v>
        <stp/>
        <stp>BDP|8718466609023525721</stp>
        <tr r="AA270" s="1"/>
        <tr r="AA270" s="1"/>
      </tp>
      <tp t="s">
        <v>#N/A Requesting Data...4036861476</v>
        <stp/>
        <stp>BDP|9616490246231446020</stp>
        <tr r="Z1252" s="1"/>
        <tr r="Z1252" s="1"/>
      </tp>
      <tp t="s">
        <v>#N/A Requesting Data...1664734982</v>
        <stp/>
        <stp>BDP|8004733701206448192</stp>
        <tr r="AA14" s="1"/>
        <tr r="AA14" s="1"/>
      </tp>
      <tp t="s">
        <v>#N/A Requesting Data...4077475081</v>
        <stp/>
        <stp>BDP|5876242280362646569</stp>
        <tr r="AC48" s="1"/>
        <tr r="AC48" s="1"/>
      </tp>
      <tp t="s">
        <v>#N/A Requesting Data...3810630492</v>
        <stp/>
        <stp>BDP|4329748948779475671</stp>
        <tr r="AB133" s="1"/>
        <tr r="AB133" s="1"/>
      </tp>
      <tp t="s">
        <v>#N/A Requesting Data...3054406305</v>
        <stp/>
        <stp>BDP|2436836705443848168</stp>
        <tr r="AA427" s="1"/>
        <tr r="AA427" s="1"/>
      </tp>
      <tp t="s">
        <v>#N/A Requesting Data...3512357829</v>
        <stp/>
        <stp>BDP|5184355485536976043</stp>
        <tr r="AC1584" s="1"/>
        <tr r="AC1584" s="1"/>
      </tp>
      <tp t="s">
        <v>#N/A Requesting Data...1772978127</v>
        <stp/>
        <stp>BDP|7395297615694329806</stp>
        <tr r="AC155" s="1"/>
        <tr r="AC155" s="1"/>
      </tp>
      <tp t="s">
        <v>#N/A Requesting Data...3267574419</v>
        <stp/>
        <stp>BDP|5744108141981835929</stp>
        <tr r="AB517" s="1"/>
        <tr r="AB517" s="1"/>
      </tp>
      <tp t="s">
        <v>#N/A Requesting Data...4176412258</v>
        <stp/>
        <stp>BDP|9058113870234811356</stp>
        <tr r="AC860" s="1"/>
        <tr r="AC860" s="1"/>
      </tp>
      <tp t="s">
        <v>#N/A Requesting Data...1437962678</v>
        <stp/>
        <stp>BDP|8951567255769074966</stp>
        <tr r="AA1254" s="1"/>
      </tp>
      <tp t="s">
        <v>#N/A Requesting Data...2747790298</v>
        <stp/>
        <stp>BDP|9844601852136242444</stp>
        <tr r="Y641" s="1"/>
        <tr r="Y641" s="1"/>
      </tp>
      <tp t="s">
        <v>#N/A Requesting Data...3801203814</v>
        <stp/>
        <stp>BDP|9345633311782528484</stp>
        <tr r="AA1585" s="1"/>
        <tr r="AA1585" s="1"/>
      </tp>
      <tp t="s">
        <v>#N/A Requesting Data...2035298403</v>
        <stp/>
        <stp>BDP|4547806166630878275</stp>
        <tr r="AB978" s="1"/>
        <tr r="AB978" s="1"/>
      </tp>
      <tp t="s">
        <v>#N/A Requesting Data...3285191572</v>
        <stp/>
        <stp>BDP|6298181952793264971</stp>
        <tr r="AC462" s="1"/>
        <tr r="AC462" s="1"/>
      </tp>
      <tp t="s">
        <v>#N/A Requesting Data...2309234421</v>
        <stp/>
        <stp>BDP|2003844329459393932</stp>
        <tr r="AB934" s="1"/>
        <tr r="AB934" s="1"/>
      </tp>
      <tp t="s">
        <v>#N/A Requesting Data...2658642297</v>
        <stp/>
        <stp>BDP|9996366527354420414</stp>
        <tr r="Y81" s="1"/>
        <tr r="Y81" s="1"/>
      </tp>
      <tp t="s">
        <v>#N/A Requesting Data...2361328157</v>
        <stp/>
        <stp>BDP|2615035574609958458</stp>
        <tr r="AC302" s="1"/>
        <tr r="AC302" s="1"/>
      </tp>
      <tp t="s">
        <v>#N/A Requesting Data...3250834468</v>
        <stp/>
        <stp>BDP|4606749114922837832</stp>
        <tr r="AA867" s="1"/>
        <tr r="AA867" s="1"/>
      </tp>
      <tp t="s">
        <v>#N/A Requesting Data...2877434392</v>
        <stp/>
        <stp>BDP|5587589826202154876</stp>
        <tr r="AA904" s="1"/>
        <tr r="AA904" s="1"/>
      </tp>
      <tp t="s">
        <v>#N/A Requesting Data...2097928850</v>
        <stp/>
        <stp>BDP|6904826511402035572</stp>
        <tr r="AA142" s="1"/>
        <tr r="AA142" s="1"/>
      </tp>
      <tp t="s">
        <v>#N/A Requesting Data...3328922080</v>
        <stp/>
        <stp>BDP|5858974770081751257</stp>
        <tr r="AC332" s="1"/>
        <tr r="AC332" s="1"/>
      </tp>
      <tp t="s">
        <v>#N/A Requesting Data...4084971601</v>
        <stp/>
        <stp>BDP|5907728896425302639</stp>
        <tr r="AA593" s="1"/>
        <tr r="AA593" s="1"/>
      </tp>
      <tp t="s">
        <v>#N/A Requesting Data...3575992103</v>
        <stp/>
        <stp>BDP|7758256167579166295</stp>
        <tr r="AB575" s="1"/>
        <tr r="AB575" s="1"/>
      </tp>
      <tp t="s">
        <v>#N/A Requesting Data...1656922843</v>
        <stp/>
        <stp>BDP|4873128190932206651</stp>
        <tr r="AC615" s="1"/>
        <tr r="AC615" s="1"/>
      </tp>
      <tp t="s">
        <v>#N/A Requesting Data...4077888238</v>
        <stp/>
        <stp>BDP|3313946803841536337</stp>
        <tr r="Y1305" s="1"/>
        <tr r="Y1305" s="1"/>
      </tp>
      <tp t="s">
        <v>#N/A Requesting Data...2707933820</v>
        <stp/>
        <stp>BDP|6494191924544322984</stp>
        <tr r="Z1057" s="1"/>
        <tr r="Z1057" s="1"/>
      </tp>
      <tp t="s">
        <v>#N/A Requesting Data...1629194810</v>
        <stp/>
        <stp>BDP|4927894034734261348</stp>
        <tr r="Z1515" s="1"/>
        <tr r="Z1515" s="1"/>
      </tp>
      <tp t="s">
        <v>#N/A Requesting Data...2896141918</v>
        <stp/>
        <stp>BDP|1114165711540331973</stp>
        <tr r="Y234" s="1"/>
        <tr r="Y234" s="1"/>
      </tp>
      <tp t="s">
        <v>#N/A Requesting Data...3323744307</v>
        <stp/>
        <stp>BDP|9391859985983590241</stp>
        <tr r="AB1077" s="1"/>
        <tr r="AB1077" s="1"/>
      </tp>
      <tp t="s">
        <v>#N/A Requesting Data...2632307386</v>
        <stp/>
        <stp>BDP|4004138166298438339</stp>
        <tr r="Y215" s="1"/>
        <tr r="Y215" s="1"/>
      </tp>
      <tp t="s">
        <v>#N/A Requesting Data...3652571875</v>
        <stp/>
        <stp>BDP|1388969523003073146</stp>
        <tr r="AC1569" s="1"/>
        <tr r="AC1569" s="1"/>
      </tp>
      <tp t="s">
        <v>#N/A Requesting Data...3490443065</v>
        <stp/>
        <stp>BDP|2779400153778136370</stp>
        <tr r="Z372" s="1"/>
        <tr r="Z372" s="1"/>
      </tp>
      <tp t="s">
        <v>#N/A Requesting Data...2501067721</v>
        <stp/>
        <stp>BDP|8500248063861602565</stp>
        <tr r="AC1427" s="1"/>
        <tr r="AC1427" s="1"/>
      </tp>
      <tp t="s">
        <v>#N/A Requesting Data...2951752505</v>
        <stp/>
        <stp>BDP|1130275979294816850</stp>
        <tr r="AC140" s="1"/>
        <tr r="AC140" s="1"/>
      </tp>
      <tp t="s">
        <v>#N/A Requesting Data...3183859673</v>
        <stp/>
        <stp>BDP|2431643793171841490</stp>
        <tr r="AC962" s="1"/>
        <tr r="AC962" s="1"/>
      </tp>
      <tp t="s">
        <v>#N/A Requesting Data...3647987708</v>
        <stp/>
        <stp>BDP|6109230390085713074</stp>
        <tr r="Z312" s="1"/>
        <tr r="Z312" s="1"/>
      </tp>
      <tp t="s">
        <v>#N/A Requesting Data...2204776807</v>
        <stp/>
        <stp>BDP|2288229992097026606</stp>
        <tr r="AC1095" s="1"/>
        <tr r="AC1095" s="1"/>
      </tp>
      <tp t="s">
        <v>#N/A Requesting Data...1666934494</v>
        <stp/>
        <stp>BDP|5020858958682989260</stp>
        <tr r="AC1148" s="1"/>
        <tr r="AC1148" s="1"/>
      </tp>
      <tp t="s">
        <v>#N/A Requesting Data...4252764602</v>
        <stp/>
        <stp>BDP|3076583406536545892</stp>
        <tr r="AB36" s="1"/>
        <tr r="AB36" s="1"/>
      </tp>
      <tp t="s">
        <v>#N/A Requesting Data...2202660685</v>
        <stp/>
        <stp>BDP|7812674148225673837</stp>
        <tr r="AC361" s="1"/>
        <tr r="AC361" s="1"/>
      </tp>
      <tp t="s">
        <v>#N/A Requesting Data...2042570380</v>
        <stp/>
        <stp>BDP|2313356127933756852</stp>
        <tr r="Z262" s="1"/>
        <tr r="Z262" s="1"/>
      </tp>
      <tp t="s">
        <v>#N/A Requesting Data...3850919980</v>
        <stp/>
        <stp>BDP|5342264282703181454</stp>
        <tr r="AB770" s="1"/>
        <tr r="AB770" s="1"/>
      </tp>
      <tp t="s">
        <v>#N/A Requesting Data...3765367317</v>
        <stp/>
        <stp>BDP|7362689861549147685</stp>
        <tr r="AA871" s="1"/>
        <tr r="AA871" s="1"/>
      </tp>
      <tp t="s">
        <v>#N/A Requesting Data...3995003947</v>
        <stp/>
        <stp>BDP|8956266623562687294</stp>
        <tr r="Z603" s="1"/>
        <tr r="Z603" s="1"/>
      </tp>
      <tp t="s">
        <v>#N/A Requesting Data...2634942710</v>
        <stp/>
        <stp>BDP|8994723197679940762</stp>
        <tr r="AA487" s="1"/>
        <tr r="AA487" s="1"/>
      </tp>
      <tp t="s">
        <v>#N/A Requesting Data...1709736826</v>
        <stp/>
        <stp>BDP|5437219583314246370</stp>
        <tr r="Z437" s="1"/>
        <tr r="Z437" s="1"/>
      </tp>
      <tp t="s">
        <v>#N/A Requesting Data...4005416512</v>
        <stp/>
        <stp>BDP|8362771116816474054</stp>
        <tr r="AB1540" s="1"/>
        <tr r="AB1540" s="1"/>
      </tp>
      <tp t="s">
        <v>#N/A Requesting Data...4141265833</v>
        <stp/>
        <stp>BDP|2581950056514289279</stp>
        <tr r="AB520" s="1"/>
        <tr r="AB520" s="1"/>
      </tp>
      <tp t="s">
        <v>#N/A Requesting Data...2497031006</v>
        <stp/>
        <stp>BDP|2697985117022967034</stp>
        <tr r="AC729" s="1"/>
        <tr r="AC729" s="1"/>
      </tp>
      <tp t="s">
        <v>#N/A Requesting Data...1784990255</v>
        <stp/>
        <stp>BDP|9737284276324352090</stp>
        <tr r="AC188" s="1"/>
        <tr r="AC188" s="1"/>
      </tp>
      <tp t="s">
        <v>#N/A Requesting Data...3791786758</v>
        <stp/>
        <stp>BDP|1070830929236114584</stp>
        <tr r="AC1125" s="1"/>
        <tr r="AC1125" s="1"/>
      </tp>
      <tp t="s">
        <v>#N/A Requesting Data...4005785930</v>
        <stp/>
        <stp>BDP|7283811374208205869</stp>
        <tr r="AB997" s="1"/>
        <tr r="AB997" s="1"/>
      </tp>
      <tp t="s">
        <v>#N/A Requesting Data...1645127805</v>
        <stp/>
        <stp>BDP|4952890443581506152</stp>
        <tr r="Y1027" s="1"/>
        <tr r="Y1027" s="1"/>
      </tp>
      <tp t="s">
        <v>#N/A Requesting Data...4275979456</v>
        <stp/>
        <stp>BDP|5580799695371828222</stp>
        <tr r="AB760" s="1"/>
        <tr r="AB760" s="1"/>
      </tp>
      <tp t="s">
        <v>#N/A Requesting Data...2772904625</v>
        <stp/>
        <stp>BDP|6179208949619289195</stp>
        <tr r="Z968" s="1"/>
        <tr r="Z968" s="1"/>
      </tp>
      <tp t="s">
        <v>#N/A Requesting Data...2232214788</v>
        <stp/>
        <stp>BDP|3287491564850930955</stp>
        <tr r="AB1140" s="1"/>
        <tr r="AB1140" s="1"/>
      </tp>
      <tp t="s">
        <v>#N/A Requesting Data...3240258793</v>
        <stp/>
        <stp>BDP|4260130650449460163</stp>
        <tr r="AB25" s="1"/>
        <tr r="AB25" s="1"/>
      </tp>
      <tp t="s">
        <v>#N/A Requesting Data...3780709987</v>
        <stp/>
        <stp>BDP|7606633501429233053</stp>
        <tr r="Y1607" s="1"/>
        <tr r="Y1607" s="1"/>
      </tp>
      <tp t="s">
        <v>#N/A Requesting Data...3130084717</v>
        <stp/>
        <stp>BDP|6598118487645334233</stp>
        <tr r="AA479" s="1"/>
        <tr r="AA479" s="1"/>
      </tp>
      <tp t="s">
        <v>#N/A Requesting Data...3560036603</v>
        <stp/>
        <stp>BDP|8991083071787597063</stp>
        <tr r="AC602" s="1"/>
      </tp>
      <tp t="s">
        <v>#N/A Requesting Data...2272772422</v>
        <stp/>
        <stp>BDP|9436035860720194761</stp>
        <tr r="Z189" s="1"/>
        <tr r="Z189" s="1"/>
      </tp>
      <tp t="s">
        <v>#N/A Requesting Data...3420246433</v>
        <stp/>
        <stp>BDP|2619065595385443619</stp>
        <tr r="AC1235" s="1"/>
        <tr r="AC1235" s="1"/>
      </tp>
      <tp t="s">
        <v>#N/A Requesting Data...2405175968</v>
        <stp/>
        <stp>BDP|3401427567418178109</stp>
        <tr r="AA1509" s="1"/>
        <tr r="AA1509" s="1"/>
      </tp>
      <tp t="s">
        <v>#N/A Requesting Data...4046895160</v>
        <stp/>
        <stp>BDP|7117887957277691580</stp>
        <tr r="Z167" s="1"/>
        <tr r="Z167" s="1"/>
      </tp>
      <tp t="s">
        <v>#N/A Requesting Data...1720912079</v>
        <stp/>
        <stp>BDP|3867882854476554019</stp>
        <tr r="AA1222" s="1"/>
        <tr r="AA1222" s="1"/>
      </tp>
      <tp t="s">
        <v>#N/A Requesting Data...2945346896</v>
        <stp/>
        <stp>BDP|2547109669589552491</stp>
        <tr r="AA343" s="1"/>
        <tr r="AA343" s="1"/>
      </tp>
      <tp t="s">
        <v>#N/A Requesting Data...1820735908</v>
        <stp/>
        <stp>BDP|5429840868587959413</stp>
        <tr r="AC108" s="1"/>
        <tr r="AC108" s="1"/>
      </tp>
      <tp t="s">
        <v>#N/A Requesting Data...2236891782</v>
        <stp/>
        <stp>BDP|3922206998458231832</stp>
        <tr r="AB640" s="1"/>
        <tr r="AB640" s="1"/>
      </tp>
      <tp t="s">
        <v>#N/A Requesting Data...2104753632</v>
        <stp/>
        <stp>BDP|6487418190437005454</stp>
        <tr r="AA408" s="1"/>
        <tr r="AA408" s="1"/>
      </tp>
      <tp t="s">
        <v>#N/A Requesting Data...3909391603</v>
        <stp/>
        <stp>BDP|6216061094474653362</stp>
        <tr r="Z320" s="1"/>
        <tr r="Z320" s="1"/>
      </tp>
      <tp t="s">
        <v>#N/A Requesting Data...2457061045</v>
        <stp/>
        <stp>BDP|8391592728734408368</stp>
        <tr r="Z640" s="1"/>
        <tr r="Z640" s="1"/>
      </tp>
      <tp t="s">
        <v>#N/A Requesting Data...1765553354</v>
        <stp/>
        <stp>BDP|1903290043248642751</stp>
        <tr r="AA1262" s="1"/>
        <tr r="AA1262" s="1"/>
      </tp>
      <tp t="s">
        <v>#N/A Requesting Data...1872574172</v>
        <stp/>
        <stp>BDP|4963930153731173180</stp>
        <tr r="AC45" s="1"/>
        <tr r="AC45" s="1"/>
      </tp>
      <tp t="s">
        <v>#N/A Requesting Data...1509330946</v>
        <stp/>
        <stp>BDP|1583797848392700824</stp>
        <tr r="Z733" s="1"/>
        <tr r="Z733" s="1"/>
      </tp>
      <tp t="s">
        <v>#N/A Requesting Data...2112125244</v>
        <stp/>
        <stp>BDP|6122987036352994675</stp>
        <tr r="AA1363" s="1"/>
        <tr r="AA1363" s="1"/>
      </tp>
      <tp t="s">
        <v>#N/A Requesting Data...2515551433</v>
        <stp/>
        <stp>BDP|9230550300982680608</stp>
        <tr r="Z1017" s="1"/>
        <tr r="Z1017" s="1"/>
      </tp>
      <tp t="s">
        <v>#N/A Requesting Data...4167860620</v>
        <stp/>
        <stp>BDP|3033844575914921093</stp>
        <tr r="AC1621" s="1"/>
        <tr r="AC1621" s="1"/>
      </tp>
      <tp t="s">
        <v>#N/A Requesting Data...3922105202</v>
        <stp/>
        <stp>BDP|8257231366952689604</stp>
        <tr r="Z1031" s="1"/>
        <tr r="Z1031" s="1"/>
      </tp>
      <tp t="s">
        <v>#N/A Requesting Data...3665634594</v>
        <stp/>
        <stp>BDP|8701823280077310772</stp>
        <tr r="Y328" s="1"/>
        <tr r="Y328" s="1"/>
      </tp>
      <tp t="s">
        <v>#N/A Requesting Data...3771447157</v>
        <stp/>
        <stp>BDP|8152444919346407392</stp>
        <tr r="AB912" s="1"/>
        <tr r="AB912" s="1"/>
      </tp>
      <tp t="s">
        <v>#N/A Requesting Data...4264095136</v>
        <stp/>
        <stp>BDP|3847853940057977053</stp>
        <tr r="AB636" s="1"/>
      </tp>
      <tp t="s">
        <v>#N/A Requesting Data...1686940782</v>
        <stp/>
        <stp>BDP|4781439025463300931</stp>
        <tr r="Y1562" s="1"/>
        <tr r="Y1562" s="1"/>
      </tp>
      <tp t="s">
        <v>#N/A Requesting Data...3323563130</v>
        <stp/>
        <stp>BDP|9279310381322495879</stp>
        <tr r="AB1321" s="1"/>
        <tr r="AB1321" s="1"/>
      </tp>
      <tp t="s">
        <v>#N/A Requesting Data...3780378321</v>
        <stp/>
        <stp>BDP|9901157266101984756</stp>
        <tr r="Z1324" s="1"/>
        <tr r="Z1324" s="1"/>
      </tp>
      <tp t="s">
        <v>#N/A Requesting Data...3363984923</v>
        <stp/>
        <stp>BDP|6398638204709595174</stp>
        <tr r="Z1109" s="1"/>
        <tr r="Z1109" s="1"/>
      </tp>
      <tp t="s">
        <v>#N/A Requesting Data...4261393842</v>
        <stp/>
        <stp>BDP|9182103753035312070</stp>
        <tr r="AC449" s="1"/>
        <tr r="AC449" s="1"/>
      </tp>
      <tp t="s">
        <v>#N/A Requesting Data...2466384315</v>
        <stp/>
        <stp>BDP|6990676943538363486</stp>
        <tr r="AB1308" s="1"/>
        <tr r="AB1308" s="1"/>
      </tp>
      <tp t="s">
        <v>#N/A Requesting Data...3699956564</v>
        <stp/>
        <stp>BDP|2622746140181193851</stp>
        <tr r="AA459" s="1"/>
        <tr r="AA459" s="1"/>
      </tp>
      <tp t="s">
        <v>#N/A Requesting Data...3906284209</v>
        <stp/>
        <stp>BDP|9520267291068093243</stp>
        <tr r="Z1399" s="1"/>
        <tr r="Z1399" s="1"/>
      </tp>
      <tp t="s">
        <v>#N/A Requesting Data...3696241988</v>
        <stp/>
        <stp>BDP|3014536790766543104</stp>
        <tr r="AB1252" s="1"/>
        <tr r="AB1252" s="1"/>
      </tp>
      <tp t="s">
        <v>#N/A Requesting Data...4227610651</v>
        <stp/>
        <stp>BDP|9900034146404863123</stp>
        <tr r="AA100" s="1"/>
        <tr r="AA100" s="1"/>
      </tp>
      <tp t="s">
        <v>#N/A Requesting Data...1692366059</v>
        <stp/>
        <stp>BDP|9658853783231163077</stp>
        <tr r="AB74" s="1"/>
        <tr r="AB74" s="1"/>
      </tp>
      <tp t="s">
        <v>#N/A Requesting Data...2848649801</v>
        <stp/>
        <stp>BDP|4507151497531324521</stp>
        <tr r="AA1196" s="1"/>
        <tr r="AA1196" s="1"/>
      </tp>
      <tp t="s">
        <v>#N/A Requesting Data...3821729327</v>
        <stp/>
        <stp>BDP|5442898662950022390</stp>
        <tr r="Z1465" s="1"/>
        <tr r="Z1465" s="1"/>
      </tp>
      <tp t="s">
        <v>#N/A Requesting Data...1548374929</v>
        <stp/>
        <stp>BDP|9302017484758864180</stp>
        <tr r="AB717" s="1"/>
        <tr r="AB717" s="1"/>
      </tp>
      <tp t="s">
        <v>#N/A Requesting Data...2693039045</v>
        <stp/>
        <stp>BDP|8896510260316901573</stp>
        <tr r="Z530" s="1"/>
        <tr r="Z530" s="1"/>
      </tp>
      <tp t="s">
        <v>#N/A Requesting Data...3046126026</v>
        <stp/>
        <stp>BDP|8188493416916027399</stp>
        <tr r="Z706" s="1"/>
        <tr r="Z706" s="1"/>
      </tp>
      <tp t="s">
        <v>#N/A Requesting Data...1835496680</v>
        <stp/>
        <stp>BDP|9142109301592150265</stp>
        <tr r="Y695" s="1"/>
        <tr r="Y695" s="1"/>
      </tp>
      <tp t="s">
        <v>#N/A Requesting Data...2544043056</v>
        <stp/>
        <stp>BDP|8699651815612319527</stp>
        <tr r="Z498" s="1"/>
        <tr r="Z498" s="1"/>
      </tp>
      <tp t="s">
        <v>#N/A Requesting Data...2332731686</v>
        <stp/>
        <stp>BDP|2626904351511300739</stp>
        <tr r="AC515" s="1"/>
      </tp>
      <tp t="s">
        <v>#N/A Requesting Data...1619444271</v>
        <stp/>
        <stp>BDP|3756391998958057915</stp>
        <tr r="Y354" s="1"/>
        <tr r="Y354" s="1"/>
      </tp>
      <tp t="s">
        <v>#N/A Requesting Data...3342519887</v>
        <stp/>
        <stp>BDP|7093868874537105749</stp>
        <tr r="AC1286" s="1"/>
        <tr r="AC1286" s="1"/>
      </tp>
      <tp t="s">
        <v>#N/A Requesting Data...3574438699</v>
        <stp/>
        <stp>BDP|9308870277087640928</stp>
        <tr r="AA1219" s="1"/>
        <tr r="AA1219" s="1"/>
      </tp>
      <tp t="s">
        <v>#N/A Requesting Data...3102105783</v>
        <stp/>
        <stp>BDP|7017068743248248303</stp>
        <tr r="Y1247" s="1"/>
        <tr r="Y1247" s="1"/>
      </tp>
      <tp t="s">
        <v>#N/A Requesting Data...2462590224</v>
        <stp/>
        <stp>BDP|6025171493986641052</stp>
        <tr r="AC1545" s="1"/>
        <tr r="AC1545" s="1"/>
      </tp>
      <tp t="s">
        <v>#N/A Requesting Data...2310683707</v>
        <stp/>
        <stp>BDP|3479875113382682016</stp>
        <tr r="AB185" s="1"/>
        <tr r="AB185" s="1"/>
      </tp>
      <tp t="s">
        <v>#N/A Requesting Data...4146330792</v>
        <stp/>
        <stp>BDP|2362942289879842216</stp>
        <tr r="Z903" s="1"/>
        <tr r="Z903" s="1"/>
      </tp>
      <tp t="s">
        <v>#N/A Requesting Data...4280752399</v>
        <stp/>
        <stp>BDP|9689272488402781997</stp>
        <tr r="Z353" s="1"/>
        <tr r="Z353" s="1"/>
      </tp>
      <tp t="s">
        <v>#N/A Requesting Data...2619448706</v>
        <stp/>
        <stp>BDP|1506287408943762858</stp>
        <tr r="Z412" s="1"/>
        <tr r="Z412" s="1"/>
      </tp>
      <tp t="s">
        <v>#N/A Requesting Data...3200043390</v>
        <stp/>
        <stp>BDP|4330465290352429364</stp>
        <tr r="AB869" s="1"/>
        <tr r="AB869" s="1"/>
      </tp>
      <tp t="s">
        <v>#N/A Requesting Data...1966847575</v>
        <stp/>
        <stp>BDP|2869860905493803141</stp>
        <tr r="AA1228" s="1"/>
        <tr r="AA1228" s="1"/>
      </tp>
      <tp t="s">
        <v>#N/A Requesting Data...2197621708</v>
        <stp/>
        <stp>BDP|5549404944465176876</stp>
        <tr r="AB749" s="1"/>
        <tr r="AB749" s="1"/>
      </tp>
      <tp t="s">
        <v>#N/A Requesting Data...4063692412</v>
        <stp/>
        <stp>BDP|9847695164489545874</stp>
        <tr r="AB236" s="1"/>
        <tr r="AB236" s="1"/>
      </tp>
      <tp t="s">
        <v>#N/A Requesting Data...4163907559</v>
        <stp/>
        <stp>BDP|1441735895646459114</stp>
        <tr r="Z951" s="1"/>
        <tr r="Z951" s="1"/>
      </tp>
      <tp t="s">
        <v>#N/A Requesting Data...4129306255</v>
        <stp/>
        <stp>BDP|3613805620141566045</stp>
        <tr r="Z783" s="1"/>
        <tr r="Z783" s="1"/>
      </tp>
      <tp t="s">
        <v>#N/A Requesting Data...4202504365</v>
        <stp/>
        <stp>BDP|5143227077391085903</stp>
        <tr r="Z1353" s="1"/>
        <tr r="Z1353" s="1"/>
      </tp>
      <tp t="s">
        <v>#N/A Requesting Data...4228039431</v>
        <stp/>
        <stp>BDP|6259900053895773727</stp>
        <tr r="Y291" s="1"/>
        <tr r="Y291" s="1"/>
      </tp>
      <tp t="s">
        <v>#N/A Requesting Data...3855119985</v>
        <stp/>
        <stp>BDP|8232422041917466711</stp>
        <tr r="AC1023" s="1"/>
        <tr r="AC1023" s="1"/>
      </tp>
      <tp t="s">
        <v>#N/A Requesting Data...3660984551</v>
        <stp/>
        <stp>BDP|3020519097191279602</stp>
        <tr r="AA361" s="1"/>
        <tr r="AA361" s="1"/>
      </tp>
      <tp t="s">
        <v>#N/A Requesting Data...3283583947</v>
        <stp/>
        <stp>BDP|8982747226425741081</stp>
        <tr r="AB400" s="1"/>
        <tr r="AB400" s="1"/>
      </tp>
      <tp t="s">
        <v>#N/A Requesting Data...1727567291</v>
        <stp/>
        <stp>BDP|8723373970444784033</stp>
        <tr r="AC336" s="1"/>
        <tr r="AC336" s="1"/>
      </tp>
      <tp t="s">
        <v>#N/A Requesting Data...1589447181</v>
        <stp/>
        <stp>BDP|3910248048954751964</stp>
        <tr r="Z1534" s="1"/>
        <tr r="Z1534" s="1"/>
      </tp>
      <tp t="s">
        <v>#N/A Requesting Data...4144179406</v>
        <stp/>
        <stp>BDP|6427767702509402000</stp>
        <tr r="AC833" s="1"/>
        <tr r="AC833" s="1"/>
      </tp>
      <tp t="s">
        <v>#N/A Requesting Data...1768659969</v>
        <stp/>
        <stp>BDP|8637517226584672336</stp>
        <tr r="AC374" s="1"/>
        <tr r="AC374" s="1"/>
      </tp>
      <tp t="s">
        <v>#N/A Requesting Data...4062085154</v>
        <stp/>
        <stp>BDP|9365339220892357271</stp>
        <tr r="AC101" s="1"/>
      </tp>
      <tp t="s">
        <v>#N/A Requesting Data...1917812821</v>
        <stp/>
        <stp>BDP|8357309501234699703</stp>
        <tr r="AA869" s="1"/>
        <tr r="AA869" s="1"/>
      </tp>
      <tp t="s">
        <v>#N/A Requesting Data...2905981727</v>
        <stp/>
        <stp>BDP|7100389368118462219</stp>
        <tr r="Y535" s="1"/>
        <tr r="Y535" s="1"/>
      </tp>
      <tp t="s">
        <v>#N/A Requesting Data...1747284592</v>
        <stp/>
        <stp>BDP|7713715445078367459</stp>
        <tr r="AB41" s="1"/>
        <tr r="AB41" s="1"/>
      </tp>
      <tp t="s">
        <v>#N/A Requesting Data...1587412212</v>
        <stp/>
        <stp>BDP|7062719735309039214</stp>
        <tr r="AA1047" s="1"/>
        <tr r="AA1047" s="1"/>
      </tp>
      <tp t="s">
        <v>#N/A Requesting Data...1785485211</v>
        <stp/>
        <stp>BDP|4069971835882079474</stp>
        <tr r="Z1517" s="1"/>
        <tr r="Z1517" s="1"/>
      </tp>
      <tp t="s">
        <v>#N/A Requesting Data...3392964036</v>
        <stp/>
        <stp>BDP|2030528704559118621</stp>
        <tr r="Z1544" s="1"/>
        <tr r="Z1544" s="1"/>
      </tp>
      <tp t="s">
        <v>#N/A Requesting Data...2272063724</v>
        <stp/>
        <stp>BDP|9149943514389111056</stp>
        <tr r="Y1255" s="1"/>
        <tr r="Y1255" s="1"/>
      </tp>
      <tp t="s">
        <v>#N/A Requesting Data...3861515878</v>
        <stp/>
        <stp>BDP|4001330092551207761</stp>
        <tr r="Y263" s="1"/>
        <tr r="Y263" s="1"/>
      </tp>
      <tp t="s">
        <v>#N/A Requesting Data...3299006564</v>
        <stp/>
        <stp>BDP|7778456764589728442</stp>
        <tr r="AC1514" s="1"/>
        <tr r="AC1514" s="1"/>
      </tp>
      <tp t="s">
        <v>#N/A Requesting Data...3374833414</v>
        <stp/>
        <stp>BDP|5221542398732378384</stp>
        <tr r="AB98" s="1"/>
        <tr r="AB98" s="1"/>
      </tp>
      <tp t="s">
        <v>#N/A Requesting Data...1832018054</v>
        <stp/>
        <stp>BDP|3263193089457777501</stp>
        <tr r="Z1150" s="1"/>
        <tr r="Z1150" s="1"/>
      </tp>
      <tp t="s">
        <v>#N/A Requesting Data...3005012163</v>
        <stp/>
        <stp>BDP|3719985302471945313</stp>
        <tr r="AB190" s="1"/>
        <tr r="AB190" s="1"/>
      </tp>
      <tp t="s">
        <v>#N/A Requesting Data...3368183211</v>
        <stp/>
        <stp>BDP|4757478982923759307</stp>
        <tr r="Y1433" s="1"/>
        <tr r="Y1433" s="1"/>
      </tp>
      <tp>
        <v>1.1499999999999999</v>
        <stp/>
        <stp>BDP|2613120714262738134|22</stp>
        <stp>SCYX US Equity</stp>
        <stp>LAST_PRICE</stp>
        <tr r="AD1326" s="1"/>
        <tr r="AD1326" s="1"/>
      </tp>
      <tp>
        <v>135.44</v>
        <stp/>
        <stp>BDP|6525554391134554731|22</stp>
        <stp>JAZZ US Equity</stp>
        <stp>LAST_PRICE</stp>
        <tr r="AD811" s="1"/>
        <tr r="AD811" s="1"/>
      </tp>
      <tp>
        <v>32.340000000000003</v>
        <stp/>
        <stp>BDP|2232276375938740086|22</stp>
        <stp>RPRX US Equity</stp>
        <stp>LAST_PRICE</stp>
        <tr r="AD1297" s="1"/>
        <tr r="AD1297" s="1"/>
      </tp>
      <tp>
        <v>1.19</v>
        <stp/>
        <stp>BDP|9522714561950581899|22</stp>
        <stp>AKTX US Equity</stp>
        <stp>LAST_PRICE</stp>
        <tr r="AD76" s="1"/>
        <tr r="AD76" s="1"/>
      </tp>
      <tp>
        <v>1.36</v>
        <stp/>
        <stp>BDP|1188773399453726439|22</stp>
        <stp>PMVP US Equity</stp>
        <stp>LAST_PRICE</stp>
        <tr r="AD1172" s="1"/>
        <tr r="AD1172" s="1"/>
      </tp>
      <tp>
        <v>2.27</v>
        <stp/>
        <stp>BDP|8511188464836044975|22</stp>
        <stp>MIST US Equity</stp>
        <stp>LAST_PRICE</stp>
        <tr r="AD954" s="1"/>
        <tr r="AD954" s="1"/>
      </tp>
      <tp>
        <v>2.37</v>
        <stp/>
        <stp>BDP|6105875830542535065|22</stp>
        <stp>NRXS US Equity</stp>
        <stp>LAST_PRICE</stp>
        <tr r="AD1023" s="1"/>
        <tr r="AD1023" s="1"/>
      </tp>
      <tp>
        <v>5.65</v>
        <stp/>
        <stp>BDP|5972609109200198786|22</stp>
        <stp>SRTS US Equity</stp>
        <stp>LAST_PRICE</stp>
        <tr r="AD1335" s="1"/>
        <tr r="AD1335" s="1"/>
      </tp>
      <tp>
        <v>2.5005000000000002</v>
        <stp/>
        <stp>BDP|5200894053240083863|22</stp>
        <stp>POSC US Equity</stp>
        <stp>LAST_PRICE</stp>
        <tr r="AD1177" s="1"/>
        <tr r="AD1177" s="1"/>
      </tp>
      <tp>
        <v>1.1000000000000001</v>
        <stp/>
        <stp>BDP|8251552603330936120|22</stp>
        <stp>BFRI US Equity</stp>
        <stp>LAST_PRICE</stp>
        <tr r="AD262" s="1"/>
        <tr r="AD262" s="1"/>
      </tp>
      <tp>
        <v>2.2800000000000001E-2</v>
        <stp/>
        <stp>BDP|8939603142913577612|22</stp>
        <stp>NGRC US Equity</stp>
        <stp>LAST_PRICE</stp>
        <tr r="AD1004" s="1"/>
        <tr r="AD1004" s="1"/>
      </tp>
      <tp>
        <v>0.73</v>
        <stp/>
        <stp>BDP|1410946875042909558|22</stp>
        <stp>HSTC US Equity</stp>
        <stp>LAST_PRICE</stp>
        <tr r="AD705" s="1"/>
        <tr r="AD705" s="1"/>
      </tp>
      <tp>
        <v>3.05</v>
        <stp/>
        <stp>BDP|7147008985626626816|22</stp>
        <stp>IMCC CN Equity</stp>
        <stp>LAST_PRICE</stp>
        <tr r="AD725" s="1"/>
        <tr r="AD725" s="1"/>
      </tp>
      <tp>
        <v>0.19650000000000001</v>
        <stp/>
        <stp>BDP|6493496415865176969|22</stp>
        <stp>LYRA US Equity</stp>
        <stp>LAST_PRICE</stp>
        <tr r="AD893" s="1"/>
        <tr r="AD893" s="1"/>
      </tp>
      <tp>
        <v>1.1100000000000001</v>
        <stp/>
        <stp>BDP|3727700194299116806|22</stp>
        <stp>SBBC CN Equity</stp>
        <stp>LAST_PRICE</stp>
        <tr r="AD1354" s="1"/>
        <tr r="AD1354" s="1"/>
      </tp>
      <tp t="s">
        <v>#N/A N/A</v>
        <stp/>
        <stp>BDP|7726513334220207054|22</stp>
        <stp>QTXB US Equity</stp>
        <stp>LAST_PRICE</stp>
        <tr r="AD1230" s="1"/>
      </tp>
      <tp>
        <v>9.83</v>
        <stp/>
        <stp>BDP|2701048778756877644|22</stp>
        <stp>SRZN US Equity</stp>
        <stp>LAST_PRICE</stp>
        <tr r="AD1418" s="1"/>
        <tr r="AD1418" s="1"/>
      </tp>
      <tp>
        <v>0.51929999999999998</v>
        <stp/>
        <stp>BDP|2864831554763243530|22</stp>
        <stp>PASG US Equity</stp>
        <stp>LAST_PRICE</stp>
        <tr r="AD1137" s="1"/>
        <tr r="AD1137" s="1"/>
      </tp>
      <tp>
        <v>0.55000000000000004</v>
        <stp/>
        <stp>BDP|13368626982666277531|22</stp>
        <stp>GRI US Equity</stp>
        <stp>LAST_PRICE</stp>
        <tr r="AD665" s="1"/>
        <tr r="AD665" s="1"/>
      </tp>
      <tp>
        <v>9.07</v>
        <stp/>
        <stp>BDP|13831451612249219669|22</stp>
        <stp>BHC CN Equity</stp>
        <stp>LAST_PRICE</stp>
        <tr r="AD234" s="1"/>
        <tr r="AD234" s="1"/>
      </tp>
      <tp t="s">
        <v>#N/A N/A</v>
        <stp/>
        <stp>BDP|10232968195488366085|22</stp>
        <stp>WIB CN Equity</stp>
        <stp>LAST_PRICE</stp>
        <tr r="AD1583" s="1"/>
      </tp>
      <tp>
        <v>0.18</v>
        <stp/>
        <stp>BDP|12422413698664111214|22</stp>
        <stp>PHA CN Equity</stp>
        <stp>LAST_PRICE</stp>
        <tr r="AD1187" s="1"/>
        <tr r="AD1187" s="1"/>
      </tp>
      <tp t="s">
        <v>#N/A Requesting Data...4001564266</v>
        <stp/>
        <stp>BDP|9371863880796737689</stp>
        <tr r="AA726" s="1"/>
        <tr r="AA726" s="1"/>
      </tp>
      <tp t="s">
        <v>#N/A Requesting Data...4220142203</v>
        <stp/>
        <stp>BDP|6992256993246216275</stp>
        <tr r="Y458" s="1"/>
        <tr r="Y458" s="1"/>
      </tp>
      <tp t="s">
        <v>#N/A Requesting Data...3330260908</v>
        <stp/>
        <stp>BDP|4843136821608448648</stp>
        <tr r="AB1096" s="1"/>
        <tr r="AB1096" s="1"/>
      </tp>
      <tp t="s">
        <v>#N/A Requesting Data...1636708265</v>
        <stp/>
        <stp>BDP|6931034406667497822</stp>
        <tr r="Z1176" s="1"/>
        <tr r="Z1176" s="1"/>
      </tp>
      <tp t="s">
        <v>#N/A Requesting Data...4074768573</v>
        <stp/>
        <stp>BDP|1267980261562688571</stp>
        <tr r="Y57" s="1"/>
        <tr r="Y57" s="1"/>
      </tp>
      <tp t="s">
        <v>#N/A Requesting Data...2577117271</v>
        <stp/>
        <stp>BDP|5467071889542884687</stp>
        <tr r="AB411" s="1"/>
        <tr r="AB411" s="1"/>
      </tp>
      <tp t="s">
        <v>#N/A Requesting Data...3247412108</v>
        <stp/>
        <stp>BDP|3206903068847739274</stp>
        <tr r="AB1451" s="1"/>
        <tr r="AB1451" s="1"/>
      </tp>
      <tp t="s">
        <v>#N/A Requesting Data...3450056191</v>
        <stp/>
        <stp>BDP|9212977884288895933</stp>
        <tr r="Z103" s="1"/>
        <tr r="Z103" s="1"/>
      </tp>
      <tp t="s">
        <v>#N/A Requesting Data...2012648507</v>
        <stp/>
        <stp>BDP|8164185204774721407</stp>
        <tr r="AC1010" s="1"/>
        <tr r="AC1010" s="1"/>
      </tp>
      <tp t="s">
        <v>#N/A Requesting Data...3971614574</v>
        <stp/>
        <stp>BDP|3331007441987953919</stp>
        <tr r="AC89" s="1"/>
        <tr r="AC89" s="1"/>
      </tp>
      <tp t="s">
        <v>#N/A Requesting Data...1776426697</v>
        <stp/>
        <stp>BDP|6902102514936480933</stp>
        <tr r="Z432" s="1"/>
        <tr r="Z432" s="1"/>
      </tp>
      <tp t="s">
        <v>#N/A Requesting Data...2036811166</v>
        <stp/>
        <stp>BDP|2211760229407725907</stp>
        <tr r="AA533" s="1"/>
        <tr r="AA533" s="1"/>
      </tp>
      <tp t="s">
        <v>#N/A Requesting Data...2681642372</v>
        <stp/>
        <stp>BDP|4576532218511067845</stp>
        <tr r="AC1391" s="1"/>
        <tr r="AC1391" s="1"/>
      </tp>
      <tp t="s">
        <v>#N/A Requesting Data...3146760372</v>
        <stp/>
        <stp>BDP|6695206165688043398</stp>
        <tr r="AB1070" s="1"/>
        <tr r="AB1070" s="1"/>
      </tp>
      <tp t="s">
        <v>#N/A Requesting Data...2173129771</v>
        <stp/>
        <stp>BDP|7178640798614263551</stp>
        <tr r="Z1247" s="1"/>
        <tr r="Z1247" s="1"/>
      </tp>
      <tp t="s">
        <v>#N/A Requesting Data...1784234790</v>
        <stp/>
        <stp>BDP|8529525674017183497</stp>
        <tr r="Y928" s="1"/>
        <tr r="Y928" s="1"/>
      </tp>
      <tp t="s">
        <v>#N/A Requesting Data...3677815343</v>
        <stp/>
        <stp>BDP|2312697251731038909</stp>
        <tr r="Y1230" s="1"/>
        <tr r="Y1230" s="1"/>
      </tp>
      <tp t="s">
        <v>#N/A Requesting Data...3297211307</v>
        <stp/>
        <stp>BDP|2980950134388218910</stp>
        <tr r="AC1562" s="1"/>
        <tr r="AC1562" s="1"/>
      </tp>
      <tp t="s">
        <v>#N/A Requesting Data...3968072227</v>
        <stp/>
        <stp>BDP|9380217578046559345</stp>
        <tr r="AA601" s="1"/>
        <tr r="AA601" s="1"/>
      </tp>
      <tp t="s">
        <v>#N/A Requesting Data...3613194309</v>
        <stp/>
        <stp>BDP|1301846563900892678</stp>
        <tr r="AC1352" s="1"/>
      </tp>
      <tp t="s">
        <v>#N/A Requesting Data...3723270207</v>
        <stp/>
        <stp>BDP|3149504749983602858</stp>
        <tr r="Z1350" s="1"/>
        <tr r="Z1350" s="1"/>
      </tp>
      <tp t="s">
        <v>#N/A Requesting Data...2823756419</v>
        <stp/>
        <stp>BDP|1338426886507416380</stp>
        <tr r="AB49" s="1"/>
        <tr r="AB49" s="1"/>
      </tp>
      <tp t="s">
        <v>#N/A Requesting Data...1576856505</v>
        <stp/>
        <stp>BDP|8220403048344021512</stp>
        <tr r="Y1032" s="1"/>
        <tr r="Y1032" s="1"/>
      </tp>
      <tp t="s">
        <v>#N/A Requesting Data...4051402575</v>
        <stp/>
        <stp>BDP|8880299537116871655</stp>
        <tr r="AC1102" s="1"/>
        <tr r="AC1102" s="1"/>
      </tp>
      <tp t="s">
        <v>#N/A Requesting Data...3259325565</v>
        <stp/>
        <stp>BDP|7667526881663721096</stp>
        <tr r="AA43" s="1"/>
        <tr r="AA43" s="1"/>
      </tp>
      <tp t="s">
        <v>#N/A Requesting Data...4036039890</v>
        <stp/>
        <stp>BDP|9791799030082223670</stp>
        <tr r="AC613" s="1"/>
        <tr r="AC613" s="1"/>
      </tp>
      <tp t="s">
        <v>#N/A Requesting Data...2895780450</v>
        <stp/>
        <stp>BDP|3796669129548668656</stp>
        <tr r="AC649" s="1"/>
        <tr r="AC649" s="1"/>
      </tp>
      <tp t="s">
        <v>#N/A Requesting Data...3083269035</v>
        <stp/>
        <stp>BDP|9215517775037786597</stp>
        <tr r="Y316" s="1"/>
        <tr r="Y316" s="1"/>
      </tp>
      <tp t="s">
        <v>#N/A Requesting Data...3706858146</v>
        <stp/>
        <stp>BDP|4911075494866034227</stp>
        <tr r="Z154" s="1"/>
        <tr r="Z154" s="1"/>
      </tp>
      <tp t="s">
        <v>#N/A Requesting Data...4100483837</v>
        <stp/>
        <stp>BDP|9188471112221804443</stp>
        <tr r="Y946" s="1"/>
        <tr r="Y946" s="1"/>
      </tp>
      <tp t="s">
        <v>#N/A Requesting Data...3051548282</v>
        <stp/>
        <stp>BDP|1558700951802447882</stp>
        <tr r="AB548" s="1"/>
        <tr r="AB548" s="1"/>
      </tp>
      <tp t="s">
        <v>#N/A Requesting Data...4260342101</v>
        <stp/>
        <stp>BDP|1144161281716890761</stp>
        <tr r="AB623" s="1"/>
        <tr r="AB623" s="1"/>
      </tp>
      <tp t="s">
        <v>#N/A Requesting Data...2363041894</v>
        <stp/>
        <stp>BDP|9015094090338582143</stp>
        <tr r="Z417" s="1"/>
        <tr r="Z417" s="1"/>
      </tp>
      <tp t="s">
        <v>#N/A Requesting Data...3181282188</v>
        <stp/>
        <stp>BDP|1463162199925446574</stp>
        <tr r="Y455" s="1"/>
        <tr r="Y455" s="1"/>
      </tp>
      <tp t="s">
        <v>#N/A Requesting Data...2012224953</v>
        <stp/>
        <stp>BDP|5919277050868033360</stp>
        <tr r="AA1574" s="1"/>
        <tr r="AA1574" s="1"/>
      </tp>
      <tp t="s">
        <v>#N/A Requesting Data...4255619403</v>
        <stp/>
        <stp>BDP|3172404685147564198</stp>
        <tr r="AC1088" s="1"/>
        <tr r="AC1088" s="1"/>
      </tp>
      <tp t="s">
        <v>#N/A Requesting Data...2595569769</v>
        <stp/>
        <stp>BDP|4563226624574283991</stp>
        <tr r="AC1579" s="1"/>
        <tr r="AC1579" s="1"/>
      </tp>
      <tp t="s">
        <v>#N/A Requesting Data...2680355509</v>
        <stp/>
        <stp>BDP|3922937165677682214</stp>
        <tr r="Z1384" s="1"/>
        <tr r="Z1384" s="1"/>
      </tp>
      <tp t="s">
        <v>#N/A Requesting Data...1685618848</v>
        <stp/>
        <stp>BDP|2935907901636746479</stp>
        <tr r="Y1130" s="1"/>
        <tr r="Y1130" s="1"/>
      </tp>
      <tp t="s">
        <v>#N/A Requesting Data...2291081524</v>
        <stp/>
        <stp>BDP|8990967480248609813</stp>
        <tr r="Z1295" s="1"/>
      </tp>
      <tp t="s">
        <v>#N/A Requesting Data...4123095150</v>
        <stp/>
        <stp>BDP|1076701797411822770</stp>
        <tr r="AB1165" s="1"/>
        <tr r="AB1165" s="1"/>
      </tp>
      <tp t="s">
        <v>#N/A Requesting Data...2274256326</v>
        <stp/>
        <stp>BDP|4718364397120624784</stp>
        <tr r="AA16" s="1"/>
        <tr r="AA16" s="1"/>
      </tp>
      <tp t="s">
        <v>#N/A Requesting Data...2771314955</v>
        <stp/>
        <stp>BDP|5445494197238671940</stp>
        <tr r="AB478" s="1"/>
        <tr r="AB478" s="1"/>
      </tp>
      <tp t="s">
        <v>#N/A Requesting Data...2967088642</v>
        <stp/>
        <stp>BDP|5908147883815486022</stp>
        <tr r="Y1561" s="1"/>
        <tr r="Y1561" s="1"/>
      </tp>
      <tp t="s">
        <v>#N/A Requesting Data...1712568077</v>
        <stp/>
        <stp>BDP|4715732969414415813</stp>
        <tr r="AB458" s="1"/>
        <tr r="AB458" s="1"/>
      </tp>
      <tp t="s">
        <v>#N/A Requesting Data...3127023456</v>
        <stp/>
        <stp>BDP|4824640808279870242</stp>
        <tr r="Y148" s="1"/>
        <tr r="Y148" s="1"/>
      </tp>
      <tp t="s">
        <v>#N/A Requesting Data...3570400228</v>
        <stp/>
        <stp>BDP|8029490702550163525</stp>
        <tr r="Z1327" s="1"/>
        <tr r="Z1327" s="1"/>
      </tp>
      <tp t="s">
        <v>#N/A Requesting Data...3360586947</v>
        <stp/>
        <stp>BDP|1569831872242951557</stp>
        <tr r="AC1171" s="1"/>
        <tr r="AC1171" s="1"/>
      </tp>
      <tp t="s">
        <v>#N/A Requesting Data...3620571243</v>
        <stp/>
        <stp>BDP|5451883774793114017</stp>
        <tr r="AA928" s="1"/>
        <tr r="AA928" s="1"/>
      </tp>
      <tp t="s">
        <v>#N/A Requesting Data...3977126111</v>
        <stp/>
        <stp>BDP|9068790964130150144</stp>
        <tr r="Z11" s="1"/>
        <tr r="Z11" s="1"/>
      </tp>
      <tp t="s">
        <v>#N/A Requesting Data...2247180574</v>
        <stp/>
        <stp>BDP|3082516047279749281</stp>
        <tr r="Y357" s="1"/>
        <tr r="Y357" s="1"/>
      </tp>
      <tp t="s">
        <v>#N/A Requesting Data...1927991009</v>
        <stp/>
        <stp>BDP|5756484571609357649</stp>
        <tr r="AA390" s="1"/>
        <tr r="AA390" s="1"/>
      </tp>
      <tp t="s">
        <v>#N/A Requesting Data...4130558134</v>
        <stp/>
        <stp>BDP|7633808612592452590</stp>
        <tr r="AB686" s="1"/>
        <tr r="AB686" s="1"/>
      </tp>
      <tp t="s">
        <v>#N/A Requesting Data...3102912071</v>
        <stp/>
        <stp>BDP|2945074466615153809</stp>
        <tr r="AC1030" s="1"/>
        <tr r="AC1030" s="1"/>
      </tp>
      <tp t="s">
        <v>#N/A Requesting Data...1604467147</v>
        <stp/>
        <stp>BDP|4856814572754083623</stp>
        <tr r="Y870" s="1"/>
      </tp>
      <tp t="s">
        <v>#N/A Requesting Data...3577869227</v>
        <stp/>
        <stp>BDP|7167273771198609389</stp>
        <tr r="AA1204" s="1"/>
        <tr r="AA1204" s="1"/>
      </tp>
      <tp t="s">
        <v>#N/A Requesting Data...4103338999</v>
        <stp/>
        <stp>BDP|7241518743716910906</stp>
        <tr r="Z781" s="1"/>
        <tr r="Z781" s="1"/>
      </tp>
      <tp t="s">
        <v>#N/A Requesting Data...3064970560</v>
        <stp/>
        <stp>BDP|1647175459974554841</stp>
        <tr r="AC912" s="1"/>
        <tr r="AC912" s="1"/>
      </tp>
      <tp t="s">
        <v>#N/A Requesting Data...2526109554</v>
        <stp/>
        <stp>BDP|2676124958557591803</stp>
        <tr r="Z67" s="1"/>
        <tr r="Z67" s="1"/>
      </tp>
      <tp t="s">
        <v>#N/A Requesting Data...3357944462</v>
        <stp/>
        <stp>BDP|7799192720069665413</stp>
        <tr r="Z670" s="1"/>
        <tr r="Z670" s="1"/>
      </tp>
      <tp t="s">
        <v>#N/A Requesting Data...2083712047</v>
        <stp/>
        <stp>BDP|6960460188623874066</stp>
        <tr r="Z532" s="1"/>
        <tr r="Z532" s="1"/>
      </tp>
      <tp t="s">
        <v>#N/A Requesting Data...3807447687</v>
        <stp/>
        <stp>BDP|9531116133403980178</stp>
        <tr r="AA475" s="1"/>
        <tr r="AA475" s="1"/>
      </tp>
      <tp t="s">
        <v>#N/A Requesting Data...3625665304</v>
        <stp/>
        <stp>BDP|2515554999480852784</stp>
        <tr r="AC418" s="1"/>
        <tr r="AC418" s="1"/>
      </tp>
      <tp t="s">
        <v>#N/A Requesting Data...2879657813</v>
        <stp/>
        <stp>BDP|6173282576523287948</stp>
        <tr r="AA261" s="1"/>
        <tr r="AA261" s="1"/>
      </tp>
      <tp t="s">
        <v>#N/A Requesting Data...3678782756</v>
        <stp/>
        <stp>BDP|3234986943793925493</stp>
        <tr r="AA430" s="1"/>
        <tr r="AA430" s="1"/>
      </tp>
      <tp t="s">
        <v>#N/A Requesting Data...2831622492</v>
        <stp/>
        <stp>BDP|5761290125884192834</stp>
        <tr r="Z872" s="1"/>
        <tr r="Z872" s="1"/>
      </tp>
      <tp t="s">
        <v>#N/A Requesting Data...2020997338</v>
        <stp/>
        <stp>BDP|5498483940949715520</stp>
        <tr r="Z1518" s="1"/>
        <tr r="Z1518" s="1"/>
      </tp>
      <tp t="s">
        <v>#N/A Requesting Data...3505511025</v>
        <stp/>
        <stp>BDP|9635738049937349464</stp>
        <tr r="AA1144" s="1"/>
        <tr r="AA1144" s="1"/>
      </tp>
      <tp t="s">
        <v>#N/A Requesting Data...4014351282</v>
        <stp/>
        <stp>BDP|4658171998090668567</stp>
        <tr r="AA82" s="1"/>
        <tr r="AA82" s="1"/>
      </tp>
      <tp t="s">
        <v>#N/A Requesting Data...3330908342</v>
        <stp/>
        <stp>BDP|5070738258838124631</stp>
        <tr r="Z1056" s="1"/>
        <tr r="Z1056" s="1"/>
      </tp>
      <tp t="s">
        <v>#N/A Requesting Data...3972038440</v>
        <stp/>
        <stp>BDP|9427617263102779287</stp>
        <tr r="AC220" s="1"/>
        <tr r="AC220" s="1"/>
      </tp>
      <tp t="s">
        <v>#N/A Requesting Data...3422439543</v>
        <stp/>
        <stp>BDP|2929297985292813342</stp>
        <tr r="Y131" s="1"/>
        <tr r="Y131" s="1"/>
      </tp>
      <tp t="s">
        <v>#N/A Requesting Data...2535117119</v>
        <stp/>
        <stp>BDP|7694750417640408899</stp>
        <tr r="Z232" s="1"/>
        <tr r="Z232" s="1"/>
      </tp>
      <tp t="s">
        <v>#N/A Requesting Data...2568054425</v>
        <stp/>
        <stp>BDP|2897707601394666812</stp>
        <tr r="AA707" s="1"/>
        <tr r="AA707" s="1"/>
      </tp>
      <tp t="s">
        <v>#N/A Requesting Data...2370564772</v>
        <stp/>
        <stp>BDP|1662900258954304037</stp>
        <tr r="Z626" s="1"/>
        <tr r="Z626" s="1"/>
      </tp>
      <tp t="s">
        <v>#N/A Requesting Data...3922540229</v>
        <stp/>
        <stp>BDP|4543269497131805721</stp>
        <tr r="AA758" s="1"/>
        <tr r="AA758" s="1"/>
      </tp>
      <tp t="s">
        <v>#N/A Requesting Data...3707313804</v>
        <stp/>
        <stp>BDP|9217624178337220648</stp>
        <tr r="Z536" s="1"/>
        <tr r="Z536" s="1"/>
      </tp>
      <tp t="s">
        <v>#N/A Requesting Data...3821613165</v>
        <stp/>
        <stp>BDP|7017984523986603330</stp>
        <tr r="Y310" s="1"/>
        <tr r="Y310" s="1"/>
      </tp>
      <tp t="s">
        <v>#N/A Requesting Data...3881358297</v>
        <stp/>
        <stp>BDP|8361700468736712621</stp>
        <tr r="Z374" s="1"/>
        <tr r="Z374" s="1"/>
      </tp>
      <tp t="s">
        <v>#N/A Requesting Data...1948358411</v>
        <stp/>
        <stp>BDP|5836585691238768883</stp>
        <tr r="Y1014" s="1"/>
        <tr r="Y1014" s="1"/>
      </tp>
      <tp t="s">
        <v>#N/A Requesting Data...4027584478</v>
        <stp/>
        <stp>BDP|3017986627214362521</stp>
        <tr r="AC896" s="1"/>
        <tr r="AC896" s="1"/>
      </tp>
      <tp t="s">
        <v>#N/A Requesting Data...4080603687</v>
        <stp/>
        <stp>BDP|3481087653948829796</stp>
        <tr r="AB463" s="1"/>
        <tr r="AB463" s="1"/>
      </tp>
      <tp t="s">
        <v>#N/A Requesting Data...3933565411</v>
        <stp/>
        <stp>BDP|9719684090667218835</stp>
        <tr r="Y1458" s="1"/>
      </tp>
      <tp t="s">
        <v>#N/A Requesting Data...3687551098</v>
        <stp/>
        <stp>BDP|2870053981223035022</stp>
        <tr r="AA154" s="1"/>
        <tr r="AA154" s="1"/>
      </tp>
      <tp t="s">
        <v>#N/A Requesting Data...2212119958</v>
        <stp/>
        <stp>BDP|4351977243526881619</stp>
        <tr r="AB690" s="1"/>
        <tr r="AB690" s="1"/>
      </tp>
      <tp t="s">
        <v>#N/A Requesting Data...2668116878</v>
        <stp/>
        <stp>BDP|5389477015560679984</stp>
        <tr r="AB662" s="1"/>
        <tr r="AB662" s="1"/>
      </tp>
      <tp t="s">
        <v>#N/A Requesting Data...2655118410</v>
        <stp/>
        <stp>BDP|4882452667469502606</stp>
        <tr r="Z744" s="1"/>
        <tr r="Z744" s="1"/>
      </tp>
      <tp t="s">
        <v>#N/A Requesting Data...3439451600</v>
        <stp/>
        <stp>BDP|4313703115952168985</stp>
        <tr r="AB907" s="1"/>
        <tr r="AB907" s="1"/>
      </tp>
      <tp t="s">
        <v>#N/A Requesting Data...2591942029</v>
        <stp/>
        <stp>BDP|5825465463918077623</stp>
        <tr r="Z366" s="1"/>
        <tr r="Z366" s="1"/>
      </tp>
      <tp t="s">
        <v>#N/A Requesting Data...3911485947</v>
        <stp/>
        <stp>BDP|9072686901413571538</stp>
        <tr r="Y722" s="1"/>
        <tr r="Y722" s="1"/>
      </tp>
      <tp t="s">
        <v>#N/A Requesting Data...3526684733</v>
        <stp/>
        <stp>BDP|8444976409890062851</stp>
        <tr r="Z1061" s="1"/>
        <tr r="Z1061" s="1"/>
      </tp>
      <tp t="s">
        <v>#N/A Requesting Data...3412919091</v>
        <stp/>
        <stp>BDP|8766198632227232411</stp>
        <tr r="Z1077" s="1"/>
        <tr r="Z1077" s="1"/>
      </tp>
      <tp t="s">
        <v>#N/A Requesting Data...2550660840</v>
        <stp/>
        <stp>BDP|9549702721340320589</stp>
        <tr r="Z810" s="1"/>
        <tr r="Z810" s="1"/>
      </tp>
      <tp t="s">
        <v>#N/A Requesting Data...3835939722</v>
        <stp/>
        <stp>BDP|8490716285716906869</stp>
        <tr r="Y59" s="1"/>
        <tr r="Y59" s="1"/>
      </tp>
      <tp t="s">
        <v>#N/A Requesting Data...1987734003</v>
        <stp/>
        <stp>BDP|5274351186987651089</stp>
        <tr r="AB249" s="1"/>
      </tp>
      <tp t="s">
        <v>#N/A Requesting Data...3708239407</v>
        <stp/>
        <stp>BDP|5528327047543984851</stp>
        <tr r="AB1263" s="1"/>
        <tr r="AB1263" s="1"/>
      </tp>
      <tp t="s">
        <v>#N/A Requesting Data...1935576759</v>
        <stp/>
        <stp>BDP|4061423161666817979</stp>
        <tr r="AC608" s="1"/>
        <tr r="AC608" s="1"/>
      </tp>
      <tp t="s">
        <v>#N/A Requesting Data...3117202013</v>
        <stp/>
        <stp>BDP|3226343052868915412</stp>
        <tr r="AA1420" s="1"/>
        <tr r="AA1420" s="1"/>
      </tp>
      <tp t="s">
        <v>#N/A Requesting Data...3768644855</v>
        <stp/>
        <stp>BDP|4125137292675595090</stp>
        <tr r="AB814" s="1"/>
        <tr r="AB814" s="1"/>
      </tp>
      <tp t="s">
        <v>#N/A Requesting Data...2265230297</v>
        <stp/>
        <stp>BDP|5559584991410860089</stp>
        <tr r="Z1048" s="1"/>
        <tr r="Z1048" s="1"/>
      </tp>
      <tp t="s">
        <v>#N/A Requesting Data...2198670486</v>
        <stp/>
        <stp>BDP|6923373616865550811</stp>
        <tr r="Z1381" s="1"/>
        <tr r="Z1381" s="1"/>
      </tp>
      <tp t="s">
        <v>#N/A Requesting Data...2841199633</v>
        <stp/>
        <stp>BDP|7360828354643837017</stp>
        <tr r="Z695" s="1"/>
        <tr r="Z695" s="1"/>
      </tp>
      <tp t="s">
        <v>#N/A Requesting Data...2468523583</v>
        <stp/>
        <stp>BDP|1374905306255950404</stp>
        <tr r="AA432" s="1"/>
        <tr r="AA432" s="1"/>
      </tp>
      <tp t="s">
        <v>#N/A Requesting Data...3764148352</v>
        <stp/>
        <stp>BDP|2012942821499038994</stp>
        <tr r="AA1307" s="1"/>
        <tr r="AA1307" s="1"/>
      </tp>
      <tp t="s">
        <v>#N/A Requesting Data...3523116892</v>
        <stp/>
        <stp>BDP|2789890293058398222</stp>
        <tr r="Z1328" s="1"/>
        <tr r="Z1328" s="1"/>
      </tp>
      <tp t="s">
        <v>#N/A Requesting Data...1656942070</v>
        <stp/>
        <stp>BDP|5831783944617810805</stp>
        <tr r="AB1585" s="1"/>
        <tr r="AB1585" s="1"/>
      </tp>
      <tp t="s">
        <v>#N/A Requesting Data...3376809776</v>
        <stp/>
        <stp>BDP|7018878703953173595</stp>
        <tr r="Z449" s="1"/>
        <tr r="Z449" s="1"/>
      </tp>
      <tp t="s">
        <v>#N/A Requesting Data...4280766373</v>
        <stp/>
        <stp>BDP|5263977002500356584</stp>
        <tr r="AB1550" s="1"/>
        <tr r="AB1550" s="1"/>
      </tp>
      <tp t="s">
        <v>#N/A Requesting Data...3610141056</v>
        <stp/>
        <stp>BDP|5577013979463529846</stp>
        <tr r="AA595" s="1"/>
        <tr r="AA595" s="1"/>
      </tp>
      <tp t="s">
        <v>#N/A Requesting Data...2741048015</v>
        <stp/>
        <stp>BDP|3966516284433865486</stp>
        <tr r="Y734" s="1"/>
        <tr r="Y734" s="1"/>
      </tp>
      <tp t="s">
        <v>#N/A Requesting Data...2954239623</v>
        <stp/>
        <stp>BDP|8836812870279313766</stp>
        <tr r="Z153" s="1"/>
        <tr r="Z153" s="1"/>
      </tp>
      <tp t="s">
        <v>#N/A Requesting Data...3023564335</v>
        <stp/>
        <stp>BDP|3757918633171038187</stp>
        <tr r="AB138" s="1"/>
      </tp>
      <tp t="s">
        <v>#N/A Requesting Data...1687523282</v>
        <stp/>
        <stp>BDP|8159858862476267994</stp>
        <tr r="Y199" s="1"/>
      </tp>
      <tp t="s">
        <v>#N/A Requesting Data...3739676510</v>
        <stp/>
        <stp>BDP|9908341102974702753</stp>
        <tr r="AB396" s="1"/>
        <tr r="AB396" s="1"/>
      </tp>
      <tp t="s">
        <v>#N/A Requesting Data...3739933019</v>
        <stp/>
        <stp>BDP|6689920698879739669</stp>
        <tr r="Y752" s="1"/>
        <tr r="Y752" s="1"/>
      </tp>
      <tp t="s">
        <v>#N/A Requesting Data...2158681610</v>
        <stp/>
        <stp>BDP|2313475392504890234</stp>
        <tr r="AC1057" s="1"/>
        <tr r="AC1057" s="1"/>
      </tp>
      <tp t="s">
        <v>#N/A Requesting Data...3540787751</v>
        <stp/>
        <stp>BDP|9775501812893892708</stp>
        <tr r="Z161" s="1"/>
        <tr r="Z161" s="1"/>
      </tp>
      <tp t="s">
        <v>#N/A Requesting Data...1687137480</v>
        <stp/>
        <stp>BDP|8080048017143884366</stp>
        <tr r="AB849" s="1"/>
        <tr r="AB849" s="1"/>
      </tp>
      <tp t="s">
        <v>#N/A Requesting Data...2130035194</v>
        <stp/>
        <stp>BDP|6500479962304478992</stp>
        <tr r="Y236" s="1"/>
        <tr r="Y236" s="1"/>
      </tp>
      <tp t="s">
        <v>#N/A Requesting Data...2248926608</v>
        <stp/>
        <stp>BDP|7018394415635146908</stp>
        <tr r="AA391" s="1"/>
        <tr r="AA391" s="1"/>
      </tp>
      <tp t="s">
        <v>#N/A Requesting Data...2402183924</v>
        <stp/>
        <stp>BDP|9726223012807993433</stp>
        <tr r="AB622" s="1"/>
        <tr r="AB622" s="1"/>
      </tp>
      <tp t="s">
        <v>#N/A Requesting Data...2528168308</v>
        <stp/>
        <stp>BDP|7701722565707531884</stp>
        <tr r="Z1043" s="1"/>
        <tr r="Z1043" s="1"/>
      </tp>
      <tp t="s">
        <v>#N/A Requesting Data...2892221311</v>
        <stp/>
        <stp>BDP|9422181640147480258</stp>
        <tr r="AC358" s="1"/>
        <tr r="AC358" s="1"/>
      </tp>
      <tp t="s">
        <v>#N/A Requesting Data...4013638228</v>
        <stp/>
        <stp>BDP|1000561410215221994</stp>
        <tr r="AC1580" s="1"/>
        <tr r="AC1580" s="1"/>
      </tp>
      <tp t="s">
        <v>#N/A Requesting Data...1941430057</v>
        <stp/>
        <stp>BDP|7355376424126447992</stp>
        <tr r="Z840" s="1"/>
      </tp>
      <tp t="s">
        <v>#N/A Requesting Data...1986725231</v>
        <stp/>
        <stp>BDP|4227283056958094215</stp>
        <tr r="AB1562" s="1"/>
        <tr r="AB1562" s="1"/>
      </tp>
      <tp t="s">
        <v>#N/A Requesting Data...3591278797</v>
        <stp/>
        <stp>BDP|6502551148238706625</stp>
        <tr r="Y63" s="1"/>
        <tr r="Y63" s="1"/>
      </tp>
      <tp t="s">
        <v>#N/A Requesting Data...2137262650</v>
        <stp/>
        <stp>BDP|1527226301669911325</stp>
        <tr r="Z464" s="1"/>
        <tr r="Z464" s="1"/>
      </tp>
      <tp t="s">
        <v>#N/A Requesting Data...3107496453</v>
        <stp/>
        <stp>BDP|6120428110263773966</stp>
        <tr r="AC271" s="1"/>
        <tr r="AC271" s="1"/>
      </tp>
      <tp t="s">
        <v>#N/A Requesting Data...2247531763</v>
        <stp/>
        <stp>BDP|3699197368298577500</stp>
        <tr r="AC1616" s="1"/>
        <tr r="AC1616" s="1"/>
      </tp>
      <tp t="s">
        <v>#N/A Requesting Data...2150300314</v>
        <stp/>
        <stp>BDP|5359579333479469314</stp>
        <tr r="AC165" s="1"/>
        <tr r="AC165" s="1"/>
      </tp>
      <tp t="s">
        <v>#N/A Requesting Data...2865996512</v>
        <stp/>
        <stp>BDP|4730239972988204069</stp>
        <tr r="Z1146" s="1"/>
        <tr r="Z1146" s="1"/>
      </tp>
      <tp t="s">
        <v>#N/A Requesting Data...1912424098</v>
        <stp/>
        <stp>BDP|9759659960846271629</stp>
        <tr r="Y503" s="1"/>
        <tr r="Y503" s="1"/>
      </tp>
      <tp t="s">
        <v>#N/A Requesting Data...2601196451</v>
        <stp/>
        <stp>BDP|2816571289137039148</stp>
        <tr r="AC1475" s="1"/>
        <tr r="AC1475" s="1"/>
      </tp>
      <tp t="s">
        <v>#N/A Requesting Data...3318979550</v>
        <stp/>
        <stp>BDP|4076842967036690571</stp>
        <tr r="AC736" s="1"/>
        <tr r="AC736" s="1"/>
      </tp>
      <tp t="s">
        <v>#N/A Requesting Data...2314825707</v>
        <stp/>
        <stp>BDP|3162500082902884598</stp>
        <tr r="Z286" s="1"/>
        <tr r="Z286" s="1"/>
      </tp>
      <tp t="s">
        <v>#N/A Requesting Data...3504082537</v>
        <stp/>
        <stp>BDP|7659926549597908467</stp>
        <tr r="Z329" s="1"/>
        <tr r="Z329" s="1"/>
      </tp>
      <tp t="s">
        <v>#N/A Requesting Data...4281981240</v>
        <stp/>
        <stp>BDP|8900543090895688890</stp>
        <tr r="Y1161" s="1"/>
        <tr r="Y1161" s="1"/>
      </tp>
      <tp t="s">
        <v>#N/A Requesting Data...2765254571</v>
        <stp/>
        <stp>BDP|2299563990083500439</stp>
        <tr r="AA952" s="1"/>
        <tr r="AA952" s="1"/>
      </tp>
      <tp t="s">
        <v>#N/A Requesting Data...2202794814</v>
        <stp/>
        <stp>BDP|3869346798167325754</stp>
        <tr r="AA513" s="1"/>
        <tr r="AA513" s="1"/>
      </tp>
      <tp t="s">
        <v>#N/A Requesting Data...2622587583</v>
        <stp/>
        <stp>BDP|3311849001023197157</stp>
        <tr r="Z468" s="1"/>
        <tr r="Z468" s="1"/>
      </tp>
      <tp t="s">
        <v>#N/A Requesting Data...4256730825</v>
        <stp/>
        <stp>BDP|3758751337378293658</stp>
        <tr r="AB1116" s="1"/>
        <tr r="AB1116" s="1"/>
      </tp>
      <tp t="s">
        <v>#N/A Requesting Data...2160577741</v>
        <stp/>
        <stp>BDP|2578714755869520073</stp>
        <tr r="Y1000" s="1"/>
        <tr r="Y1000" s="1"/>
      </tp>
      <tp t="s">
        <v>#N/A Requesting Data...4252887955</v>
        <stp/>
        <stp>BDP|2744012436978129020</stp>
        <tr r="Z1208" s="1"/>
        <tr r="Z1208" s="1"/>
      </tp>
      <tp t="s">
        <v>#N/A Requesting Data...2695998377</v>
        <stp/>
        <stp>BDP|7240489409443750970</stp>
        <tr r="AA1565" s="1"/>
        <tr r="AA1565" s="1"/>
      </tp>
      <tp t="s">
        <v>#N/A Requesting Data...3643297340</v>
        <stp/>
        <stp>BDP|8994540962036416484</stp>
        <tr r="AB1317" s="1"/>
        <tr r="AB1317" s="1"/>
      </tp>
      <tp t="s">
        <v>#N/A Requesting Data...3476462297</v>
        <stp/>
        <stp>BDP|4865753167364991801</stp>
        <tr r="AA1497" s="1"/>
        <tr r="AA1497" s="1"/>
      </tp>
      <tp t="s">
        <v>#N/A Requesting Data...3073639233</v>
        <stp/>
        <stp>BDP|9228452954191581058</stp>
        <tr r="Z919" s="1"/>
        <tr r="Z919" s="1"/>
      </tp>
      <tp t="s">
        <v>#N/A Requesting Data...2024105189</v>
        <stp/>
        <stp>BDP|6031422336361620910</stp>
        <tr r="AC104" s="1"/>
        <tr r="AC104" s="1"/>
      </tp>
      <tp t="s">
        <v>#N/A Requesting Data...2212921689</v>
        <stp/>
        <stp>BDP|3441246731399599278</stp>
        <tr r="Y475" s="1"/>
        <tr r="Y475" s="1"/>
      </tp>
      <tp t="s">
        <v>#N/A Requesting Data...4192386617</v>
        <stp/>
        <stp>BDP|9707300807676248510</stp>
        <tr r="AB642" s="1"/>
      </tp>
      <tp t="s">
        <v>#N/A Requesting Data...3065308582</v>
        <stp/>
        <stp>BDP|8460094658141053562</stp>
        <tr r="Z605" s="1"/>
        <tr r="Z605" s="1"/>
      </tp>
      <tp t="s">
        <v>#N/A Requesting Data...2394878267</v>
        <stp/>
        <stp>BDP|1719451116049460432</stp>
        <tr r="AA1048" s="1"/>
        <tr r="AA1048" s="1"/>
      </tp>
      <tp t="s">
        <v>#N/A Requesting Data...2019396938</v>
        <stp/>
        <stp>BDP|7465837254001840282</stp>
        <tr r="Y658" s="1"/>
        <tr r="Y658" s="1"/>
      </tp>
      <tp t="s">
        <v>#N/A Requesting Data...2303662129</v>
        <stp/>
        <stp>BDP|5246983239284177214</stp>
        <tr r="AA309" s="1"/>
        <tr r="AA309" s="1"/>
      </tp>
      <tp t="s">
        <v>#N/A Requesting Data...1747019823</v>
        <stp/>
        <stp>BDP|6100860021683473628</stp>
        <tr r="Z799" s="1"/>
        <tr r="Z799" s="1"/>
      </tp>
      <tp t="s">
        <v>#N/A Requesting Data...2033825447</v>
        <stp/>
        <stp>BDP|3189718287810540524</stp>
        <tr r="Y1392" s="1"/>
        <tr r="Y1392" s="1"/>
      </tp>
      <tp t="s">
        <v>#N/A Requesting Data...3706715914</v>
        <stp/>
        <stp>BDP|3485315860728516701</stp>
        <tr r="Z1143" s="1"/>
        <tr r="Z1143" s="1"/>
      </tp>
      <tp t="s">
        <v>#N/A Requesting Data...4039555444</v>
        <stp/>
        <stp>BDP|4178245219409420789</stp>
        <tr r="Y1237" s="1"/>
        <tr r="Y1237" s="1"/>
      </tp>
      <tp t="s">
        <v>#N/A Requesting Data...3140432153</v>
        <stp/>
        <stp>BDP|1049119933709440362</stp>
        <tr r="AB784" s="1"/>
        <tr r="AB784" s="1"/>
      </tp>
      <tp t="s">
        <v>#N/A Requesting Data...2816439032</v>
        <stp/>
        <stp>BDP|5225478091519357875</stp>
        <tr r="Z266" s="1"/>
        <tr r="Z266" s="1"/>
      </tp>
      <tp t="s">
        <v>#N/A Requesting Data...2034885551</v>
        <stp/>
        <stp>BDP|9563569616693546702</stp>
        <tr r="Y542" s="1"/>
        <tr r="Y542" s="1"/>
      </tp>
      <tp t="s">
        <v>#N/A Requesting Data...3847903536</v>
        <stp/>
        <stp>BDP|9452649033300496578</stp>
        <tr r="AA1335" s="1"/>
        <tr r="AA1335" s="1"/>
      </tp>
      <tp t="s">
        <v>#N/A Requesting Data...3762057229</v>
        <stp/>
        <stp>BDP|9921658009130532606</stp>
        <tr r="Y238" s="1"/>
        <tr r="Y238" s="1"/>
      </tp>
      <tp t="s">
        <v>#N/A Requesting Data...3780602756</v>
        <stp/>
        <stp>BDP|4367519293012348325</stp>
        <tr r="AA1094" s="1"/>
        <tr r="AA1094" s="1"/>
      </tp>
      <tp t="s">
        <v>#N/A Requesting Data...1891844652</v>
        <stp/>
        <stp>BDP|9942315569075005010</stp>
        <tr r="AA1035" s="1"/>
        <tr r="AA1035" s="1"/>
      </tp>
      <tp t="s">
        <v>#N/A Requesting Data...2739597727</v>
        <stp/>
        <stp>BDP|3027532495394716213</stp>
        <tr r="Y1391" s="1"/>
        <tr r="Y1391" s="1"/>
      </tp>
      <tp t="s">
        <v>#N/A Requesting Data...1843057999</v>
        <stp/>
        <stp>BDP|4564850024684704331</stp>
        <tr r="AA1526" s="1"/>
        <tr r="AA1526" s="1"/>
      </tp>
      <tp t="s">
        <v>#N/A Requesting Data...3667983334</v>
        <stp/>
        <stp>BDP|6996718124379457387</stp>
        <tr r="AA556" s="1"/>
        <tr r="AA556" s="1"/>
      </tp>
      <tp t="s">
        <v>#N/A Requesting Data...2642266128</v>
        <stp/>
        <stp>BDP|1451617979120435980</stp>
        <tr r="Y1181" s="1"/>
        <tr r="Y1181" s="1"/>
      </tp>
      <tp t="s">
        <v>#N/A Requesting Data...2790437838</v>
        <stp/>
        <stp>BDP|8152032315711220150</stp>
        <tr r="AA1559" s="1"/>
        <tr r="AA1559" s="1"/>
      </tp>
      <tp t="s">
        <v>#N/A Requesting Data...2702602731</v>
        <stp/>
        <stp>BDP|4659435927269589278</stp>
        <tr r="AB1607" s="1"/>
        <tr r="AB1607" s="1"/>
      </tp>
      <tp t="s">
        <v>#N/A Requesting Data...4286211545</v>
        <stp/>
        <stp>BDP|4627747873684303926</stp>
        <tr r="AA1425" s="1"/>
        <tr r="AA1425" s="1"/>
      </tp>
      <tp t="s">
        <v>#N/A Requesting Data...3027502276</v>
        <stp/>
        <stp>BDP|4065340412537242842</stp>
        <tr r="Y892" s="1"/>
        <tr r="Y892" s="1"/>
      </tp>
      <tp t="s">
        <v>#N/A Requesting Data...2553651831</v>
        <stp/>
        <stp>BDP|7270492055998991770</stp>
        <tr r="AA1091" s="1"/>
        <tr r="AA1091" s="1"/>
      </tp>
      <tp t="s">
        <v>#N/A Requesting Data...3218503032</v>
        <stp/>
        <stp>BDP|3445392776667915925</stp>
        <tr r="AA1505" s="1"/>
        <tr r="AA1505" s="1"/>
      </tp>
      <tp t="s">
        <v>#N/A Requesting Data...1772929458</v>
        <stp/>
        <stp>BDP|2356962184428061212</stp>
        <tr r="AA766" s="1"/>
        <tr r="AA766" s="1"/>
      </tp>
      <tp t="s">
        <v>#N/A Requesting Data...3735508145</v>
        <stp/>
        <stp>BDP|4640957312631405452</stp>
        <tr r="AB956" s="1"/>
        <tr r="AB956" s="1"/>
      </tp>
      <tp t="s">
        <v>#N/A Requesting Data...4155448597</v>
        <stp/>
        <stp>BDP|9269102961117383014</stp>
        <tr r="AA1200" s="1"/>
        <tr r="AA1200" s="1"/>
      </tp>
      <tp t="s">
        <v>#N/A Requesting Data...1900119311</v>
        <stp/>
        <stp>BDP|7329795304509625099</stp>
        <tr r="AB971" s="1"/>
        <tr r="AB971" s="1"/>
      </tp>
      <tp t="s">
        <v>#N/A Requesting Data...3577003696</v>
        <stp/>
        <stp>BDP|2023500850738176308</stp>
        <tr r="Z233" s="1"/>
        <tr r="Z233" s="1"/>
      </tp>
      <tp t="s">
        <v>#N/A Requesting Data...2422153234</v>
        <stp/>
        <stp>BDP|8589758376816041776</stp>
        <tr r="AC460" s="1"/>
        <tr r="AC460" s="1"/>
      </tp>
      <tp t="s">
        <v>#N/A Requesting Data...3485320466</v>
        <stp/>
        <stp>BDP|4787951273366006506</stp>
        <tr r="AC1146" s="1"/>
        <tr r="AC1146" s="1"/>
      </tp>
      <tp t="s">
        <v>#N/A Requesting Data...3307267199</v>
        <stp/>
        <stp>BDP|9080704447284179776</stp>
        <tr r="AC123" s="1"/>
        <tr r="AC123" s="1"/>
      </tp>
      <tp t="s">
        <v>#N/A Requesting Data...3088586855</v>
        <stp/>
        <stp>BDP|1987827758067063228</stp>
        <tr r="AB840" s="1"/>
      </tp>
      <tp t="s">
        <v>#N/A Requesting Data...3876593693</v>
        <stp/>
        <stp>BDP|9677676062189742956</stp>
        <tr r="Y110" s="1"/>
        <tr r="Y110" s="1"/>
      </tp>
      <tp t="s">
        <v>#N/A Requesting Data...2963875748</v>
        <stp/>
        <stp>BDP|4557435071498279647</stp>
        <tr r="AA819" s="1"/>
        <tr r="AA819" s="1"/>
      </tp>
      <tp t="s">
        <v>#N/A Requesting Data...2228105790</v>
        <stp/>
        <stp>BDP|6804994211365277234</stp>
        <tr r="AA1580" s="1"/>
        <tr r="AA1580" s="1"/>
      </tp>
      <tp t="s">
        <v>#N/A Requesting Data...2420801548</v>
        <stp/>
        <stp>BDP|1401641349752992867</stp>
        <tr r="AB298" s="1"/>
        <tr r="AB298" s="1"/>
      </tp>
      <tp t="s">
        <v>#N/A Requesting Data...1876260886</v>
        <stp/>
        <stp>BDP|6356221772948444212</stp>
        <tr r="AC377" s="1"/>
        <tr r="AC377" s="1"/>
      </tp>
      <tp t="s">
        <v>#N/A Requesting Data...3216539884</v>
        <stp/>
        <stp>BDP|3627509015596700825</stp>
        <tr r="Y1513" s="1"/>
        <tr r="Y1513" s="1"/>
      </tp>
      <tp t="s">
        <v>#N/A Requesting Data...2759695292</v>
        <stp/>
        <stp>BDP|1432708190643224502</stp>
        <tr r="AA705" s="1"/>
        <tr r="AA705" s="1"/>
      </tp>
      <tp t="s">
        <v>#N/A Requesting Data...2067402218</v>
        <stp/>
        <stp>BDP|6633962403816000056</stp>
        <tr r="Y1286" s="1"/>
        <tr r="Y1286" s="1"/>
      </tp>
      <tp t="s">
        <v>#N/A Requesting Data...2776197539</v>
        <stp/>
        <stp>BDP|3573925894483370962</stp>
        <tr r="AA1154" s="1"/>
        <tr r="AA1154" s="1"/>
      </tp>
      <tp t="s">
        <v>#N/A Requesting Data...4008762352</v>
        <stp/>
        <stp>BDP|7951228587706309298</stp>
        <tr r="AB278" s="1"/>
        <tr r="AB278" s="1"/>
      </tp>
      <tp t="s">
        <v>#N/A Requesting Data...3320288683</v>
        <stp/>
        <stp>BDP|4557523147045264944</stp>
        <tr r="Y662" s="1"/>
        <tr r="Y662" s="1"/>
      </tp>
      <tp t="s">
        <v>#N/A Requesting Data...3447882521</v>
        <stp/>
        <stp>BDP|7781473618549680282</stp>
        <tr r="AA528" s="1"/>
        <tr r="AA528" s="1"/>
      </tp>
      <tp t="s">
        <v>#N/A Requesting Data...3469955150</v>
        <stp/>
        <stp>BDP|3128467465779316177</stp>
        <tr r="Z269" s="1"/>
      </tp>
      <tp t="s">
        <v>#N/A Requesting Data...2273987406</v>
        <stp/>
        <stp>BDP|9201866187187289778</stp>
        <tr r="AA1324" s="1"/>
        <tr r="AA1324" s="1"/>
      </tp>
      <tp t="s">
        <v>#N/A Requesting Data...3583964399</v>
        <stp/>
        <stp>BDP|1136753593774795277</stp>
        <tr r="Y1198" s="1"/>
        <tr r="Y1198" s="1"/>
      </tp>
      <tp t="s">
        <v>#N/A Requesting Data...2976520450</v>
        <stp/>
        <stp>BDP|9873716662006491780</stp>
        <tr r="AC920" s="1"/>
        <tr r="AC920" s="1"/>
      </tp>
      <tp t="s">
        <v>#N/A Requesting Data...2840121641</v>
        <stp/>
        <stp>BDP|3481791769738173322</stp>
        <tr r="Y508" s="1"/>
        <tr r="Y508" s="1"/>
      </tp>
      <tp t="s">
        <v>#N/A Requesting Data...2762284722</v>
        <stp/>
        <stp>BDP|4860597002449286167</stp>
        <tr r="AC204" s="1"/>
        <tr r="AC204" s="1"/>
      </tp>
      <tp t="s">
        <v>#N/A Requesting Data...3459595121</v>
        <stp/>
        <stp>BDP|7737388179332590842</stp>
        <tr r="AB1561" s="1"/>
        <tr r="AB1561" s="1"/>
      </tp>
      <tp t="s">
        <v>#N/A Requesting Data...1798243018</v>
        <stp/>
        <stp>BDP|5311952834782206477</stp>
        <tr r="Y1611" s="1"/>
        <tr r="Y1611" s="1"/>
      </tp>
      <tp t="s">
        <v>#N/A Requesting Data...2761795938</v>
        <stp/>
        <stp>BDP|2262725930327158867</stp>
        <tr r="Y768" s="1"/>
        <tr r="Y768" s="1"/>
      </tp>
      <tp t="s">
        <v>#N/A Requesting Data...3812830211</v>
        <stp/>
        <stp>BDP|9299418794718075505</stp>
        <tr r="AB579" s="1"/>
        <tr r="AB579" s="1"/>
      </tp>
      <tp t="s">
        <v>#N/A Requesting Data...3799893304</v>
        <stp/>
        <stp>BDP|6665432338040978834</stp>
        <tr r="Z529" s="1"/>
        <tr r="Z529" s="1"/>
      </tp>
      <tp t="s">
        <v>#N/A Requesting Data...3214583358</v>
        <stp/>
        <stp>BDP|9498976355214357811</stp>
        <tr r="Z1040" s="1"/>
        <tr r="Z1040" s="1"/>
      </tp>
      <tp t="s">
        <v>#N/A Requesting Data...2292405323</v>
        <stp/>
        <stp>BDP|5301973130455599356</stp>
        <tr r="AC877" s="1"/>
        <tr r="AC877" s="1"/>
      </tp>
      <tp t="s">
        <v>#N/A Requesting Data...2284141277</v>
        <stp/>
        <stp>BDP|9984963697982535299</stp>
        <tr r="AC695" s="1"/>
        <tr r="AC695" s="1"/>
      </tp>
      <tp t="s">
        <v>#N/A Requesting Data...2231747668</v>
        <stp/>
        <stp>BDP|6971353261199080395</stp>
        <tr r="AA703" s="1"/>
        <tr r="AA703" s="1"/>
      </tp>
      <tp t="s">
        <v>#N/A Requesting Data...2886347447</v>
        <stp/>
        <stp>BDP|1714908640500053532</stp>
        <tr r="Y628" s="1"/>
        <tr r="Y628" s="1"/>
      </tp>
      <tp t="s">
        <v>#N/A Requesting Data...2998189535</v>
        <stp/>
        <stp>BDP|1690413592246569343</stp>
        <tr r="AC939" s="1"/>
        <tr r="AC939" s="1"/>
      </tp>
      <tp t="s">
        <v>#N/A Requesting Data...1872202528</v>
        <stp/>
        <stp>BDP|6333943700756605058</stp>
        <tr r="AB630" s="1"/>
        <tr r="AB630" s="1"/>
      </tp>
      <tp t="s">
        <v>#N/A Requesting Data...1902723031</v>
        <stp/>
        <stp>BDP|6681626886306679705</stp>
        <tr r="AA303" s="1"/>
        <tr r="AA303" s="1"/>
      </tp>
      <tp t="s">
        <v>#N/A Requesting Data...4072273268</v>
        <stp/>
        <stp>BDP|2421879229719754898</stp>
        <tr r="Z1392" s="1"/>
        <tr r="Z1392" s="1"/>
      </tp>
      <tp t="s">
        <v>#N/A Requesting Data...3594463650</v>
        <stp/>
        <stp>BDP|3283828565462200635</stp>
        <tr r="Y1060" s="1"/>
        <tr r="Y1060" s="1"/>
      </tp>
      <tp t="s">
        <v>#N/A Requesting Data...4178353387</v>
        <stp/>
        <stp>BDP|8658302351907277019</stp>
        <tr r="Y541" s="1"/>
        <tr r="Y541" s="1"/>
      </tp>
      <tp t="s">
        <v>#N/A Requesting Data...4239251396</v>
        <stp/>
        <stp>BDP|3539124247157268863</stp>
        <tr r="AC784" s="1"/>
        <tr r="AC784" s="1"/>
      </tp>
      <tp t="s">
        <v>#N/A Requesting Data...1881282421</v>
        <stp/>
        <stp>BDP|8053738929735819168</stp>
        <tr r="Z629" s="1"/>
        <tr r="Z629" s="1"/>
      </tp>
      <tp t="s">
        <v>#N/A Requesting Data...2397541739</v>
        <stp/>
        <stp>BDP|1353689106437938908</stp>
        <tr r="AC117" s="1"/>
        <tr r="AC117" s="1"/>
      </tp>
      <tp t="s">
        <v>#N/A Requesting Data...3344393261</v>
        <stp/>
        <stp>BDP|8552826415948380050</stp>
        <tr r="AA812" s="1"/>
        <tr r="AA812" s="1"/>
      </tp>
      <tp t="s">
        <v>#N/A Requesting Data...2786484482</v>
        <stp/>
        <stp>BDP|8665626710275397339</stp>
        <tr r="Z1142" s="1"/>
        <tr r="Z1142" s="1"/>
      </tp>
      <tp t="s">
        <v>#N/A Requesting Data...3138306559</v>
        <stp/>
        <stp>BDP|1759695428155070924</stp>
        <tr r="AB562" s="1"/>
        <tr r="AB562" s="1"/>
      </tp>
      <tp t="s">
        <v>#N/A Requesting Data...3258675267</v>
        <stp/>
        <stp>BDP|7112063990247614053</stp>
        <tr r="AB865" s="1"/>
        <tr r="AB865" s="1"/>
      </tp>
      <tp t="s">
        <v>#N/A Requesting Data...4196398208</v>
        <stp/>
        <stp>BDP|3558082199790743371</stp>
        <tr r="AB592" s="1"/>
        <tr r="AB592" s="1"/>
      </tp>
      <tp t="s">
        <v>#N/A Requesting Data...2294070347</v>
        <stp/>
        <stp>BDP|9153480565701008386</stp>
        <tr r="AC1021" s="1"/>
        <tr r="AC1021" s="1"/>
      </tp>
      <tp t="s">
        <v>#N/A Requesting Data...4109304452</v>
        <stp/>
        <stp>BDP|2336294542744521995</stp>
        <tr r="Y142" s="1"/>
        <tr r="Y142" s="1"/>
      </tp>
      <tp t="s">
        <v>#N/A Requesting Data...3003496067</v>
        <stp/>
        <stp>BDP|2768042637821646971</stp>
        <tr r="AB1284" s="1"/>
        <tr r="AB1284" s="1"/>
      </tp>
      <tp t="s">
        <v>#N/A Requesting Data...4136557087</v>
        <stp/>
        <stp>BDP|3524141516309134339</stp>
        <tr r="Z1033" s="1"/>
        <tr r="Z1033" s="1"/>
      </tp>
      <tp t="s">
        <v>#N/A Requesting Data...3569785571</v>
        <stp/>
        <stp>BDP|1416574031086372848</stp>
        <tr r="Z602" s="1"/>
        <tr r="Z602" s="1"/>
      </tp>
      <tp t="s">
        <v>#N/A Requesting Data...4219844011</v>
        <stp/>
        <stp>BDP|9943792004183921489</stp>
        <tr r="AC848" s="1"/>
        <tr r="AC848" s="1"/>
      </tp>
      <tp t="s">
        <v>#N/A Requesting Data...3319414403</v>
        <stp/>
        <stp>BDP|4677928975205748636</stp>
        <tr r="Z1487" s="1"/>
        <tr r="Z1487" s="1"/>
      </tp>
      <tp t="s">
        <v>#N/A Requesting Data...4177153460</v>
        <stp/>
        <stp>BDP|6742716594826733709</stp>
        <tr r="AA1297" s="1"/>
        <tr r="AA1297" s="1"/>
      </tp>
      <tp t="s">
        <v>#N/A Requesting Data...2566083914</v>
        <stp/>
        <stp>BDP|1867356441428161782</stp>
        <tr r="Y1196" s="1"/>
        <tr r="Y1196" s="1"/>
      </tp>
      <tp t="s">
        <v>#N/A Requesting Data...2722351707</v>
        <stp/>
        <stp>BDP|3250008866009688571</stp>
        <tr r="AA295" s="1"/>
        <tr r="AA295" s="1"/>
      </tp>
      <tp t="s">
        <v>#N/A Requesting Data...2686019578</v>
        <stp/>
        <stp>BDP|7687835124325639129</stp>
        <tr r="Y1138" s="1"/>
        <tr r="Y1138" s="1"/>
      </tp>
      <tp t="s">
        <v>#N/A Requesting Data...2755971624</v>
        <stp/>
        <stp>BDP|8695626886126295953</stp>
        <tr r="AB855" s="1"/>
        <tr r="AB855" s="1"/>
      </tp>
      <tp t="s">
        <v>#N/A Requesting Data...3324140746</v>
        <stp/>
        <stp>BDP|6217701837693291828</stp>
        <tr r="AA842" s="1"/>
        <tr r="AA842" s="1"/>
      </tp>
      <tp t="s">
        <v>#N/A Requesting Data...2840697022</v>
        <stp/>
        <stp>BDP|6684426926998554125</stp>
        <tr r="AC1536" s="1"/>
        <tr r="AC1536" s="1"/>
      </tp>
      <tp t="s">
        <v>#N/A Requesting Data...1931192995</v>
        <stp/>
        <stp>BDP|4987575244505964969</stp>
        <tr r="Z114" s="1"/>
        <tr r="Z114" s="1"/>
      </tp>
      <tp t="s">
        <v>#N/A Requesting Data...4167304751</v>
        <stp/>
        <stp>BDP|4679243165021528870</stp>
        <tr r="AA1609" s="1"/>
        <tr r="AA1609" s="1"/>
      </tp>
      <tp>
        <v>9.9999999999999995E-7</v>
        <stp/>
        <stp>BDP|4862942701334194128|22</stp>
        <stp>FORZ US Equity</stp>
        <stp>LAST_PRICE</stp>
        <tr r="AD622" s="1"/>
        <tr r="AD622" s="1"/>
      </tp>
      <tp>
        <v>6.99</v>
        <stp/>
        <stp>BDP|4750929834712204275|22</stp>
        <stp>ATXS US Equity</stp>
        <stp>LAST_PRICE</stp>
        <tr r="AD184" s="1"/>
        <tr r="AD184" s="1"/>
      </tp>
      <tp>
        <v>1.07</v>
        <stp/>
        <stp>BDP|7297457512920922925|22</stp>
        <stp>PLRZ US Equity</stp>
        <stp>LAST_PRICE</stp>
        <tr r="AD1174" s="1"/>
        <tr r="AD1174" s="1"/>
      </tp>
      <tp>
        <v>1E-4</v>
        <stp/>
        <stp>BDP|9266035724989594541|22</stp>
        <stp>VAXX US Equity</stp>
        <stp>LAST_PRICE</stp>
        <tr r="AD1526" s="1"/>
        <tr r="AD1526" s="1"/>
      </tp>
      <tp t="s">
        <v>#N/A N/A</v>
        <stp/>
        <stp>BDP|6162827039749790836|22</stp>
        <stp>XCRP US Equity</stp>
        <stp>LAST_PRICE</stp>
        <tr r="AD1594" s="1"/>
      </tp>
      <tp>
        <v>1.7</v>
        <stp/>
        <stp>BDP|8179101512131647411|22</stp>
        <stp>LIXT US Equity</stp>
        <stp>LAST_PRICE</stp>
        <tr r="AD883" s="1"/>
        <tr r="AD883" s="1"/>
      </tp>
      <tp t="s">
        <v>#N/A N/A</v>
        <stp/>
        <stp>BDP|6692521111705245795|22</stp>
        <stp>ATRX US Equity</stp>
        <stp>LAST_PRICE</stp>
        <tr r="AD50" s="1"/>
      </tp>
      <tp>
        <v>1.48</v>
        <stp/>
        <stp>BDP|6970734976171331375|22</stp>
        <stp>GUTS US Equity</stp>
        <stp>LAST_PRICE</stp>
        <tr r="AD623" s="1"/>
        <tr r="AD623" s="1"/>
      </tp>
      <tp>
        <v>3.35</v>
        <stp/>
        <stp>BDP|6391352291110208599|22</stp>
        <stp>CKPT US Equity</stp>
        <stp>LAST_PRICE</stp>
        <tr r="AD391" s="1"/>
        <tr r="AD391" s="1"/>
      </tp>
      <tp>
        <v>1.94</v>
        <stp/>
        <stp>BDP|8559175550997852516|22</stp>
        <stp>IRWD US Equity</stp>
        <stp>LAST_PRICE</stp>
        <tr r="AD800" s="1"/>
        <tr r="AD800" s="1"/>
      </tp>
      <tp>
        <v>4.8099999999999996</v>
        <stp/>
        <stp>BDP|7776875018843789913|22</stp>
        <stp>LTRN US Equity</stp>
        <stp>LAST_PRICE</stp>
        <tr r="AD857" s="1"/>
        <tr r="AD857" s="1"/>
      </tp>
      <tp>
        <v>54.88</v>
        <stp/>
        <stp>BDP|4814029301796727047|22</stp>
        <stp>BLTE US Equity</stp>
        <stp>LAST_PRICE</stp>
        <tr r="AD239" s="1"/>
        <tr r="AD239" s="1"/>
      </tp>
      <tp>
        <v>0.05</v>
        <stp/>
        <stp>BDP|5330614693291316445|22</stp>
        <stp>MRZM US Equity</stp>
        <stp>LAST_PRICE</stp>
        <tr r="AD907" s="1"/>
        <tr r="AD907" s="1"/>
      </tp>
      <tp>
        <v>7.81</v>
        <stp/>
        <stp>BDP|7377162376061779487|22</stp>
        <stp>AUPH US Equity</stp>
        <stp>LAST_PRICE</stp>
        <tr r="AD196" s="1"/>
        <tr r="AD196" s="1"/>
      </tp>
      <tp>
        <v>49.44</v>
        <stp/>
        <stp>BDP|8360234559175478631|22</stp>
        <stp>AKRO US Equity</stp>
        <stp>LAST_PRICE</stp>
        <tr r="AD78" s="1"/>
        <tr r="AD78" s="1"/>
      </tp>
      <tp>
        <v>9.9999999999999995E-7</v>
        <stp/>
        <stp>BDP|9026852612294973642|22</stp>
        <stp>RNVA US Equity</stp>
        <stp>LAST_PRICE</stp>
        <tr r="AD1266" s="1"/>
        <tr r="AD1266" s="1"/>
      </tp>
      <tp>
        <v>0.19</v>
        <stp/>
        <stp>BDP|6677178442192547393|22</stp>
        <stp>INNO CN Equity</stp>
        <stp>LAST_PRICE</stp>
        <tr r="AD755" s="1"/>
        <tr r="AD755" s="1"/>
      </tp>
      <tp>
        <v>2.85</v>
        <stp/>
        <stp>BDP|5699934399923964100|22</stp>
        <stp>SKYE US Equity</stp>
        <stp>LAST_PRICE</stp>
        <tr r="AD1362" s="1"/>
        <tr r="AD1362" s="1"/>
      </tp>
      <tp>
        <v>0.8075</v>
        <stp/>
        <stp>BDP|1687816143258124606|22</stp>
        <stp>ZJYL US Equity</stp>
        <stp>LAST_PRICE</stp>
        <tr r="AD813" s="1"/>
        <tr r="AD813" s="1"/>
      </tp>
      <tp t="s">
        <v>#N/A N/A</v>
        <stp/>
        <stp>BDP|1568033942933759765|22</stp>
        <stp>APYI US Equity</stp>
        <stp>LAST_PRICE</stp>
        <tr r="AD179" s="1"/>
      </tp>
      <tp>
        <v>0</v>
        <stp/>
        <stp>BDP|5957394153065890137|22</stp>
        <stp>SKTO US Equity</stp>
        <stp>LAST_PRICE</stp>
        <tr r="AD1361" s="1"/>
        <tr r="AD1361" s="1"/>
      </tp>
      <tp>
        <v>0.78</v>
        <stp/>
        <stp>BDP|1310397618781945498|22</stp>
        <stp>MSCL CN Equity</stp>
        <stp>LAST_PRICE</stp>
        <tr r="AD1311" s="1"/>
        <tr r="AD1311" s="1"/>
      </tp>
      <tp>
        <v>11.35</v>
        <stp/>
        <stp>BDP|11897858659711301750|22</stp>
        <stp>VHI CN Equity</stp>
        <stp>LAST_PRICE</stp>
        <tr r="AD1562" s="1"/>
        <tr r="AD1562" s="1"/>
      </tp>
      <tp>
        <v>0.03</v>
        <stp/>
        <stp>BDP|17092858994207438712|22</stp>
        <stp>IDL CN Equity</stp>
        <stp>LAST_PRICE</stp>
        <tr r="AD728" s="1"/>
        <tr r="AD728" s="1"/>
      </tp>
      <tp t="s">
        <v>#N/A Requesting Data...4088776177</v>
        <stp/>
        <stp>BDP|8590125783148659381</stp>
        <tr r="Y1096" s="1"/>
        <tr r="Y1096" s="1"/>
      </tp>
      <tp t="s">
        <v>#N/A Requesting Data...3620820852</v>
        <stp/>
        <stp>BDP|2978959126620379337</stp>
        <tr r="AC1544" s="1"/>
        <tr r="AC1544" s="1"/>
      </tp>
      <tp t="s">
        <v>#N/A Requesting Data...2555986133</v>
        <stp/>
        <stp>BDP|7263938690299805434</stp>
        <tr r="Y279" s="1"/>
        <tr r="Y279" s="1"/>
      </tp>
      <tp t="s">
        <v>#N/A Requesting Data...4001257715</v>
        <stp/>
        <stp>BDP|9706733317856875317</stp>
        <tr r="Z635" s="1"/>
        <tr r="Z635" s="1"/>
      </tp>
      <tp t="s">
        <v>#N/A Requesting Data...1992308402</v>
        <stp/>
        <stp>BDP|4377358477768216292</stp>
        <tr r="AC850" s="1"/>
        <tr r="AC850" s="1"/>
      </tp>
      <tp t="s">
        <v>#N/A Requesting Data...2007893630</v>
        <stp/>
        <stp>BDP|5603662234829688388</stp>
        <tr r="AC350" s="1"/>
        <tr r="AC350" s="1"/>
      </tp>
      <tp t="s">
        <v>#N/A Requesting Data...3668679678</v>
        <stp/>
        <stp>BDP|6749638548219633700</stp>
        <tr r="AC1270" s="1"/>
        <tr r="AC1270" s="1"/>
      </tp>
      <tp t="s">
        <v>#N/A Requesting Data...3909793462</v>
        <stp/>
        <stp>BDP|9161544613325519291</stp>
        <tr r="AB56" s="1"/>
      </tp>
      <tp t="s">
        <v>#N/A Requesting Data...3565826664</v>
        <stp/>
        <stp>BDP|3597564416239678499</stp>
        <tr r="AC231" s="1"/>
        <tr r="AC231" s="1"/>
      </tp>
      <tp t="s">
        <v>#N/A Requesting Data...4172254571</v>
        <stp/>
        <stp>BDP|9778062529074072523</stp>
        <tr r="AB1606" s="1"/>
        <tr r="AB1606" s="1"/>
      </tp>
      <tp t="s">
        <v>#N/A Requesting Data...3950740105</v>
        <stp/>
        <stp>BDP|9918774615776364324</stp>
        <tr r="Y99" s="1"/>
        <tr r="Y99" s="1"/>
      </tp>
      <tp t="s">
        <v>#N/A Requesting Data...1800692203</v>
        <stp/>
        <stp>BDP|6652899868864822654</stp>
        <tr r="AB1058" s="1"/>
        <tr r="AB1058" s="1"/>
      </tp>
      <tp t="s">
        <v>#N/A Requesting Data...2806640844</v>
        <stp/>
        <stp>BDP|2396094127882217856</stp>
        <tr r="AB157" s="1"/>
        <tr r="AB157" s="1"/>
      </tp>
      <tp t="s">
        <v>#N/A Requesting Data...2347840845</v>
        <stp/>
        <stp>BDP|2468499702794082855</stp>
        <tr r="AC269" s="1"/>
      </tp>
      <tp t="s">
        <v>#N/A Requesting Data...2492483827</v>
        <stp/>
        <stp>BDP|7834902374446724513</stp>
        <tr r="AC570" s="1"/>
        <tr r="AC570" s="1"/>
      </tp>
      <tp t="s">
        <v>#N/A Requesting Data...4071669919</v>
        <stp/>
        <stp>BDP|8871293354764754181</stp>
        <tr r="AB512" s="1"/>
        <tr r="AB512" s="1"/>
      </tp>
      <tp t="s">
        <v>#N/A Requesting Data...3383442621</v>
        <stp/>
        <stp>BDP|8032280310670630140</stp>
        <tr r="AB1614" s="1"/>
        <tr r="AB1614" s="1"/>
      </tp>
      <tp t="s">
        <v>#N/A Requesting Data...4131549461</v>
        <stp/>
        <stp>BDP|5274551232471979863</stp>
        <tr r="Y835" s="1"/>
        <tr r="Y835" s="1"/>
      </tp>
      <tp t="s">
        <v>#N/A Requesting Data...1924048305</v>
        <stp/>
        <stp>BDP|5011891158667857529</stp>
        <tr r="AA1059" s="1"/>
        <tr r="AA1059" s="1"/>
      </tp>
      <tp t="s">
        <v>#N/A Requesting Data...2324307072</v>
        <stp/>
        <stp>BDP|5430086293706174058</stp>
        <tr r="AB1331" s="1"/>
        <tr r="AB1331" s="1"/>
      </tp>
      <tp t="s">
        <v>#N/A Requesting Data...4123704708</v>
        <stp/>
        <stp>BDP|8414613004782996630</stp>
        <tr r="Y553" s="1"/>
        <tr r="Y553" s="1"/>
      </tp>
      <tp t="s">
        <v>#N/A Requesting Data...3908383637</v>
        <stp/>
        <stp>BDP|6192220429485374925</stp>
        <tr r="AA781" s="1"/>
        <tr r="AA781" s="1"/>
      </tp>
      <tp t="s">
        <v>#N/A Requesting Data...3451157019</v>
        <stp/>
        <stp>BDP|1811951186529639368</stp>
        <tr r="Y1195" s="1"/>
        <tr r="Y1195" s="1"/>
      </tp>
      <tp t="s">
        <v>#N/A Requesting Data...3152237367</v>
        <stp/>
        <stp>BDP|5387719908909555143</stp>
        <tr r="AB1019" s="1"/>
        <tr r="AB1019" s="1"/>
      </tp>
      <tp t="s">
        <v>#N/A Requesting Data...4159794741</v>
        <stp/>
        <stp>BDP|3559998063711427709</stp>
        <tr r="Y1389" s="1"/>
        <tr r="Y1389" s="1"/>
      </tp>
      <tp t="s">
        <v>#N/A Requesting Data...4221839234</v>
        <stp/>
        <stp>BDP|1662936284098391298</stp>
        <tr r="AC1154" s="1"/>
        <tr r="AC1154" s="1"/>
      </tp>
      <tp t="s">
        <v>#N/A Requesting Data...3418421858</v>
        <stp/>
        <stp>BDP|5920501312063056805</stp>
        <tr r="AC1223" s="1"/>
        <tr r="AC1223" s="1"/>
      </tp>
      <tp t="s">
        <v>#N/A Requesting Data...4057324484</v>
        <stp/>
        <stp>BDP|9063307097778442180</stp>
        <tr r="Z158" s="1"/>
        <tr r="Z158" s="1"/>
      </tp>
      <tp t="s">
        <v>#N/A Requesting Data...2965763551</v>
        <stp/>
        <stp>BDP|1644300084128972806</stp>
        <tr r="Z1201" s="1"/>
        <tr r="Z1201" s="1"/>
      </tp>
      <tp t="s">
        <v>#N/A Requesting Data...1800475997</v>
        <stp/>
        <stp>BDP|4079495047728628633</stp>
        <tr r="Y810" s="1"/>
        <tr r="Y810" s="1"/>
      </tp>
      <tp t="s">
        <v>#N/A Requesting Data...1876014989</v>
        <stp/>
        <stp>BDP|7793524886240980013</stp>
        <tr r="AC713" s="1"/>
        <tr r="AC713" s="1"/>
      </tp>
      <tp t="s">
        <v>#N/A Requesting Data...1915203067</v>
        <stp/>
        <stp>BDP|1642230734602951830</stp>
        <tr r="Y1356" s="1"/>
        <tr r="Y1356" s="1"/>
      </tp>
      <tp t="s">
        <v>#N/A Requesting Data...2897737867</v>
        <stp/>
        <stp>BDP|2893727492421443779</stp>
        <tr r="AC1237" s="1"/>
        <tr r="AC1237" s="1"/>
      </tp>
      <tp t="s">
        <v>#N/A Requesting Data...2939268232</v>
        <stp/>
        <stp>BDP|6957721377328324442</stp>
        <tr r="AA1522" s="1"/>
        <tr r="AA1522" s="1"/>
      </tp>
      <tp t="s">
        <v>#N/A Requesting Data...4172637971</v>
        <stp/>
        <stp>BDP|3027616687474446392</stp>
        <tr r="Y380" s="1"/>
        <tr r="Y380" s="1"/>
      </tp>
      <tp t="s">
        <v>#N/A Requesting Data...2921808552</v>
        <stp/>
        <stp>BDP|8296680805016209250</stp>
        <tr r="Z849" s="1"/>
        <tr r="Z849" s="1"/>
      </tp>
      <tp t="s">
        <v>#N/A Requesting Data...2344154040</v>
        <stp/>
        <stp>BDP|3435691277929504173</stp>
        <tr r="Z1464" s="1"/>
        <tr r="Z1464" s="1"/>
      </tp>
      <tp t="s">
        <v>#N/A Requesting Data...3038875090</v>
        <stp/>
        <stp>BDP|7465980503675634119</stp>
        <tr r="Z842" s="1"/>
        <tr r="Z842" s="1"/>
      </tp>
      <tp t="s">
        <v>#N/A Requesting Data...4046929829</v>
        <stp/>
        <stp>BDP|1640243084199939878</stp>
        <tr r="AC119" s="1"/>
        <tr r="AC119" s="1"/>
      </tp>
      <tp t="s">
        <v>#N/A Requesting Data...3138179754</v>
        <stp/>
        <stp>BDP|9047562154046894523</stp>
        <tr r="Z1388" s="1"/>
        <tr r="Z1388" s="1"/>
      </tp>
      <tp t="s">
        <v>#N/A Requesting Data...3312777098</v>
        <stp/>
        <stp>BDP|2657437460963402997</stp>
        <tr r="Y983" s="1"/>
        <tr r="Y983" s="1"/>
      </tp>
      <tp t="s">
        <v>#N/A Requesting Data...1814457795</v>
        <stp/>
        <stp>BDP|4053879412807594082</stp>
        <tr r="AA1265" s="1"/>
        <tr r="AA1265" s="1"/>
      </tp>
      <tp t="s">
        <v>#N/A Requesting Data...2693799711</v>
        <stp/>
        <stp>BDP|9463481063616685717</stp>
        <tr r="Y1377" s="1"/>
        <tr r="Y1377" s="1"/>
      </tp>
      <tp t="s">
        <v>#N/A Requesting Data...2088878615</v>
        <stp/>
        <stp>BDP|8841601326666457028</stp>
        <tr r="AB40" s="1"/>
        <tr r="AB40" s="1"/>
      </tp>
      <tp t="s">
        <v>#N/A Requesting Data...2572930414</v>
        <stp/>
        <stp>BDP|6390657887890027297</stp>
        <tr r="AA364" s="1"/>
        <tr r="AA364" s="1"/>
      </tp>
      <tp t="s">
        <v>#N/A Requesting Data...2231550780</v>
        <stp/>
        <stp>BDP|4332796495606777606</stp>
        <tr r="AA157" s="1"/>
        <tr r="AA157" s="1"/>
      </tp>
      <tp t="s">
        <v>#N/A Requesting Data...2507534924</v>
        <stp/>
        <stp>BDP|7357915869974284613</stp>
        <tr r="AC1608" s="1"/>
      </tp>
      <tp t="s">
        <v>#N/A Requesting Data...3726745783</v>
        <stp/>
        <stp>BDP|9608126742995627388</stp>
        <tr r="Y501" s="1"/>
        <tr r="Y501" s="1"/>
      </tp>
      <tp t="s">
        <v>#N/A Requesting Data...1803799954</v>
        <stp/>
        <stp>BDP|9619720446439811921</stp>
        <tr r="AC1182" s="1"/>
        <tr r="AC1182" s="1"/>
      </tp>
      <tp t="s">
        <v>#N/A Requesting Data...2333633445</v>
        <stp/>
        <stp>BDP|6211990834494716200</stp>
        <tr r="AB1482" s="1"/>
        <tr r="AB1482" s="1"/>
      </tp>
      <tp t="s">
        <v>#N/A Requesting Data...2166270555</v>
        <stp/>
        <stp>BDP|9258658483975416881</stp>
        <tr r="AC579" s="1"/>
        <tr r="AC579" s="1"/>
      </tp>
      <tp t="s">
        <v>#N/A Requesting Data...1893955100</v>
        <stp/>
        <stp>BDP|9270376800869857958</stp>
        <tr r="Y901" s="1"/>
        <tr r="Y901" s="1"/>
      </tp>
      <tp t="s">
        <v>#N/A Requesting Data...2664154463</v>
        <stp/>
        <stp>BDP|8527315819874188440</stp>
        <tr r="AA847" s="1"/>
        <tr r="AA847" s="1"/>
      </tp>
      <tp t="s">
        <v>#N/A Requesting Data...2128568357</v>
        <stp/>
        <stp>BDP|5553421087394815700</stp>
        <tr r="Z1273" s="1"/>
        <tr r="Z1273" s="1"/>
      </tp>
      <tp t="s">
        <v>#N/A Requesting Data...3585619681</v>
        <stp/>
        <stp>BDP|6065402550994915905</stp>
        <tr r="AC1543" s="1"/>
        <tr r="AC1543" s="1"/>
      </tp>
      <tp t="s">
        <v>#N/A Requesting Data...3401364058</v>
        <stp/>
        <stp>BDP|2608867686118776089</stp>
        <tr r="AC96" s="1"/>
        <tr r="AC96" s="1"/>
      </tp>
      <tp t="s">
        <v>#N/A Requesting Data...4122888039</v>
        <stp/>
        <stp>BDP|9453576395759766688</stp>
        <tr r="Y786" s="1"/>
        <tr r="Y786" s="1"/>
      </tp>
      <tp t="s">
        <v>#N/A Requesting Data...2625624492</v>
        <stp/>
        <stp>BDP|6664512768097095867</stp>
        <tr r="AA530" s="1"/>
        <tr r="AA530" s="1"/>
      </tp>
      <tp t="s">
        <v>#N/A Requesting Data...4061380676</v>
        <stp/>
        <stp>BDP|4494426585900221289</stp>
        <tr r="Y1348" s="1"/>
        <tr r="Y1348" s="1"/>
      </tp>
      <tp t="s">
        <v>#N/A Requesting Data...1930503782</v>
        <stp/>
        <stp>BDP|9408389343105763113</stp>
        <tr r="AA1203" s="1"/>
        <tr r="AA1203" s="1"/>
      </tp>
      <tp t="s">
        <v>#N/A Requesting Data...2739270657</v>
        <stp/>
        <stp>BDP|8776685204303483767</stp>
        <tr r="AA553" s="1"/>
        <tr r="AA553" s="1"/>
      </tp>
      <tp t="s">
        <v>#N/A Requesting Data...3386026742</v>
        <stp/>
        <stp>BDP|8575376410305395589</stp>
        <tr r="AC1034" s="1"/>
        <tr r="AC1034" s="1"/>
      </tp>
      <tp t="s">
        <v>#N/A Requesting Data...3304382947</v>
        <stp/>
        <stp>BDP|5746286239629705786</stp>
        <tr r="AB893" s="1"/>
        <tr r="AB893" s="1"/>
      </tp>
      <tp t="s">
        <v>#N/A Requesting Data...1895668534</v>
        <stp/>
        <stp>BDP|9615201105289350892</stp>
        <tr r="Z1563" s="1"/>
        <tr r="Z1563" s="1"/>
      </tp>
      <tp t="s">
        <v>#N/A Requesting Data...3930578840</v>
        <stp/>
        <stp>BDP|9424016168565015047</stp>
        <tr r="Z1408" s="1"/>
        <tr r="Z1408" s="1"/>
      </tp>
      <tp t="s">
        <v>#N/A Requesting Data...2535079401</v>
        <stp/>
        <stp>BDP|6140206484291559793</stp>
        <tr r="AA1016" s="1"/>
        <tr r="AA1016" s="1"/>
      </tp>
      <tp t="s">
        <v>#N/A Requesting Data...3205117916</v>
        <stp/>
        <stp>BDP|5936671320922627964</stp>
        <tr r="Z321" s="1"/>
        <tr r="Z321" s="1"/>
      </tp>
      <tp t="s">
        <v>#N/A Requesting Data...1826027126</v>
        <stp/>
        <stp>BDP|2229881537593793040</stp>
        <tr r="AB1525" s="1"/>
      </tp>
      <tp t="s">
        <v>#N/A Requesting Data...1879976237</v>
        <stp/>
        <stp>BDP|6563053273898429390</stp>
        <tr r="AB721" s="1"/>
        <tr r="AB721" s="1"/>
      </tp>
      <tp t="s">
        <v>#N/A Requesting Data...4173911203</v>
        <stp/>
        <stp>BDP|3769781665968789037</stp>
        <tr r="Y1601" s="1"/>
        <tr r="Y1601" s="1"/>
      </tp>
      <tp t="s">
        <v>#N/A Requesting Data...3504296859</v>
        <stp/>
        <stp>BDP|5958225894447530347</stp>
        <tr r="Y45" s="1"/>
        <tr r="Y45" s="1"/>
      </tp>
      <tp t="s">
        <v>#N/A Requesting Data...2660269260</v>
        <stp/>
        <stp>BDP|5178708189087243749</stp>
        <tr r="Y868" s="1"/>
        <tr r="Y868" s="1"/>
      </tp>
      <tp t="s">
        <v>#N/A Requesting Data...3646599865</v>
        <stp/>
        <stp>BDP|5787639967628563783</stp>
        <tr r="Z792" s="1"/>
        <tr r="Z792" s="1"/>
      </tp>
      <tp t="s">
        <v>#N/A Requesting Data...4017891856</v>
        <stp/>
        <stp>BDP|2982108686481465056</stp>
        <tr r="AC224" s="1"/>
        <tr r="AC224" s="1"/>
      </tp>
      <tp t="s">
        <v>#N/A Requesting Data...4034965785</v>
        <stp/>
        <stp>BDP|5370206688894394164</stp>
        <tr r="AA654" s="1"/>
        <tr r="AA654" s="1"/>
      </tp>
      <tp t="s">
        <v>#N/A Requesting Data...3566622770</v>
        <stp/>
        <stp>BDP|7620967865614229696</stp>
        <tr r="AC645" s="1"/>
        <tr r="AC645" s="1"/>
      </tp>
      <tp t="s">
        <v>#N/A Requesting Data...2956366067</v>
        <stp/>
        <stp>BDP|8675230243411064582</stp>
        <tr r="AA1030" s="1"/>
        <tr r="AA1030" s="1"/>
      </tp>
      <tp t="s">
        <v>#N/A Requesting Data...2161094231</v>
        <stp/>
        <stp>BDP|9680226160902823522</stp>
        <tr r="AC1251" s="1"/>
        <tr r="AC1251" s="1"/>
      </tp>
      <tp t="s">
        <v>#N/A Requesting Data...2289393254</v>
        <stp/>
        <stp>BDP|7639699496513085170</stp>
        <tr r="AA1197" s="1"/>
        <tr r="AA1197" s="1"/>
      </tp>
      <tp t="s">
        <v>#N/A Requesting Data...2468771923</v>
        <stp/>
        <stp>BDP|9106583564757144726</stp>
        <tr r="AA773" s="1"/>
        <tr r="AA773" s="1"/>
      </tp>
      <tp t="s">
        <v>#N/A Requesting Data...2960930820</v>
        <stp/>
        <stp>BDP|7118027658888643020</stp>
        <tr r="Y947" s="1"/>
        <tr r="Y947" s="1"/>
      </tp>
      <tp t="s">
        <v>#N/A Requesting Data...3071355801</v>
        <stp/>
        <stp>BDP|7582056589650612504</stp>
        <tr r="AA626" s="1"/>
        <tr r="AA626" s="1"/>
      </tp>
      <tp t="s">
        <v>#N/A Requesting Data...3506401105</v>
        <stp/>
        <stp>BDP|9964438336227595369</stp>
        <tr r="AC945" s="1"/>
        <tr r="AC945" s="1"/>
      </tp>
      <tp t="s">
        <v>#N/A Requesting Data...3890623253</v>
        <stp/>
        <stp>BDP|9304672770620890231</stp>
        <tr r="Z1498" s="1"/>
        <tr r="Z1498" s="1"/>
      </tp>
      <tp t="s">
        <v>#N/A Requesting Data...2440706501</v>
        <stp/>
        <stp>BDP|1180695088531826475</stp>
        <tr r="Z880" s="1"/>
        <tr r="Z880" s="1"/>
      </tp>
      <tp t="s">
        <v>#N/A Requesting Data...3014833307</v>
        <stp/>
        <stp>BDP|4827831646916066423</stp>
        <tr r="Z113" s="1"/>
      </tp>
      <tp t="s">
        <v>#N/A Requesting Data...2675053480</v>
        <stp/>
        <stp>BDP|7902540792810168111</stp>
        <tr r="Z1166" s="1"/>
        <tr r="Z1166" s="1"/>
      </tp>
      <tp t="s">
        <v>#N/A Requesting Data...3330927602</v>
        <stp/>
        <stp>BDP|9185717028423012574</stp>
        <tr r="Y726" s="1"/>
        <tr r="Y726" s="1"/>
      </tp>
      <tp t="s">
        <v>#N/A Requesting Data...2716604693</v>
        <stp/>
        <stp>BDP|5788507998370746378</stp>
        <tr r="AB1578" s="1"/>
        <tr r="AB1578" s="1"/>
      </tp>
      <tp t="s">
        <v>#N/A Requesting Data...3781090959</v>
        <stp/>
        <stp>BDP|1474692378978343298</stp>
        <tr r="Y1094" s="1"/>
        <tr r="Y1094" s="1"/>
      </tp>
      <tp t="s">
        <v>#N/A Requesting Data...3739731159</v>
        <stp/>
        <stp>BDP|9729599643405297706</stp>
        <tr r="Z1520" s="1"/>
        <tr r="Z1520" s="1"/>
      </tp>
      <tp t="s">
        <v>#N/A Requesting Data...4085505425</v>
        <stp/>
        <stp>BDP|5936498905282230989</stp>
        <tr r="Y244" s="1"/>
        <tr r="Y244" s="1"/>
      </tp>
      <tp t="s">
        <v>#N/A Requesting Data...2132474061</v>
        <stp/>
        <stp>BDP|4843947465323417222</stp>
        <tr r="AC1358" s="1"/>
      </tp>
      <tp t="s">
        <v>#N/A Requesting Data...3357106049</v>
        <stp/>
        <stp>BDP|9197430827844217182</stp>
        <tr r="AA282" s="1"/>
        <tr r="AA282" s="1"/>
      </tp>
      <tp t="s">
        <v>#N/A Requesting Data...2192569277</v>
        <stp/>
        <stp>BDP|7557101614144631983</stp>
        <tr r="AA259" s="1"/>
        <tr r="AA259" s="1"/>
      </tp>
      <tp t="s">
        <v>#N/A Requesting Data...3477573734</v>
        <stp/>
        <stp>BDP|7474397282127612164</stp>
        <tr r="Z310" s="1"/>
        <tr r="Z310" s="1"/>
      </tp>
      <tp t="s">
        <v>#N/A Requesting Data...3898203798</v>
        <stp/>
        <stp>BDP|7493716359729679658</stp>
        <tr r="AB61" s="1"/>
        <tr r="AB61" s="1"/>
      </tp>
      <tp t="s">
        <v>#N/A Requesting Data...2454568811</v>
        <stp/>
        <stp>BDP|8548148865523938613</stp>
        <tr r="Z591" s="1"/>
        <tr r="Z591" s="1"/>
      </tp>
      <tp t="s">
        <v>#N/A Requesting Data...3705867717</v>
        <stp/>
        <stp>BDP|1770603989917174232</stp>
        <tr r="Z1090" s="1"/>
        <tr r="Z1090" s="1"/>
      </tp>
      <tp t="s">
        <v>#N/A Requesting Data...2455669883</v>
        <stp/>
        <stp>BDP|4954567276909238573</stp>
        <tr r="AB1090" s="1"/>
        <tr r="AB1090" s="1"/>
      </tp>
      <tp t="s">
        <v>#N/A Requesting Data...3951679155</v>
        <stp/>
        <stp>BDP|7823932035534579379</stp>
        <tr r="AA456" s="1"/>
        <tr r="AA456" s="1"/>
      </tp>
      <tp t="s">
        <v>#N/A Requesting Data...2337209047</v>
        <stp/>
        <stp>BDP|1911856414634424609</stp>
        <tr r="AC975" s="1"/>
        <tr r="AC975" s="1"/>
      </tp>
      <tp t="s">
        <v>#N/A Requesting Data...1915590970</v>
        <stp/>
        <stp>BDP|6391924082244945966</stp>
        <tr r="Z950" s="1"/>
      </tp>
      <tp t="s">
        <v>#N/A Requesting Data...2497229918</v>
        <stp/>
        <stp>BDP|8552056807122871039</stp>
        <tr r="AC657" s="1"/>
        <tr r="AC657" s="1"/>
      </tp>
      <tp t="s">
        <v>#N/A Requesting Data...3080006243</v>
        <stp/>
        <stp>BDP|3084008689942772321</stp>
        <tr r="Y1112" s="1"/>
        <tr r="Y1112" s="1"/>
      </tp>
      <tp t="s">
        <v>#N/A Requesting Data...4186587500</v>
        <stp/>
        <stp>BDP|6264987759740641093</stp>
        <tr r="AB778" s="1"/>
        <tr r="AB778" s="1"/>
      </tp>
      <tp t="s">
        <v>#N/A Requesting Data...2939453274</v>
        <stp/>
        <stp>BDP|8834756347755266447</stp>
        <tr r="Z1186" s="1"/>
        <tr r="Z1186" s="1"/>
      </tp>
      <tp t="s">
        <v>#N/A Requesting Data...3024571381</v>
        <stp/>
        <stp>BDP|6900592638568485209</stp>
        <tr r="Z426" s="1"/>
        <tr r="Z426" s="1"/>
      </tp>
      <tp t="s">
        <v>#N/A Requesting Data...1860331791</v>
        <stp/>
        <stp>BDP|6237800644583283388</stp>
        <tr r="AB533" s="1"/>
        <tr r="AB533" s="1"/>
      </tp>
      <tp t="s">
        <v>#N/A Requesting Data...3174617309</v>
        <stp/>
        <stp>BDP|3007662225109982472</stp>
        <tr r="Y513" s="1"/>
        <tr r="Y513" s="1"/>
      </tp>
      <tp t="s">
        <v>#N/A Requesting Data...2848686146</v>
        <stp/>
        <stp>BDP|7328864878550596253</stp>
        <tr r="AB755" s="1"/>
        <tr r="AB755" s="1"/>
      </tp>
      <tp t="s">
        <v>#N/A Requesting Data...3418748433</v>
        <stp/>
        <stp>BDP|6059677586750482285</stp>
        <tr r="Y648" s="1"/>
        <tr r="Y648" s="1"/>
      </tp>
      <tp t="s">
        <v>#N/A Requesting Data...3238638394</v>
        <stp/>
        <stp>BDP|7776727431718946108</stp>
        <tr r="AB328" s="1"/>
        <tr r="AB328" s="1"/>
      </tp>
      <tp t="s">
        <v>#N/A Requesting Data...1891344314</v>
        <stp/>
        <stp>BDP|9069149437616764795</stp>
        <tr r="AB624" s="1"/>
        <tr r="AB624" s="1"/>
      </tp>
      <tp t="s">
        <v>#N/A Requesting Data...3003252156</v>
        <stp/>
        <stp>BDP|7210819143197449692</stp>
        <tr r="AB549" s="1"/>
        <tr r="AB549" s="1"/>
      </tp>
      <tp t="s">
        <v>#N/A Requesting Data...3752386314</v>
        <stp/>
        <stp>BDP|5207202193140840448</stp>
        <tr r="Z1484" s="1"/>
        <tr r="Z1484" s="1"/>
      </tp>
      <tp t="s">
        <v>#N/A Requesting Data...3425545631</v>
        <stp/>
        <stp>BDP|2532808802053956331</stp>
        <tr r="AC1444" s="1"/>
        <tr r="AC1444" s="1"/>
      </tp>
      <tp t="s">
        <v>#N/A Requesting Data...4201542015</v>
        <stp/>
        <stp>BDP|9507303337516713589</stp>
        <tr r="AB1404" s="1"/>
        <tr r="AB1404" s="1"/>
      </tp>
      <tp t="s">
        <v>#N/A Requesting Data...2603353895</v>
        <stp/>
        <stp>BDP|9625067318074452610</stp>
        <tr r="Y888" s="1"/>
        <tr r="Y888" s="1"/>
      </tp>
      <tp t="s">
        <v>#N/A Requesting Data...4056011903</v>
        <stp/>
        <stp>BDP|9289324717924811524</stp>
        <tr r="AA300" s="1"/>
      </tp>
      <tp t="s">
        <v>#N/A Requesting Data...2670268208</v>
        <stp/>
        <stp>BDP|7125906251556974745</stp>
        <tr r="AB675" s="1"/>
        <tr r="AB675" s="1"/>
      </tp>
      <tp t="s">
        <v>#N/A Requesting Data...3907024895</v>
        <stp/>
        <stp>BDP|4388459044398944664</stp>
        <tr r="Z132" s="1"/>
        <tr r="Z132" s="1"/>
      </tp>
      <tp t="s">
        <v>#N/A Requesting Data...1940242348</v>
        <stp/>
        <stp>BDP|8272717566652923116</stp>
        <tr r="Y1472" s="1"/>
        <tr r="Y1472" s="1"/>
      </tp>
      <tp t="s">
        <v>#N/A Requesting Data...2324105548</v>
        <stp/>
        <stp>BDP|6943872363642016004</stp>
        <tr r="AC360" s="1"/>
        <tr r="AC360" s="1"/>
      </tp>
      <tp t="s">
        <v>#N/A Requesting Data...3469305987</v>
        <stp/>
        <stp>BDP|3659855899159209154</stp>
        <tr r="Z1268" s="1"/>
        <tr r="Z1268" s="1"/>
      </tp>
      <tp t="s">
        <v>#N/A Requesting Data...4228117012</v>
        <stp/>
        <stp>BDP|4819033404948691645</stp>
        <tr r="AB1588" s="1"/>
        <tr r="AB1588" s="1"/>
      </tp>
      <tp t="s">
        <v>#N/A Requesting Data...2551984071</v>
        <stp/>
        <stp>BDP|8527695261965606768</stp>
        <tr r="Y129" s="1"/>
      </tp>
      <tp t="s">
        <v>#N/A Requesting Data...4238090168</v>
        <stp/>
        <stp>BDP|8089088838831146035</stp>
        <tr r="Y286" s="1"/>
        <tr r="Y286" s="1"/>
      </tp>
      <tp t="s">
        <v>#N/A Requesting Data...2863251348</v>
        <stp/>
        <stp>BDP|3648880113876623697</stp>
        <tr r="Z1076" s="1"/>
        <tr r="Z1076" s="1"/>
      </tp>
      <tp t="s">
        <v>#N/A Requesting Data...3213464890</v>
        <stp/>
        <stp>BDP|9576909531030471922</stp>
        <tr r="AC441" s="1"/>
      </tp>
      <tp t="s">
        <v>#N/A Requesting Data...2674958707</v>
        <stp/>
        <stp>BDP|7985645682731892258</stp>
        <tr r="AB166" s="1"/>
        <tr r="AB166" s="1"/>
      </tp>
      <tp t="s">
        <v>#N/A Requesting Data...2389759171</v>
        <stp/>
        <stp>BDP|7049568051338267575</stp>
        <tr r="AA1322" s="1"/>
        <tr r="AA1322" s="1"/>
      </tp>
      <tp t="s">
        <v>#N/A Requesting Data...1919093799</v>
        <stp/>
        <stp>BDP|3757862266893469416</stp>
        <tr r="Y1216" s="1"/>
        <tr r="Y1216" s="1"/>
      </tp>
      <tp t="s">
        <v>#N/A Requesting Data...2827687649</v>
        <stp/>
        <stp>BDP|8794170293053506949</stp>
        <tr r="AA1170" s="1"/>
        <tr r="AA1170" s="1"/>
      </tp>
      <tp t="s">
        <v>#N/A Requesting Data...3417565960</v>
        <stp/>
        <stp>BDP|9971527243731965333</stp>
        <tr r="AC29" s="1"/>
        <tr r="AC29" s="1"/>
      </tp>
      <tp t="s">
        <v>#N/A Requesting Data...4031196077</v>
        <stp/>
        <stp>BDP|5620761891117458675</stp>
        <tr r="Y1568" s="1"/>
        <tr r="Y1568" s="1"/>
      </tp>
      <tp t="s">
        <v>#N/A Requesting Data...3633077579</v>
        <stp/>
        <stp>BDP|7569651297124428610</stp>
        <tr r="AC396" s="1"/>
        <tr r="AC396" s="1"/>
      </tp>
      <tp t="s">
        <v>#N/A Requesting Data...3058349000</v>
        <stp/>
        <stp>BDP|5499322135137061818</stp>
        <tr r="Z947" s="1"/>
        <tr r="Z947" s="1"/>
      </tp>
      <tp t="s">
        <v>#N/A Requesting Data...2409992416</v>
        <stp/>
        <stp>BDP|1527076985296142545</stp>
        <tr r="AA925" s="1"/>
        <tr r="AA925" s="1"/>
      </tp>
      <tp t="s">
        <v>#N/A Requesting Data...3124754794</v>
        <stp/>
        <stp>BDP|6433701093740312263</stp>
        <tr r="AA1026" s="1"/>
        <tr r="AA1026" s="1"/>
      </tp>
      <tp t="s">
        <v>#N/A Requesting Data...2856966908</v>
        <stp/>
        <stp>BDP|1393791809298944489</stp>
        <tr r="AA372" s="1"/>
        <tr r="AA372" s="1"/>
      </tp>
      <tp t="s">
        <v>#N/A Requesting Data...3416588142</v>
        <stp/>
        <stp>BDP|9054511360767416775</stp>
        <tr r="AA31" s="1"/>
        <tr r="AA31" s="1"/>
      </tp>
      <tp t="s">
        <v>#N/A Requesting Data...2794761251</v>
        <stp/>
        <stp>BDP|5560492089036570525</stp>
        <tr r="Y815" s="1"/>
        <tr r="Y815" s="1"/>
      </tp>
      <tp t="s">
        <v>#N/A Requesting Data...3721026986</v>
        <stp/>
        <stp>BDP|8379415031321509458</stp>
        <tr r="Y771" s="1"/>
        <tr r="Y771" s="1"/>
      </tp>
      <tp t="s">
        <v>#N/A Requesting Data...3537226807</v>
        <stp/>
        <stp>BDP|8055659587795960984</stp>
        <tr r="Y1546" s="1"/>
        <tr r="Y1546" s="1"/>
      </tp>
      <tp t="s">
        <v>#N/A Requesting Data...2769078489</v>
        <stp/>
        <stp>BDP|8085317272213522554</stp>
        <tr r="AC683" s="1"/>
        <tr r="AC683" s="1"/>
      </tp>
      <tp t="s">
        <v>#N/A Requesting Data...1961187108</v>
        <stp/>
        <stp>BDP|7475813692148592416</stp>
        <tr r="Z671" s="1"/>
        <tr r="Z671" s="1"/>
      </tp>
      <tp t="s">
        <v>#N/A Requesting Data...2887629582</v>
        <stp/>
        <stp>BDP|6307131484730480534</stp>
        <tr r="AA1506" s="1"/>
        <tr r="AA1506" s="1"/>
      </tp>
      <tp t="s">
        <v>#N/A Requesting Data...3504563786</v>
        <stp/>
        <stp>BDP|8114682830381944639</stp>
        <tr r="Y58" s="1"/>
        <tr r="Y58" s="1"/>
      </tp>
      <tp t="s">
        <v>#N/A Requesting Data...2109026889</v>
        <stp/>
        <stp>BDP|6167181081880807530</stp>
        <tr r="Z227" s="1"/>
        <tr r="Z227" s="1"/>
      </tp>
      <tp t="s">
        <v>#N/A Requesting Data...3263399571</v>
        <stp/>
        <stp>BDP|9897089350352059437</stp>
        <tr r="Z245" s="1"/>
        <tr r="Z245" s="1"/>
      </tp>
      <tp t="s">
        <v>#N/A Requesting Data...2710249560</v>
        <stp/>
        <stp>BDP|6728752557046410821</stp>
        <tr r="AC800" s="1"/>
        <tr r="AC800" s="1"/>
      </tp>
      <tp t="s">
        <v>#N/A Requesting Data...3419380668</v>
        <stp/>
        <stp>BDP|9210884889420650367</stp>
        <tr r="Y334" s="1"/>
        <tr r="Y334" s="1"/>
      </tp>
      <tp t="s">
        <v>#N/A Requesting Data...2194643818</v>
        <stp/>
        <stp>BDP|2770972424531149266</stp>
        <tr r="Z36" s="1"/>
        <tr r="Z36" s="1"/>
      </tp>
      <tp t="s">
        <v>#N/A Requesting Data...2481700770</v>
        <stp/>
        <stp>BDP|5483751840829172534</stp>
        <tr r="Z510" s="1"/>
        <tr r="Z510" s="1"/>
      </tp>
      <tp t="s">
        <v>#N/A Requesting Data...3533396531</v>
        <stp/>
        <stp>BDP|4624883126090200494</stp>
        <tr r="AA202" s="1"/>
        <tr r="AA202" s="1"/>
      </tp>
      <tp t="s">
        <v>#N/A Requesting Data...3407250638</v>
        <stp/>
        <stp>BDP|6337958184314577948</stp>
        <tr r="AB1593" s="1"/>
        <tr r="AB1593" s="1"/>
      </tp>
      <tp t="s">
        <v>#N/A Requesting Data...4208682773</v>
        <stp/>
        <stp>BDP|4597387128296090962</stp>
        <tr r="AC1122" s="1"/>
        <tr r="AC1122" s="1"/>
      </tp>
      <tp t="s">
        <v>#N/A Requesting Data...3484966868</v>
        <stp/>
        <stp>BDP|4738653608848958034</stp>
        <tr r="Y71" s="1"/>
        <tr r="Y71" s="1"/>
      </tp>
      <tp t="s">
        <v>#N/A Requesting Data...4214349672</v>
        <stp/>
        <stp>BDP|4307609395705038465</stp>
        <tr r="Y1331" s="1"/>
        <tr r="Y1331" s="1"/>
      </tp>
      <tp t="s">
        <v>#N/A Requesting Data...3275145254</v>
        <stp/>
        <stp>BDP|5216116698725929229</stp>
        <tr r="AA1533" s="1"/>
        <tr r="AA1533" s="1"/>
      </tp>
      <tp t="s">
        <v>#N/A Requesting Data...2105795455</v>
        <stp/>
        <stp>BDP|2978673708709696700</stp>
        <tr r="AC1050" s="1"/>
        <tr r="AC1050" s="1"/>
      </tp>
      <tp t="s">
        <v>#N/A Requesting Data...4146402189</v>
        <stp/>
        <stp>BDP|6424321856019890387</stp>
        <tr r="AB1376" s="1"/>
        <tr r="AB1376" s="1"/>
      </tp>
      <tp t="s">
        <v>#N/A Requesting Data...3589418407</v>
        <stp/>
        <stp>BDP|3060171057704495945</stp>
        <tr r="AB1394" s="1"/>
        <tr r="AB1394" s="1"/>
      </tp>
      <tp t="s">
        <v>#N/A Requesting Data...3175570385</v>
        <stp/>
        <stp>BDP|3057916075096287164</stp>
        <tr r="AB679" s="1"/>
        <tr r="AB679" s="1"/>
      </tp>
      <tp t="s">
        <v>#N/A Requesting Data...3224086892</v>
        <stp/>
        <stp>BDP|2968322688001731249</stp>
        <tr r="Y1435" s="1"/>
      </tp>
      <tp t="s">
        <v>#N/A Requesting Data...3291260176</v>
        <stp/>
        <stp>BDP|9746059842795322239</stp>
        <tr r="AB1170" s="1"/>
        <tr r="AB1170" s="1"/>
      </tp>
      <tp t="s">
        <v>#N/A Requesting Data...3582901172</v>
        <stp/>
        <stp>BDP|8935251789059448117</stp>
        <tr r="Y1403" s="1"/>
        <tr r="Y1403" s="1"/>
      </tp>
      <tp t="s">
        <v>#N/A Requesting Data...4252341863</v>
        <stp/>
        <stp>BDP|9410007993629232352</stp>
        <tr r="Z631" s="1"/>
        <tr r="Z631" s="1"/>
      </tp>
      <tp t="s">
        <v>#N/A Requesting Data...3676326651</v>
        <stp/>
        <stp>BDP|5826234683186129396</stp>
        <tr r="Z618" s="1"/>
        <tr r="Z618" s="1"/>
      </tp>
      <tp t="s">
        <v>#N/A Requesting Data...2913549133</v>
        <stp/>
        <stp>BDP|9631903491452673110</stp>
        <tr r="AA504" s="1"/>
        <tr r="AA504" s="1"/>
      </tp>
      <tp t="s">
        <v>#N/A Requesting Data...4123598913</v>
        <stp/>
        <stp>BDP|3698511305514604848</stp>
        <tr r="AA1127" s="1"/>
        <tr r="AA1127" s="1"/>
      </tp>
      <tp t="s">
        <v>#N/A Requesting Data...4230709828</v>
        <stp/>
        <stp>BDP|9775934666484077824</stp>
        <tr r="AB1440" s="1"/>
        <tr r="AB1440" s="1"/>
      </tp>
      <tp t="s">
        <v>#N/A Requesting Data...2962926709</v>
        <stp/>
        <stp>BDP|5273421780540837387</stp>
        <tr r="Y329" s="1"/>
        <tr r="Y329" s="1"/>
      </tp>
      <tp t="s">
        <v>#N/A Requesting Data...3010545099</v>
        <stp/>
        <stp>BDP|1714750401888725452</stp>
        <tr r="Z396" s="1"/>
        <tr r="Z396" s="1"/>
      </tp>
      <tp t="s">
        <v>#N/A Requesting Data...3152294924</v>
        <stp/>
        <stp>BDP|6827938829125362204</stp>
        <tr r="Y1117" s="1"/>
        <tr r="Y1117" s="1"/>
      </tp>
      <tp t="s">
        <v>#N/A Requesting Data...3600692258</v>
        <stp/>
        <stp>BDP|5236307333349685664</stp>
        <tr r="AA1223" s="1"/>
        <tr r="AA1223" s="1"/>
      </tp>
      <tp t="s">
        <v>#N/A Requesting Data...3050251883</v>
        <stp/>
        <stp>BDP|7197301101917045918</stp>
        <tr r="Z1320" s="1"/>
        <tr r="Z1320" s="1"/>
      </tp>
      <tp t="s">
        <v>#N/A Requesting Data...2359845281</v>
        <stp/>
        <stp>BDP|3552436678803960961</stp>
        <tr r="Y990" s="1"/>
        <tr r="Y990" s="1"/>
      </tp>
      <tp t="s">
        <v>#N/A Requesting Data...3726644970</v>
        <stp/>
        <stp>BDP|1136970742820216676</stp>
        <tr r="Y1499" s="1"/>
        <tr r="Y1499" s="1"/>
      </tp>
      <tp t="s">
        <v>#N/A Requesting Data...2867004429</v>
        <stp/>
        <stp>BDP|6511972453539797970</stp>
        <tr r="AC385" s="1"/>
        <tr r="AC385" s="1"/>
      </tp>
      <tp t="s">
        <v>#N/A Requesting Data...4218709039</v>
        <stp/>
        <stp>BDP|5003729883070140012</stp>
        <tr r="AA217" s="1"/>
        <tr r="AA217" s="1"/>
      </tp>
      <tp t="s">
        <v>#N/A Requesting Data...3709551451</v>
        <stp/>
        <stp>BDP|9744453895408446628</stp>
        <tr r="AC882" s="1"/>
        <tr r="AC882" s="1"/>
      </tp>
      <tp t="s">
        <v>#N/A Requesting Data...4106156205</v>
        <stp/>
        <stp>BDP|5105204415918246478</stp>
        <tr r="AA1543" s="1"/>
        <tr r="AA1543" s="1"/>
      </tp>
      <tp t="s">
        <v>#N/A Requesting Data...1959645476</v>
        <stp/>
        <stp>BDP|6778970311791258524</stp>
        <tr r="Y861" s="1"/>
        <tr r="Y861" s="1"/>
      </tp>
      <tp t="s">
        <v>#N/A Requesting Data...2067516145</v>
        <stp/>
        <stp>BDP|8675693693665802851</stp>
        <tr r="AB1136" s="1"/>
        <tr r="AB1136" s="1"/>
      </tp>
      <tp t="s">
        <v>#N/A Requesting Data...2053713116</v>
        <stp/>
        <stp>BDP|8662567919391888709</stp>
        <tr r="Z341" s="1"/>
        <tr r="Z341" s="1"/>
      </tp>
      <tp t="s">
        <v>#N/A Requesting Data...3009171444</v>
        <stp/>
        <stp>BDP|1686252304289372058</stp>
        <tr r="Z469" s="1"/>
        <tr r="Z469" s="1"/>
      </tp>
      <tp t="s">
        <v>#N/A Requesting Data...2997961642</v>
        <stp/>
        <stp>BDP|6762967573184114626</stp>
        <tr r="AC1506" s="1"/>
        <tr r="AC1506" s="1"/>
      </tp>
      <tp t="s">
        <v>#N/A Requesting Data...2796928713</v>
        <stp/>
        <stp>BDP|3289764640988371264</stp>
        <tr r="Z1409" s="1"/>
        <tr r="Z1409" s="1"/>
      </tp>
      <tp t="s">
        <v>#N/A Requesting Data...3243577941</v>
        <stp/>
        <stp>BDP|2138735507237053847</stp>
        <tr r="Y1402" s="1"/>
        <tr r="Y1402" s="1"/>
      </tp>
      <tp t="s">
        <v>#N/A Requesting Data...1998969537</v>
        <stp/>
        <stp>BDP|2996847978235639256</stp>
        <tr r="AA342" s="1"/>
        <tr r="AA342" s="1"/>
      </tp>
      <tp t="s">
        <v>#N/A Requesting Data...2319377856</v>
        <stp/>
        <stp>BDP|3146274185686599506</stp>
        <tr r="AC1267" s="1"/>
        <tr r="AC1267" s="1"/>
      </tp>
      <tp t="s">
        <v>#N/A Requesting Data...4214776162</v>
        <stp/>
        <stp>BDP|3771311390142750178</stp>
        <tr r="AC371" s="1"/>
        <tr r="AC371" s="1"/>
      </tp>
      <tp t="s">
        <v>#N/A Requesting Data...1967920796</v>
        <stp/>
        <stp>BDP|3012010439973956977</stp>
        <tr r="AB409" s="1"/>
        <tr r="AB409" s="1"/>
      </tp>
      <tp t="s">
        <v>#N/A Requesting Data...2987860594</v>
        <stp/>
        <stp>BDP|9776066577061081504</stp>
        <tr r="Y78" s="1"/>
        <tr r="Y78" s="1"/>
      </tp>
      <tp t="s">
        <v>#N/A Requesting Data...1960918465</v>
        <stp/>
        <stp>BDP|8793210347431370547</stp>
        <tr r="Y938" s="1"/>
        <tr r="Y938" s="1"/>
      </tp>
      <tp t="s">
        <v>#N/A Requesting Data...1968457206</v>
        <stp/>
        <stp>BDP|8756973614372185833</stp>
        <tr r="AC878" s="1"/>
        <tr r="AC878" s="1"/>
      </tp>
      <tp t="s">
        <v>#N/A Requesting Data...1970397717</v>
        <stp/>
        <stp>BDP|6592726162745683851</stp>
        <tr r="AC954" s="1"/>
        <tr r="AC954" s="1"/>
      </tp>
      <tp t="s">
        <v>#N/A Requesting Data...1993117624</v>
        <stp/>
        <stp>BDP|6334232691512759500</stp>
        <tr r="Z138" s="1"/>
        <tr r="Z138" s="1"/>
      </tp>
      <tp t="s">
        <v>#N/A Requesting Data...3150152942</v>
        <stp/>
        <stp>BDP|9679466710537026167</stp>
        <tr r="AB141" s="1"/>
        <tr r="AB141" s="1"/>
      </tp>
      <tp t="s">
        <v>#N/A Requesting Data...2122917410</v>
        <stp/>
        <stp>BDP|5567379131186393967</stp>
        <tr r="AC71" s="1"/>
        <tr r="AC71" s="1"/>
      </tp>
      <tp t="s">
        <v>#N/A Requesting Data...3204462959</v>
        <stp/>
        <stp>BDP|2704376751509075777</stp>
        <tr r="AB1273" s="1"/>
        <tr r="AB1273" s="1"/>
      </tp>
      <tp t="s">
        <v>#N/A Requesting Data...2631368799</v>
        <stp/>
        <stp>BDP|9013832834548146001</stp>
        <tr r="AC46" s="1"/>
        <tr r="AC46" s="1"/>
      </tp>
      <tp t="s">
        <v>#N/A Requesting Data...1948610611</v>
        <stp/>
        <stp>BDP|3298525896430283522</stp>
        <tr r="AB1455" s="1"/>
        <tr r="AB1455" s="1"/>
      </tp>
      <tp t="s">
        <v>#N/A Requesting Data...2334349395</v>
        <stp/>
        <stp>BDP|6738975749437767686</stp>
        <tr r="Z847" s="1"/>
        <tr r="Z847" s="1"/>
      </tp>
      <tp t="s">
        <v>#N/A Requesting Data...1986871217</v>
        <stp/>
        <stp>BDP|5100513618823792897</stp>
        <tr r="Y1001" s="1"/>
        <tr r="Y1001" s="1"/>
      </tp>
      <tp t="s">
        <v>#N/A Requesting Data...2375414981</v>
        <stp/>
        <stp>BDP|9070616230571284759</stp>
        <tr r="AB1241" s="1"/>
        <tr r="AB1241" s="1"/>
      </tp>
      <tp t="s">
        <v>#N/A Requesting Data...4093586556</v>
        <stp/>
        <stp>BDP|9259528036565691065</stp>
        <tr r="AB1250" s="1"/>
        <tr r="AB1250" s="1"/>
      </tp>
      <tp t="s">
        <v>#N/A Requesting Data...2679012012</v>
        <stp/>
        <stp>BDP|2591078181266450611</stp>
        <tr r="AB450" s="1"/>
        <tr r="AB450" s="1"/>
      </tp>
      <tp t="s">
        <v>#N/A Requesting Data...3429070892</v>
        <stp/>
        <stp>BDP|7265610830708225074</stp>
        <tr r="AB1444" s="1"/>
        <tr r="AB1444" s="1"/>
      </tp>
      <tp t="s">
        <v>#N/A Requesting Data...3846133310</v>
        <stp/>
        <stp>BDP|1277378645928598438</stp>
        <tr r="AC168" s="1"/>
        <tr r="AC168" s="1"/>
      </tp>
      <tp t="s">
        <v>#N/A Requesting Data...2287684491</v>
        <stp/>
        <stp>BDP|2347538907598435543</stp>
        <tr r="AC317" s="1"/>
        <tr r="AC317" s="1"/>
      </tp>
      <tp t="s">
        <v>#N/A Requesting Data...1930529546</v>
        <stp/>
        <stp>BDP|9508268072921393751</stp>
        <tr r="AC745" s="1"/>
        <tr r="AC745" s="1"/>
      </tp>
      <tp t="s">
        <v>#N/A Requesting Data...2878467688</v>
        <stp/>
        <stp>BDP|1853188307572743874</stp>
        <tr r="AC1110" s="1"/>
        <tr r="AC1110" s="1"/>
      </tp>
      <tp t="s">
        <v>#N/A Requesting Data...3343275527</v>
        <stp/>
        <stp>BDP|2385673838465944823</stp>
        <tr r="Z314" s="1"/>
        <tr r="Z314" s="1"/>
      </tp>
      <tp t="s">
        <v>#N/A Requesting Data...2319661811</v>
        <stp/>
        <stp>BDP|9352827021841719800</stp>
        <tr r="Y1191" s="1"/>
        <tr r="Y1191" s="1"/>
      </tp>
      <tp t="s">
        <v>#N/A Requesting Data...2883678260</v>
        <stp/>
        <stp>BDP|3954847485228995163</stp>
        <tr r="AA1160" s="1"/>
        <tr r="AA1160" s="1"/>
      </tp>
      <tp t="s">
        <v>#N/A Requesting Data...2758060259</v>
        <stp/>
        <stp>BDP|3003671982201599670</stp>
        <tr r="AB1603" s="1"/>
        <tr r="AB1603" s="1"/>
      </tp>
      <tp t="s">
        <v>#N/A Requesting Data...2630123143</v>
        <stp/>
        <stp>BDP|4124809690698761711</stp>
        <tr r="Z101" s="1"/>
        <tr r="Z101" s="1"/>
      </tp>
      <tp t="s">
        <v>#N/A Requesting Data...2528375019</v>
        <stp/>
        <stp>BDP|7162148754488038165</stp>
        <tr r="AC1077" s="1"/>
        <tr r="AC1077" s="1"/>
      </tp>
      <tp t="s">
        <v>#N/A Requesting Data...3812768698</v>
        <stp/>
        <stp>BDP|2204654467930357847</stp>
        <tr r="Z983" s="1"/>
        <tr r="Z983" s="1"/>
      </tp>
      <tp t="s">
        <v>#N/A Requesting Data...2193260664</v>
        <stp/>
        <stp>BDP|7683549034323427851</stp>
        <tr r="AA1401" s="1"/>
        <tr r="AA1401" s="1"/>
      </tp>
      <tp t="s">
        <v>#N/A Requesting Data...3130497608</v>
        <stp/>
        <stp>BDP|2515314087672512112</stp>
        <tr r="AB712" s="1"/>
        <tr r="AB712" s="1"/>
      </tp>
      <tp t="s">
        <v>#N/A Requesting Data...2552608757</v>
        <stp/>
        <stp>BDP|8420191428632135336</stp>
        <tr r="AA943" s="1"/>
        <tr r="AA943" s="1"/>
      </tp>
      <tp t="s">
        <v>#N/A Requesting Data...3049263030</v>
        <stp/>
        <stp>BDP|2565336016582574822</stp>
        <tr r="Y514" s="1"/>
        <tr r="Y514" s="1"/>
      </tp>
      <tp t="s">
        <v>#N/A Requesting Data...3204872712</v>
        <stp/>
        <stp>BDP|4098143006027393860</stp>
        <tr r="Y528" s="1"/>
        <tr r="Y528" s="1"/>
      </tp>
      <tp t="s">
        <v>#N/A Requesting Data...3386018909</v>
        <stp/>
        <stp>BDP|1942733309364337871</stp>
        <tr r="AA1504" s="1"/>
        <tr r="AA1504" s="1"/>
      </tp>
      <tp t="s">
        <v>#N/A Requesting Data...4029597714</v>
        <stp/>
        <stp>BDP|3406038993742492270</stp>
        <tr r="AA170" s="1"/>
        <tr r="AA170" s="1"/>
      </tp>
      <tp t="s">
        <v>#N/A Requesting Data...2574256235</v>
        <stp/>
        <stp>BDP|1246859672007037317</stp>
        <tr r="AA1333" s="1"/>
        <tr r="AA1333" s="1"/>
      </tp>
      <tp t="s">
        <v>#N/A Requesting Data...3039800858</v>
        <stp/>
        <stp>BDP|3160023525582229909</stp>
        <tr r="AC785" s="1"/>
        <tr r="AC785" s="1"/>
      </tp>
      <tp t="s">
        <v>#N/A Requesting Data...2149458272</v>
        <stp/>
        <stp>BDP|5445369384470034421</stp>
        <tr r="Y171" s="1"/>
        <tr r="Y171" s="1"/>
      </tp>
      <tp t="s">
        <v>#N/A Requesting Data...3700922019</v>
        <stp/>
        <stp>BDP|8026636372807375460</stp>
        <tr r="AC1248" s="1"/>
      </tp>
      <tp t="s">
        <v>#N/A Requesting Data...3735572206</v>
        <stp/>
        <stp>BDP|6361600081972076062</stp>
        <tr r="AA719" s="1"/>
        <tr r="AA719" s="1"/>
      </tp>
      <tp t="s">
        <v>#N/A Requesting Data...2900581775</v>
        <stp/>
        <stp>BDP|8285120714612913095</stp>
        <tr r="AA1128" s="1"/>
        <tr r="AA1128" s="1"/>
      </tp>
      <tp t="s">
        <v>#N/A Requesting Data...3761030988</v>
        <stp/>
        <stp>BDP|9409982390944021783</stp>
        <tr r="AA797" s="1"/>
        <tr r="AA797" s="1"/>
      </tp>
      <tp t="s">
        <v>#N/A Requesting Data...2955119799</v>
        <stp/>
        <stp>BDP|6876482483958383849</stp>
        <tr r="AC1181" s="1"/>
        <tr r="AC1181" s="1"/>
      </tp>
      <tp t="s">
        <v>#N/A Requesting Data...4204981228</v>
        <stp/>
        <stp>BDP|6916283984144494256</stp>
        <tr r="Z612" s="1"/>
        <tr r="Z612" s="1"/>
      </tp>
      <tp t="s">
        <v>#N/A Requesting Data...3079137951</v>
        <stp/>
        <stp>BDP|4502609191759783879</stp>
        <tr r="AC1106" s="1"/>
        <tr r="AC1106" s="1"/>
      </tp>
      <tp t="s">
        <v>#N/A Requesting Data...2063027474</v>
        <stp/>
        <stp>BDP|4231816960761298154</stp>
        <tr r="AC826" s="1"/>
        <tr r="AC826" s="1"/>
      </tp>
      <tp t="s">
        <v>#N/A Requesting Data...4215107530</v>
        <stp/>
        <stp>BDP|4918339629157675811</stp>
        <tr r="AB1247" s="1"/>
        <tr r="AB1247" s="1"/>
      </tp>
      <tp t="s">
        <v>#N/A Requesting Data...4179926510</v>
        <stp/>
        <stp>BDP|2714984999588173039</stp>
        <tr r="Y427" s="1"/>
        <tr r="Y427" s="1"/>
      </tp>
      <tp t="s">
        <v>#N/A Requesting Data...3189265412</v>
        <stp/>
        <stp>BDP|7728513076277351878</stp>
        <tr r="AB403" s="1"/>
        <tr r="AB403" s="1"/>
      </tp>
      <tp t="s">
        <v>#N/A Requesting Data...4264923810</v>
        <stp/>
        <stp>BDP|5918782680195035550</stp>
        <tr r="Y1376" s="1"/>
        <tr r="Y1376" s="1"/>
      </tp>
      <tp t="s">
        <v>#N/A Requesting Data...3347151693</v>
        <stp/>
        <stp>BDP|8452681859498776967</stp>
        <tr r="Z818" s="1"/>
        <tr r="Z818" s="1"/>
      </tp>
      <tp t="s">
        <v>#N/A Requesting Data...2866745798</v>
        <stp/>
        <stp>BDP|1320525843219111374</stp>
        <tr r="Y576" s="1"/>
        <tr r="Y576" s="1"/>
      </tp>
      <tp t="s">
        <v>#N/A Requesting Data...3902157579</v>
        <stp/>
        <stp>BDP|1174970962947949399</stp>
        <tr r="AC1530" s="1"/>
        <tr r="AC1530" s="1"/>
      </tp>
      <tp t="s">
        <v>#N/A Requesting Data...3583657215</v>
        <stp/>
        <stp>BDP|5925824754561950324</stp>
        <tr r="AC1581" s="1"/>
        <tr r="AC1581" s="1"/>
      </tp>
      <tp t="s">
        <v>#N/A Requesting Data...2371747889</v>
        <stp/>
        <stp>BDP|7345550940695644944</stp>
        <tr r="Y285" s="1"/>
        <tr r="Y285" s="1"/>
      </tp>
      <tp t="s">
        <v>#N/A Requesting Data...2178038028</v>
        <stp/>
        <stp>BDP|8189196079847465312</stp>
        <tr r="AB1071" s="1"/>
        <tr r="AB1071" s="1"/>
      </tp>
      <tp t="s">
        <v>#N/A Requesting Data...2671203445</v>
        <stp/>
        <stp>BDP|8101208205833739376</stp>
        <tr r="Y819" s="1"/>
        <tr r="Y819" s="1"/>
      </tp>
      <tp t="s">
        <v>#N/A Requesting Data...2247548196</v>
        <stp/>
        <stp>BDP|9474568843946161446</stp>
        <tr r="Z7" s="1"/>
        <tr r="Z7" s="1"/>
      </tp>
      <tp t="s">
        <v>#N/A Requesting Data...2860523031</v>
        <stp/>
        <stp>BDP|5751219630537245914</stp>
        <tr r="Z1055" s="1"/>
        <tr r="Z1055" s="1"/>
      </tp>
      <tp t="s">
        <v>#N/A Requesting Data...3097614817</v>
        <stp/>
        <stp>BDP|2254378905093349864</stp>
        <tr r="AA1443" s="1"/>
        <tr r="AA1443" s="1"/>
      </tp>
      <tp t="s">
        <v>#N/A Requesting Data...2750796370</v>
        <stp/>
        <stp>BDP|4640994118876058020</stp>
        <tr r="Y407" s="1"/>
        <tr r="Y407" s="1"/>
      </tp>
      <tp t="s">
        <v>#N/A Requesting Data...2225487334</v>
        <stp/>
        <stp>BDP|2569541856178781052</stp>
        <tr r="AA889" s="1"/>
        <tr r="AA889" s="1"/>
      </tp>
      <tp t="s">
        <v>#N/A Requesting Data...2752191423</v>
        <stp/>
        <stp>BDP|7165557510151391826</stp>
        <tr r="AC1596" s="1"/>
        <tr r="AC1596" s="1"/>
      </tp>
      <tp t="s">
        <v>#N/A Requesting Data...3157795210</v>
        <stp/>
        <stp>BDP|3436302520049069118</stp>
        <tr r="Z1549" s="1"/>
        <tr r="Z1549" s="1"/>
      </tp>
      <tp t="s">
        <v>#N/A Requesting Data...2991173991</v>
        <stp/>
        <stp>BDP|3494929835917376451</stp>
        <tr r="Y607" s="1"/>
        <tr r="Y607" s="1"/>
      </tp>
      <tp t="s">
        <v>#N/A Requesting Data...4199885975</v>
        <stp/>
        <stp>BDP|3670689331778226485</stp>
        <tr r="AB959" s="1"/>
        <tr r="AB959" s="1"/>
      </tp>
      <tp t="s">
        <v>#N/A Requesting Data...2502463263</v>
        <stp/>
        <stp>BDP|9199827015028648254</stp>
        <tr r="Z506" s="1"/>
        <tr r="Z506" s="1"/>
      </tp>
      <tp t="s">
        <v>#N/A Requesting Data...3197535762</v>
        <stp/>
        <stp>BDP|3782184675907835877</stp>
        <tr r="Z705" s="1"/>
        <tr r="Z705" s="1"/>
      </tp>
      <tp t="s">
        <v>#N/A Requesting Data...2488974235</v>
        <stp/>
        <stp>BDP|8532124834224709414</stp>
        <tr r="AB19" s="1"/>
        <tr r="AB19" s="1"/>
      </tp>
      <tp t="s">
        <v>#N/A Requesting Data...2373877668</v>
        <stp/>
        <stp>BDP|9236583839404168172</stp>
        <tr r="AC436" s="1"/>
        <tr r="AC436" s="1"/>
      </tp>
      <tp t="s">
        <v>#N/A Requesting Data...3623568392</v>
        <stp/>
        <stp>BDP|8213596561074605594</stp>
        <tr r="AC352" s="1"/>
        <tr r="AC352" s="1"/>
      </tp>
      <tp t="s">
        <v>#N/A Requesting Data...4117242677</v>
        <stp/>
        <stp>BDP|4117366828298823724</stp>
        <tr r="AB867" s="1"/>
        <tr r="AB867" s="1"/>
      </tp>
      <tp t="s">
        <v>#N/A Requesting Data...3547283384</v>
        <stp/>
        <stp>BDP|3730825905924494513</stp>
        <tr r="Z1530" s="1"/>
        <tr r="Z1530" s="1"/>
      </tp>
      <tp t="s">
        <v>#N/A Requesting Data...3651442549</v>
        <stp/>
        <stp>BDP|3152865953511841595</stp>
        <tr r="Y1578" s="1"/>
        <tr r="Y1578" s="1"/>
      </tp>
      <tp t="s">
        <v>#N/A Requesting Data...4070426857</v>
        <stp/>
        <stp>BDP|7934261666408477186</stp>
        <tr r="AA625" s="1"/>
        <tr r="AA625" s="1"/>
      </tp>
      <tp t="s">
        <v>#N/A Requesting Data...3978556835</v>
        <stp/>
        <stp>BDP|4367666831393657871</stp>
        <tr r="AA1072" s="1"/>
        <tr r="AA1072" s="1"/>
      </tp>
      <tp t="s">
        <v>#N/A Requesting Data...3954233341</v>
        <stp/>
        <stp>BDP|5398487387875974607</stp>
        <tr r="AC8" s="1"/>
        <tr r="AC8" s="1"/>
      </tp>
      <tp>
        <v>2.2599999999999998</v>
        <stp/>
        <stp>BDP|1934750088649741486|22</stp>
        <stp>BDTX US Equity</stp>
        <stp>LAST_PRICE</stp>
        <tr r="AD290" s="1"/>
        <tr r="AD290" s="1"/>
      </tp>
      <tp>
        <v>2.9499999999999998E-2</v>
        <stp/>
        <stp>BDP|3145835167088699744|22</stp>
        <stp>ADXS US Equity</stp>
        <stp>LAST_PRICE</stp>
        <tr r="AD223" s="1"/>
        <tr r="AD223" s="1"/>
      </tp>
      <tp>
        <v>3.03</v>
        <stp/>
        <stp>BDP|8361495162631150024|22</stp>
        <stp>CATX US Equity</stp>
        <stp>LAST_PRICE</stp>
        <tr r="AD1151" s="1"/>
        <tr r="AD1151" s="1"/>
      </tp>
      <tp>
        <v>1.28</v>
        <stp/>
        <stp>BDP|3681349906681091730|22</stp>
        <stp>PYXS US Equity</stp>
        <stp>LAST_PRICE</stp>
        <tr r="AD1223" s="1"/>
        <tr r="AD1223" s="1"/>
      </tp>
      <tp>
        <v>9.9999999999999995E-7</v>
        <stp/>
        <stp>BDP|7535602193350896773|22</stp>
        <stp>KOVR US Equity</stp>
        <stp>LAST_PRICE</stp>
        <tr r="AD847" s="1"/>
        <tr r="AD847" s="1"/>
      </tp>
      <tp>
        <v>7.18</v>
        <stp/>
        <stp>BDP|9261613836639823763|22</stp>
        <stp>DWTX US Equity</stp>
        <stp>LAST_PRICE</stp>
        <tr r="AD514" s="1"/>
        <tr r="AD514" s="1"/>
      </tp>
      <tp>
        <v>1E-4</v>
        <stp/>
        <stp>BDP|1040623243795393786|22</stp>
        <stp>NOUV US Equity</stp>
        <stp>LAST_PRICE</stp>
        <tr r="AD1050" s="1"/>
        <tr r="AD1050" s="1"/>
      </tp>
      <tp>
        <v>10.63</v>
        <stp/>
        <stp>BDP|4559346805661715850|22</stp>
        <stp>MLYS US Equity</stp>
        <stp>LAST_PRICE</stp>
        <tr r="AD959" s="1"/>
        <tr r="AD959" s="1"/>
      </tp>
      <tp>
        <v>9.1200000000000003E-2</v>
        <stp/>
        <stp>BDP|3390380683704208512|22</stp>
        <stp>ADTX US Equity</stp>
        <stp>LAST_PRICE</stp>
        <tr r="AD53" s="1"/>
        <tr r="AD53" s="1"/>
      </tp>
      <tp>
        <v>2.5299999999999998</v>
        <stp/>
        <stp>BDP|8222925934602945073|22</stp>
        <stp>CBUS US Equity</stp>
        <stp>LAST_PRICE</stp>
        <tr r="AD401" s="1"/>
        <tr r="AD401" s="1"/>
      </tp>
      <tp>
        <v>13.79</v>
        <stp/>
        <stp>BDP|7340951800289827211|22</stp>
        <stp>REPL US Equity</stp>
        <stp>LAST_PRICE</stp>
        <tr r="AD1272" s="1"/>
        <tr r="AD1272" s="1"/>
      </tp>
      <tp>
        <v>0.101475</v>
        <stp/>
        <stp>BDP|3473675348370562915|22</stp>
        <stp>BSPK US Equity</stp>
        <stp>LAST_PRICE</stp>
        <tr r="AD241" s="1"/>
        <tr r="AD241" s="1"/>
      </tp>
      <tp>
        <v>0.45</v>
        <stp/>
        <stp>BDP|8362790182211473529|22</stp>
        <stp>MTLC CN Equity</stp>
        <stp>LAST_PRICE</stp>
        <tr r="AD982" s="1"/>
        <tr r="AD982" s="1"/>
      </tp>
      <tp>
        <v>0.15</v>
        <stp/>
        <stp>BDP|1559212610024199905|22</stp>
        <stp>ENZN US Equity</stp>
        <stp>LAST_PRICE</stp>
        <tr r="AD573" s="1"/>
        <tr r="AD573" s="1"/>
      </tp>
      <tp>
        <v>2.4250000000000001E-3</v>
        <stp/>
        <stp>BDP|9070952303007772783|22</stp>
        <stp>UNVC US Equity</stp>
        <stp>LAST_PRICE</stp>
        <tr r="AD1508" s="1"/>
        <tr r="AD1508" s="1"/>
      </tp>
      <tp>
        <v>0.42009999999999997</v>
        <stp/>
        <stp>BDP|9342174310785953440|22</stp>
        <stp>ABVC US Equity</stp>
        <stp>LAST_PRICE</stp>
        <tr r="AD20" s="1"/>
        <tr r="AD20" s="1"/>
      </tp>
      <tp>
        <v>3.16</v>
        <stp/>
        <stp>BDP|18050292159110528986|22</stp>
        <stp>NXL US Equity</stp>
        <stp>LAST_PRICE</stp>
        <tr r="AD1038" s="1"/>
        <tr r="AD1038" s="1"/>
      </tp>
      <tp>
        <v>12</v>
        <stp/>
        <stp>BDP|12947523027802921176|22</stp>
        <stp>TXG US Equity</stp>
        <stp>LAST_PRICE</stp>
        <tr r="AD4" s="1"/>
        <tr r="AD4" s="1"/>
      </tp>
      <tp>
        <v>0.315</v>
        <stp/>
        <stp>BDP|18249461565292754410|22</stp>
        <stp>SOL CN Equity</stp>
        <stp>LAST_PRICE</stp>
        <tr r="AD1364" s="1"/>
        <tr r="AD1364" s="1"/>
      </tp>
      <tp>
        <v>0.41560000000000002</v>
        <stp/>
        <stp>BDP|11077356960785476903|22</stp>
        <stp>CVM US Equity</stp>
        <stp>LAST_PRICE</stp>
        <tr r="AD370" s="1"/>
        <tr r="AD370" s="1"/>
      </tp>
      <tp t="s">
        <v>#N/A Requesting Data...2377665240</v>
        <stp/>
        <stp>BDP|8930770002686057268</stp>
        <tr r="AB1243" s="1"/>
        <tr r="AB1243" s="1"/>
      </tp>
      <tp t="s">
        <v>#N/A Requesting Data...3135358815</v>
        <stp/>
        <stp>BDP|9857753071327581530</stp>
        <tr r="AA160" s="1"/>
        <tr r="AA160" s="1"/>
      </tp>
      <tp t="s">
        <v>#N/A Requesting Data...3995600957</v>
        <stp/>
        <stp>BDP|4734789481576547616</stp>
        <tr r="AB1505" s="1"/>
        <tr r="AB1505" s="1"/>
      </tp>
      <tp t="s">
        <v>#N/A Requesting Data...2294258773</v>
        <stp/>
        <stp>BDP|8924369744045666170</stp>
        <tr r="AC1482" s="1"/>
        <tr r="AC1482" s="1"/>
      </tp>
      <tp t="s">
        <v>#N/A Requesting Data...3149288252</v>
        <stp/>
        <stp>BDP|4914225644809009050</stp>
        <tr r="AA474" s="1"/>
        <tr r="AA474" s="1"/>
      </tp>
      <tp t="s">
        <v>#N/A Requesting Data...3085552631</v>
        <stp/>
        <stp>BDP|9397958489016433510</stp>
        <tr r="Y552" s="1"/>
        <tr r="Y552" s="1"/>
      </tp>
      <tp t="s">
        <v>#N/A Requesting Data...2182972794</v>
        <stp/>
        <stp>BDP|9088436881096036888</stp>
        <tr r="AB468" s="1"/>
        <tr r="AB468" s="1"/>
      </tp>
      <tp t="s">
        <v>#N/A Requesting Data...2261306366</v>
        <stp/>
        <stp>BDP|4462909664281906124</stp>
        <tr r="Z400" s="1"/>
        <tr r="Z400" s="1"/>
      </tp>
      <tp t="s">
        <v>#N/A Requesting Data...2054959084</v>
        <stp/>
        <stp>BDP|6565165782611391594</stp>
        <tr r="AB599" s="1"/>
        <tr r="AB599" s="1"/>
      </tp>
      <tp t="s">
        <v>#N/A Requesting Data...3379122070</v>
        <stp/>
        <stp>BDP|1271789753779133130</stp>
        <tr r="AB1193" s="1"/>
        <tr r="AB1193" s="1"/>
      </tp>
      <tp t="s">
        <v>#N/A Requesting Data...2246420514</v>
        <stp/>
        <stp>BDP|7996366836645265905</stp>
        <tr r="Y1287" s="1"/>
        <tr r="Y1287" s="1"/>
      </tp>
      <tp t="s">
        <v>#N/A Requesting Data...2162883540</v>
        <stp/>
        <stp>BDP|8348982989771988307</stp>
        <tr r="Y701" s="1"/>
        <tr r="Y701" s="1"/>
      </tp>
      <tp t="s">
        <v>#N/A Requesting Data...3218093082</v>
        <stp/>
        <stp>BDP|1878776784455857081</stp>
        <tr r="AC1478" s="1"/>
        <tr r="AC1478" s="1"/>
      </tp>
      <tp t="s">
        <v>#N/A Requesting Data...3217691732</v>
        <stp/>
        <stp>BDP|9295799360540343331</stp>
        <tr r="AA246" s="1"/>
        <tr r="AA246" s="1"/>
      </tp>
      <tp t="s">
        <v>#N/A Requesting Data...2752516370</v>
        <stp/>
        <stp>BDP|2755307260074946855</stp>
        <tr r="Z259" s="1"/>
        <tr r="Z259" s="1"/>
      </tp>
      <tp t="s">
        <v>#N/A Requesting Data...4150277578</v>
        <stp/>
        <stp>BDP|9900703710147721352</stp>
        <tr r="Z854" s="1"/>
        <tr r="Z854" s="1"/>
      </tp>
      <tp t="s">
        <v>#N/A Requesting Data...2327590578</v>
        <stp/>
        <stp>BDP|9786773747281526099</stp>
        <tr r="AB1379" s="1"/>
        <tr r="AB1379" s="1"/>
      </tp>
      <tp t="s">
        <v>#N/A Requesting Data...3826510988</v>
        <stp/>
        <stp>BDP|4661635785451938026</stp>
        <tr r="Z639" s="1"/>
        <tr r="Z639" s="1"/>
      </tp>
      <tp t="s">
        <v>#N/A Requesting Data...2982806409</v>
        <stp/>
        <stp>BDP|5400996496336143814</stp>
        <tr r="Z165" s="1"/>
        <tr r="Z165" s="1"/>
      </tp>
      <tp t="s">
        <v>#N/A Requesting Data...3497033946</v>
        <stp/>
        <stp>BDP|9401365047075700091</stp>
        <tr r="Y1243" s="1"/>
        <tr r="Y1243" s="1"/>
      </tp>
      <tp t="s">
        <v>#N/A Requesting Data...2911971493</v>
        <stp/>
        <stp>BDP|4378596092645440677</stp>
        <tr r="Z1325" s="1"/>
        <tr r="Z1325" s="1"/>
      </tp>
      <tp t="s">
        <v>#N/A Requesting Data...3141669681</v>
        <stp/>
        <stp>BDP|6694736126081808936</stp>
        <tr r="Z1500" s="1"/>
        <tr r="Z1500" s="1"/>
      </tp>
      <tp t="s">
        <v>#N/A Requesting Data...3615122105</v>
        <stp/>
        <stp>BDP|8588354865413987548</stp>
        <tr r="Z208" s="1"/>
        <tr r="Z208" s="1"/>
      </tp>
      <tp t="s">
        <v>#N/A Requesting Data...3213465170</v>
        <stp/>
        <stp>BDP|3604879256410705585</stp>
        <tr r="AA60" s="1"/>
        <tr r="AA60" s="1"/>
      </tp>
      <tp t="s">
        <v>#N/A Requesting Data...3186585833</v>
        <stp/>
        <stp>BDP|8885406871541657175</stp>
        <tr r="Z714" s="1"/>
        <tr r="Z714" s="1"/>
      </tp>
      <tp t="s">
        <v>#N/A Requesting Data...2869872946</v>
        <stp/>
        <stp>BDP|4048582386374116679</stp>
        <tr r="Y1282" s="1"/>
        <tr r="Y1282" s="1"/>
      </tp>
      <tp t="s">
        <v>#N/A Requesting Data...3044467317</v>
        <stp/>
        <stp>BDP|9830620590134540978</stp>
        <tr r="AA212" s="1"/>
        <tr r="AA212" s="1"/>
      </tp>
      <tp t="s">
        <v>#N/A Requesting Data...2586740848</v>
        <stp/>
        <stp>BDP|3395623897016850161</stp>
        <tr r="Y1205" s="1"/>
        <tr r="Y1205" s="1"/>
      </tp>
      <tp t="s">
        <v>#N/A Requesting Data...2912544250</v>
        <stp/>
        <stp>BDP|9333990477168095458</stp>
        <tr r="AC156" s="1"/>
        <tr r="AC156" s="1"/>
      </tp>
      <tp t="s">
        <v>#N/A Requesting Data...2591277022</v>
        <stp/>
        <stp>BDP|1512591806609615645</stp>
        <tr r="AC254" s="1"/>
        <tr r="AC254" s="1"/>
      </tp>
      <tp t="s">
        <v>#N/A Requesting Data...4155714693</v>
        <stp/>
        <stp>BDP|4484801476851367193</stp>
        <tr r="Z1611" s="1"/>
        <tr r="Z1611" s="1"/>
      </tp>
      <tp t="s">
        <v>#N/A Requesting Data...3431068399</v>
        <stp/>
        <stp>BDP|6363131978268943397</stp>
        <tr r="AA1321" s="1"/>
        <tr r="AA1321" s="1"/>
      </tp>
      <tp>
        <v>114.51</v>
        <stp/>
        <stp>BDP|13012719575389510599|22</stp>
        <stp>HQY US Equity</stp>
        <stp>LAST_PRICE</stp>
        <tr r="AD681" s="1"/>
        <tr r="AD681" s="1"/>
      </tp>
      <tp t="s">
        <v>#N/A Requesting Data...2818083767</v>
        <stp/>
        <stp>BDP|8977656203663798617</stp>
        <tr r="Y1467" s="1"/>
        <tr r="Y1467" s="1"/>
      </tp>
      <tp t="s">
        <v>#N/A Requesting Data...3499431191</v>
        <stp/>
        <stp>BDP|3086954618251310177</stp>
        <tr r="AC1612" s="1"/>
        <tr r="AC1612" s="1"/>
      </tp>
      <tp t="s">
        <v>#N/A Requesting Data...3330309127</v>
        <stp/>
        <stp>BDP|7501713479438496406</stp>
        <tr r="AA910" s="1"/>
        <tr r="AA910" s="1"/>
      </tp>
      <tp t="s">
        <v>#N/A Requesting Data...3824989605</v>
        <stp/>
        <stp>BDP|4529898884669694678</stp>
        <tr r="Y1178" s="1"/>
        <tr r="Y1178" s="1"/>
      </tp>
      <tp t="s">
        <v>#N/A Requesting Data...4130608805</v>
        <stp/>
        <stp>BDP|9970302909148077992</stp>
        <tr r="AA1292" s="1"/>
        <tr r="AA1292" s="1"/>
      </tp>
      <tp t="s">
        <v>#N/A Requesting Data...2201837378</v>
        <stp/>
        <stp>BDP|5419064752799025290</stp>
        <tr r="Y355" s="1"/>
      </tp>
      <tp t="s">
        <v>#N/A Requesting Data...2372967314</v>
        <stp/>
        <stp>BDP|5878744195876566659</stp>
        <tr r="AA316" s="1"/>
        <tr r="AA316" s="1"/>
      </tp>
      <tp t="s">
        <v>#N/A Requesting Data...4045098327</v>
        <stp/>
        <stp>BDP|9337390437127279561</stp>
        <tr r="AB346" s="1"/>
        <tr r="AB346" s="1"/>
      </tp>
      <tp t="s">
        <v>#N/A Requesting Data...2643646574</v>
        <stp/>
        <stp>BDP|9811551745430372324</stp>
        <tr r="AB262" s="1"/>
        <tr r="AB262" s="1"/>
      </tp>
      <tp t="s">
        <v>#N/A Requesting Data...2131403623</v>
        <stp/>
        <stp>BDP|7189629918613249804</stp>
        <tr r="AC1486" s="1"/>
        <tr r="AC1486" s="1"/>
      </tp>
      <tp t="s">
        <v>#N/A Requesting Data...4050057369</v>
        <stp/>
        <stp>BDP|9220272487978268099</stp>
        <tr r="AC605" s="1"/>
        <tr r="AC605" s="1"/>
      </tp>
      <tp t="s">
        <v>#N/A Requesting Data...3927987167</v>
        <stp/>
        <stp>BDP|9622858995857815475</stp>
        <tr r="AB1216" s="1"/>
        <tr r="AB1216" s="1"/>
      </tp>
      <tp t="s">
        <v>#N/A Requesting Data...2586992962</v>
        <stp/>
        <stp>BDP|1451571850862500886</stp>
        <tr r="Z657" s="1"/>
        <tr r="Z657" s="1"/>
      </tp>
      <tp t="s">
        <v>#N/A Requesting Data...2287688730</v>
        <stp/>
        <stp>BDP|8590137890002059987</stp>
        <tr r="AC1510" s="1"/>
        <tr r="AC1510" s="1"/>
      </tp>
      <tp t="s">
        <v>#N/A Requesting Data...4175128778</v>
        <stp/>
        <stp>BDP|4546797642104087805</stp>
        <tr r="AC1392" s="1"/>
        <tr r="AC1392" s="1"/>
      </tp>
      <tp t="s">
        <v>#N/A Requesting Data...3795186486</v>
        <stp/>
        <stp>BDP|9591473932716954377</stp>
        <tr r="AA144" s="1"/>
        <tr r="AA144" s="1"/>
      </tp>
      <tp t="s">
        <v>#N/A Requesting Data...2206015460</v>
        <stp/>
        <stp>BDP|1838339421892481904</stp>
        <tr r="AB279" s="1"/>
        <tr r="AB279" s="1"/>
      </tp>
      <tp t="s">
        <v>#N/A Requesting Data...2086281548</v>
        <stp/>
        <stp>BDP|7654906417694874071</stp>
        <tr r="Y989" s="1"/>
      </tp>
      <tp t="s">
        <v>#N/A Requesting Data...2397198873</v>
        <stp/>
        <stp>BDP|5433642359918182564</stp>
        <tr r="AC631" s="1"/>
        <tr r="AC631" s="1"/>
      </tp>
      <tp t="s">
        <v>#N/A Requesting Data...2197857481</v>
        <stp/>
        <stp>BDP|4921369457900028964</stp>
        <tr r="AC1518" s="1"/>
        <tr r="AC1518" s="1"/>
      </tp>
      <tp t="s">
        <v>#N/A Requesting Data...2534419373</v>
        <stp/>
        <stp>BDP|9374991077165160926</stp>
        <tr r="Z805" s="1"/>
        <tr r="Z805" s="1"/>
      </tp>
      <tp t="s">
        <v>#N/A Requesting Data...4014566199</v>
        <stp/>
        <stp>BDP|2243511981480918457</stp>
        <tr r="AA1270" s="1"/>
        <tr r="AA1270" s="1"/>
      </tp>
      <tp>
        <v>0.215</v>
        <stp/>
        <stp>BDP|17876860201677933459|22</stp>
        <stp>IOT CN Equity</stp>
        <stp>LAST_PRICE</stp>
        <tr r="AD764" s="1"/>
        <tr r="AD764" s="1"/>
      </tp>
      <tp t="s">
        <v>#N/A Requesting Data...2634754556</v>
        <stp/>
        <stp>BDP|9655243222807655591</stp>
        <tr r="Z683" s="1"/>
        <tr r="Z683" s="1"/>
      </tp>
      <tp t="s">
        <v>#N/A Requesting Data...3953997549</v>
        <stp/>
        <stp>BDP|9842156718682391091</stp>
        <tr r="AC299" s="1"/>
      </tp>
      <tp t="s">
        <v>#N/A Requesting Data...3210461320</v>
        <stp/>
        <stp>BDP|9884956172259409543</stp>
        <tr r="Z1121" s="1"/>
        <tr r="Z1121" s="1"/>
      </tp>
      <tp t="s">
        <v>#N/A Requesting Data...3644542999</v>
        <stp/>
        <stp>BDP|5361794134073348928</stp>
        <tr r="AB1041" s="1"/>
        <tr r="AB1041" s="1"/>
      </tp>
      <tp t="s">
        <v>#N/A Requesting Data...3075693131</v>
        <stp/>
        <stp>BDP|1212442218609316627</stp>
        <tr r="AC509" s="1"/>
        <tr r="AC509" s="1"/>
      </tp>
      <tp t="s">
        <v>#N/A Requesting Data...2172738198</v>
        <stp/>
        <stp>BDP|8096318198389659004</stp>
        <tr r="Y563" s="1"/>
        <tr r="Y563" s="1"/>
      </tp>
      <tp t="s">
        <v>#N/A Requesting Data...2796212496</v>
        <stp/>
        <stp>BDP|7943827326503057520</stp>
        <tr r="AB1233" s="1"/>
        <tr r="AB1233" s="1"/>
      </tp>
      <tp t="s">
        <v>#N/A Requesting Data...2819910227</v>
        <stp/>
        <stp>BDP|2615983928621140383</stp>
        <tr r="AA102" s="1"/>
        <tr r="AA102" s="1"/>
      </tp>
      <tp t="s">
        <v>#N/A Requesting Data...4275699326</v>
        <stp/>
        <stp>BDP|8464743318102772701</stp>
        <tr r="Z1189" s="1"/>
        <tr r="Z1189" s="1"/>
      </tp>
      <tp t="s">
        <v>#N/A Requesting Data...4135249814</v>
        <stp/>
        <stp>BDP|2340880606498540971</stp>
        <tr r="AC359" s="1"/>
        <tr r="AC359" s="1"/>
      </tp>
      <tp t="s">
        <v>#N/A Requesting Data...3791939209</v>
        <stp/>
        <stp>BDP|1714033439298262102</stp>
        <tr r="Y690" s="1"/>
        <tr r="Y690" s="1"/>
      </tp>
      <tp t="s">
        <v>#N/A Requesting Data...3676378006</v>
        <stp/>
        <stp>BDP|9595450338840723505</stp>
        <tr r="AA1167" s="1"/>
        <tr r="AA1167" s="1"/>
      </tp>
      <tp t="s">
        <v>#N/A Requesting Data...2437134533</v>
        <stp/>
        <stp>BDP|5214770858669099528</stp>
        <tr r="AB394" s="1"/>
        <tr r="AB394" s="1"/>
      </tp>
      <tp t="s">
        <v>#N/A Requesting Data...3092102922</v>
        <stp/>
        <stp>BDP|8520466149247485426</stp>
        <tr r="AA977" s="1"/>
        <tr r="AA977" s="1"/>
      </tp>
      <tp t="s">
        <v>#N/A Requesting Data...2316174549</v>
        <stp/>
        <stp>BDP|5364879312767300090</stp>
        <tr r="Y1362" s="1"/>
        <tr r="Y1362" s="1"/>
      </tp>
      <tp t="s">
        <v>#N/A Requesting Data...3534394627</v>
        <stp/>
        <stp>BDP|1200449199814084334</stp>
        <tr r="Z1556" s="1"/>
        <tr r="Z1556" s="1"/>
      </tp>
      <tp t="s">
        <v>#N/A Requesting Data...2949656321</v>
        <stp/>
        <stp>BDP|2607170237943906834</stp>
        <tr r="AB1438" s="1"/>
        <tr r="AB1438" s="1"/>
      </tp>
      <tp t="s">
        <v>#N/A Requesting Data...2086714069</v>
        <stp/>
        <stp>BDP|5571145766081243899</stp>
        <tr r="AA762" s="1"/>
        <tr r="AA762" s="1"/>
      </tp>
      <tp t="s">
        <v>#N/A Requesting Data...4101010665</v>
        <stp/>
        <stp>BDP|3345063683800201081</stp>
        <tr r="AC266" s="1"/>
        <tr r="AC266" s="1"/>
      </tp>
      <tp t="s">
        <v>#N/A Requesting Data...2244131965</v>
        <stp/>
        <stp>BDP|8490544030956811345</stp>
        <tr r="AB259" s="1"/>
        <tr r="AB259" s="1"/>
      </tp>
      <tp t="s">
        <v>#N/A Requesting Data...3241973502</v>
        <stp/>
        <stp>BDP|6051735937129873004</stp>
        <tr r="AB1100" s="1"/>
        <tr r="AB1100" s="1"/>
      </tp>
      <tp t="s">
        <v>#N/A Requesting Data...2328927461</v>
        <stp/>
        <stp>BDP|3104006399244099548</stp>
        <tr r="AA772" s="1"/>
        <tr r="AA772" s="1"/>
      </tp>
      <tp t="s">
        <v>#N/A Requesting Data...2111199746</v>
        <stp/>
        <stp>BDP|5357688390367399642</stp>
        <tr r="Y1284" s="1"/>
        <tr r="Y1284" s="1"/>
      </tp>
      <tp t="s">
        <v>#N/A Requesting Data...4239201661</v>
        <stp/>
        <stp>BDP|7249194083290013547</stp>
        <tr r="AC575" s="1"/>
        <tr r="AC575" s="1"/>
      </tp>
      <tp t="s">
        <v>#N/A Requesting Data...2654737515</v>
        <stp/>
        <stp>BDP|2277887552396155252</stp>
        <tr r="Y231" s="1"/>
        <tr r="Y231" s="1"/>
      </tp>
      <tp t="s">
        <v>#N/A Requesting Data...3913376868</v>
        <stp/>
        <stp>BDP|9822117509956999551</stp>
        <tr r="AC1592" s="1"/>
        <tr r="AC1592" s="1"/>
      </tp>
      <tp t="s">
        <v>#N/A Requesting Data...4069946541</v>
        <stp/>
        <stp>BDP|5996173095331052764</stp>
        <tr r="Z723" s="1"/>
        <tr r="Z723" s="1"/>
      </tp>
      <tp t="s">
        <v>#N/A Requesting Data...4140204272</v>
        <stp/>
        <stp>BDP|3590054798739544804</stp>
        <tr r="AC656" s="1"/>
        <tr r="AC656" s="1"/>
      </tp>
      <tp t="s">
        <v>#N/A Requesting Data...2972159381</v>
        <stp/>
        <stp>BDP|9686688310323684651</stp>
        <tr r="AA844" s="1"/>
        <tr r="AA844" s="1"/>
      </tp>
      <tp t="s">
        <v>#N/A Requesting Data...4013344914</v>
        <stp/>
        <stp>BDP|3607754355129987323</stp>
        <tr r="Z979" s="1"/>
        <tr r="Z979" s="1"/>
      </tp>
      <tp t="s">
        <v>#N/A Requesting Data...3568318674</v>
        <stp/>
        <stp>BDP|2946940974030141751</stp>
        <tr r="Y582" s="1"/>
        <tr r="Y582" s="1"/>
      </tp>
      <tp t="s">
        <v>#N/A Requesting Data...4251426889</v>
        <stp/>
        <stp>BDP|7996927480149384457</stp>
        <tr r="AC727" s="1"/>
      </tp>
      <tp t="s">
        <v>#N/A Requesting Data...4183066853</v>
        <stp/>
        <stp>BDP|5210982463688579911</stp>
        <tr r="AA898" s="1"/>
        <tr r="AA898" s="1"/>
      </tp>
      <tp t="s">
        <v>#N/A Requesting Data...2325389887</v>
        <stp/>
        <stp>BDP|6245701759196639905</stp>
        <tr r="Z759" s="1"/>
      </tp>
      <tp t="s">
        <v>#N/A Requesting Data...3216141172</v>
        <stp/>
        <stp>BDP|3707789689504298391</stp>
        <tr r="AA755" s="1"/>
        <tr r="AA755" s="1"/>
      </tp>
      <tp t="s">
        <v>#N/A Requesting Data...4228117294</v>
        <stp/>
        <stp>BDP|9963223603156213672</stp>
        <tr r="AC1415" s="1"/>
        <tr r="AC1415" s="1"/>
      </tp>
      <tp t="s">
        <v>#N/A Requesting Data...2302854407</v>
        <stp/>
        <stp>BDP|9951588152485800790</stp>
        <tr r="AA924" s="1"/>
        <tr r="AA924" s="1"/>
      </tp>
      <tp t="s">
        <v>#N/A Requesting Data...2749849749</v>
        <stp/>
        <stp>BDP|2094898254135690191</stp>
        <tr r="AC888" s="1"/>
        <tr r="AC888" s="1"/>
      </tp>
      <tp t="s">
        <v>#N/A Requesting Data...3753713713</v>
        <stp/>
        <stp>BDP|4689224010738554435</stp>
        <tr r="AC57" s="1"/>
        <tr r="AC57" s="1"/>
      </tp>
      <tp t="s">
        <v>#N/A Requesting Data...2840191918</v>
        <stp/>
        <stp>BDP|4464940910264686346</stp>
        <tr r="AC678" s="1"/>
        <tr r="AC678" s="1"/>
      </tp>
      <tp t="s">
        <v>#N/A Requesting Data...4198707318</v>
        <stp/>
        <stp>BDP|5154989942601120282</stp>
        <tr r="Y976" s="1"/>
        <tr r="Y976" s="1"/>
      </tp>
      <tp t="s">
        <v>#N/A Requesting Data...2967339242</v>
        <stp/>
        <stp>BDP|8428193717437016489</stp>
        <tr r="AC547" s="1"/>
        <tr r="AC547" s="1"/>
      </tp>
      <tp t="s">
        <v>#N/A Requesting Data...3722365042</v>
        <stp/>
        <stp>BDP|4948448045779925636</stp>
        <tr r="AC105" s="1"/>
        <tr r="AC105" s="1"/>
      </tp>
      <tp t="s">
        <v>#N/A Requesting Data...2281650556</v>
        <stp/>
        <stp>BDP|4278826350855235705</stp>
        <tr r="AB163" s="1"/>
        <tr r="AB163" s="1"/>
      </tp>
      <tp t="s">
        <v>#N/A Requesting Data...3615264967</v>
        <stp/>
        <stp>BDP|2705098847868383589</stp>
        <tr r="AA51" s="1"/>
        <tr r="AA51" s="1"/>
      </tp>
      <tp t="s">
        <v>#N/A Requesting Data...4021950373</v>
        <stp/>
        <stp>BDP|7806537028642699979</stp>
        <tr r="Z173" s="1"/>
        <tr r="Z173" s="1"/>
      </tp>
      <tp t="s">
        <v>#N/A Requesting Data...3753250790</v>
        <stp/>
        <stp>BDP|9528414812233052442</stp>
        <tr r="Y147" s="1"/>
        <tr r="Y147" s="1"/>
      </tp>
      <tp t="s">
        <v>#N/A Requesting Data...2635736071</v>
        <stp/>
        <stp>BDP|2420700855123380808</stp>
        <tr r="AB726" s="1"/>
        <tr r="AB726" s="1"/>
      </tp>
      <tp t="s">
        <v>#N/A Requesting Data...2735008439</v>
        <stp/>
        <stp>BDP|8536878918209931318</stp>
        <tr r="AC1361" s="1"/>
        <tr r="AC1361" s="1"/>
      </tp>
      <tp t="s">
        <v>#N/A Requesting Data...2522050882</v>
        <stp/>
        <stp>BDP|2515111993495599408</stp>
        <tr r="AC1337" s="1"/>
      </tp>
      <tp t="s">
        <v>#N/A Requesting Data...2110153967</v>
        <stp/>
        <stp>BDP|5873083197006502100</stp>
        <tr r="Z834" s="1"/>
        <tr r="Z834" s="1"/>
      </tp>
      <tp t="s">
        <v>#N/A Requesting Data...3922183054</v>
        <stp/>
        <stp>BDP|6254966241634595428</stp>
        <tr r="Z863" s="1"/>
        <tr r="Z863" s="1"/>
      </tp>
      <tp>
        <v>5.41</v>
        <stp/>
        <stp>BDP|18068849318726597761|22</stp>
        <stp>BCT CN Equity</stp>
        <stp>LAST_PRICE</stp>
        <tr r="AD302" s="1"/>
        <tr r="AD302" s="1"/>
      </tp>
      <tp t="s">
        <v>#N/A Requesting Data...3205738775</v>
        <stp/>
        <stp>BDP|4205208476079044374</stp>
        <tr r="Y1126" s="1"/>
        <tr r="Y1126" s="1"/>
      </tp>
      <tp t="s">
        <v>#N/A Requesting Data...3581715717</v>
        <stp/>
        <stp>BDP|1246123913092351839</stp>
        <tr r="Z489" s="1"/>
        <tr r="Z489" s="1"/>
      </tp>
      <tp t="s">
        <v>#N/A Requesting Data...3316026586</v>
        <stp/>
        <stp>BDP|4337118895241465604</stp>
        <tr r="AB589" s="1"/>
        <tr r="AB589" s="1"/>
      </tp>
      <tp t="s">
        <v>#N/A Requesting Data...3525593022</v>
        <stp/>
        <stp>BDP|1534720766559641248</stp>
        <tr r="AB277" s="1"/>
        <tr r="AB277" s="1"/>
      </tp>
      <tp t="s">
        <v>#N/A Requesting Data...2355808156</v>
        <stp/>
        <stp>BDP|1855253178846331957</stp>
        <tr r="Y18" s="1"/>
        <tr r="Y18" s="1"/>
      </tp>
      <tp t="s">
        <v>#N/A Requesting Data...4171947542</v>
        <stp/>
        <stp>BDP|6144429289997972609</stp>
        <tr r="AB1288" s="1"/>
        <tr r="AB1288" s="1"/>
      </tp>
      <tp t="s">
        <v>#N/A Requesting Data...3999072805</v>
        <stp/>
        <stp>BDP|4409022355688380230</stp>
        <tr r="AC512" s="1"/>
        <tr r="AC512" s="1"/>
      </tp>
      <tp t="s">
        <v>#N/A Requesting Data...3678587983</v>
        <stp/>
        <stp>BDP|9239717553665681554</stp>
        <tr r="Z1258" s="1"/>
        <tr r="Z1258" s="1"/>
      </tp>
      <tp t="s">
        <v>#N/A Requesting Data...2901465879</v>
        <stp/>
        <stp>BDP|9777580719290374662</stp>
        <tr r="Z1375" s="1"/>
        <tr r="Z1375" s="1"/>
      </tp>
      <tp t="s">
        <v>#N/A Requesting Data...3601081207</v>
        <stp/>
        <stp>BDP|2168023574238223666</stp>
        <tr r="AB1344" s="1"/>
        <tr r="AB1344" s="1"/>
      </tp>
      <tp t="s">
        <v>#N/A Requesting Data...3920861602</v>
        <stp/>
        <stp>BDP|9127559126956965386</stp>
        <tr r="AA127" s="1"/>
        <tr r="AA127" s="1"/>
      </tp>
      <tp t="s">
        <v>#N/A Requesting Data...3843058352</v>
        <stp/>
        <stp>BDP|9634073559335874230</stp>
        <tr r="AC691" s="1"/>
        <tr r="AC691" s="1"/>
      </tp>
      <tp t="s">
        <v>#N/A Requesting Data...3722640949</v>
        <stp/>
        <stp>BDP|4154572895883885083</stp>
        <tr r="AB886" s="1"/>
        <tr r="AB886" s="1"/>
      </tp>
      <tp t="s">
        <v>#N/A Requesting Data...2895354882</v>
        <stp/>
        <stp>BDP|7852897946696702633</stp>
        <tr r="Y115" s="1"/>
        <tr r="Y115" s="1"/>
      </tp>
      <tp t="s">
        <v>#N/A Requesting Data...3811778401</v>
        <stp/>
        <stp>BDP|4715477644198251755</stp>
        <tr r="Z1444" s="1"/>
        <tr r="Z1444" s="1"/>
      </tp>
      <tp t="s">
        <v>#N/A Requesting Data...2641821484</v>
        <stp/>
        <stp>BDP|4533176033865446850</stp>
        <tr r="AA1334" s="1"/>
        <tr r="AA1334" s="1"/>
      </tp>
      <tp t="s">
        <v>#N/A Requesting Data...2527679620</v>
        <stp/>
        <stp>BDP|4146212813504024838</stp>
        <tr r="AB22" s="1"/>
        <tr r="AB22" s="1"/>
      </tp>
      <tp t="s">
        <v>#N/A Requesting Data...2703703299</v>
        <stp/>
        <stp>BDP|3353577592935336152</stp>
        <tr r="AC1374" s="1"/>
        <tr r="AC1374" s="1"/>
      </tp>
      <tp t="s">
        <v>#N/A Requesting Data...2667717537</v>
        <stp/>
        <stp>BDP|9478808163284022875</stp>
        <tr r="Y654" s="1"/>
        <tr r="Y654" s="1"/>
      </tp>
      <tp t="s">
        <v>#N/A Requesting Data...3649358106</v>
        <stp/>
        <stp>BDP|8547818057377541964</stp>
        <tr r="AC320" s="1"/>
        <tr r="AC320" s="1"/>
      </tp>
      <tp t="s">
        <v>#N/A Requesting Data...2255908134</v>
        <stp/>
        <stp>BDP|2157207004609125249</stp>
        <tr r="AC707" s="1"/>
        <tr r="AC707" s="1"/>
      </tp>
      <tp t="s">
        <v>#N/A Requesting Data...3395442833</v>
        <stp/>
        <stp>BDP|7465835923587019146</stp>
        <tr r="Y235" s="1"/>
        <tr r="Y235" s="1"/>
      </tp>
      <tp t="s">
        <v>#N/A Requesting Data...4278297075</v>
        <stp/>
        <stp>BDP|6137837968081314295</stp>
        <tr r="AC1436" s="1"/>
        <tr r="AC1436" s="1"/>
      </tp>
      <tp t="s">
        <v>#N/A Requesting Data...2948949791</v>
        <stp/>
        <stp>BDP|9768779254200184056</stp>
        <tr r="Y361" s="1"/>
        <tr r="Y361" s="1"/>
      </tp>
      <tp t="s">
        <v>#N/A Requesting Data...2142709943</v>
        <stp/>
        <stp>BDP|5600932623540647506</stp>
        <tr r="Z712" s="1"/>
        <tr r="Z712" s="1"/>
      </tp>
      <tp t="s">
        <v>#N/A Requesting Data...3345660846</v>
        <stp/>
        <stp>BDP|9071032134284658516</stp>
        <tr r="Z80" s="1"/>
        <tr r="Z80" s="1"/>
      </tp>
      <tp t="s">
        <v>#N/A Requesting Data...2539340347</v>
        <stp/>
        <stp>BDP|8467771460200290218</stp>
        <tr r="Z1012" s="1"/>
        <tr r="Z1012" s="1"/>
      </tp>
      <tp t="s">
        <v>#N/A Requesting Data...3430848922</v>
        <stp/>
        <stp>BDP|9525657211662331727</stp>
        <tr r="AA1044" s="1"/>
        <tr r="AA1044" s="1"/>
      </tp>
      <tp t="s">
        <v>#N/A Requesting Data...2413592137</v>
        <stp/>
        <stp>BDP|3751965871982963498</stp>
        <tr r="Z1260" s="1"/>
        <tr r="Z1260" s="1"/>
      </tp>
      <tp t="s">
        <v>#N/A Requesting Data...3730525403</v>
        <stp/>
        <stp>BDP|8134221895888647009</stp>
        <tr r="AA49" s="1"/>
        <tr r="AA49" s="1"/>
      </tp>
      <tp t="s">
        <v>#N/A Requesting Data...2688024600</v>
        <stp/>
        <stp>BDP|8394856336981510950</stp>
        <tr r="AB1318" s="1"/>
        <tr r="AB1318" s="1"/>
      </tp>
      <tp t="s">
        <v>#N/A Requesting Data...3950018066</v>
        <stp/>
        <stp>BDP|6444358595501587617</stp>
        <tr r="AC1535" s="1"/>
        <tr r="AC1535" s="1"/>
      </tp>
      <tp t="s">
        <v>#N/A Requesting Data...2723734215</v>
        <stp/>
        <stp>BDP|8635617898215953965</stp>
        <tr r="Z1263" s="1"/>
        <tr r="Z1263" s="1"/>
      </tp>
      <tp t="s">
        <v>#N/A Requesting Data...2535649911</v>
        <stp/>
        <stp>BDP|3375336379979044584</stp>
        <tr r="AC842" s="1"/>
        <tr r="AC842" s="1"/>
      </tp>
      <tp t="s">
        <v>#N/A Requesting Data...2180168967</v>
        <stp/>
        <stp>BDP|6887882677726105475</stp>
        <tr r="AC1434" s="1"/>
        <tr r="AC1434" s="1"/>
      </tp>
      <tp t="s">
        <v>#N/A Requesting Data...3864143182</v>
        <stp/>
        <stp>BDP|1228028951797963890</stp>
        <tr r="Z64" s="1"/>
        <tr r="Z64" s="1"/>
      </tp>
      <tp t="s">
        <v>#N/A Requesting Data...2284446799</v>
        <stp/>
        <stp>BDP|9488240251073070602</stp>
        <tr r="AB722" s="1"/>
        <tr r="AB722" s="1"/>
      </tp>
      <tp t="s">
        <v>#N/A Requesting Data...3381298372</v>
        <stp/>
        <stp>BDP|1864992072103187731</stp>
        <tr r="AA1063" s="1"/>
        <tr r="AA1063" s="1"/>
      </tp>
      <tp t="s">
        <v>#N/A Requesting Data...3101042426</v>
        <stp/>
        <stp>BDP|1013320097203679328</stp>
        <tr r="AC818" s="1"/>
        <tr r="AC818" s="1"/>
      </tp>
      <tp t="s">
        <v>#N/A Requesting Data...2686094798</v>
        <stp/>
        <stp>BDP|2775759654432704904</stp>
        <tr r="Z936" s="1"/>
        <tr r="Z936" s="1"/>
      </tp>
      <tp t="s">
        <v>#N/A Requesting Data...2429364464</v>
        <stp/>
        <stp>BDP|1712917343756172157</stp>
        <tr r="AC864" s="1"/>
        <tr r="AC864" s="1"/>
      </tp>
      <tp t="s">
        <v>#N/A Requesting Data...2318869720</v>
        <stp/>
        <stp>BDP|3963173816378074090</stp>
        <tr r="AB1226" s="1"/>
        <tr r="AB1226" s="1"/>
      </tp>
      <tp t="s">
        <v>#N/A Requesting Data...2334101695</v>
        <stp/>
        <stp>BDP|1340249492143462209</stp>
        <tr r="AC530" s="1"/>
        <tr r="AC530" s="1"/>
      </tp>
      <tp t="s">
        <v>#N/A Requesting Data...4080070407</v>
        <stp/>
        <stp>BDP|4317633193534356416</stp>
        <tr r="Y1363" s="1"/>
        <tr r="Y1363" s="1"/>
      </tp>
      <tp t="s">
        <v>#N/A Requesting Data...3724016772</v>
        <stp/>
        <stp>BDP|3190948224106048502</stp>
        <tr r="AA868" s="1"/>
        <tr r="AA868" s="1"/>
      </tp>
      <tp t="s">
        <v>#N/A Requesting Data...3332797548</v>
        <stp/>
        <stp>BDP|6216482088935715432</stp>
        <tr r="Y247" s="1"/>
        <tr r="Y247" s="1"/>
      </tp>
      <tp t="s">
        <v>#N/A Requesting Data...4215142448</v>
        <stp/>
        <stp>BDP|7919836935273882415</stp>
        <tr r="AA733" s="1"/>
        <tr r="AA733" s="1"/>
      </tp>
      <tp t="s">
        <v>#N/A Requesting Data...3659215061</v>
        <stp/>
        <stp>BDP|3787226885757317550</stp>
        <tr r="AC495" s="1"/>
        <tr r="AC495" s="1"/>
      </tp>
      <tp t="s">
        <v>#N/A Requesting Data...4183237205</v>
        <stp/>
        <stp>BDP|1263821072946430306</stp>
        <tr r="Z642" s="1"/>
      </tp>
      <tp t="s">
        <v>#N/A Requesting Data...2558282528</v>
        <stp/>
        <stp>BDP|5744804233973149637</stp>
        <tr r="AA727" s="1"/>
      </tp>
      <tp t="s">
        <v>#N/A Requesting Data...2716521520</v>
        <stp/>
        <stp>BDP|5343764400050555969</stp>
        <tr r="Z1512" s="1"/>
        <tr r="Z1512" s="1"/>
      </tp>
      <tp t="s">
        <v>#N/A Requesting Data...2274619774</v>
        <stp/>
        <stp>BDP|8376257628145124692</stp>
        <tr r="AB357" s="1"/>
        <tr r="AB357" s="1"/>
      </tp>
      <tp t="s">
        <v>#N/A Requesting Data...2959430824</v>
        <stp/>
        <stp>BDP|1212483225495033994</stp>
        <tr r="Z987" s="1"/>
        <tr r="Z987" s="1"/>
      </tp>
      <tp t="s">
        <v>#N/A Requesting Data...2913749566</v>
        <stp/>
        <stp>BDP|8786496518631636769</stp>
        <tr r="Z770" s="1"/>
        <tr r="Z770" s="1"/>
      </tp>
      <tp t="s">
        <v>#N/A Requesting Data...2980172962</v>
        <stp/>
        <stp>BDP|8742933571159540460</stp>
        <tr r="AB620" s="1"/>
        <tr r="AB620" s="1"/>
      </tp>
      <tp t="s">
        <v>#N/A Requesting Data...4283422374</v>
        <stp/>
        <stp>BDP|9638241826440617243</stp>
        <tr r="AB1132" s="1"/>
        <tr r="AB1132" s="1"/>
      </tp>
      <tp t="s">
        <v>#N/A Requesting Data...3409068539</v>
        <stp/>
        <stp>BDP|8220063560592069725</stp>
        <tr r="AB1034" s="1"/>
        <tr r="AB1034" s="1"/>
      </tp>
      <tp t="s">
        <v>#N/A Requesting Data...3053840644</v>
        <stp/>
        <stp>BDP|5330740210248009016</stp>
        <tr r="AA509" s="1"/>
        <tr r="AA509" s="1"/>
      </tp>
      <tp t="s">
        <v>#N/A Requesting Data...2434716963</v>
        <stp/>
        <stp>BDP|4385252421487906888</stp>
        <tr r="AC1149" s="1"/>
        <tr r="AC1149" s="1"/>
      </tp>
      <tp t="s">
        <v>#N/A Requesting Data...2537206999</v>
        <stp/>
        <stp>BDP|9514136920760120114</stp>
        <tr r="AC1563" s="1"/>
        <tr r="AC1563" s="1"/>
      </tp>
      <tp t="s">
        <v>#N/A Requesting Data...2298495593</v>
        <stp/>
        <stp>BDP|8492560161363067345</stp>
        <tr r="Y1055" s="1"/>
        <tr r="Y1055" s="1"/>
      </tp>
      <tp t="s">
        <v>#N/A Requesting Data...2824437600</v>
        <stp/>
        <stp>BDP|4200899544761063283</stp>
        <tr r="AC262" s="1"/>
        <tr r="AC262" s="1"/>
      </tp>
      <tp t="s">
        <v>#N/A Requesting Data...4011628700</v>
        <stp/>
        <stp>BDP|6685791699764679773</stp>
        <tr r="AB968" s="1"/>
        <tr r="AB968" s="1"/>
      </tp>
      <tp t="s">
        <v>#N/A Requesting Data...4020835146</v>
        <stp/>
        <stp>BDP|5405727585822137352</stp>
        <tr r="AA233" s="1"/>
        <tr r="AA233" s="1"/>
      </tp>
      <tp t="s">
        <v>#N/A Requesting Data...4140709032</v>
        <stp/>
        <stp>BDP|3175439388976446292</stp>
        <tr r="Z195" s="1"/>
        <tr r="Z195" s="1"/>
      </tp>
      <tp t="s">
        <v>#N/A Requesting Data...2438444222</v>
        <stp/>
        <stp>BDP|1185308485007155627</stp>
        <tr r="Y39" s="1"/>
        <tr r="Y39" s="1"/>
      </tp>
      <tp t="s">
        <v>#N/A Requesting Data...3097164573</v>
        <stp/>
        <stp>BDP|9995275411952105397</stp>
        <tr r="AB487" s="1"/>
        <tr r="AB487" s="1"/>
      </tp>
      <tp t="s">
        <v>#N/A Requesting Data...2320824426</v>
        <stp/>
        <stp>BDP|3056603812827552809</stp>
        <tr r="Z1248" s="1"/>
        <tr r="Z1248" s="1"/>
      </tp>
      <tp t="s">
        <v>#N/A Requesting Data...3887888932</v>
        <stp/>
        <stp>BDP|1262962632045400552</stp>
        <tr r="AC298" s="1"/>
        <tr r="AC298" s="1"/>
      </tp>
      <tp t="s">
        <v>#N/A Requesting Data...2525451736</v>
        <stp/>
        <stp>BDP|7132682092377835478</stp>
        <tr r="Y952" s="1"/>
        <tr r="Y952" s="1"/>
      </tp>
      <tp t="s">
        <v>#N/A Requesting Data...2287248745</v>
        <stp/>
        <stp>BDP|1673371735802436844</stp>
        <tr r="AA887" s="1"/>
        <tr r="AA887" s="1"/>
      </tp>
      <tp t="s">
        <v>#N/A Requesting Data...2642237838</v>
        <stp/>
        <stp>BDP|8729167257604491362</stp>
        <tr r="AB1129" s="1"/>
        <tr r="AB1129" s="1"/>
      </tp>
      <tp t="s">
        <v>#N/A Requesting Data...3592380949</v>
        <stp/>
        <stp>BDP|7558346791816256065</stp>
        <tr r="AC1494" s="1"/>
        <tr r="AC1494" s="1"/>
      </tp>
      <tp t="s">
        <v>#N/A Requesting Data...3239458400</v>
        <stp/>
        <stp>BDP|1308257132272307939</stp>
        <tr r="AB129" s="1"/>
      </tp>
      <tp t="s">
        <v>#N/A Requesting Data...3154458544</v>
        <stp/>
        <stp>BDP|6396876263667000437</stp>
        <tr r="Y193" s="1"/>
        <tr r="Y193" s="1"/>
      </tp>
      <tp t="s">
        <v>#N/A Requesting Data...3400721467</v>
        <stp/>
        <stp>BDP|6863773876914520980</stp>
        <tr r="AB210" s="1"/>
        <tr r="AB210" s="1"/>
      </tp>
      <tp t="s">
        <v>#N/A Requesting Data...3672041172</v>
        <stp/>
        <stp>BDP|4076999748884213676</stp>
        <tr r="Y1412" s="1"/>
        <tr r="Y1412" s="1"/>
      </tp>
      <tp t="s">
        <v>#N/A Requesting Data...3991402011</v>
        <stp/>
        <stp>BDP|4687366054968917196</stp>
        <tr r="AC239" s="1"/>
        <tr r="AC239" s="1"/>
      </tp>
      <tp t="s">
        <v>#N/A Requesting Data...3261397860</v>
        <stp/>
        <stp>BDP|7110711171608760420</stp>
        <tr r="Z219" s="1"/>
        <tr r="Z219" s="1"/>
      </tp>
      <tp t="s">
        <v>#N/A Requesting Data...3635364671</v>
        <stp/>
        <stp>BDP|7749862962271731305</stp>
        <tr r="Z966" s="1"/>
        <tr r="Z966" s="1"/>
      </tp>
      <tp t="s">
        <v>#N/A Requesting Data...2652139674</v>
        <stp/>
        <stp>BDP|8765207805177521630</stp>
        <tr r="Y1149" s="1"/>
        <tr r="Y1149" s="1"/>
      </tp>
      <tp t="s">
        <v>#N/A Requesting Data...2976530869</v>
        <stp/>
        <stp>BDP|7921920914500833432</stp>
        <tr r="Z1503" s="1"/>
        <tr r="Z1503" s="1"/>
      </tp>
      <tp t="s">
        <v>#N/A Requesting Data...3512515385</v>
        <stp/>
        <stp>BDP|4268991309991731705</stp>
        <tr r="AA546" s="1"/>
        <tr r="AA546" s="1"/>
      </tp>
      <tp t="s">
        <v>#N/A Requesting Data...4150780358</v>
        <stp/>
        <stp>BDP|8985874620041804837</stp>
        <tr r="AB1393" s="1"/>
      </tp>
      <tp t="s">
        <v>#N/A Requesting Data...2382159465</v>
        <stp/>
        <stp>BDP|3114067824122296842</stp>
        <tr r="AC846" s="1"/>
        <tr r="AC846" s="1"/>
      </tp>
      <tp t="s">
        <v>#N/A Requesting Data...2917721279</v>
        <stp/>
        <stp>BDP|6819730742356480886</stp>
        <tr r="AC922" s="1"/>
        <tr r="AC922" s="1"/>
      </tp>
      <tp t="s">
        <v>#N/A Requesting Data...4027129896</v>
        <stp/>
        <stp>BDP|9472767974403346101</stp>
        <tr r="Z30" s="1"/>
        <tr r="Z30" s="1"/>
      </tp>
      <tp t="s">
        <v>#N/A Requesting Data...2243488245</v>
        <stp/>
        <stp>BDP|9317942806109350276</stp>
        <tr r="AC533" s="1"/>
        <tr r="AC533" s="1"/>
      </tp>
      <tp t="s">
        <v>#N/A Requesting Data...3224548431</v>
        <stp/>
        <stp>BDP|4476769400921124966</stp>
        <tr r="AA444" s="1"/>
        <tr r="AA444" s="1"/>
      </tp>
      <tp t="s">
        <v>#N/A Requesting Data...3795279855</v>
        <stp/>
        <stp>BDP|9720323634231401301</stp>
        <tr r="AC969" s="1"/>
        <tr r="AC969" s="1"/>
      </tp>
      <tp t="s">
        <v>#N/A Requesting Data...3880316389</v>
        <stp/>
        <stp>BDP|7389883405982834634</stp>
        <tr r="AA365" s="1"/>
        <tr r="AA365" s="1"/>
      </tp>
      <tp t="s">
        <v>#N/A Requesting Data...3270206056</v>
        <stp/>
        <stp>BDP|1702088037161847859</stp>
        <tr r="Z628" s="1"/>
        <tr r="Z628" s="1"/>
      </tp>
      <tp t="s">
        <v>#N/A Requesting Data...4185296893</v>
        <stp/>
        <stp>BDP|2069649080914503342</stp>
        <tr r="Z598" s="1"/>
        <tr r="Z598" s="1"/>
      </tp>
      <tp t="s">
        <v>#N/A Requesting Data...2304544936</v>
        <stp/>
        <stp>BDP|7874830974474935737</stp>
        <tr r="AB700" s="1"/>
        <tr r="AB700" s="1"/>
      </tp>
      <tp t="s">
        <v>#N/A N/A</v>
        <stp/>
        <stp>BDP|6876936811056798521|22</stp>
        <stp>INQR US Equity</stp>
        <stp>LAST_PRICE</stp>
        <tr r="AD757" s="1"/>
      </tp>
      <tp>
        <v>19.22</v>
        <stp/>
        <stp>BDP|1079665737704885211|22</stp>
        <stp>IMVT US Equity</stp>
        <stp>LAST_PRICE</stp>
        <tr r="AD739" s="1"/>
        <tr r="AD739" s="1"/>
      </tp>
      <tp>
        <v>24.72</v>
        <stp/>
        <stp>BDP|4846253533835703800|22</stp>
        <stp>SNWV US Equity</stp>
        <stp>LAST_PRICE</stp>
        <tr r="AD1309" s="1"/>
        <tr r="AD1309" s="1"/>
      </tp>
      <tp>
        <v>1.0000000000000001E-5</v>
        <stp/>
        <stp>BDP|6877870018441779369|22</stp>
        <stp>AVXT US Equity</stp>
        <stp>LAST_PRICE</stp>
        <tr r="AD208" s="1"/>
        <tr r="AD208" s="1"/>
      </tp>
      <tp>
        <v>2.5</v>
        <stp/>
        <stp>BDP|4592680320553108726|22</stp>
        <stp>CAPS US Equity</stp>
        <stp>LAST_PRICE</stp>
        <tr r="AD339" s="1"/>
        <tr r="AD339" s="1"/>
      </tp>
      <tp>
        <v>3.68</v>
        <stp/>
        <stp>BDP|8554638209267472619|22</stp>
        <stp>ARTV US Equity</stp>
        <stp>LAST_PRICE</stp>
        <tr r="AD173" s="1"/>
        <tr r="AD173" s="1"/>
      </tp>
      <tp>
        <v>27.13</v>
        <stp/>
        <stp>BDP|9488674913401970753|22</stp>
        <stp>PCRX US Equity</stp>
        <stp>LAST_PRICE</stp>
        <tr r="AD1125" s="1"/>
        <tr r="AD1125" s="1"/>
      </tp>
      <tp>
        <v>6.5000000000000002E-2</v>
        <stp/>
        <stp>BDP|3042664499366242120|22</stp>
        <stp>OILS CN Equity</stp>
        <stp>LAST_PRICE</stp>
        <tr r="AD1043" s="1"/>
        <tr r="AD1043" s="1"/>
      </tp>
      <tp>
        <v>7.82</v>
        <stp/>
        <stp>BDP|7394751966795947450|22</stp>
        <stp>AMRX US Equity</stp>
        <stp>LAST_PRICE</stp>
        <tr r="AD122" s="1"/>
        <tr r="AD122" s="1"/>
      </tp>
      <tp>
        <v>0.74399999999999999</v>
        <stp/>
        <stp>BDP|1871038135902029787|22</stp>
        <stp>ACXP US Equity</stp>
        <stp>LAST_PRICE</stp>
        <tr r="AD40" s="1"/>
        <tr r="AD40" s="1"/>
      </tp>
      <tp>
        <v>8.0000000000000002E-3</v>
        <stp/>
        <stp>BDP|5174369453246827105|22</stp>
        <stp>MYRX US Equity</stp>
        <stp>LAST_PRICE</stp>
        <tr r="AD991" s="1"/>
        <tr r="AD991" s="1"/>
      </tp>
      <tp>
        <v>5.49</v>
        <stp/>
        <stp>BDP|1910328008859451997|22</stp>
        <stp>JSPR US Equity</stp>
        <stp>LAST_PRICE</stp>
        <tr r="AD810" s="1"/>
        <tr r="AD810" s="1"/>
      </tp>
      <tp>
        <v>18</v>
        <stp/>
        <stp>BDP|1506767706888945964|22</stp>
        <stp>CNTA US Equity</stp>
        <stp>LAST_PRICE</stp>
        <tr r="AD378" s="1"/>
        <tr r="AD378" s="1"/>
      </tp>
      <tp>
        <v>1.3899999999999999E-2</v>
        <stp/>
        <stp>BDP|8480687841956608566|22</stp>
        <stp>RMSL US Equity</stp>
        <stp>LAST_PRICE</stp>
        <tr r="AD1265" s="1"/>
        <tr r="AD1265" s="1"/>
      </tp>
      <tp>
        <v>30.16</v>
        <stp/>
        <stp>BDP|1847799609969384816|22</stp>
        <stp>ESTA US Equity</stp>
        <stp>LAST_PRICE</stp>
        <tr r="AD580" s="1"/>
        <tr r="AD580" s="1"/>
      </tp>
      <tp>
        <v>1.52</v>
        <stp/>
        <stp>BDP|8866155535773695561|22</stp>
        <stp>IVVD US Equity</stp>
        <stp>LAST_PRICE</stp>
        <tr r="AD789" s="1"/>
        <tr r="AD789" s="1"/>
      </tp>
      <tp>
        <v>0.67</v>
        <stp/>
        <stp>BDP|4125331681980766824|22</stp>
        <stp>VREO CN Equity</stp>
        <stp>LAST_PRICE</stp>
        <tr r="AD1557" s="1"/>
        <tr r="AD1557" s="1"/>
      </tp>
      <tp>
        <v>1.63</v>
        <stp/>
        <stp>BDP|9239343798533091736|22</stp>
        <stp>VRNO CN Equity</stp>
        <stp>LAST_PRICE</stp>
        <tr r="AD1535" s="1"/>
        <tr r="AD1535" s="1"/>
      </tp>
      <tp>
        <v>6.6000000000000003E-2</v>
        <stp/>
        <stp>BDP|6800691998807547761|22</stp>
        <stp>INTI US Equity</stp>
        <stp>LAST_PRICE</stp>
        <tr r="AD750" s="1"/>
        <tr r="AD750" s="1"/>
      </tp>
      <tp>
        <v>0.7</v>
        <stp/>
        <stp>BDP|1149376350296906471|22</stp>
        <stp>TIVC US Equity</stp>
        <stp>LAST_PRICE</stp>
        <tr r="AD1473" s="1"/>
        <tr r="AD1473" s="1"/>
      </tp>
      <tp>
        <v>0.47249999999999998</v>
        <stp/>
        <stp>BDP|8666089878790824842|22</stp>
        <stp>IMTH US Equity</stp>
        <stp>LAST_PRICE</stp>
        <tr r="AD761" s="1"/>
        <tr r="AD761" s="1"/>
      </tp>
      <tp>
        <v>0.12203</v>
        <stp/>
        <stp>BDP|8544097912885151361|22</stp>
        <stp>KNWN US Equity</stp>
        <stp>LAST_PRICE</stp>
        <tr r="AD843" s="1"/>
        <tr r="AD843" s="1"/>
      </tp>
      <tp>
        <v>15.7</v>
        <stp/>
        <stp>BDP|16252488977821729193|22</stp>
        <stp>SIA CN Equity</stp>
        <stp>LAST_PRICE</stp>
        <tr r="AD1348" s="1"/>
        <tr r="AD1348" s="1"/>
      </tp>
      <tp>
        <v>2.5000000000000001E-2</v>
        <stp/>
        <stp>BDP|16617541867161431675|22</stp>
        <stp>JNH CN Equity</stp>
        <stp>LAST_PRICE</stp>
        <tr r="AD807" s="1"/>
        <tr r="AD807" s="1"/>
      </tp>
      <tp>
        <v>0.125</v>
        <stp/>
        <stp>BDP|10249687456476511097|22</stp>
        <stp>MIR CN Equity</stp>
        <stp>LAST_PRICE</stp>
        <tr r="AD931" s="1"/>
        <tr r="AD931" s="1"/>
      </tp>
      <tp t="s">
        <v>#N/A Requesting Data...2767237845</v>
        <stp/>
        <stp>BDP|6747512677136361688</stp>
        <tr r="AB1291" s="1"/>
        <tr r="AB1291" s="1"/>
      </tp>
      <tp t="s">
        <v>#N/A Requesting Data...3247394906</v>
        <stp/>
        <stp>BDP|1498304935722248797</stp>
        <tr r="AC322" s="1"/>
        <tr r="AC322" s="1"/>
      </tp>
      <tp t="s">
        <v>#N/A Requesting Data...3518879758</v>
        <stp/>
        <stp>BDP|4576982729049917279</stp>
        <tr r="AC1381" s="1"/>
        <tr r="AC1381" s="1"/>
      </tp>
      <tp t="s">
        <v>#N/A Requesting Data...3147947372</v>
        <stp/>
        <stp>BDP|7669081732724598435</stp>
        <tr r="Y315" s="1"/>
        <tr r="Y315" s="1"/>
      </tp>
      <tp t="s">
        <v>#N/A Requesting Data...3704445919</v>
        <stp/>
        <stp>BDP|3104310411816300384</stp>
        <tr r="AC291" s="1"/>
        <tr r="AC291" s="1"/>
      </tp>
      <tp t="s">
        <v>#N/A Requesting Data...2786211846</v>
        <stp/>
        <stp>BDP|9659908671115922642</stp>
        <tr r="AA776" s="1"/>
        <tr r="AA776" s="1"/>
      </tp>
      <tp t="s">
        <v>#N/A Requesting Data...2735981711</v>
        <stp/>
        <stp>BDP|5122108271042323596</stp>
        <tr r="AC642" s="1"/>
      </tp>
      <tp t="s">
        <v>#N/A Requesting Data...3517824932</v>
        <stp/>
        <stp>BDP|8322599537652549827</stp>
        <tr r="Z763" s="1"/>
        <tr r="Z763" s="1"/>
      </tp>
      <tp t="s">
        <v>#N/A Requesting Data...3779690688</v>
        <stp/>
        <stp>BDP|1360016648090519150</stp>
        <tr r="AB868" s="1"/>
        <tr r="AB868" s="1"/>
      </tp>
      <tp t="s">
        <v>#N/A Requesting Data...3335902413</v>
        <stp/>
        <stp>BDP|8904063543360419820</stp>
        <tr r="Z816" s="1"/>
        <tr r="Z816" s="1"/>
      </tp>
      <tp t="s">
        <v>#N/A Requesting Data...3661579232</v>
        <stp/>
        <stp>BDP|2770329979251645309</stp>
        <tr r="AA438" s="1"/>
        <tr r="AA438" s="1"/>
      </tp>
      <tp t="s">
        <v>#N/A Requesting Data...4218698704</v>
        <stp/>
        <stp>BDP|2245070370490783188</stp>
        <tr r="AB1237" s="1"/>
        <tr r="AB1237" s="1"/>
      </tp>
      <tp t="s">
        <v>#N/A Requesting Data...3236875487</v>
        <stp/>
        <stp>BDP|9724821618005259156</stp>
        <tr r="Z1027" s="1"/>
        <tr r="Z1027" s="1"/>
      </tp>
      <tp t="s">
        <v>#N/A Requesting Data...4284349701</v>
        <stp/>
        <stp>BDP|3963310291434660956</stp>
        <tr r="AB189" s="1"/>
        <tr r="AB189" s="1"/>
      </tp>
      <tp t="s">
        <v>#N/A Requesting Data...3090395233</v>
        <stp/>
        <stp>BDP|6126099646255799332</stp>
        <tr r="Z1499" s="1"/>
        <tr r="Z1499" s="1"/>
      </tp>
      <tp t="s">
        <v>#N/A Requesting Data...2881792760</v>
        <stp/>
        <stp>BDP|9509967801161802501</stp>
        <tr r="AA526" s="1"/>
        <tr r="AA526" s="1"/>
      </tp>
      <tp t="s">
        <v>#N/A Requesting Data...2566014653</v>
        <stp/>
        <stp>BDP|3868754070093501425</stp>
        <tr r="AB412" s="1"/>
        <tr r="AB412" s="1"/>
      </tp>
      <tp t="s">
        <v>#N/A Requesting Data...4070642064</v>
        <stp/>
        <stp>BDP|6436282162615790338</stp>
        <tr r="Y241" s="1"/>
        <tr r="Y241" s="1"/>
      </tp>
      <tp t="s">
        <v>#N/A Requesting Data...3883959979</v>
        <stp/>
        <stp>BDP|2172063452704730799</stp>
        <tr r="Z740" s="1"/>
        <tr r="Z740" s="1"/>
      </tp>
      <tp t="s">
        <v>#N/A Requesting Data...3981156518</v>
        <stp/>
        <stp>BDP|9394384911616106902</stp>
        <tr r="Y1137" s="1"/>
        <tr r="Y1137" s="1"/>
      </tp>
      <tp t="s">
        <v>#N/A Requesting Data...2238539291</v>
        <stp/>
        <stp>BDP|9566436445818936510</stp>
        <tr r="Y424" s="1"/>
        <tr r="Y424" s="1"/>
      </tp>
      <tp t="s">
        <v>#N/A Requesting Data...2352244760</v>
        <stp/>
        <stp>BDP|3472630785300089993</stp>
        <tr r="AC28" s="1"/>
        <tr r="AC28" s="1"/>
      </tp>
      <tp t="s">
        <v>#N/A Requesting Data...3885712815</v>
        <stp/>
        <stp>BDP|4725218853292611587</stp>
        <tr r="AC1139" s="1"/>
        <tr r="AC1139" s="1"/>
      </tp>
      <tp t="s">
        <v>#N/A Requesting Data...3853038697</v>
        <stp/>
        <stp>BDP|4344894101998317039</stp>
        <tr r="Y1146" s="1"/>
        <tr r="Y1146" s="1"/>
      </tp>
      <tp t="s">
        <v>#N/A Requesting Data...2734882232</v>
        <stp/>
        <stp>BDP|5231478225382889530</stp>
        <tr r="Z1145" s="1"/>
        <tr r="Z1145" s="1"/>
      </tp>
      <tp t="s">
        <v>#N/A Requesting Data...3809927104</v>
        <stp/>
        <stp>BDP|4038488710653450678</stp>
        <tr r="AA712" s="1"/>
        <tr r="AA712" s="1"/>
      </tp>
      <tp t="s">
        <v>#N/A Requesting Data...2289937200</v>
        <stp/>
        <stp>BDP|7610793962092787019</stp>
        <tr r="Y1463" s="1"/>
        <tr r="Y1463" s="1"/>
      </tp>
      <tp t="s">
        <v>#N/A Requesting Data...4144004872</v>
        <stp/>
        <stp>BDP|2402247359943141238</stp>
        <tr r="AB792" s="1"/>
        <tr r="AB792" s="1"/>
      </tp>
      <tp t="s">
        <v>#N/A Requesting Data...2219940659</v>
        <stp/>
        <stp>BDP|7938131351367753070</stp>
        <tr r="AB110" s="1"/>
        <tr r="AB110" s="1"/>
      </tp>
      <tp t="s">
        <v>#N/A Requesting Data...3256494132</v>
        <stp/>
        <stp>BDP|8339164788497404224</stp>
        <tr r="AB1328" s="1"/>
        <tr r="AB1328" s="1"/>
      </tp>
      <tp t="s">
        <v>#N/A Requesting Data...2364593023</v>
        <stp/>
        <stp>BDP|1834406723057668464</stp>
        <tr r="AA415" s="1"/>
        <tr r="AA415" s="1"/>
      </tp>
      <tp t="s">
        <v>#N/A Requesting Data...2415051151</v>
        <stp/>
        <stp>BDP|9231823598899194519</stp>
        <tr r="Y410" s="1"/>
        <tr r="Y410" s="1"/>
      </tp>
      <tp t="s">
        <v>#N/A Requesting Data...4270653516</v>
        <stp/>
        <stp>BDP|7559352412013229288</stp>
        <tr r="AC1044" s="1"/>
      </tp>
      <tp t="s">
        <v>#N/A Requesting Data...2578792928</v>
        <stp/>
        <stp>BDP|9746106633938446782</stp>
        <tr r="Z1591" s="1"/>
        <tr r="Z1591" s="1"/>
      </tp>
      <tp t="s">
        <v>#N/A Requesting Data...3098424728</v>
        <stp/>
        <stp>BDP|9426193995473335639</stp>
        <tr r="AB1575" s="1"/>
        <tr r="AB1575" s="1"/>
      </tp>
      <tp t="s">
        <v>#N/A Requesting Data...4058698103</v>
        <stp/>
        <stp>BDP|7468099625392692364</stp>
        <tr r="AC660" s="1"/>
      </tp>
      <tp t="s">
        <v>#N/A Requesting Data...2393052319</v>
        <stp/>
        <stp>BDP|9253785475178697519</stp>
        <tr r="AB233" s="1"/>
        <tr r="AB233" s="1"/>
      </tp>
      <tp t="s">
        <v>#N/A Requesting Data...3459116027</v>
        <stp/>
        <stp>BDP|3763053795018748680</stp>
        <tr r="AB6" s="1"/>
        <tr r="AB6" s="1"/>
      </tp>
      <tp t="s">
        <v>#N/A Requesting Data...4001804115</v>
        <stp/>
        <stp>BDP|9378747743617800947</stp>
        <tr r="AA620" s="1"/>
        <tr r="AA620" s="1"/>
      </tp>
      <tp t="s">
        <v>#N/A Requesting Data...3842498298</v>
        <stp/>
        <stp>BDP|3716323011481501495</stp>
        <tr r="Z929" s="1"/>
        <tr r="Z929" s="1"/>
      </tp>
      <tp t="s">
        <v>#N/A Requesting Data...2835564897</v>
        <stp/>
        <stp>BDP|4520392584258179310</stp>
        <tr r="Y143" s="1"/>
        <tr r="Y143" s="1"/>
      </tp>
      <tp t="s">
        <v>#N/A Requesting Data...3821376077</v>
        <stp/>
        <stp>BDP|5554540069033339131</stp>
        <tr r="Y930" s="1"/>
        <tr r="Y930" s="1"/>
      </tp>
      <tp t="s">
        <v>#N/A Requesting Data...3906978207</v>
        <stp/>
        <stp>BDP|5016768591618682791</stp>
        <tr r="Y682" s="1"/>
        <tr r="Y682" s="1"/>
      </tp>
      <tp t="s">
        <v>#N/A Requesting Data...2495353282</v>
        <stp/>
        <stp>BDP|7254129529267453743</stp>
        <tr r="AB802" s="1"/>
        <tr r="AB802" s="1"/>
      </tp>
      <tp t="s">
        <v>#N/A Requesting Data...2560073460</v>
        <stp/>
        <stp>BDP|2483283354072107303</stp>
        <tr r="AC1099" s="1"/>
        <tr r="AC1099" s="1"/>
      </tp>
      <tp t="s">
        <v>#N/A Requesting Data...3234344411</v>
        <stp/>
        <stp>BDP|1546199203807786316</stp>
        <tr r="AB648" s="1"/>
        <tr r="AB648" s="1"/>
      </tp>
      <tp t="s">
        <v>#N/A Requesting Data...4158351221</v>
        <stp/>
        <stp>BDP|3442217869405186645</stp>
        <tr r="AA668" s="1"/>
        <tr r="AA668" s="1"/>
      </tp>
      <tp t="s">
        <v>#N/A Requesting Data...2928631908</v>
        <stp/>
        <stp>BDP|1001942218968242572</stp>
        <tr r="Z1560" s="1"/>
        <tr r="Z1560" s="1"/>
      </tp>
      <tp t="s">
        <v>#N/A Requesting Data...2302200735</v>
        <stp/>
        <stp>BDP|1814295518835122311</stp>
        <tr r="AC835" s="1"/>
        <tr r="AC835" s="1"/>
      </tp>
      <tp t="s">
        <v>#N/A Requesting Data...4025974058</v>
        <stp/>
        <stp>BDP|2040733118279467963</stp>
        <tr r="Z466" s="1"/>
        <tr r="Z466" s="1"/>
      </tp>
      <tp t="s">
        <v>#N/A Requesting Data...2481414658</v>
        <stp/>
        <stp>BDP|1102168853175902449</stp>
        <tr r="AC909" s="1"/>
        <tr r="AC909" s="1"/>
      </tp>
      <tp t="s">
        <v>#N/A Requesting Data...2963092784</v>
        <stp/>
        <stp>BDP|3016779320467787591</stp>
        <tr r="Z1612" s="1"/>
        <tr r="Z1612" s="1"/>
      </tp>
      <tp t="s">
        <v>#N/A Requesting Data...2309853665</v>
        <stp/>
        <stp>BDP|9674801025353816421</stp>
        <tr r="AA375" s="1"/>
        <tr r="AA375" s="1"/>
      </tp>
      <tp t="s">
        <v>#N/A Requesting Data...4179418010</v>
        <stp/>
        <stp>BDP|9468740034068938142</stp>
        <tr r="AC326" s="1"/>
        <tr r="AC326" s="1"/>
      </tp>
      <tp t="s">
        <v>#N/A Requesting Data...2917612554</v>
        <stp/>
        <stp>BDP|6192633859814153530</stp>
        <tr r="AA347" s="1"/>
        <tr r="AA347" s="1"/>
      </tp>
      <tp t="s">
        <v>#N/A Requesting Data...3370092209</v>
        <stp/>
        <stp>BDP|2509049244547493583</stp>
        <tr r="AB1141" s="1"/>
        <tr r="AB1141" s="1"/>
      </tp>
      <tp t="s">
        <v>#N/A Requesting Data...4169524764</v>
        <stp/>
        <stp>BDP|6208200408647645754</stp>
        <tr r="AC711" s="1"/>
        <tr r="AC711" s="1"/>
      </tp>
      <tp t="s">
        <v>#N/A Requesting Data...2584190923</v>
        <stp/>
        <stp>BDP|1274264970926986644</stp>
        <tr r="Z945" s="1"/>
        <tr r="Z945" s="1"/>
      </tp>
      <tp t="s">
        <v>#N/A Requesting Data...2372261492</v>
        <stp/>
        <stp>BDP|6322465059686303567</stp>
        <tr r="AA406" s="1"/>
        <tr r="AA406" s="1"/>
      </tp>
      <tp t="s">
        <v>#N/A Requesting Data...2856050367</v>
        <stp/>
        <stp>BDP|7642182360112183616</stp>
        <tr r="Z599" s="1"/>
        <tr r="Z599" s="1"/>
      </tp>
      <tp t="s">
        <v>#N/A Requesting Data...3878359976</v>
        <stp/>
        <stp>BDP|5154152909945301507</stp>
        <tr r="Z1572" s="1"/>
        <tr r="Z1572" s="1"/>
      </tp>
      <tp t="s">
        <v>#N/A Requesting Data...3154606228</v>
        <stp/>
        <stp>BDP|5302879299276104621</stp>
        <tr r="AB440" s="1"/>
        <tr r="AB440" s="1"/>
      </tp>
      <tp t="s">
        <v>#N/A Requesting Data...2516977790</v>
        <stp/>
        <stp>BDP|5379068004512631393</stp>
        <tr r="AC243" s="1"/>
        <tr r="AC243" s="1"/>
      </tp>
      <tp t="s">
        <v>#N/A Requesting Data...2786424004</v>
        <stp/>
        <stp>BDP|8977964153363186335</stp>
        <tr r="AC661" s="1"/>
        <tr r="AC661" s="1"/>
      </tp>
      <tp t="s">
        <v>#N/A Requesting Data...2538493646</v>
        <stp/>
        <stp>BDP|5404083121620219319</stp>
        <tr r="Z62" s="1"/>
        <tr r="Z62" s="1"/>
      </tp>
      <tp t="s">
        <v>#N/A Requesting Data...3490932471</v>
        <stp/>
        <stp>BDP|9882730910729123240</stp>
        <tr r="AA1388" s="1"/>
        <tr r="AA1388" s="1"/>
      </tp>
      <tp t="s">
        <v>#N/A Requesting Data...3392058264</v>
        <stp/>
        <stp>BDP|3596649542861563481</stp>
        <tr r="Y1327" s="1"/>
        <tr r="Y1327" s="1"/>
      </tp>
      <tp t="s">
        <v>#N/A Requesting Data...3550054304</v>
        <stp/>
        <stp>BDP|5834982747949014596</stp>
        <tr r="Z74" s="1"/>
        <tr r="Z74" s="1"/>
      </tp>
      <tp t="s">
        <v>#N/A Requesting Data...2257032534</v>
        <stp/>
        <stp>BDP|7323749128723671575</stp>
        <tr r="Z360" s="1"/>
        <tr r="Z360" s="1"/>
      </tp>
      <tp t="s">
        <v>#N/A Requesting Data...3352020224</v>
        <stp/>
        <stp>BDP|6543873427450979825</stp>
        <tr r="AB1604" s="1"/>
        <tr r="AB1604" s="1"/>
      </tp>
      <tp t="s">
        <v>#N/A Requesting Data...3599611156</v>
        <stp/>
        <stp>BDP|7610376180519716183</stp>
        <tr r="Y842" s="1"/>
        <tr r="Y842" s="1"/>
      </tp>
      <tp t="s">
        <v>#N/A Requesting Data...2913533962</v>
        <stp/>
        <stp>BDP|4511072110731833044</stp>
        <tr r="Y959" s="1"/>
        <tr r="Y959" s="1"/>
      </tp>
      <tp t="s">
        <v>#N/A Requesting Data...2278567887</v>
        <stp/>
        <stp>BDP|2109762544552426796</stp>
        <tr r="AC1042" s="1"/>
        <tr r="AC1042" s="1"/>
      </tp>
      <tp t="s">
        <v>#N/A Requesting Data...2612388883</v>
        <stp/>
        <stp>BDP|3436101509691231714</stp>
        <tr r="AB645" s="1"/>
        <tr r="AB645" s="1"/>
      </tp>
      <tp t="s">
        <v>#N/A Requesting Data...4234789864</v>
        <stp/>
        <stp>BDP|9562041472232875856</stp>
        <tr r="AC965" s="1"/>
        <tr r="AC965" s="1"/>
      </tp>
      <tp t="s">
        <v>#N/A Requesting Data...3653453645</v>
        <stp/>
        <stp>BDP|2813610457151501457</stp>
        <tr r="AB18" s="1"/>
        <tr r="AB18" s="1"/>
      </tp>
      <tp t="s">
        <v>#N/A Requesting Data...2956400075</v>
        <stp/>
        <stp>BDP|8458316918317286901</stp>
        <tr r="AA806" s="1"/>
      </tp>
      <tp t="s">
        <v>#N/A Requesting Data...2529888296</v>
        <stp/>
        <stp>BDP|2018329290354858856</stp>
        <tr r="AA1139" s="1"/>
        <tr r="AA1139" s="1"/>
      </tp>
      <tp t="s">
        <v>#N/A Requesting Data...3343897151</v>
        <stp/>
        <stp>BDP|5280221330761757183</stp>
        <tr r="AB1083" s="1"/>
        <tr r="AB1083" s="1"/>
      </tp>
      <tp t="s">
        <v>#N/A Requesting Data...2755236260</v>
        <stp/>
        <stp>BDP|2425065608661684732</stp>
        <tr r="AC1414" s="1"/>
        <tr r="AC1414" s="1"/>
      </tp>
      <tp t="s">
        <v>#N/A Requesting Data...2971100523</v>
        <stp/>
        <stp>BDP|1988901394465328015</stp>
        <tr r="AA1429" s="1"/>
        <tr r="AA1429" s="1"/>
      </tp>
      <tp t="s">
        <v>#N/A Requesting Data...3996565931</v>
        <stp/>
        <stp>BDP|3973809357529522344</stp>
        <tr r="AB595" s="1"/>
        <tr r="AB595" s="1"/>
      </tp>
      <tp t="s">
        <v>#N/A Requesting Data...2477978452</v>
        <stp/>
        <stp>BDP|1478862191806885249</stp>
        <tr r="Z881" s="1"/>
        <tr r="Z881" s="1"/>
      </tp>
      <tp t="s">
        <v>#N/A Requesting Data...3319197517</v>
        <stp/>
        <stp>BDP|7936398333646577595</stp>
        <tr r="Y227" s="1"/>
        <tr r="Y227" s="1"/>
      </tp>
      <tp t="s">
        <v>#N/A Requesting Data...3119552616</v>
        <stp/>
        <stp>BDP|2993023876074746551</stp>
        <tr r="AA208" s="1"/>
        <tr r="AA208" s="1"/>
      </tp>
      <tp t="s">
        <v>#N/A Requesting Data...2411987657</v>
        <stp/>
        <stp>BDP|6252009109852337076</stp>
        <tr r="AC381" s="1"/>
        <tr r="AC381" s="1"/>
      </tp>
      <tp t="s">
        <v>#N/A Requesting Data...3597498327</v>
        <stp/>
        <stp>BDP|2256617513219646896</stp>
        <tr r="AB295" s="1"/>
        <tr r="AB295" s="1"/>
      </tp>
      <tp t="s">
        <v>#N/A Requesting Data...2854552915</v>
        <stp/>
        <stp>BDP|2564395027064795338</stp>
        <tr r="AB45" s="1"/>
        <tr r="AB45" s="1"/>
      </tp>
      <tp t="s">
        <v>#N/A Requesting Data...2883571138</v>
        <stp/>
        <stp>BDP|4339573134137724181</stp>
        <tr r="AB985" s="1"/>
        <tr r="AB985" s="1"/>
      </tp>
      <tp t="s">
        <v>#N/A Requesting Data...2927666556</v>
        <stp/>
        <stp>BDP|7285171169161429578</stp>
        <tr r="AC1471" s="1"/>
        <tr r="AC1471" s="1"/>
      </tp>
      <tp t="s">
        <v>#N/A Requesting Data...4103435412</v>
        <stp/>
        <stp>BDP|4805204136742425354</stp>
        <tr r="AB1227" s="1"/>
        <tr r="AB1227" s="1"/>
      </tp>
      <tp t="s">
        <v>#N/A Requesting Data...3663619724</v>
        <stp/>
        <stp>BDP|2050590754756530076</stp>
        <tr r="AA7" s="1"/>
        <tr r="AA7" s="1"/>
      </tp>
      <tp t="s">
        <v>#N/A Requesting Data...3503336471</v>
        <stp/>
        <stp>BDP|5670363989449389360</stp>
        <tr r="AB1340" s="1"/>
        <tr r="AB1340" s="1"/>
      </tp>
      <tp t="s">
        <v>#N/A Requesting Data...3559215123</v>
        <stp/>
        <stp>BDP|8311683482865410713</stp>
        <tr r="AA597" s="1"/>
        <tr r="AA597" s="1"/>
      </tp>
      <tp t="s">
        <v>#N/A Requesting Data...4182208413</v>
        <stp/>
        <stp>BDP|2853642359763189680</stp>
        <tr r="Y1584" s="1"/>
        <tr r="Y1584" s="1"/>
      </tp>
      <tp t="s">
        <v>#N/A Requesting Data...4078575389</v>
        <stp/>
        <stp>BDP|6815393616991221193</stp>
        <tr r="Y1457" s="1"/>
        <tr r="Y1457" s="1"/>
      </tp>
      <tp t="s">
        <v>#N/A Requesting Data...4244996999</v>
        <stp/>
        <stp>BDP|4711250764421318599</stp>
        <tr r="Y415" s="1"/>
        <tr r="Y415" s="1"/>
      </tp>
      <tp t="s">
        <v>#N/A Requesting Data...2302935945</v>
        <stp/>
        <stp>BDP|6190146852533905526</stp>
        <tr r="AA437" s="1"/>
        <tr r="AA437" s="1"/>
      </tp>
      <tp t="s">
        <v>#N/A Requesting Data...3429437015</v>
        <stp/>
        <stp>BDP|7743262503972653385</stp>
        <tr r="AA1541" s="1"/>
        <tr r="AA1541" s="1"/>
      </tp>
      <tp t="s">
        <v>#N/A Requesting Data...2843969284</v>
        <stp/>
        <stp>BDP|6794204019657259600</stp>
        <tr r="AB1576" s="1"/>
        <tr r="AB1576" s="1"/>
      </tp>
      <tp t="s">
        <v>#N/A Requesting Data...2656473286</v>
        <stp/>
        <stp>BDP|6160669207292841647</stp>
        <tr r="AA20" s="1"/>
        <tr r="AA20" s="1"/>
      </tp>
      <tp t="s">
        <v>#N/A Requesting Data...2429768217</v>
        <stp/>
        <stp>BDP|7600394662152057410</stp>
        <tr r="Z1610" s="1"/>
        <tr r="Z1610" s="1"/>
      </tp>
      <tp t="s">
        <v>#N/A Requesting Data...2443274341</v>
        <stp/>
        <stp>BDP|7024981166618543472</stp>
        <tr r="AB1155" s="1"/>
        <tr r="AB1155" s="1"/>
      </tp>
      <tp t="s">
        <v>#N/A Requesting Data...3243718647</v>
        <stp/>
        <stp>BDP|3791718546842485683</stp>
        <tr r="Z225" s="1"/>
        <tr r="Z225" s="1"/>
      </tp>
      <tp t="s">
        <v>#N/A Requesting Data...2537353122</v>
        <stp/>
        <stp>BDP|7779517220077849321</stp>
        <tr r="AC1524" s="1"/>
        <tr r="AC1524" s="1"/>
      </tp>
      <tp t="s">
        <v>#N/A Requesting Data...4159968073</v>
        <stp/>
        <stp>BDP|7741072150297935152</stp>
        <tr r="Y1088" s="1"/>
        <tr r="Y1088" s="1"/>
      </tp>
      <tp t="s">
        <v>#N/A Requesting Data...2906098871</v>
        <stp/>
        <stp>BDP|1920972688202830626</stp>
        <tr r="AC1323" s="1"/>
        <tr r="AC1323" s="1"/>
      </tp>
      <tp t="s">
        <v>#N/A Requesting Data...2749711696</v>
        <stp/>
        <stp>BDP|3205662430922847009</stp>
        <tr r="AA683" s="1"/>
        <tr r="AA683" s="1"/>
      </tp>
      <tp t="s">
        <v>#N/A Requesting Data...4171576305</v>
        <stp/>
        <stp>BDP|9474576233283568893</stp>
        <tr r="AC132" s="1"/>
        <tr r="AC132" s="1"/>
      </tp>
      <tp t="s">
        <v>#N/A Requesting Data...3902933619</v>
        <stp/>
        <stp>BDP|1504545203459838964</stp>
        <tr r="AC1002" s="1"/>
        <tr r="AC1002" s="1"/>
      </tp>
      <tp t="s">
        <v>#N/A Requesting Data...3762064552</v>
        <stp/>
        <stp>BDP|1086210718215221363</stp>
        <tr r="AB121" s="1"/>
        <tr r="AB121" s="1"/>
      </tp>
      <tp t="s">
        <v>#N/A Requesting Data...3835601814</v>
        <stp/>
        <stp>BDP|7364430031881852547</stp>
        <tr r="Y96" s="1"/>
        <tr r="Y96" s="1"/>
      </tp>
      <tp t="s">
        <v>#N/A Requesting Data...3595348496</v>
        <stp/>
        <stp>BDP|2139488341347318167</stp>
        <tr r="AA491" s="1"/>
        <tr r="AA491" s="1"/>
      </tp>
      <tp t="s">
        <v>#N/A Requesting Data...2382193477</v>
        <stp/>
        <stp>BDP|1546765658221681605</stp>
        <tr r="Z1387" s="1"/>
      </tp>
      <tp t="s">
        <v>#N/A Requesting Data...3095619939</v>
        <stp/>
        <stp>BDP|1553221804007978072</stp>
        <tr r="Y525" s="1"/>
        <tr r="Y525" s="1"/>
      </tp>
      <tp t="s">
        <v>#N/A Requesting Data...3570811732</v>
        <stp/>
        <stp>BDP|3957442739363175383</stp>
        <tr r="Z568" s="1"/>
        <tr r="Z568" s="1"/>
      </tp>
      <tp t="s">
        <v>#N/A Requesting Data...4138484099</v>
        <stp/>
        <stp>BDP|3399187240777405529</stp>
        <tr r="Z255" s="1"/>
        <tr r="Z255" s="1"/>
      </tp>
      <tp t="s">
        <v>#N/A Requesting Data...4169515281</v>
        <stp/>
        <stp>BDP|8688734648277896884</stp>
        <tr r="AA229" s="1"/>
        <tr r="AA229" s="1"/>
      </tp>
      <tp t="s">
        <v>#N/A Requesting Data...3534532923</v>
        <stp/>
        <stp>BDP|1180158018387064211</stp>
        <tr r="AA105" s="1"/>
        <tr r="AA105" s="1"/>
      </tp>
      <tp t="s">
        <v>#N/A Requesting Data...3995449182</v>
        <stp/>
        <stp>BDP|2249424727878883824</stp>
        <tr r="Z1241" s="1"/>
        <tr r="Z1241" s="1"/>
      </tp>
      <tp t="s">
        <v>#N/A Requesting Data...2505463904</v>
        <stp/>
        <stp>BDP|4519256027039226982</stp>
        <tr r="AC854" s="1"/>
        <tr r="AC854" s="1"/>
      </tp>
      <tp t="s">
        <v>#N/A Requesting Data...3938565863</v>
        <stp/>
        <stp>BDP|3320184009644701286</stp>
        <tr r="AB974" s="1"/>
        <tr r="AB974" s="1"/>
      </tp>
      <tp t="s">
        <v>#N/A Requesting Data...2589529408</v>
        <stp/>
        <stp>BDP|1432251154960526221</stp>
        <tr r="Y1019" s="1"/>
        <tr r="Y1019" s="1"/>
      </tp>
      <tp t="s">
        <v>#N/A Requesting Data...3688556115</v>
        <stp/>
        <stp>BDP|4385556543513529221</stp>
        <tr r="AA674" s="1"/>
        <tr r="AA674" s="1"/>
      </tp>
      <tp t="s">
        <v>#N/A Requesting Data...3374511862</v>
        <stp/>
        <stp>BDP|5697044770564501253</stp>
        <tr r="Z1100" s="1"/>
        <tr r="Z1100" s="1"/>
      </tp>
      <tp t="s">
        <v>#N/A Requesting Data...2395686715</v>
        <stp/>
        <stp>BDP|9465391422864465892</stp>
        <tr r="Y1404" s="1"/>
        <tr r="Y1404" s="1"/>
      </tp>
      <tp t="s">
        <v>#N/A Requesting Data...3148691552</v>
        <stp/>
        <stp>BDP|5525383893063556898</stp>
        <tr r="Y290" s="1"/>
        <tr r="Y290" s="1"/>
      </tp>
      <tp t="s">
        <v>#N/A Requesting Data...4232907828</v>
        <stp/>
        <stp>BDP|8795537977659234737</stp>
        <tr r="AC1435" s="1"/>
      </tp>
      <tp t="s">
        <v>#N/A Requesting Data...3861019848</v>
        <stp/>
        <stp>BDP|2796044794579677631</stp>
        <tr r="Y432" s="1"/>
        <tr r="Y432" s="1"/>
      </tp>
      <tp t="s">
        <v>#N/A Requesting Data...3878600505</v>
        <stp/>
        <stp>BDP|7231584700242093482</stp>
        <tr r="AA936" s="1"/>
        <tr r="AA936" s="1"/>
      </tp>
      <tp t="s">
        <v>#N/A Requesting Data...2708123938</v>
        <stp/>
        <stp>BDP|2508745506205515408</stp>
        <tr r="Y1189" s="1"/>
        <tr r="Y1189" s="1"/>
      </tp>
      <tp t="s">
        <v>#N/A Requesting Data...3749377669</v>
        <stp/>
        <stp>BDP|2833051271806835769</stp>
        <tr r="AC1014" s="1"/>
        <tr r="AC1014" s="1"/>
      </tp>
      <tp t="s">
        <v>#N/A Requesting Data...2511260176</v>
        <stp/>
        <stp>BDP|1348467196258449055</stp>
        <tr r="Z1106" s="1"/>
        <tr r="Z1106" s="1"/>
      </tp>
      <tp t="s">
        <v>#N/A Requesting Data...3527353210</v>
        <stp/>
        <stp>BDP|8154990073705832711</stp>
        <tr r="Y1224" s="1"/>
        <tr r="Y1224" s="1"/>
      </tp>
      <tp t="s">
        <v>#N/A Requesting Data...2471601811</v>
        <stp/>
        <stp>BDP|7445084533414578483</stp>
        <tr r="Y248" s="1"/>
        <tr r="Y248" s="1"/>
      </tp>
      <tp t="s">
        <v>#N/A Requesting Data...3461658978</v>
        <stp/>
        <stp>BDP|1267830274599536320</stp>
        <tr r="AC1451" s="1"/>
        <tr r="AC1451" s="1"/>
      </tp>
      <tp t="s">
        <v>#N/A Requesting Data...2509295211</v>
        <stp/>
        <stp>BDP|7693343516982748315</stp>
        <tr r="Y605" s="1"/>
        <tr r="Y605" s="1"/>
      </tp>
      <tp t="s">
        <v>#N/A Requesting Data...2846696709</v>
        <stp/>
        <stp>BDP|7035441314185559373</stp>
        <tr r="AB28" s="1"/>
        <tr r="AB28" s="1"/>
      </tp>
      <tp t="s">
        <v>#N/A Requesting Data...3667075017</v>
        <stp/>
        <stp>BDP|6231500121165664071</stp>
        <tr r="Z1554" s="1"/>
        <tr r="Z1554" s="1"/>
      </tp>
      <tp t="s">
        <v>#N/A Requesting Data...3213472867</v>
        <stp/>
        <stp>BDP|6055022033331213011</stp>
        <tr r="Y206" s="1"/>
        <tr r="Y206" s="1"/>
      </tp>
      <tp t="s">
        <v>#N/A Requesting Data...3146251373</v>
        <stp/>
        <stp>BDP|4597309450173706505</stp>
        <tr r="AA885" s="1"/>
        <tr r="AA885" s="1"/>
      </tp>
      <tp t="s">
        <v>#N/A Requesting Data...4014165483</v>
        <stp/>
        <stp>BDP|3209108442440391211</stp>
        <tr r="Y1139" s="1"/>
        <tr r="Y1139" s="1"/>
      </tp>
      <tp t="s">
        <v>#N/A Requesting Data...2959285516</v>
        <stp/>
        <stp>BDP|3994228931981081787</stp>
        <tr r="Z346" s="1"/>
        <tr r="Z346" s="1"/>
      </tp>
      <tp t="s">
        <v>#N/A Requesting Data...3474110269</v>
        <stp/>
        <stp>BDP|8247580585375947444</stp>
        <tr r="Y1015" s="1"/>
        <tr r="Y1015" s="1"/>
      </tp>
      <tp t="s">
        <v>#N/A Requesting Data...4282263410</v>
        <stp/>
        <stp>BDP|1397988169668128213</stp>
        <tr r="Y90" s="1"/>
        <tr r="Y90" s="1"/>
      </tp>
      <tp t="s">
        <v>#N/A Requesting Data...3139046594</v>
        <stp/>
        <stp>BDP|1799641010101744374</stp>
        <tr r="Y961" s="1"/>
        <tr r="Y961" s="1"/>
      </tp>
      <tp t="s">
        <v>#N/A Requesting Data...4181617400</v>
        <stp/>
        <stp>BDP|9035801364784196765</stp>
        <tr r="AB1313" s="1"/>
        <tr r="AB1313" s="1"/>
      </tp>
      <tp t="s">
        <v>#N/A Requesting Data...3062388762</v>
        <stp/>
        <stp>BDP|3031682120362927128</stp>
        <tr r="Z1546" s="1"/>
        <tr r="Z1546" s="1"/>
      </tp>
      <tp t="s">
        <v>#N/A Requesting Data...3412867892</v>
        <stp/>
        <stp>BDP|5481607125406340314</stp>
        <tr r="AC703" s="1"/>
        <tr r="AC703" s="1"/>
      </tp>
      <tp t="s">
        <v>#N/A Requesting Data...4003028325</v>
        <stp/>
        <stp>BDP|4491141734194468635</stp>
        <tr r="Y1347" s="1"/>
        <tr r="Y1347" s="1"/>
      </tp>
      <tp t="s">
        <v>#N/A Requesting Data...2679581127</v>
        <stp/>
        <stp>BDP|4607257744965776333</stp>
        <tr r="Z932" s="1"/>
        <tr r="Z932" s="1"/>
      </tp>
      <tp t="s">
        <v>#N/A Requesting Data...3511509250</v>
        <stp/>
        <stp>BDP|3545974010889340626</stp>
        <tr r="Z1336" s="1"/>
        <tr r="Z1336" s="1"/>
      </tp>
      <tp t="s">
        <v>#N/A Requesting Data...3711796442</v>
        <stp/>
        <stp>BDP|1385926417044613932</stp>
        <tr r="Y1529" s="1"/>
        <tr r="Y1529" s="1"/>
      </tp>
      <tp t="s">
        <v>#N/A Requesting Data...3524474101</v>
        <stp/>
        <stp>BDP|1057432142083536679</stp>
        <tr r="Y818" s="1"/>
        <tr r="Y818" s="1"/>
      </tp>
      <tp t="s">
        <v>#N/A Requesting Data...2866195872</v>
        <stp/>
        <stp>BDP|6713343473247746148</stp>
        <tr r="Y1182" s="1"/>
        <tr r="Y1182" s="1"/>
      </tp>
      <tp t="s">
        <v>#N/A Requesting Data...3310468826</v>
        <stp/>
        <stp>BDP|9252873319255912169</stp>
        <tr r="AB254" s="1"/>
        <tr r="AB254" s="1"/>
      </tp>
      <tp t="s">
        <v>#N/A Requesting Data...3093059193</v>
        <stp/>
        <stp>BDP|7467252266717448008</stp>
        <tr r="Y174" s="1"/>
        <tr r="Y174" s="1"/>
      </tp>
      <tp t="s">
        <v>#N/A Requesting Data...4073881668</v>
        <stp/>
        <stp>BDP|5907198230650164329</stp>
        <tr r="Y753" s="1"/>
        <tr r="Y753" s="1"/>
      </tp>
      <tp t="s">
        <v>#N/A Requesting Data...2653588116</v>
        <stp/>
        <stp>BDP|3473224057961329119</stp>
        <tr r="AC914" s="1"/>
        <tr r="AC914" s="1"/>
      </tp>
      <tp t="s">
        <v>#N/A Requesting Data...3235879286</v>
        <stp/>
        <stp>BDP|9606906155579010801</stp>
        <tr r="Z1390" s="1"/>
        <tr r="Z1390" s="1"/>
      </tp>
      <tp t="s">
        <v>#N/A Requesting Data...3872798122</v>
        <stp/>
        <stp>BDP|8257407395392164354</stp>
        <tr r="Z411" s="1"/>
        <tr r="Z411" s="1"/>
      </tp>
      <tp t="s">
        <v>#N/A Requesting Data...3903853525</v>
        <stp/>
        <stp>BDP|3726604651014513005</stp>
        <tr r="AA782" s="1"/>
        <tr r="AA782" s="1"/>
      </tp>
      <tp t="s">
        <v>#N/A Requesting Data...3369704797</v>
        <stp/>
        <stp>BDP|5974098776711631739</stp>
        <tr r="AA740" s="1"/>
        <tr r="AA740" s="1"/>
      </tp>
      <tp t="s">
        <v>#N/A Requesting Data...2860119133</v>
        <stp/>
        <stp>BDP|1578216843787031447</stp>
        <tr r="Y594" s="1"/>
        <tr r="Y594" s="1"/>
      </tp>
      <tp t="s">
        <v>#N/A Requesting Data...2917909813</v>
        <stp/>
        <stp>BDP|3392305724810110651</stp>
        <tr r="AA1027" s="1"/>
        <tr r="AA1027" s="1"/>
      </tp>
      <tp t="s">
        <v>#N/A Requesting Data...2342107211</v>
        <stp/>
        <stp>BDP|6131552351426406423</stp>
        <tr r="AC1005" s="1"/>
        <tr r="AC1005" s="1"/>
      </tp>
      <tp t="s">
        <v>#N/A Requesting Data...3172321183</v>
        <stp/>
        <stp>BDP|5401299224081975007</stp>
        <tr r="Y138" s="1"/>
        <tr r="Y138" s="1"/>
      </tp>
      <tp t="s">
        <v>#N/A Requesting Data...2875609585</v>
        <stp/>
        <stp>BDP|7445368597218013157</stp>
        <tr r="Z877" s="1"/>
        <tr r="Z877" s="1"/>
      </tp>
      <tp t="s">
        <v>#N/A Requesting Data...4213567993</v>
        <stp/>
        <stp>BDP|1383124565852072049</stp>
        <tr r="Z601" s="1"/>
        <tr r="Z601" s="1"/>
      </tp>
      <tp t="s">
        <v>#N/A Requesting Data...2659704144</v>
        <stp/>
        <stp>BDP|4263659112097134040</stp>
        <tr r="Z796" s="1"/>
        <tr r="Z796" s="1"/>
      </tp>
      <tp t="s">
        <v>#N/A Requesting Data...3990245927</v>
        <stp/>
        <stp>BDP|9383793203363857912</stp>
        <tr r="Z563" s="1"/>
        <tr r="Z563" s="1"/>
      </tp>
      <tp t="s">
        <v>#N/A Requesting Data...3899964263</v>
        <stp/>
        <stp>BDP|7858446669558498911</stp>
        <tr r="Z586" s="1"/>
        <tr r="Z586" s="1"/>
      </tp>
      <tp t="s">
        <v>#N/A Requesting Data...3318395001</v>
        <stp/>
        <stp>BDP|7802481391009213731</stp>
        <tr r="Y365" s="1"/>
        <tr r="Y365" s="1"/>
      </tp>
      <tp t="s">
        <v>#N/A Requesting Data...3625373649</v>
        <stp/>
        <stp>BDP|8905800916053965667</stp>
        <tr r="Z277" s="1"/>
        <tr r="Z277" s="1"/>
      </tp>
      <tp t="s">
        <v>#N/A Requesting Data...3284942091</v>
        <stp/>
        <stp>BDP|2490373031927400163</stp>
        <tr r="AA254" s="1"/>
        <tr r="AA254" s="1"/>
      </tp>
      <tp t="s">
        <v>#N/A Requesting Data...3886762603</v>
        <stp/>
        <stp>BDP|7501894981144540782</stp>
        <tr r="Y1556" s="1"/>
        <tr r="Y1556" s="1"/>
      </tp>
      <tp t="s">
        <v>#N/A Requesting Data...2388893989</v>
        <stp/>
        <stp>BDP|7015285212231881128</stp>
        <tr r="AA976" s="1"/>
        <tr r="AA976" s="1"/>
      </tp>
      <tp t="s">
        <v>#N/A Requesting Data...3687650913</v>
        <stp/>
        <stp>BDP|4816812879009279622</stp>
        <tr r="AA811" s="1"/>
        <tr r="AA811" s="1"/>
      </tp>
      <tp t="s">
        <v>#N/A Requesting Data...4294587055</v>
        <stp/>
        <stp>BDP|4719115000894654510</stp>
        <tr r="AC1345" s="1"/>
      </tp>
      <tp t="s">
        <v>#N/A Requesting Data...2439428266</v>
        <stp/>
        <stp>BDP|8760985421743885474</stp>
        <tr r="AB1596" s="1"/>
        <tr r="AB1596" s="1"/>
      </tp>
      <tp t="s">
        <v>#N/A Requesting Data...2442360144</v>
        <stp/>
        <stp>BDP|2527309337267320103</stp>
        <tr r="AA955" s="1"/>
        <tr r="AA955" s="1"/>
      </tp>
      <tp t="s">
        <v>#N/A Requesting Data...2751204982</v>
        <stp/>
        <stp>BDP|5899083485779618021</stp>
        <tr r="AA1060" s="1"/>
        <tr r="AA1060" s="1"/>
      </tp>
      <tp t="s">
        <v>#N/A Requesting Data...2678914493</v>
        <stp/>
        <stp>BDP|4822776722765896046</stp>
        <tr r="Y561" s="1"/>
        <tr r="Y561" s="1"/>
      </tp>
      <tp t="s">
        <v>#N/A Requesting Data...2955202832</v>
        <stp/>
        <stp>BDP|5195172007630827083</stp>
        <tr r="Z1415" s="1"/>
        <tr r="Z1415" s="1"/>
      </tp>
      <tp t="s">
        <v>#N/A Requesting Data...2995655510</v>
        <stp/>
        <stp>BDP|5603019532036458403</stp>
        <tr r="AA86" s="1"/>
        <tr r="AA86" s="1"/>
      </tp>
      <tp t="s">
        <v>#N/A Requesting Data...3085018946</v>
        <stp/>
        <stp>BDP|6066342575212089400</stp>
        <tr r="AC504" s="1"/>
        <tr r="AC504" s="1"/>
      </tp>
      <tp t="s">
        <v>#N/A Requesting Data...2431905264</v>
        <stp/>
        <stp>BDP|3352272640240456111</stp>
        <tr r="AC178" s="1"/>
        <tr r="AC178" s="1"/>
      </tp>
      <tp t="s">
        <v>#N/A Requesting Data...2414784776</v>
        <stp/>
        <stp>BDP|1643788259345762218</stp>
        <tr r="AA1053" s="1"/>
        <tr r="AA1053" s="1"/>
      </tp>
      <tp t="s">
        <v>#N/A Requesting Data...3771055903</v>
        <stp/>
        <stp>BDP|2910747216123279381</stp>
        <tr r="Y1616" s="1"/>
        <tr r="Y1616" s="1"/>
      </tp>
      <tp t="s">
        <v>#N/A Requesting Data...3116706019</v>
        <stp/>
        <stp>BDP|1629832761538157341</stp>
        <tr r="AC1163" s="1"/>
      </tp>
      <tp t="s">
        <v>#N/A Requesting Data...3595350772</v>
        <stp/>
        <stp>BDP|8692346791735336319</stp>
        <tr r="AB153" s="1"/>
        <tr r="AB153" s="1"/>
      </tp>
      <tp t="s">
        <v>#N/A Requesting Data...3416477768</v>
        <stp/>
        <stp>BDP|5422534530161668603</stp>
        <tr r="AA614" s="1"/>
      </tp>
      <tp t="s">
        <v>#N/A Requesting Data...2409575702</v>
        <stp/>
        <stp>BDP|3859103519314489349</stp>
        <tr r="Y719" s="1"/>
        <tr r="Y719" s="1"/>
      </tp>
      <tp t="s">
        <v>#N/A Requesting Data...3917633176</v>
        <stp/>
        <stp>BDP|4813786051625022707</stp>
        <tr r="AB1017" s="1"/>
        <tr r="AB1017" s="1"/>
      </tp>
      <tp t="s">
        <v>#N/A Requesting Data...2785237699</v>
        <stp/>
        <stp>BDP|3842780511706703774</stp>
        <tr r="AB853" s="1"/>
        <tr r="AB853" s="1"/>
      </tp>
      <tp t="s">
        <v>#N/A Requesting Data...3740208050</v>
        <stp/>
        <stp>BDP|2269636675770163746</stp>
        <tr r="AC970" s="1"/>
        <tr r="AC970" s="1"/>
      </tp>
      <tp t="s">
        <v>#N/A Requesting Data...3809361619</v>
        <stp/>
        <stp>BDP|1921185585025342965</stp>
        <tr r="AA79" s="1"/>
        <tr r="AA79" s="1"/>
      </tp>
      <tp t="s">
        <v>#N/A Requesting Data...3341567595</v>
        <stp/>
        <stp>BDP|2494558302657025423</stp>
        <tr r="AC507" s="1"/>
        <tr r="AC507" s="1"/>
      </tp>
      <tp t="s">
        <v>#N/A Requesting Data...4120364707</v>
        <stp/>
        <stp>BDP|8287051784083248774</stp>
        <tr r="AB376" s="1"/>
        <tr r="AB376" s="1"/>
      </tp>
      <tp t="s">
        <v>#N/A Requesting Data...2484941865</v>
        <stp/>
        <stp>BDP|3477857093450241668</stp>
        <tr r="Y912" s="1"/>
        <tr r="Y912" s="1"/>
      </tp>
      <tp t="s">
        <v>#N/A Requesting Data...2891794515</v>
        <stp/>
        <stp>BDP|9997998176377407449</stp>
        <tr r="Y8" s="1"/>
        <tr r="Y8" s="1"/>
      </tp>
      <tp t="s">
        <v>#N/A Requesting Data...3576034975</v>
        <stp/>
        <stp>BDP|3381119228011826549</stp>
        <tr r="AC425" s="1"/>
        <tr r="AC425" s="1"/>
      </tp>
      <tp t="s">
        <v>#N/A Requesting Data...3274933564</v>
        <stp/>
        <stp>BDP|1555951180936704217</stp>
        <tr r="Z160" s="1"/>
        <tr r="Z160" s="1"/>
      </tp>
      <tp t="s">
        <v>#N/A Requesting Data...2689787689</v>
        <stp/>
        <stp>BDP|2619746361105523209</stp>
        <tr r="Z1360" s="1"/>
        <tr r="Z1360" s="1"/>
      </tp>
      <tp t="s">
        <v>#N/A Requesting Data...2975764651</v>
        <stp/>
        <stp>BDP|8320150247668393141</stp>
        <tr r="AC246" s="1"/>
        <tr r="AC246" s="1"/>
      </tp>
      <tp t="s">
        <v>#N/A Requesting Data...3906118396</v>
        <stp/>
        <stp>BDP|5418081626307470488</stp>
        <tr r="Z938" s="1"/>
        <tr r="Z938" s="1"/>
      </tp>
      <tp t="s">
        <v>#N/A Requesting Data...2953737183</v>
        <stp/>
        <stp>BDP|8357028027528942693</stp>
        <tr r="AA1385" s="1"/>
        <tr r="AA1385" s="1"/>
      </tp>
      <tp t="s">
        <v>#N/A Requesting Data...4209333676</v>
        <stp/>
        <stp>BDP|4189652797448276777</stp>
        <tr r="Z786" s="1"/>
        <tr r="Z786" s="1"/>
      </tp>
      <tp t="s">
        <v>#N/A Requesting Data...3007911740</v>
        <stp/>
        <stp>BDP|4504395477660473497</stp>
        <tr r="AB82" s="1"/>
        <tr r="AB82" s="1"/>
      </tp>
      <tp t="s">
        <v>#N/A Requesting Data...2748246380</v>
        <stp/>
        <stp>BDP|2183368542458754945</stp>
        <tr r="Z304" s="1"/>
        <tr r="Z304" s="1"/>
      </tp>
      <tp t="s">
        <v>#N/A Requesting Data...3681683790</v>
        <stp/>
        <stp>BDP|6040402776125965496</stp>
        <tr r="AB63" s="1"/>
        <tr r="AB63" s="1"/>
      </tp>
      <tp t="s">
        <v>#N/A Requesting Data...3256915407</v>
        <stp/>
        <stp>BDP|8597218499382203595</stp>
        <tr r="AB497" s="1"/>
        <tr r="AB497" s="1"/>
      </tp>
      <tp t="s">
        <v>#N/A Requesting Data...4264000232</v>
        <stp/>
        <stp>BDP|1748834272548615263</stp>
        <tr r="AB727" s="1"/>
      </tp>
      <tp t="s">
        <v>#N/A Requesting Data...3951390388</v>
        <stp/>
        <stp>BDP|8242417877716759957</stp>
        <tr r="AB1583" s="1"/>
      </tp>
      <tp t="s">
        <v>#N/A Requesting Data...4119300607</v>
        <stp/>
        <stp>BDP|8715580589116703776</stp>
        <tr r="AC1277" s="1"/>
        <tr r="AC1277" s="1"/>
      </tp>
      <tp t="s">
        <v>#N/A Requesting Data...4077644802</v>
        <stp/>
        <stp>BDP|7597397013090115189</stp>
        <tr r="AA760" s="1"/>
        <tr r="AA760" s="1"/>
      </tp>
      <tp t="s">
        <v>#N/A Requesting Data...4261437645</v>
        <stp/>
        <stp>BDP|4097745062666408753</stp>
        <tr r="AA761" s="1"/>
        <tr r="AA761" s="1"/>
      </tp>
      <tp t="s">
        <v>#N/A Requesting Data...3266725928</v>
        <stp/>
        <stp>BDP|6004568217385038362</stp>
        <tr r="AC658" s="1"/>
        <tr r="AC658" s="1"/>
      </tp>
      <tp t="s">
        <v>#N/A Requesting Data...2552605185</v>
        <stp/>
        <stp>BDP|3029445500262781147</stp>
        <tr r="Z237" s="1"/>
        <tr r="Z237" s="1"/>
      </tp>
      <tp t="s">
        <v>#N/A Requesting Data...3857991129</v>
        <stp/>
        <stp>BDP|7488830514008360273</stp>
        <tr r="AC1200" s="1"/>
        <tr r="AC1200" s="1"/>
      </tp>
      <tp t="s">
        <v>#N/A Requesting Data...4017870828</v>
        <stp/>
        <stp>BDP|4108367847074781303</stp>
        <tr r="Z1406" s="1"/>
        <tr r="Z1406" s="1"/>
      </tp>
      <tp t="s">
        <v>#N/A Requesting Data...3910634697</v>
        <stp/>
        <stp>BDP|2230253934612734539</stp>
        <tr r="Y755" s="1"/>
        <tr r="Y755" s="1"/>
      </tp>
      <tp t="s">
        <v>#N/A Requesting Data...3661961754</v>
        <stp/>
        <stp>BDP|4385032816336123707</stp>
        <tr r="AC157" s="1"/>
        <tr r="AC157" s="1"/>
      </tp>
      <tp t="s">
        <v>#N/A Requesting Data...4073232899</v>
        <stp/>
        <stp>BDP|5679479514784568070</stp>
        <tr r="Y854" s="1"/>
        <tr r="Y854" s="1"/>
      </tp>
      <tp t="s">
        <v>#N/A Requesting Data...3267849272</v>
        <stp/>
        <stp>BDP|4429030387341198966</stp>
        <tr r="AB637" s="1"/>
        <tr r="AB637" s="1"/>
      </tp>
      <tp t="s">
        <v>#N/A Requesting Data...3777137515</v>
        <stp/>
        <stp>BDP|3412944073729345077</stp>
        <tr r="AB703" s="1"/>
        <tr r="AB703" s="1"/>
      </tp>
      <tp t="s">
        <v>#N/A Requesting Data...2911848361</v>
        <stp/>
        <stp>BDP|2593250162733775129</stp>
        <tr r="Y849" s="1"/>
        <tr r="Y849" s="1"/>
      </tp>
      <tp t="s">
        <v>#N/A Requesting Data...2616572918</v>
        <stp/>
        <stp>BDP|1281156371207584444</stp>
        <tr r="AC341" s="1"/>
        <tr r="AC341" s="1"/>
      </tp>
      <tp t="s">
        <v>#N/A Requesting Data...2456771000</v>
        <stp/>
        <stp>BDP|1359387175922128389</stp>
        <tr r="AA1515" s="1"/>
        <tr r="AA1515" s="1"/>
      </tp>
      <tp t="s">
        <v>#N/A Requesting Data...3540311131</v>
        <stp/>
        <stp>BDP|6270272475595381248</stp>
        <tr r="AB922" s="1"/>
        <tr r="AB922" s="1"/>
      </tp>
      <tp t="s">
        <v>#N/A Requesting Data...3789078166</v>
        <stp/>
        <stp>BDP|3725468971906312241</stp>
        <tr r="Z1052" s="1"/>
        <tr r="Z1052" s="1"/>
      </tp>
      <tp t="s">
        <v>#N/A Requesting Data...2933531908</v>
        <stp/>
        <stp>BDP|9880974803015371188</stp>
        <tr r="AB1214" s="1"/>
        <tr r="AB1214" s="1"/>
      </tp>
      <tp t="s">
        <v>#N/A Requesting Data...2828110291</v>
        <stp/>
        <stp>BDP|6371244361806694070</stp>
        <tr r="Y1543" s="1"/>
        <tr r="Y1543" s="1"/>
      </tp>
      <tp t="s">
        <v>#N/A Requesting Data...3031451435</v>
        <stp/>
        <stp>BDP|4717785641033063090</stp>
        <tr r="AC452" s="1"/>
        <tr r="AC452" s="1"/>
      </tp>
      <tp t="s">
        <v>#N/A Requesting Data...3717518407</v>
        <stp/>
        <stp>BDP|4926177059602634662</stp>
        <tr r="AB545" s="1"/>
        <tr r="AB545" s="1"/>
      </tp>
      <tp t="s">
        <v>#N/A Requesting Data...2731842964</v>
        <stp/>
        <stp>BDP|4770372326263476255</stp>
        <tr r="AC855" s="1"/>
        <tr r="AC855" s="1"/>
      </tp>
      <tp t="s">
        <v>#N/A Requesting Data...3453977854</v>
        <stp/>
        <stp>BDP|2773203075142305162</stp>
        <tr r="AB180" s="1"/>
        <tr r="AB180" s="1"/>
      </tp>
      <tp t="s">
        <v>#N/A Requesting Data...3528075649</v>
        <stp/>
        <stp>BDP|8350931606115963085</stp>
        <tr r="Y717" s="1"/>
        <tr r="Y717" s="1"/>
      </tp>
      <tp t="s">
        <v>#N/A Requesting Data...3912232470</v>
        <stp/>
        <stp>BDP|3494130659576996503</stp>
        <tr r="AC525" s="1"/>
        <tr r="AC525" s="1"/>
      </tp>
      <tp t="s">
        <v>#N/A Requesting Data...3184994528</v>
        <stp/>
        <stp>BDP|4094660660359071924</stp>
        <tr r="AC1087" s="1"/>
        <tr r="AC1087" s="1"/>
      </tp>
      <tp t="s">
        <v>#N/A Requesting Data...2965125738</v>
        <stp/>
        <stp>BDP|9768794315993750887</stp>
        <tr r="AC1502" s="1"/>
        <tr r="AC1502" s="1"/>
      </tp>
      <tp t="s">
        <v>#N/A Requesting Data...3083715373</v>
        <stp/>
        <stp>BDP|8207231131948116554</stp>
        <tr r="AC150" s="1"/>
        <tr r="AC150" s="1"/>
      </tp>
      <tp t="s">
        <v>#N/A Requesting Data...3751824154</v>
        <stp/>
        <stp>BDP|4708226350374487350</stp>
        <tr r="AA538" s="1"/>
        <tr r="AA538" s="1"/>
      </tp>
      <tp t="s">
        <v>#N/A Requesting Data...3553815353</v>
        <stp/>
        <stp>BDP|1199065242064335523</stp>
        <tr r="Z336" s="1"/>
        <tr r="Z336" s="1"/>
      </tp>
      <tp t="s">
        <v>#N/A Requesting Data...3776814064</v>
        <stp/>
        <stp>BDP|3162474222957543651</stp>
        <tr r="AB337" s="1"/>
        <tr r="AB337" s="1"/>
      </tp>
      <tp t="s">
        <v>#N/A Requesting Data...3833317529</v>
        <stp/>
        <stp>BDP|4495380928205767473</stp>
        <tr r="AB1613" s="1"/>
      </tp>
      <tp t="s">
        <v>#N/A Requesting Data...4245336407</v>
        <stp/>
        <stp>BDP|1307562954495312066</stp>
        <tr r="AB937" s="1"/>
        <tr r="AB937" s="1"/>
      </tp>
      <tp t="s">
        <v>#N/A Requesting Data...3747299118</v>
        <stp/>
        <stp>BDP|5335718421695688115</stp>
        <tr r="AB537" s="1"/>
        <tr r="AB537" s="1"/>
      </tp>
      <tp t="s">
        <v>#N/A Requesting Data...3454135514</v>
        <stp/>
        <stp>BDP|7227427393356300846</stp>
        <tr r="AA1019" s="1"/>
        <tr r="AA1019" s="1"/>
      </tp>
      <tp t="s">
        <v>#N/A Requesting Data...3555089932</v>
        <stp/>
        <stp>BDP|7607708056937012643</stp>
        <tr r="Z953" s="1"/>
        <tr r="Z953" s="1"/>
      </tp>
      <tp t="s">
        <v>#N/A Requesting Data...2684974015</v>
        <stp/>
        <stp>BDP|2775973434654337833</stp>
        <tr r="AA429" s="1"/>
        <tr r="AA429" s="1"/>
      </tp>
      <tp t="s">
        <v>#N/A Requesting Data...3101687439</v>
        <stp/>
        <stp>BDP|2616449359402702589</stp>
        <tr r="Y637" s="1"/>
        <tr r="Y637" s="1"/>
      </tp>
      <tp t="s">
        <v>#N/A Requesting Data...3011827521</v>
        <stp/>
        <stp>BDP|7574729736754540309</stp>
        <tr r="AA290" s="1"/>
        <tr r="AA290" s="1"/>
      </tp>
      <tp t="s">
        <v>#N/A Requesting Data...2746772018</v>
        <stp/>
        <stp>BDP|6202554681238615743</stp>
        <tr r="AB614" s="1"/>
      </tp>
      <tp t="s">
        <v>#N/A Requesting Data...3200393451</v>
        <stp/>
        <stp>BDP|9514954852066263747</stp>
        <tr r="AC1244" s="1"/>
        <tr r="AC1244" s="1"/>
      </tp>
      <tp t="s">
        <v>#N/A Requesting Data...3528179517</v>
        <stp/>
        <stp>BDP|5035991590118425996</stp>
        <tr r="Z41" s="1"/>
        <tr r="Z41" s="1"/>
      </tp>
      <tp t="s">
        <v>#N/A Requesting Data...2684570026</v>
        <stp/>
        <stp>BDP|5005922685337127724</stp>
        <tr r="Z204" s="1"/>
        <tr r="Z204" s="1"/>
      </tp>
      <tp t="s">
        <v>#N/A Requesting Data...4217745114</v>
        <stp/>
        <stp>BDP|1427032001544332110</stp>
        <tr r="Z704" s="1"/>
        <tr r="Z704" s="1"/>
      </tp>
      <tp t="s">
        <v>#N/A Requesting Data...4287828028</v>
        <stp/>
        <stp>BDP|8078476287570433001</stp>
        <tr r="AC836" s="1"/>
        <tr r="AC836" s="1"/>
      </tp>
      <tp t="s">
        <v>#N/A Requesting Data...2917802219</v>
        <stp/>
        <stp>BDP|3519095622914219194</stp>
        <tr r="AC573" s="1"/>
        <tr r="AC573" s="1"/>
      </tp>
      <tp t="s">
        <v>#N/A Requesting Data...3153516238</v>
        <stp/>
        <stp>BDP|1342340477165651438</stp>
        <tr r="AC18" s="1"/>
        <tr r="AC18" s="1"/>
      </tp>
      <tp t="s">
        <v>#N/A Requesting Data...3072435807</v>
        <stp/>
        <stp>BDP|6816316678712283460</stp>
        <tr r="AB1182" s="1"/>
        <tr r="AB1182" s="1"/>
      </tp>
      <tp t="s">
        <v>#N/A Requesting Data...4262246400</v>
        <stp/>
        <stp>BDP|1285474545591525400</stp>
        <tr r="AC1554" s="1"/>
        <tr r="AC1554" s="1"/>
      </tp>
      <tp t="s">
        <v>#N/A Requesting Data...3043345957</v>
        <stp/>
        <stp>BDP|4497922902560936986</stp>
        <tr r="Z1123" s="1"/>
        <tr r="Z1123" s="1"/>
      </tp>
      <tp t="s">
        <v>#N/A Requesting Data...3043393519</v>
        <stp/>
        <stp>BDP|1632733902960609243</stp>
        <tr r="Z857" s="1"/>
        <tr r="Z857" s="1"/>
      </tp>
      <tp t="s">
        <v>#N/A Requesting Data...3821998486</v>
        <stp/>
        <stp>BDP|5178264971945361106</stp>
        <tr r="AC738" s="1"/>
        <tr r="AC738" s="1"/>
      </tp>
      <tp t="s">
        <v>#N/A Requesting Data...2776053639</v>
        <stp/>
        <stp>BDP|7390297449596422324</stp>
        <tr r="AA447" s="1"/>
        <tr r="AA447" s="1"/>
      </tp>
      <tp t="s">
        <v>#N/A Requesting Data...2998232942</v>
        <stp/>
        <stp>BDP|7450760569807946575</stp>
        <tr r="AA484" s="1"/>
        <tr r="AA484" s="1"/>
      </tp>
      <tp t="s">
        <v>#N/A Requesting Data...2740625423</v>
        <stp/>
        <stp>BDP|7793444770416538636</stp>
        <tr r="Z413" s="1"/>
        <tr r="Z413" s="1"/>
      </tp>
      <tp t="s">
        <v>#N/A Requesting Data...4207529358</v>
        <stp/>
        <stp>BDP|6776948589871788281</stp>
        <tr r="AC1116" s="1"/>
        <tr r="AC1116" s="1"/>
      </tp>
      <tp t="s">
        <v>#N/A Requesting Data...2642717139</v>
        <stp/>
        <stp>BDP|2130137447162511157</stp>
        <tr r="AC1126" s="1"/>
      </tp>
      <tp t="s">
        <v>#N/A Requesting Data...2852906671</v>
        <stp/>
        <stp>BDP|2458136461331404072</stp>
        <tr r="AC33" s="1"/>
        <tr r="AC33" s="1"/>
      </tp>
      <tp t="s">
        <v>#N/A Requesting Data...2509529345</v>
        <stp/>
        <stp>BDP|6597748521474155345</stp>
        <tr r="Y1058" s="1"/>
        <tr r="Y1058" s="1"/>
      </tp>
      <tp t="s">
        <v>#N/A Requesting Data...3978656107</v>
        <stp/>
        <stp>BDP|8653626411793815881</stp>
        <tr r="AC725" s="1"/>
        <tr r="AC725" s="1"/>
      </tp>
      <tp t="s">
        <v>#N/A Requesting Data...2507667086</v>
        <stp/>
        <stp>BDP|8191892849291563118</stp>
        <tr r="AA1045" s="1"/>
        <tr r="AA1045" s="1"/>
      </tp>
      <tp t="s">
        <v>#N/A Requesting Data...3211752630</v>
        <stp/>
        <stp>BDP|3956082849741842253</stp>
        <tr r="AC1515" s="1"/>
        <tr r="AC1515" s="1"/>
      </tp>
      <tp t="s">
        <v>#N/A Requesting Data...4000220855</v>
        <stp/>
        <stp>BDP|2375276244251064153</stp>
        <tr r="AC477" s="1"/>
        <tr r="AC477" s="1"/>
      </tp>
      <tp>
        <v>1.66</v>
        <stp/>
        <stp>BDP|6054623050677008977|22</stp>
        <stp>HRTX US Equity</stp>
        <stp>LAST_PRICE</stp>
        <tr r="AD697" s="1"/>
        <tr r="AD697" s="1"/>
      </tp>
      <tp>
        <v>8.34</v>
        <stp/>
        <stp>BDP|5576973471435472845|22</stp>
        <stp>RXRX US Equity</stp>
        <stp>LAST_PRICE</stp>
        <tr r="AD1252" s="1"/>
        <tr r="AD1252" s="1"/>
      </tp>
      <tp>
        <v>0.8</v>
        <stp/>
        <stp>BDP|8582938421475634644|22</stp>
        <stp>CNTX US Equity</stp>
        <stp>LAST_PRICE</stp>
        <tr r="AD440" s="1"/>
        <tr r="AD440" s="1"/>
      </tp>
      <tp>
        <v>0.89849999999999997</v>
        <stp/>
        <stp>BDP|6227987659581299438|22</stp>
        <stp>TPST US Equity</stp>
        <stp>LAST_PRICE</stp>
        <tr r="AD1446" s="1"/>
        <tr r="AD1446" s="1"/>
      </tp>
      <tp>
        <v>3.74</v>
        <stp/>
        <stp>BDP|9114076102471387928|22</stp>
        <stp>NOTV US Equity</stp>
        <stp>LAST_PRICE</stp>
        <tr r="AD766" s="1"/>
        <tr r="AD766" s="1"/>
      </tp>
      <tp>
        <v>0.64100000000000001</v>
        <stp/>
        <stp>BDP|5772653016935430354|22</stp>
        <stp>LCTX US Equity</stp>
        <stp>LAST_PRICE</stp>
        <tr r="AD877" s="1"/>
        <tr r="AD877" s="1"/>
      </tp>
      <tp>
        <v>3.74</v>
        <stp/>
        <stp>BDP|7940293457252635857|22</stp>
        <stp>OSUR US Equity</stp>
        <stp>LAST_PRICE</stp>
        <tr r="AD1104" s="1"/>
        <tr r="AD1104" s="1"/>
      </tp>
      <tp>
        <v>0.03</v>
        <stp/>
        <stp>BDP|1230782978896806015|22</stp>
        <stp>SQZB US Equity</stp>
        <stp>LAST_PRICE</stp>
        <tr r="AD1390" s="1"/>
        <tr r="AD1390" s="1"/>
      </tp>
      <tp>
        <v>20.09</v>
        <stp/>
        <stp>BDP|3632831003470508546|22</stp>
        <stp>STVN US Equity</stp>
        <stp>LAST_PRICE</stp>
        <tr r="AD1401" s="1"/>
        <tr r="AD1401" s="1"/>
      </tp>
      <tp t="s">
        <v>#N/A N/A</v>
        <stp/>
        <stp>BDP|5016899798532434009|22</stp>
        <stp>MCTH US Equity</stp>
        <stp>LAST_PRICE</stp>
        <tr r="AD918" s="1"/>
      </tp>
      <tp>
        <v>0.89</v>
        <stp/>
        <stp>BDP|2791489311921561097|22</stp>
        <stp>TSND CN Equity</stp>
        <stp>LAST_PRICE</stp>
        <tr r="AD1453" s="1"/>
        <tr r="AD1453" s="1"/>
      </tp>
      <tp>
        <v>4.82</v>
        <stp/>
        <stp>BDP|7930243608378764618|22</stp>
        <stp>NDRA US Equity</stp>
        <stp>LAST_PRICE</stp>
        <tr r="AD556" s="1"/>
        <tr r="AD556" s="1"/>
      </tp>
      <tp>
        <v>3.8</v>
        <stp/>
        <stp>BDP|2011718395160247979|22</stp>
        <stp>SOPH US Equity</stp>
        <stp>LAST_PRICE</stp>
        <tr r="AD1376" s="1"/>
        <tr r="AD1376" s="1"/>
      </tp>
      <tp>
        <v>0.2712</v>
        <stp/>
        <stp>BDP|5113828241212191467|22</stp>
        <stp>ARTH US Equity</stp>
        <stp>LAST_PRICE</stp>
        <tr r="AD158" s="1"/>
        <tr r="AD158" s="1"/>
      </tp>
      <tp>
        <v>8.0000000000000002E-3</v>
        <stp/>
        <stp>BDP|4675858549256158626|22</stp>
        <stp>EDXC US Equity</stp>
        <stp>LAST_PRICE</stp>
        <tr r="AD554" s="1"/>
        <tr r="AD554" s="1"/>
      </tp>
      <tp>
        <v>0.74770000000000003</v>
        <stp/>
        <stp>BDP|8021959420294314843|22</stp>
        <stp>IPSC US Equity</stp>
        <stp>LAST_PRICE</stp>
        <tr r="AD379" s="1"/>
        <tr r="AD379" s="1"/>
      </tp>
      <tp>
        <v>107.76</v>
        <stp/>
        <stp>BDP|7710817622761069368|22</stp>
        <stp>MMSI US Equity</stp>
        <stp>LAST_PRICE</stp>
        <tr r="AD943" s="1"/>
        <tr r="AD943" s="1"/>
      </tp>
      <tp>
        <v>1.31</v>
        <stp/>
        <stp>BDP|8644522783729224575|22</stp>
        <stp>ZVSA US Equity</stp>
        <stp>LAST_PRICE</stp>
        <tr r="AD1622" s="1"/>
        <tr r="AD1622" s="1"/>
      </tp>
      <tp>
        <v>0.125</v>
        <stp/>
        <stp>BDP|7083660518688428687|22</stp>
        <stp>VASO US Equity</stp>
        <stp>LAST_PRICE</stp>
        <tr r="AD1522" s="1"/>
        <tr r="AD1522" s="1"/>
      </tp>
      <tp>
        <v>0.55500000000000005</v>
        <stp/>
        <stp>BDP|7136611344058583031|22</stp>
        <stp>EKSO US Equity</stp>
        <stp>LAST_PRICE</stp>
        <tr r="AD536" s="1"/>
        <tr r="AD536" s="1"/>
      </tp>
      <tp>
        <v>1E-4</v>
        <stp/>
        <stp>BDP|2201406431964620530|22</stp>
        <stp>SUWN US Equity</stp>
        <stp>LAST_PRICE</stp>
        <tr r="AD1413" s="1"/>
        <tr r="AD1413" s="1"/>
      </tp>
      <tp>
        <v>1.21</v>
        <stp/>
        <stp>BDP|5081446558917932732|22</stp>
        <stp>NUWE US Equity</stp>
        <stp>LAST_PRICE</stp>
        <tr r="AD1069" s="1"/>
        <tr r="AD1069" s="1"/>
      </tp>
      <tp>
        <v>0.1845</v>
        <stp/>
        <stp>BDP|17851720624124270614|22</stp>
        <stp>UPC US Equity</stp>
        <stp>LAST_PRICE</stp>
        <tr r="AD1510" s="1"/>
        <tr r="AD1510" s="1"/>
      </tp>
      <tp>
        <v>0.24</v>
        <stp/>
        <stp>BDP|10543358207132730922|22</stp>
        <stp>HEM CN Equity</stp>
        <stp>LAST_PRICE</stp>
        <tr r="AD692" s="1"/>
        <tr r="AD692" s="1"/>
      </tp>
      <tp t="s">
        <v>#N/A Requesting Data...2475325473</v>
        <stp/>
        <stp>BDP|1695853923858887622</stp>
        <tr r="AC88" s="1"/>
        <tr r="AC88" s="1"/>
      </tp>
      <tp t="s">
        <v>#N/A Requesting Data...3900633186</v>
        <stp/>
        <stp>BDP|2035393765197590530</stp>
        <tr r="AA512" s="1"/>
        <tr r="AA512" s="1"/>
      </tp>
      <tp t="s">
        <v>#N/A Requesting Data...3260122784</v>
        <stp/>
        <stp>BDP|3609872619539091624</stp>
        <tr r="AC1522" s="1"/>
        <tr r="AC1522" s="1"/>
      </tp>
      <tp t="s">
        <v>#N/A Requesting Data...3251278717</v>
        <stp/>
        <stp>BDP|9191082364752215850</stp>
        <tr r="AA1277" s="1"/>
        <tr r="AA1277" s="1"/>
      </tp>
      <tp t="s">
        <v>#N/A Requesting Data...3604161459</v>
        <stp/>
        <stp>BDP|2808287769230011338</stp>
        <tr r="AB1042" s="1"/>
        <tr r="AB1042" s="1"/>
      </tp>
      <tp t="s">
        <v>#N/A Requesting Data...3016800104</v>
        <stp/>
        <stp>BDP|1445461720815826700</stp>
        <tr r="Z1182" s="1"/>
        <tr r="Z1182" s="1"/>
      </tp>
      <tp t="s">
        <v>#N/A Requesting Data...3626562103</v>
        <stp/>
        <stp>BDP|1371881482481779547</stp>
        <tr r="Z1318" s="1"/>
        <tr r="Z1318" s="1"/>
      </tp>
      <tp t="s">
        <v>#N/A Requesting Data...4128569788</v>
        <stp/>
        <stp>BDP|3083134513293387593</stp>
        <tr r="Y1498" s="1"/>
        <tr r="Y1498" s="1"/>
      </tp>
      <tp t="s">
        <v>#N/A Requesting Data...2797766515</v>
        <stp/>
        <stp>BDP|9798026910834847977</stp>
        <tr r="Y661" s="1"/>
        <tr r="Y661" s="1"/>
      </tp>
      <tp t="s">
        <v>#N/A Requesting Data...4090101146</v>
        <stp/>
        <stp>BDP|5787760470781899130</stp>
        <tr r="AC63" s="1"/>
        <tr r="AC63" s="1"/>
      </tp>
      <tp t="s">
        <v>#N/A Requesting Data...3588830611</v>
        <stp/>
        <stp>BDP|2072111075345939470</stp>
        <tr r="Z1378" s="1"/>
        <tr r="Z1378" s="1"/>
      </tp>
      <tp t="s">
        <v>#N/A Requesting Data...3435634798</v>
        <stp/>
        <stp>BDP|9626899270400045342</stp>
        <tr r="Z1312" s="1"/>
        <tr r="Z1312" s="1"/>
      </tp>
      <tp t="s">
        <v>#N/A Requesting Data...3291821662</v>
        <stp/>
        <stp>BDP|3537092504960036633</stp>
        <tr r="Z378" s="1"/>
        <tr r="Z378" s="1"/>
      </tp>
      <tp t="s">
        <v>#N/A Requesting Data...3192629611</v>
        <stp/>
        <stp>BDP|8098069459669386176</stp>
        <tr r="Z1356" s="1"/>
        <tr r="Z1356" s="1"/>
      </tp>
      <tp t="s">
        <v>#N/A Requesting Data...3210772638</v>
        <stp/>
        <stp>BDP|4471790127233271739</stp>
        <tr r="AB751" s="1"/>
        <tr r="AB751" s="1"/>
      </tp>
      <tp t="s">
        <v>#N/A Requesting Data...3700184523</v>
        <stp/>
        <stp>BDP|7418012259146200159</stp>
        <tr r="AB1047" s="1"/>
        <tr r="AB1047" s="1"/>
      </tp>
      <tp t="s">
        <v>#N/A Requesting Data...3652479319</v>
        <stp/>
        <stp>BDP|3350183537684125068</stp>
        <tr r="AB1289" s="1"/>
        <tr r="AB1289" s="1"/>
      </tp>
      <tp t="s">
        <v>#N/A Requesting Data...3931766899</v>
        <stp/>
        <stp>BDP|7737507285789970609</stp>
        <tr r="AA1532" s="1"/>
        <tr r="AA1532" s="1"/>
      </tp>
      <tp t="s">
        <v>#N/A Requesting Data...3035996164</v>
        <stp/>
        <stp>BDP|8859732845719545705</stp>
        <tr r="AC355" s="1"/>
      </tp>
      <tp t="s">
        <v>#N/A Requesting Data...3299885972</v>
        <stp/>
        <stp>BDP|3760316917494207085</stp>
        <tr r="Y1530" s="1"/>
        <tr r="Y1530" s="1"/>
      </tp>
      <tp t="s">
        <v>#N/A Requesting Data...4237984582</v>
        <stp/>
        <stp>BDP|7028347055830342498</stp>
        <tr r="Z1261" s="1"/>
        <tr r="Z1261" s="1"/>
      </tp>
      <tp t="s">
        <v>#N/A Requesting Data...2610394368</v>
        <stp/>
        <stp>BDP|8039582130562734946</stp>
        <tr r="AA1234" s="1"/>
        <tr r="AA1234" s="1"/>
      </tp>
      <tp t="s">
        <v>#N/A Requesting Data...2492734478</v>
        <stp/>
        <stp>BDP|9496675078708199512</stp>
        <tr r="Z971" s="1"/>
        <tr r="Z971" s="1"/>
      </tp>
      <tp t="s">
        <v>#N/A Requesting Data...3478429948</v>
        <stp/>
        <stp>BDP|7698189917545171737</stp>
        <tr r="Z231" s="1"/>
        <tr r="Z231" s="1"/>
      </tp>
      <tp t="s">
        <v>#N/A Requesting Data...4242310427</v>
        <stp/>
        <stp>BDP|5550760520225022080</stp>
        <tr r="AA1117" s="1"/>
        <tr r="AA1117" s="1"/>
      </tp>
      <tp t="s">
        <v>#N/A Requesting Data...2628418050</v>
        <stp/>
        <stp>BDP|5897229227175652500</stp>
        <tr r="AC744" s="1"/>
        <tr r="AC744" s="1"/>
      </tp>
      <tp t="s">
        <v>#N/A Requesting Data...3876434932</v>
        <stp/>
        <stp>BDP|1681339670147838764</stp>
        <tr r="Y1245" s="1"/>
        <tr r="Y1245" s="1"/>
      </tp>
      <tp t="s">
        <v>#N/A Requesting Data...3833070807</v>
        <stp/>
        <stp>BDP|3660282018784444191</stp>
        <tr r="AC831" s="1"/>
        <tr r="AC831" s="1"/>
      </tp>
      <tp t="s">
        <v>#N/A Requesting Data...4212730773</v>
        <stp/>
        <stp>BDP|8848754306028631265</stp>
        <tr r="AC1455" s="1"/>
        <tr r="AC1455" s="1"/>
      </tp>
      <tp t="s">
        <v>#N/A Requesting Data...2560890522</v>
        <stp/>
        <stp>BDP|1677734709965101652</stp>
        <tr r="Z318" s="1"/>
        <tr r="Z318" s="1"/>
      </tp>
      <tp t="s">
        <v>#N/A Requesting Data...3784241855</v>
        <stp/>
        <stp>BDP|6291595441593331112</stp>
        <tr r="AC362" s="1"/>
        <tr r="AC362" s="1"/>
      </tp>
      <tp t="s">
        <v>#N/A Requesting Data...4246922087</v>
        <stp/>
        <stp>BDP|6678264348733295620</stp>
        <tr r="AA1602" s="1"/>
        <tr r="AA1602" s="1"/>
      </tp>
      <tp t="s">
        <v>#N/A Requesting Data...2939249459</v>
        <stp/>
        <stp>BDP|3387380962173658070</stp>
        <tr r="Y179" s="1"/>
      </tp>
      <tp t="s">
        <v>#N/A Requesting Data...2959282816</v>
        <stp/>
        <stp>BDP|6649649574606906477</stp>
        <tr r="AA931" s="1"/>
        <tr r="AA931" s="1"/>
      </tp>
      <tp t="s">
        <v>#N/A Requesting Data...3618784514</v>
        <stp/>
        <stp>BDP|1499910511638420482</stp>
        <tr r="AB1405" s="1"/>
        <tr r="AB1405" s="1"/>
      </tp>
      <tp t="s">
        <v>#N/A Requesting Data...3288503100</v>
        <stp/>
        <stp>BDP|1648330002405799287</stp>
        <tr r="Z43" s="1"/>
        <tr r="Z43" s="1"/>
      </tp>
      <tp t="s">
        <v>#N/A Requesting Data...3780732665</v>
        <stp/>
        <stp>BDP|3349718519287378707</stp>
        <tr r="Z124" s="1"/>
        <tr r="Z124" s="1"/>
      </tp>
      <tp t="s">
        <v>#N/A Requesting Data...2985855303</v>
        <stp/>
        <stp>BDP|6008537439526396315</stp>
        <tr r="Z1202" s="1"/>
        <tr r="Z1202" s="1"/>
      </tp>
      <tp t="s">
        <v>#N/A Requesting Data...3472857154</v>
        <stp/>
        <stp>BDP|2852302629437011193</stp>
        <tr r="AA1578" s="1"/>
        <tr r="AA1578" s="1"/>
      </tp>
      <tp t="s">
        <v>#N/A Requesting Data...3364610039</v>
        <stp/>
        <stp>BDP|7186590154557582514</stp>
        <tr r="AC1263" s="1"/>
        <tr r="AC1263" s="1"/>
      </tp>
      <tp t="s">
        <v>#N/A Requesting Data...3648277574</v>
        <stp/>
        <stp>BDP|1953847748211559984</stp>
        <tr r="Y34" s="1"/>
      </tp>
      <tp t="s">
        <v>#N/A Requesting Data...3409378614</v>
        <stp/>
        <stp>BDP|6214797955281733015</stp>
        <tr r="Y550" s="1"/>
        <tr r="Y550" s="1"/>
      </tp>
      <tp t="s">
        <v>#N/A Requesting Data...3556763367</v>
        <stp/>
        <stp>BDP|7934822665015558930</stp>
        <tr r="AC447" s="1"/>
        <tr r="AC447" s="1"/>
      </tp>
      <tp t="s">
        <v>#N/A Requesting Data...3418670391</v>
        <stp/>
        <stp>BDP|8479609111533418983</stp>
        <tr r="AB161" s="1"/>
        <tr r="AB161" s="1"/>
      </tp>
      <tp t="s">
        <v>#N/A Requesting Data...3108717402</v>
        <stp/>
        <stp>BDP|9115385040988351331</stp>
        <tr r="AA1435" s="1"/>
      </tp>
      <tp t="s">
        <v>#N/A Requesting Data...3424622163</v>
        <stp/>
        <stp>BDP|8059407613651382996</stp>
        <tr r="AB77" s="1"/>
        <tr r="AB77" s="1"/>
      </tp>
      <tp t="s">
        <v>#N/A Requesting Data...2990526632</v>
        <stp/>
        <stp>BDP|2413774815961669096</stp>
        <tr r="Z913" s="1"/>
        <tr r="Z913" s="1"/>
      </tp>
      <tp t="s">
        <v>#N/A Requesting Data...3098393932</v>
        <stp/>
        <stp>BDP|4102258328555686439</stp>
        <tr r="AA117" s="1"/>
        <tr r="AA117" s="1"/>
      </tp>
      <tp t="s">
        <v>#N/A Requesting Data...3770025639</v>
        <stp/>
        <stp>BDP|1852295233684886132</stp>
        <tr r="Z891" s="1"/>
        <tr r="Z891" s="1"/>
      </tp>
      <tp t="s">
        <v>#N/A Requesting Data...4070109815</v>
        <stp/>
        <stp>BDP|3526423319272564124</stp>
        <tr r="AA1157" s="1"/>
        <tr r="AA1157" s="1"/>
      </tp>
      <tp t="s">
        <v>#N/A Requesting Data...2599022562</v>
        <stp/>
        <stp>BDP|7807459274010097101</stp>
        <tr r="AB356" s="1"/>
        <tr r="AB356" s="1"/>
      </tp>
      <tp t="s">
        <v>#N/A Requesting Data...3754064666</v>
        <stp/>
        <stp>BDP|7702555962505934402</stp>
        <tr r="AC329" s="1"/>
        <tr r="AC329" s="1"/>
      </tp>
      <tp t="s">
        <v>#N/A Requesting Data...2747960444</v>
        <stp/>
        <stp>BDP|8278657187315916606</stp>
        <tr r="Y896" s="1"/>
        <tr r="Y896" s="1"/>
      </tp>
      <tp t="s">
        <v>#N/A Requesting Data...3439752420</v>
        <stp/>
        <stp>BDP|4873760804274270215</stp>
        <tr r="AB827" s="1"/>
        <tr r="AB827" s="1"/>
      </tp>
      <tp t="s">
        <v>#N/A Requesting Data...4033253549</v>
        <stp/>
        <stp>BDP|1121644166641830525</stp>
        <tr r="Z1478" s="1"/>
        <tr r="Z1478" s="1"/>
      </tp>
      <tp t="s">
        <v>#N/A Requesting Data...3832931585</v>
        <stp/>
        <stp>BDP|4913931887328016844</stp>
        <tr r="AA1293" s="1"/>
        <tr r="AA1293" s="1"/>
      </tp>
      <tp t="s">
        <v>#N/A Requesting Data...2942777605</v>
        <stp/>
        <stp>BDP|5486565064352168191</stp>
        <tr r="AC464" s="1"/>
        <tr r="AC464" s="1"/>
      </tp>
      <tp t="s">
        <v>#N/A Requesting Data...2881732816</v>
        <stp/>
        <stp>BDP|4543129334731825253</stp>
        <tr r="AA313" s="1"/>
        <tr r="AA313" s="1"/>
      </tp>
      <tp t="s">
        <v>#N/A Requesting Data...2692261852</v>
        <stp/>
        <stp>BDP|3242298779157530495</stp>
        <tr r="AA296" s="1"/>
        <tr r="AA296" s="1"/>
      </tp>
      <tp t="s">
        <v>#N/A Requesting Data...3997765768</v>
        <stp/>
        <stp>BDP|7248734449935555431</stp>
        <tr r="AA61" s="1"/>
        <tr r="AA61" s="1"/>
      </tp>
      <tp t="s">
        <v>#N/A Requesting Data...2803435840</v>
        <stp/>
        <stp>BDP|1067531478914566207</stp>
        <tr r="AB526" s="1"/>
        <tr r="AB526" s="1"/>
      </tp>
      <tp t="s">
        <v>#N/A Requesting Data...2727143573</v>
        <stp/>
        <stp>BDP|1295430779516236141</stp>
        <tr r="AA174" s="1"/>
        <tr r="AA174" s="1"/>
      </tp>
      <tp t="s">
        <v>#N/A Requesting Data...3756809780</v>
        <stp/>
        <stp>BDP|4785597670110853385</stp>
        <tr r="AC1556" s="1"/>
        <tr r="AC1556" s="1"/>
      </tp>
      <tp t="s">
        <v>#N/A Requesting Data...3999660213</v>
        <stp/>
        <stp>BDP|5832309839378720885</stp>
        <tr r="Z1062" s="1"/>
        <tr r="Z1062" s="1"/>
      </tp>
      <tp t="s">
        <v>#N/A Requesting Data...2749687727</v>
        <stp/>
        <stp>BDP|9573794903373010810</stp>
        <tr r="AC1080" s="1"/>
        <tr r="AC1080" s="1"/>
      </tp>
      <tp t="s">
        <v>#N/A Requesting Data...4081925117</v>
        <stp/>
        <stp>BDP|4161440308635544064</stp>
        <tr r="AB704" s="1"/>
        <tr r="AB704" s="1"/>
      </tp>
      <tp t="s">
        <v>#N/A Requesting Data...3029694575</v>
        <stp/>
        <stp>BDP|8144952933523868415</stp>
        <tr r="AB1519" s="1"/>
        <tr r="AB1519" s="1"/>
      </tp>
      <tp t="s">
        <v>#N/A Requesting Data...4097471653</v>
        <stp/>
        <stp>BDP|7249684604782662662</stp>
        <tr r="AA800" s="1"/>
        <tr r="AA800" s="1"/>
      </tp>
      <tp t="s">
        <v>#N/A Requesting Data...4195380594</v>
        <stp/>
        <stp>BDP|1475917579442258802</stp>
        <tr r="AA448" s="1"/>
        <tr r="AA448" s="1"/>
      </tp>
      <tp t="s">
        <v>#N/A Requesting Data...3839208237</v>
        <stp/>
        <stp>BDP|2691219628032795572</stp>
        <tr r="AA1499" s="1"/>
        <tr r="AA1499" s="1"/>
      </tp>
      <tp t="s">
        <v>#N/A Requesting Data...2756822544</v>
        <stp/>
        <stp>BDP|3990561206325131673</stp>
        <tr r="AB1441" s="1"/>
        <tr r="AB1441" s="1"/>
      </tp>
      <tp t="s">
        <v>#N/A Requesting Data...3867028556</v>
        <stp/>
        <stp>BDP|8806908853825484402</stp>
        <tr r="Y668" s="1"/>
        <tr r="Y668" s="1"/>
      </tp>
      <tp t="s">
        <v>#N/A Requesting Data...3718697720</v>
        <stp/>
        <stp>BDP|5327779568315444470</stp>
        <tr r="Z1097" s="1"/>
        <tr r="Z1097" s="1"/>
      </tp>
      <tp t="s">
        <v>#N/A Requesting Data...2982319178</v>
        <stp/>
        <stp>BDP|4961119183898597012</stp>
        <tr r="Y228" s="1"/>
        <tr r="Y228" s="1"/>
      </tp>
      <tp t="s">
        <v>#N/A Requesting Data...3275367862</v>
        <stp/>
        <stp>BDP|1246161413895025180</stp>
        <tr r="Y639" s="1"/>
        <tr r="Y639" s="1"/>
      </tp>
      <tp t="s">
        <v>#N/A Requesting Data...3775767714</v>
        <stp/>
        <stp>BDP|3257452839551093014</stp>
        <tr r="AA1519" s="1"/>
        <tr r="AA1519" s="1"/>
      </tp>
      <tp t="s">
        <v>#N/A Requesting Data...2526324187</v>
        <stp/>
        <stp>BDP|9490199884627014269</stp>
        <tr r="Y1407" s="1"/>
        <tr r="Y1407" s="1"/>
      </tp>
      <tp t="s">
        <v>#N/A Requesting Data...3948910676</v>
        <stp/>
        <stp>BDP|8761993609397011387</stp>
        <tr r="Y1354" s="1"/>
        <tr r="Y1354" s="1"/>
      </tp>
      <tp t="s">
        <v>#N/A Requesting Data...3817542962</v>
        <stp/>
        <stp>BDP|1048374262375861426</stp>
        <tr r="AB1410" s="1"/>
        <tr r="AB1410" s="1"/>
      </tp>
      <tp t="s">
        <v>#N/A Requesting Data...3387960796</v>
        <stp/>
        <stp>BDP|4116171823772331096</stp>
        <tr r="Y294" s="1"/>
        <tr r="Y294" s="1"/>
      </tp>
      <tp t="s">
        <v>#N/A Requesting Data...2721338111</v>
        <stp/>
        <stp>BDP|2369693879740961651</stp>
        <tr r="AB848" s="1"/>
        <tr r="AB848" s="1"/>
      </tp>
      <tp t="s">
        <v>#N/A Requesting Data...2839758115</v>
        <stp/>
        <stp>BDP|4993658165359155870</stp>
        <tr r="AB260" s="1"/>
        <tr r="AB260" s="1"/>
      </tp>
      <tp t="s">
        <v>#N/A Requesting Data...2720047559</v>
        <stp/>
        <stp>BDP|6672132829471517167</stp>
        <tr r="AB1115" s="1"/>
        <tr r="AB1115" s="1"/>
      </tp>
      <tp t="s">
        <v>#N/A Requesting Data...3248422381</v>
        <stp/>
        <stp>BDP|5996667044545745739</stp>
        <tr r="AA1113" s="1"/>
        <tr r="AA1113" s="1"/>
      </tp>
      <tp t="s">
        <v>#N/A Requesting Data...3244679279</v>
        <stp/>
        <stp>BDP|6895609965685433663</stp>
        <tr r="Y134" s="1"/>
        <tr r="Y134" s="1"/>
      </tp>
      <tp t="s">
        <v>#N/A Requesting Data...3961457386</v>
        <stp/>
        <stp>BDP|4077889793391681123</stp>
        <tr r="AB493" s="1"/>
        <tr r="AB493" s="1"/>
      </tp>
      <tp t="s">
        <v>#N/A Requesting Data...3398198562</v>
        <stp/>
        <stp>BDP|2775368168837353569</stp>
        <tr r="AB248" s="1"/>
        <tr r="AB248" s="1"/>
      </tp>
      <tp t="s">
        <v>#N/A Requesting Data...3954590609</v>
        <stp/>
        <stp>BDP|1980898192726686385</stp>
        <tr r="Y44" s="1"/>
        <tr r="Y44" s="1"/>
      </tp>
      <tp t="s">
        <v>#N/A Requesting Data...2615616365</v>
        <stp/>
        <stp>BDP|2469463647594089395</stp>
        <tr r="AC410" s="1"/>
        <tr r="AC410" s="1"/>
      </tp>
      <tp t="s">
        <v>#N/A Requesting Data...2775104109</v>
        <stp/>
        <stp>BDP|4799848289535214449</stp>
        <tr r="Y521" s="1"/>
        <tr r="Y521" s="1"/>
      </tp>
      <tp t="s">
        <v>#N/A Requesting Data...3713215104</v>
        <stp/>
        <stp>BDP|8624429201589128083</stp>
        <tr r="Z829" s="1"/>
        <tr r="Z829" s="1"/>
      </tp>
      <tp t="s">
        <v>#N/A Requesting Data...3240043677</v>
        <stp/>
        <stp>BDP|6203908490586831561</stp>
        <tr r="Y168" s="1"/>
        <tr r="Y168" s="1"/>
      </tp>
      <tp t="s">
        <v>#N/A Requesting Data...2876901917</v>
        <stp/>
        <stp>BDP|2951297238563151553</stp>
        <tr r="AA392" s="1"/>
        <tr r="AA392" s="1"/>
      </tp>
      <tp t="s">
        <v>#N/A Requesting Data...3543277205</v>
        <stp/>
        <stp>BDP|5967288948051287776</stp>
        <tr r="AB1465" s="1"/>
        <tr r="AB1465" s="1"/>
      </tp>
      <tp t="s">
        <v>#N/A Requesting Data...3911284319</v>
        <stp/>
        <stp>BDP|4806593518255360064</stp>
        <tr r="Y660" s="1"/>
        <tr r="Y660" s="1"/>
      </tp>
      <tp t="s">
        <v>#N/A Requesting Data...3139969423</v>
        <stp/>
        <stp>BDP|9330951219360638450</stp>
        <tr r="AB1097" s="1"/>
        <tr r="AB1097" s="1"/>
      </tp>
      <tp t="s">
        <v>#N/A Requesting Data...2661475455</v>
        <stp/>
        <stp>BDP|9584165109985053863</stp>
        <tr r="AB1424" s="1"/>
        <tr r="AB1424" s="1"/>
      </tp>
      <tp t="s">
        <v>#N/A Requesting Data...3343564399</v>
        <stp/>
        <stp>BDP|1093506521865821652</stp>
        <tr r="Z1594" s="1"/>
        <tr r="Z1594" s="1"/>
      </tp>
      <tp t="s">
        <v>#N/A Requesting Data...3873865663</v>
        <stp/>
        <stp>BDP|2858747665755334361</stp>
        <tr r="Z383" s="1"/>
        <tr r="Z383" s="1"/>
      </tp>
      <tp t="s">
        <v>#N/A Requesting Data...3641294180</v>
        <stp/>
        <stp>BDP|5438056337740907334</stp>
        <tr r="Z739" s="1"/>
        <tr r="Z739" s="1"/>
      </tp>
      <tp t="s">
        <v>#N/A Requesting Data...3294642339</v>
        <stp/>
        <stp>BDP|7162624039186181163</stp>
        <tr r="AC654" s="1"/>
        <tr r="AC654" s="1"/>
      </tp>
      <tp t="s">
        <v>#N/A Requesting Data...3956195096</v>
        <stp/>
        <stp>BDP|3269198414002173433</stp>
        <tr r="AC803" s="1"/>
        <tr r="AC803" s="1"/>
      </tp>
      <tp t="s">
        <v>#N/A Requesting Data...2728612464</v>
        <stp/>
        <stp>BDP|7938636237857200027</stp>
        <tr r="AC866" s="1"/>
        <tr r="AC866" s="1"/>
      </tp>
      <tp t="s">
        <v>#N/A Requesting Data...3411381188</v>
        <stp/>
        <stp>BDP|1861144627920224745</stp>
        <tr r="AA1447" s="1"/>
        <tr r="AA1447" s="1"/>
      </tp>
      <tp t="s">
        <v>#N/A Requesting Data...3374480979</v>
        <stp/>
        <stp>BDP|4994163280759088129</stp>
        <tr r="AA510" s="1"/>
        <tr r="AA510" s="1"/>
      </tp>
      <tp t="s">
        <v>#N/A Requesting Data...4071178424</v>
        <stp/>
        <stp>BDP|2099721260090746682</stp>
        <tr r="AB854" s="1"/>
        <tr r="AB854" s="1"/>
      </tp>
      <tp t="s">
        <v>#N/A Requesting Data...3743316397</v>
        <stp/>
        <stp>BDP|2767956363390868844</stp>
        <tr r="AB764" s="1"/>
        <tr r="AB764" s="1"/>
      </tp>
      <tp t="s">
        <v>#N/A Requesting Data...3480251318</v>
        <stp/>
        <stp>BDP|9289967951684104499</stp>
        <tr r="AB401" s="1"/>
        <tr r="AB401" s="1"/>
      </tp>
      <tp t="s">
        <v>#N/A Requesting Data...2739483738</v>
        <stp/>
        <stp>BDP|2766095813172869487</stp>
        <tr r="AC753" s="1"/>
        <tr r="AC753" s="1"/>
      </tp>
      <tp t="s">
        <v>#N/A Requesting Data...2695561634</v>
        <stp/>
        <stp>BDP|6835690351252962244</stp>
        <tr r="AA884" s="1"/>
        <tr r="AA884" s="1"/>
      </tp>
      <tp t="s">
        <v>#N/A Requesting Data...3511515010</v>
        <stp/>
        <stp>BDP|2881991618846330977</stp>
        <tr r="Z1275" s="1"/>
        <tr r="Z1275" s="1"/>
      </tp>
      <tp t="s">
        <v>#N/A Requesting Data...4218361945</v>
        <stp/>
        <stp>BDP|3050236620924744299</stp>
        <tr r="AB1456" s="1"/>
        <tr r="AB1456" s="1"/>
      </tp>
      <tp t="s">
        <v>#N/A Requesting Data...3271681753</v>
        <stp/>
        <stp>BDP|5886395736298902839</stp>
        <tr r="Y1577" s="1"/>
        <tr r="Y1577" s="1"/>
      </tp>
      <tp t="s">
        <v>#N/A Requesting Data...3127852728</v>
        <stp/>
        <stp>BDP|6041703564472918004</stp>
        <tr r="AA631" s="1"/>
        <tr r="AA631" s="1"/>
      </tp>
      <tp t="s">
        <v>#N/A Requesting Data...2760197117</v>
        <stp/>
        <stp>BDP|2379071600107584037</stp>
        <tr r="AB1395" s="1"/>
        <tr r="AB1395" s="1"/>
      </tp>
      <tp t="s">
        <v>#N/A Requesting Data...3599188129</v>
        <stp/>
        <stp>BDP|7062092048135199326</stp>
        <tr r="Z824" s="1"/>
        <tr r="Z824" s="1"/>
      </tp>
      <tp t="s">
        <v>#N/A Requesting Data...2974437041</v>
        <stp/>
        <stp>BDP|2731389551131474081</stp>
        <tr r="AA1552" s="1"/>
        <tr r="AA1552" s="1"/>
      </tp>
      <tp t="s">
        <v>#N/A Requesting Data...2644499679</v>
        <stp/>
        <stp>BDP|5998312728426572775</stp>
        <tr r="AA747" s="1"/>
        <tr r="AA747" s="1"/>
      </tp>
      <tp t="s">
        <v>#N/A Requesting Data...2572409469</v>
        <stp/>
        <stp>BDP|4760858034598619226</stp>
        <tr r="AA655" s="1"/>
        <tr r="AA655" s="1"/>
      </tp>
      <tp t="s">
        <v>#N/A Requesting Data...3219081306</v>
        <stp/>
        <stp>BDP|4463902475529594666</stp>
        <tr r="AB1180" s="1"/>
        <tr r="AB1180" s="1"/>
      </tp>
      <tp t="s">
        <v>#N/A Requesting Data...3398694912</v>
        <stp/>
        <stp>BDP|5500265871424093106</stp>
        <tr r="Z183" s="1"/>
        <tr r="Z183" s="1"/>
      </tp>
      <tp t="s">
        <v>#N/A Requesting Data...3264817123</v>
        <stp/>
        <stp>BDP|4636691329561258463</stp>
        <tr r="AB378" s="1"/>
        <tr r="AB378" s="1"/>
      </tp>
      <tp t="s">
        <v>#N/A Requesting Data...4068035733</v>
        <stp/>
        <stp>BDP|9138267601207417904</stp>
        <tr r="AC511" s="1"/>
        <tr r="AC511" s="1"/>
      </tp>
      <tp t="s">
        <v>#N/A Requesting Data...3831113809</v>
        <stp/>
        <stp>BDP|2865884446488173352</stp>
        <tr r="AA64" s="1"/>
        <tr r="AA64" s="1"/>
      </tp>
      <tp t="s">
        <v>#N/A Requesting Data...2959722785</v>
        <stp/>
        <stp>BDP|1927368354901823313</stp>
        <tr r="AC1186" s="1"/>
        <tr r="AC1186" s="1"/>
      </tp>
      <tp t="s">
        <v>#N/A Requesting Data...3057983693</v>
        <stp/>
        <stp>BDP|6560728422933240551</stp>
        <tr r="AA682" s="1"/>
        <tr r="AA682" s="1"/>
      </tp>
      <tp t="s">
        <v>#N/A Requesting Data...2742426999</v>
        <stp/>
        <stp>BDP|5320136216358730831</stp>
        <tr r="AC1189" s="1"/>
        <tr r="AC1189" s="1"/>
      </tp>
      <tp t="s">
        <v>#N/A Requesting Data...4168663500</v>
        <stp/>
        <stp>BDP|8939229662800828935</stp>
        <tr r="AC437" s="1"/>
        <tr r="AC437" s="1"/>
      </tp>
      <tp t="s">
        <v>#N/A Requesting Data...3777962766</v>
        <stp/>
        <stp>BDP|8406835291679163550</stp>
        <tr r="Z265" s="1"/>
        <tr r="Z265" s="1"/>
      </tp>
      <tp t="s">
        <v>#N/A Requesting Data...4020846348</v>
        <stp/>
        <stp>BDP|9168649082125125749</stp>
        <tr r="AC774" s="1"/>
        <tr r="AC774" s="1"/>
      </tp>
      <tp t="s">
        <v>#N/A Requesting Data...2660147732</v>
        <stp/>
        <stp>BDP|6404125365083211730</stp>
        <tr r="AA224" s="1"/>
        <tr r="AA224" s="1"/>
      </tp>
      <tp t="s">
        <v>#N/A Requesting Data...3464239638</v>
        <stp/>
        <stp>BDP|4169780932247153286</stp>
        <tr r="Z1218" s="1"/>
        <tr r="Z1218" s="1"/>
      </tp>
      <tp t="s">
        <v>#N/A Requesting Data...2694964561</v>
        <stp/>
        <stp>BDP|1326809679929991202</stp>
        <tr r="AB158" s="1"/>
        <tr r="AB158" s="1"/>
      </tp>
      <tp t="s">
        <v>#N/A Requesting Data...3892175878</v>
        <stp/>
        <stp>BDP|2462120201211687724</stp>
        <tr r="Y19" s="1"/>
        <tr r="Y19" s="1"/>
      </tp>
      <tp t="s">
        <v>#N/A Requesting Data...2734065120</v>
        <stp/>
        <stp>BDP|4636566039226941138</stp>
        <tr r="AA549" s="1"/>
        <tr r="AA549" s="1"/>
      </tp>
      <tp t="s">
        <v>#N/A Requesting Data...3996481183</v>
        <stp/>
        <stp>BDP|2516183223623567789</stp>
        <tr r="Z1557" s="1"/>
        <tr r="Z1557" s="1"/>
      </tp>
      <tp t="s">
        <v>#N/A Requesting Data...2898306716</v>
        <stp/>
        <stp>BDP|5647349763864071128</stp>
        <tr r="AB1209" s="1"/>
        <tr r="AB1209" s="1"/>
      </tp>
      <tp t="s">
        <v>#N/A Requesting Data...4125975785</v>
        <stp/>
        <stp>BDP|3354519643486342116</stp>
        <tr r="AA1158" s="1"/>
        <tr r="AA1158" s="1"/>
      </tp>
      <tp t="s">
        <v>#N/A Requesting Data...3711710601</v>
        <stp/>
        <stp>BDP|1513258147625242766</stp>
        <tr r="Z1213" s="1"/>
        <tr r="Z1213" s="1"/>
      </tp>
      <tp t="s">
        <v>#N/A Requesting Data...2591186691</v>
        <stp/>
        <stp>BDP|6521614007625885087</stp>
        <tr r="AA1531" s="1"/>
        <tr r="AA1531" s="1"/>
      </tp>
      <tp t="s">
        <v>#N/A Requesting Data...3961308118</v>
        <stp/>
        <stp>BDP|5371536231060396617</stp>
        <tr r="AB940" s="1"/>
        <tr r="AB940" s="1"/>
      </tp>
      <tp t="s">
        <v>#N/A Requesting Data...2643808477</v>
        <stp/>
        <stp>BDP|8486503422492408810</stp>
        <tr r="Z915" s="1"/>
        <tr r="Z915" s="1"/>
      </tp>
      <tp t="s">
        <v>#N/A Requesting Data...3235599844</v>
        <stp/>
        <stp>BDP|6289308941834748073</stp>
        <tr r="AB1314" s="1"/>
        <tr r="AB1314" s="1"/>
      </tp>
      <tp t="s">
        <v>#N/A Requesting Data...4244554974</v>
        <stp/>
        <stp>BDP|3569727065233249439</stp>
        <tr r="AA71" s="1"/>
        <tr r="AA71" s="1"/>
      </tp>
      <tp t="s">
        <v>#N/A Requesting Data...2570121614</v>
        <stp/>
        <stp>BDP|3759568087109331261</stp>
        <tr r="AA578" s="1"/>
        <tr r="AA578" s="1"/>
      </tp>
      <tp t="s">
        <v>#N/A Requesting Data...2952637629</v>
        <stp/>
        <stp>BDP|4352033806319051851</stp>
        <tr r="AC916" s="1"/>
        <tr r="AC916" s="1"/>
      </tp>
      <tp t="s">
        <v>#N/A Requesting Data...4224546902</v>
        <stp/>
        <stp>BDP|6581223226922754157</stp>
        <tr r="AC1328" s="1"/>
        <tr r="AC1328" s="1"/>
      </tp>
      <tp t="s">
        <v>#N/A Requesting Data...2651906478</v>
        <stp/>
        <stp>BDP|7482142345867179075</stp>
        <tr r="AC620" s="1"/>
        <tr r="AC620" s="1"/>
      </tp>
      <tp t="s">
        <v>#N/A Requesting Data...3102572850</v>
        <stp/>
        <stp>BDP|5858071707572960224</stp>
        <tr r="Z497" s="1"/>
        <tr r="Z497" s="1"/>
      </tp>
      <tp t="s">
        <v>#N/A Requesting Data...3669737343</v>
        <stp/>
        <stp>BDP|6154032816576121463</stp>
        <tr r="AC1615" s="1"/>
        <tr r="AC1615" s="1"/>
      </tp>
      <tp t="s">
        <v>#N/A Requesting Data...3936949905</v>
        <stp/>
        <stp>BDP|8789904215891888498</stp>
        <tr r="Z455" s="1"/>
        <tr r="Z455" s="1"/>
      </tp>
      <tp t="s">
        <v>#N/A Requesting Data...2602063691</v>
        <stp/>
        <stp>BDP|2306137842490023217</stp>
        <tr r="Y971" s="1"/>
        <tr r="Y971" s="1"/>
      </tp>
      <tp t="s">
        <v>#N/A Requesting Data...3518036606</v>
        <stp/>
        <stp>BDP|6743109054197702046</stp>
        <tr r="AC1091" s="1"/>
        <tr r="AC1091" s="1"/>
      </tp>
      <tp t="s">
        <v>#N/A Requesting Data...2632524327</v>
        <stp/>
        <stp>BDP|1629658952240943781</stp>
        <tr r="AB235" s="1"/>
        <tr r="AB235" s="1"/>
      </tp>
      <tp t="s">
        <v>#N/A Requesting Data...3462687577</v>
        <stp/>
        <stp>BDP|1589067675256075567</stp>
        <tr r="AC208" s="1"/>
        <tr r="AC208" s="1"/>
      </tp>
      <tp t="s">
        <v>#N/A Requesting Data...3789458507</v>
        <stp/>
        <stp>BDP|7425457330173419655</stp>
        <tr r="AB326" s="1"/>
        <tr r="AB326" s="1"/>
      </tp>
      <tp t="s">
        <v>#N/A Requesting Data...2646136481</v>
        <stp/>
        <stp>BDP|8702557265769022777</stp>
        <tr r="AA872" s="1"/>
        <tr r="AA872" s="1"/>
      </tp>
      <tp t="s">
        <v>#N/A Requesting Data...2681141278</v>
        <stp/>
        <stp>BDP|5523865173276222923</stp>
        <tr r="AB519" s="1"/>
        <tr r="AB519" s="1"/>
      </tp>
      <tp t="s">
        <v>#N/A Requesting Data...3327368242</v>
        <stp/>
        <stp>BDP|1422181165442854115</stp>
        <tr r="AC993" s="1"/>
        <tr r="AC993" s="1"/>
      </tp>
      <tp t="s">
        <v>#N/A Requesting Data...3224058814</v>
        <stp/>
        <stp>BDP|4990677197848883618</stp>
        <tr r="AC1421" s="1"/>
        <tr r="AC1421" s="1"/>
      </tp>
      <tp t="s">
        <v>#N/A Requesting Data...2650334363</v>
        <stp/>
        <stp>BDP|8151942506822340612</stp>
        <tr r="Z1021" s="1"/>
        <tr r="Z1021" s="1"/>
      </tp>
      <tp t="s">
        <v>#N/A Requesting Data...3696758789</v>
        <stp/>
        <stp>BDP|3833127816941835757</stp>
        <tr r="Z899" s="1"/>
        <tr r="Z899" s="1"/>
      </tp>
      <tp t="s">
        <v>#N/A Requesting Data...4075972353</v>
        <stp/>
        <stp>BDP|8999034138688040637</stp>
        <tr r="AA34" s="1"/>
      </tp>
      <tp t="s">
        <v>#N/A Requesting Data...2939319208</v>
        <stp/>
        <stp>BDP|7349416005216085060</stp>
        <tr r="Y1134" s="1"/>
        <tr r="Y1134" s="1"/>
      </tp>
      <tp t="s">
        <v>#N/A Requesting Data...3366847524</v>
        <stp/>
        <stp>BDP|2119733636534795725</stp>
        <tr r="Z742" s="1"/>
        <tr r="Z742" s="1"/>
      </tp>
      <tp t="s">
        <v>#N/A Requesting Data...3807906459</v>
        <stp/>
        <stp>BDP|2553043133091396505</stp>
        <tr r="Y447" s="1"/>
        <tr r="Y447" s="1"/>
      </tp>
      <tp t="s">
        <v>#N/A Requesting Data...3588656605</v>
        <stp/>
        <stp>BDP|6618903577635683860</stp>
        <tr r="AA1612" s="1"/>
        <tr r="AA1612" s="1"/>
      </tp>
      <tp t="s">
        <v>#N/A Requesting Data...2901677829</v>
        <stp/>
        <stp>BDP|5181308421955633475</stp>
        <tr r="Z1595" s="1"/>
        <tr r="Z1595" s="1"/>
      </tp>
      <tp t="s">
        <v>#N/A Requesting Data...4076463782</v>
        <stp/>
        <stp>BDP|7196413116462329542</stp>
        <tr r="AA957" s="1"/>
        <tr r="AA957" s="1"/>
      </tp>
      <tp t="s">
        <v>#N/A Requesting Data...3021073677</v>
        <stp/>
        <stp>BDP|7239944559208719697</stp>
        <tr r="Z525" s="1"/>
        <tr r="Z525" s="1"/>
      </tp>
      <tp t="s">
        <v>#N/A Requesting Data...3469654373</v>
        <stp/>
        <stp>BDP|2512247111224911086</stp>
        <tr r="AC1417" s="1"/>
        <tr r="AC1417" s="1"/>
      </tp>
      <tp t="s">
        <v>#N/A Requesting Data...3572340683</v>
        <stp/>
        <stp>BDP|2717436815471619361</stp>
        <tr r="AB1124" s="1"/>
        <tr r="AB1124" s="1"/>
      </tp>
      <tp t="s">
        <v>#N/A Requesting Data...2694374678</v>
        <stp/>
        <stp>BDP|3351002662092047206</stp>
        <tr r="AA1291" s="1"/>
        <tr r="AA1291" s="1"/>
      </tp>
      <tp t="s">
        <v>#N/A Requesting Data...3210422599</v>
        <stp/>
        <stp>BDP|5926186340170567554</stp>
        <tr r="AB777" s="1"/>
        <tr r="AB777" s="1"/>
      </tp>
      <tp t="s">
        <v>#N/A Requesting Data...3389933696</v>
        <stp/>
        <stp>BDP|6554243548251812402</stp>
        <tr r="Z869" s="1"/>
        <tr r="Z869" s="1"/>
      </tp>
      <tp t="s">
        <v>#N/A Requesting Data...2811283767</v>
        <stp/>
        <stp>BDP|8132832124171326644</stp>
        <tr r="AB1398" s="1"/>
        <tr r="AB1398" s="1"/>
      </tp>
      <tp t="s">
        <v>#N/A Requesting Data...4028613050</v>
        <stp/>
        <stp>BDP|2731403513891065327</stp>
        <tr r="AC286" s="1"/>
        <tr r="AC286" s="1"/>
      </tp>
      <tp t="s">
        <v>#N/A Requesting Data...2797973823</v>
        <stp/>
        <stp>BDP|6105509256505433654</stp>
        <tr r="AB890" s="1"/>
        <tr r="AB890" s="1"/>
      </tp>
      <tp t="s">
        <v>#N/A Requesting Data...3826187016</v>
        <stp/>
        <stp>BDP|7989240446326828252</stp>
        <tr r="AA206" s="1"/>
        <tr r="AA206" s="1"/>
      </tp>
      <tp t="s">
        <v>#N/A Requesting Data...4024787043</v>
        <stp/>
        <stp>BDP|9757678752307258860</stp>
        <tr r="Z1519" s="1"/>
        <tr r="Z1519" s="1"/>
      </tp>
      <tp t="s">
        <v>#N/A Requesting Data...4228007892</v>
        <stp/>
        <stp>BDP|8329458999327949707</stp>
        <tr r="AA787" s="1"/>
        <tr r="AA787" s="1"/>
      </tp>
      <tp t="s">
        <v>#N/A Requesting Data...2723681957</v>
        <stp/>
        <stp>BDP|5165945266236348968</stp>
        <tr r="AA1185" s="1"/>
        <tr r="AA1185" s="1"/>
      </tp>
      <tp t="s">
        <v>#N/A Requesting Data...3468845689</v>
        <stp/>
        <stp>BDP|5626040846023070728</stp>
        <tr r="Y967" s="1"/>
        <tr r="Y967" s="1"/>
      </tp>
      <tp t="s">
        <v>#N/A Requesting Data...3645664537</v>
        <stp/>
        <stp>BDP|6869481389356680991</stp>
        <tr r="AC527" s="1"/>
        <tr r="AC527" s="1"/>
      </tp>
      <tp t="s">
        <v>#N/A Requesting Data...3524142579</v>
        <stp/>
        <stp>BDP|7078873283143239109</stp>
        <tr r="AA1598" s="1"/>
        <tr r="AA1598" s="1"/>
      </tp>
      <tp t="s">
        <v>#N/A Requesting Data...4072024850</v>
        <stp/>
        <stp>BDP|5293695665324915410</stp>
        <tr r="Z1174" s="1"/>
        <tr r="Z1174" s="1"/>
      </tp>
      <tp t="s">
        <v>#N/A Requesting Data...3416544161</v>
        <stp/>
        <stp>BDP|8508491698838390810</stp>
        <tr r="AA1462" s="1"/>
        <tr r="AA1462" s="1"/>
      </tp>
      <tp t="s">
        <v>#N/A Requesting Data...3989165612</v>
        <stp/>
        <stp>BDP|4762836892061145117</stp>
        <tr r="AB500" s="1"/>
        <tr r="AB500" s="1"/>
      </tp>
      <tp t="s">
        <v>#N/A Requesting Data...3191322879</v>
        <stp/>
        <stp>BDP|7113671597509341444</stp>
        <tr r="AC653" s="1"/>
        <tr r="AC653" s="1"/>
      </tp>
      <tp t="s">
        <v>#N/A Requesting Data...3210583751</v>
        <stp/>
        <stp>BDP|9082819821416708011</stp>
        <tr r="AC253" s="1"/>
        <tr r="AC253" s="1"/>
      </tp>
      <tp t="s">
        <v>#N/A Requesting Data...4000022656</v>
        <stp/>
        <stp>BDP|4427835468007015890</stp>
        <tr r="Z1526" s="1"/>
        <tr r="Z1526" s="1"/>
      </tp>
      <tp t="s">
        <v>#N/A Requesting Data...3444750123</v>
        <stp/>
        <stp>BDP|1913562349857042216</stp>
        <tr r="AB544" s="1"/>
        <tr r="AB544" s="1"/>
      </tp>
      <tp t="s">
        <v>#N/A Requesting Data...3330202365</v>
        <stp/>
        <stp>BDP|6727777100252151669</stp>
        <tr r="AB1516" s="1"/>
        <tr r="AB1516" s="1"/>
      </tp>
      <tp t="s">
        <v>#N/A Requesting Data...3456926921</v>
        <stp/>
        <stp>BDP|1455967084937969286</stp>
        <tr r="Z450" s="1"/>
        <tr r="Z450" s="1"/>
      </tp>
      <tp t="s">
        <v>#N/A Requesting Data...4181502844</v>
        <stp/>
        <stp>BDP|7555131835420096042</stp>
        <tr r="Z1418" s="1"/>
        <tr r="Z1418" s="1"/>
      </tp>
      <tp t="s">
        <v>#N/A Requesting Data...4215696771</v>
        <stp/>
        <stp>BDP|2515356332815161243</stp>
        <tr r="AC638" s="1"/>
        <tr r="AC638" s="1"/>
      </tp>
      <tp t="s">
        <v>#N/A Requesting Data...3597966549</v>
        <stp/>
        <stp>BDP|8229137266288487243</stp>
        <tr r="AB1139" s="1"/>
        <tr r="AB1139" s="1"/>
      </tp>
      <tp t="s">
        <v>#N/A Requesting Data...2651668772</v>
        <stp/>
        <stp>BDP|8554689523700120985</stp>
        <tr r="Z26" s="1"/>
        <tr r="Z26" s="1"/>
      </tp>
      <tp t="s">
        <v>#N/A Requesting Data...3922161869</v>
        <stp/>
        <stp>BDP|9361959762256720540</stp>
        <tr r="AB1559" s="1"/>
        <tr r="AB1559" s="1"/>
      </tp>
      <tp t="s">
        <v>#N/A Requesting Data...3009637996</v>
        <stp/>
        <stp>BDP|4890295927260802191</stp>
        <tr r="Z1493" s="1"/>
        <tr r="Z1493" s="1"/>
      </tp>
      <tp t="s">
        <v>#N/A Requesting Data...3036353404</v>
        <stp/>
        <stp>BDP|1488224431647527257</stp>
        <tr r="Z1126" s="1"/>
        <tr r="Z1126" s="1"/>
      </tp>
      <tp t="s">
        <v>#N/A Requesting Data...3926630088</v>
        <stp/>
        <stp>BDP|1213372814032465424</stp>
        <tr r="AB532" s="1"/>
        <tr r="AB532" s="1"/>
      </tp>
      <tp t="s">
        <v>#N/A Requesting Data...2776557177</v>
        <stp/>
        <stp>BDP|2315626197959351128</stp>
        <tr r="AB1111" s="1"/>
        <tr r="AB1111" s="1"/>
      </tp>
      <tp t="s">
        <v>#N/A Requesting Data...3033994886</v>
        <stp/>
        <stp>BDP|3094148518824393283</stp>
        <tr r="AC424" s="1"/>
        <tr r="AC424" s="1"/>
      </tp>
      <tp t="s">
        <v>#N/A Requesting Data...2801180560</v>
        <stp/>
        <stp>BDP|4469344226404967483</stp>
        <tr r="AB1436" s="1"/>
        <tr r="AB1436" s="1"/>
      </tp>
      <tp t="s">
        <v>#N/A Requesting Data...2871041573</v>
        <stp/>
        <stp>BDP|1417866759068870142</stp>
        <tr r="AC1256" s="1"/>
        <tr r="AC1256" s="1"/>
      </tp>
      <tp t="s">
        <v>#N/A Requesting Data...4039118877</v>
        <stp/>
        <stp>BDP|1915801059400518927</stp>
        <tr r="AA1151" s="1"/>
        <tr r="AA1151" s="1"/>
      </tp>
      <tp t="s">
        <v>#N/A Requesting Data...3062046305</v>
        <stp/>
        <stp>BDP|7502541760492291349</stp>
        <tr r="Z990" s="1"/>
        <tr r="Z990" s="1"/>
      </tp>
      <tp t="s">
        <v>#N/A Requesting Data...3060140739</v>
        <stp/>
        <stp>BDP|5537713143690475344</stp>
        <tr r="Y274" s="1"/>
        <tr r="Y274" s="1"/>
      </tp>
      <tp t="s">
        <v>#N/A Requesting Data...3264895480</v>
        <stp/>
        <stp>BDP|7128915241458535735</stp>
        <tr r="Z1524" s="1"/>
        <tr r="Z1524" s="1"/>
      </tp>
      <tp t="s">
        <v>#N/A Requesting Data...4120129290</v>
        <stp/>
        <stp>BDP|1072110529670925767</stp>
        <tr r="Y1188" s="1"/>
        <tr r="Y1188" s="1"/>
      </tp>
      <tp t="s">
        <v>#N/A Requesting Data...4173358147</v>
        <stp/>
        <stp>BDP|6152116059242820567</stp>
        <tr r="AC356" s="1"/>
        <tr r="AC356" s="1"/>
      </tp>
      <tp t="s">
        <v>#N/A Requesting Data...4092629757</v>
        <stp/>
        <stp>BDP|5038936658695857942</stp>
        <tr r="Z273" s="1"/>
        <tr r="Z273" s="1"/>
      </tp>
      <tp t="s">
        <v>#N/A Requesting Data...3024813826</v>
        <stp/>
        <stp>BDP|1742734978085262192</stp>
        <tr r="Z662" s="1"/>
        <tr r="Z662" s="1"/>
      </tp>
      <tp t="s">
        <v>#N/A Requesting Data...2705736071</v>
        <stp/>
        <stp>BDP|5391573472117696576</stp>
        <tr r="Y1020" s="1"/>
        <tr r="Y1020" s="1"/>
      </tp>
      <tp t="s">
        <v>#N/A Requesting Data...3614168290</v>
        <stp/>
        <stp>BDP|4573048565865630252</stp>
        <tr r="Y630" s="1"/>
        <tr r="Y630" s="1"/>
      </tp>
      <tp t="s">
        <v>#N/A Requesting Data...3202917875</v>
        <stp/>
        <stp>BDP|7500651828410974664</stp>
        <tr r="Y931" s="1"/>
        <tr r="Y931" s="1"/>
      </tp>
      <tp t="s">
        <v>#N/A Requesting Data...2893132850</v>
        <stp/>
        <stp>BDP|1907182274603591145</stp>
        <tr r="AA1513" s="1"/>
        <tr r="AA1513" s="1"/>
      </tp>
      <tp t="s">
        <v>#N/A Requesting Data...3657699378</v>
        <stp/>
        <stp>BDP|3839354318873717766</stp>
        <tr r="AA116" s="1"/>
        <tr r="AA116" s="1"/>
      </tp>
      <tp t="s">
        <v>#N/A Requesting Data...2809591417</v>
        <stp/>
        <stp>BDP|8134249659892810808</stp>
        <tr r="AC752" s="1"/>
        <tr r="AC752" s="1"/>
      </tp>
      <tp t="s">
        <v>#N/A Requesting Data...3616628565</v>
        <stp/>
        <stp>BDP|7206630687084688842</stp>
        <tr r="AA958" s="1"/>
        <tr r="AA958" s="1"/>
      </tp>
      <tp t="s">
        <v>#N/A Requesting Data...3498362174</v>
        <stp/>
        <stp>BDP|3095573432576858697</stp>
        <tr r="AC807" s="1"/>
        <tr r="AC807" s="1"/>
      </tp>
      <tp t="s">
        <v>#N/A Requesting Data...2659822611</v>
        <stp/>
        <stp>BDP|2582227715473730716</stp>
        <tr r="AC924" s="1"/>
        <tr r="AC924" s="1"/>
      </tp>
      <tp t="s">
        <v>#N/A Requesting Data...3596232154</v>
        <stp/>
        <stp>BDP|5182232767194935086</stp>
        <tr r="AB1569" s="1"/>
        <tr r="AB1569" s="1"/>
      </tp>
      <tp t="s">
        <v>#N/A Requesting Data...4172930324</v>
        <stp/>
        <stp>BDP|8005636888466792585</stp>
        <tr r="AC400" s="1"/>
        <tr r="AC400" s="1"/>
      </tp>
      <tp t="s">
        <v>#N/A Requesting Data...2957458966</v>
        <stp/>
        <stp>BDP|6360134364472300637</stp>
        <tr r="AB504" s="1"/>
        <tr r="AB504" s="1"/>
      </tp>
      <tp t="s">
        <v>#N/A Requesting Data...2768298754</v>
        <stp/>
        <stp>BDP|1126197411603505782</stp>
        <tr r="Y1115" s="1"/>
        <tr r="Y1115" s="1"/>
      </tp>
      <tp t="s">
        <v>#N/A Requesting Data...3650761710</v>
        <stp/>
        <stp>BDP|3348081996196136986</stp>
        <tr r="Z1599" s="1"/>
        <tr r="Z1599" s="1"/>
      </tp>
      <tp t="s">
        <v>#N/A Requesting Data...2887483334</v>
        <stp/>
        <stp>BDP|9864591286390626157</stp>
        <tr r="AC879" s="1"/>
        <tr r="AC879" s="1"/>
      </tp>
      <tp t="s">
        <v>#N/A Requesting Data...3055535466</v>
        <stp/>
        <stp>BDP|3642253206196422255</stp>
        <tr r="Z1403" s="1"/>
        <tr r="Z1403" s="1"/>
      </tp>
      <tp t="s">
        <v>#N/A Requesting Data...2917297739</v>
        <stp/>
        <stp>BDP|1541681706031947362</stp>
        <tr r="AA252" s="1"/>
        <tr r="AA252" s="1"/>
      </tp>
      <tp t="s">
        <v>#N/A Requesting Data...3039360744</v>
        <stp/>
        <stp>BDP|7114633406111784579</stp>
        <tr r="AC1349" s="1"/>
        <tr r="AC1349" s="1"/>
      </tp>
      <tp t="s">
        <v>#N/A Requesting Data...3544490231</v>
        <stp/>
        <stp>BDP|5195958232018231200</stp>
        <tr r="Y1512" s="1"/>
        <tr r="Y1512" s="1"/>
      </tp>
      <tp t="s">
        <v>#N/A Requesting Data...3171420922</v>
        <stp/>
        <stp>BDP|1306521730864193645</stp>
        <tr r="AB451" s="1"/>
        <tr r="AB451" s="1"/>
      </tp>
      <tp t="s">
        <v>#N/A Requesting Data...3751435276</v>
        <stp/>
        <stp>BDP|5586938833182821897</stp>
        <tr r="Z1080" s="1"/>
        <tr r="Z1080" s="1"/>
      </tp>
      <tp t="s">
        <v>#N/A Requesting Data...4190111163</v>
        <stp/>
        <stp>BDP|2766671475693968581</stp>
        <tr r="AC1441" s="1"/>
        <tr r="AC1441" s="1"/>
      </tp>
      <tp t="s">
        <v>#N/A Requesting Data...3937710608</v>
        <stp/>
        <stp>BDP|5921598972524649613</stp>
        <tr r="Z1404" s="1"/>
        <tr r="Z1404" s="1"/>
      </tp>
      <tp t="s">
        <v>#N/A Requesting Data...3768685471</v>
        <stp/>
        <stp>BDP|6031775204175494122</stp>
        <tr r="AC1610" s="1"/>
        <tr r="AC1610" s="1"/>
      </tp>
      <tp t="s">
        <v>#N/A Requesting Data...3878075912</v>
        <stp/>
        <stp>BDP|2976708319149759827</stp>
        <tr r="Z957" s="1"/>
        <tr r="Z957" s="1"/>
      </tp>
      <tp t="s">
        <v>#N/A Requesting Data...2802960207</v>
        <stp/>
        <stp>BDP|7444358070530689620</stp>
        <tr r="AA1069" s="1"/>
        <tr r="AA1069" s="1"/>
      </tp>
      <tp t="s">
        <v>#N/A Requesting Data...3943191164</v>
        <stp/>
        <stp>BDP|5373602095639635650</stp>
        <tr r="AC907" s="1"/>
        <tr r="AC907" s="1"/>
      </tp>
      <tp t="s">
        <v>#N/A Requesting Data...4000250074</v>
        <stp/>
        <stp>BDP|8697223943923502873</stp>
        <tr r="Z542" s="1"/>
        <tr r="Z542" s="1"/>
      </tp>
      <tp t="s">
        <v>#N/A Requesting Data...2916126090</v>
        <stp/>
        <stp>BDP|5110952487927319658</stp>
        <tr r="AC1329" s="1"/>
        <tr r="AC1329" s="1"/>
      </tp>
      <tp t="s">
        <v>#N/A Requesting Data...3561596637</v>
        <stp/>
        <stp>BDP|1773038954838750921</stp>
        <tr r="AC958" s="1"/>
        <tr r="AC958" s="1"/>
      </tp>
      <tp t="s">
        <v>#N/A Requesting Data...3388377748</v>
        <stp/>
        <stp>BDP|2444414555191003752</stp>
        <tr r="Z600" s="1"/>
        <tr r="Z600" s="1"/>
      </tp>
      <tp t="s">
        <v>#N/A Requesting Data...4117112362</v>
        <stp/>
        <stp>BDP|9490814140582386232</stp>
        <tr r="Y1494" s="1"/>
        <tr r="Y1494" s="1"/>
      </tp>
      <tp t="s">
        <v>#N/A Requesting Data...2754213510</v>
        <stp/>
        <stp>BDP|7655224900290407057</stp>
        <tr r="AC255" s="1"/>
        <tr r="AC255" s="1"/>
      </tp>
      <tp t="s">
        <v>#N/A Requesting Data...3130221087</v>
        <stp/>
        <stp>BDP|2917743232203834024</stp>
        <tr r="AA225" s="1"/>
        <tr r="AA225" s="1"/>
      </tp>
      <tp t="s">
        <v>#N/A Requesting Data...3518513779</v>
        <stp/>
        <stp>BDP|3101307946831795050</stp>
        <tr r="AA52" s="1"/>
        <tr r="AA52" s="1"/>
      </tp>
      <tp t="s">
        <v>#N/A Requesting Data...2854982005</v>
        <stp/>
        <stp>BDP|4839687905986537158</stp>
        <tr r="Z1580" s="1"/>
        <tr r="Z1580" s="1"/>
      </tp>
      <tp>
        <v>9.9999999999999995E-7</v>
        <stp/>
        <stp>BDP|3471133834757033857|22</stp>
        <stp>HDVY US Equity</stp>
        <stp>LAST_PRICE</stp>
        <tr r="AD678" s="1"/>
        <tr r="AD678" s="1"/>
      </tp>
      <tp>
        <v>20.86</v>
        <stp/>
        <stp>BDP|3340607673621692255|22</stp>
        <stp>NVST US Equity</stp>
        <stp>LAST_PRICE</stp>
        <tr r="AD569" s="1"/>
        <tr r="AD569" s="1"/>
      </tp>
      <tp>
        <v>0.26840000000000003</v>
        <stp/>
        <stp>BDP|5017284578972798277|22</stp>
        <stp>VRPX US Equity</stp>
        <stp>LAST_PRICE</stp>
        <tr r="AD1559" s="1"/>
        <tr r="AD1559" s="1"/>
      </tp>
      <tp>
        <v>2.39</v>
        <stp/>
        <stp>BDP|1779160563551458524|22</stp>
        <stp>BRTX US Equity</stp>
        <stp>LAST_PRICE</stp>
        <tr r="AD278" s="1"/>
        <tr r="AD278" s="1"/>
      </tp>
      <tp>
        <v>2.0000000000000001E-4</v>
        <stp/>
        <stp>BDP|9909299197056797149|22</stp>
        <stp>EFTR US Equity</stp>
        <stp>LAST_PRICE</stp>
        <tr r="AD535" s="1"/>
        <tr r="AD535" s="1"/>
      </tp>
      <tp>
        <v>111.89</v>
        <stp/>
        <stp>BDP|7167714808345955455|22</stp>
        <stp>BNTX US Equity</stp>
        <stp>LAST_PRICE</stp>
        <tr r="AD276" s="1"/>
        <tr r="AD276" s="1"/>
      </tp>
      <tp>
        <v>18.03</v>
        <stp/>
        <stp>BDP|5512753760895998390|22</stp>
        <stp>CLPT US Equity</stp>
        <stp>LAST_PRICE</stp>
        <tr r="AD410" s="1"/>
        <tr r="AD410" s="1"/>
      </tp>
      <tp>
        <v>2.39</v>
        <stp/>
        <stp>BDP|9666006032428759151|22</stp>
        <stp>TSVT US Equity</stp>
        <stp>LAST_PRICE</stp>
        <tr r="AD8" s="1"/>
        <tr r="AD8" s="1"/>
      </tp>
      <tp>
        <v>0.2407</v>
        <stp/>
        <stp>BDP|6204454210443780100|22</stp>
        <stp>SCPX US Equity</stp>
        <stp>LAST_PRICE</stp>
        <tr r="AD1322" s="1"/>
        <tr r="AD1322" s="1"/>
      </tp>
      <tp>
        <v>2.52</v>
        <stp/>
        <stp>BDP|9725529874427328163|22</stp>
        <stp>LSTA US Equity</stp>
        <stp>LAST_PRICE</stp>
        <tr r="AD881" s="1"/>
        <tr r="AD881" s="1"/>
      </tp>
      <tp t="s">
        <v>#N/A N/A</v>
        <stp/>
        <stp>BDP|4330126905662750373|22</stp>
        <stp>IHTI US Equity</stp>
        <stp>LAST_PRICE</stp>
        <tr r="AD778" s="1"/>
      </tp>
      <tp>
        <v>1E-4</v>
        <stp/>
        <stp>BDP|5612117694185776772|22</stp>
        <stp>RBSH US Equity</stp>
        <stp>LAST_PRICE</stp>
        <tr r="AD1251" s="1"/>
        <tr r="AD1251" s="1"/>
      </tp>
      <tp>
        <v>0.64529999999999998</v>
        <stp/>
        <stp>BDP|5098619429314327685|22</stp>
        <stp>MRSN US Equity</stp>
        <stp>LAST_PRICE</stp>
        <tr r="AD944" s="1"/>
        <tr r="AD944" s="1"/>
      </tp>
      <tp>
        <v>6.08</v>
        <stp/>
        <stp>BDP|4748830804342422600|22</stp>
        <stp>VSTM US Equity</stp>
        <stp>LAST_PRICE</stp>
        <tr r="AD1536" s="1"/>
        <tr r="AD1536" s="1"/>
      </tp>
      <tp>
        <v>3.61</v>
        <stp/>
        <stp>BDP|7171539758105891903|22</stp>
        <stp>STRM US Equity</stp>
        <stp>LAST_PRICE</stp>
        <tr r="AD1406" s="1"/>
        <tr r="AD1406" s="1"/>
      </tp>
      <tp>
        <v>0.39</v>
        <stp/>
        <stp>BDP|1328423433820134507|22</stp>
        <stp>BMND CN Equity</stp>
        <stp>LAST_PRICE</stp>
        <tr r="AD272" s="1"/>
        <tr r="AD272" s="1"/>
      </tp>
      <tp>
        <v>3.5000000000000001E-3</v>
        <stp/>
        <stp>BDP|4620600636584044588|22</stp>
        <stp>MDXL US Equity</stp>
        <stp>LAST_PRICE</stp>
        <tr r="AD930" s="1"/>
        <tr r="AD930" s="1"/>
      </tp>
      <tp>
        <v>0.46010000000000001</v>
        <stp/>
        <stp>BDP|6789425023578558615|22</stp>
        <stp>CARM US Equity</stp>
        <stp>LAST_PRICE</stp>
        <tr r="AD359" s="1"/>
        <tr r="AD359" s="1"/>
      </tp>
      <tp>
        <v>3.43</v>
        <stp/>
        <stp>BDP|2160577437425710644|22</stp>
        <stp>APRE US Equity</stp>
        <stp>LAST_PRICE</stp>
        <tr r="AD148" s="1"/>
        <tr r="AD148" s="1"/>
      </tp>
      <tp>
        <v>589.61</v>
        <stp/>
        <stp>BDP|1297493757028986677|22</stp>
        <stp>ISRG US Equity</stp>
        <stp>LAST_PRICE</stp>
        <tr r="AD788" s="1"/>
        <tr r="AD788" s="1"/>
      </tp>
      <tp>
        <v>1.73</v>
        <stp/>
        <stp>BDP|6089627752625420222|22</stp>
        <stp>BIVI US Equity</stp>
        <stp>LAST_PRICE</stp>
        <tr r="AD287" s="1"/>
        <tr r="AD287" s="1"/>
      </tp>
      <tp>
        <v>8.6999999999999993</v>
        <stp/>
        <stp>BDP|9637614961486889267|22</stp>
        <stp>AVXL US Equity</stp>
        <stp>LAST_PRICE</stp>
        <tr r="AD128" s="1"/>
        <tr r="AD128" s="1"/>
      </tp>
      <tp>
        <v>2.99</v>
        <stp/>
        <stp>BDP|2981625327445258063|22</stp>
        <stp>NGEN CN Equity</stp>
        <stp>LAST_PRICE</stp>
        <tr r="AD1015" s="1"/>
        <tr r="AD1015" s="1"/>
      </tp>
      <tp>
        <v>1.96</v>
        <stp/>
        <stp>BDP|12644449421330022454|22</stp>
        <stp>QSI US Equity</stp>
        <stp>LAST_PRICE</stp>
        <tr r="AD1233" s="1"/>
        <tr r="AD1233" s="1"/>
      </tp>
      <tp t="s">
        <v>#N/A Requesting Data...3878434947</v>
        <stp/>
        <stp>BDP|2571104554516897637</stp>
        <tr r="Z1063" s="1"/>
        <tr r="Z1063" s="1"/>
      </tp>
      <tp t="s">
        <v>#N/A Requesting Data...3505033341</v>
        <stp/>
        <stp>BDP|3403386103582783421</stp>
        <tr r="AC858" s="1"/>
        <tr r="AC858" s="1"/>
      </tp>
      <tp t="s">
        <v>#N/A Requesting Data...3552319549</v>
        <stp/>
        <stp>BDP|4098126358667708174</stp>
        <tr r="AB1197" s="1"/>
        <tr r="AB1197" s="1"/>
      </tp>
      <tp t="s">
        <v>#N/A Requesting Data...2907424571</v>
        <stp/>
        <stp>BDP|7693253039314263421</stp>
        <tr r="Y1314" s="1"/>
        <tr r="Y1314" s="1"/>
      </tp>
      <tp t="s">
        <v>#N/A Requesting Data...4048365732</v>
        <stp/>
        <stp>BDP|2672319575688866800</stp>
        <tr r="AB736" s="1"/>
        <tr r="AB736" s="1"/>
      </tp>
      <tp t="s">
        <v>#N/A Requesting Data...3257217433</v>
        <stp/>
        <stp>BDP|7966278205506799563</stp>
        <tr r="AC565" s="1"/>
        <tr r="AC565" s="1"/>
      </tp>
      <tp t="s">
        <v>#N/A Requesting Data...2762413562</v>
        <stp/>
        <stp>BDP|9519741954984985960</stp>
        <tr r="AA42" s="1"/>
        <tr r="AA42" s="1"/>
      </tp>
      <tp t="s">
        <v>#N/A Requesting Data...2917048271</v>
        <stp/>
        <stp>BDP|2050135365872527199</stp>
        <tr r="AA981" s="1"/>
        <tr r="AA981" s="1"/>
      </tp>
      <tp t="s">
        <v>#N/A Requesting Data...3838691089</v>
        <stp/>
        <stp>BDP|3469292308223804475</stp>
        <tr r="Y403" s="1"/>
        <tr r="Y403" s="1"/>
      </tp>
      <tp t="s">
        <v>#N/A Requesting Data...3728295166</v>
        <stp/>
        <stp>BDP|2090118134022816474</stp>
        <tr r="Z202" s="1"/>
        <tr r="Z202" s="1"/>
      </tp>
      <tp t="s">
        <v>#N/A Requesting Data...3641542580</v>
        <stp/>
        <stp>BDP|7793832544164376999</stp>
        <tr r="AB1496" s="1"/>
        <tr r="AB1496" s="1"/>
      </tp>
      <tp t="s">
        <v>#N/A Requesting Data...3116221761</v>
        <stp/>
        <stp>BDP|1340357949477606733</stp>
        <tr r="AA1518" s="1"/>
        <tr r="AA1518" s="1"/>
      </tp>
      <tp t="s">
        <v>#N/A Requesting Data...3013419486</v>
        <stp/>
        <stp>BDP|1453028366822916333</stp>
        <tr r="AB126" s="1"/>
        <tr r="AB126" s="1"/>
      </tp>
      <tp t="s">
        <v>#N/A Requesting Data...3855345010</v>
        <stp/>
        <stp>BDP|5530090065424714141</stp>
        <tr r="Z1046" s="1"/>
        <tr r="Z1046" s="1"/>
      </tp>
      <tp t="s">
        <v>#N/A Requesting Data...3629651015</v>
        <stp/>
        <stp>BDP|7820235945162453504</stp>
        <tr r="AC414" s="1"/>
        <tr r="AC414" s="1"/>
      </tp>
      <tp t="s">
        <v>#N/A Requesting Data...3313349629</v>
        <stp/>
        <stp>BDP|6913664498166958947</stp>
        <tr r="AA151" s="1"/>
        <tr r="AA151" s="1"/>
      </tp>
      <tp t="s">
        <v>#N/A Requesting Data...3125138433</v>
        <stp/>
        <stp>BDP|8175473301298448288</stp>
        <tr r="AC498" s="1"/>
        <tr r="AC498" s="1"/>
      </tp>
      <tp t="s">
        <v>#N/A Requesting Data...3271720305</v>
        <stp/>
        <stp>BDP|4167596066852420310</stp>
        <tr r="AB1353" s="1"/>
        <tr r="AB1353" s="1"/>
      </tp>
      <tp t="s">
        <v>#N/A Requesting Data...3663654945</v>
        <stp/>
        <stp>BDP|2136396786696377969</stp>
        <tr r="Y1553" s="1"/>
      </tp>
      <tp t="s">
        <v>#N/A Requesting Data...3722750252</v>
        <stp/>
        <stp>BDP|9362761987660956009</stp>
        <tr r="AB160" s="1"/>
        <tr r="AB160" s="1"/>
      </tp>
      <tp t="s">
        <v>#N/A Requesting Data...3719183116</v>
        <stp/>
        <stp>BDP|2935133775250246269</stp>
        <tr r="AB1587" s="1"/>
      </tp>
      <tp t="s">
        <v>#N/A Requesting Data...3545710928</v>
        <stp/>
        <stp>BDP|8895955773946107644</stp>
        <tr r="Z291" s="1"/>
        <tr r="Z291" s="1"/>
      </tp>
      <tp t="s">
        <v>#N/A Requesting Data...3183702035</v>
        <stp/>
        <stp>BDP|6337043866482948431</stp>
        <tr r="AC632" s="1"/>
        <tr r="AC632" s="1"/>
      </tp>
      <tp t="s">
        <v>#N/A Requesting Data...3173142214</v>
        <stp/>
        <stp>BDP|3961340522456651227</stp>
        <tr r="Y188" s="1"/>
        <tr r="Y188" s="1"/>
      </tp>
      <tp t="s">
        <v>#N/A Requesting Data...3970065702</v>
        <stp/>
        <stp>BDP|5979219614607129769</stp>
        <tr r="AB1473" s="1"/>
        <tr r="AB1473" s="1"/>
      </tp>
      <tp t="s">
        <v>#N/A Requesting Data...3797989758</v>
        <stp/>
        <stp>BDP|5714598037374093120</stp>
        <tr r="AB1015" s="1"/>
        <tr r="AB1015" s="1"/>
      </tp>
      <tp t="s">
        <v>#N/A Requesting Data...3239942557</v>
        <stp/>
        <stp>BDP|1300216679767019503</stp>
        <tr r="Y253" s="1"/>
        <tr r="Y253" s="1"/>
      </tp>
      <tp t="s">
        <v>#N/A Requesting Data...3312383935</v>
        <stp/>
        <stp>BDP|4749729548256653709</stp>
        <tr r="AC402" s="1"/>
        <tr r="AC402" s="1"/>
      </tp>
      <tp t="s">
        <v>#N/A Requesting Data...4216291917</v>
        <stp/>
        <stp>BDP|2724445638277312436</stp>
        <tr r="AC1196" s="1"/>
        <tr r="AC1196" s="1"/>
      </tp>
      <tp t="s">
        <v>#N/A Requesting Data...4129397282</v>
        <stp/>
        <stp>BDP|7257695927883393644</stp>
        <tr r="Y581" s="1"/>
        <tr r="Y581" s="1"/>
      </tp>
      <tp t="s">
        <v>#N/A Requesting Data...3621159267</v>
        <stp/>
        <stp>BDP|7865953248054729892</stp>
        <tr r="AA584" s="1"/>
        <tr r="AA584" s="1"/>
      </tp>
      <tp t="s">
        <v>#N/A Requesting Data...3081413263</v>
        <stp/>
        <stp>BDP|3843728992613597867</stp>
        <tr r="AC1140" s="1"/>
        <tr r="AC1140" s="1"/>
      </tp>
      <tp t="s">
        <v>#N/A Requesting Data...4224539327</v>
        <stp/>
        <stp>BDP|1242645179786215063</stp>
        <tr r="AC1278" s="1"/>
        <tr r="AC1278" s="1"/>
      </tp>
      <tp t="s">
        <v>#N/A Requesting Data...4039663297</v>
        <stp/>
        <stp>BDP|6100964807641907826</stp>
        <tr r="Y1461" s="1"/>
        <tr r="Y1461" s="1"/>
      </tp>
      <tp t="s">
        <v>#N/A Requesting Data...3573990107</v>
        <stp/>
        <stp>BDP|4911482068453452365</stp>
        <tr r="Y724" s="1"/>
        <tr r="Y724" s="1"/>
      </tp>
      <tp t="s">
        <v>#N/A Requesting Data...3342179571</v>
        <stp/>
        <stp>BDP|6751420938865729218</stp>
        <tr r="AC1294" s="1"/>
        <tr r="AC1294" s="1"/>
      </tp>
      <tp t="s">
        <v>#N/A Requesting Data...3440398069</v>
        <stp/>
        <stp>BDP|4838557670377038763</stp>
        <tr r="Y804" s="1"/>
        <tr r="Y804" s="1"/>
      </tp>
      <tp t="s">
        <v>#N/A Requesting Data...3545064909</v>
        <stp/>
        <stp>BDP|6616215218264715731</stp>
        <tr r="AC758" s="1"/>
        <tr r="AC758" s="1"/>
      </tp>
      <tp t="s">
        <v>#N/A Requesting Data...3272044707</v>
        <stp/>
        <stp>BDP|9745799798467901674</stp>
        <tr r="AB1023" s="1"/>
        <tr r="AB1023" s="1"/>
      </tp>
      <tp t="s">
        <v>#N/A Requesting Data...2967281156</v>
        <stp/>
        <stp>BDP|3165183864627378568</stp>
        <tr r="Z316" s="1"/>
        <tr r="Z316" s="1"/>
      </tp>
      <tp t="s">
        <v>#N/A Requesting Data...3408136162</v>
        <stp/>
        <stp>BDP|3381492660451662644</stp>
        <tr r="Z513" s="1"/>
        <tr r="Z513" s="1"/>
      </tp>
      <tp t="s">
        <v>#N/A Requesting Data...3640638180</v>
        <stp/>
        <stp>BDP|1655739202125921561</stp>
        <tr r="Z1571" s="1"/>
        <tr r="Z1571" s="1"/>
      </tp>
      <tp t="s">
        <v>#N/A Requesting Data...3704305735</v>
        <stp/>
        <stp>BDP|9253470821549896048</stp>
        <tr r="AB973" s="1"/>
        <tr r="AB973" s="1"/>
      </tp>
      <tp t="s">
        <v>#N/A Requesting Data...3747927326</v>
        <stp/>
        <stp>BDP|3398609207157497488</stp>
        <tr r="Z1195" s="1"/>
        <tr r="Z1195" s="1"/>
      </tp>
      <tp t="s">
        <v>#N/A Requesting Data...3278246115</v>
        <stp/>
        <stp>BDP|7281408574102819062</stp>
        <tr r="Z993" s="1"/>
        <tr r="Z993" s="1"/>
      </tp>
      <tp t="s">
        <v>#N/A Requesting Data...3113750167</v>
        <stp/>
        <stp>BDP|8959153487732167525</stp>
        <tr r="AA888" s="1"/>
        <tr r="AA888" s="1"/>
      </tp>
      <tp t="s">
        <v>#N/A Requesting Data...2844218640</v>
        <stp/>
        <stp>BDP|3001591519032964312</stp>
        <tr r="Y37" s="1"/>
        <tr r="Y37" s="1"/>
      </tp>
      <tp t="s">
        <v>#N/A Requesting Data...3665533241</v>
        <stp/>
        <stp>BDP|5487673050506967630</stp>
        <tr r="Z1127" s="1"/>
        <tr r="Z1127" s="1"/>
      </tp>
      <tp t="s">
        <v>#N/A Requesting Data...3265805022</v>
        <stp/>
        <stp>BDP|6845963484110789146</stp>
        <tr r="AA324" s="1"/>
        <tr r="AA324" s="1"/>
      </tp>
      <tp t="s">
        <v>#N/A Requesting Data...4181074149</v>
        <stp/>
        <stp>BDP|8714949913852988403</stp>
        <tr r="AB691" s="1"/>
        <tr r="AB691" s="1"/>
      </tp>
      <tp t="s">
        <v>#N/A Requesting Data...3905558557</v>
        <stp/>
        <stp>BDP|5577298672087024176</stp>
        <tr r="AB980" s="1"/>
        <tr r="AB980" s="1"/>
      </tp>
      <tp t="s">
        <v>#N/A Requesting Data...3455403033</v>
        <stp/>
        <stp>BDP|7137541311387599286</stp>
        <tr r="Z1597" s="1"/>
        <tr r="Z1597" s="1"/>
      </tp>
      <tp t="s">
        <v>#N/A Requesting Data...3063852852</v>
        <stp/>
        <stp>BDP|9673110098961164676</stp>
        <tr r="Y1589" s="1"/>
        <tr r="Y1589" s="1"/>
      </tp>
      <tp t="s">
        <v>#N/A Requesting Data...3230989927</v>
        <stp/>
        <stp>BDP|1865541006083123125</stp>
        <tr r="Z1262" s="1"/>
        <tr r="Z1262" s="1"/>
      </tp>
      <tp t="s">
        <v>#N/A Requesting Data...2954316993</v>
        <stp/>
        <stp>BDP|3545464556351437582</stp>
        <tr r="AC1111" s="1"/>
        <tr r="AC1111" s="1"/>
      </tp>
      <tp t="s">
        <v>#N/A Requesting Data...4160368337</v>
        <stp/>
        <stp>BDP|6888618268504024485</stp>
        <tr r="AB625" s="1"/>
        <tr r="AB625" s="1"/>
      </tp>
      <tp t="s">
        <v>#N/A Requesting Data...2831754812</v>
        <stp/>
        <stp>BDP|7060061682738457190</stp>
        <tr r="AA1216" s="1"/>
        <tr r="AA1216" s="1"/>
      </tp>
      <tp t="s">
        <v>#N/A Requesting Data...4080354327</v>
        <stp/>
        <stp>BDP|1470633722682576190</stp>
        <tr r="AA256" s="1"/>
        <tr r="AA256" s="1"/>
      </tp>
      <tp t="s">
        <v>#N/A Requesting Data...4249154278</v>
        <stp/>
        <stp>BDP|1383367139704683334</stp>
        <tr r="Y126" s="1"/>
        <tr r="Y126" s="1"/>
      </tp>
      <tp t="s">
        <v>#N/A Requesting Data...3813455708</v>
        <stp/>
        <stp>BDP|6575161313918914808</stp>
        <tr r="Y657" s="1"/>
        <tr r="Y657" s="1"/>
      </tp>
      <tp t="s">
        <v>#N/A Requesting Data...3038903101</v>
        <stp/>
        <stp>BDP|9838694186132866366</stp>
        <tr r="Z240" s="1"/>
        <tr r="Z240" s="1"/>
      </tp>
      <tp t="s">
        <v>#N/A Requesting Data...2968339305</v>
        <stp/>
        <stp>BDP|9195366165618461286</stp>
        <tr r="AA360" s="1"/>
        <tr r="AA360" s="1"/>
      </tp>
      <tp t="s">
        <v>#N/A Requesting Data...3485544876</v>
        <stp/>
        <stp>BDP|5717276578033092567</stp>
        <tr r="Z1104" s="1"/>
        <tr r="Z1104" s="1"/>
      </tp>
      <tp t="s">
        <v>#N/A Requesting Data...4237639434</v>
        <stp/>
        <stp>BDP|8042597499012824068</stp>
        <tr r="Y1398" s="1"/>
        <tr r="Y1398" s="1"/>
      </tp>
      <tp t="s">
        <v>#N/A Requesting Data...4255456009</v>
        <stp/>
        <stp>BDP|4328124158994340243</stp>
        <tr r="Y1183" s="1"/>
        <tr r="Y1183" s="1"/>
      </tp>
      <tp t="s">
        <v>#N/A Requesting Data...3197169462</v>
        <stp/>
        <stp>BDP|2863038565204934695</stp>
        <tr r="AB1066" s="1"/>
        <tr r="AB1066" s="1"/>
      </tp>
      <tp t="s">
        <v>#N/A Requesting Data...2789496296</v>
        <stp/>
        <stp>BDP|5302558874167421686</stp>
        <tr r="Z1005" s="1"/>
        <tr r="Z1005" s="1"/>
      </tp>
      <tp t="s">
        <v>#N/A Requesting Data...3982291012</v>
        <stp/>
        <stp>BDP|6107320552166692096</stp>
        <tr r="Y1495" s="1"/>
      </tp>
      <tp t="s">
        <v>#N/A Requesting Data...3732438565</v>
        <stp/>
        <stp>BDP|8057088542789500314</stp>
        <tr r="Z390" s="1"/>
        <tr r="Z390" s="1"/>
      </tp>
      <tp t="s">
        <v>#N/A Requesting Data...3848147078</v>
        <stp/>
        <stp>BDP|4459265637367982425</stp>
        <tr r="Z135" s="1"/>
        <tr r="Z135" s="1"/>
      </tp>
      <tp t="s">
        <v>#N/A Requesting Data...3284052693</v>
        <stp/>
        <stp>BDP|7482360343463889575</stp>
        <tr r="AB1610" s="1"/>
        <tr r="AB1610" s="1"/>
      </tp>
      <tp t="s">
        <v>#N/A Requesting Data...3611391803</v>
        <stp/>
        <stp>BDP|4018169518901257325</stp>
        <tr r="AC35" s="1"/>
      </tp>
      <tp t="s">
        <v>#N/A Requesting Data...2784015077</v>
        <stp/>
        <stp>BDP|5032067128115600465</stp>
        <tr r="AB1426" s="1"/>
        <tr r="AB1426" s="1"/>
      </tp>
      <tp t="s">
        <v>#N/A Requesting Data...3915484818</v>
        <stp/>
        <stp>BDP|5571140133833870248</stp>
        <tr r="AA686" s="1"/>
        <tr r="AA686" s="1"/>
      </tp>
      <tp t="s">
        <v>#N/A Requesting Data...3539362003</v>
        <stp/>
        <stp>BDP|2078069624541486786</stp>
        <tr r="AB1036" s="1"/>
        <tr r="AB1036" s="1"/>
      </tp>
      <tp t="s">
        <v>#N/A Requesting Data...4212308002</v>
        <stp/>
        <stp>BDP|4064251879977233008</stp>
        <tr r="AA942" s="1"/>
        <tr r="AA942" s="1"/>
      </tp>
      <tp t="s">
        <v>#N/A Requesting Data...4086490233</v>
        <stp/>
        <stp>BDP|4088516623872821740</stp>
        <tr r="AA1615" s="1"/>
        <tr r="AA1615" s="1"/>
      </tp>
      <tp t="s">
        <v>#N/A Requesting Data...3262495745</v>
        <stp/>
        <stp>BDP|4615873071469922473</stp>
        <tr r="AC349" s="1"/>
        <tr r="AC349" s="1"/>
      </tp>
      <tp t="s">
        <v>#N/A Requesting Data...3220556770</v>
        <stp/>
        <stp>BDP|7103631507377948021</stp>
        <tr r="AA990" s="1"/>
        <tr r="AA990" s="1"/>
      </tp>
      <tp t="s">
        <v>#N/A Requesting Data...3585811800</v>
        <stp/>
        <stp>BDP|7115370168986695266</stp>
        <tr r="Y1475" s="1"/>
        <tr r="Y1475" s="1"/>
      </tp>
      <tp t="s">
        <v>#N/A Requesting Data...2884011160</v>
        <stp/>
        <stp>BDP|5900648615304164065</stp>
        <tr r="Z143" s="1"/>
        <tr r="Z143" s="1"/>
      </tp>
      <tp t="s">
        <v>#N/A Requesting Data...4084550101</v>
        <stp/>
        <stp>BDP|2576769811567586588</stp>
        <tr r="AA1357" s="1"/>
        <tr r="AA1357" s="1"/>
      </tp>
      <tp t="s">
        <v>#N/A Requesting Data...2911228145</v>
        <stp/>
        <stp>BDP|6376428204086845220</stp>
        <tr r="AB1367" s="1"/>
        <tr r="AB1367" s="1"/>
      </tp>
      <tp t="s">
        <v>#N/A Requesting Data...3773807490</v>
        <stp/>
        <stp>BDP|5400474126106279388</stp>
        <tr r="AC788" s="1"/>
        <tr r="AC788" s="1"/>
      </tp>
      <tp t="s">
        <v>#N/A Requesting Data...4213494140</v>
        <stp/>
        <stp>BDP|7959244803312065119</stp>
        <tr r="Y69" s="1"/>
        <tr r="Y69" s="1"/>
      </tp>
      <tp t="s">
        <v>#N/A Requesting Data...4023238428</v>
        <stp/>
        <stp>BDP|7613672979311051178</stp>
        <tr r="AA307" s="1"/>
        <tr r="AA307" s="1"/>
      </tp>
      <tp t="s">
        <v>#N/A Requesting Data...4003259305</v>
        <stp/>
        <stp>BDP|5282342132496966524</stp>
        <tr r="AC1423" s="1"/>
        <tr r="AC1423" s="1"/>
      </tp>
      <tp t="s">
        <v>#N/A Requesting Data...3472863799</v>
        <stp/>
        <stp>BDP|1632964089875377357</stp>
        <tr r="Y773" s="1"/>
        <tr r="Y773" s="1"/>
      </tp>
      <tp t="s">
        <v>#N/A Requesting Data...3803652916</v>
        <stp/>
        <stp>BDP|7685236151082803431</stp>
        <tr r="Z459" s="1"/>
        <tr r="Z459" s="1"/>
      </tp>
      <tp t="s">
        <v>#N/A Requesting Data...3947435438</v>
        <stp/>
        <stp>BDP|6538669148685629721</stp>
        <tr r="Y1401" s="1"/>
        <tr r="Y1401" s="1"/>
      </tp>
      <tp t="s">
        <v>#N/A Requesting Data...3375110557</v>
        <stp/>
        <stp>BDP|7522493142722542343</stp>
        <tr r="AB224" s="1"/>
        <tr r="AB224" s="1"/>
      </tp>
      <tp t="s">
        <v>#N/A Requesting Data...3902909468</v>
        <stp/>
        <stp>BDP|2447270746602328090</stp>
        <tr r="Y987" s="1"/>
        <tr r="Y987" s="1"/>
      </tp>
      <tp t="s">
        <v>#N/A Requesting Data...4281800618</v>
        <stp/>
        <stp>BDP|2081235631706469399</stp>
        <tr r="Y1600" s="1"/>
        <tr r="Y1600" s="1"/>
      </tp>
      <tp t="s">
        <v>#N/A Requesting Data...3016451803</v>
        <stp/>
        <stp>BDP|7929814205338510173</stp>
        <tr r="AC478" s="1"/>
        <tr r="AC478" s="1"/>
      </tp>
      <tp t="s">
        <v>#N/A Requesting Data...3085759856</v>
        <stp/>
        <stp>BDP|2510718559214205233</stp>
        <tr r="Y1593" s="1"/>
        <tr r="Y1593" s="1"/>
      </tp>
      <tp t="s">
        <v>#N/A Requesting Data...3997544950</v>
        <stp/>
        <stp>BDP|6825233634713057238</stp>
        <tr r="Z1576" s="1"/>
        <tr r="Z1576" s="1"/>
      </tp>
      <tp t="s">
        <v>#N/A Requesting Data...3159210972</v>
        <stp/>
        <stp>BDP|4589551460460849143</stp>
        <tr r="AB891" s="1"/>
        <tr r="AB891" s="1"/>
      </tp>
      <tp t="s">
        <v>#N/A Requesting Data...3280501179</v>
        <stp/>
        <stp>BDP|6795177773776776084</stp>
        <tr r="AC261" s="1"/>
        <tr r="AC261" s="1"/>
      </tp>
      <tp t="s">
        <v>#N/A Requesting Data...3666632279</v>
        <stp/>
        <stp>BDP|9483957841140462282</stp>
        <tr r="AA228" s="1"/>
        <tr r="AA228" s="1"/>
      </tp>
      <tp t="s">
        <v>#N/A Requesting Data...3804121878</v>
        <stp/>
        <stp>BDP|7909338380913134978</stp>
        <tr r="AC597" s="1"/>
        <tr r="AC597" s="1"/>
      </tp>
      <tp t="s">
        <v>#N/A Requesting Data...3111709248</v>
        <stp/>
        <stp>BDP|6088341522528989939</stp>
        <tr r="AB1325" s="1"/>
        <tr r="AB1325" s="1"/>
      </tp>
      <tp t="s">
        <v>#N/A Requesting Data...4170768632</v>
        <stp/>
        <stp>BDP|2695687344796627006</stp>
        <tr r="Y1272" s="1"/>
        <tr r="Y1272" s="1"/>
      </tp>
      <tp t="s">
        <v>#N/A Requesting Data...3068728381</v>
        <stp/>
        <stp>BDP|5881307816968537978</stp>
        <tr r="Z1288" s="1"/>
        <tr r="Z1288" s="1"/>
      </tp>
      <tp t="s">
        <v>#N/A Requesting Data...4029911866</v>
        <stp/>
        <stp>BDP|3470392669600087084</stp>
        <tr r="AC548" s="1"/>
        <tr r="AC548" s="1"/>
      </tp>
      <tp t="s">
        <v>#N/A Requesting Data...3094059031</v>
        <stp/>
        <stp>BDP|5538909111642107993</stp>
        <tr r="AB569" s="1"/>
        <tr r="AB569" s="1"/>
      </tp>
      <tp t="s">
        <v>#N/A Requesting Data...3829347334</v>
        <stp/>
        <stp>BDP|5932383267713964531</stp>
        <tr r="AB37" s="1"/>
      </tp>
      <tp t="s">
        <v>#N/A Requesting Data...3706798487</v>
        <stp/>
        <stp>BDP|4691399931514653642</stp>
        <tr r="AC37" s="1"/>
      </tp>
      <tp t="s">
        <v>#N/A Requesting Data...3634167278</v>
        <stp/>
        <stp>BDP|7800854187942307359</stp>
        <tr r="AC943" s="1"/>
        <tr r="AC943" s="1"/>
      </tp>
      <tp t="s">
        <v>#N/A Requesting Data...2831819245</v>
        <stp/>
        <stp>BDP|2171663414005645688</stp>
        <tr r="AB1020" s="1"/>
        <tr r="AB1020" s="1"/>
      </tp>
      <tp t="s">
        <v>#N/A Requesting Data...3729331722</v>
        <stp/>
        <stp>BDP|1649640056981113582</stp>
        <tr r="Y152" s="1"/>
        <tr r="Y152" s="1"/>
      </tp>
      <tp t="s">
        <v>#N/A Requesting Data...4002712820</v>
        <stp/>
        <stp>BDP|9211357078592076925</stp>
        <tr r="Y483" s="1"/>
        <tr r="Y483" s="1"/>
      </tp>
      <tp t="s">
        <v>#N/A Requesting Data...3204106794</v>
        <stp/>
        <stp>BDP|1460474920366800760</stp>
        <tr r="AC1364" s="1"/>
        <tr r="AC1364" s="1"/>
      </tp>
      <tp t="s">
        <v>#N/A Requesting Data...2883291964</v>
        <stp/>
        <stp>BDP|3835634320553438220</stp>
        <tr r="Y663" s="1"/>
        <tr r="Y663" s="1"/>
      </tp>
      <tp t="s">
        <v>#N/A Requesting Data...3939213075</v>
        <stp/>
        <stp>BDP|9434519564964519892</stp>
        <tr r="AB1351" s="1"/>
        <tr r="AB1351" s="1"/>
      </tp>
      <tp t="s">
        <v>#N/A Requesting Data...4220411566</v>
        <stp/>
        <stp>BDP|4520053648384324263</stp>
        <tr r="AB732" s="1"/>
        <tr r="AB732" s="1"/>
      </tp>
      <tp t="s">
        <v>#N/A Requesting Data...4122053020</v>
        <stp/>
        <stp>BDP|5961252634142731023</stp>
        <tr r="AC598" s="1"/>
        <tr r="AC598" s="1"/>
      </tp>
      <tp t="s">
        <v>#N/A Requesting Data...3834126095</v>
        <stp/>
        <stp>BDP|7847957656948048569</stp>
        <tr r="Z368" s="1"/>
        <tr r="Z368" s="1"/>
      </tp>
      <tp t="s">
        <v>#N/A Requesting Data...4024568379</v>
        <stp/>
        <stp>BDP|7627235666984813168</stp>
        <tr r="Y1604" s="1"/>
        <tr r="Y1604" s="1"/>
      </tp>
      <tp t="s">
        <v>#N/A Requesting Data...3174535328</v>
        <stp/>
        <stp>BDP|6559437926407895159</stp>
        <tr r="Z1345" s="1"/>
      </tp>
      <tp t="s">
        <v>#N/A Requesting Data...4007415868</v>
        <stp/>
        <stp>BDP|9141292547839563081</stp>
        <tr r="AA1304" s="1"/>
        <tr r="AA1304" s="1"/>
      </tp>
      <tp t="s">
        <v>#N/A Requesting Data...3364425496</v>
        <stp/>
        <stp>BDP|3780414784351637865</stp>
        <tr r="Z1237" s="1"/>
        <tr r="Z1237" s="1"/>
      </tp>
      <tp t="s">
        <v>#N/A Requesting Data...3520016457</v>
        <stp/>
        <stp>BDP|4795557712042002424</stp>
        <tr r="AA1507" s="1"/>
        <tr r="AA1507" s="1"/>
      </tp>
      <tp t="s">
        <v>#N/A Requesting Data...3683264515</v>
        <stp/>
        <stp>BDP|4013499329345418167</stp>
        <tr r="Y1269" s="1"/>
        <tr r="Y1269" s="1"/>
      </tp>
      <tp t="s">
        <v>#N/A Requesting Data...3532215729</v>
        <stp/>
        <stp>BDP|4632463832820624567</stp>
        <tr r="AC133" s="1"/>
        <tr r="AC133" s="1"/>
      </tp>
      <tp t="s">
        <v>#N/A Requesting Data...4275948803</v>
        <stp/>
        <stp>BDP|5612394953952962777</stp>
        <tr r="AB1577" s="1"/>
        <tr r="AB1577" s="1"/>
      </tp>
      <tp t="s">
        <v>#N/A Requesting Data...3979396416</v>
        <stp/>
        <stp>BDP|1551375706650237449</stp>
        <tr r="Z784" s="1"/>
        <tr r="Z784" s="1"/>
      </tp>
      <tp t="s">
        <v>#N/A Requesting Data...3191775136</v>
        <stp/>
        <stp>BDP|1684040215037200177</stp>
        <tr r="AA1392" s="1"/>
        <tr r="AA1392" s="1"/>
      </tp>
      <tp t="s">
        <v>#N/A Requesting Data...3744710875</v>
        <stp/>
        <stp>BDP|2641196108590699531</stp>
        <tr r="AC457" s="1"/>
        <tr r="AC457" s="1"/>
      </tp>
      <tp t="s">
        <v>#N/A Requesting Data...2850900954</v>
        <stp/>
        <stp>BDP|1626702020023021143</stp>
        <tr r="AA1405" s="1"/>
        <tr r="AA1405" s="1"/>
      </tp>
      <tp t="s">
        <v>#N/A Requesting Data...3612206470</v>
        <stp/>
        <stp>BDP|2497816506749501549</stp>
        <tr r="AA315" s="1"/>
        <tr r="AA315" s="1"/>
      </tp>
      <tp t="s">
        <v>#N/A Requesting Data...3212329786</v>
        <stp/>
        <stp>BDP|3519498181211797883</stp>
        <tr r="AC1493" s="1"/>
        <tr r="AC1493" s="1"/>
      </tp>
      <tp t="s">
        <v>#N/A Requesting Data...3901626044</v>
        <stp/>
        <stp>BDP|6523114864396732156</stp>
        <tr r="Y457" s="1"/>
        <tr r="Y457" s="1"/>
      </tp>
      <tp t="s">
        <v>#N/A Requesting Data...3852524870</v>
        <stp/>
        <stp>BDP|8619913287159567675</stp>
        <tr r="AB988" s="1"/>
        <tr r="AB988" s="1"/>
      </tp>
      <tp t="s">
        <v>#N/A Requesting Data...3820356165</v>
        <stp/>
        <stp>BDP|1847608272726017089</stp>
        <tr r="Y391" s="1"/>
        <tr r="Y391" s="1"/>
      </tp>
      <tp t="s">
        <v>#N/A Requesting Data...3890286302</v>
        <stp/>
        <stp>BDP|3367371833206106347</stp>
        <tr r="Y1503" s="1"/>
        <tr r="Y1503" s="1"/>
      </tp>
      <tp t="s">
        <v>#N/A Requesting Data...2882106656</v>
        <stp/>
        <stp>BDP|3748069595868778416</stp>
        <tr r="Z547" s="1"/>
        <tr r="Z547" s="1"/>
      </tp>
      <tp t="s">
        <v>#N/A Requesting Data...4258777306</v>
        <stp/>
        <stp>BDP|8695606051825791828</stp>
        <tr r="AB287" s="1"/>
        <tr r="AB287" s="1"/>
      </tp>
      <tp t="s">
        <v>#N/A Requesting Data...3095121889</v>
        <stp/>
        <stp>BDP|2814000753975921411</stp>
        <tr r="Z1095" s="1"/>
        <tr r="Z1095" s="1"/>
      </tp>
      <tp t="s">
        <v>#N/A Requesting Data...3700577724</v>
        <stp/>
        <stp>BDP|3216218552467344512</stp>
        <tr r="AA770" s="1"/>
        <tr r="AA770" s="1"/>
      </tp>
      <tp t="s">
        <v>#N/A Requesting Data...4103717215</v>
        <stp/>
        <stp>BDP|3682204274070023014</stp>
        <tr r="Z84" s="1"/>
        <tr r="Z84" s="1"/>
      </tp>
      <tp t="s">
        <v>#N/A Requesting Data...3680542711</v>
        <stp/>
        <stp>BDP|3881990937189712625</stp>
        <tr r="Z163" s="1"/>
        <tr r="Z163" s="1"/>
      </tp>
      <tp t="s">
        <v>#N/A Requesting Data...3063041346</v>
        <stp/>
        <stp>BDP|6875488283509339534</stp>
        <tr r="Z617" s="1"/>
        <tr r="Z617" s="1"/>
      </tp>
      <tp t="s">
        <v>#N/A Requesting Data...2815558888</v>
        <stp/>
        <stp>BDP|5595075931654716477</stp>
        <tr r="AC249" s="1"/>
      </tp>
      <tp t="s">
        <v>#N/A Requesting Data...2997383941</v>
        <stp/>
        <stp>BDP|6893216011690246392</stp>
        <tr r="AB1048" s="1"/>
        <tr r="AB1048" s="1"/>
      </tp>
      <tp t="s">
        <v>#N/A Requesting Data...3087578679</v>
        <stp/>
        <stp>BDP|5501653257908721836</stp>
        <tr r="AA555" s="1"/>
        <tr r="AA555" s="1"/>
      </tp>
      <tp t="s">
        <v>#N/A Requesting Data...4239612466</v>
        <stp/>
        <stp>BDP|6609495575672054198</stp>
        <tr r="Y677" s="1"/>
        <tr r="Y677" s="1"/>
      </tp>
      <tp t="s">
        <v>#N/A Requesting Data...3376908459</v>
        <stp/>
        <stp>BDP|7371805010308998096</stp>
        <tr r="Y732" s="1"/>
        <tr r="Y732" s="1"/>
      </tp>
      <tp t="s">
        <v>#N/A Requesting Data...2856604300</v>
        <stp/>
        <stp>BDP|5477165116273599028</stp>
        <tr r="Y885" s="1"/>
        <tr r="Y885" s="1"/>
      </tp>
      <tp t="s">
        <v>#N/A Requesting Data...3418741495</v>
        <stp/>
        <stp>BDP|2513048618432393794</stp>
        <tr r="AC242" s="1"/>
      </tp>
      <tp t="s">
        <v>#N/A Requesting Data...3248983191</v>
        <stp/>
        <stp>BDP|2738452716673436234</stp>
        <tr r="AB785" s="1"/>
        <tr r="AB785" s="1"/>
      </tp>
      <tp t="s">
        <v>#N/A Requesting Data...4223275207</v>
        <stp/>
        <stp>BDP|8300981577878621899</stp>
        <tr r="Z261" s="1"/>
        <tr r="Z261" s="1"/>
      </tp>
      <tp t="s">
        <v>#N/A Requesting Data...3878519425</v>
        <stp/>
        <stp>BDP|3526220892489719715</stp>
        <tr r="Z28" s="1"/>
        <tr r="Z28" s="1"/>
      </tp>
      <tp t="s">
        <v>#N/A Requesting Data...3236013276</v>
        <stp/>
        <stp>BDP|4741074429808288885</stp>
        <tr r="AB207" s="1"/>
        <tr r="AB207" s="1"/>
      </tp>
      <tp t="s">
        <v>#N/A Requesting Data...4270684051</v>
        <stp/>
        <stp>BDP|3224388801012995416</stp>
        <tr r="Y763" s="1"/>
        <tr r="Y763" s="1"/>
      </tp>
      <tp t="s">
        <v>#N/A Requesting Data...4202959258</v>
        <stp/>
        <stp>BDP|3054155818257613287</stp>
        <tr r="AC1069" s="1"/>
        <tr r="AC1069" s="1"/>
      </tp>
      <tp t="s">
        <v>#N/A Requesting Data...4284976731</v>
        <stp/>
        <stp>BDP|6162730090849804799</stp>
        <tr r="Y1345" s="1"/>
      </tp>
      <tp t="s">
        <v>#N/A Requesting Data...4198943261</v>
        <stp/>
        <stp>BDP|6225698615500491791</stp>
        <tr r="Z673" s="1"/>
        <tr r="Z673" s="1"/>
      </tp>
      <tp t="s">
        <v>#N/A Requesting Data...3935755079</v>
        <stp/>
        <stp>BDP|7361712210913223439</stp>
        <tr r="AA240" s="1"/>
        <tr r="AA240" s="1"/>
      </tp>
      <tp t="s">
        <v>#N/A Requesting Data...3008877199</v>
        <stp/>
        <stp>BDP|8000042183574795238</stp>
        <tr r="Z535" s="1"/>
        <tr r="Z535" s="1"/>
      </tp>
      <tp t="s">
        <v>#N/A Requesting Data...3307174075</v>
        <stp/>
        <stp>BDP|6412588043056789788</stp>
        <tr r="AC364" s="1"/>
        <tr r="AC364" s="1"/>
      </tp>
      <tp t="s">
        <v>#N/A Requesting Data...3987430832</v>
        <stp/>
        <stp>BDP|5287026481559791269</stp>
        <tr r="AC230" s="1"/>
      </tp>
      <tp t="s">
        <v>#N/A Requesting Data...4161265550</v>
        <stp/>
        <stp>BDP|9090583129321120901</stp>
        <tr r="Y1084" s="1"/>
        <tr r="Y1084" s="1"/>
      </tp>
      <tp t="s">
        <v>#N/A Requesting Data...3478262919</v>
        <stp/>
        <stp>BDP|4612791316927826316</stp>
        <tr r="Z218" s="1"/>
        <tr r="Z218" s="1"/>
      </tp>
      <tp t="s">
        <v>#N/A Requesting Data...3195719114</v>
        <stp/>
        <stp>BDP|7433790730985515086</stp>
        <tr r="AA855" s="1"/>
        <tr r="AA855" s="1"/>
      </tp>
      <tp t="s">
        <v>#N/A Requesting Data...4109283355</v>
        <stp/>
        <stp>BDP|8621842973901803095</stp>
        <tr r="Z1296" s="1"/>
        <tr r="Z1296" s="1"/>
      </tp>
      <tp t="s">
        <v>#N/A Requesting Data...4134466208</v>
        <stp/>
        <stp>BDP|2846227578115587475</stp>
        <tr r="AA947" s="1"/>
        <tr r="AA947" s="1"/>
      </tp>
      <tp t="s">
        <v>#N/A Requesting Data...4233360367</v>
        <stp/>
        <stp>BDP|5187284464871534688</stp>
        <tr r="AB608" s="1"/>
        <tr r="AB608" s="1"/>
      </tp>
      <tp t="s">
        <v>#N/A Requesting Data...3015218145</v>
        <stp/>
        <stp>BDP|4259784648463084223</stp>
        <tr r="AA385" s="1"/>
        <tr r="AA385" s="1"/>
      </tp>
      <tp t="s">
        <v>#N/A Requesting Data...3479088182</v>
        <stp/>
        <stp>BDP|5282694513916970213</stp>
        <tr r="AC964" s="1"/>
        <tr r="AC964" s="1"/>
      </tp>
      <tp t="s">
        <v>#N/A Requesting Data...3335942107</v>
        <stp/>
        <stp>BDP|1506731788578907075</stp>
        <tr r="AA725" s="1"/>
        <tr r="AA725" s="1"/>
      </tp>
      <tp t="s">
        <v>#N/A Requesting Data...3531439557</v>
        <stp/>
        <stp>BDP|7612016135924586676</stp>
        <tr r="Z1568" s="1"/>
        <tr r="Z1568" s="1"/>
      </tp>
      <tp t="s">
        <v>#N/A Requesting Data...3695653712</v>
        <stp/>
        <stp>BDP|4101073632687468600</stp>
        <tr r="AA1206" s="1"/>
        <tr r="AA1206" s="1"/>
      </tp>
      <tp t="s">
        <v>#N/A Requesting Data...3358060287</v>
        <stp/>
        <stp>BDP|4797082129396383653</stp>
        <tr r="Y1429" s="1"/>
        <tr r="Y1429" s="1"/>
      </tp>
      <tp t="s">
        <v>#N/A Requesting Data...3960049850</v>
        <stp/>
        <stp>BDP|7338101502180617070</stp>
        <tr r="AA1259" s="1"/>
        <tr r="AA1259" s="1"/>
      </tp>
      <tp t="s">
        <v>#N/A Requesting Data...3041903462</v>
        <stp/>
        <stp>BDP|6096554088968443594</stp>
        <tr r="Z1448" s="1"/>
        <tr r="Z1448" s="1"/>
      </tp>
      <tp t="s">
        <v>#N/A Requesting Data...2868800661</v>
        <stp/>
        <stp>BDP|1716980350133805877</stp>
        <tr r="AA524" s="1"/>
        <tr r="AA524" s="1"/>
      </tp>
      <tp t="s">
        <v>#N/A Requesting Data...3806777159</v>
        <stp/>
        <stp>BDP|6356403655461103074</stp>
        <tr r="AB1315" s="1"/>
        <tr r="AB1315" s="1"/>
      </tp>
      <tp t="s">
        <v>#N/A Requesting Data...3802193392</v>
        <stp/>
        <stp>BDP|4038141437854082434</stp>
        <tr r="AA1592" s="1"/>
        <tr r="AA1592" s="1"/>
      </tp>
      <tp t="s">
        <v>#N/A Requesting Data...4209856419</v>
        <stp/>
        <stp>BDP|2162170620515588222</stp>
        <tr r="AA218" s="1"/>
        <tr r="AA218" s="1"/>
      </tp>
      <tp t="s">
        <v>#N/A Requesting Data...3896335281</v>
        <stp/>
        <stp>BDP|7519601458905565797</stp>
        <tr r="AA525" s="1"/>
        <tr r="AA525" s="1"/>
      </tp>
      <tp t="s">
        <v>#N/A Requesting Data...4032312784</v>
        <stp/>
        <stp>BDP|5774134871854053146</stp>
        <tr r="AA1619" s="1"/>
        <tr r="AA1619" s="1"/>
      </tp>
      <tp t="s">
        <v>#N/A Requesting Data...3247752004</v>
        <stp/>
        <stp>BDP|1084089139587394336</stp>
        <tr r="Y784" s="1"/>
        <tr r="Y784" s="1"/>
      </tp>
      <tp t="s">
        <v>#N/A Requesting Data...3416713487</v>
        <stp/>
        <stp>BDP|7400121860933461535</stp>
        <tr r="AA587" s="1"/>
        <tr r="AA587" s="1"/>
      </tp>
      <tp t="s">
        <v>#N/A Requesting Data...3562267819</v>
        <stp/>
        <stp>BDP|5627433165853935280</stp>
        <tr r="Z260" s="1"/>
        <tr r="Z260" s="1"/>
      </tp>
      <tp t="s">
        <v>#N/A Requesting Data...3285076999</v>
        <stp/>
        <stp>BDP|4842588498668819611</stp>
        <tr r="AA511" s="1"/>
        <tr r="AA511" s="1"/>
      </tp>
      <tp t="s">
        <v>#N/A Requesting Data...4145676449</v>
        <stp/>
        <stp>BDP|8145477806983977980</stp>
        <tr r="AA667" s="1"/>
        <tr r="AA667" s="1"/>
      </tp>
      <tp t="s">
        <v>#N/A Requesting Data...4080354101</v>
        <stp/>
        <stp>BDP|6049013311291607079</stp>
        <tr r="Z477" s="1"/>
        <tr r="Z477" s="1"/>
      </tp>
      <tp t="s">
        <v>#N/A Requesting Data...3026141796</v>
        <stp/>
        <stp>BDP|5988812430018001094</stp>
        <tr r="Y1605" s="1"/>
        <tr r="Y1605" s="1"/>
      </tp>
      <tp t="s">
        <v>#N/A Requesting Data...3458678262</v>
        <stp/>
        <stp>BDP|2756710265614177135</stp>
        <tr r="AB206" s="1"/>
        <tr r="AB206" s="1"/>
      </tp>
      <tp t="s">
        <v>#N/A Requesting Data...3634927253</v>
        <stp/>
        <stp>BDP|6552983539743628932</stp>
        <tr r="AC1457" s="1"/>
        <tr r="AC1457" s="1"/>
      </tp>
      <tp t="s">
        <v>#N/A Requesting Data...4194805608</v>
        <stp/>
        <stp>BDP|6530152285421457800</stp>
        <tr r="Z1352" s="1"/>
        <tr r="Z1352" s="1"/>
      </tp>
      <tp t="s">
        <v>#N/A Requesting Data...3115093073</v>
        <stp/>
        <stp>BDP|2698432571296072127</stp>
        <tr r="AB1221" s="1"/>
        <tr r="AB1221" s="1"/>
      </tp>
      <tp t="s">
        <v>#N/A Requesting Data...3793852520</v>
        <stp/>
        <stp>BDP|1782673904297563674</stp>
        <tr r="Y23" s="1"/>
        <tr r="Y23" s="1"/>
      </tp>
      <tp t="s">
        <v>#N/A Requesting Data...2921792759</v>
        <stp/>
        <stp>BDP|2296351084549014651</stp>
        <tr r="AA6" s="1"/>
        <tr r="AA6" s="1"/>
      </tp>
      <tp t="s">
        <v>#N/A Requesting Data...3521212288</v>
        <stp/>
        <stp>BDP|4434238318663868216</stp>
        <tr r="Z561" s="1"/>
        <tr r="Z561" s="1"/>
      </tp>
      <tp t="s">
        <v>#N/A Requesting Data...3059878930</v>
        <stp/>
        <stp>BDP|1151644827863755033</stp>
        <tr r="Y478" s="1"/>
        <tr r="Y478" s="1"/>
      </tp>
      <tp t="s">
        <v>#N/A Requesting Data...3821381647</v>
        <stp/>
        <stp>BDP|7444519273354586758</stp>
        <tr r="AC272" s="1"/>
        <tr r="AC272" s="1"/>
      </tp>
      <tp t="s">
        <v>#N/A Requesting Data...2858054716</v>
        <stp/>
        <stp>BDP|8398112080694641328</stp>
        <tr r="AB1598" s="1"/>
        <tr r="AB1598" s="1"/>
      </tp>
      <tp t="s">
        <v>#N/A Requesting Data...2883325522</v>
        <stp/>
        <stp>BDP|6676774602392749527</stp>
        <tr r="AB1262" s="1"/>
        <tr r="AB1262" s="1"/>
      </tp>
      <tp t="s">
        <v>#N/A Requesting Data...3178553952</v>
        <stp/>
        <stp>BDP|6607122742061364430</stp>
        <tr r="Y710" s="1"/>
        <tr r="Y710" s="1"/>
      </tp>
      <tp t="s">
        <v>#N/A Requesting Data...4019521448</v>
        <stp/>
        <stp>BDP|2378567336160635236</stp>
        <tr r="Y997" s="1"/>
        <tr r="Y997" s="1"/>
      </tp>
      <tp t="s">
        <v>#N/A Requesting Data...3172064398</v>
        <stp/>
        <stp>BDP|4739805586703177162</stp>
        <tr r="AC92" s="1"/>
        <tr r="AC92" s="1"/>
      </tp>
      <tp t="s">
        <v>#N/A Requesting Data...3337902663</v>
        <stp/>
        <stp>BDP|5460747306015969193</stp>
        <tr r="AB84" s="1"/>
        <tr r="AB84" s="1"/>
      </tp>
      <tp t="s">
        <v>#N/A Requesting Data...3785873181</v>
        <stp/>
        <stp>BDP|1969882391817723119</stp>
        <tr r="Z309" s="1"/>
        <tr r="Z309" s="1"/>
      </tp>
      <tp t="s">
        <v>#N/A Requesting Data...4243243437</v>
        <stp/>
        <stp>BDP|2837651868397303307</stp>
        <tr r="AA790" s="1"/>
        <tr r="AA790" s="1"/>
      </tp>
      <tp t="s">
        <v>#N/A Requesting Data...4242854986</v>
        <stp/>
        <stp>BDP|6197969196245549520</stp>
        <tr r="Z1463" s="1"/>
        <tr r="Z1463" s="1"/>
      </tp>
      <tp t="s">
        <v>#N/A Requesting Data...3906849363</v>
        <stp/>
        <stp>BDP|3387822183755334067</stp>
        <tr r="AB872" s="1"/>
        <tr r="AB872" s="1"/>
      </tp>
      <tp t="s">
        <v>#N/A Requesting Data...3349110027</v>
        <stp/>
        <stp>BDP|9471118620335634947</stp>
        <tr r="Y909" s="1"/>
        <tr r="Y909" s="1"/>
      </tp>
      <tp t="s">
        <v>#N/A Requesting Data...3063903074</v>
        <stp/>
        <stp>BDP|1676722650553484673</stp>
        <tr r="AA1252" s="1"/>
        <tr r="AA1252" s="1"/>
      </tp>
      <tp t="s">
        <v>#N/A Requesting Data...2970018391</v>
        <stp/>
        <stp>BDP|3770113710884537144</stp>
        <tr r="AC990" s="1"/>
        <tr r="AC990" s="1"/>
      </tp>
      <tp t="s">
        <v>#N/A Requesting Data...3231688449</v>
        <stp/>
        <stp>BDP|1108551617000138358</stp>
        <tr r="AC628" s="1"/>
        <tr r="AC628" s="1"/>
      </tp>
      <tp t="s">
        <v>#N/A Requesting Data...3046922791</v>
        <stp/>
        <stp>BDP|8118831355724850788</stp>
        <tr r="AC1228" s="1"/>
        <tr r="AC1228" s="1"/>
      </tp>
      <tp t="s">
        <v>#N/A Requesting Data...3503561663</v>
        <stp/>
        <stp>BDP|7424628713275171332</stp>
        <tr r="AA1308" s="1"/>
        <tr r="AA1308" s="1"/>
      </tp>
      <tp t="s">
        <v>#N/A Requesting Data...4079094726</v>
        <stp/>
        <stp>BDP|1505213410810303406</stp>
        <tr r="Z1013" s="1"/>
        <tr r="Z1013" s="1"/>
      </tp>
      <tp t="s">
        <v>#N/A Requesting Data...3795269971</v>
        <stp/>
        <stp>BDP|5681229640292484776</stp>
        <tr r="AC413" s="1"/>
        <tr r="AC413" s="1"/>
      </tp>
      <tp t="s">
        <v>#N/A Requesting Data...3608739240</v>
        <stp/>
        <stp>BDP|7871451957026499693</stp>
        <tr r="AC1313" s="1"/>
        <tr r="AC1313" s="1"/>
      </tp>
      <tp t="s">
        <v>#N/A Requesting Data...3681263323</v>
        <stp/>
        <stp>BDP|2662104364522704129</stp>
        <tr r="Y519" s="1"/>
        <tr r="Y519" s="1"/>
      </tp>
      <tp t="s">
        <v>#N/A Requesting Data...3385221585</v>
        <stp/>
        <stp>BDP|2809702741564648383</stp>
        <tr r="AC1157" s="1"/>
        <tr r="AC1157" s="1"/>
      </tp>
      <tp t="s">
        <v>#N/A Requesting Data...3671028462</v>
        <stp/>
        <stp>BDP|4020374488911848809</stp>
        <tr r="Z765" s="1"/>
        <tr r="Z765" s="1"/>
      </tp>
      <tp t="s">
        <v>#N/A Requesting Data...3410811953</v>
        <stp/>
        <stp>BDP|9757112570339319027</stp>
        <tr r="AC828" s="1"/>
        <tr r="AC828" s="1"/>
      </tp>
      <tp t="s">
        <v>#N/A Requesting Data...4052325747</v>
        <stp/>
        <stp>BDP|5984103827931864111</stp>
        <tr r="Z757" s="1"/>
        <tr r="Z757" s="1"/>
      </tp>
      <tp t="s">
        <v>#N/A Requesting Data...2921478294</v>
        <stp/>
        <stp>BDP|7287504914445486057</stp>
        <tr r="AC202" s="1"/>
        <tr r="AC202" s="1"/>
      </tp>
      <tp t="s">
        <v>#N/A Requesting Data...3545292974</v>
        <stp/>
        <stp>BDP|8206050243708092207</stp>
        <tr r="Y980" s="1"/>
        <tr r="Y980" s="1"/>
      </tp>
      <tp t="s">
        <v>#N/A Requesting Data...3222946915</v>
        <stp/>
        <stp>BDP|1612069371280416011</stp>
        <tr r="AA1621" s="1"/>
        <tr r="AA1621" s="1"/>
      </tp>
      <tp t="s">
        <v>#N/A Requesting Data...3149081514</v>
        <stp/>
        <stp>BDP|1744805099445969339</stp>
        <tr r="Z1278" s="1"/>
        <tr r="Z1278" s="1"/>
      </tp>
      <tp t="s">
        <v>#N/A Requesting Data...3509552330</v>
        <stp/>
        <stp>BDP|7137419205761877495</stp>
        <tr r="AA1188" s="1"/>
        <tr r="AA1188" s="1"/>
      </tp>
      <tp t="s">
        <v>#N/A Requesting Data...3339185565</v>
        <stp/>
        <stp>BDP|7209688229193465630</stp>
        <tr r="Z721" s="1"/>
        <tr r="Z721" s="1"/>
      </tp>
      <tp t="s">
        <v>#N/A Requesting Data...4175002395</v>
        <stp/>
        <stp>BDP|3999693553330211656</stp>
        <tr r="AA17" s="1"/>
        <tr r="AA17" s="1"/>
      </tp>
      <tp t="s">
        <v>#N/A Requesting Data...3721948372</v>
        <stp/>
        <stp>BDP|4356773440508752977</stp>
        <tr r="AA834" s="1"/>
        <tr r="AA834" s="1"/>
      </tp>
      <tp t="s">
        <v>#N/A Requesting Data...3898333000</v>
        <stp/>
        <stp>BDP|4204099738110393141</stp>
        <tr r="AC260" s="1"/>
        <tr r="AC260" s="1"/>
      </tp>
      <tp t="s">
        <v>#N/A Requesting Data...4154862860</v>
        <stp/>
        <stp>BDP|9646812385107404827</stp>
        <tr r="Z1088" s="1"/>
        <tr r="Z1088" s="1"/>
      </tp>
      <tp t="s">
        <v>#N/A Requesting Data...4246106916</v>
        <stp/>
        <stp>BDP|4029688869462192044</stp>
        <tr r="Z1317" s="1"/>
        <tr r="Z1317" s="1"/>
      </tp>
      <tp t="s">
        <v>#N/A Requesting Data...3643078586</v>
        <stp/>
        <stp>BDP|7043600031370734427</stp>
        <tr r="AB953" s="1"/>
        <tr r="AB953" s="1"/>
      </tp>
      <tp t="s">
        <v>#N/A Requesting Data...3936139129</v>
        <stp/>
        <stp>BDP|2115042452550262115</stp>
        <tr r="AA150" s="1"/>
        <tr r="AA150" s="1"/>
      </tp>
      <tp t="s">
        <v>#N/A Requesting Data...3132538488</v>
        <stp/>
        <stp>BDP|5561077041416657115</stp>
        <tr r="AA1414" s="1"/>
        <tr r="AA1414" s="1"/>
      </tp>
      <tp t="s">
        <v>#N/A Requesting Data...2868100439</v>
        <stp/>
        <stp>BDP|4824837176554051991</stp>
        <tr r="Y1079" s="1"/>
        <tr r="Y1079" s="1"/>
      </tp>
      <tp t="s">
        <v>#N/A Requesting Data...3277698584</v>
        <stp/>
        <stp>BDP|8391888721091889570</stp>
        <tr r="AC1262" s="1"/>
        <tr r="AC1262" s="1"/>
      </tp>
      <tp t="s">
        <v>#N/A Requesting Data...2949349195</v>
        <stp/>
        <stp>BDP|4244231375914576342</stp>
        <tr r="Z1172" s="1"/>
        <tr r="Z1172" s="1"/>
      </tp>
      <tp t="s">
        <v>#N/A Requesting Data...3890808437</v>
        <stp/>
        <stp>BDP|3555370372282691337</stp>
        <tr r="AA1387" s="1"/>
      </tp>
      <tp t="s">
        <v>#N/A Requesting Data...3455240805</v>
        <stp/>
        <stp>BDP|3809759349180441656</stp>
        <tr r="Y652" s="1"/>
        <tr r="Y652" s="1"/>
      </tp>
      <tp t="s">
        <v>#N/A Requesting Data...4148199606</v>
        <stp/>
        <stp>BDP|7581481215757820350</stp>
        <tr r="AC344" s="1"/>
        <tr r="AC344" s="1"/>
      </tp>
      <tp t="s">
        <v>#N/A Requesting Data...4081235104</v>
        <stp/>
        <stp>BDP|4566440797518762749</stp>
        <tr r="AC693" s="1"/>
        <tr r="AC693" s="1"/>
      </tp>
      <tp t="s">
        <v>#N/A Requesting Data...4013796522</v>
        <stp/>
        <stp>BDP|3184074517683718735</stp>
        <tr r="AB336" s="1"/>
        <tr r="AB336" s="1"/>
      </tp>
      <tp t="s">
        <v>#N/A Requesting Data...3467430343</v>
        <stp/>
        <stp>BDP|6347512148487768684</stp>
        <tr r="Z1270" s="1"/>
        <tr r="Z1270" s="1"/>
      </tp>
      <tp t="s">
        <v>#N/A Requesting Data...3219058810</v>
        <stp/>
        <stp>BDP|1074101225522805683</stp>
        <tr r="AB1333" s="1"/>
        <tr r="AB1333" s="1"/>
      </tp>
      <tp t="s">
        <v>#N/A Requesting Data...3487239284</v>
        <stp/>
        <stp>BDP|5668793391568853537</stp>
        <tr r="AA759" s="1"/>
      </tp>
      <tp t="s">
        <v>#N/A Requesting Data...3497787155</v>
        <stp/>
        <stp>BDP|8295737625623795864</stp>
        <tr r="AB665" s="1"/>
        <tr r="AB665" s="1"/>
      </tp>
      <tp t="s">
        <v>#N/A Requesting Data...4137235647</v>
        <stp/>
        <stp>BDP|8413598690376092486</stp>
        <tr r="Z308" s="1"/>
        <tr r="Z308" s="1"/>
      </tp>
      <tp t="s">
        <v>#N/A Requesting Data...3455734612</v>
        <stp/>
        <stp>BDP|5736572742141137367</stp>
        <tr r="Y1481" s="1"/>
        <tr r="Y1481" s="1"/>
      </tp>
      <tp t="s">
        <v>#N/A Requesting Data...4185230410</v>
        <stp/>
        <stp>BDP|5390467354894433601</stp>
        <tr r="AB137" s="1"/>
        <tr r="AB137" s="1"/>
      </tp>
      <tp t="s">
        <v>#N/A Requesting Data...3552791379</v>
        <stp/>
        <stp>BDP|5544306064756715033</stp>
        <tr r="Y155" s="1"/>
        <tr r="Y155" s="1"/>
      </tp>
      <tp t="s">
        <v>#N/A Requesting Data...2921217920</v>
        <stp/>
        <stp>BDP|4043461169343835322</stp>
        <tr r="AB223" s="1"/>
        <tr r="AB223" s="1"/>
      </tp>
      <tp t="s">
        <v>#N/A Requesting Data...3823582959</v>
        <stp/>
        <stp>BDP|5349420101025279274</stp>
        <tr r="AC923" s="1"/>
        <tr r="AC923" s="1"/>
      </tp>
      <tp>
        <v>0.01</v>
        <stp/>
        <stp>BDP|9371947916399221724|22</stp>
        <stp>VIRX US Equity</stp>
        <stp>LAST_PRICE</stp>
        <tr r="AD1555" s="1"/>
        <tr r="AD1555" s="1"/>
      </tp>
      <tp>
        <v>6.5000000000000002E-2</v>
        <stp/>
        <stp>BDP|5426447156834202189|22</stp>
        <stp>LABS CN Equity</stp>
        <stp>LAST_PRICE</stp>
        <tr r="AD927" s="1"/>
        <tr r="AD927" s="1"/>
      </tp>
      <tp t="s">
        <v>#N/A N/A</v>
        <stp/>
        <stp>BDP|1045272241839331747|22</stp>
        <stp>AXRX US Equity</stp>
        <stp>LAST_PRICE</stp>
        <tr r="AD118" s="1"/>
      </tp>
      <tp>
        <v>3.31</v>
        <stp/>
        <stp>BDP|2974662803469317791|22</stp>
        <stp>ABUS US Equity</stp>
        <stp>LAST_PRICE</stp>
        <tr r="AD155" s="1"/>
        <tr r="AD155" s="1"/>
      </tp>
      <tp>
        <v>29.85</v>
        <stp/>
        <stp>BDP|2740961370683153113|22</stp>
        <stp>AORT US Equity</stp>
        <stp>LAST_PRICE</stp>
        <tr r="AD174" s="1"/>
        <tr r="AD174" s="1"/>
      </tp>
      <tp>
        <v>4.12</v>
        <stp/>
        <stp>BDP|1412445838108425175|22</stp>
        <stp>CDXS US Equity</stp>
        <stp>LAST_PRICE</stp>
        <tr r="AD420" s="1"/>
        <tr r="AD420" s="1"/>
      </tp>
      <tp>
        <v>4.09</v>
        <stp/>
        <stp>BDP|1792517036479216978|22</stp>
        <stp>ADVM US Equity</stp>
        <stp>LAST_PRICE</stp>
        <tr r="AD58" s="1"/>
        <tr r="AD58" s="1"/>
      </tp>
      <tp>
        <v>0.11990000000000001</v>
        <stp/>
        <stp>BDP|4803180827009323731|22</stp>
        <stp>KRTL US Equity</stp>
        <stp>LAST_PRICE</stp>
        <tr r="AD849" s="1"/>
        <tr r="AD849" s="1"/>
      </tp>
      <tp>
        <v>2.79</v>
        <stp/>
        <stp>BDP|6379215396362511401|22</stp>
        <stp>GERN US Equity</stp>
        <stp>LAST_PRICE</stp>
        <tr r="AD646" s="1"/>
        <tr r="AD646" s="1"/>
      </tp>
      <tp>
        <v>0.155</v>
        <stp/>
        <stp>BDP|7012190971920524567|22</stp>
        <stp>CWEB CN Equity</stp>
        <stp>LAST_PRICE</stp>
        <tr r="AD389" s="1"/>
        <tr r="AD389" s="1"/>
      </tp>
      <tp>
        <v>2.54</v>
        <stp/>
        <stp>BDP|9951112040970895702|22</stp>
        <stp>CASI US Equity</stp>
        <stp>LAST_PRICE</stp>
        <tr r="AD362" s="1"/>
        <tr r="AD362" s="1"/>
      </tp>
      <tp>
        <v>0</v>
        <stp/>
        <stp>BDP|9494222147703109777|22</stp>
        <stp>MSTF US Equity</stp>
        <stp>LAST_PRICE</stp>
        <tr r="AD975" s="1"/>
        <tr r="AD975" s="1"/>
      </tp>
      <tp>
        <v>3.45</v>
        <stp/>
        <stp>BDP|3137175953524164077|22</stp>
        <stp>SCPH US Equity</stp>
        <stp>LAST_PRICE</stp>
        <tr r="AD1323" s="1"/>
        <tr r="AD1323" s="1"/>
      </tp>
      <tp>
        <v>1.35</v>
        <stp/>
        <stp>BDP|6284880851376778679|22</stp>
        <stp>SLXN US Equity</stp>
        <stp>LAST_PRICE</stp>
        <tr r="AD1352" s="1"/>
        <tr r="AD1352" s="1"/>
      </tp>
      <tp>
        <v>0.31</v>
        <stp/>
        <stp>BDP|6217582215186140434|22</stp>
        <stp>NSCI CN Equity</stp>
        <stp>LAST_PRICE</stp>
        <tr r="AD994" s="1"/>
        <tr r="AD994" s="1"/>
      </tp>
      <tp>
        <v>22.05</v>
        <stp/>
        <stp>BDP|3321032270702047854|22</stp>
        <stp>ELVN US Equity</stp>
        <stp>LAST_PRICE</stp>
        <tr r="AD559" s="1"/>
        <tr r="AD559" s="1"/>
      </tp>
      <tp>
        <v>1.41</v>
        <stp/>
        <stp>BDP|9804527789713549870|22</stp>
        <stp>ITRM US Equity</stp>
        <stp>LAST_PRICE</stp>
        <tr r="AD804" s="1"/>
        <tr r="AD804" s="1"/>
      </tp>
      <tp>
        <v>0.32</v>
        <stp/>
        <stp>BDP|1909086632762075867|22</stp>
        <stp>CAVG US Equity</stp>
        <stp>LAST_PRICE</stp>
        <tr r="AD24" s="1"/>
        <tr r="AD24" s="1"/>
      </tp>
      <tp>
        <v>0.36</v>
        <stp/>
        <stp>BDP|8220707528593956493|22</stp>
        <stp>NAYA US Equity</stp>
        <stp>LAST_PRICE</stp>
        <tr r="AD1010" s="1"/>
        <tr r="AD1010" s="1"/>
      </tp>
      <tp>
        <v>5.72</v>
        <stp/>
        <stp>BDP|1050649778342502485|22</stp>
        <stp>NVRO US Equity</stp>
        <stp>LAST_PRICE</stp>
        <tr r="AD1032" s="1"/>
        <tr r="AD1032" s="1"/>
      </tp>
      <tp>
        <v>4.29</v>
        <stp/>
        <stp>BDP|3152726156070264566|22</stp>
        <stp>SERA US Equity</stp>
        <stp>LAST_PRICE</stp>
        <tr r="AD1338" s="1"/>
        <tr r="AD1338" s="1"/>
      </tp>
      <tp>
        <v>9.9999999999999995E-7</v>
        <stp/>
        <stp>BDP|1562309662572075243|22</stp>
        <stp>PLPL US Equity</stp>
        <stp>LAST_PRICE</stp>
        <tr r="AD1167" s="1"/>
        <tr r="AD1167" s="1"/>
      </tp>
      <tp>
        <v>38.99</v>
        <stp/>
        <stp>BDP|3436338276705369216|22</stp>
        <stp>SUPN US Equity</stp>
        <stp>LAST_PRICE</stp>
        <tr r="AD1414" s="1"/>
        <tr r="AD1414" s="1"/>
      </tp>
      <tp t="s">
        <v>#N/A N/A</v>
        <stp/>
        <stp>BDP|9757776696713730113|22</stp>
        <stp>BRSF US Equity</stp>
        <stp>LAST_PRICE</stp>
        <tr r="AD300" s="1"/>
      </tp>
      <tp>
        <v>3.55</v>
        <stp/>
        <stp>BDP|8331690669287769050|22</stp>
        <stp>THRD US Equity</stp>
        <stp>LAST_PRICE</stp>
        <tr r="AD1468" s="1"/>
        <tr r="AD1468" s="1"/>
      </tp>
      <tp>
        <v>0.69020000000000004</v>
        <stp/>
        <stp>BDP|5313533314282283753|22</stp>
        <stp>SHPH US Equity</stp>
        <stp>LAST_PRICE</stp>
        <tr r="AD1346" s="1"/>
        <tr r="AD1346" s="1"/>
      </tp>
      <tp t="s">
        <v>#N/A Real Time</v>
        <stp/>
        <stp>BDP|3762714806937331848|22</stp>
        <stp>IZTC US Equity</stp>
        <stp>LAST_PRICE</stp>
        <tr r="AD602" s="1"/>
      </tp>
      <tp>
        <v>2.82</v>
        <stp/>
        <stp>BDP|2211202240902349303|22</stp>
        <stp>CRON CN Equity</stp>
        <stp>LAST_PRICE</stp>
        <tr r="AD458" s="1"/>
        <tr r="AD458" s="1"/>
      </tp>
      <tp>
        <v>5.9999999999999995E-4</v>
        <stp/>
        <stp>BDP|2605251782978396373|22</stp>
        <stp>NAVB US Equity</stp>
        <stp>LAST_PRICE</stp>
        <tr r="AD1009" s="1"/>
        <tr r="AD1009" s="1"/>
      </tp>
      <tp t="s">
        <v>#N/A N/A</v>
        <stp/>
        <stp>BDP|18227727233341122960|22</stp>
        <stp>SVA US Equity</stp>
        <stp>LAST_PRICE</stp>
        <tr r="AD1358" s="1"/>
      </tp>
      <tp t="s">
        <v>#N/A Requesting Data...3386639779</v>
        <stp/>
        <stp>BDP|8004773438478077358</stp>
        <tr r="AA317" s="1"/>
        <tr r="AA317" s="1"/>
      </tp>
      <tp t="s">
        <v>#N/A Requesting Data...4095365955</v>
        <stp/>
        <stp>BDP|3881376228781464494</stp>
        <tr r="AC1568" s="1"/>
        <tr r="AC1568" s="1"/>
      </tp>
      <tp t="s">
        <v>#N/A Requesting Data...3548042777</v>
        <stp/>
        <stp>BDP|1811476903977374552</stp>
        <tr r="Y649" s="1"/>
        <tr r="Y649" s="1"/>
      </tp>
      <tp t="s">
        <v>#N/A Requesting Data...4219590094</v>
        <stp/>
        <stp>BDP|2850106062464194612</stp>
        <tr r="Y824" s="1"/>
        <tr r="Y824" s="1"/>
      </tp>
      <tp t="s">
        <v>#N/A Requesting Data...3419708987</v>
        <stp/>
        <stp>BDP|1197757168503523436</stp>
        <tr r="Y585" s="1"/>
        <tr r="Y585" s="1"/>
      </tp>
      <tp t="s">
        <v>#N/A Requesting Data...3935169397</v>
        <stp/>
        <stp>BDP|1574715828823054060</stp>
        <tr r="AA978" s="1"/>
        <tr r="AA978" s="1"/>
      </tp>
      <tp t="s">
        <v>#N/A Requesting Data...3608077558</v>
        <stp/>
        <stp>BDP|7888540834970600640</stp>
        <tr r="AB355" s="1"/>
      </tp>
      <tp t="s">
        <v>#N/A Requesting Data...4039156312</v>
        <stp/>
        <stp>BDP|7732124179332646400</stp>
        <tr r="Z454" s="1"/>
        <tr r="Z454" s="1"/>
      </tp>
      <tp t="s">
        <v>#N/A Requesting Data...4126399369</v>
        <stp/>
        <stp>BDP|7669554222771350680</stp>
        <tr r="Y1471" s="1"/>
        <tr r="Y1471" s="1"/>
      </tp>
      <tp t="s">
        <v>#N/A Requesting Data...3447676158</v>
        <stp/>
        <stp>BDP|3539650943782136487</stp>
        <tr r="AB708" s="1"/>
        <tr r="AB708" s="1"/>
      </tp>
      <tp t="s">
        <v>#N/A Requesting Data...3138249352</v>
        <stp/>
        <stp>BDP|1377927788526125125</stp>
        <tr r="Z1303" s="1"/>
        <tr r="Z1303" s="1"/>
      </tp>
      <tp t="s">
        <v>#N/A Requesting Data...3842364259</v>
        <stp/>
        <stp>BDP|6604558005933931755</stp>
        <tr r="AC7" s="1"/>
        <tr r="AC7" s="1"/>
      </tp>
      <tp t="s">
        <v>#N/A Requesting Data...3693007848</v>
        <stp/>
        <stp>BDP|9725597441757402815</stp>
        <tr r="Y941" s="1"/>
        <tr r="Y941" s="1"/>
      </tp>
      <tp t="s">
        <v>#N/A Requesting Data...3628315803</v>
        <stp/>
        <stp>BDP|2950829882994728141</stp>
        <tr r="Y937" s="1"/>
        <tr r="Y937" s="1"/>
      </tp>
      <tp t="s">
        <v>#N/A Requesting Data...3606855834</v>
        <stp/>
        <stp>BDP|2258164319114161160</stp>
        <tr r="Y296" s="1"/>
        <tr r="Y296" s="1"/>
      </tp>
      <tp t="s">
        <v>#N/A Requesting Data...3926602806</v>
        <stp/>
        <stp>BDP|1227424013541184292</stp>
        <tr r="Y1125" s="1"/>
        <tr r="Y1125" s="1"/>
      </tp>
      <tp t="s">
        <v>#N/A Requesting Data...3747055585</v>
        <stp/>
        <stp>BDP|4755396027070695242</stp>
        <tr r="AA605" s="1"/>
        <tr r="AA605" s="1"/>
      </tp>
      <tp t="s">
        <v>#N/A Requesting Data...3792027083</v>
        <stp/>
        <stp>BDP|4649137527377089790</stp>
        <tr r="Z294" s="1"/>
        <tr r="Z294" s="1"/>
      </tp>
      <tp t="s">
        <v>#N/A Requesting Data...3140302781</v>
        <stp/>
        <stp>BDP|5549663229874042213</stp>
        <tr r="Y761" s="1"/>
        <tr r="Y761" s="1"/>
      </tp>
      <tp t="s">
        <v>#N/A Requesting Data...3364491455</v>
        <stp/>
        <stp>BDP|7183390778591323587</stp>
        <tr r="Y558" s="1"/>
        <tr r="Y558" s="1"/>
      </tp>
      <tp t="s">
        <v>#N/A Requesting Data...3721963215</v>
        <stp/>
        <stp>BDP|5285749414996034290</stp>
        <tr r="AC1393" s="1"/>
      </tp>
      <tp t="s">
        <v>#N/A Requesting Data...4173560043</v>
        <stp/>
        <stp>BDP|4095593411271629651</stp>
        <tr r="AC612" s="1"/>
        <tr r="AC612" s="1"/>
      </tp>
      <tp t="s">
        <v>#N/A Requesting Data...2991637950</v>
        <stp/>
        <stp>BDP|3811391446507867449</stp>
        <tr r="AB909" s="1"/>
        <tr r="AB909" s="1"/>
      </tp>
      <tp t="s">
        <v>#N/A Requesting Data...3603314410</v>
        <stp/>
        <stp>BDP|6500913554929895439</stp>
        <tr r="AC1124" s="1"/>
        <tr r="AC1124" s="1"/>
      </tp>
      <tp t="s">
        <v>#N/A Requesting Data...4159391908</v>
        <stp/>
        <stp>BDP|6373973195156289787</stp>
        <tr r="AB896" s="1"/>
        <tr r="AB896" s="1"/>
      </tp>
      <tp t="s">
        <v>#N/A Requesting Data...3001756865</v>
        <stp/>
        <stp>BDP|2263317079121255038</stp>
        <tr r="Y282" s="1"/>
        <tr r="Y282" s="1"/>
      </tp>
      <tp t="s">
        <v>#N/A Requesting Data...3242496994</v>
        <stp/>
        <stp>BDP|7207829630918955328</stp>
        <tr r="Z177" s="1"/>
        <tr r="Z177" s="1"/>
      </tp>
      <tp t="s">
        <v>#N/A Requesting Data...3025407459</v>
        <stp/>
        <stp>BDP|4624938717303129886</stp>
        <tr r="AB660" s="1"/>
        <tr r="AB660" s="1"/>
      </tp>
      <tp t="s">
        <v>#N/A Requesting Data...3315176572</v>
        <stp/>
        <stp>BDP|5801976705933103803</stp>
        <tr r="AC1012" s="1"/>
        <tr r="AC1012" s="1"/>
      </tp>
      <tp t="s">
        <v>#N/A Requesting Data...3142702915</v>
        <stp/>
        <stp>BDP|6627849189608869987</stp>
        <tr r="AA870" s="1"/>
      </tp>
      <tp t="s">
        <v>#N/A Requesting Data...3102044609</v>
        <stp/>
        <stp>BDP|4654487536557507366</stp>
        <tr r="Y55" s="1"/>
        <tr r="Y55" s="1"/>
      </tp>
      <tp t="s">
        <v>#N/A Requesting Data...3504545099</v>
        <stp/>
        <stp>BDP|7740431613222434784</stp>
        <tr r="AC1315" s="1"/>
        <tr r="AC1315" s="1"/>
      </tp>
      <tp t="s">
        <v>#N/A Requesting Data...3947335271</v>
        <stp/>
        <stp>BDP|8834807225115557033</stp>
        <tr r="AC1007" s="1"/>
        <tr r="AC1007" s="1"/>
      </tp>
      <tp t="s">
        <v>#N/A Requesting Data...3729714487</v>
        <stp/>
        <stp>BDP|6954771592549245657</stp>
        <tr r="Z1407" s="1"/>
        <tr r="Z1407" s="1"/>
      </tp>
      <tp t="s">
        <v>#N/A Requesting Data...4071911654</v>
        <stp/>
        <stp>BDP|2948244114752462463</stp>
        <tr r="AB29" s="1"/>
        <tr r="AB29" s="1"/>
      </tp>
      <tp t="s">
        <v>#N/A Requesting Data...3051685052</v>
        <stp/>
        <stp>BDP|9015137893582850433</stp>
        <tr r="Y445" s="1"/>
      </tp>
      <tp t="s">
        <v>#N/A Requesting Data...3603499983</v>
        <stp/>
        <stp>BDP|2738580135231531247</stp>
        <tr r="AA1562" s="1"/>
        <tr r="AA1562" s="1"/>
      </tp>
      <tp t="s">
        <v>#N/A Requesting Data...3039800214</v>
        <stp/>
        <stp>BDP|5037534213026817031</stp>
        <tr r="AC1255" s="1"/>
        <tr r="AC1255" s="1"/>
      </tp>
      <tp t="s">
        <v>#N/A Requesting Data...3591695716</v>
        <stp/>
        <stp>BDP|5636367310791913125</stp>
        <tr r="AB1222" s="1"/>
        <tr r="AB1222" s="1"/>
      </tp>
      <tp t="s">
        <v>#N/A Requesting Data...4103939946</v>
        <stp/>
        <stp>BDP|4903479460124023561</stp>
        <tr r="AA1099" s="1"/>
        <tr r="AA1099" s="1"/>
      </tp>
      <tp t="s">
        <v>#N/A Requesting Data...3337764156</v>
        <stp/>
        <stp>BDP|3638724776641289583</stp>
        <tr r="Y141" s="1"/>
        <tr r="Y141" s="1"/>
      </tp>
      <tp t="s">
        <v>#N/A Requesting Data...3100968306</v>
        <stp/>
        <stp>BDP|6703469735645579392</stp>
        <tr r="Z484" s="1"/>
        <tr r="Z484" s="1"/>
      </tp>
      <tp t="s">
        <v>#N/A Requesting Data...3862501765</v>
        <stp/>
        <stp>BDP|1771312596985088989</stp>
        <tr r="AC27" s="1"/>
        <tr r="AC27" s="1"/>
      </tp>
      <tp t="s">
        <v>#N/A Requesting Data...3976524747</v>
        <stp/>
        <stp>BDP|1695831223968787494</stp>
        <tr r="Y625" s="1"/>
        <tr r="Y625" s="1"/>
      </tp>
      <tp t="s">
        <v>#N/A Requesting Data...3651721560</v>
        <stp/>
        <stp>BDP|9183085991346706172</stp>
        <tr r="Y1595" s="1"/>
        <tr r="Y1595" s="1"/>
      </tp>
      <tp t="s">
        <v>#N/A Requesting Data...3239226954</v>
        <stp/>
        <stp>BDP|1155690576636730111</stp>
        <tr r="AA260" s="1"/>
        <tr r="AA260" s="1"/>
      </tp>
      <tp t="s">
        <v>#N/A Requesting Data...3350132642</v>
        <stp/>
        <stp>BDP|3811272701802734418</stp>
        <tr r="AB1499" s="1"/>
        <tr r="AB1499" s="1"/>
      </tp>
      <tp t="s">
        <v>#N/A Requesting Data...4202828460</v>
        <stp/>
        <stp>BDP|3190972804969872427</stp>
        <tr r="AA356" s="1"/>
        <tr r="AA356" s="1"/>
      </tp>
      <tp t="s">
        <v>#N/A Requesting Data...4280241526</v>
        <stp/>
        <stp>BDP|6867628836973114754</stp>
        <tr r="Y629" s="1"/>
        <tr r="Y629" s="1"/>
      </tp>
      <tp t="s">
        <v>#N/A Requesting Data...4046395982</v>
        <stp/>
        <stp>BDP|6405003905520866112</stp>
        <tr r="Z1511" s="1"/>
        <tr r="Z1511" s="1"/>
      </tp>
      <tp t="s">
        <v>#N/A Requesting Data...4045720867</v>
        <stp/>
        <stp>BDP|7814970591669528930</stp>
        <tr r="AC1137" s="1"/>
        <tr r="AC1137" s="1"/>
      </tp>
      <tp t="s">
        <v>#N/A Requesting Data...3475504403</v>
        <stp/>
        <stp>BDP|9070185937098600416</stp>
        <tr r="AB1105" s="1"/>
        <tr r="AB1105" s="1"/>
      </tp>
      <tp t="s">
        <v>#N/A Requesting Data...3250792531</v>
        <stp/>
        <stp>BDP|7900078257620588542</stp>
        <tr r="Y389" s="1"/>
        <tr r="Y389" s="1"/>
      </tp>
      <tp t="s">
        <v>#N/A Requesting Data...2990842329</v>
        <stp/>
        <stp>BDP|9285512648807325806</stp>
        <tr r="AB1445" s="1"/>
        <tr r="AB1445" s="1"/>
      </tp>
      <tp t="s">
        <v>#N/A Requesting Data...3748369781</v>
        <stp/>
        <stp>BDP|8031282650880148804</stp>
        <tr r="AB1337" s="1"/>
      </tp>
      <tp t="s">
        <v>#N/A Requesting Data...3941245856</v>
        <stp/>
        <stp>BDP|3784338535406193294</stp>
        <tr r="Y897" s="1"/>
        <tr r="Y897" s="1"/>
      </tp>
      <tp t="s">
        <v>#N/A Requesting Data...4247792364</v>
        <stp/>
        <stp>BDP|6927153345525690165</stp>
        <tr r="AC1528" s="1"/>
        <tr r="AC1528" s="1"/>
      </tp>
      <tp t="s">
        <v>#N/A Requesting Data...3230132345</v>
        <stp/>
        <stp>BDP|4678332558256387377</stp>
        <tr r="AC375" s="1"/>
        <tr r="AC375" s="1"/>
      </tp>
      <tp t="s">
        <v>#N/A Requesting Data...3545856724</v>
        <stp/>
        <stp>BDP|8353968469107726724</stp>
        <tr r="AC1194" s="1"/>
        <tr r="AC1194" s="1"/>
      </tp>
      <tp t="s">
        <v>#N/A Requesting Data...3834969430</v>
        <stp/>
        <stp>BDP|1826211801061090510</stp>
        <tr r="Y162" s="1"/>
        <tr r="Y162" s="1"/>
      </tp>
      <tp t="s">
        <v>#N/A Requesting Data...3022426668</v>
        <stp/>
        <stp>BDP|9779149267621823850</stp>
        <tr r="Z1212" s="1"/>
        <tr r="Z1212" s="1"/>
      </tp>
      <tp t="s">
        <v>#N/A Requesting Data...4140613238</v>
        <stp/>
        <stp>BDP|1085491705582338062</stp>
        <tr r="AA12" s="1"/>
        <tr r="AA12" s="1"/>
      </tp>
      <tp t="s">
        <v>#N/A Requesting Data...3701953448</v>
        <stp/>
        <stp>BDP|2166985395805003057</stp>
        <tr r="AB107" s="1"/>
        <tr r="AB107" s="1"/>
      </tp>
      <tp t="s">
        <v>#N/A Requesting Data...3650202629</v>
        <stp/>
        <stp>BDP|7686386952705138345</stp>
        <tr r="Y144" s="1"/>
        <tr r="Y144" s="1"/>
      </tp>
      <tp t="s">
        <v>#N/A Requesting Data...3007255814</v>
        <stp/>
        <stp>BDP|4079220475156900075</stp>
        <tr r="AA734" s="1"/>
        <tr r="AA734" s="1"/>
      </tp>
      <tp t="s">
        <v>#N/A Requesting Data...3625540411</v>
        <stp/>
        <stp>BDP|5625466788257955981</stp>
        <tr r="AB1074" s="1"/>
        <tr r="AB1074" s="1"/>
      </tp>
      <tp t="s">
        <v>#N/A Requesting Data...3867011363</v>
        <stp/>
        <stp>BDP|3663946043740064984</stp>
        <tr r="Z1426" s="1"/>
        <tr r="Z1426" s="1"/>
      </tp>
      <tp t="s">
        <v>#N/A Requesting Data...3909427000</v>
        <stp/>
        <stp>BDP|4800856970574017847</stp>
        <tr r="Z1011" s="1"/>
        <tr r="Z1011" s="1"/>
      </tp>
      <tp t="s">
        <v>#N/A Requesting Data...3015968442</v>
        <stp/>
        <stp>BDP|7919486454211420083</stp>
        <tr r="Z1468" s="1"/>
        <tr r="Z1468" s="1"/>
      </tp>
      <tp t="s">
        <v>#N/A Requesting Data...4140953011</v>
        <stp/>
        <stp>BDP|6958530454804532557</stp>
        <tr r="AA786" s="1"/>
        <tr r="AA786" s="1"/>
      </tp>
      <tp t="s">
        <v>#N/A Requesting Data...3400686286</v>
        <stp/>
        <stp>BDP|4391172881869267398</stp>
        <tr r="Z566" s="1"/>
        <tr r="Z566" s="1"/>
      </tp>
      <tp t="s">
        <v>#N/A Requesting Data...3229367878</v>
        <stp/>
        <stp>BDP|9319546929610859989</stp>
        <tr r="AC863" s="1"/>
        <tr r="AC863" s="1"/>
      </tp>
      <tp t="s">
        <v>#N/A Requesting Data...3238774326</v>
        <stp/>
        <stp>BDP|5942765662597016438</stp>
        <tr r="AB21" s="1"/>
        <tr r="AB21" s="1"/>
      </tp>
      <tp t="s">
        <v>#N/A Requesting Data...3093261793</v>
        <stp/>
        <stp>BDP|4123511959073771005</stp>
        <tr r="AA133" s="1"/>
        <tr r="AA133" s="1"/>
      </tp>
      <tp t="s">
        <v>#N/A Requesting Data...3184138945</v>
        <stp/>
        <stp>BDP|5369025997392961917</stp>
        <tr r="Y1295" s="1"/>
      </tp>
      <tp t="s">
        <v>#N/A Requesting Data...3916105120</v>
        <stp/>
        <stp>BDP|9259763681832367388</stp>
        <tr r="Z1075" s="1"/>
        <tr r="Z1075" s="1"/>
      </tp>
      <tp t="s">
        <v>#N/A Requesting Data...3607097905</v>
        <stp/>
        <stp>BDP|1084371074826476494</stp>
        <tr r="AC1037" s="1"/>
        <tr r="AC1037" s="1"/>
      </tp>
      <tp t="s">
        <v>#N/A Requesting Data...4129161804</v>
        <stp/>
        <stp>BDP|9743930968794270501</stp>
        <tr r="AC899" s="1"/>
        <tr r="AC899" s="1"/>
      </tp>
      <tp t="s">
        <v>#N/A Requesting Data...3351209968</v>
        <stp/>
        <stp>BDP|5418113521543922230</stp>
        <tr r="AB1218" s="1"/>
        <tr r="AB1218" s="1"/>
      </tp>
      <tp t="s">
        <v>#N/A Requesting Data...3415284989</v>
        <stp/>
        <stp>BDP|1015823881955558389</stp>
        <tr r="AC323" s="1"/>
        <tr r="AC323" s="1"/>
      </tp>
      <tp t="s">
        <v>#N/A Requesting Data...4136421801</v>
        <stp/>
        <stp>BDP|5159162628276109703</stp>
        <tr r="Y336" s="1"/>
        <tr r="Y336" s="1"/>
      </tp>
      <tp t="s">
        <v>#N/A Requesting Data...3507795382</v>
        <stp/>
        <stp>BDP|8766262662922502995</stp>
        <tr r="Z534" s="1"/>
        <tr r="Z534" s="1"/>
      </tp>
      <tp t="s">
        <v>#N/A Requesting Data...4130764970</v>
        <stp/>
        <stp>BDP|2272629215974889627</stp>
        <tr r="AC556" s="1"/>
        <tr r="AC556" s="1"/>
      </tp>
      <tp t="s">
        <v>#N/A Requesting Data...3660330553</v>
        <stp/>
        <stp>BDP|3322047276216943579</stp>
        <tr r="Y536" s="1"/>
        <tr r="Y536" s="1"/>
      </tp>
      <tp t="s">
        <v>#N/A Requesting Data...3722881075</v>
        <stp/>
        <stp>BDP|4524942187326095490</stp>
        <tr r="Z567" s="1"/>
        <tr r="Z567" s="1"/>
      </tp>
      <tp t="s">
        <v>#N/A Requesting Data...3283906545</v>
        <stp/>
        <stp>BDP|9300739688203502225</stp>
        <tr r="Y1177" s="1"/>
        <tr r="Y1177" s="1"/>
      </tp>
      <tp t="s">
        <v>#N/A Requesting Data...3625518032</v>
        <stp/>
        <stp>BDP|1716167055752906022</stp>
        <tr r="AC566" s="1"/>
        <tr r="AC566" s="1"/>
      </tp>
      <tp t="s">
        <v>#N/A Requesting Data...3140604960</v>
        <stp/>
        <stp>BDP|6015661228956180303</stp>
        <tr r="AB557" s="1"/>
        <tr r="AB557" s="1"/>
      </tp>
      <tp t="s">
        <v>#N/A Requesting Data...3820854734</v>
        <stp/>
        <stp>BDP|3338136991989891567</stp>
        <tr r="AA993" s="1"/>
        <tr r="AA993" s="1"/>
      </tp>
      <tp t="s">
        <v>#N/A Requesting Data...3331596338</v>
        <stp/>
        <stp>BDP|4366974741876989837</stp>
        <tr r="AB822" s="1"/>
        <tr r="AB822" s="1"/>
      </tp>
      <tp t="s">
        <v>#N/A Requesting Data...3733787330</v>
        <stp/>
        <stp>BDP|5478475533204954160</stp>
        <tr r="Z297" s="1"/>
        <tr r="Z297" s="1"/>
      </tp>
      <tp t="s">
        <v>#N/A Requesting Data...3434226746</v>
        <stp/>
        <stp>BDP|4251866097610564297</stp>
        <tr r="AC1420" s="1"/>
        <tr r="AC1420" s="1"/>
      </tp>
      <tp t="s">
        <v>#N/A Requesting Data...4224334742</v>
        <stp/>
        <stp>BDP|7775998587683597234</stp>
        <tr r="Y322" s="1"/>
        <tr r="Y322" s="1"/>
      </tp>
      <tp t="s">
        <v>#N/A Requesting Data...3025772468</v>
        <stp/>
        <stp>BDP|5071067629846397636</stp>
        <tr r="Z725" s="1"/>
        <tr r="Z725" s="1"/>
      </tp>
      <tp t="s">
        <v>#N/A Requesting Data...3911555724</v>
        <stp/>
        <stp>BDP|8700778370277796885</stp>
        <tr r="AC121" s="1"/>
        <tr r="AC121" s="1"/>
      </tp>
      <tp t="s">
        <v>#N/A Requesting Data...4229989655</v>
        <stp/>
        <stp>BDP|9924743212208415079</stp>
        <tr r="Z697" s="1"/>
        <tr r="Z697" s="1"/>
      </tp>
      <tp t="s">
        <v>#N/A Requesting Data...3728856713</v>
        <stp/>
        <stp>BDP|9726533272308893427</stp>
        <tr r="Z756" s="1"/>
        <tr r="Z756" s="1"/>
      </tp>
      <tp t="s">
        <v>#N/A Requesting Data...3363178177</v>
        <stp/>
        <stp>BDP|3671348449656074571</stp>
        <tr r="AA180" s="1"/>
        <tr r="AA180" s="1"/>
      </tp>
      <tp t="s">
        <v>#N/A Requesting Data...3962768697</v>
        <stp/>
        <stp>BDP|2417751994632156982</stp>
        <tr r="Y218" s="1"/>
        <tr r="Y218" s="1"/>
      </tp>
      <tp t="s">
        <v>#N/A Requesting Data...3798711401</v>
        <stp/>
        <stp>BDP|5774114131502215297</stp>
        <tr r="AB681" s="1"/>
        <tr r="AB681" s="1"/>
      </tp>
      <tp t="s">
        <v>#N/A Requesting Data...3346029072</v>
        <stp/>
        <stp>BDP|5591293736094331759</stp>
        <tr r="Z607" s="1"/>
        <tr r="Z607" s="1"/>
      </tp>
      <tp t="s">
        <v>#N/A Requesting Data...4072880093</v>
        <stp/>
        <stp>BDP|4178176405331904362</stp>
        <tr r="Y202" s="1"/>
        <tr r="Y202" s="1"/>
      </tp>
      <tp t="s">
        <v>#N/A Requesting Data...3074781185</v>
        <stp/>
        <stp>BDP|5753781303040072506</stp>
        <tr r="Y991" s="1"/>
        <tr r="Y991" s="1"/>
      </tp>
      <tp t="s">
        <v>#N/A Requesting Data...4083831616</v>
        <stp/>
        <stp>BDP|7169796952296132474</stp>
        <tr r="Z1256" s="1"/>
        <tr r="Z1256" s="1"/>
      </tp>
      <tp t="s">
        <v>#N/A Requesting Data...3070971600</v>
        <stp/>
        <stp>BDP|5844393509873180250</stp>
        <tr r="AB948" s="1"/>
        <tr r="AB948" s="1"/>
      </tp>
      <tp t="s">
        <v>#N/A Requesting Data...3791704998</v>
        <stp/>
        <stp>BDP|7703304502277927403</stp>
        <tr r="AC751" s="1"/>
      </tp>
      <tp t="s">
        <v>#N/A Requesting Data...3107566054</v>
        <stp/>
        <stp>BDP|6828761726935293164</stp>
        <tr r="Y1214" s="1"/>
        <tr r="Y1214" s="1"/>
      </tp>
      <tp t="s">
        <v>#N/A Requesting Data...3226734448</v>
        <stp/>
        <stp>BDP|8810271155149102168</stp>
        <tr r="AA694" s="1"/>
        <tr r="AA694" s="1"/>
      </tp>
      <tp t="s">
        <v>#N/A Requesting Data...4180259818</v>
        <stp/>
        <stp>BDP|8823210481475451018</stp>
        <tr r="AC1222" s="1"/>
        <tr r="AC1222" s="1"/>
      </tp>
      <tp t="s">
        <v>#N/A Requesting Data...3970107685</v>
        <stp/>
        <stp>BDP|2333599295498067123</stp>
        <tr r="AA481" s="1"/>
        <tr r="AA481" s="1"/>
      </tp>
      <tp t="s">
        <v>#N/A Requesting Data...3063068703</v>
        <stp/>
        <stp>BDP|9697030828114152817</stp>
        <tr r="AA837" s="1"/>
        <tr r="AA837" s="1"/>
      </tp>
      <tp t="s">
        <v>#N/A Requesting Data...3059733530</v>
        <stp/>
        <stp>BDP|7874228042587404110</stp>
        <tr r="Z1300" s="1"/>
        <tr r="Z1300" s="1"/>
      </tp>
      <tp t="s">
        <v>#N/A Requesting Data...4085820530</v>
        <stp/>
        <stp>BDP|7115853598831239033</stp>
        <tr r="AC1219" s="1"/>
        <tr r="AC1219" s="1"/>
      </tp>
      <tp t="s">
        <v>#N/A Requesting Data...3555001000</v>
        <stp/>
        <stp>BDP|6165392919836404580</stp>
        <tr r="Z634" s="1"/>
        <tr r="Z634" s="1"/>
      </tp>
      <tp t="s">
        <v>#N/A Requesting Data...4235751325</v>
        <stp/>
        <stp>BDP|7117371949394740358</stp>
        <tr r="Z954" s="1"/>
        <tr r="Z954" s="1"/>
      </tp>
      <tp t="s">
        <v>#N/A Requesting Data...3483469469</v>
        <stp/>
        <stp>BDP|8146348140851135998</stp>
        <tr r="Z1583" s="1"/>
      </tp>
      <tp t="s">
        <v>#N/A Requesting Data...3185536267</v>
        <stp/>
        <stp>BDP|5901763641461791040</stp>
        <tr r="Y712" s="1"/>
        <tr r="Y712" s="1"/>
      </tp>
      <tp t="s">
        <v>#N/A Requesting Data...3818509944</v>
        <stp/>
        <stp>BDP|9110989644722672169</stp>
        <tr r="AB1350" s="1"/>
        <tr r="AB1350" s="1"/>
      </tp>
      <tp t="s">
        <v>#N/A Requesting Data...3914883715</v>
        <stp/>
        <stp>BDP|1573624347554579081</stp>
        <tr r="AC757" s="1"/>
        <tr r="AC757" s="1"/>
      </tp>
      <tp t="s">
        <v>#N/A Requesting Data...3263070885</v>
        <stp/>
        <stp>BDP|8780678438423349960</stp>
        <tr r="Z732" s="1"/>
        <tr r="Z732" s="1"/>
      </tp>
      <tp t="s">
        <v>#N/A Requesting Data...4196160013</v>
        <stp/>
        <stp>BDP|8609543082754955642</stp>
        <tr r="Y743" s="1"/>
        <tr r="Y743" s="1"/>
      </tp>
      <tp t="s">
        <v>#N/A Requesting Data...4136636829</v>
        <stp/>
        <stp>BDP|6991993100248890053</stp>
        <tr r="Y1424" s="1"/>
        <tr r="Y1424" s="1"/>
      </tp>
      <tp t="s">
        <v>#N/A Requesting Data...3428025072</v>
        <stp/>
        <stp>BDP|6714905188080366010</stp>
        <tr r="AC73" s="1"/>
        <tr r="AC73" s="1"/>
      </tp>
      <tp t="s">
        <v>#N/A Requesting Data...3276519361</v>
        <stp/>
        <stp>BDP|1765413739209363816</stp>
        <tr r="AB402" s="1"/>
        <tr r="AB402" s="1"/>
      </tp>
      <tp t="s">
        <v>#N/A Requesting Data...3937964719</v>
        <stp/>
        <stp>BDP|5256089027864210423</stp>
        <tr r="AC837" s="1"/>
        <tr r="AC837" s="1"/>
      </tp>
      <tp t="s">
        <v>#N/A Requesting Data...3441774414</v>
        <stp/>
        <stp>BDP|7269706651671694389</stp>
        <tr r="AB930" s="1"/>
        <tr r="AB930" s="1"/>
      </tp>
      <tp t="s">
        <v>#N/A Requesting Data...4049314740</v>
        <stp/>
        <stp>BDP|2780694335991742117</stp>
        <tr r="Z862" s="1"/>
        <tr r="Z862" s="1"/>
      </tp>
      <tp t="s">
        <v>#N/A Requesting Data...3426014276</v>
        <stp/>
        <stp>BDP|4646709755257401656</stp>
        <tr r="AA1263" s="1"/>
        <tr r="AA1263" s="1"/>
      </tp>
      <tp t="s">
        <v>#N/A Requesting Data...3046051954</v>
        <stp/>
        <stp>BDP|2454452475775496321</stp>
        <tr r="AA1596" s="1"/>
        <tr r="AA1596" s="1"/>
      </tp>
      <tp t="s">
        <v>#N/A Requesting Data...3177247500</v>
        <stp/>
        <stp>BDP|2697047597798670415</stp>
        <tr r="AB1453" s="1"/>
        <tr r="AB1453" s="1"/>
      </tp>
      <tp t="s">
        <v>#N/A Requesting Data...3692522414</v>
        <stp/>
        <stp>BDP|8210529212023021807</stp>
        <tr r="Z1376" s="1"/>
        <tr r="Z1376" s="1"/>
      </tp>
      <tp t="s">
        <v>#N/A Requesting Data...3429400280</v>
        <stp/>
        <stp>BDP|4761288771552817445</stp>
        <tr r="AC995" s="1"/>
        <tr r="AC995" s="1"/>
      </tp>
      <tp t="s">
        <v>#N/A Requesting Data...3919920164</v>
        <stp/>
        <stp>BDP|3203146650073095340</stp>
        <tr r="AA1241" s="1"/>
        <tr r="AA1241" s="1"/>
      </tp>
      <tp t="s">
        <v>#N/A Requesting Data...3470812664</v>
        <stp/>
        <stp>BDP|2203321354337796415</stp>
        <tr r="Z1161" s="1"/>
        <tr r="Z1161" s="1"/>
      </tp>
      <tp t="s">
        <v>#N/A Requesting Data...3460000866</v>
        <stp/>
        <stp>BDP|7342394363534944122</stp>
        <tr r="AB1360" s="1"/>
        <tr r="AB1360" s="1"/>
      </tp>
      <tp t="s">
        <v>#N/A Requesting Data...3419768772</v>
        <stp/>
        <stp>BDP|1084263831130107749</stp>
        <tr r="AC304" s="1"/>
        <tr r="AC304" s="1"/>
      </tp>
      <tp t="s">
        <v>#N/A Requesting Data...3459033593</v>
        <stp/>
        <stp>BDP|3616516826116136520</stp>
        <tr r="AC606" s="1"/>
        <tr r="AC606" s="1"/>
      </tp>
      <tp t="s">
        <v>#N/A Requesting Data...3636710621</v>
        <stp/>
        <stp>BDP|8881149707026978802</stp>
        <tr r="Y304" s="1"/>
        <tr r="Y304" s="1"/>
      </tp>
      <tp t="s">
        <v>#N/A Requesting Data...4179399383</v>
        <stp/>
        <stp>BDP|5597807185161328306</stp>
        <tr r="Z69" s="1"/>
        <tr r="Z69" s="1"/>
      </tp>
      <tp t="s">
        <v>#N/A Requesting Data...4144297353</v>
        <stp/>
        <stp>BDP|9086506111332126833</stp>
        <tr r="AA678" s="1"/>
        <tr r="AA678" s="1"/>
      </tp>
      <tp t="s">
        <v>#N/A Requesting Data...4223045871</v>
        <stp/>
        <stp>BDP|3077221875970500110</stp>
        <tr r="AB444" s="1"/>
        <tr r="AB444" s="1"/>
      </tp>
      <tp t="s">
        <v>#N/A Requesting Data...3371641467</v>
        <stp/>
        <stp>BDP|6548668646751214244</stp>
        <tr r="Z14" s="1"/>
        <tr r="Z14" s="1"/>
      </tp>
      <tp t="s">
        <v>#N/A Requesting Data...4055743857</v>
        <stp/>
        <stp>BDP|8997737610908874111</stp>
        <tr r="AA1503" s="1"/>
        <tr r="AA1503" s="1"/>
      </tp>
      <tp t="s">
        <v>#N/A Requesting Data...3790299859</v>
        <stp/>
        <stp>BDP|3332760625133230210</stp>
        <tr r="Z822" s="1"/>
        <tr r="Z822" s="1"/>
      </tp>
      <tp t="s">
        <v>#N/A Requesting Data...3078722382</v>
        <stp/>
        <stp>BDP|7186513487958020540</stp>
        <tr r="AA731" s="1"/>
        <tr r="AA731" s="1"/>
      </tp>
      <tp t="s">
        <v>#N/A Requesting Data...4273118422</v>
        <stp/>
        <stp>BDP|9335074717279137616</stp>
        <tr r="AA963" s="1"/>
        <tr r="AA963" s="1"/>
      </tp>
      <tp t="s">
        <v>#N/A Requesting Data...3797457822</v>
        <stp/>
        <stp>BDP|3468215768895895561</stp>
        <tr r="AB1570" s="1"/>
        <tr r="AB1570" s="1"/>
      </tp>
      <tp t="s">
        <v>#N/A Requesting Data...3253423633</v>
        <stp/>
        <stp>BDP|8634281869298767334</stp>
        <tr r="AB459" s="1"/>
        <tr r="AB459" s="1"/>
      </tp>
      <tp t="s">
        <v>#N/A Requesting Data...3180134037</v>
        <stp/>
        <stp>BDP|6769744999438854716</stp>
        <tr r="Z654" s="1"/>
        <tr r="Z654" s="1"/>
      </tp>
      <tp t="s">
        <v>#N/A Requesting Data...3180677820</v>
        <stp/>
        <stp>BDP|8192341197537703268</stp>
        <tr r="AC1198" s="1"/>
        <tr r="AC1198" s="1"/>
      </tp>
      <tp t="s">
        <v>#N/A Requesting Data...3161747349</v>
        <stp/>
        <stp>BDP|8103069350032295864</stp>
        <tr r="AB391" s="1"/>
        <tr r="AB391" s="1"/>
      </tp>
      <tp t="s">
        <v>#N/A Requesting Data...3550002637</v>
        <stp/>
        <stp>BDP|1588576873771088526</stp>
        <tr r="AA1360" s="1"/>
        <tr r="AA1360" s="1"/>
      </tp>
      <tp t="s">
        <v>#N/A Requesting Data...3373335721</v>
        <stp/>
        <stp>BDP|7989101724963761090</stp>
        <tr r="AA24" s="1"/>
        <tr r="AA24" s="1"/>
      </tp>
      <tp t="s">
        <v>#N/A Requesting Data...4181761586</v>
        <stp/>
        <stp>BDP|1199420340776011036</stp>
        <tr r="Z788" s="1"/>
        <tr r="Z788" s="1"/>
      </tp>
      <tp t="s">
        <v>#N/A Requesting Data...3811152223</v>
        <stp/>
        <stp>BDP|8690957350457270415</stp>
        <tr r="AA518" s="1"/>
        <tr r="AA518" s="1"/>
      </tp>
      <tp t="s">
        <v>#N/A Requesting Data...3942502955</v>
        <stp/>
        <stp>BDP|5126908620578047110</stp>
        <tr r="Z141" s="1"/>
        <tr r="Z141" s="1"/>
      </tp>
      <tp t="s">
        <v>#N/A Requesting Data...3518730340</v>
        <stp/>
        <stp>BDP|4181722246912116248</stp>
        <tr r="AA328" s="1"/>
        <tr r="AA328" s="1"/>
      </tp>
      <tp t="s">
        <v>#N/A Requesting Data...3396681880</v>
        <stp/>
        <stp>BDP|5511238819377813671</stp>
        <tr r="Y210" s="1"/>
        <tr r="Y210" s="1"/>
      </tp>
      <tp t="s">
        <v>#N/A Requesting Data...3746301950</v>
        <stp/>
        <stp>BDP|2064662327865579441</stp>
        <tr r="AA613" s="1"/>
        <tr r="AA613" s="1"/>
      </tp>
      <tp t="s">
        <v>#N/A Requesting Data...4205341284</v>
        <stp/>
        <stp>BDP|9253218782251936580</stp>
        <tr r="Z873" s="1"/>
        <tr r="Z873" s="1"/>
      </tp>
      <tp t="s">
        <v>#N/A Requesting Data...3887718622</v>
        <stp/>
        <stp>BDP|5786367378015022393</stp>
        <tr r="Z1461" s="1"/>
        <tr r="Z1461" s="1"/>
      </tp>
      <tp t="s">
        <v>#N/A Requesting Data...3727898484</v>
        <stp/>
        <stp>BDP|5647043861562492675</stp>
        <tr r="Z1536" s="1"/>
        <tr r="Z1536" s="1"/>
      </tp>
      <tp t="s">
        <v>#N/A Requesting Data...3643564065</v>
        <stp/>
        <stp>BDP|3506205133272113777</stp>
        <tr r="Y725" s="1"/>
        <tr r="Y725" s="1"/>
      </tp>
      <tp t="s">
        <v>#N/A Requesting Data...3365657320</v>
        <stp/>
        <stp>BDP|6046291050646176087</stp>
        <tr r="Y1557" s="1"/>
        <tr r="Y1557" s="1"/>
      </tp>
      <tp t="s">
        <v>#N/A Requesting Data...3916883460</v>
        <stp/>
        <stp>BDP|3887149941060520181</stp>
        <tr r="Y105" s="1"/>
        <tr r="Y105" s="1"/>
      </tp>
      <tp t="s">
        <v>#N/A Requesting Data...4248351536</v>
        <stp/>
        <stp>BDP|1333307875507142577</stp>
        <tr r="Z830" s="1"/>
        <tr r="Z830" s="1"/>
      </tp>
      <tp t="s">
        <v>#N/A Requesting Data...3139262661</v>
        <stp/>
        <stp>BDP|4350955247759027710</stp>
        <tr r="AA1424" s="1"/>
        <tr r="AA1424" s="1"/>
      </tp>
      <tp t="s">
        <v>#N/A Requesting Data...4283748884</v>
        <stp/>
        <stp>BDP|6939088960504292333</stp>
        <tr r="Y899" s="1"/>
        <tr r="Y899" s="1"/>
      </tp>
      <tp t="s">
        <v>#N/A Requesting Data...3167507854</v>
        <stp/>
        <stp>BDP|9745462990616130507</stp>
        <tr r="Z889" s="1"/>
        <tr r="Z889" s="1"/>
      </tp>
      <tp t="s">
        <v>#N/A Requesting Data...3724167499</v>
        <stp/>
        <stp>BDP|6662576159806097786</stp>
        <tr r="AA134" s="1"/>
        <tr r="AA134" s="1"/>
      </tp>
      <tp t="s">
        <v>#N/A Requesting Data...4027807414</v>
        <stp/>
        <stp>BDP|3740971255218243074</stp>
        <tr r="Y93" s="1"/>
        <tr r="Y93" s="1"/>
      </tp>
      <tp t="s">
        <v>#N/A Requesting Data...4208231891</v>
        <stp/>
        <stp>BDP|4050467575435430573</stp>
        <tr r="Y333" s="1"/>
      </tp>
      <tp t="s">
        <v>#N/A Requesting Data...3197510782</v>
        <stp/>
        <stp>BDP|5185472132744204174</stp>
        <tr r="AC921" s="1"/>
        <tr r="AC921" s="1"/>
      </tp>
      <tp t="s">
        <v>#N/A Requesting Data...3893274046</v>
        <stp/>
        <stp>BDP|9164454664948430453</stp>
        <tr r="Y781" s="1"/>
        <tr r="Y781" s="1"/>
      </tp>
      <tp t="s">
        <v>#N/A Requesting Data...3622535426</v>
        <stp/>
        <stp>BDP|1493381220285498298</stp>
        <tr r="AA113" s="1"/>
      </tp>
      <tp t="s">
        <v>#N/A Requesting Data...4183312523</v>
        <stp/>
        <stp>BDP|9358218929636906836</stp>
        <tr r="AA1251" s="1"/>
        <tr r="AA1251" s="1"/>
      </tp>
      <tp t="s">
        <v>#N/A Requesting Data...4159701187</v>
        <stp/>
        <stp>BDP|7731643118945266282</stp>
        <tr r="Y1489" s="1"/>
        <tr r="Y1489" s="1"/>
      </tp>
      <tp t="s">
        <v>#N/A Requesting Data...4227480897</v>
        <stp/>
        <stp>BDP|9242923181989020601</stp>
        <tr r="Y1033" s="1"/>
        <tr r="Y1033" s="1"/>
      </tp>
      <tp t="s">
        <v>#N/A Requesting Data...3984505219</v>
        <stp/>
        <stp>BDP|9651147883532283523</stp>
        <tr r="AB789" s="1"/>
        <tr r="AB789" s="1"/>
      </tp>
      <tp t="s">
        <v>#N/A Requesting Data...3480211220</v>
        <stp/>
        <stp>BDP|4386123502130366213</stp>
        <tr r="AA169" s="1"/>
        <tr r="AA169" s="1"/>
      </tp>
      <tp t="s">
        <v>#N/A Requesting Data...3914434117</v>
        <stp/>
        <stp>BDP|4624291150654765092</stp>
        <tr r="Y25" s="1"/>
        <tr r="Y25" s="1"/>
      </tp>
      <tp t="s">
        <v>#N/A Requesting Data...3965436791</v>
        <stp/>
        <stp>BDP|5103536704796602110</stp>
        <tr r="AC754" s="1"/>
        <tr r="AC754" s="1"/>
      </tp>
      <tp t="s">
        <v>#N/A Requesting Data...3266038251</v>
        <stp/>
        <stp>BDP|5004663701013643704</stp>
        <tr r="Y507" s="1"/>
        <tr r="Y507" s="1"/>
      </tp>
      <tp t="s">
        <v>#N/A Requesting Data...3425666270</v>
        <stp/>
        <stp>BDP|8115636715150576832</stp>
        <tr r="Z501" s="1"/>
        <tr r="Z501" s="1"/>
      </tp>
      <tp t="s">
        <v>#N/A Requesting Data...3593791320</v>
        <stp/>
        <stp>BDP|4181726579810326387</stp>
        <tr r="AB415" s="1"/>
        <tr r="AB415" s="1"/>
      </tp>
      <tp t="s">
        <v>#N/A Requesting Data...4211106902</v>
        <stp/>
        <stp>BDP|8733412158798828677</stp>
        <tr r="AB327" s="1"/>
        <tr r="AB327" s="1"/>
      </tp>
      <tp t="s">
        <v>#N/A Requesting Data...3894110633</v>
        <stp/>
        <stp>BDP|3944564509242068377</stp>
        <tr r="Y1378" s="1"/>
        <tr r="Y1378" s="1"/>
      </tp>
      <tp t="s">
        <v>#N/A Requesting Data...4132216538</v>
        <stp/>
        <stp>BDP|3694319806136638167</stp>
        <tr r="AA920" s="1"/>
        <tr r="AA920" s="1"/>
      </tp>
      <tp t="s">
        <v>#N/A Requesting Data...4170452879</v>
        <stp/>
        <stp>BDP|1983294758965822413</stp>
        <tr r="AC313" s="1"/>
        <tr r="AC313" s="1"/>
      </tp>
      <tp t="s">
        <v>#N/A Requesting Data...3840685030</v>
        <stp/>
        <stp>BDP|1715363837512696419</stp>
        <tr r="AA238" s="1"/>
        <tr r="AA238" s="1"/>
      </tp>
      <tp t="s">
        <v>#N/A Requesting Data...3563346231</v>
        <stp/>
        <stp>BDP|1880228027111504797</stp>
        <tr r="AA1478" s="1"/>
        <tr r="AA1478" s="1"/>
      </tp>
      <tp t="s">
        <v>#N/A Requesting Data...4092945469</v>
        <stp/>
        <stp>BDP|1610542234829196964</stp>
        <tr r="AA1236" s="1"/>
        <tr r="AA1236" s="1"/>
      </tp>
      <tp t="s">
        <v>#N/A Requesting Data...3214238441</v>
        <stp/>
        <stp>BDP|5343015618376255591</stp>
        <tr r="AA363" s="1"/>
        <tr r="AA363" s="1"/>
      </tp>
      <tp t="s">
        <v>#N/A Requesting Data...3196191603</v>
        <stp/>
        <stp>BDP|8623368414558180541</stp>
        <tr r="Z694" s="1"/>
        <tr r="Z694" s="1"/>
      </tp>
      <tp t="s">
        <v>#N/A Requesting Data...3276986122</v>
        <stp/>
        <stp>BDP|3827698144332296466</stp>
        <tr r="Z949" s="1"/>
        <tr r="Z949" s="1"/>
      </tp>
      <tp t="s">
        <v>#N/A Requesting Data...3368144557</v>
        <stp/>
        <stp>BDP|3471300079655815539</stp>
        <tr r="Z621" s="1"/>
        <tr r="Z621" s="1"/>
      </tp>
      <tp t="s">
        <v>#N/A Requesting Data...3221586676</v>
        <stp/>
        <stp>BDP|7516020921837479546</stp>
        <tr r="Z680" s="1"/>
        <tr r="Z680" s="1"/>
      </tp>
      <tp t="s">
        <v>#N/A Requesting Data...3569542968</v>
        <stp/>
        <stp>BDP|4549537678104944519</stp>
        <tr r="AC517" s="1"/>
        <tr r="AC517" s="1"/>
      </tp>
      <tp t="s">
        <v>#N/A Requesting Data...3215385619</v>
        <stp/>
        <stp>BDP|5585402102660230631</stp>
        <tr r="AA1613" s="1"/>
      </tp>
      <tp t="s">
        <v>#N/A Requesting Data...3753260165</v>
        <stp/>
        <stp>BDP|7058233216901342205</stp>
        <tr r="AA1391" s="1"/>
        <tr r="AA1391" s="1"/>
      </tp>
      <tp t="s">
        <v>#N/A Requesting Data...3246752477</v>
        <stp/>
        <stp>BDP|9696955668727539686</stp>
        <tr r="AB654" s="1"/>
        <tr r="AB654" s="1"/>
      </tp>
      <tp t="s">
        <v>#N/A Requesting Data...3783879717</v>
        <stp/>
        <stp>BDP|6000137967241369712</stp>
        <tr r="Y916" s="1"/>
        <tr r="Y916" s="1"/>
      </tp>
      <tp t="s">
        <v>#N/A Requesting Data...3748495176</v>
        <stp/>
        <stp>BDP|2984187239452892563</stp>
        <tr r="AB1479" s="1"/>
        <tr r="AB1479" s="1"/>
      </tp>
      <tp t="s">
        <v>#N/A Requesting Data...3386935443</v>
        <stp/>
        <stp>BDP|8436404989577337480</stp>
        <tr r="AB1144" s="1"/>
        <tr r="AB1144" s="1"/>
      </tp>
      <tp t="s">
        <v>#N/A Requesting Data...3671086636</v>
        <stp/>
        <stp>BDP|5243127369772758781</stp>
        <tr r="AB942" s="1"/>
        <tr r="AB942" s="1"/>
      </tp>
      <tp t="s">
        <v>#N/A Requesting Data...3369549855</v>
        <stp/>
        <stp>BDP|6354441822800766749</stp>
        <tr r="Z53" s="1"/>
        <tr r="Z53" s="1"/>
      </tp>
      <tp t="s">
        <v>#N/A Requesting Data...3486982187</v>
        <stp/>
        <stp>BDP|1276648107467670719</stp>
        <tr r="Y251" s="1"/>
        <tr r="Y251" s="1"/>
      </tp>
      <tp t="s">
        <v>#N/A Requesting Data...3897748148</v>
        <stp/>
        <stp>BDP|7343363994058646216</stp>
        <tr r="Y250" s="1"/>
        <tr r="Y250" s="1"/>
      </tp>
      <tp t="s">
        <v>#N/A Requesting Data...3748255392</v>
        <stp/>
        <stp>BDP|1000357277284210661</stp>
        <tr r="Z1582" s="1"/>
        <tr r="Z1582" s="1"/>
      </tp>
      <tp t="s">
        <v>#N/A Requesting Data...4015343326</v>
        <stp/>
        <stp>BDP|1744377655806182624</stp>
        <tr r="AA1018" s="1"/>
        <tr r="AA1018" s="1"/>
      </tp>
      <tp t="s">
        <v>#N/A Requesting Data...4075987727</v>
        <stp/>
        <stp>BDP|2636876987620206524</stp>
        <tr r="Y790" s="1"/>
        <tr r="Y790" s="1"/>
      </tp>
      <tp t="s">
        <v>#N/A Requesting Data...3451395874</v>
        <stp/>
        <stp>BDP|1682391539993076501</stp>
        <tr r="Y309" s="1"/>
        <tr r="Y309" s="1"/>
      </tp>
      <tp t="s">
        <v>#N/A Requesting Data...3501776535</v>
        <stp/>
        <stp>BDP|7587096869623265505</stp>
        <tr r="Z83" s="1"/>
        <tr r="Z83" s="1"/>
      </tp>
      <tp t="s">
        <v>#N/A Requesting Data...3809541020</v>
        <stp/>
        <stp>BDP|7119293536834001590</stp>
        <tr r="AA798" s="1"/>
        <tr r="AA798" s="1"/>
      </tp>
      <tp t="s">
        <v>#N/A Requesting Data...4178371931</v>
        <stp/>
        <stp>BDP|2280560195568653105</stp>
        <tr r="Y451" s="1"/>
        <tr r="Y451" s="1"/>
      </tp>
      <tp t="s">
        <v>#N/A Requesting Data...3952372512</v>
        <stp/>
        <stp>BDP|5753049922592715215</stp>
        <tr r="AC1487" s="1"/>
        <tr r="AC1487" s="1"/>
      </tp>
      <tp t="s">
        <v>#N/A Requesting Data...3637225386</v>
        <stp/>
        <stp>BDP|4369112370196724329</stp>
        <tr r="AB862" s="1"/>
        <tr r="AB862" s="1"/>
      </tp>
      <tp t="s">
        <v>#N/A Requesting Data...3999854533</v>
        <stp/>
        <stp>BDP|2438265574158185801</stp>
        <tr r="Y82" s="1"/>
        <tr r="Y82" s="1"/>
      </tp>
      <tp t="s">
        <v>#N/A Requesting Data...3836258760</v>
        <stp/>
        <stp>BDP|5067176809912176180</stp>
        <tr r="Z789" s="1"/>
        <tr r="Z789" s="1"/>
      </tp>
      <tp t="s">
        <v>#N/A Requesting Data...3857356026</v>
        <stp/>
        <stp>BDP|7023216141536303041</stp>
        <tr r="AC984" s="1"/>
        <tr r="AC984" s="1"/>
      </tp>
      <tp t="s">
        <v>#N/A Requesting Data...3127366933</v>
        <stp/>
        <stp>BDP|3058953503079456453</stp>
        <tr r="Z1391" s="1"/>
        <tr r="Z1391" s="1"/>
      </tp>
      <tp t="s">
        <v>#N/A Requesting Data...3175214171</v>
        <stp/>
        <stp>BDP|8109141387715414317</stp>
        <tr r="AB1545" s="1"/>
        <tr r="AB1545" s="1"/>
      </tp>
      <tp t="s">
        <v>#N/A Requesting Data...4235855498</v>
        <stp/>
        <stp>BDP|4595652965033001028</stp>
        <tr r="AC36" s="1"/>
        <tr r="AC36" s="1"/>
      </tp>
      <tp t="s">
        <v>#N/A Requesting Data...4000309683</v>
        <stp/>
        <stp>BDP|2463457320235463627</stp>
        <tr r="Y1242" s="1"/>
        <tr r="Y1242" s="1"/>
      </tp>
      <tp t="s">
        <v>#N/A Requesting Data...3959034853</v>
        <stp/>
        <stp>BDP|6730104070522599559</stp>
        <tr r="Y191" s="1"/>
        <tr r="Y191" s="1"/>
      </tp>
      <tp t="s">
        <v>#N/A Requesting Data...3200375360</v>
        <stp/>
        <stp>BDP|2310205371088200871</stp>
        <tr r="AC1000" s="1"/>
        <tr r="AC1000" s="1"/>
      </tp>
      <tp t="s">
        <v>#N/A Requesting Data...3767282369</v>
        <stp/>
        <stp>BDP|6676643653171178376</stp>
        <tr r="AA769" s="1"/>
        <tr r="AA769" s="1"/>
      </tp>
      <tp t="s">
        <v>#N/A Requesting Data...3160341110</v>
        <stp/>
        <stp>BDP|6548950296049697879</stp>
        <tr r="Z1433" s="1"/>
        <tr r="Z1433" s="1"/>
      </tp>
      <tp t="s">
        <v>#N/A Requesting Data...3612888788</v>
        <stp/>
        <stp>BDP|3504303645213555023</stp>
        <tr r="AC405" s="1"/>
        <tr r="AC405" s="1"/>
      </tp>
      <tp t="s">
        <v>#N/A Requesting Data...4148049297</v>
        <stp/>
        <stp>BDP|2810493696198242020</stp>
        <tr r="Z1592" s="1"/>
        <tr r="Z1592" s="1"/>
      </tp>
      <tp t="s">
        <v>#N/A Requesting Data...3169679905</v>
        <stp/>
        <stp>BDP|4503332924204167641</stp>
        <tr r="AA1483" s="1"/>
        <tr r="AA1483" s="1"/>
      </tp>
      <tp t="s">
        <v>#N/A Requesting Data...3663488363</v>
        <stp/>
        <stp>BDP|8189860157194075646</stp>
        <tr r="AC625" s="1"/>
        <tr r="AC625" s="1"/>
      </tp>
      <tp t="s">
        <v>#N/A Requesting Data...3295701672</v>
        <stp/>
        <stp>BDP|5682921108352021983</stp>
        <tr r="AA1118" s="1"/>
        <tr r="AA1118" s="1"/>
      </tp>
      <tp t="s">
        <v>#N/A Requesting Data...3504184651</v>
        <stp/>
        <stp>BDP|2580752726600619041</stp>
        <tr r="AA1028" s="1"/>
        <tr r="AA1028" s="1"/>
      </tp>
      <tp t="s">
        <v>#N/A Requesting Data...3199687276</v>
        <stp/>
        <stp>BDP|8123339586581910593</stp>
        <tr r="Z358" s="1"/>
        <tr r="Z358" s="1"/>
      </tp>
      <tp t="s">
        <v>#N/A Requesting Data...4268579321</v>
        <stp/>
        <stp>BDP|6275378478956989301</stp>
        <tr r="Y547" s="1"/>
        <tr r="Y547" s="1"/>
      </tp>
      <tp t="s">
        <v>#N/A Requesting Data...4017893249</v>
        <stp/>
        <stp>BDP|9818288880954633023</stp>
        <tr r="AA961" s="1"/>
        <tr r="AA961" s="1"/>
      </tp>
      <tp t="s">
        <v>#N/A Requesting Data...3522589770</v>
        <stp/>
        <stp>BDP|2006059522343610459</stp>
        <tr r="AB1189" s="1"/>
        <tr r="AB1189" s="1"/>
      </tp>
      <tp t="s">
        <v>#N/A Requesting Data...3742796890</v>
        <stp/>
        <stp>BDP|8337588020290840878</stp>
        <tr r="AB443" s="1"/>
        <tr r="AB443" s="1"/>
      </tp>
      <tp t="s">
        <v>#N/A Requesting Data...4097492563</v>
        <stp/>
        <stp>BDP|2859508939955731623</stp>
        <tr r="Z555" s="1"/>
        <tr r="Z555" s="1"/>
      </tp>
      <tp t="s">
        <v>#N/A Requesting Data...4157057079</v>
        <stp/>
        <stp>BDP|6075336019562704190</stp>
        <tr r="AC1443" s="1"/>
        <tr r="AC1443" s="1"/>
      </tp>
      <tp t="s">
        <v>#N/A Requesting Data...3627503457</v>
        <stp/>
        <stp>BDP|6078960499279964827</stp>
        <tr r="Z213" s="1"/>
        <tr r="Z213" s="1"/>
      </tp>
      <tp t="s">
        <v>#N/A Requesting Data...3486366279</v>
        <stp/>
        <stp>BDP|8696661885961718067</stp>
        <tr r="AC1623" s="1"/>
        <tr r="AC1624" s="1"/>
        <tr r="AC1625" s="1"/>
        <tr r="AC1626" s="1"/>
        <tr r="AC1627" s="1"/>
        <tr r="AC1628" s="1"/>
        <tr r="AC1629" s="1"/>
        <tr r="AC1630" s="1"/>
        <tr r="AC1631" s="1"/>
        <tr r="AC1632" s="1"/>
        <tr r="AC1633" s="1"/>
        <tr r="AC1634" s="1"/>
        <tr r="AC1635" s="1"/>
        <tr r="AC1636" s="1"/>
        <tr r="AC1637" s="1"/>
        <tr r="AC1638" s="1"/>
        <tr r="AC1639" s="1"/>
        <tr r="AC1640" s="1"/>
        <tr r="AC1641" s="1"/>
        <tr r="AC1642" s="1"/>
        <tr r="AC1643" s="1"/>
        <tr r="AC1644" s="1"/>
        <tr r="AC1645" s="1"/>
        <tr r="AC1646" s="1"/>
        <tr r="AC1647" s="1"/>
        <tr r="AC1648" s="1"/>
        <tr r="AC1649" s="1"/>
        <tr r="AC1650" s="1"/>
        <tr r="AC1651" s="1"/>
        <tr r="AC1652" s="1"/>
        <tr r="AC1653" s="1"/>
        <tr r="AC1654" s="1"/>
        <tr r="AC1655" s="1"/>
        <tr r="AC1656" s="1"/>
        <tr r="AC1657" s="1"/>
        <tr r="AC1658" s="1"/>
        <tr r="AC1659" s="1"/>
        <tr r="AC1660" s="1"/>
        <tr r="AC1661" s="1"/>
        <tr r="AC1662" s="1"/>
        <tr r="AC1663" s="1"/>
        <tr r="AC1664" s="1"/>
        <tr r="AC1665" s="1"/>
        <tr r="AC1666" s="1"/>
        <tr r="AC1667" s="1"/>
        <tr r="AC1668" s="1"/>
        <tr r="AC1669" s="1"/>
        <tr r="AC1670" s="1"/>
        <tr r="AC1671" s="1"/>
        <tr r="AC1672" s="1"/>
        <tr r="AC1673" s="1"/>
        <tr r="AC1674" s="1"/>
        <tr r="AC1675" s="1"/>
        <tr r="AC1676" s="1"/>
        <tr r="AC1677" s="1"/>
        <tr r="AC1678" s="1"/>
        <tr r="AC1679" s="1"/>
        <tr r="AC1680" s="1"/>
        <tr r="AC1681" s="1"/>
        <tr r="AC1682" s="1"/>
        <tr r="AC1683" s="1"/>
        <tr r="AC1684" s="1"/>
        <tr r="AC1685" s="1"/>
        <tr r="AC1686" s="1"/>
        <tr r="AC1687" s="1"/>
        <tr r="AC1688" s="1"/>
        <tr r="AC1689" s="1"/>
        <tr r="AC1690" s="1"/>
        <tr r="AC1691" s="1"/>
        <tr r="AC1692" s="1"/>
        <tr r="AC1693" s="1"/>
        <tr r="AC1694" s="1"/>
        <tr r="AC1695" s="1"/>
        <tr r="AC1696" s="1"/>
        <tr r="AC1697" s="1"/>
        <tr r="AC1698" s="1"/>
        <tr r="AC1699" s="1"/>
        <tr r="AC1700" s="1"/>
        <tr r="AC1701" s="1"/>
        <tr r="AC1702" s="1"/>
        <tr r="AC1703" s="1"/>
        <tr r="AC1704" s="1"/>
        <tr r="AC1705" s="1"/>
        <tr r="AC1706" s="1"/>
        <tr r="AC1707" s="1"/>
        <tr r="AC1708" s="1"/>
        <tr r="AC1709" s="1"/>
        <tr r="AC1710" s="1"/>
        <tr r="AC1711" s="1"/>
        <tr r="AC1712" s="1"/>
        <tr r="AC1713" s="1"/>
        <tr r="AC1714" s="1"/>
        <tr r="AC1715" s="1"/>
        <tr r="AC1716" s="1"/>
        <tr r="AC1717" s="1"/>
        <tr r="AC1718" s="1"/>
        <tr r="AC1719" s="1"/>
        <tr r="AC1720" s="1"/>
        <tr r="AC1721" s="1"/>
        <tr r="AC1722" s="1"/>
        <tr r="AC1723" s="1"/>
        <tr r="AC1724" s="1"/>
        <tr r="AC1725" s="1"/>
        <tr r="AC1726" s="1"/>
        <tr r="AC1727" s="1"/>
        <tr r="AC1728" s="1"/>
        <tr r="AC1729" s="1"/>
        <tr r="AC1730" s="1"/>
        <tr r="AC1731" s="1"/>
        <tr r="AC1732" s="1"/>
        <tr r="AC1733" s="1"/>
        <tr r="AC1734" s="1"/>
        <tr r="AC1735" s="1"/>
        <tr r="AC1736" s="1"/>
        <tr r="AC1737" s="1"/>
        <tr r="AC1738" s="1"/>
        <tr r="AC1739" s="1"/>
        <tr r="AC1740" s="1"/>
        <tr r="AC1741" s="1"/>
        <tr r="AC1742" s="1"/>
        <tr r="AC1743" s="1"/>
        <tr r="AC1744" s="1"/>
        <tr r="AC1745" s="1"/>
        <tr r="AC1746" s="1"/>
        <tr r="AC1747" s="1"/>
        <tr r="AC1748" s="1"/>
        <tr r="AC1749" s="1"/>
        <tr r="AC1750" s="1"/>
        <tr r="AC1751" s="1"/>
        <tr r="AC1752" s="1"/>
        <tr r="AC1753" s="1"/>
        <tr r="AC1754" s="1"/>
        <tr r="AC1755" s="1"/>
        <tr r="AC1756" s="1"/>
        <tr r="AC1757" s="1"/>
        <tr r="AC1758" s="1"/>
        <tr r="AC1759" s="1"/>
        <tr r="AC1760" s="1"/>
        <tr r="AC1761" s="1"/>
        <tr r="AC1762" s="1"/>
        <tr r="AC1763" s="1"/>
        <tr r="AC1764" s="1"/>
        <tr r="AC1765" s="1"/>
        <tr r="AC1766" s="1"/>
        <tr r="AC1767" s="1"/>
        <tr r="AC1768" s="1"/>
        <tr r="AC1769" s="1"/>
        <tr r="AC1770" s="1"/>
        <tr r="AC1771" s="1"/>
        <tr r="AC1772" s="1"/>
        <tr r="AC1773" s="1"/>
        <tr r="AC1774" s="1"/>
        <tr r="AC1775" s="1"/>
        <tr r="AC1776" s="1"/>
        <tr r="AC1777" s="1"/>
        <tr r="AC1778" s="1"/>
        <tr r="AC1779" s="1"/>
        <tr r="AC1780" s="1"/>
        <tr r="AC1781" s="1"/>
        <tr r="AC1782" s="1"/>
        <tr r="AC1783" s="1"/>
        <tr r="AC1784" s="1"/>
        <tr r="AC1785" s="1"/>
        <tr r="AC1786" s="1"/>
        <tr r="AC1787" s="1"/>
        <tr r="AC1788" s="1"/>
        <tr r="AC1789" s="1"/>
        <tr r="AC1790" s="1"/>
        <tr r="AC1791" s="1"/>
        <tr r="AC1792" s="1"/>
        <tr r="AC1793" s="1"/>
        <tr r="AC1794" s="1"/>
        <tr r="AC1795" s="1"/>
        <tr r="AC1796" s="1"/>
        <tr r="AC1797" s="1"/>
        <tr r="AC1798" s="1"/>
        <tr r="AC1799" s="1"/>
        <tr r="AC1800" s="1"/>
        <tr r="AC1801" s="1"/>
        <tr r="AC1802" s="1"/>
        <tr r="AC1803" s="1"/>
        <tr r="AC1804" s="1"/>
        <tr r="AC1805" s="1"/>
        <tr r="AC1806" s="1"/>
        <tr r="AC1807" s="1"/>
        <tr r="AC1808" s="1"/>
        <tr r="AC1809" s="1"/>
        <tr r="AC1810" s="1"/>
        <tr r="AC1811" s="1"/>
        <tr r="AC1812" s="1"/>
        <tr r="AC1813" s="1"/>
        <tr r="AC1814" s="1"/>
        <tr r="AC1815" s="1"/>
        <tr r="AC1816" s="1"/>
        <tr r="AC1817" s="1"/>
        <tr r="AC1818" s="1"/>
        <tr r="AC1819" s="1"/>
        <tr r="AC1820" s="1"/>
        <tr r="AC1821" s="1"/>
        <tr r="AC1822" s="1"/>
        <tr r="AC1823" s="1"/>
        <tr r="AC1824" s="1"/>
        <tr r="AC1825" s="1"/>
        <tr r="AC1826" s="1"/>
        <tr r="AC1827" s="1"/>
        <tr r="AC1828" s="1"/>
        <tr r="AC1829" s="1"/>
        <tr r="AC1830" s="1"/>
        <tr r="AC1831" s="1"/>
        <tr r="AC1832" s="1"/>
        <tr r="AC1833" s="1"/>
        <tr r="AC1834" s="1"/>
        <tr r="AC1835" s="1"/>
        <tr r="AC1836" s="1"/>
        <tr r="AC1837" s="1"/>
        <tr r="AC1838" s="1"/>
        <tr r="AC1839" s="1"/>
        <tr r="AC1840" s="1"/>
        <tr r="AC1841" s="1"/>
        <tr r="AC1842" s="1"/>
        <tr r="AC1843" s="1"/>
        <tr r="AC1844" s="1"/>
        <tr r="AC1845" s="1"/>
        <tr r="AC1846" s="1"/>
        <tr r="AC1847" s="1"/>
        <tr r="AC1848" s="1"/>
        <tr r="AC1849" s="1"/>
        <tr r="AC1850" s="1"/>
        <tr r="AC1851" s="1"/>
        <tr r="AC1852" s="1"/>
        <tr r="AC1853" s="1"/>
        <tr r="AC1854" s="1"/>
        <tr r="AC1855" s="1"/>
        <tr r="AC1856" s="1"/>
        <tr r="AC1857" s="1"/>
        <tr r="AC1858" s="1"/>
        <tr r="AC1859" s="1"/>
        <tr r="AC1860" s="1"/>
        <tr r="AC1861" s="1"/>
        <tr r="AC1862" s="1"/>
        <tr r="AC1863" s="1"/>
        <tr r="AC1864" s="1"/>
        <tr r="AC1865" s="1"/>
        <tr r="AC1866" s="1"/>
        <tr r="AC1867" s="1"/>
        <tr r="AC1868" s="1"/>
        <tr r="AC1869" s="1"/>
        <tr r="AC1870" s="1"/>
        <tr r="AC1871" s="1"/>
        <tr r="AC1872" s="1"/>
        <tr r="AC1873" s="1"/>
        <tr r="AC1874" s="1"/>
        <tr r="AC1875" s="1"/>
        <tr r="AC1876" s="1"/>
        <tr r="AC1877" s="1"/>
        <tr r="AC1878" s="1"/>
        <tr r="AC1879" s="1"/>
        <tr r="AC1880" s="1"/>
        <tr r="AC1881" s="1"/>
        <tr r="AC1882" s="1"/>
        <tr r="AC1883" s="1"/>
        <tr r="AC1884" s="1"/>
        <tr r="AC1885" s="1"/>
        <tr r="AC1886" s="1"/>
        <tr r="AC1887" s="1"/>
        <tr r="AC1888" s="1"/>
        <tr r="AC1889" s="1"/>
        <tr r="AC1890" s="1"/>
        <tr r="AC1891" s="1"/>
        <tr r="AC1892" s="1"/>
        <tr r="AC1893" s="1"/>
        <tr r="AC1894" s="1"/>
        <tr r="AC1895" s="1"/>
        <tr r="AC1896" s="1"/>
        <tr r="AC1897" s="1"/>
        <tr r="AC1898" s="1"/>
        <tr r="AC1899" s="1"/>
        <tr r="AC1900" s="1"/>
        <tr r="AC1901" s="1"/>
        <tr r="AC1902" s="1"/>
        <tr r="AC1903" s="1"/>
        <tr r="AC1904" s="1"/>
        <tr r="AC1905" s="1"/>
        <tr r="AC1906" s="1"/>
        <tr r="AC1907" s="1"/>
        <tr r="AC1908" s="1"/>
        <tr r="AC1909" s="1"/>
        <tr r="AC1910" s="1"/>
        <tr r="AC1911" s="1"/>
        <tr r="AC1912" s="1"/>
        <tr r="AC1913" s="1"/>
        <tr r="AC1914" s="1"/>
        <tr r="AC1915" s="1"/>
        <tr r="AC1916" s="1"/>
        <tr r="AC1917" s="1"/>
        <tr r="AC1918" s="1"/>
        <tr r="AC1919" s="1"/>
        <tr r="AC1920" s="1"/>
        <tr r="AC1921" s="1"/>
        <tr r="AC1922" s="1"/>
        <tr r="AC1923" s="1"/>
        <tr r="AC1924" s="1"/>
        <tr r="AC1925" s="1"/>
        <tr r="AC1926" s="1"/>
        <tr r="AC1927" s="1"/>
        <tr r="AC1928" s="1"/>
        <tr r="AC1929" s="1"/>
        <tr r="AC1930" s="1"/>
        <tr r="AC1931" s="1"/>
        <tr r="AC1932" s="1"/>
        <tr r="AC1933" s="1"/>
        <tr r="AC1934" s="1"/>
        <tr r="AC1935" s="1"/>
        <tr r="AC1936" s="1"/>
        <tr r="AC1937" s="1"/>
        <tr r="AC1938" s="1"/>
        <tr r="AC1939" s="1"/>
        <tr r="AC1940" s="1"/>
        <tr r="AC1941" s="1"/>
        <tr r="AC1942" s="1"/>
        <tr r="AC1943" s="1"/>
        <tr r="AC1944" s="1"/>
        <tr r="AC1945" s="1"/>
        <tr r="AC1946" s="1"/>
        <tr r="AC1947" s="1"/>
        <tr r="AC1948" s="1"/>
        <tr r="AC1949" s="1"/>
        <tr r="AC1950" s="1"/>
        <tr r="AC1951" s="1"/>
        <tr r="AC1952" s="1"/>
        <tr r="AC1953" s="1"/>
        <tr r="AC1954" s="1"/>
        <tr r="AC1955" s="1"/>
        <tr r="AC1956" s="1"/>
        <tr r="AC1957" s="1"/>
        <tr r="AC1958" s="1"/>
        <tr r="AC1959" s="1"/>
        <tr r="AC1960" s="1"/>
        <tr r="AC1961" s="1"/>
        <tr r="AC1962" s="1"/>
        <tr r="AC1963" s="1"/>
        <tr r="AC1964" s="1"/>
        <tr r="AC1965" s="1"/>
        <tr r="AC1966" s="1"/>
        <tr r="AC1967" s="1"/>
        <tr r="AC1968" s="1"/>
        <tr r="AC1969" s="1"/>
        <tr r="AC1970" s="1"/>
        <tr r="AC1971" s="1"/>
        <tr r="AC1972" s="1"/>
        <tr r="AC1973" s="1"/>
        <tr r="AC1974" s="1"/>
        <tr r="AC1975" s="1"/>
        <tr r="AC1976" s="1"/>
        <tr r="AC1977" s="1"/>
        <tr r="AC1978" s="1"/>
        <tr r="AC1979" s="1"/>
        <tr r="AC1980" s="1"/>
        <tr r="AC1981" s="1"/>
        <tr r="AC1982" s="1"/>
        <tr r="AC1983" s="1"/>
        <tr r="AC1984" s="1"/>
        <tr r="AC1985" s="1"/>
        <tr r="AC1986" s="1"/>
        <tr r="AC1987" s="1"/>
        <tr r="AC1988" s="1"/>
        <tr r="AC1989" s="1"/>
        <tr r="AC1990" s="1"/>
        <tr r="AC1991" s="1"/>
        <tr r="AC1992" s="1"/>
        <tr r="AC1993" s="1"/>
        <tr r="AC1994" s="1"/>
        <tr r="AC1995" s="1"/>
        <tr r="AC1996" s="1"/>
        <tr r="AC1997" s="1"/>
        <tr r="AC1998" s="1"/>
        <tr r="AC1999" s="1"/>
        <tr r="AC2000" s="1"/>
        <tr r="AC2001" s="1"/>
      </tp>
      <tp t="s">
        <v>#N/A Requesting Data...4132319506</v>
        <stp/>
        <stp>BDP|4980685685265066810</stp>
        <tr r="AC771" s="1"/>
        <tr r="AC771" s="1"/>
      </tp>
      <tp t="s">
        <v>#N/A Requesting Data...3941975043</v>
        <stp/>
        <stp>BDP|8963818859456255466</stp>
        <tr r="Z909" s="1"/>
        <tr r="Z909" s="1"/>
      </tp>
      <tp t="s">
        <v>#N/A Requesting Data...3756836018</v>
        <stp/>
        <stp>BDP|6164471592664104809</stp>
        <tr r="AB587" s="1"/>
        <tr r="AB587" s="1"/>
      </tp>
      <tp t="s">
        <v>#N/A Requesting Data...3707516964</v>
        <stp/>
        <stp>BDP|6517804207591299852</stp>
        <tr r="AA1398" s="1"/>
        <tr r="AA1398" s="1"/>
      </tp>
      <tp t="s">
        <v>#N/A Requesting Data...3636536680</v>
        <stp/>
        <stp>BDP|2500631147474377379</stp>
        <tr r="Y1610" s="1"/>
        <tr r="Y1610" s="1"/>
      </tp>
      <tp t="s">
        <v>#N/A Requesting Data...3593794378</v>
        <stp/>
        <stp>BDP|1370552346863384468</stp>
        <tr r="Y73" s="1"/>
        <tr r="Y73" s="1"/>
      </tp>
      <tp t="s">
        <v>#N/A Requesting Data...4155149135</v>
        <stp/>
        <stp>BDP|8056952978177095680</stp>
        <tr r="Z149" s="1"/>
        <tr r="Z149" s="1"/>
      </tp>
      <tp t="s">
        <v>#N/A Requesting Data...4066460377</v>
        <stp/>
        <stp>BDP|3312101363022567107</stp>
        <tr r="Y696" s="1"/>
        <tr r="Y696" s="1"/>
      </tp>
      <tp t="s">
        <v>#N/A Requesting Data...3462427443</v>
        <stp/>
        <stp>BDP|3752221027112206654</stp>
        <tr r="Y686" s="1"/>
        <tr r="Y686" s="1"/>
      </tp>
      <tp t="s">
        <v>#N/A Requesting Data...3765456017</v>
        <stp/>
        <stp>BDP|4420165390229714205</stp>
        <tr r="AA162" s="1"/>
        <tr r="AA162" s="1"/>
      </tp>
      <tp t="s">
        <v>#N/A Requesting Data...3566970037</v>
        <stp/>
        <stp>BDP|1787639612444314505</stp>
        <tr r="Z1308" s="1"/>
        <tr r="Z1308" s="1"/>
      </tp>
      <tp t="s">
        <v>#N/A Requesting Data...3437021357</v>
        <stp/>
        <stp>BDP|8754670947329520475</stp>
        <tr r="AA570" s="1"/>
        <tr r="AA570" s="1"/>
      </tp>
      <tp t="s">
        <v>#N/A Requesting Data...4211903358</v>
        <stp/>
        <stp>BDP|6229521405801895580</stp>
        <tr r="AB586" s="1"/>
        <tr r="AB586" s="1"/>
      </tp>
      <tp t="s">
        <v>#N/A Requesting Data...3920556529</v>
        <stp/>
        <stp>BDP|7879657101155814312</stp>
        <tr r="AB156" s="1"/>
        <tr r="AB156" s="1"/>
      </tp>
      <tp t="s">
        <v>#N/A Requesting Data...4172442164</v>
        <stp/>
        <stp>BDP|3044426240062514626</stp>
        <tr r="Z112" s="1"/>
        <tr r="Z112" s="1"/>
      </tp>
      <tp t="s">
        <v>#N/A Requesting Data...3686819467</v>
        <stp/>
        <stp>BDP|2817332121313916765</stp>
        <tr r="AC384" s="1"/>
        <tr r="AC384" s="1"/>
      </tp>
      <tp t="s">
        <v>#N/A Requesting Data...3477841375</v>
        <stp/>
        <stp>BDP|4078017945587329020</stp>
        <tr r="AA1446" s="1"/>
        <tr r="AA1446" s="1"/>
      </tp>
      <tp t="s">
        <v>#N/A Requesting Data...3597743519</v>
        <stp/>
        <stp>BDP|1345741577001218772</stp>
        <tr r="Z215" s="1"/>
        <tr r="Z215" s="1"/>
      </tp>
      <tp>
        <v>1.89</v>
        <stp/>
        <stp>BDP|1190200888889734784|22</stp>
        <stp>OSTX US Equity</stp>
        <stp>LAST_PRICE</stp>
        <tr r="AD1117" s="1"/>
        <tr r="AD1117" s="1"/>
      </tp>
      <tp>
        <v>5.07</v>
        <stp/>
        <stp>BDP|9312851161810984684|22</stp>
        <stp>IMTX US Equity</stp>
        <stp>LAST_PRICE</stp>
        <tr r="AD729" s="1"/>
        <tr r="AD729" s="1"/>
      </tp>
      <tp>
        <v>2.38</v>
        <stp/>
        <stp>BDP|8574048034853366504|22</stp>
        <stp>ENTX US Equity</stp>
        <stp>LAST_PRICE</stp>
        <tr r="AD564" s="1"/>
        <tr r="AD564" s="1"/>
      </tp>
      <tp>
        <v>3.49</v>
        <stp/>
        <stp>BDP|6900931892187998017|22</stp>
        <stp>KPRX US Equity</stp>
        <stp>LAST_PRICE</stp>
        <tr r="AD837" s="1"/>
        <tr r="AD837" s="1"/>
      </tp>
      <tp>
        <v>15.05</v>
        <stp/>
        <stp>BDP|7025720852488132431|22</stp>
        <stp>CAPR US Equity</stp>
        <stp>LAST_PRICE</stp>
        <tr r="AD338" s="1"/>
        <tr r="AD338" s="1"/>
      </tp>
      <tp>
        <v>3.2070000000000001E-2</v>
        <stp/>
        <stp>BDP|8634165351853697734|22</stp>
        <stp>CRVW US Equity</stp>
        <stp>LAST_PRICE</stp>
        <tr r="AD356" s="1"/>
        <tr r="AD356" s="1"/>
      </tp>
      <tp>
        <v>5.0000000000000001E-4</v>
        <stp/>
        <stp>BDP|4247011110551677246|22</stp>
        <stp>GRST US Equity</stp>
        <stp>LAST_PRICE</stp>
        <tr r="AD583" s="1"/>
        <tr r="AD583" s="1"/>
      </tp>
      <tp t="s">
        <v>#N/A N/A</v>
        <stp/>
        <stp>BDP|5037450135159512642|22</stp>
        <stp>MTST US Equity</stp>
        <stp>LAST_PRICE</stp>
        <tr r="AD948" s="1"/>
      </tp>
      <tp>
        <v>1.72</v>
        <stp/>
        <stp>BDP|3186449873909208048|22</stp>
        <stp>CERS US Equity</stp>
        <stp>LAST_PRICE</stp>
        <tr r="AD383" s="1"/>
        <tr r="AD383" s="1"/>
      </tp>
      <tp>
        <v>8.9999999999999993E-3</v>
        <stp/>
        <stp>BDP|7587078989627943581|22</stp>
        <stp>NMXS US Equity</stp>
        <stp>LAST_PRICE</stp>
        <tr r="AD1016" s="1"/>
        <tr r="AD1016" s="1"/>
      </tp>
      <tp>
        <v>7.68</v>
        <stp/>
        <stp>BDP|6603428685534554820|22</stp>
        <stp>AVTX US Equity</stp>
        <stp>LAST_PRICE</stp>
        <tr r="AD204" s="1"/>
        <tr r="AD204" s="1"/>
      </tp>
      <tp>
        <v>1.28</v>
        <stp/>
        <stp>BDP|9028617117748390645|22</stp>
        <stp>PDSB US Equity</stp>
        <stp>LAST_PRICE</stp>
        <tr r="AD1143" s="1"/>
        <tr r="AD1143" s="1"/>
      </tp>
      <tp>
        <v>8.5425000000000001E-2</v>
        <stp/>
        <stp>BDP|8770547693288546732|22</stp>
        <stp>CTTH US Equity</stp>
        <stp>LAST_PRICE</stp>
        <tr r="AD463" s="1"/>
        <tr r="AD463" s="1"/>
      </tp>
      <tp>
        <v>1.86</v>
        <stp/>
        <stp>BDP|3172773916362838898|22</stp>
        <stp>EDSA US Equity</stp>
        <stp>LAST_PRICE</stp>
        <tr r="AD532" s="1"/>
        <tr r="AD532" s="1"/>
      </tp>
      <tp>
        <v>2.75</v>
        <stp/>
        <stp>BDP|7299506761645360204|22</stp>
        <stp>SVRA US Equity</stp>
        <stp>LAST_PRICE</stp>
        <tr r="AD1312" s="1"/>
        <tr r="AD1312" s="1"/>
      </tp>
      <tp>
        <v>9.9999999999999995E-7</v>
        <stp/>
        <stp>BDP|7515137339533432109|22</stp>
        <stp>ARYC US Equity</stp>
        <stp>LAST_PRICE</stp>
        <tr r="AD168" s="1"/>
        <tr r="AD168" s="1"/>
      </tp>
      <tp>
        <v>11.97</v>
        <stp/>
        <stp>BDP|5001762800061101060|22</stp>
        <stp>GLSI US Equity</stp>
        <stp>LAST_PRICE</stp>
        <tr r="AD664" s="1"/>
        <tr r="AD664" s="1"/>
      </tp>
      <tp>
        <v>0.2</v>
        <stp/>
        <stp>BDP|9515253107167341549|22</stp>
        <stp>DTRK US Equity</stp>
        <stp>LAST_PRICE</stp>
        <tr r="AD489" s="1"/>
        <tr r="AD489" s="1"/>
      </tp>
      <tp>
        <v>1.1571</v>
        <stp/>
        <stp>BDP|4597207984822695362|22</stp>
        <stp>NRSN US Equity</stp>
        <stp>LAST_PRICE</stp>
        <tr r="AD1031" s="1"/>
        <tr r="AD1031" s="1"/>
      </tp>
      <tp>
        <v>0.60960000000000003</v>
        <stp/>
        <stp>BDP|2197937367387381675|22</stp>
        <stp>PCSA US Equity</stp>
        <stp>LAST_PRICE</stp>
        <tr r="AD1196" s="1"/>
        <tr r="AD1196" s="1"/>
      </tp>
      <tp>
        <v>172</v>
        <stp/>
        <stp>BDP|15391436807821802389|22</stp>
        <stp>DVA US Equity</stp>
        <stp>LAST_PRICE</stp>
        <tr r="AD490" s="1"/>
        <tr r="AD490" s="1"/>
      </tp>
      <tp>
        <v>0.98970000000000002</v>
        <stp/>
        <stp>BDP|14938160623472474431|22</stp>
        <stp>PTN US Equity</stp>
        <stp>LAST_PRICE</stp>
        <tr r="AD1128" s="1"/>
        <tr r="AD1128" s="1"/>
      </tp>
      <tp t="s">
        <v>#N/A Requesting Data...4179597621</v>
        <stp/>
        <stp>BDP|1068881503870720964</stp>
        <tr r="Z1579" s="1"/>
        <tr r="Z1579" s="1"/>
      </tp>
      <tp t="s">
        <v>#N/A Requesting Data...3301380284</v>
        <stp/>
        <stp>BDP|6728184190946446812</stp>
        <tr r="AC531" s="1"/>
        <tr r="AC531" s="1"/>
      </tp>
      <tp t="s">
        <v>#N/A Requesting Data...4042846969</v>
        <stp/>
        <stp>BDP|6013293256813005250</stp>
        <tr r="AC1153" s="1"/>
        <tr r="AC1153" s="1"/>
      </tp>
      <tp t="s">
        <v>#N/A Requesting Data...3422594549</v>
        <stp/>
        <stp>BDP|2115511465190994162</stp>
        <tr r="AA1584" s="1"/>
        <tr r="AA1584" s="1"/>
      </tp>
      <tp t="s">
        <v>#N/A Requesting Data...4217235822</v>
        <stp/>
        <stp>BDP|7804608952786065205</stp>
        <tr r="Y999" s="1"/>
        <tr r="Y999" s="1"/>
      </tp>
      <tp t="s">
        <v>#N/A Requesting Data...3223893881</v>
        <stp/>
        <stp>BDP|7836454734866104620</stp>
        <tr r="Z198" s="1"/>
        <tr r="Z198" s="1"/>
      </tp>
      <tp t="s">
        <v>#N/A Requesting Data...3405839069</v>
        <stp/>
        <stp>BDP|1578781969143919377</stp>
        <tr r="Z397" s="1"/>
        <tr r="Z397" s="1"/>
      </tp>
      <tp t="s">
        <v>#N/A Requesting Data...3472608532</v>
        <stp/>
        <stp>BDP|1276906605371578984</stp>
        <tr r="AA418" s="1"/>
        <tr r="AA418" s="1"/>
      </tp>
      <tp t="s">
        <v>#N/A Requesting Data...3951853484</v>
        <stp/>
        <stp>BDP|4715878268579194335</stp>
        <tr r="AB187" s="1"/>
        <tr r="AB187" s="1"/>
      </tp>
      <tp t="s">
        <v>#N/A Requesting Data...3381637867</v>
        <stp/>
        <stp>BDP|6170668929143781135</stp>
        <tr r="Y1086" s="1"/>
        <tr r="Y1086" s="1"/>
      </tp>
      <tp t="s">
        <v>#N/A Requesting Data...3814345537</v>
        <stp/>
        <stp>BDP|5191355969966090679</stp>
        <tr r="AC876" s="1"/>
        <tr r="AC876" s="1"/>
      </tp>
      <tp t="s">
        <v>#N/A Requesting Data...3359186352</v>
        <stp/>
        <stp>BDP|7206340824370865601</stp>
        <tr r="AA446" s="1"/>
        <tr r="AA446" s="1"/>
      </tp>
      <tp t="s">
        <v>#N/A Requesting Data...3679318951</v>
        <stp/>
        <stp>BDP|3353711655542922345</stp>
        <tr r="AA1142" s="1"/>
        <tr r="AA1142" s="1"/>
      </tp>
      <tp t="s">
        <v>#N/A Requesting Data...4117214002</v>
        <stp/>
        <stp>BDP|1998078291350226876</stp>
        <tr r="AC22" s="1"/>
        <tr r="AC22" s="1"/>
      </tp>
      <tp t="s">
        <v>#N/A Requesting Data...4125616680</v>
        <stp/>
        <stp>BDP|3811059507420331326</stp>
        <tr r="AA891" s="1"/>
        <tr r="AA891" s="1"/>
      </tp>
      <tp t="s">
        <v>#N/A Requesting Data...3328166530</v>
        <stp/>
        <stp>BDP|8789957937791658384</stp>
        <tr r="AA340" s="1"/>
        <tr r="AA340" s="1"/>
      </tp>
      <tp t="s">
        <v>#N/A Requesting Data...3695547078</v>
        <stp/>
        <stp>BDP|7564091916923558543</stp>
        <tr r="AC852" s="1"/>
        <tr r="AC852" s="1"/>
      </tp>
      <tp t="s">
        <v>#N/A Requesting Data...3982150858</v>
        <stp/>
        <stp>BDP|7575288473690460217</stp>
        <tr r="AA77" s="1"/>
        <tr r="AA77" s="1"/>
      </tp>
      <tp t="s">
        <v>#N/A Requesting Data...3469726015</v>
        <stp/>
        <stp>BDP|4330478578030105767</stp>
        <tr r="Z1039" s="1"/>
        <tr r="Z1039" s="1"/>
      </tp>
      <tp t="s">
        <v>#N/A Requesting Data...4111448632</v>
        <stp/>
        <stp>BDP|6571021664871108191</stp>
        <tr r="AC503" s="1"/>
        <tr r="AC503" s="1"/>
      </tp>
      <tp t="s">
        <v>#N/A Requesting Data...3916203193</v>
        <stp/>
        <stp>BDP|7859659602227366677</stp>
        <tr r="Y1073" s="1"/>
        <tr r="Y1073" s="1"/>
      </tp>
      <tp t="s">
        <v>#N/A Requesting Data...4293898302</v>
        <stp/>
        <stp>BDP|8137478996703815633</stp>
        <tr r="AB203" s="1"/>
        <tr r="AB203" s="1"/>
      </tp>
      <tp t="s">
        <v>#N/A Requesting Data...3663327131</v>
        <stp/>
        <stp>BDP|2459410099197409834</stp>
        <tr r="Y1555" s="1"/>
        <tr r="Y1555" s="1"/>
      </tp>
      <tp t="s">
        <v>#N/A Requesting Data...3444494116</v>
        <stp/>
        <stp>BDP|3654298965526885193</stp>
        <tr r="AA1208" s="1"/>
        <tr r="AA1208" s="1"/>
      </tp>
      <tp t="s">
        <v>#N/A Requesting Data...3557249899</v>
        <stp/>
        <stp>BDP|5726927575602901927</stp>
        <tr r="AB324" s="1"/>
      </tp>
      <tp t="s">
        <v>#N/A Requesting Data...4147747882</v>
        <stp/>
        <stp>BDP|3834565824334735062</stp>
        <tr r="AA27" s="1"/>
        <tr r="AA27" s="1"/>
      </tp>
      <tp t="s">
        <v>#N/A Requesting Data...4115364890</v>
        <stp/>
        <stp>BDP|5991745831576479738</stp>
        <tr r="AB320" s="1"/>
        <tr r="AB320" s="1"/>
      </tp>
      <tp t="s">
        <v>#N/A Requesting Data...3631827084</v>
        <stp/>
        <stp>BDP|4867323284067584834</stp>
        <tr r="AB1567" s="1"/>
        <tr r="AB1567" s="1"/>
      </tp>
      <tp t="s">
        <v>#N/A Requesting Data...4294924766</v>
        <stp/>
        <stp>BDP|5055709069533355724</stp>
        <tr r="AA1070" s="1"/>
        <tr r="AA1070" s="1"/>
      </tp>
      <tp t="s">
        <v>#N/A Requesting Data...3639586489</v>
        <stp/>
        <stp>BDP|3578532038410395550</stp>
        <tr r="Y1583" s="1"/>
      </tp>
      <tp t="s">
        <v>#N/A Requesting Data...3984235221</v>
        <stp/>
        <stp>BDP|6203172628206347368</stp>
        <tr r="Z858" s="1"/>
        <tr r="Z858" s="1"/>
      </tp>
      <tp t="s">
        <v>#N/A Requesting Data...3592246830</v>
        <stp/>
        <stp>BDP|6099088712090174739</stp>
        <tr r="AB923" s="1"/>
        <tr r="AB923" s="1"/>
      </tp>
      <tp t="s">
        <v>#N/A Requesting Data...3237436315</v>
        <stp/>
        <stp>BDP|4963607475660064541</stp>
        <tr r="Y485" s="1"/>
        <tr r="Y485" s="1"/>
      </tp>
      <tp t="s">
        <v>#N/A Requesting Data...4254582958</v>
        <stp/>
        <stp>BDP|6775074609831587743</stp>
        <tr r="Z961" s="1"/>
        <tr r="Z961" s="1"/>
      </tp>
      <tp t="s">
        <v>#N/A Requesting Data...3496658506</v>
        <stp/>
        <stp>BDP|2261550234537811331</stp>
        <tr r="AA1279" s="1"/>
        <tr r="AA1279" s="1"/>
      </tp>
      <tp t="s">
        <v>#N/A Requesting Data...3406241675</v>
        <stp/>
        <stp>BDP|2838337015659645905</stp>
        <tr r="Y89" s="1"/>
        <tr r="Y89" s="1"/>
      </tp>
      <tp t="s">
        <v>#N/A Requesting Data...3253993461</v>
        <stp/>
        <stp>BDP|4661149803025882012</stp>
        <tr r="Y622" s="1"/>
        <tr r="Y622" s="1"/>
      </tp>
      <tp t="s">
        <v>#N/A Requesting Data...4134844693</v>
        <stp/>
        <stp>BDP|5864705061150374421</stp>
        <tr r="AA1617" s="1"/>
        <tr r="AA1617" s="1"/>
      </tp>
      <tp t="s">
        <v>#N/A Requesting Data...3993647867</v>
        <stp/>
        <stp>BDP|4036301230331053582</stp>
        <tr r="AC1078" s="1"/>
        <tr r="AC1078" s="1"/>
      </tp>
      <tp t="s">
        <v>#N/A Requesting Data...3755208187</v>
        <stp/>
        <stp>BDP|9375472586727303294</stp>
        <tr r="AB674" s="1"/>
        <tr r="AB674" s="1"/>
      </tp>
      <tp t="s">
        <v>#N/A Requesting Data...4094158528</v>
        <stp/>
        <stp>BDP|7319156930651910469</stp>
        <tr r="Y702" s="1"/>
        <tr r="Y702" s="1"/>
      </tp>
      <tp t="s">
        <v>#N/A Requesting Data...3525792207</v>
        <stp/>
        <stp>BDP|7268221868755005618</stp>
        <tr r="AC426" s="1"/>
        <tr r="AC426" s="1"/>
      </tp>
      <tp t="s">
        <v>#N/A Requesting Data...4220159237</v>
        <stp/>
        <stp>BDP|1420670228961648447</stp>
        <tr r="Y1466" s="1"/>
        <tr r="Y1466" s="1"/>
      </tp>
      <tp t="s">
        <v>#N/A Requesting Data...3930814678</v>
        <stp/>
        <stp>BDP|2053397568886800102</stp>
        <tr r="AA1352" s="1"/>
        <tr r="AA1352" s="1"/>
      </tp>
      <tp t="s">
        <v>#N/A Requesting Data...3497645384</v>
        <stp/>
        <stp>BDP|5233185434947750001</stp>
        <tr r="Y814" s="1"/>
        <tr r="Y814" s="1"/>
      </tp>
      <tp t="s">
        <v>#N/A Requesting Data...3705894062</v>
        <stp/>
        <stp>BDP|1954527195005666819</stp>
        <tr r="Z787" s="1"/>
        <tr r="Z787" s="1"/>
      </tp>
      <tp t="s">
        <v>#N/A Requesting Data...3509455405</v>
        <stp/>
        <stp>BDP|5094490618109871902</stp>
        <tr r="AB1142" s="1"/>
        <tr r="AB1142" s="1"/>
      </tp>
      <tp t="s">
        <v>#N/A Requesting Data...3414750211</v>
        <stp/>
        <stp>BDP|4000631799829508264</stp>
        <tr r="Y985" s="1"/>
        <tr r="Y985" s="1"/>
      </tp>
      <tp t="s">
        <v>#N/A Requesting Data...3514865982</v>
        <stp/>
        <stp>BDP|1525371047000440689</stp>
        <tr r="Y431" s="1"/>
        <tr r="Y431" s="1"/>
      </tp>
      <tp t="s">
        <v>#N/A Requesting Data...3589031939</v>
        <stp/>
        <stp>BDP|2013799881859069418</stp>
        <tr r="Z1538" s="1"/>
        <tr r="Z1538" s="1"/>
      </tp>
      <tp t="s">
        <v>#N/A Requesting Data...3977698396</v>
        <stp/>
        <stp>BDP|5129634262995022093</stp>
        <tr r="AB1462" s="1"/>
        <tr r="AB1462" s="1"/>
      </tp>
      <tp t="s">
        <v>#N/A Requesting Data...3338786867</v>
        <stp/>
        <stp>BDP|5566314969989688922</stp>
        <tr r="Z619" s="1"/>
        <tr r="Z619" s="1"/>
      </tp>
      <tp t="s">
        <v>#N/A Requesting Data...4210324215</v>
        <stp/>
        <stp>BDP|5975065336720355633</stp>
        <tr r="AB1501" s="1"/>
        <tr r="AB1501" s="1"/>
      </tp>
      <tp t="s">
        <v>#N/A Requesting Data...3682984491</v>
        <stp/>
        <stp>BDP|7352752341457607381</stp>
        <tr r="Y671" s="1"/>
        <tr r="Y671" s="1"/>
      </tp>
      <tp t="s">
        <v>#N/A Requesting Data...4141110495</v>
        <stp/>
        <stp>BDP|1474941164726445890</stp>
        <tr r="AA65" s="1"/>
        <tr r="AA65" s="1"/>
      </tp>
      <tp t="s">
        <v>#N/A Requesting Data...3618663536</v>
        <stp/>
        <stp>BDP|2041566778223324346</stp>
        <tr r="AC241" s="1"/>
        <tr r="AC241" s="1"/>
      </tp>
      <tp t="s">
        <v>#N/A Requesting Data...4040041557</v>
        <stp/>
        <stp>BDP|4542881721829395760</stp>
        <tr r="AC1464" s="1"/>
        <tr r="AC1464" s="1"/>
      </tp>
      <tp t="s">
        <v>#N/A Requesting Data...3383474486</v>
        <stp/>
        <stp>BDP|8488209067299968531</stp>
        <tr r="AC1458" s="1"/>
      </tp>
      <tp t="s">
        <v>#N/A Requesting Data...4275925713</v>
        <stp/>
        <stp>BDP|4950736141011774652</stp>
        <tr r="AA988" s="1"/>
        <tr r="AA988" s="1"/>
      </tp>
      <tp t="s">
        <v>#N/A Requesting Data...4222650539</v>
        <stp/>
        <stp>BDP|6692331919493123733</stp>
        <tr r="AC609" s="1"/>
        <tr r="AC609" s="1"/>
      </tp>
      <tp t="s">
        <v>#N/A Requesting Data...4053409558</v>
        <stp/>
        <stp>BDP|9618145968969222760</stp>
        <tr r="Z324" s="1"/>
        <tr r="Z324" s="1"/>
      </tp>
      <tp t="s">
        <v>#N/A Requesting Data...3719687363</v>
        <stp/>
        <stp>BDP|9403574288841116542</stp>
        <tr r="Z1159" s="1"/>
        <tr r="Z1159" s="1"/>
      </tp>
      <tp t="s">
        <v>#N/A Requesting Data...3392134339</v>
        <stp/>
        <stp>BDP|2181389847151986497</stp>
        <tr r="Y1218" s="1"/>
        <tr r="Y1218" s="1"/>
      </tp>
      <tp t="s">
        <v>#N/A Requesting Data...3426284927</v>
        <stp/>
        <stp>BDP|7364044248762865192</stp>
        <tr r="AC1084" s="1"/>
        <tr r="AC1084" s="1"/>
      </tp>
      <tp t="s">
        <v>#N/A Requesting Data...3565274586</v>
        <stp/>
        <stp>BDP|3453786158067902632</stp>
        <tr r="Z935" s="1"/>
        <tr r="Z935" s="1"/>
      </tp>
      <tp t="s">
        <v>#N/A Requesting Data...3606028224</v>
        <stp/>
        <stp>BDP|1143266358006568046</stp>
        <tr r="AB350" s="1"/>
        <tr r="AB350" s="1"/>
      </tp>
      <tp t="s">
        <v>#N/A Requesting Data...4294488514</v>
        <stp/>
        <stp>BDP|8743170638689621304</stp>
        <tr r="Z147" s="1"/>
        <tr r="Z147" s="1"/>
      </tp>
      <tp t="s">
        <v>#N/A Requesting Data...3336566266</v>
        <stp/>
        <stp>BDP|8326780539758932451</stp>
        <tr r="AA1121" s="1"/>
        <tr r="AA1121" s="1"/>
      </tp>
      <tp t="s">
        <v>#N/A Requesting Data...3849530306</v>
        <stp/>
        <stp>BDP|4312684460444433015</stp>
        <tr r="AC482" s="1"/>
        <tr r="AC482" s="1"/>
      </tp>
      <tp t="s">
        <v>#N/A Requesting Data...4286339902</v>
        <stp/>
        <stp>BDP|8079873460257864117</stp>
        <tr r="AC865" s="1"/>
        <tr r="AC865" s="1"/>
      </tp>
      <tp t="s">
        <v>#N/A Requesting Data...3574554756</v>
        <stp/>
        <stp>BDP|9209341122700373896</stp>
        <tr r="AA1508" s="1"/>
        <tr r="AA1508" s="1"/>
      </tp>
      <tp t="s">
        <v>#N/A Requesting Data...3958242505</v>
        <stp/>
        <stp>BDP|1422680776108204878</stp>
        <tr r="AC1571" s="1"/>
        <tr r="AC1571" s="1"/>
      </tp>
      <tp t="s">
        <v>#N/A Requesting Data...4139747575</v>
        <stp/>
        <stp>BDP|2875882456098869718</stp>
        <tr r="AC1339" s="1"/>
        <tr r="AC1339" s="1"/>
      </tp>
      <tp t="s">
        <v>#N/A Requesting Data...4283852409</v>
        <stp/>
        <stp>BDP|8563241419448185367</stp>
        <tr r="AC750" s="1"/>
        <tr r="AC750" s="1"/>
      </tp>
      <tp t="s">
        <v>#N/A Requesting Data...3618267845</v>
        <stp/>
        <stp>BDP|8869841984950357847</stp>
        <tr r="Y1249" s="1"/>
        <tr r="Y1249" s="1"/>
      </tp>
      <tp t="s">
        <v>#N/A Requesting Data...3908954267</v>
        <stp/>
        <stp>BDP|6833207015317196231</stp>
        <tr r="Z1235" s="1"/>
        <tr r="Z1235" s="1"/>
      </tp>
      <tp t="s">
        <v>#N/A Requesting Data...3694181162</v>
        <stp/>
        <stp>BDP|3676982934818010153</stp>
        <tr r="Z365" s="1"/>
        <tr r="Z365" s="1"/>
      </tp>
      <tp t="s">
        <v>#N/A Requesting Data...3848255771</v>
        <stp/>
        <stp>BDP|2238600163440889261</stp>
        <tr r="AC1192" s="1"/>
        <tr r="AC1192" s="1"/>
      </tp>
      <tp t="s">
        <v>#N/A Requesting Data...3619308088</v>
        <stp/>
        <stp>BDP|5290374022515867100</stp>
        <tr r="Y874" s="1"/>
        <tr r="Y874" s="1"/>
      </tp>
      <tp t="s">
        <v>#N/A Requesting Data...4041867438</v>
        <stp/>
        <stp>BDP|5199985771608443330</stp>
        <tr r="AA643" s="1"/>
      </tp>
      <tp t="s">
        <v>#N/A Requesting Data...3996118782</v>
        <stp/>
        <stp>BDP|6368317432562918465</stp>
        <tr r="AC411" s="1"/>
        <tr r="AC411" s="1"/>
      </tp>
      <tp t="s">
        <v>#N/A Requesting Data...3677123498</v>
        <stp/>
        <stp>BDP|2818896929251337944</stp>
        <tr r="AC236" s="1"/>
        <tr r="AC236" s="1"/>
      </tp>
      <tp t="s">
        <v>#N/A Requesting Data...3809776139</v>
        <stp/>
        <stp>BDP|4852634694363370830</stp>
        <tr r="AA1459" s="1"/>
        <tr r="AA1459" s="1"/>
      </tp>
      <tp t="s">
        <v>#N/A Requesting Data...4219130657</v>
        <stp/>
        <stp>BDP|6636493352331237604</stp>
        <tr r="AC1300" s="1"/>
        <tr r="AC1300" s="1"/>
      </tp>
      <tp t="s">
        <v>#N/A Requesting Data...3305252062</v>
        <stp/>
        <stp>BDP|1985439127242034527</stp>
        <tr r="Y975" s="1"/>
        <tr r="Y975" s="1"/>
      </tp>
      <tp t="s">
        <v>#N/A Requesting Data...4219195219</v>
        <stp/>
        <stp>BDP|6176384611353469731</stp>
        <tr r="AA589" s="1"/>
        <tr r="AA589" s="1"/>
      </tp>
      <tp t="s">
        <v>#N/A Requesting Data...3320378211</v>
        <stp/>
        <stp>BDP|7953087860175652481</stp>
        <tr r="AB222" s="1"/>
        <tr r="AB222" s="1"/>
      </tp>
      <tp t="s">
        <v>#N/A Requesting Data...3712500457</v>
        <stp/>
        <stp>BDP|8439890122313347132</stp>
        <tr r="AB372" s="1"/>
        <tr r="AB372" s="1"/>
      </tp>
      <tp t="s">
        <v>#N/A Requesting Data...3850703881</v>
        <stp/>
        <stp>BDP|1163502837961926609</stp>
        <tr r="AB1494" s="1"/>
        <tr r="AB1494" s="1"/>
      </tp>
      <tp t="s">
        <v>#N/A Requesting Data...4144801938</v>
        <stp/>
        <stp>BDP|6444380642340190137</stp>
        <tr r="AA967" s="1"/>
        <tr r="AA967" s="1"/>
      </tp>
      <tp t="s">
        <v>#N/A Requesting Data...4168003564</v>
        <stp/>
        <stp>BDP|7692957131314968973</stp>
        <tr r="AC235" s="1"/>
        <tr r="AC235" s="1"/>
      </tp>
      <tp t="s">
        <v>#N/A Requesting Data...3494871709</v>
        <stp/>
        <stp>BDP|5523468501093986279</stp>
        <tr r="AA1207" s="1"/>
        <tr r="AA1207" s="1"/>
      </tp>
      <tp t="s">
        <v>#N/A Requesting Data...3849832427</v>
        <stp/>
        <stp>BDP|1833962907909220171</stp>
        <tr r="AB835" s="1"/>
        <tr r="AB835" s="1"/>
      </tp>
      <tp t="s">
        <v>#N/A Requesting Data...3495511283</v>
        <stp/>
        <stp>BDP|6399083679664654583</stp>
        <tr r="Y1083" s="1"/>
        <tr r="Y1083" s="1"/>
      </tp>
      <tp t="s">
        <v>#N/A Requesting Data...4253416971</v>
        <stp/>
        <stp>BDP|6595305871466946411</stp>
        <tr r="AC938" s="1"/>
        <tr r="AC938" s="1"/>
      </tp>
      <tp t="s">
        <v>#N/A Requesting Data...3353294922</v>
        <stp/>
        <stp>BDP|2565280436010507329</stp>
        <tr r="AB1512" s="1"/>
      </tp>
      <tp t="s">
        <v>#N/A Requesting Data...3507716673</v>
        <stp/>
        <stp>BDP|6366285372595131645</stp>
        <tr r="AB1382" s="1"/>
        <tr r="AB1382" s="1"/>
      </tp>
      <tp t="s">
        <v>#N/A Requesting Data...3629623972</v>
        <stp/>
        <stp>BDP|5204619352827936141</stp>
        <tr r="Y359" s="1"/>
        <tr r="Y359" s="1"/>
      </tp>
      <tp t="s">
        <v>#N/A Requesting Data...3873443004</v>
        <stp/>
        <stp>BDP|1172293223353372242</stp>
        <tr r="AB147" s="1"/>
        <tr r="AB147" s="1"/>
      </tp>
      <tp t="s">
        <v>#N/A Requesting Data...3595865689</v>
        <stp/>
        <stp>BDP|1443193282631563963</stp>
        <tr r="Y85" s="1"/>
        <tr r="Y85" s="1"/>
      </tp>
      <tp t="s">
        <v>#N/A Requesting Data...3866125942</v>
        <stp/>
        <stp>BDP|7133536204221945335</stp>
        <tr r="Y150" s="1"/>
        <tr r="Y150" s="1"/>
      </tp>
      <tp>
        <v>173.88</v>
        <stp/>
        <stp>BDP|17792646525345814783|22</stp>
        <stp>ZTS US Equity</stp>
        <stp>LAST_PRICE</stp>
        <tr r="AD1616" s="1"/>
        <tr r="AD1616" s="1"/>
      </tp>
      <tp t="s">
        <v>#N/A Requesting Data...4271645489</v>
        <stp/>
        <stp>BDP|7006454639132850298</stp>
        <tr r="Z806" s="1"/>
      </tp>
      <tp t="s">
        <v>#N/A Requesting Data...3711029042</v>
        <stp/>
        <stp>BDP|8916588099882693630</stp>
        <tr r="AC248" s="1"/>
        <tr r="AC248" s="1"/>
      </tp>
      <tp t="s">
        <v>#N/A Requesting Data...3703168505</v>
        <stp/>
        <stp>BDP|1496179847227922308</stp>
        <tr r="Y745" s="1"/>
        <tr r="Y745" s="1"/>
      </tp>
      <tp t="s">
        <v>#N/A Requesting Data...4072487389</v>
        <stp/>
        <stp>BDP|3887704852148629915</stp>
        <tr r="Y1410" s="1"/>
        <tr r="Y1410" s="1"/>
      </tp>
      <tp t="s">
        <v>#N/A Requesting Data...3776259889</v>
        <stp/>
        <stp>BDP|1149604801883964443</stp>
        <tr r="AC934" s="1"/>
        <tr r="AC934" s="1"/>
      </tp>
      <tp t="s">
        <v>#N/A Requesting Data...3314473094</v>
        <stp/>
        <stp>BDP|1155154606998734886</stp>
        <tr r="Y146" s="1"/>
        <tr r="Y146" s="1"/>
      </tp>
      <tp t="s">
        <v>#N/A Requesting Data...3513125686</v>
        <stp/>
        <stp>BDP|6324342346580917159</stp>
        <tr r="Y1323" s="1"/>
        <tr r="Y1323" s="1"/>
      </tp>
      <tp t="s">
        <v>#N/A Requesting Data...4210436643</v>
        <stp/>
        <stp>BDP|4034668998438596369</stp>
        <tr r="Y1563" s="1"/>
        <tr r="Y1563" s="1"/>
      </tp>
      <tp t="s">
        <v>#N/A Requesting Data...3395257503</v>
        <stp/>
        <stp>BDP|3917123694899000229</stp>
        <tr r="AC968" s="1"/>
        <tr r="AC968" s="1"/>
      </tp>
      <tp t="s">
        <v>#N/A Requesting Data...3374936644</v>
        <stp/>
        <stp>BDP|2265655898279452466</stp>
        <tr r="AC572" s="1"/>
        <tr r="AC572" s="1"/>
      </tp>
      <tp t="s">
        <v>#N/A Requesting Data...4245589350</v>
        <stp/>
        <stp>BDP|5984688241356904144</stp>
        <tr r="Z415" s="1"/>
        <tr r="Z415" s="1"/>
      </tp>
      <tp t="s">
        <v>#N/A Requesting Data...3997183686</v>
        <stp/>
        <stp>BDP|3310765338267885089</stp>
        <tr r="Z989" s="1"/>
      </tp>
      <tp t="s">
        <v>#N/A Requesting Data...3979272213</v>
        <stp/>
        <stp>BDP|7513333331171967632</stp>
        <tr r="Y1439" s="1"/>
        <tr r="Y1439" s="1"/>
      </tp>
      <tp t="s">
        <v>#N/A Requesting Data...3771229647</v>
        <stp/>
        <stp>BDP|3720129111355522631</stp>
        <tr r="AC1249" s="1"/>
        <tr r="AC1249" s="1"/>
      </tp>
      <tp t="s">
        <v>#N/A Requesting Data...3553258468</v>
        <stp/>
        <stp>BDP|4039955286345060019</stp>
        <tr r="AA1604" s="1"/>
        <tr r="AA1604" s="1"/>
      </tp>
      <tp t="s">
        <v>#N/A Requesting Data...3482384570</v>
        <stp/>
        <stp>BDP|9216128907040775823</stp>
        <tr r="Z129" s="1"/>
      </tp>
      <tp t="s">
        <v>#N/A Requesting Data...4188219490</v>
        <stp/>
        <stp>BDP|3631748002171453563</stp>
        <tr r="AB374" s="1"/>
        <tr r="AB374" s="1"/>
      </tp>
      <tp t="s">
        <v>#N/A Requesting Data...4293601486</v>
        <stp/>
        <stp>BDP|1785235227223817290</stp>
        <tr r="AB1320" s="1"/>
        <tr r="AB1320" s="1"/>
      </tp>
      <tp t="s">
        <v>#N/A Requesting Data...3553222965</v>
        <stp/>
        <stp>BDP|2177696679896142523</stp>
        <tr r="AA334" s="1"/>
        <tr r="AA334" s="1"/>
      </tp>
      <tp t="s">
        <v>#N/A Requesting Data...3552921481</v>
        <stp/>
        <stp>BDP|4761338737090615471</stp>
        <tr r="Z1239" s="1"/>
        <tr r="Z1239" s="1"/>
      </tp>
      <tp t="s">
        <v>#N/A Requesting Data...3280672622</v>
        <stp/>
        <stp>BDP|4177454280648365052</stp>
        <tr r="Y904" s="1"/>
        <tr r="Y904" s="1"/>
      </tp>
      <tp t="s">
        <v>#N/A Requesting Data...3612194441</v>
        <stp/>
        <stp>BDP|2708406793598439721</stp>
        <tr r="Z331" s="1"/>
        <tr r="Z331" s="1"/>
      </tp>
      <tp t="s">
        <v>#N/A Requesting Data...4269821721</v>
        <stp/>
        <stp>BDP|7923782358010355585</stp>
        <tr r="AC287" s="1"/>
        <tr r="AC287" s="1"/>
      </tp>
      <tp t="s">
        <v>#N/A Requesting Data...4099536671</v>
        <stp/>
        <stp>BDP|8338886265575888348</stp>
        <tr r="Y626" s="1"/>
        <tr r="Y626" s="1"/>
      </tp>
      <tp t="s">
        <v>#N/A Requesting Data...4057727404</v>
        <stp/>
        <stp>BDP|7022327662730151237</stp>
        <tr r="Y1384" s="1"/>
        <tr r="Y1384" s="1"/>
      </tp>
      <tp t="s">
        <v>#N/A Requesting Data...4291228515</v>
        <stp/>
        <stp>BDP|7626203450356142654</stp>
        <tr r="AA1056" s="1"/>
        <tr r="AA1056" s="1"/>
      </tp>
      <tp t="s">
        <v>#N/A Requesting Data...3576145877</v>
        <stp/>
        <stp>BDP|3949918880550296282</stp>
        <tr r="AA1616" s="1"/>
        <tr r="AA1616" s="1"/>
      </tp>
      <tp t="s">
        <v>#N/A Requesting Data...3851666865</v>
        <stp/>
        <stp>BDP|6356161915035724354</stp>
        <tr r="Y1150" s="1"/>
        <tr r="Y1150" s="1"/>
      </tp>
      <tp t="s">
        <v>#N/A Requesting Data...4099158334</v>
        <stp/>
        <stp>BDP|5563664022044603557</stp>
        <tr r="AA980" s="1"/>
        <tr r="AA980" s="1"/>
      </tp>
      <tp t="s">
        <v>#N/A Requesting Data...3683051898</v>
        <stp/>
        <stp>BDP|8712145563227001823</stp>
        <tr r="AA449" s="1"/>
        <tr r="AA449" s="1"/>
      </tp>
      <tp t="s">
        <v>#N/A Requesting Data...3694449976</v>
        <stp/>
        <stp>BDP|1977776341210852253</stp>
        <tr r="AC152" s="1"/>
        <tr r="AC152" s="1"/>
      </tp>
      <tp t="s">
        <v>#N/A Requesting Data...4247074727</v>
        <stp/>
        <stp>BDP|7157811586097735032</stp>
        <tr r="AB360" s="1"/>
        <tr r="AB360" s="1"/>
      </tp>
      <tp t="s">
        <v>#N/A Requesting Data...3616441171</v>
        <stp/>
        <stp>BDP|2051011377613209667</stp>
        <tr r="Y1296" s="1"/>
        <tr r="Y1296" s="1"/>
      </tp>
      <tp t="s">
        <v>#N/A Requesting Data...4162370138</v>
        <stp/>
        <stp>BDP|7845455588333761800</stp>
        <tr r="AB570" s="1"/>
        <tr r="AB570" s="1"/>
      </tp>
      <tp t="s">
        <v>#N/A Requesting Data...4020283540</v>
        <stp/>
        <stp>BDP|9127876265790044713</stp>
        <tr r="AB527" s="1"/>
        <tr r="AB527" s="1"/>
      </tp>
      <tp t="s">
        <v>#N/A Requesting Data...3665125360</v>
        <stp/>
        <stp>BDP|2981695263062436059</stp>
        <tr r="AC1096" s="1"/>
        <tr r="AC1096" s="1"/>
      </tp>
      <tp t="s">
        <v>#N/A Requesting Data...4246184988</v>
        <stp/>
        <stp>BDP|6445013940351532320</stp>
        <tr r="Z1200" s="1"/>
        <tr r="Z1200" s="1"/>
      </tp>
      <tp t="s">
        <v>#N/A Requesting Data...4001274545</v>
        <stp/>
        <stp>BDP|1846335615973993057</stp>
        <tr r="AC963" s="1"/>
        <tr r="AC963" s="1"/>
      </tp>
      <tp t="s">
        <v>#N/A Requesting Data...3878917086</v>
        <stp/>
        <stp>BDP|2081268217664142524</stp>
        <tr r="AA832" s="1"/>
        <tr r="AA832" s="1"/>
      </tp>
      <tp t="s">
        <v>#N/A Requesting Data...3603854096</v>
        <stp/>
        <stp>BDP|3295453261688290963</stp>
        <tr r="AA1583" s="1"/>
      </tp>
      <tp t="s">
        <v>#N/A Requesting Data...3942019789</v>
        <stp/>
        <stp>BDP|3832786174070295355</stp>
        <tr r="Z803" s="1"/>
        <tr r="Z803" s="1"/>
      </tp>
      <tp t="s">
        <v>#N/A Requesting Data...4157664721</v>
        <stp/>
        <stp>BDP|6490923935205686969</stp>
        <tr r="AC1560" s="1"/>
        <tr r="AC1560" s="1"/>
      </tp>
      <tp t="s">
        <v>#N/A Requesting Data...3761592811</v>
        <stp/>
        <stp>BDP|2632041800073682172</stp>
        <tr r="Y801" s="1"/>
        <tr r="Y801" s="1"/>
      </tp>
      <tp t="s">
        <v>#N/A Requesting Data...3556340556</v>
        <stp/>
        <stp>BDP|8516046493364481557</stp>
        <tr r="AC1253" s="1"/>
        <tr r="AC1253" s="1"/>
      </tp>
      <tp t="s">
        <v>#N/A Requesting Data...3317211624</v>
        <stp/>
        <stp>BDP|9683575435958696717</stp>
        <tr r="AB806" s="1"/>
      </tp>
      <tp t="s">
        <v>#N/A Requesting Data...3822614263</v>
        <stp/>
        <stp>BDP|5087226601157260024</stp>
        <tr r="Z1472" s="1"/>
        <tr r="Z1472" s="1"/>
      </tp>
      <tp t="s">
        <v>#N/A Requesting Data...3524337891</v>
        <stp/>
        <stp>BDP|9171549013288593508</stp>
        <tr r="AC56" s="1"/>
      </tp>
      <tp t="s">
        <v>#N/A Requesting Data...3855361009</v>
        <stp/>
        <stp>BDP|1393391635015560492</stp>
        <tr r="AB1172" s="1"/>
        <tr r="AB1172" s="1"/>
      </tp>
      <tp t="s">
        <v>#N/A Requesting Data...3338348550</v>
        <stp/>
        <stp>BDP|7147679895099110110</stp>
        <tr r="AA1327" s="1"/>
        <tr r="AA1327" s="1"/>
      </tp>
      <tp t="s">
        <v>#N/A Requesting Data...3925957183</v>
        <stp/>
        <stp>BDP|3344447410515392373</stp>
        <tr r="AB1329" s="1"/>
        <tr r="AB1329" s="1"/>
      </tp>
      <tp t="s">
        <v>#N/A Requesting Data...3904209040</v>
        <stp/>
        <stp>BDP|5354216300365687277</stp>
        <tr r="AC1132" s="1"/>
        <tr r="AC1132" s="1"/>
      </tp>
      <tp t="s">
        <v>#N/A Requesting Data...4256962920</v>
        <stp/>
        <stp>BDP|7466119160088488828</stp>
        <tr r="AB680" s="1"/>
        <tr r="AB680" s="1"/>
      </tp>
      <tp t="s">
        <v>#N/A Requesting Data...3796524143</v>
        <stp/>
        <stp>BDP|7110171035532026709</stp>
        <tr r="AA1490" s="1"/>
        <tr r="AA1490" s="1"/>
      </tp>
      <tp t="s">
        <v>#N/A Requesting Data...4178587689</v>
        <stp/>
        <stp>BDP|8247899608801553151</stp>
        <tr r="AB174" s="1"/>
        <tr r="AB174" s="1"/>
      </tp>
      <tp t="s">
        <v>#N/A Requesting Data...3917346645</v>
        <stp/>
        <stp>BDP|9312341544508935697</stp>
        <tr r="AA1288" s="1"/>
        <tr r="AA1288" s="1"/>
      </tp>
      <tp t="s">
        <v>#N/A Requesting Data...4052278273</v>
        <stp/>
        <stp>BDP|4248241074348804997</stp>
        <tr r="AA207" s="1"/>
        <tr r="AA207" s="1"/>
      </tp>
      <tp t="s">
        <v>#N/A Requesting Data...3548447697</v>
        <stp/>
        <stp>BDP|4045660571054670123</stp>
        <tr r="AC282" s="1"/>
        <tr r="AC282" s="1"/>
      </tp>
      <tp t="s">
        <v>#N/A Requesting Data...3662268218</v>
        <stp/>
        <stp>BDP|6895140378408281855</stp>
        <tr r="AB1502" s="1"/>
        <tr r="AB1502" s="1"/>
      </tp>
      <tp t="s">
        <v>#N/A Requesting Data...4037842255</v>
        <stp/>
        <stp>BDP|1703934597397330634</stp>
        <tr r="Z234" s="1"/>
        <tr r="Z234" s="1"/>
      </tp>
      <tp t="s">
        <v>#N/A Requesting Data...3454793178</v>
        <stp/>
        <stp>BDP|2668214791210691939</stp>
        <tr r="AC1476" s="1"/>
        <tr r="AC1476" s="1"/>
      </tp>
      <tp t="s">
        <v>#N/A Requesting Data...3886019082</v>
        <stp/>
        <stp>BDP|4776692046354357281</stp>
        <tr r="Z1035" s="1"/>
        <tr r="Z1035" s="1"/>
      </tp>
      <tp t="s">
        <v>#N/A Requesting Data...3791784270</v>
        <stp/>
        <stp>BDP|6156026541763157103</stp>
        <tr r="AC1180" s="1"/>
        <tr r="AC1180" s="1"/>
      </tp>
      <tp t="s">
        <v>#N/A Requesting Data...3357672429</v>
        <stp/>
        <stp>BDP|4192926967509705208</stp>
        <tr r="Z804" s="1"/>
        <tr r="Z804" s="1"/>
      </tp>
      <tp t="s">
        <v>#N/A Requesting Data...3431875787</v>
        <stp/>
        <stp>BDP|4264470493689221077</stp>
        <tr r="AA1202" s="1"/>
        <tr r="AA1202" s="1"/>
      </tp>
      <tp t="s">
        <v>#N/A Requesting Data...4006172931</v>
        <stp/>
        <stp>BDP|4819635190039989218</stp>
        <tr r="AC1159" s="1"/>
        <tr r="AC1159" s="1"/>
      </tp>
      <tp t="s">
        <v>#N/A Requesting Data...3427922035</v>
        <stp/>
        <stp>BDP|2186808093791655276</stp>
        <tr r="AB631" s="1"/>
        <tr r="AB631" s="1"/>
      </tp>
      <tp t="s">
        <v>#N/A Requesting Data...3545068338</v>
        <stp/>
        <stp>BDP|7225396502527818324</stp>
        <tr r="AA666" s="1"/>
        <tr r="AA666" s="1"/>
      </tp>
      <tp t="s">
        <v>#N/A Requesting Data...3945933713</v>
        <stp/>
        <stp>BDP|4341814580395763162</stp>
        <tr r="AC840" s="1"/>
      </tp>
      <tp t="s">
        <v>#N/A Requesting Data...3888673209</v>
        <stp/>
        <stp>BDP|3373462562652126368</stp>
        <tr r="Y119" s="1"/>
        <tr r="Y119" s="1"/>
      </tp>
      <tp t="s">
        <v>#N/A Requesting Data...4143039724</v>
        <stp/>
        <stp>BDP|5229205311992275410</stp>
        <tr r="AB800" s="1"/>
        <tr r="AB800" s="1"/>
      </tp>
      <tp t="s">
        <v>#N/A Requesting Data...4185508758</v>
        <stp/>
        <stp>BDP|3374454101862414532</stp>
        <tr r="Z817" s="1"/>
        <tr r="Z817" s="1"/>
      </tp>
      <tp t="s">
        <v>#N/A Requesting Data...3403451690</v>
        <stp/>
        <stp>BDP|6250057909846623080</stp>
        <tr r="Y1308" s="1"/>
        <tr r="Y1308" s="1"/>
      </tp>
      <tp t="s">
        <v>#N/A Requesting Data...4278706400</v>
        <stp/>
        <stp>BDP|8399305722848677179</stp>
        <tr r="AA253" s="1"/>
        <tr r="AA253" s="1"/>
      </tp>
      <tp t="s">
        <v>#N/A Requesting Data...3348048121</v>
        <stp/>
        <stp>BDP|8211409310318775551</stp>
        <tr r="AB274" s="1"/>
        <tr r="AB274" s="1"/>
      </tp>
      <tp t="s">
        <v>#N/A Requesting Data...4292282994</v>
        <stp/>
        <stp>BDP|5020143914703183612</stp>
        <tr r="AB8" s="1"/>
        <tr r="AB8" s="1"/>
      </tp>
      <tp t="s">
        <v>#N/A Requesting Data...3940180212</v>
        <stp/>
        <stp>BDP|9672058131113619943</stp>
        <tr r="AC210" s="1"/>
        <tr r="AC210" s="1"/>
      </tp>
      <tp t="s">
        <v>#N/A Requesting Data...4151756752</v>
        <stp/>
        <stp>BDP|5404398228274736026</stp>
        <tr r="Y496" s="1"/>
        <tr r="Y496" s="1"/>
      </tp>
      <tp t="s">
        <v>#N/A Requesting Data...4202406756</v>
        <stp/>
        <stp>BDP|4697365548764958711</stp>
        <tr r="AB496" s="1"/>
        <tr r="AB496" s="1"/>
      </tp>
      <tp t="s">
        <v>#N/A Requesting Data...3603981191</v>
        <stp/>
        <stp>BDP|4327570777384269216</stp>
        <tr r="Y393" s="1"/>
        <tr r="Y393" s="1"/>
      </tp>
      <tp t="s">
        <v>#N/A Requesting Data...3963235070</v>
        <stp/>
        <stp>BDP|2152046826211058135</stp>
        <tr r="Y643" s="1"/>
      </tp>
      <tp t="s">
        <v>#N/A Requesting Data...3748472434</v>
        <stp/>
        <stp>BDP|1124376232031369073</stp>
        <tr r="Z1120" s="1"/>
        <tr r="Z1120" s="1"/>
      </tp>
      <tp t="s">
        <v>#N/A Requesting Data...4138996832</v>
        <stp/>
        <stp>BDP|6672246536150019740</stp>
        <tr r="Z1216" s="1"/>
        <tr r="Z1216" s="1"/>
      </tp>
      <tp t="s">
        <v>#N/A Requesting Data...3834225040</v>
        <stp/>
        <stp>BDP|2183938904069635203</stp>
        <tr r="Z645" s="1"/>
        <tr r="Z645" s="1"/>
      </tp>
      <tp t="s">
        <v>#N/A Requesting Data...3556140753</v>
        <stp/>
        <stp>BDP|1016121288079399199</stp>
        <tr r="AA332" s="1"/>
        <tr r="AA332" s="1"/>
      </tp>
      <tp t="s">
        <v>#N/A Requesting Data...4223773458</v>
        <stp/>
        <stp>BDP|6078161312300513616</stp>
        <tr r="AB1295" s="1"/>
      </tp>
      <tp t="s">
        <v>#N/A Requesting Data...4039647295</v>
        <stp/>
        <stp>BDP|4134205401146664065</stp>
        <tr r="AA327" s="1"/>
        <tr r="AA327" s="1"/>
      </tp>
      <tp t="s">
        <v>#N/A Requesting Data...4119852485</v>
        <stp/>
        <stp>BDP|4543937955939068138</stp>
        <tr r="AA1374" s="1"/>
        <tr r="AA1374" s="1"/>
      </tp>
      <tp t="s">
        <v>#N/A Requesting Data...3415522718</v>
        <stp/>
        <stp>BDP|4761694049210410636</stp>
        <tr r="Y1265" s="1"/>
        <tr r="Y1265" s="1"/>
      </tp>
      <tp t="s">
        <v>#N/A Requesting Data...4260282641</v>
        <stp/>
        <stp>BDP|9455398980183987143</stp>
        <tr r="Y960" s="1"/>
        <tr r="Y960" s="1"/>
      </tp>
      <tp t="s">
        <v>#N/A Requesting Data...3800580864</v>
        <stp/>
        <stp>BDP|5452998259350027955</stp>
        <tr r="AB1411" s="1"/>
        <tr r="AB1411" s="1"/>
      </tp>
      <tp t="s">
        <v>#N/A Requesting Data...3543441011</v>
        <stp/>
        <stp>BDP|7381760837593246011</stp>
        <tr r="AA1340" s="1"/>
        <tr r="AA1340" s="1"/>
      </tp>
      <tp t="s">
        <v>#N/A Requesting Data...4064028726</v>
        <stp/>
        <stp>BDP|9607540496551102448</stp>
        <tr r="AC1591" s="1"/>
        <tr r="AC1591" s="1"/>
      </tp>
      <tp t="s">
        <v>#N/A Requesting Data...3596992123</v>
        <stp/>
        <stp>BDP|5983916666639833376</stp>
        <tr r="Z169" s="1"/>
        <tr r="Z169" s="1"/>
      </tp>
      <tp t="s">
        <v>#N/A Requesting Data...3524702548</v>
        <stp/>
        <stp>BDP|7902759836060950320</stp>
        <tr r="Y1581" s="1"/>
        <tr r="Y1581" s="1"/>
      </tp>
      <tp t="s">
        <v>#N/A Requesting Data...3904649656</v>
        <stp/>
        <stp>BDP|6599863430025575871</stp>
        <tr r="Y1263" s="1"/>
        <tr r="Y1263" s="1"/>
      </tp>
      <tp t="s">
        <v>#N/A Requesting Data...3804537606</v>
        <stp/>
        <stp>BDP|1096646165373741277</stp>
        <tr r="AB196" s="1"/>
        <tr r="AB196" s="1"/>
      </tp>
      <tp t="s">
        <v>#N/A Requesting Data...4275299712</v>
        <stp/>
        <stp>BDP|7999736978670336705</stp>
        <tr r="AB1101" s="1"/>
        <tr r="AB1101" s="1"/>
      </tp>
      <tp t="s">
        <v>#N/A Requesting Data...3483847711</v>
        <stp/>
        <stp>BDP|3237119274710439521</stp>
        <tr r="Z1269" s="1"/>
        <tr r="Z1269" s="1"/>
      </tp>
      <tp t="s">
        <v>#N/A Requesting Data...3660325225</v>
        <stp/>
        <stp>BDP|1615387968781022572</stp>
        <tr r="AB1035" s="1"/>
        <tr r="AB1035" s="1"/>
      </tp>
      <tp t="s">
        <v>#N/A Requesting Data...3845659812</v>
        <stp/>
        <stp>BDP|9951932509964370418</stp>
        <tr r="Y1505" s="1"/>
        <tr r="Y1505" s="1"/>
      </tp>
      <tp t="s">
        <v>#N/A Requesting Data...4042505126</v>
        <stp/>
        <stp>BDP|9536456535268006647</stp>
        <tr r="Y747" s="1"/>
        <tr r="Y747" s="1"/>
      </tp>
      <tp t="s">
        <v>#N/A Requesting Data...4219473969</v>
        <stp/>
        <stp>BDP|1643719674670610149</stp>
        <tr r="AA1034" s="1"/>
        <tr r="AA1034" s="1"/>
      </tp>
      <tp t="s">
        <v>#N/A Requesting Data...3776583986</v>
        <stp/>
        <stp>BDP|3327687464140607386</stp>
        <tr r="AA330" s="1"/>
        <tr r="AA330" s="1"/>
      </tp>
      <tp t="s">
        <v>#N/A Requesting Data...3641230748</v>
        <stp/>
        <stp>BDP|3059254486769321016</stp>
        <tr r="AB1392" s="1"/>
        <tr r="AB1392" s="1"/>
      </tp>
      <tp t="s">
        <v>#N/A Requesting Data...3546790393</v>
        <stp/>
        <stp>BDP|5899580155486603329</stp>
        <tr r="AA627" s="1"/>
        <tr r="AA627" s="1"/>
      </tp>
      <tp t="s">
        <v>#N/A Requesting Data...3898028022</v>
        <stp/>
        <stp>BDP|5639275954241642326</stp>
        <tr r="AC843" s="1"/>
        <tr r="AC843" s="1"/>
      </tp>
      <tp t="s">
        <v>#N/A Requesting Data...4286178642</v>
        <stp/>
        <stp>BDP|7769043756233188126</stp>
        <tr r="AB951" s="1"/>
        <tr r="AB951" s="1"/>
      </tp>
      <tp t="s">
        <v>#N/A Requesting Data...4014348197</v>
        <stp/>
        <stp>BDP|3157324392561383845</stp>
        <tr r="AB399" s="1"/>
        <tr r="AB399" s="1"/>
      </tp>
      <tp t="s">
        <v>#N/A Requesting Data...4236702107</v>
        <stp/>
        <stp>BDP|1751653180449427609</stp>
        <tr r="AC1540" s="1"/>
        <tr r="AC1540" s="1"/>
      </tp>
      <tp t="s">
        <v>#N/A Requesting Data...3819005355</v>
        <stp/>
        <stp>BDP|9499972429714971651</stp>
        <tr r="Y551" s="1"/>
        <tr r="Y551" s="1"/>
      </tp>
      <tp t="s">
        <v>#N/A Requesting Data...3868266471</v>
        <stp/>
        <stp>BDP|7458163517981003633</stp>
        <tr r="AA410" s="1"/>
        <tr r="AA410" s="1"/>
      </tp>
      <tp t="s">
        <v>#N/A Requesting Data...4055781018</v>
        <stp/>
        <stp>BDP|5769869046710028916</stp>
        <tr r="AB972" s="1"/>
      </tp>
      <tp t="s">
        <v>#N/A Requesting Data...3440277748</v>
        <stp/>
        <stp>BDP|7189911273361459810</stp>
        <tr r="AA616" s="1"/>
        <tr r="AA616" s="1"/>
      </tp>
      <tp t="s">
        <v>#N/A Requesting Data...3884555179</v>
        <stp/>
        <stp>BDP|2584451996198225725</stp>
        <tr r="AB846" s="1"/>
        <tr r="AB846" s="1"/>
      </tp>
      <tp t="s">
        <v>#N/A Requesting Data...3358948212</v>
        <stp/>
        <stp>BDP|6662165000764354350</stp>
        <tr r="AB439" s="1"/>
        <tr r="AB439" s="1"/>
      </tp>
      <tp t="s">
        <v>#N/A Requesting Data...3607314637</v>
        <stp/>
        <stp>BDP|4419583191020330881</stp>
        <tr r="Y386" s="1"/>
        <tr r="Y386" s="1"/>
      </tp>
      <tp t="s">
        <v>#N/A Requesting Data...3811570720</v>
        <stp/>
        <stp>BDP|9825653246413833855</stp>
        <tr r="AB906" s="1"/>
        <tr r="AB906" s="1"/>
      </tp>
      <tp t="s">
        <v>#N/A Requesting Data...3525258358</v>
        <stp/>
        <stp>BDP|5211383777439876832</stp>
        <tr r="Z438" s="1"/>
        <tr r="Z438" s="1"/>
      </tp>
      <tp t="s">
        <v>#N/A Requesting Data...3692304721</v>
        <stp/>
        <stp>BDP|3456014813517369537</stp>
        <tr r="AA492" s="1"/>
        <tr r="AA492" s="1"/>
      </tp>
      <tp t="s">
        <v>#N/A Requesting Data...3758098825</v>
        <stp/>
        <stp>BDP|5070571061287607161</stp>
        <tr r="AC415" s="1"/>
        <tr r="AC415" s="1"/>
      </tp>
      <tp t="s">
        <v>#N/A Requesting Data...3362614012</v>
        <stp/>
        <stp>BDP|6612106916254262247</stp>
        <tr r="AA1024" s="1"/>
        <tr r="AA1024" s="1"/>
      </tp>
      <tp t="s">
        <v>#N/A Requesting Data...3807663825</v>
        <stp/>
        <stp>BDP|7725627953866217228</stp>
        <tr r="AC1479" s="1"/>
        <tr r="AC1479" s="1"/>
      </tp>
      <tp t="s">
        <v>#N/A Requesting Data...3808823511</v>
        <stp/>
        <stp>BDP|2534602110670155525</stp>
        <tr r="Z126" s="1"/>
        <tr r="Z126" s="1"/>
      </tp>
      <tp t="s">
        <v>#N/A Requesting Data...3662989765</v>
        <stp/>
        <stp>BDP|4621922327659459614</stp>
        <tr r="Z1003" s="1"/>
        <tr r="Z1003" s="1"/>
      </tp>
      <tp t="s">
        <v>#N/A Requesting Data...4106746794</v>
        <stp/>
        <stp>BDP|1221055914125491518</stp>
        <tr r="Z326" s="1"/>
        <tr r="Z326" s="1"/>
      </tp>
      <tp t="s">
        <v>#N/A Requesting Data...3546829395</v>
        <stp/>
        <stp>BDP|7002433957487054124</stp>
        <tr r="Y1045" s="1"/>
        <tr r="Y1045" s="1"/>
      </tp>
      <tp t="s">
        <v>#N/A Requesting Data...3533971662</v>
        <stp/>
        <stp>BDP|3212253246643039671</stp>
        <tr r="AB1423" s="1"/>
        <tr r="AB1423" s="1"/>
      </tp>
      <tp t="s">
        <v>#N/A Requesting Data...3848492107</v>
        <stp/>
        <stp>BDP|8839782906979482659</stp>
        <tr r="AC704" s="1"/>
        <tr r="AC704" s="1"/>
      </tp>
      <tp t="s">
        <v>#N/A Requesting Data...4277403229</v>
        <stp/>
        <stp>BDP|7273202554857542740</stp>
        <tr r="Y425" s="1"/>
        <tr r="Y425" s="1"/>
      </tp>
      <tp t="s">
        <v>#N/A Requesting Data...3754031771</v>
        <stp/>
        <stp>BDP|3935638473726772490</stp>
        <tr r="Z1165" s="1"/>
        <tr r="Z1165" s="1"/>
      </tp>
      <tp t="s">
        <v>#N/A Requesting Data...3556296477</v>
        <stp/>
        <stp>BDP|5587140875921428279</stp>
        <tr r="AC247" s="1"/>
        <tr r="AC247" s="1"/>
      </tp>
      <tp t="s">
        <v>#N/A Requesting Data...4250474231</v>
        <stp/>
        <stp>BDP|4377258461140475043</stp>
        <tr r="AB202" s="1"/>
        <tr r="AB202" s="1"/>
      </tp>
      <tp t="s">
        <v>#N/A Requesting Data...3608019098</v>
        <stp/>
        <stp>BDP|3465953941357090973</stp>
        <tr r="AB816" s="1"/>
        <tr r="AB816" s="1"/>
      </tp>
      <tp t="s">
        <v>#N/A Requesting Data...3725971360</v>
        <stp/>
        <stp>BDP|5563103334791492624</stp>
        <tr r="AA1298" s="1"/>
        <tr r="AA1298" s="1"/>
      </tp>
      <tp t="s">
        <v>#N/A Requesting Data...3400348137</v>
        <stp/>
        <stp>BDP|5832476713785247598</stp>
        <tr r="AC1025" s="1"/>
        <tr r="AC1025" s="1"/>
      </tp>
      <tp t="s">
        <v>#N/A Requesting Data...3590347394</v>
        <stp/>
        <stp>BDP|9359093650484812852</stp>
        <tr r="AA245" s="1"/>
        <tr r="AA245" s="1"/>
      </tp>
      <tp t="s">
        <v>#N/A Requesting Data...3836761212</v>
        <stp/>
        <stp>BDP|1058330025648861895</stp>
        <tr r="AB1527" s="1"/>
        <tr r="AB1527" s="1"/>
      </tp>
      <tp t="s">
        <v>#N/A Requesting Data...3536201960</v>
        <stp/>
        <stp>BDP|6073225664271549344</stp>
        <tr r="AA621" s="1"/>
        <tr r="AA621" s="1"/>
      </tp>
      <tp t="s">
        <v>#N/A Requesting Data...4102057485</v>
        <stp/>
        <stp>BDP|9851942889889355119</stp>
        <tr r="Y644" s="1"/>
        <tr r="Y644" s="1"/>
      </tp>
      <tp t="s">
        <v>#N/A Requesting Data...4134396304</v>
        <stp/>
        <stp>BDP|6043046217745213267</stp>
        <tr r="Y1596" s="1"/>
        <tr r="Y1596" s="1"/>
      </tp>
      <tp t="s">
        <v>#N/A Requesting Data...3517447911</v>
        <stp/>
        <stp>BDP|5389028308970897563</stp>
        <tr r="Z46" s="1"/>
        <tr r="Z46" s="1"/>
      </tp>
      <tp t="s">
        <v>#N/A Requesting Data...4038803247</v>
        <stp/>
        <stp>BDP|3840567909050631665</stp>
        <tr r="AC1330" s="1"/>
        <tr r="AC1330" s="1"/>
      </tp>
      <tp t="s">
        <v>#N/A Requesting Data...3419104214</v>
        <stp/>
        <stp>BDP|9384027727912630971</stp>
        <tr r="AA1373" s="1"/>
        <tr r="AA1373" s="1"/>
      </tp>
      <tp t="s">
        <v>#N/A Requesting Data...3778391971</v>
        <stp/>
        <stp>BDP|1418444251456737615</stp>
        <tr r="Z1322" s="1"/>
        <tr r="Z1322" s="1"/>
      </tp>
      <tp t="s">
        <v>#N/A Requesting Data...4125899949</v>
        <stp/>
        <stp>BDP|6967322864773829007</stp>
        <tr r="Z91" s="1"/>
        <tr r="Z91" s="1"/>
      </tp>
      <tp t="s">
        <v>#N/A Requesting Data...4124945289</v>
        <stp/>
        <stp>BDP|2275182234173933301</stp>
        <tr r="AC14" s="1"/>
        <tr r="AC14" s="1"/>
      </tp>
      <tp t="s">
        <v>#N/A Requesting Data...3606959660</v>
        <stp/>
        <stp>BDP|4822843101315309994</stp>
        <tr r="Y914" s="1"/>
        <tr r="Y914" s="1"/>
      </tp>
      <tp t="s">
        <v>#N/A Requesting Data...4188403271</v>
        <stp/>
        <stp>BDP|1519015771953646571</stp>
        <tr r="AB489" s="1"/>
        <tr r="AB489" s="1"/>
      </tp>
      <tp t="s">
        <v>#N/A Requesting Data...3686970924</v>
        <stp/>
        <stp>BDP|5798015360407473467</stp>
        <tr r="AC1546" s="1"/>
        <tr r="AC1546" s="1"/>
      </tp>
      <tp t="s">
        <v>#N/A Requesting Data...4206420841</v>
        <stp/>
        <stp>BDP|7871183465841947182</stp>
        <tr r="AC1453" s="1"/>
        <tr r="AC1453" s="1"/>
      </tp>
      <tp t="s">
        <v>#N/A Requesting Data...3630588016</v>
        <stp/>
        <stp>BDP|6154046832601574468</stp>
        <tr r="AC192" s="1"/>
        <tr r="AC192" s="1"/>
      </tp>
      <tp t="s">
        <v>#N/A Requesting Data...4123119779</v>
        <stp/>
        <stp>BDP|5675552346393696773</stp>
        <tr r="Z1140" s="1"/>
        <tr r="Z1140" s="1"/>
      </tp>
      <tp t="s">
        <v>#N/A Requesting Data...3580832458</v>
        <stp/>
        <stp>BDP|5121868383901751478</stp>
        <tr r="Z981" s="1"/>
        <tr r="Z981" s="1"/>
      </tp>
      <tp t="s">
        <v>#N/A Requesting Data...3456511995</v>
        <stp/>
        <stp>BDP|5914754278040217524</stp>
        <tr r="Z481" s="1"/>
        <tr r="Z481" s="1"/>
      </tp>
      <tp t="s">
        <v>#N/A Requesting Data...4041729728</v>
        <stp/>
        <stp>BDP|7317276654092522217</stp>
        <tr r="AA894" s="1"/>
        <tr r="AA894" s="1"/>
      </tp>
      <tp t="s">
        <v>#N/A Requesting Data...3644000027</v>
        <stp/>
        <stp>BDP|8726396460489968433</stp>
        <tr r="AB474" s="1"/>
        <tr r="AB474" s="1"/>
      </tp>
      <tp t="s">
        <v>#N/A Requesting Data...3674640856</v>
        <stp/>
        <stp>BDP|8511054732673515836</stp>
        <tr r="Y1368" s="1"/>
        <tr r="Y1368" s="1"/>
      </tp>
      <tp t="s">
        <v>#N/A Requesting Data...4154083239</v>
        <stp/>
        <stp>BDP|9143599871908572387</stp>
        <tr r="Y1017" s="1"/>
        <tr r="Y1017" s="1"/>
      </tp>
      <tp t="s">
        <v>#N/A Requesting Data...3616157834</v>
        <stp/>
        <stp>BDP|3618761221112148442</stp>
        <tr r="AC1490" s="1"/>
        <tr r="AC1490" s="1"/>
      </tp>
      <tp t="s">
        <v>#N/A Requesting Data...3413622137</v>
        <stp/>
        <stp>BDP|5886755825378506899</stp>
        <tr r="Z1178" s="1"/>
        <tr r="Z1178" s="1"/>
      </tp>
      <tp t="s">
        <v>#N/A Requesting Data...4011943523</v>
        <stp/>
        <stp>BDP|9825922363695931343</stp>
        <tr r="Y297" s="1"/>
        <tr r="Y297" s="1"/>
      </tp>
      <tp t="s">
        <v>#N/A Requesting Data...4273149869</v>
        <stp/>
        <stp>BDP|7039994240988440282</stp>
        <tr r="Z885" s="1"/>
        <tr r="Z885" s="1"/>
      </tp>
      <tp t="s">
        <v>#N/A Requesting Data...4012771821</v>
        <stp/>
        <stp>BDP|8428957534841452340</stp>
        <tr r="Y1309" s="1"/>
        <tr r="Y1309" s="1"/>
      </tp>
      <tp t="s">
        <v>#N/A Requesting Data...3648166327</v>
        <stp/>
        <stp>BDP|7676405602977572447</stp>
        <tr r="AA997" s="1"/>
        <tr r="AA997" s="1"/>
      </tp>
      <tp t="s">
        <v>#N/A Requesting Data...4141188122</v>
        <stp/>
        <stp>BDP|4771539660242123505</stp>
        <tr r="AA1209" s="1"/>
        <tr r="AA1209" s="1"/>
      </tp>
      <tp t="s">
        <v>#N/A Requesting Data...4134766615</v>
        <stp/>
        <stp>BDP|9834845674485586381</stp>
        <tr r="Y634" s="1"/>
        <tr r="Y634" s="1"/>
      </tp>
      <tp t="s">
        <v>#N/A Requesting Data...4199016366</v>
        <stp/>
        <stp>BDP|7218191163540892057</stp>
        <tr r="Y350" s="1"/>
        <tr r="Y350" s="1"/>
      </tp>
      <tp t="s">
        <v>#N/A Requesting Data...4171854298</v>
        <stp/>
        <stp>BDP|9841416288702688726</stp>
        <tr r="AB753" s="1"/>
        <tr r="AB753" s="1"/>
      </tp>
      <tp t="s">
        <v>#N/A Requesting Data...3668297138</v>
        <stp/>
        <stp>BDP|4792926076139664305</stp>
        <tr r="Z116" s="1"/>
        <tr r="Z116" s="1"/>
      </tp>
      <tp t="s">
        <v>#N/A Requesting Data...3737391085</v>
        <stp/>
        <stp>BDP|6439920691245442368</stp>
        <tr r="AB709" s="1"/>
        <tr r="AB709" s="1"/>
      </tp>
      <tp t="s">
        <v>#N/A Requesting Data...4029658849</v>
        <stp/>
        <stp>BDP|9953786751252588904</stp>
        <tr r="Z771" s="1"/>
        <tr r="Z771" s="1"/>
      </tp>
      <tp t="s">
        <v>#N/A Requesting Data...3785976496</v>
        <stp/>
        <stp>BDP|3284416460502637307</stp>
        <tr r="AA126" s="1"/>
        <tr r="AA126" s="1"/>
      </tp>
      <tp t="s">
        <v>#N/A Requesting Data...3702357233</v>
        <stp/>
        <stp>BDP|4167815328738890652</stp>
        <tr r="AA586" s="1"/>
        <tr r="AA586" s="1"/>
      </tp>
      <tp t="s">
        <v>#N/A Requesting Data...3922847732</v>
        <stp/>
        <stp>BDP|9288241942268355721</stp>
        <tr r="AB389" s="1"/>
        <tr r="AB389" s="1"/>
      </tp>
      <tp t="s">
        <v>#N/A Requesting Data...3794638544</v>
        <stp/>
        <stp>BDP|6665502344807605013</stp>
        <tr r="Y1603" s="1"/>
        <tr r="Y1603" s="1"/>
      </tp>
      <tp t="s">
        <v>#N/A Requesting Data...3909568818</v>
        <stp/>
        <stp>BDP|6883575018585674740</stp>
        <tr r="Y1523" s="1"/>
        <tr r="Y1523" s="1"/>
      </tp>
      <tp t="s">
        <v>#N/A Requesting Data...3606892169</v>
        <stp/>
        <stp>BDP|9822747378929858096</stp>
        <tr r="AA508" s="1"/>
        <tr r="AA508" s="1"/>
      </tp>
      <tp t="s">
        <v>#N/A Requesting Data...3627420906</v>
        <stp/>
        <stp>BDP|8555686525978952441</stp>
        <tr r="Z1424" s="1"/>
        <tr r="Z1424" s="1"/>
      </tp>
      <tp t="s">
        <v>#N/A Requesting Data...3851633957</v>
        <stp/>
        <stp>BDP|4282662312864316702</stp>
        <tr r="Y440" s="1"/>
        <tr r="Y440" s="1"/>
      </tp>
      <tp t="s">
        <v>#N/A Requesting Data...4176302892</v>
        <stp/>
        <stp>BDP|5271762722206667651</stp>
        <tr r="AB219" s="1"/>
        <tr r="AB219" s="1"/>
      </tp>
      <tp t="s">
        <v>#N/A Requesting Data...3586127345</v>
        <stp/>
        <stp>BDP|2709153043413441400</stp>
        <tr r="AA1594" s="1"/>
        <tr r="AA1594" s="1"/>
      </tp>
      <tp t="s">
        <v>#N/A Requesting Data...3627176337</v>
        <stp/>
        <stp>BDP|5331215853126472403</stp>
        <tr r="AC906" s="1"/>
        <tr r="AC906" s="1"/>
      </tp>
      <tp t="s">
        <v>#N/A Requesting Data...3445744505</v>
        <stp/>
        <stp>BDP|5095696227503209298</stp>
        <tr r="Y1283" s="1"/>
        <tr r="Y1283" s="1"/>
      </tp>
      <tp t="s">
        <v>#N/A Requesting Data...4125829938</v>
        <stp/>
        <stp>BDP|4639055547198422851</stp>
        <tr r="AC1320" s="1"/>
        <tr r="AC1320" s="1"/>
      </tp>
      <tp t="s">
        <v>#N/A Requesting Data...3911615914</v>
        <stp/>
        <stp>BDP|8477913116395398559</stp>
        <tr r="Y194" s="1"/>
        <tr r="Y194" s="1"/>
      </tp>
      <tp t="s">
        <v>#N/A Requesting Data...3624244195</v>
        <stp/>
        <stp>BDP|9701970450391069453</stp>
        <tr r="Z271" s="1"/>
        <tr r="Z271" s="1"/>
      </tp>
      <tp t="s">
        <v>#N/A Requesting Data...4218848350</v>
        <stp/>
        <stp>BDP|2694312956604697022</stp>
        <tr r="AA1571" s="1"/>
        <tr r="AA1571" s="1"/>
      </tp>
      <tp>
        <v>114.26</v>
        <stp/>
        <stp>BDP|2381912252070063401|22</stp>
        <stp>ADUS US Equity</stp>
        <stp>LAST_PRICE</stp>
        <tr r="AD49" s="1"/>
        <tr r="AD49" s="1"/>
      </tp>
      <tp>
        <v>0.105</v>
        <stp/>
        <stp>BDP|3903884201835650032|22</stp>
        <stp>EVMT CN Equity</stp>
        <stp>LAST_PRICE</stp>
        <tr r="AD595" s="1"/>
        <tr r="AD595" s="1"/>
      </tp>
      <tp>
        <v>457.35</v>
        <stp/>
        <stp>BDP|7166476278477031830|22</stp>
        <stp>IDXX US Equity</stp>
        <stp>LAST_PRICE</stp>
        <tr r="AD720" s="1"/>
        <tr r="AD720" s="1"/>
      </tp>
      <tp>
        <v>0.94930000000000003</v>
        <stp/>
        <stp>BDP|8615453081691753023|22</stp>
        <stp>TLRY US Equity</stp>
        <stp>LAST_PRICE</stp>
        <tr r="AD1470" s="1"/>
        <tr r="AD1470" s="1"/>
      </tp>
      <tp>
        <v>5.59</v>
        <stp/>
        <stp>BDP|9509903454035072865|22</stp>
        <stp>OPRX US Equity</stp>
        <stp>LAST_PRICE</stp>
        <tr r="AD1098" s="1"/>
        <tr r="AD1098" s="1"/>
      </tp>
      <tp>
        <v>3.03</v>
        <stp/>
        <stp>BDP|6388841470380686569|22</stp>
        <stp>DARE US Equity</stp>
        <stp>LAST_PRICE</stp>
        <tr r="AD487" s="1"/>
        <tr r="AD487" s="1"/>
      </tp>
      <tp>
        <v>8.6999999999999994E-2</v>
        <stp/>
        <stp>BDP|9389580833741511601|22</stp>
        <stp>VLXC US Equity</stp>
        <stp>LAST_PRICE</stp>
        <tr r="AD1528" s="1"/>
        <tr r="AD1528" s="1"/>
      </tp>
      <tp>
        <v>1.73</v>
        <stp/>
        <stp>BDP|1283809730847020517|22</stp>
        <stp>MTVA US Equity</stp>
        <stp>LAST_PRICE</stp>
        <tr r="AD949" s="1"/>
        <tr r="AD949" s="1"/>
      </tp>
      <tp>
        <v>1E-4</v>
        <stp/>
        <stp>BDP|6338433891379047445|22</stp>
        <stp>ONPH US Equity</stp>
        <stp>LAST_PRICE</stp>
        <tr r="AD1086" s="1"/>
        <tr r="AD1086" s="1"/>
      </tp>
      <tp>
        <v>4.99</v>
        <stp/>
        <stp>BDP|7234900197614350002|22</stp>
        <stp>ABSI US Equity</stp>
        <stp>LAST_PRICE</stp>
        <tr r="AD19" s="1"/>
        <tr r="AD19" s="1"/>
      </tp>
      <tp>
        <v>5.9999999999999995E-4</v>
        <stp/>
        <stp>BDP|6504173226003204601|22</stp>
        <stp>ESSI US Equity</stp>
        <stp>LAST_PRICE</stp>
        <tr r="AD529" s="1"/>
        <tr r="AD529" s="1"/>
      </tp>
      <tp>
        <v>50.72</v>
        <stp/>
        <stp>BDP|8109549762723826689|22</stp>
        <stp>MIRM US Equity</stp>
        <stp>LAST_PRICE</stp>
        <tr r="AD964" s="1"/>
        <tr r="AD964" s="1"/>
      </tp>
      <tp>
        <v>0.41039999999999999</v>
        <stp/>
        <stp>BDP|6698165485108685142|22</stp>
        <stp>SPRB US Equity</stp>
        <stp>LAST_PRICE</stp>
        <tr r="AD1388" s="1"/>
        <tr r="AD1388" s="1"/>
      </tp>
      <tp>
        <v>17.25</v>
        <stp/>
        <stp>BDP|13692601747280263750|22</stp>
        <stp>NRC US Equity</stp>
        <stp>LAST_PRICE</stp>
        <tr r="AD1006" s="1"/>
        <tr r="AD1006" s="1"/>
      </tp>
      <tp>
        <v>1.64</v>
        <stp/>
        <stp>BDP|11085419060273503453|22</stp>
        <stp>OPK US Equity</stp>
        <stp>LAST_PRICE</stp>
        <tr r="AD1097" s="1"/>
        <tr r="AD1097" s="1"/>
      </tp>
      <tp>
        <v>5.58</v>
        <stp/>
        <stp>BDP|11014487826079333869|22</stp>
        <stp>PRE US Equity</stp>
        <stp>LAST_PRICE</stp>
        <tr r="AD1189" s="1"/>
        <tr r="AD1189" s="1"/>
      </tp>
      <tp>
        <v>13.92</v>
        <stp/>
        <stp>BDP|12439501628169452195|22</stp>
        <stp>DYN US Equity</stp>
        <stp>LAST_PRICE</stp>
        <tr r="AD522" s="1"/>
        <tr r="AD522" s="1"/>
      </tp>
      <tp>
        <v>1.1399999999999999</v>
        <stp/>
        <stp>BDP|12807336636946588205|22</stp>
        <stp>IRD US Equity</stp>
        <stp>LAST_PRICE</stp>
        <tr r="AD1101" s="1"/>
        <tr r="AD1101" s="1"/>
      </tp>
      <tp t="s">
        <v>#N/A Requesting Data...3567442901</v>
        <stp/>
        <stp>BDP|5078059023726984058</stp>
        <tr r="AA464" s="1"/>
        <tr r="AA464" s="1"/>
      </tp>
      <tp t="s">
        <v>#N/A Requesting Data...4097953740</v>
        <stp/>
        <stp>BDP|8296109068879646764</stp>
        <tr r="AC1064" s="1"/>
        <tr r="AC1064" s="1"/>
      </tp>
      <tp t="s">
        <v>#N/A Requesting Data...3655706426</v>
        <stp/>
        <stp>BDP|8213959206114204496</stp>
        <tr r="AC816" s="1"/>
        <tr r="AC816" s="1"/>
      </tp>
      <tp t="s">
        <v>#N/A Requesting Data...4292740867</v>
        <stp/>
        <stp>BDP|3620068923316101686</stp>
        <tr r="AB823" s="1"/>
        <tr r="AB823" s="1"/>
      </tp>
      <tp t="s">
        <v>#N/A Requesting Data...3466373190</v>
        <stp/>
        <stp>BDP|9555283924548491075</stp>
        <tr r="Z299" s="1"/>
        <tr r="Z299" s="1"/>
      </tp>
      <tp t="s">
        <v>#N/A Requesting Data...3751140214</v>
        <stp/>
        <stp>BDP|5068597251380486468</stp>
        <tr r="Y1142" s="1"/>
        <tr r="Y1142" s="1"/>
      </tp>
      <tp t="s">
        <v>#N/A Requesting Data...4089833902</v>
        <stp/>
        <stp>BDP|2534779922304243289</stp>
        <tr r="AB1057" s="1"/>
        <tr r="AB1057" s="1"/>
      </tp>
      <tp t="s">
        <v>#N/A Requesting Data...3646428007</v>
        <stp/>
        <stp>BDP|9708662078341718847</stp>
        <tr r="Z940" s="1"/>
        <tr r="Z940" s="1"/>
      </tp>
      <tp t="s">
        <v>#N/A Requesting Data...3621425386</v>
        <stp/>
        <stp>BDP|3938442321150728415</stp>
        <tr r="Y942" s="1"/>
        <tr r="Y942" s="1"/>
      </tp>
      <tp t="s">
        <v>#N/A Requesting Data...4137625577</v>
        <stp/>
        <stp>BDP|2297133011851868223</stp>
        <tr r="AB553" s="1"/>
        <tr r="AB553" s="1"/>
      </tp>
      <tp t="s">
        <v>#N/A Requesting Data...3680378446</v>
        <stp/>
        <stp>BDP|7788521508880261351</stp>
        <tr r="Y727" s="1"/>
      </tp>
      <tp t="s">
        <v>#N/A Requesting Data...4128676797</v>
        <stp/>
        <stp>BDP|2914619607687125253</stp>
        <tr r="Y1408" s="1"/>
        <tr r="Y1408" s="1"/>
      </tp>
      <tp t="s">
        <v>#N/A Requesting Data...4056393126</v>
        <stp/>
        <stp>BDP|3718001918072584116</stp>
        <tr r="Z665" s="1"/>
        <tr r="Z665" s="1"/>
      </tp>
      <tp t="s">
        <v>#N/A Requesting Data...3480798701</v>
        <stp/>
        <stp>BDP|7220137480076948930</stp>
        <tr r="AB1467" s="1"/>
        <tr r="AB1467" s="1"/>
      </tp>
      <tp t="s">
        <v>#N/A Requesting Data...3592561483</v>
        <stp/>
        <stp>BDP|6718271989918614548</stp>
        <tr r="AA657" s="1"/>
        <tr r="AA657" s="1"/>
      </tp>
      <tp t="s">
        <v>#N/A Requesting Data...4067115415</v>
        <stp/>
        <stp>BDP|3063865017239265287</stp>
        <tr r="Y267" s="1"/>
        <tr r="Y267" s="1"/>
      </tp>
      <tp t="s">
        <v>#N/A Requesting Data...3795630725</v>
        <stp/>
        <stp>BDP|5910861160018515211</stp>
        <tr r="AB292" s="1"/>
        <tr r="AB292" s="1"/>
      </tp>
      <tp t="s">
        <v>#N/A Requesting Data...4063500011</v>
        <stp/>
        <stp>BDP|2557505569399124961</stp>
        <tr r="Y500" s="1"/>
        <tr r="Y500" s="1"/>
      </tp>
      <tp t="s">
        <v>#N/A Requesting Data...3729475857</v>
        <stp/>
        <stp>BDP|2475189426946844696</stp>
        <tr r="Z442" s="1"/>
        <tr r="Z442" s="1"/>
      </tp>
      <tp t="s">
        <v>#N/A Requesting Data...4182221136</v>
        <stp/>
        <stp>BDP|1908339565471095440</stp>
        <tr r="Z416" s="1"/>
        <tr r="Z416" s="1"/>
      </tp>
      <tp t="s">
        <v>#N/A Requesting Data...3593450863</v>
        <stp/>
        <stp>BDP|8638929760556783081</stp>
        <tr r="AB348" s="1"/>
        <tr r="AB348" s="1"/>
      </tp>
      <tp t="s">
        <v>#N/A Requesting Data...4277213307</v>
        <stp/>
        <stp>BDP|7945115376205286543</stp>
        <tr r="AB1156" s="1"/>
        <tr r="AB1156" s="1"/>
      </tp>
      <tp t="s">
        <v>#N/A Requesting Data...3821422112</v>
        <stp/>
        <stp>BDP|1120635057880503385</stp>
        <tr r="AA1359" s="1"/>
        <tr r="AA1359" s="1"/>
      </tp>
      <tp t="s">
        <v>#N/A Requesting Data...3802437842</v>
        <stp/>
        <stp>BDP|7706279433490243794</stp>
        <tr r="Z569" s="1"/>
        <tr r="Z569" s="1"/>
      </tp>
      <tp t="s">
        <v>#N/A Requesting Data...4160144730</v>
        <stp/>
        <stp>BDP|7460275374397781487</stp>
        <tr r="AA305" s="1"/>
        <tr r="AA305" s="1"/>
      </tp>
      <tp t="s">
        <v>#N/A Requesting Data...3478676512</v>
        <stp/>
        <stp>BDP|4387734231455045492</stp>
        <tr r="Z136" s="1"/>
        <tr r="Z136" s="1"/>
      </tp>
      <tp t="s">
        <v>#N/A Requesting Data...4214144570</v>
        <stp/>
        <stp>BDP|9930471393041762425</stp>
        <tr r="AB723" s="1"/>
        <tr r="AB723" s="1"/>
      </tp>
      <tp t="s">
        <v>#N/A Requesting Data...3777893382</v>
        <stp/>
        <stp>BDP|9932280726169894179</stp>
        <tr r="AC53" s="1"/>
        <tr r="AC53" s="1"/>
      </tp>
      <tp t="s">
        <v>#N/A Requesting Data...3877639024</v>
        <stp/>
        <stp>BDP|2615113159892793517</stp>
        <tr r="AB1045" s="1"/>
        <tr r="AB1045" s="1"/>
      </tp>
      <tp t="s">
        <v>#N/A Requesting Data...3548595626</v>
        <stp/>
        <stp>BDP|3682449172208973912</stp>
        <tr r="AB1046" s="1"/>
        <tr r="AB1046" s="1"/>
      </tp>
      <tp t="s">
        <v>#N/A Requesting Data...3596100147</v>
        <stp/>
        <stp>BDP|4695385037373302629</stp>
        <tr r="Z272" s="1"/>
        <tr r="Z272" s="1"/>
      </tp>
      <tp t="s">
        <v>#N/A Requesting Data...3511671079</v>
        <stp/>
        <stp>BDP|3823731420664218312</stp>
        <tr r="AA1431" s="1"/>
        <tr r="AA1431" s="1"/>
      </tp>
      <tp t="s">
        <v>#N/A Requesting Data...3838252512</v>
        <stp/>
        <stp>BDP|2684632009420402517</stp>
        <tr r="Z1550" s="1"/>
        <tr r="Z1550" s="1"/>
      </tp>
      <tp t="s">
        <v>#N/A Requesting Data...3568257319</v>
        <stp/>
        <stp>BDP|4966643826931325017</stp>
        <tr r="AC815" s="1"/>
        <tr r="AC815" s="1"/>
      </tp>
      <tp t="s">
        <v>#N/A Requesting Data...3485837601</v>
        <stp/>
        <stp>BDP|9071400692822271790</stp>
        <tr r="AC354" s="1"/>
        <tr r="AC354" s="1"/>
      </tp>
      <tp t="s">
        <v>#N/A Requesting Data...3838136190</v>
        <stp/>
        <stp>BDP|9311889639622269190</stp>
        <tr r="AC622" s="1"/>
        <tr r="AC622" s="1"/>
      </tp>
      <tp t="s">
        <v>#N/A Requesting Data...3600776237</v>
        <stp/>
        <stp>BDP|3534022062354880046</stp>
        <tr r="Y1414" s="1"/>
        <tr r="Y1414" s="1"/>
      </tp>
      <tp t="s">
        <v>#N/A Requesting Data...4294873724</v>
        <stp/>
        <stp>BDP|3084711668177776473</stp>
        <tr r="Y600" s="1"/>
        <tr r="Y600" s="1"/>
      </tp>
      <tp t="s">
        <v>#N/A Requesting Data...4126766803</v>
        <stp/>
        <stp>BDP|7563839372389540084</stp>
        <tr r="AA1413" s="1"/>
        <tr r="AA1413" s="1"/>
      </tp>
      <tp t="s">
        <v>#N/A Requesting Data...3840739583</v>
        <stp/>
        <stp>BDP|5593483421007330567</stp>
        <tr r="AB811" s="1"/>
        <tr r="AB811" s="1"/>
      </tp>
      <tp t="s">
        <v>#N/A Requesting Data...3735017453</v>
        <stp/>
        <stp>BDP|8842000217750247846</stp>
        <tr r="AB1397" s="1"/>
        <tr r="AB1397" s="1"/>
      </tp>
      <tp t="s">
        <v>#N/A Requesting Data...3799752204</v>
        <stp/>
        <stp>BDP|6020139522643898705</stp>
        <tr r="Y317" s="1"/>
        <tr r="Y317" s="1"/>
      </tp>
      <tp t="s">
        <v>#N/A Requesting Data...4225344006</v>
        <stp/>
        <stp>BDP|7207344282679876456</stp>
        <tr r="AC270" s="1"/>
        <tr r="AC270" s="1"/>
      </tp>
      <tp t="s">
        <v>#N/A Requesting Data...3896044346</v>
        <stp/>
        <stp>BDP|2797502420997876366</stp>
        <tr r="AB308" s="1"/>
        <tr r="AB308" s="1"/>
      </tp>
      <tp t="s">
        <v>#N/A Requesting Data...4133784693</v>
        <stp/>
        <stp>BDP|9304733240683126884</stp>
        <tr r="AA195" s="1"/>
        <tr r="AA195" s="1"/>
      </tp>
      <tp t="s">
        <v>#N/A Requesting Data...4149037207</v>
        <stp/>
        <stp>BDP|9541375738680036837</stp>
        <tr r="Y1294" s="1"/>
        <tr r="Y1294" s="1"/>
      </tp>
      <tp t="s">
        <v>#N/A Requesting Data...3616083212</v>
        <stp/>
        <stp>BDP|2866279652006348279</stp>
        <tr r="Z779" s="1"/>
      </tp>
      <tp t="s">
        <v>#N/A Requesting Data...4155913031</v>
        <stp/>
        <stp>BDP|1072110176347777196</stp>
        <tr r="AC297" s="1"/>
        <tr r="AC297" s="1"/>
      </tp>
      <tp t="s">
        <v>#N/A Requesting Data...3619675951</v>
        <stp/>
        <stp>BDP|5457169174300797281</stp>
        <tr r="AA262" s="1"/>
        <tr r="AA262" s="1"/>
      </tp>
      <tp t="s">
        <v>#N/A Requesting Data...4278789669</v>
        <stp/>
        <stp>BDP|2325691024652750506</stp>
        <tr r="AC590" s="1"/>
        <tr r="AC590" s="1"/>
      </tp>
      <tp t="s">
        <v>#N/A Requesting Data...4166542539</v>
        <stp/>
        <stp>BDP|1496194305616885795</stp>
        <tr r="AB1149" s="1"/>
        <tr r="AB1149" s="1"/>
      </tp>
      <tp t="s">
        <v>#N/A Requesting Data...3750888052</v>
        <stp/>
        <stp>BDP|6854724030684271769</stp>
        <tr r="Z4" s="1"/>
        <tr r="Z4" s="1"/>
      </tp>
      <tp t="s">
        <v>#N/A Requesting Data...4048955123</v>
        <stp/>
        <stp>BDP|7429446216117043489</stp>
        <tr r="AC166" s="1"/>
        <tr r="AC166" s="1"/>
      </tp>
      <tp t="s">
        <v>#N/A Requesting Data...4029977627</v>
        <stp/>
        <stp>BDP|4807930182326791201</stp>
        <tr r="AB901" s="1"/>
        <tr r="AB901" s="1"/>
      </tp>
      <tp t="s">
        <v>#N/A Requesting Data...3950609102</v>
        <stp/>
        <stp>BDP|1051832836939301285</stp>
        <tr r="Z1383" s="1"/>
        <tr r="Z1383" s="1"/>
      </tp>
      <tp t="s">
        <v>#N/A Requesting Data...4109499685</v>
        <stp/>
        <stp>BDP|6973160294019296673</stp>
        <tr r="Z1455" s="1"/>
        <tr r="Z1455" s="1"/>
      </tp>
      <tp t="s">
        <v>#N/A Requesting Data...4271977481</v>
        <stp/>
        <stp>BDP|6646567957721900608</stp>
        <tr r="AB1352" s="1"/>
      </tp>
      <tp t="s">
        <v>#N/A Requesting Data...3999707500</v>
        <stp/>
        <stp>BDP|1710093602155383514</stp>
        <tr r="AC1297" s="1"/>
        <tr r="AC1297" s="1"/>
      </tp>
      <tp t="s">
        <v>#N/A Requesting Data...3646274291</v>
        <stp/>
        <stp>BDP|3773149309601401206</stp>
        <tr r="Y1034" s="1"/>
        <tr r="Y1034" s="1"/>
      </tp>
      <tp t="s">
        <v>#N/A Requesting Data...3773611991</v>
        <stp/>
        <stp>BDP|2433524664530450086</stp>
        <tr r="AC1308" s="1"/>
        <tr r="AC1308" s="1"/>
      </tp>
      <tp t="s">
        <v>#N/A Requesting Data...4077179781</v>
        <stp/>
        <stp>BDP|6359176850304921730</stp>
        <tr r="AA172" s="1"/>
        <tr r="AA172" s="1"/>
      </tp>
      <tp t="s">
        <v>#N/A Requesting Data...3987737603</v>
        <stp/>
        <stp>BDP|1276623671356907760</stp>
        <tr r="AC1121" s="1"/>
        <tr r="AC1121" s="1"/>
      </tp>
      <tp t="s">
        <v>#N/A Requesting Data...4288219098</v>
        <stp/>
        <stp>BDP|5666843899547628235</stp>
        <tr r="Z571" s="1"/>
        <tr r="Z571" s="1"/>
      </tp>
      <tp t="s">
        <v>#N/A Requesting Data...4127277795</v>
        <stp/>
        <stp>BDP|3810019541722112478</stp>
        <tr r="AC467" s="1"/>
        <tr r="AC467" s="1"/>
      </tp>
      <tp t="s">
        <v>#N/A Requesting Data...3912963156</v>
        <stp/>
        <stp>BDP|6500774428622683033</stp>
        <tr r="Z472" s="1"/>
        <tr r="Z472" s="1"/>
      </tp>
      <tp t="s">
        <v>#N/A Requesting Data...4032525589</v>
        <stp/>
        <stp>BDP|4333868807184463997</stp>
        <tr r="Y1431" s="1"/>
        <tr r="Y1431" s="1"/>
      </tp>
      <tp t="s">
        <v>#N/A Requesting Data...3676990693</v>
        <stp/>
        <stp>BDP|6053518383533464992</stp>
        <tr r="AA387" s="1"/>
        <tr r="AA387" s="1"/>
      </tp>
      <tp t="s">
        <v>#N/A Requesting Data...4146682240</v>
        <stp/>
        <stp>BDP|3731708561124148782</stp>
        <tr r="Y680" s="1"/>
        <tr r="Y680" s="1"/>
      </tp>
      <tp t="s">
        <v>#N/A Requesting Data...3572732650</v>
        <stp/>
        <stp>BDP|4744638158267031132</stp>
        <tr r="AA892" s="1"/>
        <tr r="AA892" s="1"/>
      </tp>
      <tp t="s">
        <v>#N/A Requesting Data...3989546241</v>
        <stp/>
        <stp>BDP|9420805102279056992</stp>
        <tr r="AB1094" s="1"/>
        <tr r="AB1094" s="1"/>
      </tp>
      <tp t="s">
        <v>#N/A Requesting Data...4174569404</v>
        <stp/>
        <stp>BDP|3182698189514975877</stp>
        <tr r="Y1232" s="1"/>
        <tr r="Y1232" s="1"/>
      </tp>
      <tp t="s">
        <v>#N/A Requesting Data...4203595601</v>
        <stp/>
        <stp>BDP|1450042545806295281</stp>
        <tr r="Y1104" s="1"/>
        <tr r="Y1104" s="1"/>
      </tp>
      <tp t="s">
        <v>#N/A Requesting Data...4279287386</v>
        <stp/>
        <stp>BDP|6245665889928486167</stp>
        <tr r="Y511" s="1"/>
        <tr r="Y511" s="1"/>
      </tp>
      <tp t="s">
        <v>#N/A Requesting Data...4166503863</v>
        <stp/>
        <stp>BDP|8679609339429255512</stp>
        <tr r="AA1354" s="1"/>
        <tr r="AA1354" s="1"/>
      </tp>
      <tp t="s">
        <v>#N/A Requesting Data...3587378450</v>
        <stp/>
        <stp>BDP|9253151104111793880</stp>
        <tr r="Z1460" s="1"/>
        <tr r="Z1460" s="1"/>
      </tp>
      <tp t="s">
        <v>#N/A Requesting Data...3964903701</v>
        <stp/>
        <stp>BDP|3335314369186495133</stp>
        <tr r="AA536" s="1"/>
        <tr r="AA536" s="1"/>
      </tp>
      <tp t="s">
        <v>#N/A Requesting Data...4136762915</v>
        <stp/>
        <stp>BDP|1062635765964813425</stp>
        <tr r="AA1244" s="1"/>
        <tr r="AA1244" s="1"/>
      </tp>
      <tp t="s">
        <v>#N/A Requesting Data...3982458224</v>
        <stp/>
        <stp>BDP|2085304659821493413</stp>
        <tr r="Z323" s="1"/>
        <tr r="Z323" s="1"/>
      </tp>
      <tp t="s">
        <v>#N/A Requesting Data...3704296908</v>
        <stp/>
        <stp>BDP|9169199993086372649</stp>
        <tr r="AB109" s="1"/>
        <tr r="AB109" s="1"/>
      </tp>
      <tp t="s">
        <v>#N/A Requesting Data...3921120558</v>
        <stp/>
        <stp>BDP|2678017712931800319</stp>
        <tr r="AA1408" s="1"/>
        <tr r="AA1408" s="1"/>
      </tp>
      <tp t="s">
        <v>#N/A Requesting Data...3737228636</v>
        <stp/>
        <stp>BDP|5428353662254955566</stp>
        <tr r="AC560" s="1"/>
        <tr r="AC560" s="1"/>
      </tp>
      <tp t="s">
        <v>#N/A Requesting Data...3881657136</v>
        <stp/>
        <stp>BDP|6927421074192098639</stp>
        <tr r="AB13" s="1"/>
        <tr r="AB13" s="1"/>
      </tp>
      <tp t="s">
        <v>#N/A Requesting Data...4101828751</v>
        <stp/>
        <stp>BDP|2104392060210155657</stp>
        <tr r="AB561" s="1"/>
        <tr r="AB561" s="1"/>
      </tp>
      <tp t="s">
        <v>#N/A Requesting Data...4101748557</v>
        <stp/>
        <stp>BDP|5057233910785937266</stp>
        <tr r="AB1123" s="1"/>
        <tr r="AB1123" s="1"/>
      </tp>
      <tp t="s">
        <v>#N/A Requesting Data...3783630443</v>
        <stp/>
        <stp>BDP|2458543501985483390</stp>
        <tr r="Y774" s="1"/>
        <tr r="Y774" s="1"/>
      </tp>
      <tp t="s">
        <v>#N/A Requesting Data...3677201727</v>
        <stp/>
        <stp>BDP|3110164722667116685</stp>
        <tr r="AC1578" s="1"/>
      </tp>
      <tp t="s">
        <v>#N/A Requesting Data...4078550843</v>
        <stp/>
        <stp>BDP|1280459843528949817</stp>
        <tr r="AA22" s="1"/>
        <tr r="AA22" s="1"/>
      </tp>
      <tp t="s">
        <v>#N/A Requesting Data...3907534359</v>
        <stp/>
        <stp>BDP|7589587407277299443</stp>
        <tr r="AC373" s="1"/>
        <tr r="AC373" s="1"/>
      </tp>
      <tp t="s">
        <v>#N/A Requesting Data...4216537053</v>
        <stp/>
        <stp>BDP|2759760750794939559</stp>
        <tr r="AA191" s="1"/>
        <tr r="AA191" s="1"/>
      </tp>
      <tp t="s">
        <v>#N/A Requesting Data...3672466315</v>
        <stp/>
        <stp>BDP|4248673342941923631</stp>
        <tr r="Z927" s="1"/>
        <tr r="Z927" s="1"/>
      </tp>
      <tp t="s">
        <v>#N/A Requesting Data...3778131971</v>
        <stp/>
        <stp>BDP|1402666409976768014</stp>
        <tr r="Y510" s="1"/>
        <tr r="Y510" s="1"/>
      </tp>
      <tp t="s">
        <v>#N/A Requesting Data...4269005787</v>
        <stp/>
        <stp>BDP|9583521591746270297</stp>
        <tr r="AA1384" s="1"/>
        <tr r="AA1384" s="1"/>
      </tp>
      <tp t="s">
        <v>#N/A Requesting Data...3951298733</v>
        <stp/>
        <stp>BDP|5660641311034725794</stp>
        <tr r="AC992" s="1"/>
        <tr r="AC992" s="1"/>
      </tp>
      <tp t="s">
        <v>#N/A Requesting Data...4282149490</v>
        <stp/>
        <stp>BDP|6805466136282062252</stp>
        <tr r="Y635" s="1"/>
        <tr r="Y635" s="1"/>
      </tp>
      <tp t="s">
        <v>#N/A Requesting Data...3909122027</v>
        <stp/>
        <stp>BDP|6727091785317224841</stp>
        <tr r="Y474" s="1"/>
        <tr r="Y474" s="1"/>
      </tp>
      <tp t="s">
        <v>#N/A Requesting Data...3642267184</v>
        <stp/>
        <stp>BDP|7829173422850255529</stp>
        <tr r="AC603" s="1"/>
        <tr r="AC603" s="1"/>
      </tp>
      <tp t="s">
        <v>#N/A Requesting Data...4253046541</v>
        <stp/>
        <stp>BDP|1642465438571264676</stp>
        <tr r="AC723" s="1"/>
        <tr r="AC723" s="1"/>
      </tp>
      <tp t="s">
        <v>#N/A Requesting Data...3918206185</v>
        <stp/>
        <stp>BDP|6260286508727815271</stp>
        <tr r="AB728" s="1"/>
        <tr r="AB728" s="1"/>
      </tp>
      <tp t="s">
        <v>#N/A Requesting Data...3722326704</v>
        <stp/>
        <stp>BDP|6592738225410622281</stp>
        <tr r="Y376" s="1"/>
        <tr r="Y376" s="1"/>
      </tp>
      <tp t="s">
        <v>#N/A Requesting Data...3618812101</v>
        <stp/>
        <stp>BDP|1828738079047917792</stp>
        <tr r="AA638" s="1"/>
        <tr r="AA638" s="1"/>
      </tp>
      <tp t="s">
        <v>#N/A Requesting Data...4020457818</v>
        <stp/>
        <stp>BDP|8557645282903692478</stp>
        <tr r="AB1364" s="1"/>
        <tr r="AB1364" s="1"/>
      </tp>
      <tp t="s">
        <v>#N/A Requesting Data...3892784348</v>
        <stp/>
        <stp>BDP|3292927690316115434</stp>
        <tr r="AC667" s="1"/>
        <tr r="AC667" s="1"/>
      </tp>
      <tp t="s">
        <v>#N/A Requesting Data...3647408109</v>
        <stp/>
        <stp>BDP|3042724033925258316</stp>
        <tr r="AB598" s="1"/>
        <tr r="AB598" s="1"/>
      </tp>
      <tp t="s">
        <v>#N/A Requesting Data...3876192016</v>
        <stp/>
        <stp>BDP|1344956397508327808</stp>
        <tr r="AC1574" s="1"/>
        <tr r="AC1574" s="1"/>
      </tp>
      <tp t="s">
        <v>#N/A Requesting Data...4281276213</v>
        <stp/>
        <stp>BDP|3442219102157348765</stp>
        <tr r="AB99" s="1"/>
        <tr r="AB99" s="1"/>
      </tp>
      <tp t="s">
        <v>#N/A Requesting Data...3827263958</v>
        <stp/>
        <stp>BDP|7574260082485484976</stp>
        <tr r="Y301" s="1"/>
        <tr r="Y301" s="1"/>
      </tp>
      <tp t="s">
        <v>#N/A Requesting Data...3978929157</v>
        <stp/>
        <stp>BDP|4373605859945803304</stp>
        <tr r="AB966" s="1"/>
        <tr r="AB966" s="1"/>
      </tp>
      <tp t="s">
        <v>#N/A Requesting Data...4101354725</v>
        <stp/>
        <stp>BDP|5708098378706445504</stp>
        <tr r="AA1098" s="1"/>
        <tr r="AA1098" s="1"/>
      </tp>
      <tp t="s">
        <v>#N/A Requesting Data...3633546483</v>
        <stp/>
        <stp>BDP|5799430605638144825</stp>
        <tr r="Y877" s="1"/>
        <tr r="Y877" s="1"/>
      </tp>
      <tp t="s">
        <v>#N/A Requesting Data...4168453938</v>
        <stp/>
        <stp>BDP|1126185807295536497</stp>
        <tr r="Y697" s="1"/>
        <tr r="Y697" s="1"/>
      </tp>
      <tp t="s">
        <v>#N/A Requesting Data...4255728884</v>
        <stp/>
        <stp>BDP|2941441081877884864</stp>
        <tr r="Y502" s="1"/>
        <tr r="Y502" s="1"/>
      </tp>
      <tp t="s">
        <v>#N/A Requesting Data...3680690037</v>
        <stp/>
        <stp>BDP|6190557847930916687</stp>
        <tr r="Z710" s="1"/>
        <tr r="Z710" s="1"/>
      </tp>
      <tp t="s">
        <v>#N/A Requesting Data...4210847801</v>
        <stp/>
        <stp>BDP|1491347080803501876</stp>
        <tr r="Z942" s="1"/>
        <tr r="Z942" s="1"/>
      </tp>
      <tp t="s">
        <v>#N/A Requesting Data...3750332586</v>
        <stp/>
        <stp>BDP|1919136799979095112</stp>
        <tr r="AB1592" s="1"/>
        <tr r="AB1592" s="1"/>
      </tp>
      <tp t="s">
        <v>#N/A Requesting Data...3831981485</v>
        <stp/>
        <stp>BDP|7370950702226283954</stp>
        <tr r="AA856" s="1"/>
        <tr r="AA856" s="1"/>
      </tp>
      <tp t="s">
        <v>#N/A Requesting Data...3980976131</v>
        <stp/>
        <stp>BDP|8313818556776055271</stp>
        <tr r="Y1275" s="1"/>
        <tr r="Y1275" s="1"/>
      </tp>
      <tp t="s">
        <v>#N/A Requesting Data...4287664802</v>
        <stp/>
        <stp>BDP|3341986593047888535</stp>
        <tr r="AC1093" s="1"/>
        <tr r="AC1093" s="1"/>
      </tp>
      <tp t="s">
        <v>#N/A Requesting Data...3775206022</v>
        <stp/>
        <stp>BDP|1264107206607000679</stp>
        <tr r="Y1390" s="1"/>
        <tr r="Y1390" s="1"/>
      </tp>
      <tp t="s">
        <v>#N/A Requesting Data...3737103002</v>
        <stp/>
        <stp>BDP|1666892032448646385</stp>
        <tr r="AB659" s="1"/>
        <tr r="AB659" s="1"/>
      </tp>
      <tp t="s">
        <v>#N/A Requesting Data...3868827196</v>
        <stp/>
        <stp>BDP|6324939593964673364</stp>
        <tr r="Y1059" s="1"/>
        <tr r="Y1059" s="1"/>
      </tp>
      <tp t="s">
        <v>#N/A Requesting Data...4035692609</v>
        <stp/>
        <stp>BDP|8662945970291574645</stp>
        <tr r="AC627" s="1"/>
        <tr r="AC627" s="1"/>
      </tp>
      <tp t="s">
        <v>#N/A Requesting Data...3672204302</v>
        <stp/>
        <stp>BDP|7735518871326042248</stp>
        <tr r="Y254" s="1"/>
        <tr r="Y254" s="1"/>
      </tp>
      <tp t="s">
        <v>#N/A Requesting Data...4284619761</v>
        <stp/>
        <stp>BDP|9264543722218737702</stp>
        <tr r="AC1225" s="1"/>
        <tr r="AC1225" s="1"/>
      </tp>
      <tp t="s">
        <v>#N/A Requesting Data...3847017893</v>
        <stp/>
        <stp>BDP|2764081031149987976</stp>
        <tr r="Z1417" s="1"/>
        <tr r="Z1417" s="1"/>
      </tp>
      <tp t="s">
        <v>#N/A Requesting Data...3947512370</v>
        <stp/>
        <stp>BDP|3062380555263842758</stp>
        <tr r="AB584" s="1"/>
        <tr r="AB584" s="1"/>
      </tp>
      <tp t="s">
        <v>#N/A Requesting Data...3594022220</v>
        <stp/>
        <stp>BDP|3003020031992415370</stp>
        <tr r="Y488" s="1"/>
        <tr r="Y488" s="1"/>
      </tp>
      <tp t="s">
        <v>#N/A Requesting Data...3801215587</v>
        <stp/>
        <stp>BDP|5053082817761934468</stp>
        <tr r="AB714" s="1"/>
        <tr r="AB714" s="1"/>
      </tp>
      <tp t="s">
        <v>#N/A Requesting Data...3660998190</v>
        <stp/>
        <stp>BDP|1152670684979226704</stp>
        <tr r="AB44" s="1"/>
        <tr r="AB44" s="1"/>
      </tp>
      <tp t="s">
        <v>#N/A Requesting Data...4147927515</v>
        <stp/>
        <stp>BDP|9835805966980703692</stp>
        <tr r="AC786" s="1"/>
        <tr r="AC786" s="1"/>
      </tp>
      <tp t="s">
        <v>#N/A Requesting Data...4220743265</v>
        <stp/>
        <stp>BDP|8304848220447652414</stp>
        <tr r="Y1219" s="1"/>
        <tr r="Y1219" s="1"/>
      </tp>
      <tp t="s">
        <v>#N/A Requesting Data...3807429269</v>
        <stp/>
        <stp>BDP|5012017271044395732</stp>
        <tr r="Z851" s="1"/>
        <tr r="Z851" s="1"/>
      </tp>
      <tp t="s">
        <v>#N/A Requesting Data...3813182858</v>
        <stp/>
        <stp>BDP|2070582534612997756</stp>
        <tr r="AC553" s="1"/>
        <tr r="AC553" s="1"/>
      </tp>
      <tp t="s">
        <v>#N/A Requesting Data...3675684639</v>
        <stp/>
        <stp>BDP|2082010047106178172</stp>
        <tr r="Y617" s="1"/>
        <tr r="Y617" s="1"/>
      </tp>
      <tp t="s">
        <v>#N/A Requesting Data...3990772331</v>
        <stp/>
        <stp>BDP|4383848279449921378</stp>
        <tr r="AA579" s="1"/>
        <tr r="AA579" s="1"/>
      </tp>
      <tp t="s">
        <v>#N/A Requesting Data...4194845503</v>
        <stp/>
        <stp>BDP|3567589719152265466</stp>
        <tr r="AA728" s="1"/>
        <tr r="AA728" s="1"/>
      </tp>
      <tp t="s">
        <v>#N/A Requesting Data...3723707225</v>
        <stp/>
        <stp>BDP|9999297414002313971</stp>
        <tr r="Y47" s="1"/>
        <tr r="Y47" s="1"/>
      </tp>
      <tp t="s">
        <v>#N/A Requesting Data...4099417309</v>
        <stp/>
        <stp>BDP|2571005927572233307</stp>
        <tr r="AC215" s="1"/>
        <tr r="AC215" s="1"/>
      </tp>
      <tp t="s">
        <v>#N/A Requesting Data...3855824279</v>
        <stp/>
        <stp>BDP|5623782821062948366</stp>
        <tr r="Z182" s="1"/>
        <tr r="Z182" s="1"/>
      </tp>
      <tp t="s">
        <v>#N/A Requesting Data...4080288422</v>
        <stp/>
        <stp>BDP|3335655716082213725</stp>
        <tr r="Z1333" s="1"/>
        <tr r="Z1333" s="1"/>
      </tp>
      <tp t="s">
        <v>#N/A Requesting Data...4028877208</v>
        <stp/>
        <stp>BDP|4954687514820097257</stp>
        <tr r="Y1602" s="1"/>
        <tr r="Y1602" s="1"/>
      </tp>
      <tp t="s">
        <v>#N/A Requesting Data...4136873728</v>
        <stp/>
        <stp>BDP|8577130985446329605</stp>
        <tr r="AA883" s="1"/>
        <tr r="AA883" s="1"/>
      </tp>
      <tp t="s">
        <v>#N/A Requesting Data...3629847787</v>
        <stp/>
        <stp>BDP|6242713320171323303</stp>
        <tr r="Y1159" s="1"/>
        <tr r="Y1159" s="1"/>
      </tp>
      <tp t="s">
        <v>#N/A Requesting Data...3751789238</v>
        <stp/>
        <stp>BDP|1616847291086642755</stp>
        <tr r="AC216" s="1"/>
        <tr r="AC216" s="1"/>
      </tp>
      <tp t="s">
        <v>#N/A Requesting Data...3675099159</v>
        <stp/>
        <stp>BDP|1559272445910209658</stp>
        <tr r="Z1603" s="1"/>
        <tr r="Z1603" s="1"/>
      </tp>
      <tp t="s">
        <v>#N/A Requesting Data...3675307079</v>
        <stp/>
        <stp>BDP|2195239553394714079</stp>
        <tr r="Z690" s="1"/>
        <tr r="Z690" s="1"/>
      </tp>
      <tp t="s">
        <v>#N/A Requesting Data...4102963206</v>
        <stp/>
        <stp>BDP|8767389094002818122</stp>
        <tr r="AA1339" s="1"/>
        <tr r="AA1339" s="1"/>
      </tp>
      <tp t="s">
        <v>#N/A Requesting Data...3706727060</v>
        <stp/>
        <stp>BDP|4221781138217077637</stp>
        <tr r="Z1148" s="1"/>
        <tr r="Z1148" s="1"/>
      </tp>
      <tp t="s">
        <v>#N/A Requesting Data...3968413292</v>
        <stp/>
        <stp>BDP|5973612506791979364</stp>
        <tr r="AB142" s="1"/>
        <tr r="AB142" s="1"/>
      </tp>
      <tp t="s">
        <v>#N/A Requesting Data...4179415381</v>
        <stp/>
        <stp>BDP|5737355246957397467</stp>
        <tr r="AA582" s="1"/>
        <tr r="AA582" s="1"/>
      </tp>
      <tp t="s">
        <v>#N/A Requesting Data...4157608549</v>
        <stp/>
        <stp>BDP|5332096218044606154</stp>
        <tr r="AA561" s="1"/>
        <tr r="AA561" s="1"/>
      </tp>
      <tp t="s">
        <v>#N/A Requesting Data...3724869472</v>
        <stp/>
        <stp>BDP|7511094181839542799</stp>
        <tr r="AA1331" s="1"/>
        <tr r="AA1331" s="1"/>
      </tp>
      <tp t="s">
        <v>#N/A Requesting Data...3973702702</v>
        <stp/>
        <stp>BDP|5333303283036945987</stp>
        <tr r="AA1116" s="1"/>
        <tr r="AA1116" s="1"/>
      </tp>
      <tp t="s">
        <v>#N/A Requesting Data...3629426008</v>
        <stp/>
        <stp>BDP|1989764118081271749</stp>
        <tr r="Y1226" s="1"/>
        <tr r="Y1226" s="1"/>
      </tp>
      <tp t="s">
        <v>#N/A Requesting Data...3857668855</v>
        <stp/>
        <stp>BDP|7502538427593702278</stp>
        <tr r="AC778" s="1"/>
        <tr r="AC778" s="1"/>
      </tp>
      <tp t="s">
        <v>#N/A Requesting Data...3709294223</v>
        <stp/>
        <stp>BDP|2967712059079898888</stp>
        <tr r="Y1077" s="1"/>
        <tr r="Y1077" s="1"/>
      </tp>
      <tp t="s">
        <v>#N/A Requesting Data...3943227531</v>
        <stp/>
        <stp>BDP|5202495669166766046</stp>
        <tr r="AB131" s="1"/>
        <tr r="AB131" s="1"/>
      </tp>
      <tp t="s">
        <v>#N/A Requesting Data...4128049599</v>
        <stp/>
        <stp>BDP|1372096497531903850</stp>
        <tr r="Z1586" s="1"/>
        <tr r="Z1586" s="1"/>
      </tp>
      <tp t="s">
        <v>#N/A Requesting Data...4029623367</v>
        <stp/>
        <stp>BDP|5267682030021861035</stp>
        <tr r="AC76" s="1"/>
        <tr r="AC76" s="1"/>
      </tp>
      <tp t="s">
        <v>#N/A Requesting Data...4238850662</v>
        <stp/>
        <stp>BDP|2541388921902510083</stp>
        <tr r="Y1533" s="1"/>
        <tr r="Y1533" s="1"/>
      </tp>
      <tp t="s">
        <v>#N/A Requesting Data...3822661167</v>
        <stp/>
        <stp>BDP|9199570092487685333</stp>
        <tr r="AB883" s="1"/>
        <tr r="AB883" s="1"/>
      </tp>
      <tp t="s">
        <v>#N/A Requesting Data...3630115656</v>
        <stp/>
        <stp>BDP|7157853814688120704</stp>
        <tr r="AA558" s="1"/>
        <tr r="AA558" s="1"/>
      </tp>
      <tp t="s">
        <v>#N/A Requesting Data...4086462256</v>
        <stp/>
        <stp>BDP|6990690365474328379</stp>
        <tr r="AC492" s="1"/>
        <tr r="AC492" s="1"/>
      </tp>
      <tp t="s">
        <v>#N/A Requesting Data...4278344947</v>
        <stp/>
        <stp>BDP|2525593368898482817</stp>
        <tr r="Y1180" s="1"/>
        <tr r="Y1180" s="1"/>
      </tp>
      <tp t="s">
        <v>#N/A Requesting Data...4107763825</v>
        <stp/>
        <stp>BDP|8060157389596570685</stp>
        <tr r="AB735" s="1"/>
        <tr r="AB735" s="1"/>
      </tp>
      <tp>
        <v>5.9</v>
        <stp/>
        <stp>BDP|16306790783921243678|22</stp>
        <stp>KZR US Equity</stp>
        <stp>LAST_PRICE</stp>
        <tr r="AD832" s="1"/>
        <tr r="AD832" s="1"/>
      </tp>
      <tp t="s">
        <v>#N/A Requesting Data...3928358754</v>
        <stp/>
        <stp>BDP|1194312402022312172</stp>
        <tr r="Y1141" s="1"/>
        <tr r="Y1141" s="1"/>
      </tp>
      <tp t="s">
        <v>#N/A Requesting Data...3939524063</v>
        <stp/>
        <stp>BDP|9009105139418890270</stp>
        <tr r="AB1211" s="1"/>
        <tr r="AB1211" s="1"/>
      </tp>
      <tp t="s">
        <v>#N/A Requesting Data...3797914116</v>
        <stp/>
        <stp>BDP|8691249785787695476</stp>
        <tr r="Y43" s="1"/>
        <tr r="Y43" s="1"/>
      </tp>
      <tp t="s">
        <v>#N/A Requesting Data...3702148426</v>
        <stp/>
        <stp>BDP|1679738071504733453</stp>
        <tr r="AB911" s="1"/>
      </tp>
      <tp t="s">
        <v>#N/A Requesting Data...3795085407</v>
        <stp/>
        <stp>BDP|6661131205640595634</stp>
        <tr r="Z636" s="1"/>
        <tr r="Z636" s="1"/>
      </tp>
      <tp t="s">
        <v>#N/A Requesting Data...4036635837</v>
        <stp/>
        <stp>BDP|1365398449160003750</stp>
        <tr r="Z581" s="1"/>
        <tr r="Z581" s="1"/>
      </tp>
      <tp t="s">
        <v>#N/A Requesting Data...4014178417</v>
        <stp/>
        <stp>BDP|6692415171665529159</stp>
        <tr r="AA708" s="1"/>
        <tr r="AA708" s="1"/>
      </tp>
      <tp t="s">
        <v>#N/A Requesting Data...3870868177</v>
        <stp/>
        <stp>BDP|1078162225260103347</stp>
        <tr r="AC1585" s="1"/>
        <tr r="AC1585" s="1"/>
      </tp>
      <tp t="s">
        <v>#N/A Requesting Data...3757912005</v>
        <stp/>
        <stp>BDP|6872257708697663250</stp>
        <tr r="AB632" s="1"/>
        <tr r="AB632" s="1"/>
      </tp>
      <tp t="s">
        <v>#N/A Requesting Data...4150316973</v>
        <stp/>
        <stp>BDP|7411934791800675669</stp>
        <tr r="AA1597" s="1"/>
        <tr r="AA1597" s="1"/>
      </tp>
      <tp t="s">
        <v>#N/A Requesting Data...3652490849</v>
        <stp/>
        <stp>BDP|4113847189350366591</stp>
        <tr r="AC135" s="1"/>
        <tr r="AC135" s="1"/>
      </tp>
      <tp t="s">
        <v>#N/A Requesting Data...3771535382</v>
        <stp/>
        <stp>BDP|9483688279441565866</stp>
        <tr r="Z528" s="1"/>
        <tr r="Z528" s="1"/>
      </tp>
      <tp t="s">
        <v>#N/A Requesting Data...4202318085</v>
        <stp/>
        <stp>BDP|4570335567978193866</stp>
        <tr r="Z44" s="1"/>
        <tr r="Z44" s="1"/>
      </tp>
      <tp t="s">
        <v>#N/A Requesting Data...4168921254</v>
        <stp/>
        <stp>BDP|9326347520208147104</stp>
        <tr r="AA799" s="1"/>
        <tr r="AA799" s="1"/>
      </tp>
      <tp t="s">
        <v>#N/A Requesting Data...4031746042</v>
        <stp/>
        <stp>BDP|3962787357553579354</stp>
        <tr r="AB1439" s="1"/>
        <tr r="AB1439" s="1"/>
      </tp>
      <tp t="s">
        <v>#N/A Requesting Data...3828556847</v>
        <stp/>
        <stp>BDP|7091119920213331646</stp>
        <tr r="AA1618" s="1"/>
        <tr r="AA1618" s="1"/>
      </tp>
      <tp t="s">
        <v>#N/A Requesting Data...3953983515</v>
        <stp/>
        <stp>BDP|9649130083943669272</stp>
        <tr r="AA1329" s="1"/>
        <tr r="AA1329" s="1"/>
      </tp>
      <tp t="s">
        <v>#N/A Requesting Data...3915518861</v>
        <stp/>
        <stp>BDP|5145748978733948737</stp>
        <tr r="Z1505" s="1"/>
        <tr r="Z1505" s="1"/>
      </tp>
      <tp t="s">
        <v>#N/A Requesting Data...3692696138</v>
        <stp/>
        <stp>BDP|1510869650599233466</stp>
        <tr r="Z289" s="1"/>
        <tr r="Z289" s="1"/>
      </tp>
      <tp t="s">
        <v>#N/A Requesting Data...4195182864</v>
        <stp/>
        <stp>BDP|2734201815641087154</stp>
        <tr r="AC696" s="1"/>
        <tr r="AC696" s="1"/>
      </tp>
      <tp t="s">
        <v>#N/A Requesting Data...3726371149</v>
        <stp/>
        <stp>BDP|4087752047295434310</stp>
        <tr r="AA940" s="1"/>
        <tr r="AA940" s="1"/>
      </tp>
      <tp t="s">
        <v>#N/A Requesting Data...4071700869</v>
        <stp/>
        <stp>BDP|9683274468205954976</stp>
        <tr r="AA1595" s="1"/>
        <tr r="AA1595" s="1"/>
      </tp>
      <tp t="s">
        <v>#N/A Requesting Data...3920473400</v>
        <stp/>
        <stp>BDP|7897891044478757255</stp>
        <tr r="AC558" s="1"/>
        <tr r="AC558" s="1"/>
      </tp>
      <tp t="s">
        <v>#N/A Requesting Data...3747480543</v>
        <stp/>
        <stp>BDP|5096040450089319804</stp>
        <tr r="AC549" s="1"/>
        <tr r="AC549" s="1"/>
      </tp>
      <tp t="s">
        <v>#N/A Requesting Data...3685602176</v>
        <stp/>
        <stp>BDP|5950846313834801915</stp>
        <tr r="AC1232" s="1"/>
        <tr r="AC1232" s="1"/>
      </tp>
      <tp t="s">
        <v>#N/A Requesting Data...3977593170</v>
        <stp/>
        <stp>BDP|7438675780830560816</stp>
        <tr r="Z457" s="1"/>
        <tr r="Z457" s="1"/>
      </tp>
      <tp t="s">
        <v>#N/A Requesting Data...4202947171</v>
        <stp/>
        <stp>BDP|2506772926414197221</stp>
        <tr r="Z109" s="1"/>
        <tr r="Z109" s="1"/>
      </tp>
      <tp t="s">
        <v>#N/A Requesting Data...4154447457</v>
        <stp/>
        <stp>BDP|8352089599786699633</stp>
        <tr r="AC1162" s="1"/>
        <tr r="AC1162" s="1"/>
      </tp>
      <tp t="s">
        <v>#N/A Requesting Data...3708952997</v>
        <stp/>
        <stp>BDP|3297291254952101791</stp>
        <tr r="AC1459" s="1"/>
        <tr r="AC1459" s="1"/>
      </tp>
      <tp t="s">
        <v>#N/A Requesting Data...3906364042</v>
        <stp/>
        <stp>BDP|2501070810453072153</stp>
        <tr r="AC353" s="1"/>
        <tr r="AC353" s="1"/>
      </tp>
      <tp t="s">
        <v>#N/A Requesting Data...3903085812</v>
        <stp/>
        <stp>BDP|3064884281720616287</stp>
        <tr r="AB1230" s="1"/>
        <tr r="AB1230" s="1"/>
      </tp>
      <tp t="s">
        <v>#N/A Requesting Data...3788976747</v>
        <stp/>
        <stp>BDP|3163156216423761121</stp>
        <tr r="Y1251" s="1"/>
        <tr r="Y1251" s="1"/>
      </tp>
      <tp t="s">
        <v>#N/A Requesting Data...3924436046</v>
        <stp/>
        <stp>BDP|6142902656559559255</stp>
        <tr r="AA750" s="1"/>
        <tr r="AA750" s="1"/>
      </tp>
      <tp t="s">
        <v>#N/A Requesting Data...3837149720</v>
        <stp/>
        <stp>BDP|8658585370632175983</stp>
        <tr r="AB1099" s="1"/>
        <tr r="AB1099" s="1"/>
      </tp>
      <tp t="s">
        <v>#N/A Requesting Data...3726091420</v>
        <stp/>
        <stp>BDP|8869845793589003183</stp>
        <tr r="AC1419" s="1"/>
        <tr r="AC1419" s="1"/>
      </tp>
      <tp t="s">
        <v>#N/A Requesting Data...4164776263</v>
        <stp/>
        <stp>BDP|5033522317932686246</stp>
        <tr r="AC1175" s="1"/>
        <tr r="AC1175" s="1"/>
      </tp>
      <tp t="s">
        <v>#N/A Requesting Data...3781968064</v>
        <stp/>
        <stp>BDP|5003206610276765139</stp>
        <tr r="AC41" s="1"/>
        <tr r="AC41" s="1"/>
      </tp>
      <tp t="s">
        <v>#N/A Requesting Data...3778609886</v>
        <stp/>
        <stp>BDP|2163904111628062349</stp>
        <tr r="Y796" s="1"/>
        <tr r="Y796" s="1"/>
      </tp>
      <tp t="s">
        <v>#N/A Requesting Data...3698499611</v>
        <stp/>
        <stp>BDP|1956192742162289743</stp>
        <tr r="Y288" s="1"/>
        <tr r="Y288" s="1"/>
      </tp>
      <tp t="s">
        <v>#N/A Requesting Data...4140999659</v>
        <stp/>
        <stp>BDP|7786361254077338727</stp>
        <tr r="AC976" s="1"/>
        <tr r="AC976" s="1"/>
      </tp>
      <tp t="s">
        <v>#N/A Requesting Data...3802637548</v>
        <stp/>
        <stp>BDP|3252662265954213673</stp>
        <tr r="AC1206" s="1"/>
        <tr r="AC1206" s="1"/>
      </tp>
      <tp t="s">
        <v>#N/A Requesting Data...3808710276</v>
        <stp/>
        <stp>BDP|8564029634662340842</stp>
        <tr r="Y587" s="1"/>
        <tr r="Y587" s="1"/>
      </tp>
      <tp t="s">
        <v>#N/A Requesting Data...4241202165</v>
        <stp/>
        <stp>BDP|5697269620643090741</stp>
        <tr r="AB564" s="1"/>
        <tr r="AB564" s="1"/>
      </tp>
      <tp t="s">
        <v>#N/A Requesting Data...4130554037</v>
        <stp/>
        <stp>BDP|1712641052017701421</stp>
        <tr r="AA1032" s="1"/>
        <tr r="AA1032" s="1"/>
      </tp>
      <tp t="s">
        <v>#N/A Requesting Data...4138435888</v>
        <stp/>
        <stp>BDP|5700075175493575047</stp>
        <tr r="AB965" s="1"/>
        <tr r="AB965" s="1"/>
      </tp>
      <tp t="s">
        <v>#N/A Requesting Data...4155376082</v>
        <stp/>
        <stp>BDP|7364560526695704400</stp>
        <tr r="Y534" s="1"/>
        <tr r="Y534" s="1"/>
      </tp>
      <tp t="s">
        <v>#N/A Requesting Data...4272279384</v>
        <stp/>
        <stp>BDP|4619777412021070272</stp>
        <tr r="Y759" s="1"/>
      </tp>
      <tp t="s">
        <v>#N/A Requesting Data...4185611361</v>
        <stp/>
        <stp>BDP|9203258344948362645</stp>
        <tr r="AC769" s="1"/>
        <tr r="AC769" s="1"/>
      </tp>
      <tp t="s">
        <v>#N/A Requesting Data...4238529127</v>
        <stp/>
        <stp>BDP|3802320715346354683</stp>
        <tr r="Y921" s="1"/>
        <tr r="Y921" s="1"/>
      </tp>
      <tp t="s">
        <v>#N/A Requesting Data...4131039872</v>
        <stp/>
        <stp>BDP|8742610684151694608</stp>
        <tr r="Z926" s="1"/>
        <tr r="Z926" s="1"/>
      </tp>
      <tp t="s">
        <v>#N/A Requesting Data...4160321908</v>
        <stp/>
        <stp>BDP|7897779199329461162</stp>
        <tr r="Y353" s="1"/>
        <tr r="Y353" s="1"/>
      </tp>
      <tp t="s">
        <v>#N/A Requesting Data...4117254501</v>
        <stp/>
        <stp>BDP|9399495581310883471</stp>
        <tr r="AA173" s="1"/>
        <tr r="AA173" s="1"/>
      </tp>
      <tp t="s">
        <v>#N/A Requesting Data...3799467525</v>
        <stp/>
        <stp>BDP|6460556377157059222</stp>
        <tr r="Z1180" s="1"/>
        <tr r="Z1180" s="1"/>
      </tp>
      <tp t="s">
        <v>#N/A Requesting Data...3959010013</v>
        <stp/>
        <stp>BDP|9924985517275257518</stp>
        <tr r="AA965" s="1"/>
        <tr r="AA965" s="1"/>
      </tp>
      <tp t="s">
        <v>#N/A Requesting Data...4047880390</v>
        <stp/>
        <stp>BDP|8396132796825194421</stp>
        <tr r="AC614" s="1"/>
      </tp>
      <tp t="s">
        <v>#N/A Requesting Data...4059814741</v>
        <stp/>
        <stp>BDP|4291864400039460451</stp>
        <tr r="AB1301" s="1"/>
        <tr r="AB1301" s="1"/>
      </tp>
      <tp t="s">
        <v>#N/A Requesting Data...3951490820</v>
        <stp/>
        <stp>BDP|1174244012554352719</stp>
        <tr r="Y1168" s="1"/>
        <tr r="Y1168" s="1"/>
      </tp>
      <tp t="s">
        <v>#N/A Requesting Data...3846009498</v>
        <stp/>
        <stp>BDP|7518588709236232532</stp>
        <tr r="AB1067" s="1"/>
        <tr r="AB1067" s="1"/>
      </tp>
      <tp t="s">
        <v>#N/A Requesting Data...3772371061</v>
        <stp/>
        <stp>BDP|9515114696136519628</stp>
        <tr r="AB1310" s="1"/>
        <tr r="AB1310" s="1"/>
      </tp>
      <tp t="s">
        <v>#N/A Requesting Data...4056275263</v>
        <stp/>
        <stp>BDP|3532108136400022061</stp>
        <tr r="Y820" s="1"/>
        <tr r="Y820" s="1"/>
      </tp>
      <tp t="s">
        <v>#N/A Requesting Data...3726848708</v>
        <stp/>
        <stp>BDP|2729949672505382878</stp>
        <tr r="AB154" s="1"/>
        <tr r="AB154" s="1"/>
      </tp>
      <tp t="s">
        <v>#N/A Requesting Data...3863872710</v>
        <stp/>
        <stp>BDP|6731081575636974662</stp>
        <tr r="Y178" s="1"/>
        <tr r="Y178" s="1"/>
      </tp>
      <tp t="s">
        <v>#N/A Requesting Data...4226793084</v>
        <stp/>
        <stp>BDP|3239202504766200616</stp>
        <tr r="Z1285" s="1"/>
        <tr r="Z1285" s="1"/>
      </tp>
      <tp t="s">
        <v>#N/A Requesting Data...3732372569</v>
        <stp/>
        <stp>BDP|5312856760932746849</stp>
        <tr r="Y599" s="1"/>
        <tr r="Y599" s="1"/>
      </tp>
      <tp t="s">
        <v>#N/A Requesting Data...4023688558</v>
        <stp/>
        <stp>BDP|7576556314754655674</stp>
        <tr r="AB1153" s="1"/>
        <tr r="AB1153" s="1"/>
      </tp>
      <tp t="s">
        <v>#N/A Requesting Data...3760828083</v>
        <stp/>
        <stp>BDP|5788309261793624252</stp>
        <tr r="AB1120" s="1"/>
        <tr r="AB1120" s="1"/>
      </tp>
      <tp t="s">
        <v>#N/A Requesting Data...4019440169</v>
        <stp/>
        <stp>BDP|1316855987648314875</stp>
        <tr r="Y797" s="1"/>
        <tr r="Y797" s="1"/>
      </tp>
      <tp>
        <v>2.0699999999999998</v>
        <stp/>
        <stp>BDP|5514490183347838574|22</stp>
        <stp>NKTX US Equity</stp>
        <stp>LAST_PRICE</stp>
        <tr r="AD1045" s="1"/>
        <tr r="AD1045" s="1"/>
      </tp>
      <tp>
        <v>14</v>
        <stp/>
        <stp>BDP|6095234950986755528|22</stp>
        <stp>GHRS US Equity</stp>
        <stp>LAST_PRICE</stp>
        <tr r="AD647" s="1"/>
        <tr r="AD647" s="1"/>
      </tp>
      <tp>
        <v>1.96</v>
        <stp/>
        <stp>BDP|7224555561049030608|22</stp>
        <stp>NERV US Equity</stp>
        <stp>LAST_PRICE</stp>
        <tr r="AD960" s="1"/>
        <tr r="AD960" s="1"/>
      </tp>
      <tp>
        <v>1E-4</v>
        <stp/>
        <stp>BDP|4055176325852626144|22</stp>
        <stp>MHTX US Equity</stp>
        <stp>LAST_PRICE</stp>
        <tr r="AD900" s="1"/>
        <tr r="AD900" s="1"/>
      </tp>
      <tp>
        <v>1.2</v>
        <stp/>
        <stp>BDP|7649943080727282348|22</stp>
        <stp>HYPR US Equity</stp>
        <stp>LAST_PRICE</stp>
        <tr r="AD708" s="1"/>
        <tr r="AD708" s="1"/>
      </tp>
      <tp>
        <v>7.52</v>
        <stp/>
        <stp>BDP|8695767586225023565|22</stp>
        <stp>ELTX US Equity</stp>
        <stp>LAST_PRICE</stp>
        <tr r="AD544" s="1"/>
        <tr r="AD544" s="1"/>
      </tp>
      <tp>
        <v>0.28000000000000003</v>
        <stp/>
        <stp>BDP|7957517469129219149|22</stp>
        <stp>SONA CN Equity</stp>
        <stp>LAST_PRICE</stp>
        <tr r="AD1371" s="1"/>
        <tr r="AD1371" s="1"/>
      </tp>
      <tp>
        <v>0.25979999999999998</v>
        <stp/>
        <stp>BDP|9062922134068356584|22</stp>
        <stp>GLYC US Equity</stp>
        <stp>LAST_PRICE</stp>
        <tr r="AD656" s="1"/>
        <tr r="AD656" s="1"/>
      </tp>
      <tp>
        <v>1.36</v>
        <stp/>
        <stp>BDP|2414108482175128839|22</stp>
        <stp>KAPA US Equity</stp>
        <stp>LAST_PRICE</stp>
        <tr r="AD819" s="1"/>
        <tr r="AD819" s="1"/>
      </tp>
      <tp>
        <v>0.69599999999999995</v>
        <stp/>
        <stp>BDP|2844605869346610710|22</stp>
        <stp>BMRA US Equity</stp>
        <stp>LAST_PRICE</stp>
        <tr r="AD271" s="1"/>
        <tr r="AD271" s="1"/>
      </tp>
      <tp>
        <v>7.72</v>
        <stp/>
        <stp>BDP|9065559570738629758|22</stp>
        <stp>ZVRA US Equity</stp>
        <stp>LAST_PRICE</stp>
        <tr r="AD1612" s="1"/>
        <tr r="AD1612" s="1"/>
      </tp>
      <tp>
        <v>8.1999999999999993</v>
        <stp/>
        <stp>BDP|5461384206120542030|22</stp>
        <stp>MDXG US Equity</stp>
        <stp>LAST_PRICE</stp>
        <tr r="AD956" s="1"/>
        <tr r="AD956" s="1"/>
      </tp>
      <tp>
        <v>17.89</v>
        <stp/>
        <stp>BDP|7591056065675755619|22</stp>
        <stp>MDWD US Equity</stp>
        <stp>LAST_PRICE</stp>
        <tr r="AD929" s="1"/>
        <tr r="AD929" s="1"/>
      </tp>
      <tp t="s">
        <v>#N/A Requesting Data...4132327984</v>
        <stp/>
        <stp>BDP|8728203792744776588</stp>
        <tr r="AB354" s="1"/>
        <tr r="AB354" s="1"/>
      </tp>
      <tp t="s">
        <v>#N/A Requesting Data...3887863249</v>
        <stp/>
        <stp>BDP|8174603135586805969</stp>
        <tr r="Z749" s="1"/>
        <tr r="Z749" s="1"/>
      </tp>
      <tp t="s">
        <v>#N/A Requesting Data...4236269498</v>
        <stp/>
        <stp>BDP|4893204145495559527</stp>
        <tr r="AA396" s="1"/>
        <tr r="AA396" s="1"/>
      </tp>
      <tp t="s">
        <v>#N/A Requesting Data...4233831241</v>
        <stp/>
        <stp>BDP|3261174826543953109</stp>
        <tr r="AA935" s="1"/>
        <tr r="AA935" s="1"/>
      </tp>
      <tp t="s">
        <v>#N/A Requesting Data...4063990827</v>
        <stp/>
        <stp>BDP|5508462552137392180</stp>
        <tr r="AB958" s="1"/>
        <tr r="AB958" s="1"/>
      </tp>
      <tp t="s">
        <v>#N/A Requesting Data...4289626649</v>
        <stp/>
        <stp>BDP|9693108870938436581</stp>
        <tr r="Z1366" s="1"/>
        <tr r="Z1366" s="1"/>
      </tp>
      <tp t="s">
        <v>#N/A Requesting Data...4264296294</v>
        <stp/>
        <stp>BDP|5889931285535705330</stp>
        <tr r="Z562" s="1"/>
        <tr r="Z562" s="1"/>
      </tp>
      <tp t="s">
        <v>#N/A Requesting Data...4097666791</v>
        <stp/>
        <stp>BDP|7296306128595725174</stp>
        <tr r="AC294" s="1"/>
        <tr r="AC294" s="1"/>
      </tp>
      <tp t="s">
        <v>#N/A Requesting Data...4011908141</v>
        <stp/>
        <stp>BDP|2650048131051905202</stp>
        <tr r="AA1404" s="1"/>
        <tr r="AA1404" s="1"/>
      </tp>
      <tp t="s">
        <v>#N/A Requesting Data...4158128986</v>
        <stp/>
        <stp>BDP|3667623988149296643</stp>
        <tr r="AA214" s="1"/>
        <tr r="AA214" s="1"/>
      </tp>
      <tp t="s">
        <v>#N/A Requesting Data...4006484535</v>
        <stp/>
        <stp>BDP|4986596099183377909</stp>
        <tr r="AB1126" s="1"/>
        <tr r="AB1126" s="1"/>
      </tp>
      <tp t="s">
        <v>#N/A Requesting Data...4011100220</v>
        <stp/>
        <stp>BDP|7752195981849290571</stp>
        <tr r="Y802" s="1"/>
        <tr r="Y802" s="1"/>
      </tp>
      <tp t="s">
        <v>#N/A Requesting Data...4186573450</v>
        <stp/>
        <stp>BDP|2898786267469914849</stp>
        <tr r="AC1488" s="1"/>
        <tr r="AC1488" s="1"/>
      </tp>
      <tp t="s">
        <v>#N/A Requesting Data...3968039449</v>
        <stp/>
        <stp>BDP|8023947773293924746</stp>
        <tr r="Y1030" s="1"/>
        <tr r="Y1030" s="1"/>
      </tp>
      <tp t="s">
        <v>#N/A Requesting Data...4051519401</v>
        <stp/>
        <stp>BDP|3669750356970856378</stp>
        <tr r="Z333" s="1"/>
      </tp>
      <tp t="s">
        <v>#N/A Requesting Data...4250522417</v>
        <stp/>
        <stp>BDP|2839169245047071218</stp>
        <tr r="AC264" s="1"/>
        <tr r="AC264" s="1"/>
      </tp>
      <tp t="s">
        <v>#N/A Requesting Data...3972635206</v>
        <stp/>
        <stp>BDP|5745950099653748463</stp>
        <tr r="Z443" s="1"/>
        <tr r="Z443" s="1"/>
      </tp>
      <tp t="s">
        <v>#N/A Requesting Data...3765767170</v>
        <stp/>
        <stp>BDP|1215362371297709085</stp>
        <tr r="Y226" s="1"/>
        <tr r="Y226" s="1"/>
      </tp>
      <tp t="s">
        <v>#N/A Requesting Data...4200294990</v>
        <stp/>
        <stp>BDP|7716463240725970025</stp>
        <tr r="AC1336" s="1"/>
        <tr r="AC1336" s="1"/>
      </tp>
      <tp t="s">
        <v>#N/A Requesting Data...3902275516</v>
        <stp/>
        <stp>BDP|3120708759671488263</stp>
        <tr r="Z370" s="1"/>
        <tr r="Z370" s="1"/>
      </tp>
      <tp t="s">
        <v>#N/A Requesting Data...3844069270</v>
        <stp/>
        <stp>BDP|6522799474675208114</stp>
        <tr r="Z1284" s="1"/>
        <tr r="Z1284" s="1"/>
      </tp>
      <tp t="s">
        <v>#N/A Requesting Data...3773991030</v>
        <stp/>
        <stp>BDP|1234892982224761759</stp>
        <tr r="AB1305" s="1"/>
        <tr r="AB1305" s="1"/>
      </tp>
      <tp t="s">
        <v>#N/A Requesting Data...3901432299</v>
        <stp/>
        <stp>BDP|8047707338227249919</stp>
        <tr r="Y1321" s="1"/>
        <tr r="Y1321" s="1"/>
      </tp>
      <tp t="s">
        <v>#N/A Requesting Data...3936299490</v>
        <stp/>
        <stp>BDP|6510984764818132331</stp>
        <tr r="Z1481" s="1"/>
        <tr r="Z1481" s="1"/>
      </tp>
      <tp t="s">
        <v>#N/A Requesting Data...4168879639</v>
        <stp/>
        <stp>BDP|3639889312910458838</stp>
        <tr r="AA497" s="1"/>
        <tr r="AA497" s="1"/>
      </tp>
      <tp t="s">
        <v>#N/A Requesting Data...3874047566</v>
        <stp/>
        <stp>BDP|5370917455698480380</stp>
        <tr r="AB929" s="1"/>
        <tr r="AB929" s="1"/>
      </tp>
      <tp t="s">
        <v>#N/A Requesting Data...4093010164</v>
        <stp/>
        <stp>BDP|8191587853673309928</stp>
        <tr r="Z1395" s="1"/>
        <tr r="Z1395" s="1"/>
      </tp>
      <tp t="s">
        <v>#N/A Requesting Data...4260119208</v>
        <stp/>
        <stp>BDP|2817863583721340151</stp>
        <tr r="AA402" s="1"/>
        <tr r="AA402" s="1"/>
      </tp>
      <tp t="s">
        <v>#N/A Requesting Data...4163736853</v>
        <stp/>
        <stp>BDP|3481789251460575332</stp>
        <tr r="Z276" s="1"/>
        <tr r="Z276" s="1"/>
      </tp>
      <tp t="s">
        <v>#N/A Requesting Data...4114807306</v>
        <stp/>
        <stp>BDP|3194147078112288544</stp>
        <tr r="AA859" s="1"/>
        <tr r="AA859" s="1"/>
      </tp>
      <tp t="s">
        <v>#N/A Requesting Data...4247084117</v>
        <stp/>
        <stp>BDP|9950752601834592833</stp>
        <tr r="AC193" s="1"/>
        <tr r="AC193" s="1"/>
      </tp>
      <tp t="s">
        <v>#N/A Requesting Data...4005850921</v>
        <stp/>
        <stp>BDP|7373270872604965442</stp>
        <tr r="AC171" s="1"/>
        <tr r="AC171" s="1"/>
      </tp>
      <tp t="s">
        <v>#N/A Requesting Data...3806289937</v>
        <stp/>
        <stp>BDP|3713091251754303073</stp>
        <tr r="Z977" s="1"/>
        <tr r="Z977" s="1"/>
      </tp>
      <tp t="s">
        <v>#N/A Requesting Data...4244935436</v>
        <stp/>
        <stp>BDP|3804058594871511975</stp>
        <tr r="Y1061" s="1"/>
        <tr r="Y1061" s="1"/>
      </tp>
      <tp t="s">
        <v>#N/A Requesting Data...3929867649</v>
        <stp/>
        <stp>BDP|1751051132311347184</stp>
        <tr r="AA234" s="1"/>
        <tr r="AA234" s="1"/>
      </tp>
      <tp t="s">
        <v>#N/A Requesting Data...3889166399</v>
        <stp/>
        <stp>BDP|2023746680599607696</stp>
        <tr r="Y777" s="1"/>
        <tr r="Y777" s="1"/>
      </tp>
      <tp>
        <v>10.27</v>
        <stp/>
        <stp>BDP|12939103257717836050|22</stp>
        <stp>BVS US Equity</stp>
        <stp>LAST_PRICE</stp>
        <tr r="AD286" s="1"/>
        <tr r="AD286" s="1"/>
      </tp>
      <tp>
        <v>0.04</v>
        <stp/>
        <stp>BDP|11627365236828382420|22</stp>
        <stp>MGW CN Equity</stp>
        <stp>LAST_PRICE</stp>
        <tr r="AD903" s="1"/>
        <tr r="AD903" s="1"/>
      </tp>
      <tp t="s">
        <v>#N/A Requesting Data...4182903727</v>
        <stp/>
        <stp>BDP|8407989929948483990</stp>
        <tr r="Z1443" s="1"/>
        <tr r="Z1443" s="1"/>
      </tp>
      <tp t="s">
        <v>#N/A Requesting Data...3812942560</v>
        <stp/>
        <stp>BDP|9647414412267811958</stp>
        <tr r="AC885" s="1"/>
        <tr r="AC885" s="1"/>
      </tp>
      <tp t="s">
        <v>#N/A Requesting Data...3990048845</v>
        <stp/>
        <stp>BDP|7691060750062022280</stp>
        <tr r="AB1495" s="1"/>
      </tp>
      <tp t="s">
        <v>#N/A Requesting Data...3782746831</v>
        <stp/>
        <stp>BDP|9874674727196719978</stp>
        <tr r="AA849" s="1"/>
        <tr r="AA849" s="1"/>
      </tp>
      <tp t="s">
        <v>#N/A Requesting Data...3997431713</v>
        <stp/>
        <stp>BDP|1239789204234029060</stp>
        <tr r="AB1232" s="1"/>
        <tr r="AB1232" s="1"/>
      </tp>
      <tp t="s">
        <v>#N/A Requesting Data...3971290313</v>
        <stp/>
        <stp>BDP|9202693780413099634</stp>
        <tr r="Z1306" s="1"/>
        <tr r="Z1306" s="1"/>
      </tp>
      <tp t="s">
        <v>#N/A Requesting Data...3868523803</v>
        <stp/>
        <stp>BDP|4401217325804838201</stp>
        <tr r="Y306" s="1"/>
        <tr r="Y306" s="1"/>
      </tp>
      <tp t="s">
        <v>#N/A Requesting Data...4006851525</v>
        <stp/>
        <stp>BDP|3119336728283790353</stp>
        <tr r="Z1034" s="1"/>
        <tr r="Z1034" s="1"/>
      </tp>
      <tp t="s">
        <v>#N/A Requesting Data...4043659034</v>
        <stp/>
        <stp>BDP|4049587823420137124</stp>
        <tr r="Z292" s="1"/>
        <tr r="Z292" s="1"/>
      </tp>
      <tp t="s">
        <v>#N/A Requesting Data...4144220822</v>
        <stp/>
        <stp>BDP|4811662026431435344</stp>
        <tr r="AB738" s="1"/>
        <tr r="AB738" s="1"/>
      </tp>
      <tp t="s">
        <v>#N/A Requesting Data...4041874900</v>
        <stp/>
        <stp>BDP|5534361128311027733</stp>
        <tr r="AB69" s="1"/>
        <tr r="AB69" s="1"/>
      </tp>
      <tp t="s">
        <v>#N/A Requesting Data...4089232606</v>
        <stp/>
        <stp>BDP|3909395875450404592</stp>
        <tr r="Y164" s="1"/>
        <tr r="Y164" s="1"/>
      </tp>
      <tp t="s">
        <v>#N/A Requesting Data...4183936652</v>
        <stp/>
        <stp>BDP|1058956170849815458</stp>
        <tr r="Y1174" s="1"/>
        <tr r="Y1174" s="1"/>
      </tp>
      <tp t="s">
        <v>#N/A Requesting Data...3972582072</v>
        <stp/>
        <stp>BDP|9829264228703772894</stp>
        <tr r="AB1158" s="1"/>
        <tr r="AB1158" s="1"/>
      </tp>
      <tp t="s">
        <v>#N/A Requesting Data...3867493664</v>
        <stp/>
        <stp>BDP|7837160303145251172</stp>
        <tr r="Z1219" s="1"/>
        <tr r="Z1219" s="1"/>
      </tp>
      <tp t="s">
        <v>#N/A Requesting Data...4095090771</v>
        <stp/>
        <stp>BDP|3077288618926013483</stp>
        <tr r="AC1495" s="1"/>
      </tp>
      <tp t="s">
        <v>#N/A Requesting Data...3831711817</v>
        <stp/>
        <stp>BDP|6432418932804661791</stp>
        <tr r="AB455" s="1"/>
        <tr r="AB455" s="1"/>
      </tp>
      <tp t="s">
        <v>#N/A Requesting Data...3757973978</v>
        <stp/>
        <stp>BDP|6589241290929188691</stp>
        <tr r="AB783" s="1"/>
        <tr r="AB783" s="1"/>
      </tp>
      <tp t="s">
        <v>#N/A Requesting Data...4279466852</v>
        <stp/>
        <stp>BDP|1494161638041094038</stp>
        <tr r="AC138" s="1"/>
      </tp>
      <tp t="s">
        <v>#N/A Requesting Data...4188056744</v>
        <stp/>
        <stp>BDP|2060662218520694710</stp>
        <tr r="AA164" s="1"/>
        <tr r="AA164" s="1"/>
      </tp>
      <tp t="s">
        <v>#N/A Requesting Data...4070447342</v>
        <stp/>
        <stp>BDP|3925413408433864618</stp>
        <tr r="AA1115" s="1"/>
        <tr r="AA1115" s="1"/>
      </tp>
      <tp t="s">
        <v>#N/A Requesting Data...4260406916</v>
        <stp/>
        <stp>BDP|5351616651520347498</stp>
        <tr r="AB1437" s="1"/>
        <tr r="AB1437" s="1"/>
      </tp>
      <tp t="s">
        <v>#N/A Requesting Data...3921553385</v>
        <stp/>
        <stp>BDP|2777251538953179222</stp>
        <tr r="Y619" s="1"/>
        <tr r="Y619" s="1"/>
      </tp>
      <tp t="s">
        <v>#N/A Requesting Data...3916937726</v>
        <stp/>
        <stp>BDP|3490720575099953831</stp>
        <tr r="Y653" s="1"/>
        <tr r="Y653" s="1"/>
      </tp>
      <tp t="s">
        <v>#N/A Requesting Data...4010524277</v>
        <stp/>
        <stp>BDP|4623648878330528767</stp>
        <tr r="Y911" s="1"/>
        <tr r="Y911" s="1"/>
      </tp>
      <tp t="s">
        <v>#N/A Requesting Data...3981510959</v>
        <stp/>
        <stp>BDP|7707639149714116350</stp>
        <tr r="AB1195" s="1"/>
        <tr r="AB1195" s="1"/>
      </tp>
      <tp t="s">
        <v>#N/A Requesting Data...3752820328</v>
        <stp/>
        <stp>BDP|4813663156523689670</stp>
        <tr r="Y798" s="1"/>
        <tr r="Y798" s="1"/>
      </tp>
      <tp t="s">
        <v>#N/A Requesting Data...4161464161</v>
        <stp/>
        <stp>BDP|1083315854585917057</stp>
        <tr r="Y1315" s="1"/>
        <tr r="Y1315" s="1"/>
      </tp>
      <tp t="s">
        <v>#N/A Requesting Data...4215455282</v>
        <stp/>
        <stp>BDP|5937427109824270795</stp>
        <tr r="Y262" s="1"/>
        <tr r="Y262" s="1"/>
      </tp>
      <tp t="s">
        <v>#N/A Requesting Data...3878206014</v>
        <stp/>
        <stp>BDP|6861181962716864538</stp>
        <tr r="Z948" s="1"/>
        <tr r="Z948" s="1"/>
      </tp>
      <tp t="s">
        <v>#N/A Requesting Data...4287693876</v>
        <stp/>
        <stp>BDP|1329505058283054023</stp>
        <tr r="AB1415" s="1"/>
        <tr r="AB1415" s="1"/>
      </tp>
      <tp t="s">
        <v>#N/A Requesting Data...3866608011</v>
        <stp/>
        <stp>BDP|8665119685455961628</stp>
        <tr r="Y1157" s="1"/>
        <tr r="Y1157" s="1"/>
      </tp>
      <tp t="s">
        <v>#N/A Requesting Data...4101531213</v>
        <stp/>
        <stp>BDP|5447366230141945623</stp>
        <tr r="AA704" s="1"/>
        <tr r="AA704" s="1"/>
      </tp>
      <tp t="s">
        <v>#N/A Requesting Data...4099330064</v>
        <stp/>
        <stp>BDP|8432531086321125697</stp>
        <tr r="AB1503" s="1"/>
        <tr r="AB1503" s="1"/>
      </tp>
      <tp t="s">
        <v>#N/A Requesting Data...4284735370</v>
        <stp/>
        <stp>BDP|8501829688239767319</stp>
        <tr r="Z1225" s="1"/>
        <tr r="Z1225" s="1"/>
      </tp>
      <tp t="s">
        <v>#N/A Requesting Data...4209762247</v>
        <stp/>
        <stp>BDP|9513992321677233760</stp>
        <tr r="AC1469" s="1"/>
        <tr r="AC1469" s="1"/>
      </tp>
      <tp t="s">
        <v>#N/A Requesting Data...4233285551</v>
        <stp/>
        <stp>BDP|1883487198249283733</stp>
        <tr r="AB1166" s="1"/>
        <tr r="AB1166" s="1"/>
      </tp>
      <tp t="s">
        <v>#N/A Requesting Data...3813366252</v>
        <stp/>
        <stp>BDP|6976433886821324968</stp>
        <tr r="AA1556" s="1"/>
        <tr r="AA1556" s="1"/>
      </tp>
      <tp t="s">
        <v>#N/A Requesting Data...3954067181</v>
        <stp/>
        <stp>BDP|8236670789901422561</stp>
        <tr r="AB1452" s="1"/>
        <tr r="AB1452" s="1"/>
      </tp>
      <tp t="s">
        <v>#N/A Requesting Data...3969788887</v>
        <stp/>
        <stp>BDP|6267947651309126188</stp>
        <tr r="AA382" s="1"/>
        <tr r="AA382" s="1"/>
      </tp>
      <tp t="s">
        <v>#N/A Requesting Data...3900398780</v>
        <stp/>
        <stp>BDP|9245131034908806137</stp>
        <tr r="Z758" s="1"/>
        <tr r="Z758" s="1"/>
      </tp>
      <tp t="s">
        <v>#N/A Requesting Data...4071588553</v>
        <stp/>
        <stp>BDP|7249789186292772855</stp>
        <tr r="Z609" s="1"/>
        <tr r="Z609" s="1"/>
      </tp>
      <tp t="s">
        <v>#N/A Requesting Data...4130415335</v>
        <stp/>
        <stp>BDP|7005544619086117729</stp>
        <tr r="Z1171" s="1"/>
        <tr r="Z1171" s="1"/>
      </tp>
      <tp t="s">
        <v>#N/A Requesting Data...4145682102</v>
        <stp/>
        <stp>BDP|6294783816066755453</stp>
        <tr r="AB639" s="1"/>
        <tr r="AB639" s="1"/>
      </tp>
      <tp t="s">
        <v>#N/A Requesting Data...4125964647</v>
        <stp/>
        <stp>BDP|6557233178898335931</stp>
        <tr r="AB1396" s="1"/>
        <tr r="AB1396" s="1"/>
      </tp>
      <tp t="s">
        <v>#N/A Requesting Data...3908957378</v>
        <stp/>
        <stp>BDP|5940260023287519076</stp>
        <tr r="AC1134" s="1"/>
        <tr r="AC1134" s="1"/>
      </tp>
      <tp t="s">
        <v>#N/A Requesting Data...4274525842</v>
        <stp/>
        <stp>BDP|6497291440427584567</stp>
        <tr r="AA1591" s="1"/>
        <tr r="AA1591" s="1"/>
      </tp>
      <tp t="s">
        <v>#N/A Requesting Data...3815906325</v>
        <stp/>
        <stp>BDP|8606090496086627511</stp>
        <tr r="AC1603" s="1"/>
        <tr r="AC1603" s="1"/>
      </tp>
      <tp t="s">
        <v>#N/A Requesting Data...4065373402</v>
        <stp/>
        <stp>BDP|3082956876867847850</stp>
        <tr r="Y1496" s="1"/>
        <tr r="Y1496" s="1"/>
      </tp>
      <tp t="s">
        <v>#N/A Requesting Data...3908320557</v>
        <stp/>
        <stp>BDP|2976334167153355602</stp>
        <tr r="AA1192" s="1"/>
        <tr r="AA1192" s="1"/>
      </tp>
      <tp t="s">
        <v>#N/A Requesting Data...3998941439</v>
        <stp/>
        <stp>BDP|1189391131823072073</stp>
        <tr r="AA1449" s="1"/>
        <tr r="AA1449" s="1"/>
      </tp>
      <tp t="s">
        <v>#N/A Requesting Data...3773735573</v>
        <stp/>
        <stp>BDP|4572650268045393359</stp>
        <tr r="AB159" s="1"/>
        <tr r="AB159" s="1"/>
      </tp>
      <tp t="s">
        <v>#N/A Requesting Data...3874660201</v>
        <stp/>
        <stp>BDP|4238191676914651459</stp>
        <tr r="AB938" s="1"/>
        <tr r="AB938" s="1"/>
      </tp>
      <tp>
        <v>4.22</v>
        <stp/>
        <stp>BDP|12368710176505650167|22</stp>
        <stp>HLS CN Equity</stp>
        <stp>LAST_PRICE</stp>
        <tr r="AD701" s="1"/>
        <tr r="AD701" s="1"/>
      </tp>
      <tp t="s">
        <v>#N/A Requesting Data...4058548146</v>
        <stp/>
        <stp>BDP|7195895165333247800</stp>
        <tr r="Z1450" s="1"/>
        <tr r="Z1450" s="1"/>
      </tp>
      <tp t="s">
        <v>#N/A Requesting Data...4285130685</v>
        <stp/>
        <stp>BDP|3760787435951760425</stp>
        <tr r="AA1096" s="1"/>
        <tr r="AA1096" s="1"/>
      </tp>
      <tp t="s">
        <v>#N/A Requesting Data...4006317775</v>
        <stp/>
        <stp>BDP|5047111977515127489</stp>
        <tr r="AC450" s="1"/>
        <tr r="AC450" s="1"/>
      </tp>
      <tp t="s">
        <v>#N/A Requesting Data...4094062361</v>
        <stp/>
        <stp>BDP|7414588723211353334</stp>
        <tr r="AA829" s="1"/>
        <tr r="AA829" s="1"/>
      </tp>
      <tp t="s">
        <v>#N/A Requesting Data...4213385593</v>
        <stp/>
        <stp>BDP|1808719083225401916</stp>
        <tr r="AA737" s="1"/>
        <tr r="AA737" s="1"/>
      </tp>
      <tp t="s">
        <v>#N/A Requesting Data...3977681709</v>
        <stp/>
        <stp>BDP|5503052461431935079</stp>
        <tr r="AA46" s="1"/>
        <tr r="AA46" s="1"/>
      </tp>
      <tp t="s">
        <v>#N/A Requesting Data...3914355463</v>
        <stp/>
        <stp>BDP|3090230719395556703</stp>
        <tr r="AC1098" s="1"/>
        <tr r="AC1098" s="1"/>
      </tp>
      <tp t="s">
        <v>#N/A Requesting Data...4265978560</v>
        <stp/>
        <stp>BDP|6037797976543467749</stp>
        <tr r="AB162" s="1"/>
        <tr r="AB162" s="1"/>
      </tp>
      <tp t="s">
        <v>#N/A Requesting Data...4153267378</v>
        <stp/>
        <stp>BDP|9663313060356950813</stp>
        <tr r="AC1517" s="1"/>
        <tr r="AC1517" s="1"/>
      </tp>
      <tp t="s">
        <v>#N/A Requesting Data...4180030435</v>
        <stp/>
        <stp>BDP|7427882947311330870</stp>
        <tr r="AB754" s="1"/>
        <tr r="AB754" s="1"/>
      </tp>
      <tp t="s">
        <v>#N/A Requesting Data...3822935752</v>
        <stp/>
        <stp>BDP|5531113956900898353</stp>
        <tr r="AB695" s="1"/>
        <tr r="AB695" s="1"/>
      </tp>
      <tp t="s">
        <v>#N/A Requesting Data...3808760304</v>
        <stp/>
        <stp>BDP|6378966482272926712</stp>
        <tr r="AB1374" s="1"/>
        <tr r="AB1374" s="1"/>
      </tp>
      <tp t="s">
        <v>#N/A Requesting Data...3995969669</v>
        <stp/>
        <stp>BDP|9758457743213904873</stp>
        <tr r="AB1464" s="1"/>
        <tr r="AB1464" s="1"/>
      </tp>
      <tp t="s">
        <v>#N/A Requesting Data...3812173568</v>
        <stp/>
        <stp>BDP|3180132168646581006</stp>
        <tr r="Z131" s="1"/>
        <tr r="Z131" s="1"/>
      </tp>
      <tp t="s">
        <v>#N/A Requesting Data...4230931926</v>
        <stp/>
        <stp>BDP|7641377567331973101</stp>
        <tr r="AA1362" s="1"/>
        <tr r="AA1362" s="1"/>
      </tp>
      <tp t="s">
        <v>#N/A Requesting Data...3937051363</v>
        <stp/>
        <stp>BDP|8608661309005648903</stp>
        <tr r="Z1401" s="1"/>
        <tr r="Z1401" s="1"/>
      </tp>
      <tp t="s">
        <v>#N/A Requesting Data...4204530131</v>
        <stp/>
        <stp>BDP|2944342610323228101</stp>
        <tr r="Y430" s="1"/>
        <tr r="Y430" s="1"/>
      </tp>
      <tp t="s">
        <v>#N/A Requesting Data...3819986911</v>
        <stp/>
        <stp>BDP|2049482927334592267</stp>
        <tr r="Z258" s="1"/>
        <tr r="Z258" s="1"/>
      </tp>
      <tp t="s">
        <v>#N/A Requesting Data...4217736035</v>
        <stp/>
        <stp>BDP|1319139129440700027</stp>
        <tr r="AB1446" s="1"/>
        <tr r="AB1446" s="1"/>
      </tp>
      <tp t="s">
        <v>#N/A Requesting Data...4211149599</v>
        <stp/>
        <stp>BDP|8551159587291930226</stp>
        <tr r="Y1002" s="1"/>
        <tr r="Y1002" s="1"/>
      </tp>
      <tp t="s">
        <v>#N/A Requesting Data...3914137671</v>
        <stp/>
        <stp>BDP|2772357518810662204</stp>
        <tr r="AB1009" s="1"/>
        <tr r="AB1009" s="1"/>
      </tp>
      <tp t="s">
        <v>#N/A Requesting Data...4285418606</v>
        <stp/>
        <stp>BDP|2857284404855805703</stp>
        <tr r="AB761" s="1"/>
        <tr r="AB761" s="1"/>
      </tp>
      <tp t="s">
        <v>#N/A Requesting Data...3818133887</v>
        <stp/>
        <stp>BDP|3018628528122444721</stp>
        <tr r="Y586" s="1"/>
        <tr r="Y586" s="1"/>
      </tp>
      <tp t="s">
        <v>#N/A Requesting Data...4057548093</v>
        <stp/>
        <stp>BDP|9613774166982376887</stp>
        <tr r="Y298" s="1"/>
        <tr r="Y298" s="1"/>
      </tp>
      <tp t="s">
        <v>#N/A Requesting Data...4123366392</v>
        <stp/>
        <stp>BDP|1959044641344740378</stp>
        <tr r="Z216" s="1"/>
        <tr r="Z216" s="1"/>
      </tp>
      <tp t="s">
        <v>#N/A Requesting Data...4153458348</v>
        <stp/>
        <stp>BDP|5360395729270736683</stp>
        <tr r="AC1532" s="1"/>
        <tr r="AC1532" s="1"/>
      </tp>
      <tp t="s">
        <v>#N/A Requesting Data...4163054353</v>
        <stp/>
        <stp>BDP|3232005808241230046</stp>
        <tr r="AC675" s="1"/>
        <tr r="AC675" s="1"/>
      </tp>
      <tp t="s">
        <v>#N/A Requesting Data...4277431835</v>
        <stp/>
        <stp>BDP|7640603960071900434</stp>
        <tr r="Y852" s="1"/>
        <tr r="Y852" s="1"/>
      </tp>
      <tp t="s">
        <v>#N/A Requesting Data...4079433428</v>
        <stp/>
        <stp>BDP|8044298914961448853</stp>
        <tr r="AA1428" s="1"/>
        <tr r="AA1428" s="1"/>
      </tp>
      <tp t="s">
        <v>#N/A Requesting Data...4073526546</v>
        <stp/>
        <stp>BDP|8597384981627884681</stp>
        <tr r="AB315" s="1"/>
        <tr r="AB315" s="1"/>
      </tp>
      <tp t="s">
        <v>#N/A Requesting Data...4062545548</v>
        <stp/>
        <stp>BDP|5713980987084646221</stp>
        <tr r="AB140" s="1"/>
        <tr r="AB140" s="1"/>
      </tp>
      <tp t="s">
        <v>#N/A Requesting Data...4225738778</v>
        <stp/>
        <stp>BDP|8443123795841831378</stp>
        <tr r="AB1536" s="1"/>
        <tr r="AB1536" s="1"/>
      </tp>
      <tp t="s">
        <v>#N/A Requesting Data...4274606230</v>
        <stp/>
        <stp>BDP|6663115544444650594</stp>
        <tr r="AC1462" s="1"/>
        <tr r="AC1462" s="1"/>
      </tp>
      <tp t="s">
        <v>#N/A Requesting Data...3840862434</v>
        <stp/>
        <stp>BDP|3229795097527926896</stp>
        <tr r="AC333" s="1"/>
      </tp>
      <tp t="s">
        <v>#N/A Requesting Data...3823885589</v>
        <stp/>
        <stp>BDP|6264710945140881729</stp>
        <tr r="AC947" s="1"/>
        <tr r="AC947" s="1"/>
      </tp>
      <tp t="s">
        <v>#N/A Requesting Data...4204751749</v>
        <stp/>
        <stp>BDP|8679926249636351124</stp>
        <tr r="AA1370" s="1"/>
        <tr r="AA1370" s="1"/>
      </tp>
      <tp t="s">
        <v>#N/A Requesting Data...4047125966</v>
        <stp/>
        <stp>BDP|2895052428447068581</stp>
        <tr r="AC1403" s="1"/>
        <tr r="AC1403" s="1"/>
      </tp>
      <tp t="s">
        <v>#N/A Requesting Data...3892095114</v>
        <stp/>
        <stp>BDP|6433060559888226942</stp>
        <tr r="AB1229" s="1"/>
        <tr r="AB1229" s="1"/>
      </tp>
      <tp t="s">
        <v>#N/A Requesting Data...3999878098</v>
        <stp/>
        <stp>BDP|6364799376616450256</stp>
        <tr r="AC1338" s="1"/>
        <tr r="AC1338" s="1"/>
      </tp>
      <tp t="s">
        <v>#N/A Requesting Data...3933149046</v>
        <stp/>
        <stp>BDP|7230178208834598050</stp>
        <tr r="AB775" s="1"/>
        <tr r="AB775" s="1"/>
      </tp>
      <tp t="s">
        <v>#N/A Requesting Data...3846114543</v>
        <stp/>
        <stp>BDP|2084382425030142112</stp>
        <tr r="AA1214" s="1"/>
        <tr r="AA1214" s="1"/>
      </tp>
      <tp t="s">
        <v>#N/A Requesting Data...4152555633</v>
        <stp/>
        <stp>BDP|2513419132327331084</stp>
        <tr r="AC595" s="1"/>
        <tr r="AC595" s="1"/>
      </tp>
      <tp t="s">
        <v>#N/A Requesting Data...4013373455</v>
        <stp/>
        <stp>BDP|9261186048728605696</stp>
        <tr r="AC585" s="1"/>
        <tr r="AC585" s="1"/>
      </tp>
      <tp t="s">
        <v>#N/A Requesting Data...4079482615</v>
        <stp/>
        <stp>BDP|1590587615370746728</stp>
        <tr r="Y1478" s="1"/>
        <tr r="Y1478" s="1"/>
      </tp>
      <tp t="s">
        <v>#N/A Requesting Data...3884092095</v>
        <stp/>
        <stp>BDP|3142712135285965011</stp>
        <tr r="Z428" s="1"/>
        <tr r="Z428" s="1"/>
      </tp>
      <tp t="s">
        <v>#N/A Requesting Data...3941583782</v>
        <stp/>
        <stp>BDP|9297762226939770781</stp>
        <tr r="AC1118" s="1"/>
        <tr r="AC1118" s="1"/>
      </tp>
      <tp t="s">
        <v>#N/A Requesting Data...3851702439</v>
        <stp/>
        <stp>BDP|7353410469200230740</stp>
        <tr r="Z393" s="1"/>
        <tr r="Z393" s="1"/>
      </tp>
      <tp t="s">
        <v>#N/A Requesting Data...4107820855</v>
        <stp/>
        <stp>BDP|6291774717360805279</stp>
        <tr r="Y216" s="1"/>
        <tr r="Y216" s="1"/>
      </tp>
      <tp t="s">
        <v>#N/A Requesting Data...4204898909</v>
        <stp/>
        <stp>BDP|5117583192262403927</stp>
        <tr r="AA1448" s="1"/>
        <tr r="AA1448" s="1"/>
      </tp>
      <tp t="s">
        <v>#N/A Requesting Data...4197802974</v>
        <stp/>
        <stp>BDP|2048031328432106077</stp>
        <tr r="AC200" s="1"/>
        <tr r="AC200" s="1"/>
      </tp>
      <tp t="s">
        <v>#N/A Requesting Data...4074757475</v>
        <stp/>
        <stp>BDP|1554179652437676044</stp>
        <tr r="AB255" s="1"/>
        <tr r="AB255" s="1"/>
      </tp>
      <tp t="s">
        <v>#N/A Requesting Data...4056100860</v>
        <stp/>
        <stp>BDP|6071639521572081209</stp>
        <tr r="AC219" s="1"/>
        <tr r="AC219" s="1"/>
      </tp>
      <tp t="s">
        <v>#N/A Requesting Data...4225078658</v>
        <stp/>
        <stp>BDP|2371373932186669629</stp>
        <tr r="AA291" s="1"/>
        <tr r="AA291" s="1"/>
      </tp>
      <tp t="s">
        <v>#N/A Requesting Data...4155743316</v>
        <stp/>
        <stp>BDP|2546022794829165005</stp>
        <tr r="Y1176" s="1"/>
        <tr r="Y1176" s="1"/>
      </tp>
      <tp t="s">
        <v>#N/A Requesting Data...4078658596</v>
        <stp/>
        <stp>BDP|3355445082179477436</stp>
        <tr r="AC1452" s="1"/>
        <tr r="AC1452" s="1"/>
      </tp>
      <tp t="s">
        <v>#N/A Requesting Data...3868168631</v>
        <stp/>
        <stp>BDP|2475007676282764574</stp>
        <tr r="Y1574" s="1"/>
        <tr r="Y1574" s="1"/>
      </tp>
      <tp t="s">
        <v>#N/A Requesting Data...3974624646</v>
        <stp/>
        <stp>BDP|5524302147290175017</stp>
        <tr r="Y974" s="1"/>
        <tr r="Y974" s="1"/>
      </tp>
      <tp t="s">
        <v>#N/A Requesting Data...4164474783</v>
        <stp/>
        <stp>BDP|3150025286029116065</stp>
        <tr r="Y1565" s="1"/>
        <tr r="Y1565" s="1"/>
      </tp>
      <tp t="s">
        <v>#N/A Requesting Data...4273825471</v>
        <stp/>
        <stp>BDP|9345432225565061871</stp>
        <tr r="Z1144" s="1"/>
        <tr r="Z1144" s="1"/>
      </tp>
      <tp t="s">
        <v>#N/A Requesting Data...4170856305</v>
        <stp/>
        <stp>BDP|7724506373063117473</stp>
        <tr r="AB1566" s="1"/>
        <tr r="AB1566" s="1"/>
      </tp>
      <tp t="s">
        <v>#N/A Requesting Data...4203153899</v>
        <stp/>
        <stp>BDP|3817425107127919262</stp>
        <tr r="AB1421" s="1"/>
        <tr r="AB1421" s="1"/>
      </tp>
      <tp t="s">
        <v>#N/A Requesting Data...4247237508</v>
        <stp/>
        <stp>BDP|3461476661716763568</stp>
        <tr r="Y1552" s="1"/>
        <tr r="Y1552" s="1"/>
      </tp>
      <tp t="s">
        <v>#N/A Requesting Data...4164440217</v>
        <stp/>
        <stp>BDP|9686917120617644724</stp>
        <tr r="AA139" s="1"/>
        <tr r="AA139" s="1"/>
      </tp>
      <tp t="s">
        <v>#N/A Requesting Data...4061985296</v>
        <stp/>
        <stp>BDP|7449328110795305260</stp>
        <tr r="Y347" s="1"/>
        <tr r="Y347" s="1"/>
      </tp>
      <tp t="s">
        <v>#N/A Requesting Data...4079072234</v>
        <stp/>
        <stp>BDP|1251207690841616970</stp>
        <tr r="AB1332" s="1"/>
        <tr r="AB1332" s="1"/>
      </tp>
      <tp t="s">
        <v>#N/A Requesting Data...4059102578</v>
        <stp/>
        <stp>BDP|5436454576452193651</stp>
        <tr r="Y1330" s="1"/>
        <tr r="Y1330" s="1"/>
      </tp>
      <tp t="s">
        <v>#N/A Requesting Data...4108349372</v>
        <stp/>
        <stp>BDP|6107707906811510215</stp>
        <tr r="AC1432" s="1"/>
        <tr r="AC1432" s="1"/>
      </tp>
      <tp t="s">
        <v>#N/A Requesting Data...3943848250</v>
        <stp/>
        <stp>BDP|4948362110020440489</stp>
        <tr r="AB319" s="1"/>
        <tr r="AB319" s="1"/>
      </tp>
      <tp t="s">
        <v>#N/A Requesting Data...4124192820</v>
        <stp/>
        <stp>BDP|1434380901806869667</stp>
        <tr r="AB1491" s="1"/>
        <tr r="AB1491" s="1"/>
      </tp>
      <tp t="s">
        <v>#N/A Requesting Data...3951260819</v>
        <stp/>
        <stp>BDP|7573865668768095383</stp>
        <tr r="AA201" s="1"/>
        <tr r="AA201" s="1"/>
      </tp>
      <tp t="s">
        <v>#N/A Requesting Data...3878988155</v>
        <stp/>
        <stp>BDP|4322245247629299917</stp>
        <tr r="AC583" s="1"/>
        <tr r="AC583" s="1"/>
      </tp>
      <tp t="s">
        <v>#N/A Requesting Data...3903016261</v>
        <stp/>
        <stp>BDP|8337974269113614686</stp>
        <tr r="AB612" s="1"/>
        <tr r="AB612" s="1"/>
      </tp>
      <tp t="s">
        <v>#N/A Requesting Data...4084383324</v>
        <stp/>
        <stp>BDP|8604494813678602792</stp>
        <tr r="AC953" s="1"/>
        <tr r="AC953" s="1"/>
      </tp>
      <tp t="s">
        <v>#N/A Requesting Data...3839394095</v>
        <stp/>
        <stp>BDP|7256621222725814490</stp>
        <tr r="Y1615" s="1"/>
        <tr r="Y1615" s="1"/>
      </tp>
      <tp t="s">
        <v>#N/A Requesting Data...3948760121</v>
        <stp/>
        <stp>BDP|9821888507301538218</stp>
        <tr r="Y305" s="1"/>
        <tr r="Y305" s="1"/>
      </tp>
      <tp t="s">
        <v>#N/A Requesting Data...4078356794</v>
        <stp/>
        <stp>BDP|9957157534721820832</stp>
        <tr r="AB1027" s="1"/>
        <tr r="AB1027" s="1"/>
      </tp>
      <tp t="s">
        <v>#N/A Requesting Data...4101550280</v>
        <stp/>
        <stp>BDP|1219671932187211165</stp>
        <tr r="AA473" s="1"/>
        <tr r="AA473" s="1"/>
      </tp>
      <tp t="s">
        <v>#N/A Requesting Data...4179085391</v>
        <stp/>
        <stp>BDP|8379694589347569351</stp>
        <tr r="Y609" s="1"/>
        <tr r="Y609" s="1"/>
      </tp>
      <tp t="s">
        <v>#N/A Requesting Data...3907881578</v>
        <stp/>
        <stp>BDP|9725212138619861356</stp>
        <tr r="Y56" s="1"/>
      </tp>
      <tp t="s">
        <v>#N/A Requesting Data...3842308950</v>
        <stp/>
        <stp>BDP|3870223202746321587</stp>
        <tr r="Y384" s="1"/>
        <tr r="Y384" s="1"/>
      </tp>
      <tp t="s">
        <v>#N/A Requesting Data...4214606640</v>
        <stp/>
        <stp>BDP|4495206043236153663</stp>
        <tr r="AA442" s="1"/>
        <tr r="AA442" s="1"/>
      </tp>
      <tp t="s">
        <v>#N/A Requesting Data...4101052145</v>
        <stp/>
        <stp>BDP|6986448772122721588</stp>
        <tr r="AC1390" s="1"/>
        <tr r="AC1390" s="1"/>
      </tp>
      <tp t="s">
        <v>#N/A Requesting Data...4128915480</v>
        <stp/>
        <stp>BDP|1893033260057310281</stp>
        <tr r="Y369" s="1"/>
        <tr r="Y369" s="1"/>
      </tp>
      <tp t="s">
        <v>#N/A Requesting Data...4140988062</v>
        <stp/>
        <stp>BDP|4962965309826266941</stp>
        <tr r="AB568" s="1"/>
        <tr r="AB568" s="1"/>
      </tp>
      <tp t="s">
        <v>#N/A Requesting Data...4172995215</v>
        <stp/>
        <stp>BDP|7764228589549840643</stp>
        <tr r="AA319" s="1"/>
        <tr r="AA319" s="1"/>
      </tp>
      <tp t="s">
        <v>#N/A Requesting Data...4286020406</v>
        <stp/>
        <stp>BDP|7527507114979801890</stp>
        <tr r="AA130" s="1"/>
        <tr r="AA130" s="1"/>
      </tp>
      <tp t="s">
        <v>#N/A Requesting Data...4102769699</v>
        <stp/>
        <stp>BDP|5930695997661180964</stp>
        <tr r="AC611" s="1"/>
        <tr r="AC611" s="1"/>
      </tp>
      <tp t="s">
        <v>#N/A Requesting Data...4031282022</v>
        <stp/>
        <stp>BDP|8338109811728452267</stp>
        <tr r="AA1081" s="1"/>
        <tr r="AA1081" s="1"/>
      </tp>
      <tp t="s">
        <v>#N/A Requesting Data...4094658225</v>
        <stp/>
        <stp>BDP|8147412284894095248</stp>
        <tr r="Y1312" s="1"/>
        <tr r="Y1312" s="1"/>
      </tp>
      <tp t="s">
        <v>#N/A Requesting Data...3992886602</v>
        <stp/>
        <stp>BDP|2520615201092243472</stp>
        <tr r="AC77" s="1"/>
        <tr r="AC77" s="1"/>
      </tp>
      <tp t="s">
        <v>#N/A Requesting Data...4022864833</v>
        <stp/>
        <stp>BDP|7923291027435413036</stp>
        <tr r="AA235" s="1"/>
        <tr r="AA235" s="1"/>
      </tp>
      <tp t="s">
        <v>#N/A Requesting Data...3839222099</v>
        <stp/>
        <stp>BDP|7451470257493043746</stp>
        <tr r="Z1008" s="1"/>
        <tr r="Z1008" s="1"/>
      </tp>
      <tp t="s">
        <v>#N/A Requesting Data...3872044882</v>
        <stp/>
        <stp>BDP|8384029367674547831</stp>
        <tr r="AC434" s="1"/>
        <tr r="AC434" s="1"/>
      </tp>
      <tp t="s">
        <v>#N/A Requesting Data...4145985270</v>
        <stp/>
        <stp>BDP|2244761323183277651</stp>
        <tr r="AA1245" s="1"/>
        <tr r="AA1245" s="1"/>
      </tp>
      <tp t="s">
        <v>#N/A Requesting Data...4241186110</v>
        <stp/>
        <stp>BDP|3394249792243006956</stp>
        <tr r="Z846" s="1"/>
        <tr r="Z846" s="1"/>
      </tp>
      <tp t="s">
        <v>#N/A Requesting Data...4014413884</v>
        <stp/>
        <stp>BDP|4252415962697392328</stp>
        <tr r="AC1406" s="1"/>
        <tr r="AC1406" s="1"/>
      </tp>
      <tp t="s">
        <v>#N/A Requesting Data...4185932894</v>
        <stp/>
        <stp>BDP|7544358975102532309</stp>
        <tr r="AC982" s="1"/>
        <tr r="AC982" s="1"/>
      </tp>
      <tp t="s">
        <v>#N/A Requesting Data...4112533971</v>
        <stp/>
        <stp>BDP|5730569264917211374</stp>
        <tr r="Y383" s="1"/>
        <tr r="Y383" s="1"/>
      </tp>
      <tp t="s">
        <v>#N/A Requesting Data...3889115424</v>
        <stp/>
        <stp>BDP|8206627674848166342</stp>
        <tr r="Y632" s="1"/>
        <tr r="Y632" s="1"/>
      </tp>
      <tp t="s">
        <v>#N/A Requesting Data...3933268962</v>
        <stp/>
        <stp>BDP|1286765327775058324</stp>
        <tr r="Y349" s="1"/>
        <tr r="Y349" s="1"/>
      </tp>
      <tp t="s">
        <v>#N/A Requesting Data...4187635067</v>
        <stp/>
        <stp>BDP|4732799662254877355</stp>
        <tr r="Y1080" s="1"/>
        <tr r="Y1080" s="1"/>
      </tp>
      <tp t="s">
        <v>#N/A Requesting Data...4290045562</v>
        <stp/>
        <stp>BDP|1043821573329071500</stp>
        <tr r="AA517" s="1"/>
        <tr r="AA517" s="1"/>
      </tp>
      <tp t="s">
        <v>#N/A Requesting Data...4076009531</v>
        <stp/>
        <stp>BDP|1878693295318146443</stp>
        <tr r="AA350" s="1"/>
        <tr r="AA350" s="1"/>
      </tp>
      <tp t="s">
        <v>#N/A Requesting Data...3868185989</v>
        <stp/>
        <stp>BDP|6725370362748436974</stp>
        <tr r="AB746" s="1"/>
        <tr r="AB746" s="1"/>
      </tp>
      <tp t="s">
        <v>#N/A Requesting Data...4174459235</v>
        <stp/>
        <stp>BDP|6495199538105769335</stp>
        <tr r="AB231" s="1"/>
        <tr r="AB231" s="1"/>
      </tp>
      <tp t="s">
        <v>#N/A Requesting Data...3915778507</v>
        <stp/>
        <stp>BDP|9112927254713552431</stp>
        <tr r="AA914" s="1"/>
        <tr r="AA914" s="1"/>
      </tp>
      <tp t="s">
        <v>#N/A Requesting Data...4013651233</v>
        <stp/>
        <stp>BDP|3629858007650016958</stp>
        <tr r="Y342" s="1"/>
        <tr r="Y342" s="1"/>
      </tp>
      <tp t="s">
        <v>#N/A Requesting Data...4175325431</v>
        <stp/>
        <stp>BDP|4430361414201072573</stp>
        <tr r="AC674" s="1"/>
        <tr r="AC674" s="1"/>
      </tp>
      <tp t="s">
        <v>#N/A Requesting Data...4144382249</v>
        <stp/>
        <stp>BDP|8779626448039541191</stp>
        <tr r="AB1442" s="1"/>
        <tr r="AB1442" s="1"/>
      </tp>
      <tp t="s">
        <v>#N/A Requesting Data...4035948659</v>
        <stp/>
        <stp>BDP|5393718294208779103</stp>
        <tr r="AB244" s="1"/>
        <tr r="AB244" s="1"/>
      </tp>
      <tp t="s">
        <v>#N/A Requesting Data...3963278331</v>
        <stp/>
        <stp>BDP|5166217750043711366</stp>
        <tr r="Y80" s="1"/>
        <tr r="Y80" s="1"/>
      </tp>
      <tp t="s">
        <v>#N/A Requesting Data...3861905867</v>
        <stp/>
        <stp>BDP|8349581758859091322</stp>
        <tr r="AB1228" s="1"/>
        <tr r="AB1228" s="1"/>
      </tp>
      <tp t="s">
        <v>#N/A Requesting Data...4110032740</v>
        <stp/>
        <stp>BDP|6734900606988730501</stp>
        <tr r="Z633" s="1"/>
        <tr r="Z633" s="1"/>
      </tp>
      <tp t="s">
        <v>#N/A Requesting Data...3956810466</v>
        <stp/>
        <stp>BDP|5371475058855370397</stp>
        <tr r="AC1024" s="1"/>
        <tr r="AC1024" s="1"/>
      </tp>
      <tp t="s">
        <v>#N/A Requesting Data...4136844118</v>
        <stp/>
        <stp>BDP|9791711405339669537</stp>
        <tr r="AA1029" s="1"/>
        <tr r="AA1029" s="1"/>
      </tp>
      <tp t="s">
        <v>#N/A Requesting Data...4174588554</v>
        <stp/>
        <stp>BDP|1313153301863943183</stp>
        <tr r="AB501" s="1"/>
        <tr r="AB501" s="1"/>
      </tp>
      <tp t="s">
        <v>#N/A Requesting Data...3962105638</v>
        <stp/>
        <stp>BDP|5062162660267781771</stp>
        <tr r="AC672" s="1"/>
        <tr r="AC672" s="1"/>
      </tp>
      <tp t="s">
        <v>#N/A Requesting Data...4043959348</v>
        <stp/>
        <stp>BDP|6586594892321118990</stp>
        <tr r="AA768" s="1"/>
        <tr r="AA768" s="1"/>
      </tp>
      <tp t="s">
        <v>#N/A Requesting Data...4013964765</v>
        <stp/>
        <stp>BDP|7248556939081049288</stp>
        <tr r="AA1087" s="1"/>
        <tr r="AA1087" s="1"/>
      </tp>
      <tp t="s">
        <v>#N/A Requesting Data...4188547417</v>
        <stp/>
        <stp>BDP|2365568832446596040</stp>
        <tr r="AA175" s="1"/>
        <tr r="AA175" s="1"/>
      </tp>
      <tp t="s">
        <v>#N/A Requesting Data...4294313151</v>
        <stp/>
        <stp>BDP|6017428210026432708</stp>
        <tr r="AA423" s="1"/>
        <tr r="AA423" s="1"/>
      </tp>
      <tp t="s">
        <v>#N/A Requesting Data...3971179274</v>
        <stp/>
        <stp>BDP|1969215013321959147</stp>
        <tr r="AA548" s="1"/>
        <tr r="AA548" s="1"/>
      </tp>
      <tp t="s">
        <v>#N/A Requesting Data...4089266337</v>
        <stp/>
        <stp>BDP|6478296392287967800</stp>
        <tr r="AC1199" s="1"/>
        <tr r="AC1199" s="1"/>
      </tp>
      <tp t="s">
        <v>#N/A Requesting Data...3973311893</v>
        <stp/>
        <stp>BDP|1979787376730800392</stp>
        <tr r="AC1202" s="1"/>
        <tr r="AC1202" s="1"/>
      </tp>
      <tp t="s">
        <v>#N/A Requesting Data...4228634401</v>
        <stp/>
        <stp>BDP|5309767244394468035</stp>
        <tr r="AA215" s="1"/>
        <tr r="AA215" s="1"/>
      </tp>
      <tp t="s">
        <v>#N/A Requesting Data...4055474872</v>
        <stp/>
        <stp>BDP|4345529105267089420</stp>
        <tr r="Y258" s="1"/>
        <tr r="Y258" s="1"/>
      </tp>
      <tp t="s">
        <v>#N/A Requesting Data...4124465300</v>
        <stp/>
        <stp>BDP|8114300759369960572</stp>
        <tr r="Y212" s="1"/>
        <tr r="Y212" s="1"/>
      </tp>
      <tp t="s">
        <v>#N/A Requesting Data...4076085488</v>
        <stp/>
        <stp>BDP|3784531862491138307</stp>
        <tr r="AC716" s="1"/>
        <tr r="AC716" s="1"/>
      </tp>
      <tp t="s">
        <v>#N/A Requesting Data...3941876840</v>
        <stp/>
        <stp>BDP|9521070396973125121</stp>
        <tr r="AC74" s="1"/>
        <tr r="AC74" s="1"/>
      </tp>
      <tp t="s">
        <v>#N/A Requesting Data...4122609128</v>
        <stp/>
        <stp>BDP|5500651543956571314</stp>
        <tr r="AA83" s="1"/>
        <tr r="AA83" s="1"/>
      </tp>
      <tp t="s">
        <v>#N/A Requesting Data...4201976169</v>
        <stp/>
        <stp>BDP|7973690013965528717</stp>
        <tr r="AB31" s="1"/>
        <tr r="AB31" s="1"/>
      </tp>
      <tp t="s">
        <v>#N/A Requesting Data...4078060872</v>
        <stp/>
        <stp>BDP|7652199848338975892</stp>
        <tr r="AC1380" s="1"/>
        <tr r="AC1380" s="1"/>
      </tp>
      <tp t="s">
        <v>#N/A Requesting Data...3921327211</v>
        <stp/>
        <stp>BDP|3485348702403718128</stp>
        <tr r="AB786" s="1"/>
        <tr r="AB786" s="1"/>
      </tp>
      <tp t="s">
        <v>#N/A Requesting Data...4200253258</v>
        <stp/>
        <stp>BDP|2670209353057456064</stp>
        <tr r="Y544" s="1"/>
        <tr r="Y544" s="1"/>
      </tp>
      <tp t="s">
        <v>#N/A Requesting Data...4038841635</v>
        <stp/>
        <stp>BDP|3815168850212150781</stp>
        <tr r="Y837" s="1"/>
        <tr r="Y837" s="1"/>
      </tp>
      <tp t="s">
        <v>#N/A Requesting Data...4146681507</v>
        <stp/>
        <stp>BDP|9951384095791619059</stp>
        <tr r="AA1238" s="1"/>
        <tr r="AA1238" s="1"/>
      </tp>
      <tp t="s">
        <v>#N/A Requesting Data...3887494078</v>
        <stp/>
        <stp>BDP|1677631405235671013</stp>
        <tr r="AC1599" s="1"/>
        <tr r="AC1599" s="1"/>
      </tp>
      <tp t="s">
        <v>#N/A Requesting Data...4107033120</v>
        <stp/>
        <stp>BDP|3483361339441545099</stp>
        <tr r="Y1550" s="1"/>
        <tr r="Y1550" s="1"/>
      </tp>
      <tp t="s">
        <v>#N/A Requesting Data...4005936585</v>
        <stp/>
        <stp>BDP|5879233258118164850</stp>
        <tr r="AA835" s="1"/>
        <tr r="AA835" s="1"/>
      </tp>
      <tp t="s">
        <v>#N/A Requesting Data...4240393770</v>
        <stp/>
        <stp>BDP|2285952291295231538</stp>
        <tr r="AB1573" s="1"/>
        <tr r="AB1573" s="1"/>
      </tp>
      <tp t="s">
        <v>#N/A Requesting Data...4127019068</v>
        <stp/>
        <stp>BDP|5158400502526335570</stp>
        <tr r="Y1007" s="1"/>
        <tr r="Y1007" s="1"/>
      </tp>
      <tp t="s">
        <v>#N/A Requesting Data...4074683605</v>
        <stp/>
        <stp>BDP|7059709100085764708</stp>
        <tr r="AA903" s="1"/>
        <tr r="AA903" s="1"/>
      </tp>
      <tp t="s">
        <v>#N/A Requesting Data...4272101017</v>
        <stp/>
        <stp>BDP|1714315703403704352</stp>
        <tr r="AB484" s="1"/>
        <tr r="AB484" s="1"/>
      </tp>
      <tp t="s">
        <v>#N/A Requesting Data...4135279011</v>
        <stp/>
        <stp>BDP|5993387266145726778</stp>
        <tr r="AC1061" s="1"/>
        <tr r="AC1061" s="1"/>
      </tp>
      <tp t="s">
        <v>#N/A Requesting Data...4095382400</v>
        <stp/>
        <stp>BDP|8175357109199370092</stp>
        <tr r="Z808" s="1"/>
        <tr r="Z808" s="1"/>
      </tp>
      <tp t="s">
        <v>#N/A Requesting Data...3921056145</v>
        <stp/>
        <stp>BDP|9313441489535074295</stp>
        <tr r="Z317" s="1"/>
        <tr r="Z317" s="1"/>
      </tp>
      <tp t="s">
        <v>#N/A Requesting Data...4263158127</v>
        <stp/>
        <stp>BDP|8722890725434840479</stp>
        <tr r="Y1470" s="1"/>
        <tr r="Y1470" s="1"/>
      </tp>
      <tp t="s">
        <v>#N/A Requesting Data...4277335196</v>
        <stp/>
        <stp>BDP|2470273506191060319</stp>
        <tr r="AA815" s="1"/>
        <tr r="AA815" s="1"/>
      </tp>
      <tp t="s">
        <v>#N/A Requesting Data...4007353399</v>
        <stp/>
        <stp>BDP|7397327131820280563</stp>
        <tr r="AB387" s="1"/>
        <tr r="AB387" s="1"/>
      </tp>
      <tp t="s">
        <v>#N/A Requesting Data...3964297915</v>
        <stp/>
        <stp>BDP|2493053201876197657</stp>
        <tr r="Z624" s="1"/>
        <tr r="Z624" s="1"/>
      </tp>
      <tp t="s">
        <v>#N/A Requesting Data...3906564637</v>
        <stp/>
        <stp>BDP|9137939175397056230</stp>
        <tr r="Z1169" s="1"/>
        <tr r="Z1169" s="1"/>
      </tp>
      <tp t="s">
        <v>#N/A Requesting Data...4030512314</v>
        <stp/>
        <stp>BDP|6019931428218711782</stp>
        <tr r="AA949" s="1"/>
        <tr r="AA949" s="1"/>
      </tp>
      <tp t="s">
        <v>#N/A Requesting Data...4022933080</v>
        <stp/>
        <stp>BDP|3423749774625289425</stp>
        <tr r="Y965" s="1"/>
        <tr r="Y965" s="1"/>
      </tp>
      <tp t="s">
        <v>#N/A Requesting Data...4177872938</v>
        <stp/>
        <stp>BDP|6639014719710241587</stp>
        <tr r="AB1543" s="1"/>
        <tr r="AB1543" s="1"/>
      </tp>
      <tp t="s">
        <v>#N/A Requesting Data...4113160797</v>
        <stp/>
        <stp>BDP|9628994135568958973</stp>
        <tr r="Z924" s="1"/>
        <tr r="Z924" s="1"/>
      </tp>
      <tp t="s">
        <v>#N/A Requesting Data...3941802015</v>
        <stp/>
        <stp>BDP|6408565304527027627</stp>
        <tr r="Y1156" s="1"/>
        <tr r="Y1156" s="1"/>
      </tp>
      <tp t="s">
        <v>#N/A Requesting Data...4101480719</v>
        <stp/>
        <stp>BDP|2062742290059057706</stp>
        <tr r="AC50" s="1"/>
        <tr r="AC50" s="1"/>
      </tp>
      <tp t="s">
        <v>#N/A Requesting Data...3945523936</v>
        <stp/>
        <stp>BDP|4709470137679230813</stp>
        <tr r="AB829" s="1"/>
        <tr r="AB829" s="1"/>
      </tp>
      <tp t="s">
        <v>#N/A Requesting Data...4088958352</v>
        <stp/>
        <stp>BDP|6750662697079278206</stp>
        <tr r="AB752" s="1"/>
        <tr r="AB752" s="1"/>
      </tp>
      <tp t="s">
        <v>#N/A Requesting Data...4024338894</v>
        <stp/>
        <stp>BDP|4937438719004427720</stp>
        <tr r="AC759" s="1"/>
      </tp>
      <tp t="s">
        <v>#N/A Requesting Data...4143248597</v>
        <stp/>
        <stp>BDP|1288352913171284039</stp>
        <tr r="AB1524" s="1"/>
        <tr r="AB1524" s="1"/>
      </tp>
      <tp t="s">
        <v>#N/A Requesting Data...3911098930</v>
        <stp/>
        <stp>BDP|5974183602094676209</stp>
        <tr r="Y1381" s="1"/>
        <tr r="Y1381" s="1"/>
      </tp>
      <tp t="s">
        <v>#N/A Requesting Data...4136580032</v>
        <stp/>
        <stp>BDP|3717506076986734537</stp>
        <tr r="Y124" s="1"/>
        <tr r="Y124" s="1"/>
      </tp>
      <tp t="s">
        <v>#N/A Requesting Data...4243280602</v>
        <stp/>
        <stp>BDP|1315315728083992160</stp>
        <tr r="AC925" s="1"/>
        <tr r="AC925" s="1"/>
      </tp>
      <tp t="s">
        <v>#N/A Requesting Data...4041110067</v>
        <stp/>
        <stp>BDP|9101920823878564803</stp>
        <tr r="Z47" s="1"/>
        <tr r="Z47" s="1"/>
      </tp>
      <tp t="s">
        <v>#N/A Requesting Data...4026185149</v>
        <stp/>
        <stp>BDP|7495320321575194139</stp>
        <tr r="Y934" s="1"/>
        <tr r="Y934" s="1"/>
      </tp>
      <tp t="s">
        <v>#N/A Requesting Data...3995739078</v>
        <stp/>
        <stp>BDP|1837393001812165240</stp>
        <tr r="AB461" s="1"/>
        <tr r="AB461" s="1"/>
      </tp>
      <tp t="s">
        <v>#N/A Requesting Data...4014194730</v>
        <stp/>
        <stp>BDP|3920599334973072414</stp>
        <tr r="Z896" s="1"/>
        <tr r="Z896" s="1"/>
      </tp>
      <tp t="s">
        <v>#N/A Requesting Data...4120895243</v>
        <stp/>
        <stp>BDP|1650027347003629401</stp>
        <tr r="AA875" s="1"/>
        <tr r="AA875" s="1"/>
      </tp>
      <tp t="s">
        <v>#N/A Requesting Data...4227445094</v>
        <stp/>
        <stp>BDP|1864757508116851285</stp>
        <tr r="Y738" s="1"/>
        <tr r="Y738" s="1"/>
      </tp>
      <tp t="s">
        <v>#N/A Requesting Data...4142183922</v>
        <stp/>
        <stp>BDP|2091608746320682259</stp>
        <tr r="Y1145" s="1"/>
        <tr r="Y1145" s="1"/>
      </tp>
      <tp t="s">
        <v>#N/A Requesting Data...4042130188</v>
        <stp/>
        <stp>BDP|6857677029620455072</stp>
        <tr r="AC34" s="1"/>
      </tp>
      <tp t="s">
        <v>#N/A Requesting Data...4233857448</v>
        <stp/>
        <stp>BDP|9334947033036676770</stp>
        <tr r="AC626" s="1"/>
        <tr r="AC626" s="1"/>
      </tp>
      <tp t="s">
        <v>#N/A Requesting Data...4185805792</v>
        <stp/>
        <stp>BDP|5522930914369509624</stp>
        <tr r="AC1211" s="1"/>
        <tr r="AC1211" s="1"/>
      </tp>
      <tp t="s">
        <v>#N/A Requesting Data...4252021373</v>
        <stp/>
        <stp>BDP|5213429408667438498</stp>
        <tr r="AC110" s="1"/>
        <tr r="AC110" s="1"/>
      </tp>
      <tp t="s">
        <v>#N/A Requesting Data...4256877101</v>
        <stp/>
        <stp>BDP|2520216817501725217</stp>
        <tr r="AC1350" s="1"/>
        <tr r="AC1350" s="1"/>
      </tp>
      <tp t="s">
        <v>#N/A Requesting Data...4061513251</v>
        <stp/>
        <stp>BDP|2244471673012615153</stp>
        <tr r="Y1297" s="1"/>
        <tr r="Y1297" s="1"/>
      </tp>
      <tp t="s">
        <v>#N/A Requesting Data...4118000643</v>
        <stp/>
        <stp>BDP|7485440527167491467</stp>
        <tr r="Z1473" s="1"/>
        <tr r="Z1473" s="1"/>
      </tp>
      <tp t="s">
        <v>#N/A Requesting Data...4061848917</v>
        <stp/>
        <stp>BDP|3810720606637815111</stp>
        <tr r="AB1203" s="1"/>
        <tr r="AB1203" s="1"/>
      </tp>
      <tp t="s">
        <v>#N/A Requesting Data...4051151775</v>
        <stp/>
        <stp>BDP|9217762947591209941</stp>
        <tr r="AC1446" s="1"/>
        <tr r="AC1446" s="1"/>
      </tp>
      <tp t="s">
        <v>#N/A Requesting Data...4230313484</v>
        <stp/>
        <stp>BDP|5543231703923884682</stp>
        <tr r="AA443" s="1"/>
        <tr r="AA443" s="1"/>
      </tp>
      <tp t="s">
        <v>#N/A Requesting Data...4075407865</v>
        <stp/>
        <stp>BDP|5936591917876381514</stp>
        <tr r="AC520" s="1"/>
        <tr r="AC520" s="1"/>
      </tp>
      <tp>
        <v>9.9999999999999995E-7</v>
        <stp/>
        <stp>BDP|5958843482246255587|22</stp>
        <stp>PHRX US Equity</stp>
        <stp>LAST_PRICE</stp>
        <tr r="AD1159" s="1"/>
        <tr r="AD1159" s="1"/>
      </tp>
      <tp>
        <v>1.74</v>
        <stp/>
        <stp>BDP|6464866556168067750|22</stp>
        <stp>HLVX US Equity</stp>
        <stp>LAST_PRICE</stp>
        <tr r="AD699" s="1"/>
        <tr r="AD699" s="1"/>
      </tp>
      <tp>
        <v>1.71</v>
        <stp/>
        <stp>BDP|5533202663610024731|22</stp>
        <stp>SLRX US Equity</stp>
        <stp>LAST_PRICE</stp>
        <tr r="AD1304" s="1"/>
        <tr r="AD1304" s="1"/>
      </tp>
      <tp>
        <v>1.0999999999999999E-2</v>
        <stp/>
        <stp>BDP|2515642052268859586|22</stp>
        <stp>PKTX US Equity</stp>
        <stp>LAST_PRICE</stp>
        <tr r="AD1213" s="1"/>
        <tr r="AD1213" s="1"/>
      </tp>
      <tp>
        <v>7.99</v>
        <stp/>
        <stp>BDP|8517558522965280237|22</stp>
        <stp>ACTU US Equity</stp>
        <stp>LAST_PRICE</stp>
        <tr r="AD37" s="1"/>
        <tr r="AD37" s="1"/>
      </tp>
      <tp>
        <v>1.1200000000000001</v>
        <stp/>
        <stp>BDP|1711661591864744129|22</stp>
        <stp>CHRS US Equity</stp>
        <stp>LAST_PRICE</stp>
        <tr r="AD424" s="1"/>
        <tr r="AD424" s="1"/>
      </tp>
      <tp>
        <v>5.5E-2</v>
        <stp/>
        <stp>BDP|3895085689866833883|22</stp>
        <stp>AVCR CN Equity</stp>
        <stp>LAST_PRICE</stp>
        <tr r="AD217" s="1"/>
        <tr r="AD217" s="1"/>
      </tp>
      <tp>
        <v>2.2400000000000002</v>
        <stp/>
        <stp>BDP|9254814122716343845|22</stp>
        <stp>PRQR US Equity</stp>
        <stp>LAST_PRICE</stp>
        <tr r="AD1204" s="1"/>
        <tr r="AD1204" s="1"/>
      </tp>
      <tp>
        <v>2.77</v>
        <stp/>
        <stp>BDP|7960474501963826309|22</stp>
        <stp>MSPR US Equity</stp>
        <stp>LAST_PRICE</stp>
        <tr r="AD981" s="1"/>
        <tr r="AD981" s="1"/>
      </tp>
      <tp>
        <v>0</v>
        <stp/>
        <stp>BDP|8368652964314731504|22</stp>
        <stp>UTRS US Equity</stp>
        <stp>LAST_PRICE</stp>
        <tr r="AD961" s="1"/>
        <tr r="AD961" s="1"/>
      </tp>
      <tp>
        <v>0.93799999999999994</v>
        <stp/>
        <stp>BDP|7707333861843502920|22</stp>
        <stp>IMUX US Equity</stp>
        <stp>LAST_PRICE</stp>
        <tr r="AD733" s="1"/>
        <tr r="AD733" s="1"/>
      </tp>
      <tp t="s">
        <v>#N/A N/A</v>
        <stp/>
        <stp>BDP|6946704172058939170|22</stp>
        <stp>LHRP US Equity</stp>
        <stp>LAST_PRICE</stp>
        <tr r="AD870" s="1"/>
      </tp>
      <tp>
        <v>1.4E-3</v>
        <stp/>
        <stp>BDP|5505673186770447458|22</stp>
        <stp>RGRX US Equity</stp>
        <stp>LAST_PRICE</stp>
        <tr r="AD1257" s="1"/>
        <tr r="AD1257" s="1"/>
      </tp>
      <tp>
        <v>7.47</v>
        <stp/>
        <stp>BDP|1592121893164208318|22</stp>
        <stp>PRPO US Equity</stp>
        <stp>LAST_PRICE</stp>
        <tr r="AD1181" s="1"/>
        <tr r="AD1181" s="1"/>
      </tp>
      <tp>
        <v>1.7</v>
        <stp/>
        <stp>BDP|1592916202826088728|22</stp>
        <stp>BYSI US Equity</stp>
        <stp>LAST_PRICE</stp>
        <tr r="AD246" s="1"/>
        <tr r="AD246" s="1"/>
      </tp>
      <tp>
        <v>0.02</v>
        <stp/>
        <stp>BDP|1667916356390749416|22</stp>
        <stp>RAMM CN Equity</stp>
        <stp>LAST_PRICE</stp>
        <tr r="AD1244" s="1"/>
        <tr r="AD1244" s="1"/>
      </tp>
      <tp>
        <v>0.38</v>
        <stp/>
        <stp>BDP|3483587899593102975|22</stp>
        <stp>HITC US Equity</stp>
        <stp>LAST_PRICE</stp>
        <tr r="AD679" s="1"/>
        <tr r="AD679" s="1"/>
      </tp>
      <tp>
        <v>6.61</v>
        <stp/>
        <stp>BDP|4246987084031807285|22</stp>
        <stp>COYA US Equity</stp>
        <stp>LAST_PRICE</stp>
        <tr r="AD453" s="1"/>
        <tr r="AD453" s="1"/>
      </tp>
      <tp>
        <v>15.75</v>
        <stp/>
        <stp>BDP|4556775171941267522|22</stp>
        <stp>DCTH US Equity</stp>
        <stp>LAST_PRICE</stp>
        <tr r="AD495" s="1"/>
        <tr r="AD495" s="1"/>
      </tp>
      <tp>
        <v>0.1</v>
        <stp/>
        <stp>BDP|1681497253464624815|22</stp>
        <stp>HEAL CN Equity</stp>
        <stp>LAST_PRICE</stp>
        <tr r="AD1277" s="1"/>
        <tr r="AD1277" s="1"/>
      </tp>
      <tp>
        <v>7.1300000000000002E-2</v>
        <stp/>
        <stp>BDP|9555851619245780905|22</stp>
        <stp>HLYK US Equity</stp>
        <stp>LAST_PRICE</stp>
        <tr r="AD682" s="1"/>
        <tr r="AD682" s="1"/>
      </tp>
      <tp>
        <v>26.66</v>
        <stp/>
        <stp>BDP|3372185368309732714|22</stp>
        <stp>TBRG US Equity</stp>
        <stp>LAST_PRICE</stp>
        <tr r="AD1491" s="1"/>
        <tr r="AD1491" s="1"/>
      </tp>
      <tp>
        <v>4.26</v>
        <stp/>
        <stp>BDP|2582276116951173148|22</stp>
        <stp>MRVI US Equity</stp>
        <stp>LAST_PRICE</stp>
        <tr r="AD904" s="1"/>
        <tr r="AD904" s="1"/>
      </tp>
      <tp>
        <v>1.54</v>
        <stp/>
        <stp>BDP|17599817851354716010|22</stp>
        <stp>ZEN CN Equity</stp>
        <stp>LAST_PRICE</stp>
        <tr r="AD1610" s="1"/>
        <tr r="AD1610" s="1"/>
      </tp>
      <tp t="s">
        <v>#N/A Requesting Data...4059369905</v>
        <stp/>
        <stp>BDP|4021376461701881347</stp>
        <tr r="AB106" s="1"/>
        <tr r="AB106" s="1"/>
      </tp>
      <tp t="s">
        <v>#N/A Requesting Data...4220439981</v>
        <stp/>
        <stp>BDP|2029969015031150881</stp>
        <tr r="AC747" s="1"/>
        <tr r="AC747" s="1"/>
      </tp>
      <tp t="s">
        <v>#N/A Requesting Data...3966828137</v>
        <stp/>
        <stp>BDP|3475231512802733183</stp>
        <tr r="AB1251" s="1"/>
        <tr r="AB1251" s="1"/>
      </tp>
      <tp t="s">
        <v>#N/A Requesting Data...4109722391</v>
        <stp/>
        <stp>BDP|4517483961465113079</stp>
        <tr r="AB1264" s="1"/>
        <tr r="AB1264" s="1"/>
      </tp>
      <tp t="s">
        <v>#N/A Requesting Data...4216665099</v>
        <stp/>
        <stp>BDP|9584881855320699742</stp>
        <tr r="AC1205" s="1"/>
        <tr r="AC1205" s="1"/>
      </tp>
      <tp t="s">
        <v>#N/A Requesting Data...4015744555</v>
        <stp/>
        <stp>BDP|9590549490702924426</stp>
        <tr r="AB428" s="1"/>
        <tr r="AB428" s="1"/>
      </tp>
      <tp t="s">
        <v>#N/A Requesting Data...4163144347</v>
        <stp/>
        <stp>BDP|6951126375182711131</stp>
        <tr r="AC1019" s="1"/>
        <tr r="AC1019" s="1"/>
      </tp>
      <tp t="s">
        <v>#N/A Requesting Data...4197009133</v>
        <stp/>
        <stp>BDP|6807461395360008817</stp>
        <tr r="AC681" s="1"/>
        <tr r="AC681" s="1"/>
      </tp>
      <tp t="s">
        <v>#N/A Requesting Data...4270018996</v>
        <stp/>
        <stp>BDP|6708485586409571061</stp>
        <tr r="Y1317" s="1"/>
        <tr r="Y1317" s="1"/>
      </tp>
      <tp t="s">
        <v>#N/A Requesting Data...4101379981</v>
        <stp/>
        <stp>BDP|4554103572028523982</stp>
        <tr r="AB670" s="1"/>
        <tr r="AB670" s="1"/>
      </tp>
      <tp t="s">
        <v>#N/A Requesting Data...4193804616</v>
        <stp/>
        <stp>BDP|5854522066812567721</stp>
        <tr r="Z509" s="1"/>
        <tr r="Z509" s="1"/>
      </tp>
      <tp t="s">
        <v>#N/A Requesting Data...4064241517</v>
        <stp/>
        <stp>BDP|7355348468239524816</stp>
        <tr r="AC458" s="1"/>
        <tr r="AC458" s="1"/>
      </tp>
      <tp t="s">
        <v>#N/A Requesting Data...4023558976</v>
        <stp/>
        <stp>BDP|3953786379252089236</stp>
        <tr r="Z1081" s="1"/>
        <tr r="Z1081" s="1"/>
      </tp>
      <tp t="s">
        <v>#N/A Requesting Data...4292959420</v>
        <stp/>
        <stp>BDP|7882656646363513552</stp>
        <tr r="Y986" s="1"/>
        <tr r="Y986" s="1"/>
      </tp>
      <tp t="s">
        <v>#N/A Requesting Data...4293714231</v>
        <stp/>
        <stp>BDP|2089374879501168441</stp>
        <tr r="Y222" s="1"/>
        <tr r="Y222" s="1"/>
      </tp>
      <tp t="s">
        <v>#N/A Requesting Data...4041188372</v>
        <stp/>
        <stp>BDP|7954615666526158241</stp>
        <tr r="Z908" s="1"/>
        <tr r="Z908" s="1"/>
      </tp>
      <tp t="s">
        <v>#N/A Requesting Data...4124925402</v>
        <stp/>
        <stp>BDP|1666023958573414431</stp>
        <tr r="AC726" s="1"/>
        <tr r="AC726" s="1"/>
      </tp>
      <tp t="s">
        <v>#N/A Requesting Data...4127403743</v>
        <stp/>
        <stp>BDP|6721748309551482354</stp>
        <tr r="Y968" s="1"/>
        <tr r="Y968" s="1"/>
      </tp>
      <tp t="s">
        <v>#N/A Requesting Data...4005958827</v>
        <stp/>
        <stp>BDP|8326914577875852068</stp>
        <tr r="AC1090" s="1"/>
        <tr r="AC1090" s="1"/>
      </tp>
      <tp t="s">
        <v>#N/A Requesting Data...4179196271</v>
        <stp/>
        <stp>BDP|8873676287636364302</stp>
        <tr r="Z59" s="1"/>
        <tr r="Z59" s="1"/>
      </tp>
      <tp t="s">
        <v>#N/A Requesting Data...4224862150</v>
        <stp/>
        <stp>BDP|5170904718469129736</stp>
        <tr r="Z467" s="1"/>
        <tr r="Z467" s="1"/>
      </tp>
      <tp t="s">
        <v>#N/A Requesting Data...4089189744</v>
        <stp/>
        <stp>BDP|7074009515632997773</stp>
        <tr r="AA1092" s="1"/>
        <tr r="AA1092" s="1"/>
      </tp>
      <tp t="s">
        <v>#N/A Requesting Data...4131381793</v>
        <stp/>
        <stp>BDP|8467777754209590098</stp>
        <tr r="AB1358" s="1"/>
      </tp>
      <tp t="s">
        <v>#N/A Requesting Data...4168514852</v>
        <stp/>
        <stp>BDP|3793426062637492587</stp>
        <tr r="AA219" s="1"/>
        <tr r="AA219" s="1"/>
      </tp>
      <tp t="s">
        <v>#N/A Requesting Data...4279541276</v>
        <stp/>
        <stp>BDP|7633005355722937314</stp>
        <tr r="AB874" s="1"/>
        <tr r="AB874" s="1"/>
      </tp>
      <tp t="s">
        <v>#N/A Requesting Data...4213648632</v>
        <stp/>
        <stp>BDP|6694902043941926976</stp>
        <tr r="Y1123" s="1"/>
        <tr r="Y1123" s="1"/>
      </tp>
      <tp t="s">
        <v>#N/A Requesting Data...4203691590</v>
        <stp/>
        <stp>BDP|5983137560738589946</stp>
        <tr r="AB643" s="1"/>
      </tp>
      <tp t="s">
        <v>#N/A Requesting Data...4146236719</v>
        <stp/>
        <stp>BDP|1492183531377377767</stp>
        <tr r="AA1576" s="1"/>
        <tr r="AA1576" s="1"/>
      </tp>
      <tp t="s">
        <v>#N/A Requesting Data...4146619064</v>
        <stp/>
        <stp>BDP|5318046874900926127</stp>
        <tr r="AB1028" s="1"/>
        <tr r="AB1028" s="1"/>
      </tp>
      <tp t="s">
        <v>#N/A Requesting Data...4274099230</v>
        <stp/>
        <stp>BDP|3483407228106224066</stp>
        <tr r="AC1164" s="1"/>
        <tr r="AC1164" s="1"/>
      </tp>
      <tp t="s">
        <v>#N/A Requesting Data...4287584168</v>
        <stp/>
        <stp>BDP|4823426348846974137</stp>
        <tr r="AC154" s="1"/>
        <tr r="AC154" s="1"/>
      </tp>
      <tp t="s">
        <v>#N/A Requesting Data...4143370350</v>
        <stp/>
        <stp>BDP|7687705725984328589</stp>
        <tr r="AC1353" s="1"/>
        <tr r="AC1353" s="1"/>
      </tp>
      <tp t="s">
        <v>#N/A Requesting Data...3987848941</v>
        <stp/>
        <stp>BDP|3171355608047514413</stp>
        <tr r="AB1168" s="1"/>
        <tr r="AB1168" s="1"/>
      </tp>
      <tp t="s">
        <v>#N/A Requesting Data...4105975371</v>
        <stp/>
        <stp>BDP|2713622374716942600</stp>
        <tr r="AA264" s="1"/>
        <tr r="AA264" s="1"/>
      </tp>
      <tp t="s">
        <v>#N/A Requesting Data...4145087579</v>
        <stp/>
        <stp>BDP|2335196743043563747</stp>
        <tr r="AB773" s="1"/>
        <tr r="AB773" s="1"/>
      </tp>
      <tp t="s">
        <v>#N/A Requesting Data...4082548147</v>
        <stp/>
        <stp>BDP|3243534351120844003</stp>
        <tr r="Z342" s="1"/>
        <tr r="Z342" s="1"/>
      </tp>
      <tp t="s">
        <v>#N/A Requesting Data...4183991491</v>
        <stp/>
        <stp>BDP|1535455028255357137</stp>
        <tr r="Y1066" s="1"/>
        <tr r="Y1066" s="1"/>
      </tp>
      <tp t="s">
        <v>#N/A Requesting Data...4026151104</v>
        <stp/>
        <stp>BDP|1542097877597344204</stp>
        <tr r="AB1256" s="1"/>
        <tr r="AB1256" s="1"/>
      </tp>
      <tp t="s">
        <v>#N/A Requesting Data...4268543102</v>
        <stp/>
        <stp>BDP|5676195349114678782</stp>
        <tr r="AB1489" s="1"/>
        <tr r="AB1489" s="1"/>
      </tp>
      <tp t="s">
        <v>#N/A Requesting Data...4150745056</v>
        <stp/>
        <stp>BDP|5203134875755431599</stp>
        <tr r="AA87" s="1"/>
        <tr r="AA87" s="1"/>
      </tp>
      <tp t="s">
        <v>#N/A Requesting Data...4150020847</v>
        <stp/>
        <stp>BDP|7321685802851131317</stp>
        <tr r="AC802" s="1"/>
        <tr r="AC802" s="1"/>
      </tp>
      <tp t="s">
        <v>#N/A Requesting Data...4051591298</v>
        <stp/>
        <stp>BDP|4098761402023870354</stp>
        <tr r="AB452" s="1"/>
        <tr r="AB452" s="1"/>
      </tp>
      <tp t="s">
        <v>#N/A Requesting Data...4071629663</v>
        <stp/>
        <stp>BDP|2673535209634578008</stp>
        <tr r="Y1572" s="1"/>
        <tr r="Y1572" s="1"/>
      </tp>
      <tp t="s">
        <v>#N/A Requesting Data...4108568893</v>
        <stp/>
        <stp>BDP|5367573071357582393</stp>
        <tr r="AA568" s="1"/>
        <tr r="AA568" s="1"/>
      </tp>
      <tp t="s">
        <v>#N/A Requesting Data...4009329259</v>
        <stp/>
        <stp>BDP|6094596347196442237</stp>
        <tr r="AB1617" s="1"/>
        <tr r="AB1617" s="1"/>
      </tp>
      <tp t="s">
        <v>#N/A Requesting Data...4275310812</v>
        <stp/>
        <stp>BDP|7080968306598083590</stp>
        <tr r="AA1441" s="1"/>
        <tr r="AA1441" s="1"/>
      </tp>
      <tp t="s">
        <v>#N/A Requesting Data...4181583162</v>
        <stp/>
        <stp>BDP|5276732997960940867</stp>
        <tr r="AC669" s="1"/>
        <tr r="AC669" s="1"/>
      </tp>
      <tp t="s">
        <v>#N/A Requesting Data...4048717589</v>
        <stp/>
        <stp>BDP|5385074040862550081</stp>
        <tr r="Z1244" s="1"/>
        <tr r="Z1244" s="1"/>
      </tp>
      <tp t="s">
        <v>#N/A Requesting Data...4089260043</v>
        <stp/>
        <stp>BDP|1331321459293680778</stp>
        <tr r="AC1213" s="1"/>
        <tr r="AC1213" s="1"/>
      </tp>
      <tp t="s">
        <v>#N/A Requesting Data...4126846633</v>
        <stp/>
        <stp>BDP|6932665274327676340</stp>
        <tr r="AB522" s="1"/>
        <tr r="AB522" s="1"/>
      </tp>
      <tp t="s">
        <v>#N/A Requesting Data...4025011951</v>
        <stp/>
        <stp>BDP|6324049202963545694</stp>
        <tr r="Z1402" s="1"/>
        <tr r="Z1402" s="1"/>
      </tp>
      <tp t="s">
        <v>#N/A Requesting Data...4065123011</v>
        <stp/>
        <stp>BDP|1043453996589970637</stp>
        <tr r="AA1213" s="1"/>
        <tr r="AA1213" s="1"/>
      </tp>
      <tp t="s">
        <v>#N/A Requesting Data...4038502950</v>
        <stp/>
        <stp>BDP|6348461903722867371</stp>
        <tr r="AC397" s="1"/>
        <tr r="AC397" s="1"/>
      </tp>
      <tp t="s">
        <v>#N/A Requesting Data...4156987438</v>
        <stp/>
        <stp>BDP|3373315606597524480</stp>
        <tr r="Z356" s="1"/>
        <tr r="Z356" s="1"/>
      </tp>
      <tp t="s">
        <v>#N/A Requesting Data...4258652285</v>
        <stp/>
        <stp>BDP|3398040311970968162</stp>
        <tr r="Z984" s="1"/>
        <tr r="Z984" s="1"/>
      </tp>
      <tp t="s">
        <v>#N/A Requesting Data...4017620256</v>
        <stp/>
        <stp>BDP|8608695097184087065</stp>
        <tr r="AA874" s="1"/>
        <tr r="AA874" s="1"/>
      </tp>
      <tp t="s">
        <v>#N/A Requesting Data...4222792211</v>
        <stp/>
        <stp>BDP|6769264003621886641</stp>
        <tr r="AC499" s="1"/>
        <tr r="AC499" s="1"/>
      </tp>
      <tp t="s">
        <v>#N/A Requesting Data...4186573587</v>
        <stp/>
        <stp>BDP|2047449539477673151</stp>
        <tr r="AC1409" s="1"/>
        <tr r="AC1409" s="1"/>
      </tp>
      <tp t="s">
        <v>#N/A Requesting Data...4210788890</v>
        <stp/>
        <stp>BDP|7924574314848643825</stp>
        <tr r="Z1079" s="1"/>
        <tr r="Z1079" s="1"/>
      </tp>
      <tp t="s">
        <v>#N/A Requesting Data...4004159456</v>
        <stp/>
        <stp>BDP|6311906926876373887</stp>
        <tr r="AC1365" s="1"/>
        <tr r="AC1365" s="1"/>
      </tp>
      <tp t="s">
        <v>#N/A Requesting Data...4106832414</v>
        <stp/>
        <stp>BDP|4137170934432404787</stp>
        <tr r="Y895" s="1"/>
        <tr r="Y895" s="1"/>
      </tp>
      <tp t="s">
        <v>#N/A Requesting Data...4133756384</v>
        <stp/>
        <stp>BDP|9087059595770808365</stp>
        <tr r="Z1521" s="1"/>
        <tr r="Z1521" s="1"/>
      </tp>
      <tp t="s">
        <v>#N/A Requesting Data...4264330824</v>
        <stp/>
        <stp>BDP|6770020745494946574</stp>
        <tr r="AA199" s="1"/>
      </tp>
      <tp t="s">
        <v>#N/A Requesting Data...4127115210</v>
        <stp/>
        <stp>BDP|3930284963395554193</stp>
        <tr r="Y1480" s="1"/>
      </tp>
      <tp t="s">
        <v>#N/A Requesting Data...4216063276</v>
        <stp/>
        <stp>BDP|2760292221113611271</stp>
        <tr r="AC1594" s="1"/>
        <tr r="AC1594" s="1"/>
      </tp>
      <tp t="s">
        <v>#N/A Requesting Data...4174692942</v>
        <stp/>
        <stp>BDP|4038590846577130101</stp>
        <tr r="Y337" s="1"/>
        <tr r="Y337" s="1"/>
      </tp>
      <tp t="s">
        <v>#N/A Requesting Data...4288832999</v>
        <stp/>
        <stp>BDP|4229356976850888373</stp>
        <tr r="Y1474" s="1"/>
        <tr r="Y1474" s="1"/>
      </tp>
      <tp t="s">
        <v>#N/A Requesting Data...4080011725</v>
        <stp/>
        <stp>BDP|3961235463356080261</stp>
        <tr r="AB429" s="1"/>
        <tr r="AB429" s="1"/>
      </tp>
      <tp t="s">
        <v>#N/A Requesting Data...4255607791</v>
        <stp/>
        <stp>BDP|6333110831676990155</stp>
        <tr r="AB1506" s="1"/>
        <tr r="AB1506" s="1"/>
      </tp>
      <tp t="s">
        <v>#N/A Requesting Data...4116455361</v>
        <stp/>
        <stp>BDP|1524931899344001609</stp>
        <tr r="AB1311" s="1"/>
        <tr r="AB1311" s="1"/>
      </tp>
      <tp t="s">
        <v>#N/A Requesting Data...4052662896</v>
        <stp/>
        <stp>BDP|6552774340891445795</stp>
        <tr r="Y935" s="1"/>
        <tr r="Y935" s="1"/>
      </tp>
      <tp t="s">
        <v>#N/A Requesting Data...4193969565</v>
        <stp/>
        <stp>BDP|3084595547295432456</stp>
        <tr r="AB920" s="1"/>
        <tr r="AB920" s="1"/>
      </tp>
      <tp t="s">
        <v>#N/A Requesting Data...4113580785</v>
        <stp/>
        <stp>BDP|7031093415860001534</stp>
        <tr r="AC610" s="1"/>
        <tr r="AC610" s="1"/>
      </tp>
      <tp t="s">
        <v>#N/A Requesting Data...4283031635</v>
        <stp/>
        <stp>BDP|7834536972441783719</stp>
        <tr r="AB594" s="1"/>
        <tr r="AB594" s="1"/>
      </tp>
      <tp t="s">
        <v>#N/A Requesting Data...4055955954</v>
        <stp/>
        <stp>BDP|8378382225422126801</stp>
        <tr r="AA1555" s="1"/>
        <tr r="AA1555" s="1"/>
      </tp>
      <tp t="s">
        <v>#N/A Requesting Data...4166103336</v>
        <stp/>
        <stp>BDP|4276617928420112357</stp>
        <tr r="AA248" s="1"/>
        <tr r="AA248" s="1"/>
      </tp>
      <tp t="s">
        <v>#N/A Requesting Data...4193490632</v>
        <stp/>
        <stp>BDP|5179282529063641593</stp>
        <tr r="Y822" s="1"/>
        <tr r="Y822" s="1"/>
      </tp>
      <tp t="s">
        <v>#N/A Requesting Data...4171812544</v>
        <stp/>
        <stp>BDP|5050310937751939704</stp>
        <tr r="AB963" s="1"/>
        <tr r="AB963" s="1"/>
      </tp>
      <tp t="s">
        <v>#N/A Requesting Data...4074743298</v>
        <stp/>
        <stp>BDP|7773591865591247662</stp>
        <tr r="AB151" s="1"/>
        <tr r="AB151" s="1"/>
      </tp>
      <tp t="s">
        <v>#N/A Requesting Data...4232124164</v>
        <stp/>
        <stp>BDP|2665424608781179427</stp>
        <tr r="Y287" s="1"/>
        <tr r="Y287" s="1"/>
      </tp>
      <tp t="s">
        <v>#N/A Requesting Data...4093243163</v>
        <stp/>
        <stp>BDP|3255117571025468391</stp>
        <tr r="AA153" s="1"/>
        <tr r="AA153" s="1"/>
      </tp>
      <tp t="s">
        <v>#N/A Requesting Data...4059186373</v>
        <stp/>
        <stp>BDP|3228023828172466032</stp>
        <tr r="AC737" s="1"/>
        <tr r="AC737" s="1"/>
      </tp>
      <tp t="s">
        <v>#N/A Requesting Data...4217741387</v>
        <stp/>
        <stp>BDP|2491747118411443638</stp>
        <tr r="AA1349" s="1"/>
        <tr r="AA1349" s="1"/>
      </tp>
      <tp t="s">
        <v>#N/A Requesting Data...4277178526</v>
        <stp/>
        <stp>BDP|2044393362084166057</stp>
        <tr r="AA1198" s="1"/>
        <tr r="AA1198" s="1"/>
      </tp>
      <tp t="s">
        <v>#N/A Requesting Data...4086827628</v>
        <stp/>
        <stp>BDP|6931747571055028030</stp>
        <tr r="AB1597" s="1"/>
        <tr r="AB1597" s="1"/>
      </tp>
      <tp t="s">
        <v>#N/A Requesting Data...4241736943</v>
        <stp/>
        <stp>BDP|5352885044143781942</stp>
        <tr r="AA1176" s="1"/>
        <tr r="AA1176" s="1"/>
      </tp>
      <tp t="s">
        <v>#N/A Requesting Data...4160737399</v>
        <stp/>
        <stp>BDP|3794899797035755428</stp>
        <tr r="Z736" s="1"/>
        <tr r="Z736" s="1"/>
      </tp>
      <tp t="s">
        <v>#N/A Requesting Data...4062650155</v>
        <stp/>
        <stp>BDP|5799522720062939304</stp>
        <tr r="AA684" s="1"/>
        <tr r="AA684" s="1"/>
      </tp>
      <tp t="s">
        <v>#N/A Requesting Data...4285490040</v>
        <stp/>
        <stp>BDP|4142616614467103799</stp>
        <tr r="AB1435" s="1"/>
      </tp>
      <tp t="s">
        <v>#N/A Requesting Data...4142852399</v>
        <stp/>
        <stp>BDP|4124639079592073477</stp>
        <tr r="Y1011" s="1"/>
        <tr r="Y1011" s="1"/>
      </tp>
      <tp t="s">
        <v>#N/A Requesting Data...4196909276</v>
        <stp/>
        <stp>BDP|1348676458236679762</stp>
        <tr r="AB172" s="1"/>
        <tr r="AB172" s="1"/>
      </tp>
      <tp t="s">
        <v>#N/A Requesting Data...4158280805</v>
        <stp/>
        <stp>BDP|3228177265357439081</stp>
        <tr r="Z1380" s="1"/>
        <tr r="Z1380" s="1"/>
      </tp>
      <tp t="s">
        <v>#N/A Requesting Data...4117079130</v>
        <stp/>
        <stp>BDP|8617954532968513989</stp>
        <tr r="AC1359" s="1"/>
        <tr r="AC1359" s="1"/>
      </tp>
      <tp t="s">
        <v>#N/A Requesting Data...4211164708</v>
        <stp/>
        <stp>BDP|7807291408793424510</stp>
        <tr r="Z221" s="1"/>
        <tr r="Z221" s="1"/>
      </tp>
      <tp t="s">
        <v>#N/A Requesting Data...4034694026</v>
        <stp/>
        <stp>BDP|5715494570001260405</stp>
        <tr r="AA1187" s="1"/>
        <tr r="AA1187" s="1"/>
      </tp>
      <tp t="s">
        <v>#N/A Requesting Data...4284800968</v>
        <stp/>
        <stp>BDP|5888613236210525372</stp>
        <tr r="AA1134" s="1"/>
        <tr r="AA1134" s="1"/>
      </tp>
      <tp t="s">
        <v>#N/A Requesting Data...4156315181</v>
        <stp/>
        <stp>BDP|5661428116810790387</stp>
        <tr r="AB406" s="1"/>
        <tr r="AB406" s="1"/>
      </tp>
      <tp t="s">
        <v>#N/A Requesting Data...4138512497</v>
        <stp/>
        <stp>BDP|1488671413521512480</stp>
        <tr r="Z253" s="1"/>
        <tr r="Z253" s="1"/>
      </tp>
      <tp t="s">
        <v>#N/A Requesting Data...4115085319</v>
        <stp/>
        <stp>BDP|3968954589910848100</stp>
        <tr r="AB975" s="1"/>
        <tr r="AB975" s="1"/>
      </tp>
      <tp t="s">
        <v>#N/A Requesting Data...4071986691</v>
        <stp/>
        <stp>BDP|9618802360415991121</stp>
        <tr r="Z264" s="1"/>
        <tr r="Z264" s="1"/>
      </tp>
      <tp t="s">
        <v>#N/A Requesting Data...4048879562</v>
        <stp/>
        <stp>BDP|3516118199640493846</stp>
        <tr r="Y858" s="1"/>
        <tr r="Y858" s="1"/>
      </tp>
      <tp t="s">
        <v>#N/A Requesting Data...4154755007</v>
        <stp/>
        <stp>BDP|4234971028648471440</stp>
        <tr r="Y676" s="1"/>
        <tr r="Y676" s="1"/>
      </tp>
      <tp t="s">
        <v>#N/A Requesting Data...4223224753</v>
        <stp/>
        <stp>BDP|4525380144116034643</stp>
        <tr r="Y1278" s="1"/>
        <tr r="Y1278" s="1"/>
      </tp>
      <tp t="s">
        <v>#N/A Requesting Data...4138591124</v>
        <stp/>
        <stp>BDP|5018089797887554876</stp>
        <tr r="AB671" s="1"/>
        <tr r="AB671" s="1"/>
      </tp>
      <tp t="s">
        <v>#N/A Requesting Data...4103622832</v>
        <stp/>
        <stp>BDP|4935113318364505386</stp>
        <tr r="AB1339" s="1"/>
        <tr r="AB1339" s="1"/>
      </tp>
      <tp t="s">
        <v>#N/A Requesting Data...4100206114</v>
        <stp/>
        <stp>BDP|5803563789328243381</stp>
        <tr r="AC937" s="1"/>
        <tr r="AC937" s="1"/>
      </tp>
      <tp t="s">
        <v>#N/A Requesting Data...4192824362</v>
        <stp/>
        <stp>BDP|8013463189504541374</stp>
        <tr r="AB217" s="1"/>
        <tr r="AB217" s="1"/>
      </tp>
      <tp t="s">
        <v>#N/A Requesting Data...4117893136</v>
        <stp/>
        <stp>BDP|7952371170150708042</stp>
        <tr r="Y1303" s="1"/>
        <tr r="Y1303" s="1"/>
      </tp>
      <tp t="s">
        <v>#N/A Requesting Data...4261822662</v>
        <stp/>
        <stp>BDP|2255107433422868147</stp>
        <tr r="Z1621" s="1"/>
        <tr r="Z1621" s="1"/>
      </tp>
      <tp t="s">
        <v>#N/A Requesting Data...4057627085</v>
        <stp/>
        <stp>BDP|7343623549852002459</stp>
        <tr r="Z944" s="1"/>
        <tr r="Z944" s="1"/>
      </tp>
      <tp t="s">
        <v>#N/A Requesting Data...4136717148</v>
        <stp/>
        <stp>BDP|9589870572931542483</stp>
        <tr r="Y1051" s="1"/>
        <tr r="Y1051" s="1"/>
      </tp>
      <tp t="s">
        <v>#N/A Requesting Data...4142522811</v>
        <stp/>
        <stp>BDP|2617897990752314216</stp>
        <tr r="Z58" s="1"/>
        <tr r="Z58" s="1"/>
      </tp>
      <tp t="s">
        <v>#N/A Requesting Data...4250003025</v>
        <stp/>
        <stp>BDP|5308434204136162485</stp>
        <tr r="AC1128" s="1"/>
        <tr r="AC1128" s="1"/>
      </tp>
      <tp t="s">
        <v>#N/A Requesting Data...4222875974</v>
        <stp/>
        <stp>BDP|9686531155543044921</stp>
        <tr r="AB1483" s="1"/>
        <tr r="AB1483" s="1"/>
      </tp>
      <tp t="s">
        <v>#N/A Requesting Data...4209365247</v>
        <stp/>
        <stp>BDP|6045403172895349333</stp>
        <tr r="Z1425" s="1"/>
        <tr r="Z1425" s="1"/>
      </tp>
      <tp t="s">
        <v>#N/A Requesting Data...4160772915</v>
        <stp/>
        <stp>BDP|1636428758225718690</stp>
        <tr r="AB1390" s="1"/>
        <tr r="AB1390" s="1"/>
      </tp>
      <tp t="s">
        <v>#N/A Requesting Data...4255924268</v>
        <stp/>
        <stp>BDP|2369209312453206111</stp>
        <tr r="AB9" s="1"/>
        <tr r="AB9" s="1"/>
      </tp>
      <tp t="s">
        <v>#N/A Requesting Data...4229102792</v>
        <stp/>
        <stp>BDP|4476771137895656605</stp>
        <tr r="AB1497" s="1"/>
        <tr r="AB1497" s="1"/>
      </tp>
      <tp t="s">
        <v>#N/A Requesting Data...4155383808</v>
        <stp/>
        <stp>BDP|4272327820363155537</stp>
        <tr r="AC1317" s="1"/>
        <tr r="AC1317" s="1"/>
      </tp>
      <tp t="s">
        <v>#N/A Requesting Data...4231017723</v>
        <stp/>
        <stp>BDP|8934951923362893258</stp>
        <tr r="AC1504" s="1"/>
        <tr r="AC1504" s="1"/>
      </tp>
      <tp t="s">
        <v>#N/A Requesting Data...4217681517</v>
        <stp/>
        <stp>BDP|4138619281241035838</stp>
        <tr r="AC987" s="1"/>
        <tr r="AC987" s="1"/>
      </tp>
      <tp t="s">
        <v>#N/A Requesting Data...4173470294</v>
        <stp/>
        <stp>BDP|7529613143415116346</stp>
        <tr r="Y893" s="1"/>
        <tr r="Y893" s="1"/>
      </tp>
      <tp t="s">
        <v>#N/A Requesting Data...4207120521</v>
        <stp/>
        <stp>BDP|8915935354646867141</stp>
        <tr r="AC557" s="1"/>
        <tr r="AC557" s="1"/>
      </tp>
      <tp t="s">
        <v>#N/A Requesting Data...4167151935</v>
        <stp/>
        <stp>BDP|6827422119484885499</stp>
        <tr r="AA1361" s="1"/>
        <tr r="AA1361" s="1"/>
      </tp>
      <tp t="s">
        <v>#N/A Requesting Data...4202090108</v>
        <stp/>
        <stp>BDP|9419257328089979324</stp>
        <tr r="AA352" s="1"/>
        <tr r="AA352" s="1"/>
      </tp>
      <tp t="s">
        <v>#N/A Requesting Data...4193329191</v>
        <stp/>
        <stp>BDP|7144161074365856797</stp>
        <tr r="Z577" s="1"/>
        <tr r="Z577" s="1"/>
      </tp>
      <tp t="s">
        <v>#N/A Requesting Data...4293831988</v>
        <stp/>
        <stp>BDP|4453741993548349122</stp>
        <tr r="AB1584" s="1"/>
        <tr r="AB1584" s="1"/>
      </tp>
      <tp t="s">
        <v>#N/A Requesting Data...4104042847</v>
        <stp/>
        <stp>BDP|1435369561663986483</stp>
        <tr r="Y1319" s="1"/>
        <tr r="Y1319" s="1"/>
      </tp>
      <tp t="s">
        <v>#N/A Requesting Data...4096146739</v>
        <stp/>
        <stp>BDP|4498517860955119161</stp>
        <tr r="Z688" s="1"/>
        <tr r="Z688" s="1"/>
      </tp>
      <tp t="s">
        <v>#N/A Requesting Data...4230164576</v>
        <stp/>
        <stp>BDP|5217418163203567764</stp>
        <tr r="Y1343" s="1"/>
        <tr r="Y1343" s="1"/>
      </tp>
      <tp t="s">
        <v>#N/A Requesting Data...4132655011</v>
        <stp/>
        <stp>BDP|3281787445296820546</stp>
        <tr r="AC1155" s="1"/>
        <tr r="AC1155" s="1"/>
      </tp>
      <tp t="s">
        <v>#N/A Requesting Data...4200721491</v>
        <stp/>
        <stp>BDP|6009616333175679578</stp>
        <tr r="AB1461" s="1"/>
        <tr r="AB1461" s="1"/>
      </tp>
      <tp t="s">
        <v>#N/A Requesting Data...4279853122</v>
        <stp/>
        <stp>BDP|4199623524160131352</stp>
        <tr r="AB742" s="1"/>
        <tr r="AB742" s="1"/>
      </tp>
      <tp t="s">
        <v>#N/A Requesting Data...4229797315</v>
        <stp/>
        <stp>BDP|2889055668201546636</stp>
        <tr r="AB647" s="1"/>
        <tr r="AB647" s="1"/>
      </tp>
      <tp t="s">
        <v>#N/A Requesting Data...4268201205</v>
        <stp/>
        <stp>BDP|7692626696152721960</stp>
        <tr r="AC640" s="1"/>
        <tr r="AC640" s="1"/>
      </tp>
      <tp t="s">
        <v>#N/A Requesting Data...4063191145</v>
        <stp/>
        <stp>BDP|9055412886423382574</stp>
        <tr r="Y454" s="1"/>
        <tr r="Y454" s="1"/>
      </tp>
      <tp t="s">
        <v>#N/A Requesting Data...4256974854</v>
        <stp/>
        <stp>BDP|8281811385669601231</stp>
        <tr r="Z541" s="1"/>
        <tr r="Z541" s="1"/>
      </tp>
      <tp t="s">
        <v>#N/A Requesting Data...4064123670</v>
        <stp/>
        <stp>BDP|5610440111723501056</stp>
        <tr r="AB1349" s="1"/>
        <tr r="AB1349" s="1"/>
      </tp>
      <tp t="s">
        <v>#N/A Requesting Data...4089099079</v>
        <stp/>
        <stp>BDP|5407964705886672929</stp>
        <tr r="Z95" s="1"/>
        <tr r="Z95" s="1"/>
      </tp>
      <tp t="s">
        <v>#N/A Requesting Data...4077489514</v>
        <stp/>
        <stp>BDP|6569246856362077041</stp>
        <tr r="AB1508" s="1"/>
        <tr r="AB1508" s="1"/>
      </tp>
      <tp t="s">
        <v>#N/A Requesting Data...4084894850</v>
        <stp/>
        <stp>BDP|7606785273652603686</stp>
        <tr r="AB1014" s="1"/>
        <tr r="AB1014" s="1"/>
      </tp>
      <tp t="s">
        <v>#N/A Requesting Data...4213872007</v>
        <stp/>
        <stp>BDP|9536179878258951408</stp>
        <tr r="Y779" s="1"/>
      </tp>
      <tp t="s">
        <v>#N/A Requesting Data...4208422240</v>
        <stp/>
        <stp>BDP|4748217122591506622</stp>
        <tr r="Y11" s="1"/>
        <tr r="Y11" s="1"/>
      </tp>
      <tp t="s">
        <v>#N/A Requesting Data...4106480079</v>
        <stp/>
        <stp>BDP|6712666572785602164</stp>
        <tr r="Z1398" s="1"/>
        <tr r="Z1398" s="1"/>
      </tp>
      <tp t="s">
        <v>#N/A Requesting Data...4208931581</v>
        <stp/>
        <stp>BDP|4231703850025824096</stp>
        <tr r="Y461" s="1"/>
        <tr r="Y461" s="1"/>
      </tp>
      <tp t="s">
        <v>#N/A Requesting Data...4089784729</v>
        <stp/>
        <stp>BDP|1891799113924876098</stp>
        <tr r="AB1380" s="1"/>
        <tr r="AB1380" s="1"/>
      </tp>
      <tp t="s">
        <v>#N/A Requesting Data...4100056746</v>
        <stp/>
        <stp>BDP|9885105748248432744</stp>
        <tr r="AA1611" s="1"/>
        <tr r="AA1611" s="1"/>
      </tp>
      <tp t="s">
        <v>#N/A Requesting Data...4207562212</v>
        <stp/>
        <stp>BDP|9838649065569047390</stp>
        <tr r="AC578" s="1"/>
        <tr r="AC578" s="1"/>
      </tp>
      <tp t="s">
        <v>#N/A Requesting Data...4128667610</v>
        <stp/>
        <stp>BDP|7420806443878044072</stp>
        <tr r="AC1133" s="1"/>
        <tr r="AC1133" s="1"/>
      </tp>
      <tp t="s">
        <v>#N/A Requesting Data...4123419650</v>
        <stp/>
        <stp>BDP|9452163914848060262</stp>
        <tr r="Z93" s="1"/>
        <tr r="Z93" s="1"/>
      </tp>
      <tp t="s">
        <v>#N/A Requesting Data...4222228026</v>
        <stp/>
        <stp>BDP|6214243167472658379</stp>
        <tr r="AC930" s="1"/>
        <tr r="AC930" s="1"/>
      </tp>
      <tp t="s">
        <v>#N/A Requesting Data...4247178732</v>
        <stp/>
        <stp>BDP|8780552942449404343</stp>
        <tr r="AC1073" s="1"/>
        <tr r="AC1073" s="1"/>
      </tp>
      <tp t="s">
        <v>#N/A Requesting Data...4094236054</v>
        <stp/>
        <stp>BDP|4056617370471085712</stp>
        <tr r="Z20" s="1"/>
        <tr r="Z20" s="1"/>
      </tp>
      <tp t="s">
        <v>#N/A Requesting Data...4254216342</v>
        <stp/>
        <stp>BDP|9419805540485531312</stp>
        <tr r="AB701" s="1"/>
        <tr r="AB701" s="1"/>
      </tp>
      <tp t="s">
        <v>#N/A Requesting Data...4175852084</v>
        <stp/>
        <stp>BDP|7878263858585180678</stp>
        <tr r="AA527" s="1"/>
        <tr r="AA527" s="1"/>
      </tp>
      <tp t="s">
        <v>#N/A Requesting Data...4242017006</v>
        <stp/>
        <stp>BDP|6248953827697912991</stp>
        <tr r="Y230" s="1"/>
      </tp>
      <tp t="s">
        <v>#N/A Requesting Data...4134656587</v>
        <stp/>
        <stp>BDP|2240789565902775283</stp>
        <tr r="Y118" s="1"/>
        <tr r="Y118" s="1"/>
      </tp>
      <tp t="s">
        <v>#N/A Requesting Data...4259530253</v>
        <stp/>
        <stp>BDP|1492107649237485094</stp>
        <tr r="AA1397" s="1"/>
        <tr r="AA1397" s="1"/>
      </tp>
      <tp t="s">
        <v>#N/A Requesting Data...4076246895</v>
        <stp/>
        <stp>BDP|2760340655116135174</stp>
        <tr r="Z1532" s="1"/>
        <tr r="Z1532" s="1"/>
      </tp>
      <tp t="s">
        <v>#N/A Requesting Data...4240809758</v>
        <stp/>
        <stp>BDP|6504205196577077934</stp>
        <tr r="AA706" s="1"/>
        <tr r="AA706" s="1"/>
      </tp>
      <tp t="s">
        <v>#N/A Requesting Data...4113063665</v>
        <stp/>
        <stp>BDP|4882681450496387236</stp>
        <tr r="AA691" s="1"/>
        <tr r="AA691" s="1"/>
      </tp>
      <tp t="s">
        <v>#N/A Requesting Data...4289380980</v>
        <stp/>
        <stp>BDP|2106775646041273320</stp>
        <tr r="AC1185" s="1"/>
        <tr r="AC1185" s="1"/>
      </tp>
      <tp t="s">
        <v>#N/A Requesting Data...4240955129</v>
        <stp/>
        <stp>BDP|9471935207541544251</stp>
        <tr r="AA687" s="1"/>
        <tr r="AA687" s="1"/>
      </tp>
      <tp t="s">
        <v>#N/A Requesting Data...4197054073</v>
        <stp/>
        <stp>BDP|3597457943905733546</stp>
        <tr r="AB1024" s="1"/>
        <tr r="AB1024" s="1"/>
      </tp>
      <tp t="s">
        <v>#N/A Requesting Data...4203389417</v>
        <stp/>
        <stp>BDP|2642737459205947652</stp>
        <tr r="AA1330" s="1"/>
        <tr r="AA1330" s="1"/>
      </tp>
      <tp t="s">
        <v>#N/A Requesting Data...4089684268</v>
        <stp/>
        <stp>BDP|3649804749235846971</stp>
        <tr r="Z728" s="1"/>
        <tr r="Z728" s="1"/>
      </tp>
      <tp t="s">
        <v>#N/A Requesting Data...4140209459</v>
        <stp/>
        <stp>BDP|6597468052773165706</stp>
        <tr r="AB1085" s="1"/>
        <tr r="AB1085" s="1"/>
      </tp>
      <tp t="s">
        <v>#N/A Requesting Data...4188134202</v>
        <stp/>
        <stp>BDP|1732022155816775167</stp>
        <tr r="Z1410" s="1"/>
        <tr r="Z1410" s="1"/>
      </tp>
      <tp t="s">
        <v>#N/A Requesting Data...4183135715</v>
        <stp/>
        <stp>BDP|4323951990873437431</stp>
        <tr r="AA21" s="1"/>
        <tr r="AA21" s="1"/>
      </tp>
      <tp t="s">
        <v>#N/A Requesting Data...4212780412</v>
        <stp/>
        <stp>BDP|3502934682614780521</stp>
        <tr r="AA1143" s="1"/>
        <tr r="AA1143" s="1"/>
      </tp>
      <tp t="s">
        <v>#N/A Requesting Data...4194519054</v>
        <stp/>
        <stp>BDP|2090668784428478779</stp>
        <tr r="AA688" s="1"/>
        <tr r="AA688" s="1"/>
      </tp>
      <tp t="s">
        <v>#N/A Requesting Data...4262306938</v>
        <stp/>
        <stp>BDP|7009504907945146474</stp>
        <tr r="Z1193" s="1"/>
        <tr r="Z1193" s="1"/>
      </tp>
      <tp t="s">
        <v>#N/A Requesting Data...4252045053</v>
        <stp/>
        <stp>BDP|7499932667698705360</stp>
        <tr r="AC445" s="1"/>
      </tp>
      <tp t="s">
        <v>#N/A Requesting Data...4294420763</v>
        <stp/>
        <stp>BDP|3806265220629893976</stp>
        <tr r="AB1225" s="1"/>
        <tr r="AB1225" s="1"/>
      </tp>
      <tp t="s">
        <v>#N/A Requesting Data...4239653080</v>
        <stp/>
        <stp>BDP|4598651493439628142</stp>
        <tr r="AB338" s="1"/>
        <tr r="AB338" s="1"/>
      </tp>
      <tp t="s">
        <v>#N/A Requesting Data...4138991322</v>
        <stp/>
        <stp>BDP|9394638833689401668</stp>
        <tr r="AC862" s="1"/>
        <tr r="AC862" s="1"/>
      </tp>
      <tp t="s">
        <v>#N/A Requesting Data...4114283375</v>
        <stp/>
        <stp>BDP|5193483866931918572</stp>
        <tr r="AC981" s="1"/>
        <tr r="AC981" s="1"/>
      </tp>
      <tp t="s">
        <v>#N/A Requesting Data...4229891043</v>
        <stp/>
        <stp>BDP|7448323925567477265</stp>
        <tr r="AC17" s="1"/>
        <tr r="AC17" s="1"/>
      </tp>
      <tp t="s">
        <v>#N/A Requesting Data...4237111244</v>
        <stp/>
        <stp>BDP|1714367684551576817</stp>
        <tr r="Z379" s="1"/>
        <tr r="Z379" s="1"/>
      </tp>
      <tp t="s">
        <v>#N/A Requesting Data...4127688823</v>
        <stp/>
        <stp>BDP|6138225821093637656</stp>
        <tr r="Y515" s="1"/>
      </tp>
      <tp t="s">
        <v>#N/A Requesting Data...4215918101</v>
        <stp/>
        <stp>BDP|1923921988161505271</stp>
        <tr r="Z698" s="1"/>
        <tr r="Z698" s="1"/>
      </tp>
      <tp t="s">
        <v>#N/A Requesting Data...4233155173</v>
        <stp/>
        <stp>BDP|6299149715103041627</stp>
        <tr r="AA112" s="1"/>
        <tr r="AA112" s="1"/>
      </tp>
      <tp t="s">
        <v>#N/A Requesting Data...4229857000</v>
        <stp/>
        <stp>BDP|7549665966383710731</stp>
        <tr r="AC767" s="1"/>
        <tr r="AC767" s="1"/>
      </tp>
      <tp t="s">
        <v>#N/A Requesting Data...4243902681</v>
        <stp/>
        <stp>BDP|9663034110372530917</stp>
        <tr r="Y570" s="1"/>
        <tr r="Y570" s="1"/>
      </tp>
      <tp t="s">
        <v>#N/A Requesting Data...4259171179</v>
        <stp/>
        <stp>BDP|4509267964642339155</stp>
        <tr r="Y1046" s="1"/>
        <tr r="Y1046" s="1"/>
      </tp>
      <tp t="s">
        <v>#N/A Requesting Data...4277713260</v>
        <stp/>
        <stp>BDP|1632112673634088059</stp>
        <tr r="AC1058" s="1"/>
        <tr r="AC1058" s="1"/>
      </tp>
      <tp t="s">
        <v>#N/A Requesting Data...4247981078</v>
        <stp/>
        <stp>BDP|2468319647113605558</stp>
        <tr r="Y214" s="1"/>
        <tr r="Y214" s="1"/>
      </tp>
      <tp t="s">
        <v>#N/A Requesting Data...4258722967</v>
        <stp/>
        <stp>BDP|8520869662216363346</stp>
        <tr r="AA111" s="1"/>
        <tr r="AA111" s="1"/>
      </tp>
      <tp t="s">
        <v>#N/A Requesting Data...4119649677</v>
        <stp/>
        <stp>BDP|7081741350096767055</stp>
        <tr r="Z1542" s="1"/>
        <tr r="Z1542" s="1"/>
      </tp>
      <tp t="s">
        <v>#N/A Requesting Data...4141100151</v>
        <stp/>
        <stp>BDP|3150976994655712539</stp>
        <tr r="AC1013" s="1"/>
        <tr r="AC1013" s="1"/>
      </tp>
      <tp t="s">
        <v>#N/A Requesting Data...4177052828</v>
        <stp/>
        <stp>BDP|4897348739247269019</stp>
        <tr r="Y370" s="1"/>
        <tr r="Y370" s="1"/>
      </tp>
      <tp t="s">
        <v>#N/A Requesting Data...4218791259</v>
        <stp/>
        <stp>BDP|6977800460633761889</stp>
        <tr r="AA1312" s="1"/>
        <tr r="AA1312" s="1"/>
      </tp>
      <tp t="s">
        <v>#N/A Requesting Data...4101144364</v>
        <stp/>
        <stp>BDP|1954575252550236287</stp>
        <tr r="AB991" s="1"/>
        <tr r="AB991" s="1"/>
      </tp>
      <tp t="s">
        <v>#N/A Requesting Data...4191719099</v>
        <stp/>
        <stp>BDP|5895079986948893671</stp>
        <tr r="Y718" s="1"/>
        <tr r="Y718" s="1"/>
      </tp>
      <tp t="s">
        <v>#N/A Requesting Data...4200705950</v>
        <stp/>
        <stp>BDP|3615004835460250376</stp>
        <tr r="Z1516" s="1"/>
        <tr r="Z1516" s="1"/>
      </tp>
      <tp t="s">
        <v>#N/A Requesting Data...4149167697</v>
        <stp/>
        <stp>BDP|4011316984219424572</stp>
        <tr r="Y963" s="1"/>
        <tr r="Y963" s="1"/>
      </tp>
      <tp t="s">
        <v>#N/A Requesting Data...4202599296</v>
        <stp/>
        <stp>BDP|3039870885799627923</stp>
        <tr r="AB531" s="1"/>
        <tr r="AB531" s="1"/>
      </tp>
      <tp t="s">
        <v>#N/A Requesting Data...4293681023</v>
        <stp/>
        <stp>BDP|8424901275555067074</stp>
        <tr r="Y176" s="1"/>
        <tr r="Y176" s="1"/>
      </tp>
      <tp t="s">
        <v>#N/A Requesting Data...4133537286</v>
        <stp/>
        <stp>BDP|7260786580283842842</stp>
        <tr r="AB50" s="1"/>
        <tr r="AB50" s="1"/>
      </tp>
      <tp t="s">
        <v>#N/A Requesting Data...4262531609</v>
        <stp/>
        <stp>BDP|9649577583553164457</stp>
        <tr r="AA1342" s="1"/>
        <tr r="AA1342" s="1"/>
      </tp>
      <tp t="s">
        <v>#N/A Requesting Data...4132392428</v>
        <stp/>
        <stp>BDP|3628891381074922416</stp>
        <tr r="Y467" s="1"/>
        <tr r="Y467" s="1"/>
      </tp>
      <tp t="s">
        <v>#N/A Requesting Data...4144493921</v>
        <stp/>
        <stp>BDP|2250026966862440548</stp>
        <tr r="Z406" s="1"/>
        <tr r="Z406" s="1"/>
      </tp>
      <tp t="s">
        <v>#N/A Requesting Data...4143800270</v>
        <stp/>
        <stp>BDP|9183943177606049250</stp>
        <tr r="Z823" s="1"/>
        <tr r="Z823" s="1"/>
      </tp>
      <tp t="s">
        <v>#N/A Requesting Data...4227035041</v>
        <stp/>
        <stp>BDP|7617608154653577407</stp>
        <tr r="AB10" s="1"/>
        <tr r="AB10" s="1"/>
      </tp>
      <tp t="s">
        <v>#N/A Requesting Data...4128184610</v>
        <stp/>
        <stp>BDP|4115528313235740600</stp>
        <tr r="Z188" s="1"/>
        <tr r="Z188" s="1"/>
      </tp>
      <tp t="s">
        <v>#N/A Requesting Data...4120059648</v>
        <stp/>
        <stp>BDP|7017220405826017007</stp>
        <tr r="AB1110" s="1"/>
        <tr r="AB1110" s="1"/>
      </tp>
      <tp t="s">
        <v>#N/A Requesting Data...4178271545</v>
        <stp/>
        <stp>BDP|8210980874977935204</stp>
        <tr r="AC387" s="1"/>
      </tp>
      <tp t="s">
        <v>#N/A Requesting Data...4187673493</v>
        <stp/>
        <stp>BDP|2530444405900548564</stp>
        <tr r="AC211" s="1"/>
        <tr r="AC211" s="1"/>
      </tp>
      <tp t="s">
        <v>#N/A Requesting Data...4155515450</v>
        <stp/>
        <stp>BDP|4090406331294067465</stp>
        <tr r="AA670" s="1"/>
        <tr r="AA670" s="1"/>
      </tp>
      <tp t="s">
        <v>#N/A Requesting Data...4121900825</v>
        <stp/>
        <stp>BDP|4977350244600883078</stp>
        <tr r="AA1199" s="1"/>
        <tr r="AA1199" s="1"/>
      </tp>
      <tp t="s">
        <v>#N/A Requesting Data...4113178567</v>
        <stp/>
        <stp>BDP|2244691268344371570</stp>
        <tr r="Y880" s="1"/>
        <tr r="Y880" s="1"/>
      </tp>
      <tp t="s">
        <v>#N/A Requesting Data...4286794739</v>
        <stp/>
        <stp>BDP|9556595188357555063</stp>
        <tr r="Z1059" s="1"/>
        <tr r="Z1059" s="1"/>
      </tp>
      <tp t="s">
        <v>#N/A Requesting Data...4265990422</v>
        <stp/>
        <stp>BDP|2325762963293753361</stp>
        <tr r="Y439" s="1"/>
        <tr r="Y439" s="1"/>
      </tp>
      <tp t="s">
        <v>#N/A Requesting Data...4252398754</v>
        <stp/>
        <stp>BDP|6982778718395771662</stp>
        <tr r="AB554" s="1"/>
        <tr r="AB554" s="1"/>
      </tp>
      <tp t="s">
        <v>#N/A Requesting Data...4156577492</v>
        <stp/>
        <stp>BDP|3405787436793812768</stp>
        <tr r="AA1488" s="1"/>
        <tr r="AA1488" s="1"/>
      </tp>
      <tp t="s">
        <v>#N/A Requesting Data...4198006704</v>
        <stp/>
        <stp>BDP|1449793767944825764</stp>
        <tr r="Z1240" s="1"/>
        <tr r="Z1240" s="1"/>
      </tp>
      <tp t="s">
        <v>#N/A Requesting Data...4120521573</v>
        <stp/>
        <stp>BDP|3544366874122289617</stp>
        <tr r="AB1323" s="1"/>
        <tr r="AB1323" s="1"/>
      </tp>
      <tp t="s">
        <v>#N/A Requesting Data...4255118365</v>
        <stp/>
        <stp>BDP|3206139113284459420</stp>
        <tr r="Z768" s="1"/>
        <tr r="Z768" s="1"/>
      </tp>
      <tp t="s">
        <v>#N/A Requesting Data...4200377794</v>
        <stp/>
        <stp>BDP|5086747457040590428</stp>
        <tr r="Z593" s="1"/>
        <tr r="Z593" s="1"/>
      </tp>
      <tp t="s">
        <v>#N/A Requesting Data...4188678969</v>
        <stp/>
        <stp>BDP|4205693227503195091</stp>
        <tr r="Y1456" s="1"/>
        <tr r="Y1456" s="1"/>
      </tp>
      <tp t="s">
        <v>#N/A Requesting Data...4192439520</v>
        <stp/>
        <stp>BDP|1314014172115288062</stp>
        <tr r="AA1530" s="1"/>
        <tr r="AA1530" s="1"/>
      </tp>
      <tp t="s">
        <v>#N/A Requesting Data...4292792294</v>
        <stp/>
        <stp>BDP|6489856218704541883</stp>
        <tr r="AA1484" s="1"/>
        <tr r="AA1484" s="1"/>
      </tp>
      <tp t="s">
        <v>#N/A Requesting Data...4121730531</v>
        <stp/>
        <stp>BDP|7968045615487450282</stp>
        <tr r="AC181" s="1"/>
        <tr r="AC181" s="1"/>
      </tp>
      <tp t="s">
        <v>#N/A Requesting Data...4222803019</v>
        <stp/>
        <stp>BDP|1791906063185483845</stp>
        <tr r="AB256" s="1"/>
      </tp>
      <tp t="s">
        <v>#N/A Requesting Data...4152182768</v>
        <stp/>
        <stp>BDP|2864237429865221449</stp>
        <tr r="Y517" s="1"/>
        <tr r="Y517" s="1"/>
      </tp>
      <tp t="s">
        <v>#N/A Requesting Data...4179589145</v>
        <stp/>
        <stp>BDP|8475423946659450205</stp>
        <tr r="Y603" s="1"/>
        <tr r="Y603" s="1"/>
      </tp>
      <tp t="s">
        <v>#N/A Requesting Data...4139404542</v>
        <stp/>
        <stp>BDP|2014474204290486538</stp>
        <tr r="Y1035" s="1"/>
        <tr r="Y1035" s="1"/>
      </tp>
      <tp t="s">
        <v>#N/A Requesting Data...4166473656</v>
        <stp/>
        <stp>BDP|8503373213360167940</stp>
        <tr r="AB1128" s="1"/>
        <tr r="AB1128" s="1"/>
      </tp>
      <tp t="s">
        <v>#N/A Requesting Data...4268925844</v>
        <stp/>
        <stp>BDP|5739545635827600748</stp>
        <tr r="AC1561" s="1"/>
        <tr r="AC1561" s="1"/>
      </tp>
      <tp t="s">
        <v>#N/A Requesting Data...4262533394</v>
        <stp/>
        <stp>BDP|3921585666473394013</stp>
        <tr r="AB864" s="1"/>
        <tr r="AB864" s="1"/>
      </tp>
      <tp t="s">
        <v>#N/A Requesting Data...4260463710</v>
        <stp/>
        <stp>BDP|1399319054964466076</stp>
        <tr r="AC1043" s="1"/>
        <tr r="AC1043" s="1"/>
      </tp>
      <tp t="s">
        <v>#N/A Requesting Data...4132707301</v>
        <stp/>
        <stp>BDP|9728360233333136969</stp>
        <tr r="AB1183" s="1"/>
        <tr r="AB1183" s="1"/>
      </tp>
      <tp t="s">
        <v>#N/A Requesting Data...4294582162</v>
        <stp/>
        <stp>BDP|6635659926184723573</stp>
        <tr r="AB1431" s="1"/>
        <tr r="AB1431" s="1"/>
      </tp>
      <tp t="s">
        <v>#N/A Requesting Data...4220733625</v>
        <stp/>
        <stp>BDP|2760419785698308554</stp>
        <tr r="Y472" s="1"/>
        <tr r="Y472" s="1"/>
      </tp>
      <tp t="s">
        <v>#N/A Requesting Data...4259478103</v>
        <stp/>
        <stp>BDP|4285785968594705205</stp>
        <tr r="Y823" s="1"/>
        <tr r="Y823" s="1"/>
      </tp>
      <tp t="s">
        <v>#N/A Requesting Data...4278796984</v>
        <stp/>
        <stp>BDP|1852703358960559007</stp>
        <tr r="AC1523" s="1"/>
        <tr r="AC1523" s="1"/>
      </tp>
      <tp t="s">
        <v>#N/A Requesting Data...4141011852</v>
        <stp/>
        <stp>BDP|4871078488008074724</stp>
        <tr r="AB1098" s="1"/>
        <tr r="AB1098" s="1"/>
      </tp>
      <tp t="s">
        <v>#N/A Requesting Data...4244054858</v>
        <stp/>
        <stp>BDP|4835770216858437987</stp>
        <tr r="AB768" s="1"/>
        <tr r="AB768" s="1"/>
      </tp>
      <tp t="s">
        <v>#N/A Requesting Data...4259927528</v>
        <stp/>
        <stp>BDP|7504049486129038525</stp>
        <tr r="AC619" s="1"/>
        <tr r="AC619" s="1"/>
      </tp>
      <tp t="s">
        <v>#N/A Requesting Data...4146103575</v>
        <stp/>
        <stp>BDP|2746506582528941493</stp>
        <tr r="AA140" s="1"/>
        <tr r="AA140" s="1"/>
      </tp>
      <tp t="s">
        <v>#N/A Requesting Data...4238882852</v>
        <stp/>
        <stp>BDP|9294998653430943641</stp>
        <tr r="Y83" s="1"/>
        <tr r="Y83" s="1"/>
      </tp>
      <tp t="s">
        <v>#N/A Requesting Data...4241935187</v>
        <stp/>
        <stp>BDP|9665936360240983599</stp>
        <tr r="Y1383" s="1"/>
        <tr r="Y1383" s="1"/>
      </tp>
      <tp t="s">
        <v>#N/A Requesting Data...4246785995</v>
        <stp/>
        <stp>BDP|5612721876151421730</stp>
        <tr r="Z421" s="1"/>
        <tr r="Z421" s="1"/>
      </tp>
      <tp t="s">
        <v>#N/A Requesting Data...4242339264</v>
        <stp/>
        <stp>BDP|7085688625701916114</stp>
        <tr r="Z524" s="1"/>
        <tr r="Z524" s="1"/>
      </tp>
      <tp t="s">
        <v>#N/A Requesting Data...4241222517</v>
        <stp/>
        <stp>BDP|1054417042032244044</stp>
        <tr r="Z1139" s="1"/>
        <tr r="Z1139" s="1"/>
      </tp>
      <tp t="s">
        <v>#N/A Requesting Data...4287386772</v>
        <stp/>
        <stp>BDP|9088874143307455158</stp>
        <tr r="AA529" s="1"/>
      </tp>
      <tp t="s">
        <v>#N/A Requesting Data...4263696154</v>
        <stp/>
        <stp>BDP|5368545027498614933</stp>
        <tr r="AB1589" s="1"/>
      </tp>
      <tp t="s">
        <v>#N/A Requesting Data...4138001131</v>
        <stp/>
        <stp>BDP|5854450768121208521</stp>
        <tr r="Z313" s="1"/>
        <tr r="Z313" s="1"/>
      </tp>
      <tp t="s">
        <v>#N/A Requesting Data...4223751241</v>
        <stp/>
        <stp>BDP|9187460692895941291</stp>
        <tr r="Y33" s="1"/>
        <tr r="Y33" s="1"/>
      </tp>
      <tp t="s">
        <v>#N/A Requesting Data...4140572107</v>
        <stp/>
        <stp>BDP|5832721223171432284</stp>
        <tr r="Y1455" s="1"/>
        <tr r="Y1455" s="1"/>
      </tp>
      <tp t="s">
        <v>#N/A Requesting Data...4141930876</v>
        <stp/>
        <stp>BDP|3970349228844510553</stp>
        <tr r="Z1067" s="1"/>
        <tr r="Z1067" s="1"/>
      </tp>
      <tp t="s">
        <v>#N/A Requesting Data...4287148503</v>
        <stp/>
        <stp>BDP|8079949403720382215</stp>
        <tr r="Z1290" s="1"/>
        <tr r="Z1290" s="1"/>
      </tp>
      <tp t="s">
        <v>#N/A Requesting Data...4169097134</v>
        <stp/>
        <stp>BDP|6752423991069409151</stp>
        <tr r="AC1445" s="1"/>
        <tr r="AC1445" s="1"/>
      </tp>
      <tp>
        <v>1.82</v>
        <stp/>
        <stp>BDP|3160856934506455105|22</stp>
        <stp>IMRX US Equity</stp>
        <stp>LAST_PRICE</stp>
        <tr r="AD732" s="1"/>
        <tr r="AD732" s="1"/>
      </tp>
      <tp>
        <v>0.58030000000000004</v>
        <stp/>
        <stp>BDP|1305021176361528463|22</stp>
        <stp>VNRX US Equity</stp>
        <stp>LAST_PRICE</stp>
        <tr r="AD1568" s="1"/>
        <tr r="AD1568" s="1"/>
      </tp>
      <tp>
        <v>2.81</v>
        <stp/>
        <stp>BDP|3835609874277959039|22</stp>
        <stp>NSPR US Equity</stp>
        <stp>LAST_PRICE</stp>
        <tr r="AD773" s="1"/>
        <tr r="AD773" s="1"/>
      </tp>
      <tp>
        <v>12</v>
        <stp/>
        <stp>BDP|5873504152697064893|22</stp>
        <stp>RCUS US Equity</stp>
        <stp>LAST_PRICE</stp>
        <tr r="AD161" s="1"/>
        <tr r="AD161" s="1"/>
      </tp>
      <tp>
        <v>7.4550000000000001</v>
        <stp/>
        <stp>BDP|8689448040695937287|22</stp>
        <stp>OCUL US Equity</stp>
        <stp>LAST_PRICE</stp>
        <tr r="AD1072" s="1"/>
        <tr r="AD1072" s="1"/>
      </tp>
      <tp>
        <v>1.52</v>
        <stp/>
        <stp>BDP|1527176705471336651|22</stp>
        <stp>HOWL US Equity</stp>
        <stp>LAST_PRICE</stp>
        <tr r="AD1582" s="1"/>
        <tr r="AD1582" s="1"/>
      </tp>
      <tp>
        <v>37.19</v>
        <stp/>
        <stp>BDP|2305627806032764840|22</stp>
        <stp>SRRK US Equity</stp>
        <stp>LAST_PRICE</stp>
        <tr r="AD1314" s="1"/>
        <tr r="AD1314" s="1"/>
      </tp>
      <tp>
        <v>0</v>
        <stp/>
        <stp>BDP|7829941020527228787|22</stp>
        <stp>LFPI US Equity</stp>
        <stp>LAST_PRICE</stp>
        <tr r="AD873" s="1"/>
        <tr r="AD873" s="1"/>
      </tp>
      <tp>
        <v>81.239999999999995</v>
        <stp/>
        <stp>BDP|6558943377323355054|22</stp>
        <stp>NUVL US Equity</stp>
        <stp>LAST_PRICE</stp>
        <tr r="AD1066" s="1"/>
        <tr r="AD1066" s="1"/>
      </tp>
      <tp>
        <v>6.31</v>
        <stp/>
        <stp>BDP|3551772983654154238|22</stp>
        <stp>GLUE US Equity</stp>
        <stp>LAST_PRICE</stp>
        <tr r="AD978" s="1"/>
        <tr r="AD978" s="1"/>
      </tp>
      <tp>
        <v>0.56010000000000004</v>
        <stp/>
        <stp>BDP|1719804418753816634|22</stp>
        <stp>AMRN US Equity</stp>
        <stp>LAST_PRICE</stp>
        <tr r="AD107" s="1"/>
        <tr r="AD107" s="1"/>
      </tp>
      <tp>
        <v>0.14000000000000001</v>
        <stp/>
        <stp>BDP|2006611607235650932|22</stp>
        <stp>IMUC US Equity</stp>
        <stp>LAST_PRICE</stp>
        <tr r="AD574" s="1"/>
        <tr r="AD574" s="1"/>
      </tp>
      <tp>
        <v>0.39269999999999999</v>
        <stp/>
        <stp>BDP|2446032525742540731|22</stp>
        <stp>SYRA US Equity</stp>
        <stp>LAST_PRICE</stp>
        <tr r="AD1425" s="1"/>
        <tr r="AD1425" s="1"/>
      </tp>
      <tp>
        <v>6.07</v>
        <stp/>
        <stp>BDP|4313605633783478215|22</stp>
        <stp>ENSC US Equity</stp>
        <stp>LAST_PRICE</stp>
        <tr r="AD563" s="1"/>
        <tr r="AD563" s="1"/>
      </tp>
      <tp>
        <v>2.2400000000000002</v>
        <stp/>
        <stp>BDP|1406867697054979532|22</stp>
        <stp>AKYA US Equity</stp>
        <stp>LAST_PRICE</stp>
        <tr r="AD79" s="1"/>
        <tr r="AD79" s="1"/>
      </tp>
      <tp>
        <v>8.35</v>
        <stp/>
        <stp>BDP|6451946918698414285|22</stp>
        <stp>KURA US Equity</stp>
        <stp>LAST_PRICE</stp>
        <tr r="AD852" s="1"/>
        <tr r="AD852" s="1"/>
      </tp>
      <tp t="s">
        <v>#N/A N/A</v>
        <stp/>
        <stp>BDP|8665770110716615972|22</stp>
        <stp>SYVC US Equity</stp>
        <stp>LAST_PRICE</stp>
        <tr r="AD1423" s="1"/>
      </tp>
      <tp>
        <v>0.28739999999999999</v>
        <stp/>
        <stp>BDP|6842458775485983453|22</stp>
        <stp>CLRB US Equity</stp>
        <stp>LAST_PRICE</stp>
        <tr r="AD374" s="1"/>
        <tr r="AD374" s="1"/>
      </tp>
      <tp>
        <v>1.23</v>
        <stp/>
        <stp>BDP|18063998472918719501|22</stp>
        <stp>PBM US Equity</stp>
        <stp>LAST_PRICE</stp>
        <tr r="AD1216" s="1"/>
        <tr r="AD1216" s="1"/>
      </tp>
      <tp>
        <v>56.15</v>
        <stp/>
        <stp>BDP|16626540146344933745|22</stp>
        <stp>BMY US Equity</stp>
        <stp>LAST_PRICE</stp>
        <tr r="AD307" s="1"/>
        <tr r="AD307" s="1"/>
      </tp>
      <tp>
        <v>168.33</v>
        <stp/>
        <stp>BDP|13441852853991104040|22</stp>
        <stp>TFX US Equity</stp>
        <stp>LAST_PRICE</stp>
        <tr r="AD1442" s="1"/>
        <tr r="AD1442" s="1"/>
      </tp>
      <tp>
        <v>2.0499999999999998</v>
        <stp/>
        <stp>BDP|7086964505460178183|22</stp>
        <stp>VICP US Equity</stp>
        <stp>LAST_PRICE</stp>
        <tr r="AD1547" s="1"/>
        <tr r="AD1547" s="1"/>
      </tp>
      <tp>
        <v>1.38</v>
        <stp/>
        <stp>BDP|4126356951986605276|22</stp>
        <stp>IGMS US Equity</stp>
        <stp>LAST_PRICE</stp>
        <tr r="AD722" s="1"/>
        <tr r="AD722" s="1"/>
      </tp>
      <tp>
        <v>1.5</v>
        <stp/>
        <stp>BDP|9400555278145479715|22</stp>
        <stp>RHEP US Equity</stp>
        <stp>LAST_PRICE</stp>
        <tr r="AD1259" s="1"/>
        <tr r="AD1259" s="1"/>
      </tp>
      <tp>
        <v>2.66</v>
        <stp/>
        <stp>BDP|8712240302540204436|22</stp>
        <stp>MEIP US Equity</stp>
        <stp>LAST_PRICE</stp>
        <tr r="AD936" s="1"/>
        <tr r="AD936" s="1"/>
      </tp>
      <tp>
        <v>26.34</v>
        <stp/>
        <stp>BDP|5665105022569872131|22</stp>
        <stp>BLFS US Equity</stp>
        <stp>LAST_PRICE</stp>
        <tr r="AD266" s="1"/>
        <tr r="AD266" s="1"/>
      </tp>
      <tp>
        <v>2.5099999999999998</v>
        <stp/>
        <stp>BDP|8271486598688195145|22</stp>
        <stp>GANX US Equity</stp>
        <stp>LAST_PRICE</stp>
        <tr r="AD629" s="1"/>
        <tr r="AD629" s="1"/>
      </tp>
      <tp>
        <v>2.86</v>
        <stp/>
        <stp>BDP|2195565392171209985|22</stp>
        <stp>PRFX US Equity</stp>
        <stp>LAST_PRICE</stp>
        <tr r="AD1127" s="1"/>
        <tr r="AD1127" s="1"/>
      </tp>
      <tp>
        <v>5.48</v>
        <stp/>
        <stp>BDP|6737397346978018408|22</stp>
        <stp>PHAT US Equity</stp>
        <stp>LAST_PRICE</stp>
        <tr r="AD1162" s="1"/>
        <tr r="AD1162" s="1"/>
      </tp>
      <tp>
        <v>5.1865000000000001E-2</v>
        <stp/>
        <stp>BDP|5606332204206845496|22</stp>
        <stp>INIS US Equity</stp>
        <stp>LAST_PRICE</stp>
        <tr r="AD783" s="1"/>
        <tr r="AD783" s="1"/>
      </tp>
      <tp>
        <v>145.72</v>
        <stp/>
        <stp>BDP|6177517534498056081|22</stp>
        <stp>RGEN US Equity</stp>
        <stp>LAST_PRICE</stp>
        <tr r="AD1271" s="1"/>
        <tr r="AD1271" s="1"/>
      </tp>
      <tp>
        <v>1.6</v>
        <stp/>
        <stp>BDP|4762283718084381553|22</stp>
        <stp>TSHA US Equity</stp>
        <stp>LAST_PRICE</stp>
        <tr r="AD1437" s="1"/>
        <tr r="AD1437" s="1"/>
      </tp>
      <tp>
        <v>0.99839999999999995</v>
        <stp/>
        <stp>BDP|7448878362725232073|22</stp>
        <stp>AFMD US Equity</stp>
        <stp>LAST_PRICE</stp>
        <tr r="AD65" s="1"/>
        <tr r="AD65" s="1"/>
      </tp>
      <tp>
        <v>5.07</v>
        <stp/>
        <stp>BDP|6392961045169304839|22</stp>
        <stp>DTIL US Equity</stp>
        <stp>LAST_PRICE</stp>
        <tr r="AD1182" s="1"/>
        <tr r="AD1182" s="1"/>
      </tp>
      <tp>
        <v>133.43</v>
        <stp/>
        <stp>BDP|9123869108856737688|22</stp>
        <stp>BIIB US Equity</stp>
        <stp>LAST_PRICE</stp>
        <tr r="AD263" s="1"/>
        <tr r="AD263" s="1"/>
      </tp>
      <tp>
        <v>0.2621</v>
        <stp/>
        <stp>BDP|2511261183216112969|22</stp>
        <stp>ERNA US Equity</stp>
        <stp>LAST_PRICE</stp>
        <tr r="AD582" s="1"/>
        <tr r="AD582" s="1"/>
      </tp>
      <tp>
        <v>0.29399999999999998</v>
        <stp/>
        <stp>BDP|5465572647048016983|22</stp>
        <stp>OGEN US Equity</stp>
        <stp>LAST_PRICE</stp>
        <tr r="AD1102" s="1"/>
        <tr r="AD1102" s="1"/>
      </tp>
      <tp t="s">
        <v>#N/A N/A</v>
        <stp/>
        <stp>BDP|8766951668613336512|22</stp>
        <stp>IPAH US Equity</stp>
        <stp>LAST_PRICE</stp>
        <tr r="AD786" s="1"/>
      </tp>
      <tp>
        <v>0.51</v>
        <stp/>
        <stp>BDP|1893181919015739091|22</stp>
        <stp>JUSH CN Equity</stp>
        <stp>LAST_PRICE</stp>
        <tr r="AD818" s="1"/>
        <tr r="AD818" s="1"/>
      </tp>
      <tp>
        <v>32.909999999999997</v>
        <stp/>
        <stp>BDP|4049311509950793328|22</stp>
        <stp>TNDM US Equity</stp>
        <stp>LAST_PRICE</stp>
        <tr r="AD1432" s="1"/>
        <tr r="AD1432" s="1"/>
      </tp>
      <tp t="s">
        <v>#N/A Requesting Data...4227599199</v>
        <stp/>
        <stp>BDP|21815585540643966</stp>
        <tr r="AA1149" s="1"/>
        <tr r="AA1149" s="1"/>
      </tp>
      <tp t="s">
        <v>#N/A Requesting Data...4222277213</v>
        <stp/>
        <stp>BDP|75642538628497403</stp>
        <tr r="Y543" s="1"/>
        <tr r="Y543" s="1"/>
      </tp>
      <tp>
        <v>22.36</v>
        <stp/>
        <stp>BDP|11172197568362416334|22</stp>
        <stp>CON US Equity</stp>
        <stp>LAST_PRICE</stp>
        <tr r="AD435" s="1"/>
        <tr r="AD435" s="1"/>
      </tp>
      <tp>
        <v>381.91</v>
        <stp/>
        <stp>BDP|18374627047795141695|22</stp>
        <stp>WAT US Equity</stp>
        <stp>LAST_PRICE</stp>
        <tr r="AD1575" s="1"/>
        <tr r="AD1575" s="1"/>
      </tp>
      <tp>
        <v>0.48</v>
        <stp/>
        <stp>BDP|1040636277410733588|22</stp>
        <stp>CLCS US Equity</stp>
        <stp>LAST_PRICE</stp>
        <tr r="AD372" s="1"/>
        <tr r="AD372" s="1"/>
      </tp>
      <tp>
        <v>2.4700000000000002</v>
        <stp/>
        <stp>BDP|4184561901507162425|22</stp>
        <stp>ORMP US Equity</stp>
        <stp>LAST_PRICE</stp>
        <tr r="AD1103" s="1"/>
        <tr r="AD1103" s="1"/>
      </tp>
      <tp>
        <v>0.67400000000000004</v>
        <stp/>
        <stp>BDP|6142101778452027950|22</stp>
        <stp>CODX US Equity</stp>
        <stp>LAST_PRICE</stp>
        <tr r="AD418" s="1"/>
        <tr r="AD418" s="1"/>
      </tp>
      <tp t="s">
        <v>#N/A N/A</v>
        <stp/>
        <stp>BDP|7564631466227009566|22</stp>
        <stp>GENX US Equity</stp>
        <stp>LAST_PRICE</stp>
        <tr r="AD643" s="1"/>
      </tp>
      <tp>
        <v>1.71</v>
        <stp/>
        <stp>BDP|8208106017318198457|22</stp>
        <stp>TLIS US Equity</stp>
        <stp>LAST_PRICE</stp>
        <tr r="AD1429" s="1"/>
        <tr r="AD1429" s="1"/>
      </tp>
      <tp>
        <v>3.88</v>
        <stp/>
        <stp>BDP|8971153846046923942|22</stp>
        <stp>VVOS US Equity</stp>
        <stp>LAST_PRICE</stp>
        <tr r="AD1567" s="1"/>
        <tr r="AD1567" s="1"/>
      </tp>
      <tp>
        <v>0.76859999999999995</v>
        <stp/>
        <stp>BDP|7957013379623220646|22</stp>
        <stp>ATOS US Equity</stp>
        <stp>LAST_PRICE</stp>
        <tr r="AD191" s="1"/>
        <tr r="AD191" s="1"/>
      </tp>
      <tp>
        <v>1.48</v>
        <stp/>
        <stp>BDP|6998518708688332380|22</stp>
        <stp>ADCT US Equity</stp>
        <stp>LAST_PRICE</stp>
        <tr r="AD48" s="1"/>
        <tr r="AD48" s="1"/>
      </tp>
      <tp>
        <v>0.77659999999999996</v>
        <stp/>
        <stp>BDP|6131486212948287086|22</stp>
        <stp>ADIL US Equity</stp>
        <stp>LAST_PRICE</stp>
        <tr r="AD51" s="1"/>
        <tr r="AD51" s="1"/>
      </tp>
      <tp>
        <v>19.89</v>
        <stp/>
        <stp>BDP|3271502999174917738|22</stp>
        <stp>OMIC US Equity</stp>
        <stp>LAST_PRICE</stp>
        <tr r="AD1357" s="1"/>
        <tr r="AD1357" s="1"/>
      </tp>
      <tp>
        <v>340.17</v>
        <stp/>
        <stp>BDP|2176081132070428907|22</stp>
        <stp>MDGL US Equity</stp>
        <stp>LAST_PRICE</stp>
        <tr r="AD897" s="1"/>
        <tr r="AD897" s="1"/>
      </tp>
      <tp>
        <v>1.1299999999999999</v>
        <stp/>
        <stp>BDP|3197154354171448328|22</stp>
        <stp>VANI US Equity</stp>
        <stp>LAST_PRICE</stp>
        <tr r="AD1563" s="1"/>
        <tr r="AD1563" s="1"/>
      </tp>
      <tp>
        <v>0.79</v>
        <stp/>
        <stp>BDP|3600720171911407488|22</stp>
        <stp>BIAF US Equity</stp>
        <stp>LAST_PRICE</stp>
        <tr r="AD255" s="1"/>
        <tr r="AD255" s="1"/>
      </tp>
      <tp>
        <v>126.14</v>
        <stp/>
        <stp>BDP|6624388808861229424|22</stp>
        <stp>ASND US Equity</stp>
        <stp>LAST_PRICE</stp>
        <tr r="AD177" s="1"/>
        <tr r="AD177" s="1"/>
      </tp>
      <tp t="s">
        <v>#N/A Requesting Data...4248715988</v>
        <stp/>
        <stp>BDP|49353108109910225</stp>
        <tr r="AA645" s="1"/>
        <tr r="AA645" s="1"/>
      </tp>
      <tp>
        <v>4.7699999999999996</v>
        <stp/>
        <stp>BDP|15413496260678633760|22</stp>
        <stp>CCM US Equity</stp>
        <stp>LAST_PRICE</stp>
        <tr r="AD436" s="1"/>
        <tr r="AD436" s="1"/>
      </tp>
      <tp>
        <v>8.92</v>
        <stp/>
        <stp>BDP|14733190759825326157|22</stp>
        <stp>PRN CN Equity</stp>
        <stp>LAST_PRICE</stp>
        <tr r="AD1199" s="1"/>
        <tr r="AD1199" s="1"/>
      </tp>
      <tp>
        <v>0.32500000000000001</v>
        <stp/>
        <stp>BDP|18153381484177401678|22</stp>
        <stp>OTC CN Equity</stp>
        <stp>LAST_PRICE</stp>
        <tr r="AD1074" s="1"/>
        <tr r="AD1074" s="1"/>
      </tp>
      <tp>
        <v>4.34</v>
        <stp/>
        <stp>BDP|4563710195782440826|22</stp>
        <stp>BFLY US Equity</stp>
        <stp>LAST_PRICE</stp>
        <tr r="AD314" s="1"/>
        <tr r="AD314" s="1"/>
      </tp>
      <tp>
        <v>33.85</v>
        <stp/>
        <stp>BDP|4405310309476575960|22</stp>
        <stp>SRDX US Equity</stp>
        <stp>LAST_PRICE</stp>
        <tr r="AD1417" s="1"/>
        <tr r="AD1417" s="1"/>
      </tp>
      <tp>
        <v>6.5500000000000003E-3</v>
        <stp/>
        <stp>BDP|2899578988685699926|22</stp>
        <stp>FCHS US Equity</stp>
        <stp>LAST_PRICE</stp>
        <tr r="AD613" s="1"/>
        <tr r="AD613" s="1"/>
      </tp>
      <tp>
        <v>3.11</v>
        <stp/>
        <stp>BDP|8335018688823914718|22</stp>
        <stp>AVIR US Equity</stp>
        <stp>LAST_PRICE</stp>
        <tr r="AD187" s="1"/>
        <tr r="AD187" s="1"/>
      </tp>
      <tp>
        <v>3.01</v>
        <stp/>
        <stp>BDP|9284308150256683500|22</stp>
        <stp>ZEOX US Equity</stp>
        <stp>LAST_PRICE</stp>
        <tr r="AD1611" s="1"/>
        <tr r="AD1611" s="1"/>
      </tp>
      <tp>
        <v>96.32</v>
        <stp/>
        <stp>BDP|9966176438063530894|22</stp>
        <stp>LMAT US Equity</stp>
        <stp>LAST_PRICE</stp>
        <tr r="AD863" s="1"/>
        <tr r="AD863" s="1"/>
      </tp>
      <tp>
        <v>0</v>
        <stp/>
        <stp>BDP|4694374125022497079|22</stp>
        <stp>INLB US Equity</stp>
        <stp>LAST_PRICE</stp>
        <tr r="AD802" s="1"/>
        <tr r="AD802" s="1"/>
      </tp>
      <tp>
        <v>6.76</v>
        <stp/>
        <stp>BDP|8016807031689072165|22</stp>
        <stp>APLM US Equity</stp>
        <stp>LAST_PRICE</stp>
        <tr r="AD143" s="1"/>
        <tr r="AD143" s="1"/>
      </tp>
      <tp>
        <v>8.0000000000000002E-3</v>
        <stp/>
        <stp>BDP|3449723926144679006|22</stp>
        <stp>BMMJ US Equity</stp>
        <stp>LAST_PRICE</stp>
        <tr r="AD294" s="1"/>
        <tr r="AD294" s="1"/>
      </tp>
      <tp>
        <v>1.44</v>
        <stp/>
        <stp>BDP|4491034759323825785|22</stp>
        <stp>ANEB US Equity</stp>
        <stp>LAST_PRICE</stp>
        <tr r="AD131" s="1"/>
        <tr r="AD131" s="1"/>
      </tp>
      <tp>
        <v>9.5200000000000007E-2</v>
        <stp/>
        <stp>BDP|5930169481947639909|22</stp>
        <stp>YECO US Equity</stp>
        <stp>LAST_PRICE</stp>
        <tr r="AD1606" s="1"/>
        <tr r="AD1606" s="1"/>
      </tp>
      <tp>
        <v>0.95930000000000004</v>
        <stp/>
        <stp>BDP|7712385934121463557|22</stp>
        <stp>IMAB US Equity</stp>
        <stp>LAST_PRICE</stp>
        <tr r="AD711" s="1"/>
        <tr r="AD711" s="1"/>
      </tp>
      <tp t="s">
        <v>#N/A N/A</v>
        <stp/>
        <stp>BDP|5164051559427092219|22</stp>
        <stp>SAGD US Equity</stp>
        <stp>LAST_PRICE</stp>
        <tr r="AD1379" s="1"/>
      </tp>
      <tp t="s">
        <v>#N/A N/A</v>
        <stp/>
        <stp>BDP|5899743002592113182|22</stp>
        <stp>CNLK US Equity</stp>
        <stp>LAST_PRICE</stp>
        <tr r="AD333" s="1"/>
      </tp>
      <tp>
        <v>8.91</v>
        <stp/>
        <stp>BDP|8094082741074756515|22</stp>
        <stp>AVDL US Equity</stp>
        <stp>LAST_PRICE</stp>
        <tr r="AD203" s="1"/>
        <tr r="AD203" s="1"/>
      </tp>
      <tp>
        <v>9.9999999999999995E-7</v>
        <stp/>
        <stp>BDP|9055595292225194222|22</stp>
        <stp>DECN US Equity</stp>
        <stp>LAST_PRICE</stp>
        <tr r="AD493" s="1"/>
        <tr r="AD493" s="1"/>
      </tp>
      <tp>
        <v>127.97</v>
        <stp/>
        <stp>BDP|7583960964621884278|22</stp>
        <stp>ITCI US Equity</stp>
        <stp>LAST_PRICE</stp>
        <tr r="AD787" s="1"/>
        <tr r="AD787" s="1"/>
      </tp>
      <tp>
        <v>1.35</v>
        <stp/>
        <stp>BDP|2766804830918649595|22</stp>
        <stp>ICCM US Equity</stp>
        <stp>LAST_PRICE</stp>
        <tr r="AD715" s="1"/>
        <tr r="AD715" s="1"/>
      </tp>
      <tp>
        <v>0.53320000000000001</v>
        <stp/>
        <stp>BDP|1555215332094782033|22</stp>
        <stp>CDIO US Equity</stp>
        <stp>LAST_PRICE</stp>
        <tr r="AD346" s="1"/>
        <tr r="AD346" s="1"/>
      </tp>
      <tp>
        <v>0</v>
        <stp/>
        <stp>BDP|5314849687056665215|22</stp>
        <stp>SGLN US Equity</stp>
        <stp>LAST_PRICE</stp>
        <tr r="AD1416" s="1"/>
        <tr r="AD1416" s="1"/>
      </tp>
      <tp>
        <v>27.1</v>
        <stp/>
        <stp>BDP|1748810398635023183|22</stp>
        <stp>XOMA US Equity</stp>
        <stp>LAST_PRICE</stp>
        <tr r="AD1601" s="1"/>
        <tr r="AD1601" s="1"/>
      </tp>
      <tp>
        <v>1E-3</v>
        <stp/>
        <stp>BDP|1546531430166223309|22</stp>
        <stp>SPOM US Equity</stp>
        <stp>LAST_PRICE</stp>
        <tr r="AD1385" s="1"/>
        <tr r="AD1385" s="1"/>
      </tp>
      <tp>
        <v>0.58599999999999997</v>
        <stp/>
        <stp>BDP|1123924627098973281|22</stp>
        <stp>MTNB US Equity</stp>
        <stp>LAST_PRICE</stp>
        <tr r="AD910" s="1"/>
        <tr r="AD910" s="1"/>
      </tp>
      <tp>
        <v>0.29089999999999999</v>
        <stp/>
        <stp>BDP|8791799634842209429|22</stp>
        <stp>INAB US Equity</stp>
        <stp>LAST_PRICE</stp>
        <tr r="AD741" s="1"/>
        <tr r="AD741" s="1"/>
      </tp>
      <tp>
        <v>4.7999999999999996E-3</v>
        <stp/>
        <stp>BDP|2811376633918332398|22</stp>
        <stp>GBLX US Equity</stp>
        <stp>LAST_PRICE</stp>
        <tr r="AD634" s="1"/>
        <tr r="AD634" s="1"/>
      </tp>
      <tp t="s">
        <v>#N/A N/A</v>
        <stp/>
        <stp>BDP|6575608352999789351|22</stp>
        <stp>PROT US Equity</stp>
        <stp>LAST_PRICE</stp>
        <tr r="AD1210" s="1"/>
      </tp>
      <tp>
        <v>5.0000000000000001E-4</v>
        <stp/>
        <stp>BDP|1904184753328784718|22</stp>
        <stp>ITNS US Equity</stp>
        <stp>LAST_PRICE</stp>
        <tr r="AD805" s="1"/>
        <tr r="AD805" s="1"/>
      </tp>
      <tp>
        <v>143.63999999999999</v>
        <stp/>
        <stp>BDP|3721515200525115525|22</stp>
        <stp>GKOS US Equity</stp>
        <stp>LAST_PRICE</stp>
        <tr r="AD649" s="1"/>
        <tr r="AD649" s="1"/>
      </tp>
      <tp>
        <v>0.126</v>
        <stp/>
        <stp>BDP|8765165464133876091|22</stp>
        <stp>DYNT US Equity</stp>
        <stp>LAST_PRICE</stp>
        <tr r="AD520" s="1"/>
        <tr r="AD520" s="1"/>
      </tp>
      <tp>
        <v>11.51</v>
        <stp/>
        <stp>BDP|9153275221638044136|22</stp>
        <stp>JYNT US Equity</stp>
        <stp>LAST_PRICE</stp>
        <tr r="AD815" s="1"/>
        <tr r="AD815" s="1"/>
      </tp>
      <tp>
        <v>6.9000000000000006E-2</v>
        <stp/>
        <stp>BDP|3383148158652557933|22</stp>
        <stp>VYCO US Equity</stp>
        <stp>LAST_PRICE</stp>
        <tr r="AD1573" s="1"/>
        <tr r="AD1573" s="1"/>
      </tp>
      <tp>
        <v>4.34</v>
        <stp/>
        <stp>BDP|9193129645986802303|22</stp>
        <stp>CRDF US Equity</stp>
        <stp>LAST_PRICE</stp>
        <tr r="AD344" s="1"/>
        <tr r="AD344" s="1"/>
      </tp>
      <tp t="s">
        <v>#N/A N/A</v>
        <stp/>
        <stp>BDP|2701781184096304005|22</stp>
        <stp>CNBI US Equity</stp>
        <stp>LAST_PRICE</stp>
        <tr r="AD395" s="1"/>
      </tp>
      <tp>
        <v>4.25</v>
        <stp/>
        <stp>BDP|1867621248094162056|22</stp>
        <stp>TELO US Equity</stp>
        <stp>LAST_PRICE</stp>
        <tr r="AD1445" s="1"/>
        <tr r="AD1445" s="1"/>
      </tp>
      <tp>
        <v>2.74</v>
        <stp/>
        <stp>BDP|3532594164796687731|22</stp>
        <stp>VTGN US Equity</stp>
        <stp>LAST_PRICE</stp>
        <tr r="AD1561" s="1"/>
        <tr r="AD1561" s="1"/>
      </tp>
      <tp>
        <v>7.72</v>
        <stp/>
        <stp>BDP|2865168662645027633|22</stp>
        <stp>CCEL US Equity</stp>
        <stp>LAST_PRICE</stp>
        <tr r="AD460" s="1"/>
        <tr r="AD460" s="1"/>
      </tp>
      <tp>
        <v>3.31</v>
        <stp/>
        <stp>BDP|5465274558109387457|22</stp>
        <stp>QLGN US Equity</stp>
        <stp>LAST_PRICE</stp>
        <tr r="AD1228" s="1"/>
        <tr r="AD1228" s="1"/>
      </tp>
      <tp>
        <v>1.64</v>
        <stp/>
        <stp>BDP|3745797856408732104|22</stp>
        <stp>ALEC US Equity</stp>
        <stp>LAST_PRICE</stp>
        <tr r="AD83" s="1"/>
        <tr r="AD83" s="1"/>
      </tp>
      <tp>
        <v>5.0000000000000001E-3</v>
        <stp/>
        <stp>BDP|1726748932902644143|22</stp>
        <stp>ENTG CN Equity</stp>
        <stp>LAST_PRICE</stp>
        <tr r="AD566" s="1"/>
        <tr r="AD566" s="1"/>
      </tp>
      <tp>
        <v>5.9999999999999995E-4</v>
        <stp/>
        <stp>BDP|5237270474375703401|22</stp>
        <stp>CALA US Equity</stp>
        <stp>LAST_PRICE</stp>
        <tr r="AD323" s="1"/>
        <tr r="AD323" s="1"/>
      </tp>
      <tp>
        <v>7.0000000000000001E-3</v>
        <stp/>
        <stp>BDP|2219730770593613001|22</stp>
        <stp>CPMD US Equity</stp>
        <stp>LAST_PRICE</stp>
        <tr r="AD334" s="1"/>
        <tr r="AD334" s="1"/>
      </tp>
      <tp>
        <v>7.01</v>
        <stp/>
        <stp>BDP|4698653793909749230|22</stp>
        <stp>LUNG US Equity</stp>
        <stp>LAST_PRICE</stp>
        <tr r="AD1220" s="1"/>
        <tr r="AD1220" s="1"/>
      </tp>
      <tp>
        <v>9.9999999999999995E-7</v>
        <stp/>
        <stp>BDP|6008790464998407421|22</stp>
        <stp>ACAI US Equity</stp>
        <stp>LAST_PRICE</stp>
        <tr r="AD1301" s="1"/>
        <tr r="AD1301" s="1"/>
      </tp>
      <tp>
        <v>84.01</v>
        <stp/>
        <stp>BDP|8350806228152327875|22</stp>
        <stp>GMED US Equity</stp>
        <stp>LAST_PRICE</stp>
        <tr r="AD654" s="1"/>
        <tr r="AD654" s="1"/>
      </tp>
      <tp t="s">
        <v>#N/A Requesting Data...351534535</v>
        <stp/>
        <stp>BDP|74908031983186365</stp>
        <tr r="Y356" s="1"/>
        <tr r="Y356" s="1"/>
      </tp>
      <tp t="s">
        <v>#N/A Requesting Data...1424310333</v>
        <stp/>
        <stp>BDP|79392538752877888</stp>
        <tr r="AA124" s="1"/>
        <tr r="AA124" s="1"/>
      </tp>
      <tp t="s">
        <v>#N/A Requesting Data...1595114888</v>
        <stp/>
        <stp>BDP|45197494960155245</stp>
        <tr r="AA574" s="1"/>
        <tr r="AA574" s="1"/>
      </tp>
      <tp>
        <v>14.7</v>
        <stp/>
        <stp>BDP|14042046800306843807|22</stp>
        <stp>OGN US Equity</stp>
        <stp>LAST_PRICE</stp>
        <tr r="AD1108" s="1"/>
        <tr r="AD1108" s="1"/>
      </tp>
      <tp>
        <v>3.2</v>
        <stp/>
        <stp>BDP|10029386613717530600|22</stp>
        <stp>INM US Equity</stp>
        <stp>LAST_PRICE</stp>
        <tr r="AD752" s="1"/>
        <tr r="AD752" s="1"/>
      </tp>
      <tp>
        <v>10.73</v>
        <stp/>
        <stp>BDP|16148082056428074341|22</stp>
        <stp>EXE CN Equity</stp>
        <stp>LAST_PRICE</stp>
        <tr r="AD603" s="1"/>
        <tr r="AD603" s="1"/>
      </tp>
      <tp>
        <v>2.5099999999999998</v>
        <stp/>
        <stp>BDP|18042333842484294599|22</stp>
        <stp>OCX US Equity</stp>
        <stp>LAST_PRICE</stp>
        <tr r="AD1083" s="1"/>
        <tr r="AD1083" s="1"/>
      </tp>
      <tp>
        <v>1.4E-2</v>
        <stp/>
        <stp>BDP|7242691862093905123|22</stp>
        <stp>AJOY US Equity</stp>
        <stp>LAST_PRICE</stp>
        <tr r="AD225" s="1"/>
        <tr r="AD225" s="1"/>
      </tp>
      <tp>
        <v>0.49</v>
        <stp/>
        <stp>BDP|7773035385133591872|22</stp>
        <stp>KANT US Equity</stp>
        <stp>LAST_PRICE</stp>
        <tr r="AD835" s="1"/>
        <tr r="AD835" s="1"/>
      </tp>
      <tp>
        <v>46.34</v>
        <stp/>
        <stp>BDP|5159248425221157110|22</stp>
        <stp>HIMS US Equity</stp>
        <stp>LAST_PRICE</stp>
        <tr r="AD700" s="1"/>
        <tr r="AD700" s="1"/>
      </tp>
      <tp>
        <v>0.2676</v>
        <stp/>
        <stp>BDP|5077070877575781734|22</stp>
        <stp>PTIX US Equity</stp>
        <stp>LAST_PRICE</stp>
        <tr r="AD1205" s="1"/>
        <tr r="AD1205" s="1"/>
      </tp>
      <tp>
        <v>59.68</v>
        <stp/>
        <stp>BDP|7270949646964079347|22</stp>
        <stp>ANIP US Equity</stp>
        <stp>LAST_PRICE</stp>
        <tr r="AD133" s="1"/>
        <tr r="AD133" s="1"/>
      </tp>
      <tp>
        <v>2.786</v>
        <stp/>
        <stp>BDP|6167000666972603109|22</stp>
        <stp>RSLS US Equity</stp>
        <stp>LAST_PRICE</stp>
        <tr r="AD1273" s="1"/>
        <tr r="AD1273" s="1"/>
      </tp>
      <tp>
        <v>1.71</v>
        <stp/>
        <stp>BDP|5356312588364649636|22</stp>
        <stp>SABS US Equity</stp>
        <stp>LAST_PRICE</stp>
        <tr r="AD1300" s="1"/>
        <tr r="AD1300" s="1"/>
      </tp>
      <tp>
        <v>0.01</v>
        <stp/>
        <stp>BDP|3687484548779007646|22</stp>
        <stp>MJRX CN Equity</stp>
        <stp>LAST_PRICE</stp>
        <tr r="AD650" s="1"/>
        <tr r="AD650" s="1"/>
      </tp>
      <tp>
        <v>3.4439999999999998E-2</v>
        <stp/>
        <stp>BDP|9589766927492579584|22</stp>
        <stp>BUDZ US Equity</stp>
        <stp>LAST_PRICE</stp>
        <tr r="AD1579" s="1"/>
        <tr r="AD1579" s="1"/>
      </tp>
      <tp>
        <v>69.52</v>
        <stp/>
        <stp>BDP|2373008245748758484|22</stp>
        <stp>TMDX US Equity</stp>
        <stp>LAST_PRICE</stp>
        <tr r="AD1482" s="1"/>
        <tr r="AD1482" s="1"/>
      </tp>
      <tp>
        <v>0.26</v>
        <stp/>
        <stp>BDP|6768573527809946846|22</stp>
        <stp>OMGA US Equity</stp>
        <stp>LAST_PRICE</stp>
        <tr r="AD1077" s="1"/>
        <tr r="AD1077" s="1"/>
      </tp>
      <tp>
        <v>0.41980000000000001</v>
        <stp/>
        <stp>BDP|1734498366613401901|22</stp>
        <stp>BCAB US Equity</stp>
        <stp>LAST_PRICE</stp>
        <tr r="AD257" s="1"/>
        <tr r="AD257" s="1"/>
      </tp>
      <tp>
        <v>85.9</v>
        <stp/>
        <stp>BDP|7771696924825827377|22</stp>
        <stp>GEHC US Equity</stp>
        <stp>LAST_PRICE</stp>
        <tr r="AD635" s="1"/>
        <tr r="AD635" s="1"/>
      </tp>
      <tp>
        <v>0.33</v>
        <stp/>
        <stp>BDP|7172347479692033680|22</stp>
        <stp>TBIO US Equity</stp>
        <stp>LAST_PRICE</stp>
        <tr r="AD1443" s="1"/>
        <tr r="AD1443" s="1"/>
      </tp>
      <tp>
        <v>1E-4</v>
        <stp/>
        <stp>BDP|8042551671182680077|22</stp>
        <stp>NPHC US Equity</stp>
        <stp>LAST_PRICE</stp>
        <tr r="AD1064" s="1"/>
        <tr r="AD1064" s="1"/>
      </tp>
      <tp>
        <v>31.95</v>
        <stp/>
        <stp>BDP|5331229660512712629|22</stp>
        <stp>BBIO US Equity</stp>
        <stp>LAST_PRICE</stp>
        <tr r="AD303" s="1"/>
        <tr r="AD303" s="1"/>
      </tp>
      <tp>
        <v>8.9499999999999993</v>
        <stp/>
        <stp>BDP|4974916597246234536|22</stp>
        <stp>AHCO US Equity</stp>
        <stp>LAST_PRICE</stp>
        <tr r="AD45" s="1"/>
        <tr r="AD45" s="1"/>
      </tp>
      <tp>
        <v>9.9999999999999995E-7</v>
        <stp/>
        <stp>BDP|5447784550970878406|22</stp>
        <stp>CBIA US Equity</stp>
        <stp>LAST_PRICE</stp>
        <tr r="AD336" s="1"/>
        <tr r="AD336" s="1"/>
      </tp>
      <tp>
        <v>7.77</v>
        <stp/>
        <stp>BDP|7430000023915500060|22</stp>
        <stp>DNTL CN Equity</stp>
        <stp>LAST_PRICE</stp>
        <tr r="AD499" s="1"/>
        <tr r="AD499" s="1"/>
      </tp>
      <tp>
        <v>1.4E-3</v>
        <stp/>
        <stp>BDP|1444885303742687057|22</stp>
        <stp>KOAN US Equity</stp>
        <stp>LAST_PRICE</stp>
        <tr r="AD1275" s="1"/>
        <tr r="AD1275" s="1"/>
      </tp>
      <tp>
        <v>0.52</v>
        <stp/>
        <stp>BDP|7475842760927394079|22</stp>
        <stp>PLTH CN Equity</stp>
        <stp>LAST_PRICE</stp>
        <tr r="AD1168" s="1"/>
        <tr r="AD1168" s="1"/>
      </tp>
      <tp>
        <v>8.61</v>
        <stp/>
        <stp>BDP|1436356600761027999|22</stp>
        <stp>RCEL US Equity</stp>
        <stp>LAST_PRICE</stp>
        <tr r="AD215" s="1"/>
        <tr r="AD215" s="1"/>
      </tp>
      <tp t="s">
        <v>#N/A N/A</v>
        <stp/>
        <stp>BDP|5008427900868440858|22</stp>
        <stp>AUSA CN Equity</stp>
        <stp>LAST_PRICE</stp>
        <tr r="AD199" s="1"/>
      </tp>
      <tp>
        <v>7.1999999999999998E-3</v>
        <stp/>
        <stp>BDP|5859019020926931948|22</stp>
        <stp>PBIO US Equity</stp>
        <stp>LAST_PRICE</stp>
        <tr r="AD1190" s="1"/>
        <tr r="AD1190" s="1"/>
      </tp>
      <tp>
        <v>12.41</v>
        <stp/>
        <stp>BDP|4996657769811229166|22</stp>
        <stp>CELC US Equity</stp>
        <stp>LAST_PRICE</stp>
        <tr r="AD371" s="1"/>
        <tr r="AD371" s="1"/>
      </tp>
      <tp>
        <v>3.57</v>
        <stp/>
        <stp>BDP|2714662124561387296|22</stp>
        <stp>OABI US Equity</stp>
        <stp>LAST_PRICE</stp>
        <tr r="AD1080" s="1"/>
        <tr r="AD1080" s="1"/>
      </tp>
      <tp t="s">
        <v>#N/A Requesting Data...1924166603</v>
        <stp/>
        <stp>BDP|87187013324755995</stp>
        <tr r="AA1037" s="1"/>
        <tr r="AA1037" s="1"/>
      </tp>
      <tp t="s">
        <v>#N/A Requesting Data...1571286953</v>
        <stp/>
        <stp>BDP|81624795851881323</stp>
        <tr r="AC1039" s="1"/>
        <tr r="AC1039" s="1"/>
      </tp>
      <tp t="s">
        <v>#N/A Requesting Data...1193121048</v>
        <stp/>
        <stp>BDP|37135518219186433</stp>
        <tr r="AB127" s="1"/>
        <tr r="AB127" s="1"/>
      </tp>
      <tp>
        <v>5.64</v>
        <stp/>
        <stp>BDP|12015748021040024319|22</stp>
        <stp>GUD CN Equity</stp>
        <stp>LAST_PRICE</stp>
        <tr r="AD842" s="1"/>
        <tr r="AD842" s="1"/>
      </tp>
      <tp>
        <v>0.09</v>
        <stp/>
        <stp>BDP|16017451645097340201|22</stp>
        <stp>ARC CN Equity</stp>
        <stp>LAST_PRICE</stp>
        <tr r="AD159" s="1"/>
        <tr r="AD159" s="1"/>
      </tp>
      <tp>
        <v>2.2599999999999998</v>
        <stp/>
        <stp>BDP|11792076813066784141|22</stp>
        <stp>IKT US Equity</stp>
        <stp>LAST_PRICE</stp>
        <tr r="AD749" s="1"/>
        <tr r="AD749" s="1"/>
      </tp>
      <tp>
        <v>3.03</v>
        <stp/>
        <stp>BDP|16942721153951682482|22</stp>
        <stp>AMS US Equity</stp>
        <stp>LAST_PRICE</stp>
        <tr r="AD115" s="1"/>
        <tr r="AD115" s="1"/>
      </tp>
      <tp>
        <v>3.14</v>
        <stp/>
        <stp>BDP|1137804199589861751|22</stp>
        <stp>ANIX US Equity</stp>
        <stp>LAST_PRICE</stp>
        <tr r="AD135" s="1"/>
        <tr r="AD135" s="1"/>
      </tp>
      <tp>
        <v>69.05</v>
        <stp/>
        <stp>BDP|8495068969656159350|22</stp>
        <stp>INCY US Equity</stp>
        <stp>LAST_PRICE</stp>
        <tr r="AD744" s="1"/>
        <tr r="AD744" s="1"/>
      </tp>
      <tp>
        <v>17.309999999999999</v>
        <stp/>
        <stp>BDP|4371946697049646236|22</stp>
        <stp>NRIX US Equity</stp>
        <stp>LAST_PRICE</stp>
        <tr r="AD1062" s="1"/>
        <tr r="AD1062" s="1"/>
      </tp>
      <tp>
        <v>4.1100000000000003</v>
        <stp/>
        <stp>BDP|9267178517740382203|22</stp>
        <stp>QIPT CN Equity</stp>
        <stp>LAST_PRICE</stp>
        <tr r="AD1239" s="1"/>
        <tr r="AD1239" s="1"/>
      </tp>
      <tp>
        <v>1.01</v>
        <stp/>
        <stp>BDP|7926447678193033752|22</stp>
        <stp>ALLR US Equity</stp>
        <stp>LAST_PRICE</stp>
        <tr r="AD89" s="1"/>
        <tr r="AD89" s="1"/>
      </tp>
      <tp>
        <v>1.99</v>
        <stp/>
        <stp>BDP|9024333184663926369|22</stp>
        <stp>LADX US Equity</stp>
        <stp>LAST_PRICE</stp>
        <tr r="AD855" s="1"/>
        <tr r="AD855" s="1"/>
      </tp>
      <tp>
        <v>66.23</v>
        <stp/>
        <stp>BDP|3785887042113299506|22</stp>
        <stp>PRCT US Equity</stp>
        <stp>LAST_PRICE</stp>
        <tr r="AD1195" s="1"/>
        <tr r="AD1195" s="1"/>
      </tp>
      <tp>
        <v>0.56000000000000005</v>
        <stp/>
        <stp>BDP|4976974489746320167|22</stp>
        <stp>XTNT US Equity</stp>
        <stp>LAST_PRICE</stp>
        <tr r="AD1603" s="1"/>
        <tr r="AD1603" s="1"/>
      </tp>
      <tp>
        <v>9.9999999999999995E-7</v>
        <stp/>
        <stp>BDP|9375880587204424534|22</stp>
        <stp>BMGP US Equity</stp>
        <stp>LAST_PRICE</stp>
        <tr r="AD267" s="1"/>
        <tr r="AD267" s="1"/>
      </tp>
      <tp>
        <v>0.88249999999999995</v>
        <stp/>
        <stp>BDP|6154110868841287986|22</stp>
        <stp>JUNS US Equity</stp>
        <stp>LAST_PRICE</stp>
        <tr r="AD817" s="1"/>
        <tr r="AD817" s="1"/>
      </tp>
      <tp>
        <v>6.0250000000000004</v>
        <stp/>
        <stp>BDP|7369781337637713938|22</stp>
        <stp>ALDX US Equity</stp>
        <stp>LAST_PRICE</stp>
        <tr r="AD82" s="1"/>
        <tr r="AD82" s="1"/>
      </tp>
      <tp>
        <v>14.51</v>
        <stp/>
        <stp>BDP|5187395582798365118|22</stp>
        <stp>ARDT US Equity</stp>
        <stp>LAST_PRICE</stp>
        <tr r="AD164" s="1"/>
        <tr r="AD164" s="1"/>
      </tp>
      <tp>
        <v>1.6999999999999999E-3</v>
        <stp/>
        <stp>BDP|9762627068329505165|22</stp>
        <stp>PHBI US Equity</stp>
        <stp>LAST_PRICE</stp>
        <tr r="AD1160" s="1"/>
        <tr r="AD1160" s="1"/>
      </tp>
      <tp>
        <v>0.499</v>
        <stp/>
        <stp>BDP|6335265367417854618|22</stp>
        <stp>RTGC US Equity</stp>
        <stp>LAST_PRICE</stp>
        <tr r="AD1290" s="1"/>
        <tr r="AD1290" s="1"/>
      </tp>
      <tp>
        <v>4.75</v>
        <stp/>
        <stp>BDP|7984349434190385825|22</stp>
        <stp>VNDA US Equity</stp>
        <stp>LAST_PRICE</stp>
        <tr r="AD1520" s="1"/>
        <tr r="AD1520" s="1"/>
      </tp>
      <tp t="s">
        <v>#N/A N/A</v>
        <stp/>
        <stp>BDP|2072712415093672363|22</stp>
        <stp>DFHL US Equity</stp>
        <stp>LAST_PRICE</stp>
        <tr r="AD515" s="1"/>
      </tp>
      <tp>
        <v>3.5000000000000003E-2</v>
        <stp/>
        <stp>BDP|5690319666677432376|22</stp>
        <stp>FUNI US Equity</stp>
        <stp>LAST_PRICE</stp>
        <tr r="AD710" s="1"/>
        <tr r="AD710" s="1"/>
      </tp>
      <tp>
        <v>3.6999999999999998E-2</v>
        <stp/>
        <stp>BDP|4158220897084182975|22</stp>
        <stp>CANB US Equity</stp>
        <stp>LAST_PRICE</stp>
        <tr r="AD325" s="1"/>
        <tr r="AD325" s="1"/>
      </tp>
      <tp>
        <v>4.68</v>
        <stp/>
        <stp>BDP|8969796517839215589|22</stp>
        <stp>AVAH US Equity</stp>
        <stp>LAST_PRICE</stp>
        <tr r="AD209" s="1"/>
        <tr r="AD209" s="1"/>
      </tp>
      <tp>
        <v>4.99</v>
        <stp/>
        <stp>BDP|8883316019476353702|22</stp>
        <stp>EVOK US Equity</stp>
        <stp>LAST_PRICE</stp>
        <tr r="AD592" s="1"/>
        <tr r="AD592" s="1"/>
      </tp>
      <tp>
        <v>8.51</v>
        <stp/>
        <stp>BDP|8680449082451364821|22</stp>
        <stp>MNMD US Equity</stp>
        <stp>LAST_PRICE</stp>
        <tr r="AD957" s="1"/>
        <tr r="AD957" s="1"/>
      </tp>
      <tp>
        <v>4.5</v>
        <stp/>
        <stp>BDP|4773077255623458399|22</stp>
        <stp>ELDN US Equity</stp>
        <stp>LAST_PRICE</stp>
        <tr r="AD540" s="1"/>
        <tr r="AD540" s="1"/>
      </tp>
      <tp>
        <v>9.4499999999999993</v>
        <stp/>
        <stp>BDP|2337465709470172783|22</stp>
        <stp>ORIC US Equity</stp>
        <stp>LAST_PRICE</stp>
        <tr r="AD1112" s="1"/>
        <tr r="AD1112" s="1"/>
      </tp>
      <tp>
        <v>0.35199999999999998</v>
        <stp/>
        <stp>BDP|5638161744443720878|22</stp>
        <stp>EXHI US Equity</stp>
        <stp>LAST_PRICE</stp>
        <tr r="AD601" s="1"/>
        <tr r="AD601" s="1"/>
      </tp>
      <tp>
        <v>98.99</v>
        <stp/>
        <stp>BDP|18170166254782915317|22</stp>
        <stp>ZBH US Equity</stp>
        <stp>LAST_PRICE</stp>
        <tr r="AD1614" s="1"/>
        <tr r="AD1614" s="1"/>
      </tp>
      <tp>
        <v>10.5817</v>
        <stp/>
        <stp>BDP|14384944416253908750|22</stp>
        <stp>BGM US Equity</stp>
        <stp>LAST_PRICE</stp>
        <tr r="AD248" s="1"/>
        <tr r="AD248" s="1"/>
      </tp>
      <tp>
        <v>527.4</v>
        <stp/>
        <stp>BDP|13096313439313970121|22</stp>
        <stp>UNH US Equity</stp>
        <stp>LAST_PRICE</stp>
        <tr r="AD1506" s="1"/>
        <tr r="AD1506" s="1"/>
      </tp>
      <tp>
        <v>385.66</v>
        <stp/>
        <stp>BDP|16838694326146651793|22</stp>
        <stp>ELV US Equity</stp>
        <stp>LAST_PRICE</stp>
        <tr r="AD541" s="1"/>
        <tr r="AD541" s="1"/>
      </tp>
      <tp>
        <v>8.5000000000000006E-2</v>
        <stp/>
        <stp>BDP|15101795143380383434|22</stp>
        <stp>VPT CN Equity</stp>
        <stp>LAST_PRICE</stp>
        <tr r="AD1529" s="1"/>
        <tr r="AD1529" s="1"/>
      </tp>
      <tp>
        <v>0.05</v>
        <stp/>
        <stp>BDP|17106958666304619802|22</stp>
        <stp>RVX CN Equity</stp>
        <stp>LAST_PRICE</stp>
        <tr r="AD1278" s="1"/>
        <tr r="AD1278" s="1"/>
      </tp>
      <tp>
        <v>2.42</v>
        <stp/>
        <stp>BDP|9420745557670820198|22</stp>
        <stp>ACIU US Equity</stp>
        <stp>LAST_PRICE</stp>
        <tr r="AD21" s="1"/>
        <tr r="AD21" s="1"/>
      </tp>
      <tp>
        <v>9.86</v>
        <stp/>
        <stp>BDP|8188002745177355035|22</stp>
        <stp>RCKT US Equity</stp>
        <stp>LAST_PRICE</stp>
        <tr r="AD1293" s="1"/>
        <tr r="AD1293" s="1"/>
      </tp>
      <tp>
        <v>4.47</v>
        <stp/>
        <stp>BDP|1000764151852510801|22</stp>
        <stp>CAMP US Equity</stp>
        <stp>LAST_PRICE</stp>
        <tr r="AD324" s="1"/>
        <tr r="AD324" s="1"/>
      </tp>
      <tp>
        <v>37.42</v>
        <stp/>
        <stp>BDP|4863979662310677539|22</stp>
        <stp>PTGX US Equity</stp>
        <stp>LAST_PRICE</stp>
        <tr r="AD1206" s="1"/>
        <tr r="AD1206" s="1"/>
      </tp>
      <tp>
        <v>43.89</v>
        <stp/>
        <stp>BDP|5453518898015599089|22</stp>
        <stp>ENOV US Equity</stp>
        <stp>LAST_PRICE</stp>
        <tr r="AD561" s="1"/>
        <tr r="AD561" s="1"/>
      </tp>
      <tp>
        <v>36.78</v>
        <stp/>
        <stp>BDP|9799232104470030412|22</stp>
        <stp>JANX US Equity</stp>
        <stp>LAST_PRICE</stp>
        <tr r="AD809" s="1"/>
        <tr r="AD809" s="1"/>
      </tp>
      <tp>
        <v>2.65</v>
        <stp/>
        <stp>BDP|9815470403260336515|22</stp>
        <stp>EDAP US Equity</stp>
        <stp>LAST_PRICE</stp>
        <tr r="AD531" s="1"/>
        <tr r="AD531" s="1"/>
      </tp>
      <tp>
        <v>0.435</v>
        <stp/>
        <stp>BDP|5100020482755378787|22</stp>
        <stp>BNXT CN Equity</stp>
        <stp>LAST_PRICE</stp>
        <tr r="AD277" s="1"/>
        <tr r="AD277" s="1"/>
      </tp>
      <tp>
        <v>9.9999999999999995E-7</v>
        <stp/>
        <stp>BDP|1759489740199856598|22</stp>
        <stp>VIAP US Equity</stp>
        <stp>LAST_PRICE</stp>
        <tr r="AD1543" s="1"/>
        <tr r="AD1543" s="1"/>
      </tp>
      <tp>
        <v>24.91</v>
        <stp/>
        <stp>BDP|6385672539823169577|22</stp>
        <stp>KIDS US Equity</stp>
        <stp>LAST_PRICE</stp>
        <tr r="AD1115" s="1"/>
        <tr r="AD1115" s="1"/>
      </tp>
      <tp>
        <v>0.20499999999999999</v>
        <stp/>
        <stp>BDP|1787517850795099516|22</stp>
        <stp>CPHI US Equity</stp>
        <stp>LAST_PRICE</stp>
        <tr r="AD397" s="1"/>
        <tr r="AD397" s="1"/>
      </tp>
      <tp>
        <v>0.66800000000000004</v>
        <stp/>
        <stp>BDP|6519738864737722877|22</stp>
        <stp>AEMD US Equity</stp>
        <stp>LAST_PRICE</stp>
        <tr r="AD64" s="1"/>
        <tr r="AD64" s="1"/>
      </tp>
      <tp>
        <v>0.45600000000000002</v>
        <stp/>
        <stp>BDP|8674470093750910010|22</stp>
        <stp>FGEN US Equity</stp>
        <stp>LAST_PRICE</stp>
        <tr r="AD610" s="1"/>
        <tr r="AD610" s="1"/>
      </tp>
      <tp>
        <v>0.25190000000000001</v>
        <stp/>
        <stp>BDP|7570691503154135234|22</stp>
        <stp>NWBO US Equity</stp>
        <stp>LAST_PRICE</stp>
        <tr r="AD1049" s="1"/>
        <tr r="AD1049" s="1"/>
      </tp>
      <tp>
        <v>0.52990000000000004</v>
        <stp/>
        <stp>BDP|8596245191353119683|22</stp>
        <stp>TNFA US Equity</stp>
        <stp>LAST_PRICE</stp>
        <tr r="AD1475" s="1"/>
        <tr r="AD1475" s="1"/>
      </tp>
      <tp>
        <v>1.43</v>
        <stp/>
        <stp>BDP|4948505844722700095|22</stp>
        <stp>ALLO US Equity</stp>
        <stp>LAST_PRICE</stp>
        <tr r="AD91" s="1"/>
        <tr r="AD91" s="1"/>
      </tp>
      <tp>
        <v>20.82</v>
        <stp/>
        <stp>BDP|7392554474984321497|22</stp>
        <stp>RIGL US Equity</stp>
        <stp>LAST_PRICE</stp>
        <tr r="AD1291" s="1"/>
        <tr r="AD1291" s="1"/>
      </tp>
      <tp>
        <v>31.04</v>
        <stp/>
        <stp>BDP|5181799702028667703|22</stp>
        <stp>PDCO US Equity</stp>
        <stp>LAST_PRICE</stp>
        <tr r="AD1139" s="1"/>
        <tr r="AD1139" s="1"/>
      </tp>
      <tp>
        <v>5.0000000000000001E-4</v>
        <stp/>
        <stp>BDP|3029779116614024028|22</stp>
        <stp>EVLO US Equity</stp>
        <stp>LAST_PRICE</stp>
        <tr r="AD588" s="1"/>
        <tr r="AD588" s="1"/>
      </tp>
      <tp>
        <v>9.9999999999999995E-7</v>
        <stp/>
        <stp>BDP|7529258884036393743|22</stp>
        <stp>ADLI US Equity</stp>
        <stp>LAST_PRICE</stp>
        <tr r="AD112" s="1"/>
        <tr r="AD112" s="1"/>
      </tp>
      <tp>
        <v>0</v>
        <stp/>
        <stp>BDP|4251091897336042986|22</stp>
        <stp>BNKL US Equity</stp>
        <stp>LAST_PRICE</stp>
        <tr r="AD274" s="1"/>
        <tr r="AD274" s="1"/>
      </tp>
      <tp>
        <v>1.0900000000000001</v>
        <stp/>
        <stp>BDP|1644408626993030012|22</stp>
        <stp>ATNM US Equity</stp>
        <stp>LAST_PRICE</stp>
        <tr r="AD36" s="1"/>
        <tr r="AD36" s="1"/>
      </tp>
      <tp>
        <v>28.57</v>
        <stp/>
        <stp>BDP|5503080306981443516|22</stp>
        <stp>BEAM US Equity</stp>
        <stp>LAST_PRICE</stp>
        <tr r="AD236" s="1"/>
        <tr r="AD236" s="1"/>
      </tp>
      <tp>
        <v>16.254999999999999</v>
        <stp/>
        <stp>BDP|2003632147515646794|22</stp>
        <stp>LQDA US Equity</stp>
        <stp>LAST_PRICE</stp>
        <tr r="AD880" s="1"/>
        <tr r="AD880" s="1"/>
      </tp>
      <tp>
        <v>7.19</v>
        <stp/>
        <stp>BDP|9021397682953561931|22</stp>
        <stp>HXBM US Equity</stp>
        <stp>LAST_PRICE</stp>
        <tr r="AD689" s="1"/>
        <tr r="AD689" s="1"/>
      </tp>
      <tp>
        <v>2.2000000000000002</v>
        <stp/>
        <stp>BDP|9207333640212160334|22</stp>
        <stp>BOLD US Equity</stp>
        <stp>LAST_PRICE</stp>
        <tr r="AD299" s="1"/>
        <tr r="AD299" s="1"/>
      </tp>
      <tp>
        <v>2.9999999999999997E-4</v>
        <stp/>
        <stp>BDP|1172012488683026297|22</stp>
        <stp>MJNA US Equity</stp>
        <stp>LAST_PRICE</stp>
        <tr r="AD920" s="1"/>
        <tr r="AD920" s="1"/>
      </tp>
      <tp t="s">
        <v>#N/A N/A</v>
        <stp/>
        <stp>BDP|1559698890513139308|22</stp>
        <stp>AMBD US Equity</stp>
        <stp>LAST_PRICE</stp>
        <tr r="AD113" s="1"/>
      </tp>
      <tp>
        <v>9.9999999999999995E-7</v>
        <stp/>
        <stp>BDP|7472250572859476351|22</stp>
        <stp>OLMM US Equity</stp>
        <stp>LAST_PRICE</stp>
        <tr r="AD1092" s="1"/>
        <tr r="AD1092" s="1"/>
      </tp>
      <tp>
        <v>3.32</v>
        <stp/>
        <stp>BDP|1171361500341391151|22</stp>
        <stp>NVNO US Equity</stp>
        <stp>LAST_PRICE</stp>
        <tr r="AD571" s="1"/>
        <tr r="AD571" s="1"/>
      </tp>
      <tp>
        <v>9.9999999999999995E-7</v>
        <stp/>
        <stp>BDP|7004527144611497542|22</stp>
        <stp>RBII US Equity</stp>
        <stp>LAST_PRICE</stp>
        <tr r="AD1292" s="1"/>
        <tr r="AD1292" s="1"/>
      </tp>
      <tp>
        <v>62.5</v>
        <stp/>
        <stp>BDP|8769851990325618762|22</stp>
        <stp>CNMD US Equity</stp>
        <stp>LAST_PRICE</stp>
        <tr r="AD438" s="1"/>
        <tr r="AD438" s="1"/>
      </tp>
      <tp>
        <v>3.6949999999999998</v>
        <stp/>
        <stp>BDP|2760419631460963362|22</stp>
        <stp>CLGN US Equity</stp>
        <stp>LAST_PRICE</stp>
        <tr r="AD426" s="1"/>
        <tr r="AD426" s="1"/>
      </tp>
      <tp t="s">
        <v>#N/A Requesting Data...3169922962</v>
        <stp/>
        <stp>BDP|24648416391080942</stp>
        <tr r="AA1004" s="1"/>
        <tr r="AA1004" s="1"/>
      </tp>
      <tp t="s">
        <v>#N/A Requesting Data...1920082038</v>
        <stp/>
        <stp>BDP|38445280313393008</stp>
        <tr r="AB1338" s="1"/>
        <tr r="AB1338" s="1"/>
      </tp>
      <tp>
        <v>0.30099999999999999</v>
        <stp/>
        <stp>BDP|16727804933250553433|22</stp>
        <stp>IGC US Equity</stp>
        <stp>LAST_PRICE</stp>
        <tr r="AD721" s="1"/>
        <tr r="AD721" s="1"/>
      </tp>
      <tp>
        <v>56.45</v>
        <stp/>
        <stp>BDP|14343716331371734103|22</stp>
        <stp>CNC US Equity</stp>
        <stp>LAST_PRICE</stp>
        <tr r="AD377" s="1"/>
        <tr r="AD377" s="1"/>
      </tp>
      <tp>
        <v>2.42</v>
        <stp/>
        <stp>BDP|15744387082247913853|22</stp>
        <stp>WOK US Equity</stp>
        <stp>LAST_PRICE</stp>
        <tr r="AD1589" s="1"/>
        <tr r="AD1589" s="1"/>
      </tp>
      <tp>
        <v>1.1599999999999999</v>
        <stp/>
        <stp>BDP|11855548942291102620|22</stp>
        <stp>DTC CN Equity</stp>
        <stp>LAST_PRICE</stp>
        <tr r="AD494" s="1"/>
        <tr r="AD494" s="1"/>
      </tp>
      <tp>
        <v>8.14</v>
        <stp/>
        <stp>BDP|9652246405343928378|22</stp>
        <stp>COGT US Equity</stp>
        <stp>LAST_PRICE</stp>
        <tr r="AD422" s="1"/>
        <tr r="AD422" s="1"/>
      </tp>
      <tp>
        <v>3.28</v>
        <stp/>
        <stp>BDP|2549863497168406925|22</stp>
        <stp>KDLY US Equity</stp>
        <stp>LAST_PRICE</stp>
        <tr r="AD834" s="1"/>
        <tr r="AD834" s="1"/>
      </tp>
      <tp>
        <v>37.840000000000003</v>
        <stp/>
        <stp>BDP|2142310801331331215|22</stp>
        <stp>HRMY US Equity</stp>
        <stp>LAST_PRICE</stp>
        <tr r="AD671" s="1"/>
        <tr r="AD671" s="1"/>
      </tp>
      <tp>
        <v>8.5399999999999991</v>
        <stp/>
        <stp>BDP|6593383092060079347|22</stp>
        <stp>OMER US Equity</stp>
        <stp>LAST_PRICE</stp>
        <tr r="AD1078" s="1"/>
        <tr r="AD1078" s="1"/>
      </tp>
      <tp>
        <v>7.2</v>
        <stp/>
        <stp>BDP|2697434409430933155|22</stp>
        <stp>RGNX US Equity</stp>
        <stp>LAST_PRICE</stp>
        <tr r="AD1258" s="1"/>
        <tr r="AD1258" s="1"/>
      </tp>
      <tp>
        <v>1E-4</v>
        <stp/>
        <stp>BDP|3716070935278984754|22</stp>
        <stp>ULGX US Equity</stp>
        <stp>LAST_PRICE</stp>
        <tr r="AD1514" s="1"/>
        <tr r="AD1514" s="1"/>
      </tp>
      <tp>
        <v>3.38</v>
        <stp/>
        <stp>BDP|3326734593716702140|22</stp>
        <stp>INNV US Equity</stp>
        <stp>LAST_PRICE</stp>
        <tr r="AD756" s="1"/>
        <tr r="AD756" s="1"/>
      </tp>
      <tp t="s">
        <v>#N/A N/A</v>
        <stp/>
        <stp>BDP|7301087596272057513|22</stp>
        <stp>IVBT US Equity</stp>
        <stp>LAST_PRICE</stp>
        <tr r="AD759" s="1"/>
      </tp>
      <tp>
        <v>1.92</v>
        <stp/>
        <stp>BDP|4847036282586039647|22</stp>
        <stp>COCP US Equity</stp>
        <stp>LAST_PRICE</stp>
        <tr r="AD419" s="1"/>
        <tr r="AD419" s="1"/>
      </tp>
      <tp>
        <v>50.25</v>
        <stp/>
        <stp>BDP|3136273552700500314|22</stp>
        <stp>SLNO US Equity</stp>
        <stp>LAST_PRICE</stp>
        <tr r="AD1366" s="1"/>
        <tr r="AD1366" s="1"/>
      </tp>
      <tp t="s">
        <v>#N/A N/A</v>
        <stp/>
        <stp>BDP|2266677390925740744|22</stp>
        <stp>NTHD US Equity</stp>
        <stp>LAST_PRICE</stp>
        <tr r="AD1017" s="1"/>
      </tp>
      <tp>
        <v>9.5500000000000007</v>
        <stp/>
        <stp>BDP|8509963932927510765|22</stp>
        <stp>FOLD US Equity</stp>
        <stp>LAST_PRICE</stp>
        <tr r="AD120" s="1"/>
        <tr r="AD120" s="1"/>
      </tp>
      <tp>
        <v>111.39</v>
        <stp/>
        <stp>BDP|5061554830931371062|22</stp>
        <stp>LGND US Equity</stp>
        <stp>LAST_PRICE</stp>
        <tr r="AD876" s="1"/>
        <tr r="AD876" s="1"/>
      </tp>
      <tp>
        <v>1.4999999999999999E-2</v>
        <stp/>
        <stp>BDP|8221850136648891239|22</stp>
        <stp>SCYB CN Equity</stp>
        <stp>LAST_PRICE</stp>
        <tr r="AD1324" s="1"/>
        <tr r="AD1324" s="1"/>
      </tp>
      <tp>
        <v>92.66</v>
        <stp/>
        <stp>BDP|5358686536292354356|22</stp>
        <stp>AMED US Equity</stp>
        <stp>LAST_PRICE</stp>
        <tr r="AD108" s="1"/>
        <tr r="AD108" s="1"/>
      </tp>
      <tp>
        <v>10.26</v>
        <stp/>
        <stp>BDP|9232307962467959289|22</stp>
        <stp>STOK US Equity</stp>
        <stp>LAST_PRICE</stp>
        <tr r="AD1403" s="1"/>
        <tr r="AD1403" s="1"/>
      </tp>
      <tp>
        <v>12.09</v>
        <stp/>
        <stp>BDP|7318673004604865652|22</stp>
        <stp>NPCE US Equity</stp>
        <stp>LAST_PRICE</stp>
        <tr r="AD1030" s="1"/>
        <tr r="AD1030" s="1"/>
      </tp>
      <tp t="s">
        <v>#N/A N/A</v>
        <stp/>
        <stp>BDP|2992548153257771808|22</stp>
        <stp>ACGI US Equity</stp>
        <stp>LAST_PRICE</stp>
        <tr r="AD105" s="1"/>
      </tp>
      <tp>
        <v>33.28</v>
        <stp/>
        <stp>BDP|9259340305876856589|22</stp>
        <stp>ELMD US Equity</stp>
        <stp>LAST_PRICE</stp>
        <tr r="AD539" s="1"/>
        <tr r="AD539" s="1"/>
      </tp>
      <tp>
        <v>1.87</v>
        <stp/>
        <stp>BDP|9181808599524953462|22</stp>
        <stp>MAIA US Equity</stp>
        <stp>LAST_PRICE</stp>
        <tr r="AD898" s="1"/>
        <tr r="AD898" s="1"/>
      </tp>
      <tp>
        <v>1.61</v>
        <stp/>
        <stp>BDP|2874763990898495176|22</stp>
        <stp>PMCB US Equity</stp>
        <stp>LAST_PRICE</stp>
        <tr r="AD1158" s="1"/>
        <tr r="AD1158" s="1"/>
      </tp>
      <tp t="s">
        <v>#N/A Requesting Data...1537478051</v>
        <stp/>
        <stp>BDP|24264786246130256</stp>
        <tr r="AB17" s="1"/>
        <tr r="AB17" s="1"/>
      </tp>
      <tp>
        <v>2.13</v>
        <stp/>
        <stp>BDP|17918072568476943837|22</stp>
        <stp>INO US Equity</stp>
        <stp>LAST_PRICE</stp>
        <tr r="AD767" s="1"/>
        <tr r="AD767" s="1"/>
      </tp>
      <tp>
        <v>312.36</v>
        <stp/>
        <stp>BDP|12056722845730015937|22</stp>
        <stp>BIO US Equity</stp>
        <stp>LAST_PRICE</stp>
        <tr r="AD253" s="1"/>
        <tr r="AD253" s="1"/>
      </tp>
      <tp>
        <v>1.78</v>
        <stp/>
        <stp>BDP|15916719456903264100|22</stp>
        <stp>CDT US Equity</stp>
        <stp>LAST_PRICE</stp>
        <tr r="AD437" s="1"/>
        <tr r="AD437" s="1"/>
      </tp>
      <tp>
        <v>43.75</v>
        <stp/>
        <stp>BDP|16123355339690839620|22</stp>
        <stp>WAY US Equity</stp>
        <stp>LAST_PRICE</stp>
        <tr r="AD1578" s="1"/>
        <tr r="AD1578" s="1"/>
      </tp>
      <tp>
        <v>0.99199999999999999</v>
        <stp/>
        <stp>BDP|15591332449102802385|22</stp>
        <stp>ABP US Equity</stp>
        <stp>LAST_PRICE</stp>
        <tr r="AD18" s="1"/>
        <tr r="AD18" s="1"/>
      </tp>
      <tp>
        <v>0.53159999999999996</v>
        <stp/>
        <stp>BDP|3535190641356955162|22</stp>
        <stp>UNCY US Equity</stp>
        <stp>LAST_PRICE</stp>
        <tr r="AD1501" s="1"/>
        <tr r="AD1501" s="1"/>
      </tp>
      <tp>
        <v>1E-4</v>
        <stp/>
        <stp>BDP|3090770248246640040|22</stp>
        <stp>VGLS US Equity</stp>
        <stp>LAST_PRICE</stp>
        <tr r="AD1542" s="1"/>
        <tr r="AD1542" s="1"/>
      </tp>
      <tp>
        <v>0.33800000000000002</v>
        <stp/>
        <stp>BDP|2769194404630579926|22</stp>
        <stp>SCLX US Equity</stp>
        <stp>LAST_PRICE</stp>
        <tr r="AD1318" s="1"/>
        <tr r="AD1318" s="1"/>
      </tp>
      <tp>
        <v>0.1701</v>
        <stp/>
        <stp>BDP|5717247122660603389|22</stp>
        <stp>WINT US Equity</stp>
        <stp>LAST_PRICE</stp>
        <tr r="AD1586" s="1"/>
        <tr r="AD1586" s="1"/>
      </tp>
      <tp>
        <v>0.32050000000000001</v>
        <stp/>
        <stp>BDP|6240572331958644174|22</stp>
        <stp>MNDR US Equity</stp>
        <stp>LAST_PRICE</stp>
        <tr r="AD967" s="1"/>
        <tr r="AD967" s="1"/>
      </tp>
      <tp>
        <v>9.9999999999999995E-7</v>
        <stp/>
        <stp>BDP|5593473812387585769|22</stp>
        <stp>AMBS US Equity</stp>
        <stp>LAST_PRICE</stp>
        <tr r="AD106" s="1"/>
        <tr r="AD106" s="1"/>
      </tp>
      <tp>
        <v>21.37</v>
        <stp/>
        <stp>BDP|9224051051770485207|22</stp>
        <stp>NVCR US Equity</stp>
        <stp>LAST_PRICE</stp>
        <tr r="AD1058" s="1"/>
        <tr r="AD1058" s="1"/>
      </tp>
      <tp>
        <v>1.99</v>
        <stp/>
        <stp>BDP|8095525826725845200|22</stp>
        <stp>IMMX US Equity</stp>
        <stp>LAST_PRICE</stp>
        <tr r="AD730" s="1"/>
        <tr r="AD730" s="1"/>
      </tp>
      <tp>
        <v>50.34</v>
        <stp/>
        <stp>BDP|5679822987655619156|22</stp>
        <stp>EXAS US Equity</stp>
        <stp>LAST_PRICE</stp>
        <tr r="AD597" s="1"/>
        <tr r="AD597" s="1"/>
      </tp>
      <tp>
        <v>2.72</v>
        <stp/>
        <stp>BDP|2717281460514161869|22</stp>
        <stp>AMIX US Equity</stp>
        <stp>LAST_PRICE</stp>
        <tr r="AD201" s="1"/>
        <tr r="AD201" s="1"/>
      </tp>
      <tp>
        <v>6.1699999999999998E-2</v>
        <stp/>
        <stp>BDP|5218686634726746777|22</stp>
        <stp>NVOS US Equity</stp>
        <stp>LAST_PRICE</stp>
        <tr r="AD1057" s="1"/>
        <tr r="AD1057" s="1"/>
      </tp>
      <tp>
        <v>3.23</v>
        <stp/>
        <stp>BDP|2839979529872877226|22</stp>
        <stp>LRMR US Equity</stp>
        <stp>LAST_PRICE</stp>
        <tr r="AD859" s="1"/>
        <tr r="AD859" s="1"/>
      </tp>
      <tp>
        <v>21.99</v>
        <stp/>
        <stp>BDP|6792097891154641962|22</stp>
        <stp>BBNX US Equity</stp>
        <stp>LAST_PRICE</stp>
        <tr r="AD242" s="1"/>
        <tr r="AD242" s="1"/>
      </tp>
      <tp>
        <v>4.68</v>
        <stp/>
        <stp>BDP|8288771820557258999|22</stp>
        <stp>ACON US Equity</stp>
        <stp>LAST_PRICE</stp>
        <tr r="AD31" s="1"/>
        <tr r="AD31" s="1"/>
      </tp>
      <tp>
        <v>103.56</v>
        <stp/>
        <stp>BDP|5926091938898649523|22</stp>
        <stp>BPMC US Equity</stp>
        <stp>LAST_PRICE</stp>
        <tr r="AD293" s="1"/>
        <tr r="AD293" s="1"/>
      </tp>
      <tp>
        <v>6.28</v>
        <stp/>
        <stp>BDP|2559210604053511858|22</stp>
        <stp>DMAC US Equity</stp>
        <stp>LAST_PRICE</stp>
        <tr r="AD507" s="1"/>
        <tr r="AD507" s="1"/>
      </tp>
      <tp>
        <v>9.9999999999999995E-7</v>
        <stp/>
        <stp>BDP|4753202348122676918|22</stp>
        <stp>SCIE US Equity</stp>
        <stp>LAST_PRICE</stp>
        <tr r="AD1382" s="1"/>
        <tr r="AD1382" s="1"/>
      </tp>
      <tp>
        <v>0.76</v>
        <stp/>
        <stp>BDP|1357215003213088495|22</stp>
        <stp>TRIB US Equity</stp>
        <stp>LAST_PRICE</stp>
        <tr r="AD1489" s="1"/>
        <tr r="AD1489" s="1"/>
      </tp>
      <tp>
        <v>9.9999999999999995E-7</v>
        <stp/>
        <stp>BDP|8517551749224077016|22</stp>
        <stp>HDII US Equity</stp>
        <stp>LAST_PRICE</stp>
        <tr r="AD709" s="1"/>
        <tr r="AD709" s="1"/>
      </tp>
      <tp>
        <v>4.0000000000000002E-4</v>
        <stp/>
        <stp>BDP|9057733610322648868|22</stp>
        <stp>ERBB US Equity</stp>
        <stp>LAST_PRICE</stp>
        <tr r="AD111" s="1"/>
        <tr r="AD111" s="1"/>
      </tp>
      <tp>
        <v>1</v>
        <stp/>
        <stp>BDP|2554528882298828574|22</stp>
        <stp>NIKA US Equity</stp>
        <stp>LAST_PRICE</stp>
        <tr r="AD1044" s="1"/>
        <tr r="AD1044" s="1"/>
      </tp>
      <tp>
        <v>4.66</v>
        <stp/>
        <stp>BDP|5710164760952951773|22</stp>
        <stp>PSNL US Equity</stp>
        <stp>LAST_PRICE</stp>
        <tr r="AD1150" s="1"/>
        <tr r="AD1150" s="1"/>
      </tp>
      <tp>
        <v>7.21</v>
        <stp/>
        <stp>BDP|2847865747191733368|22</stp>
        <stp>ZBIO US Equity</stp>
        <stp>LAST_PRICE</stp>
        <tr r="AD1608" s="1"/>
        <tr r="AD1608" s="1"/>
      </tp>
      <tp>
        <v>15.7</v>
        <stp/>
        <stp>BDP|4439640789334499990|22</stp>
        <stp>BSEM US Equity</stp>
        <stp>LAST_PRICE</stp>
        <tr r="AD282" s="1"/>
        <tr r="AD282" s="1"/>
      </tp>
      <tp>
        <v>0.60919999999999996</v>
        <stp/>
        <stp>BDP|5850659369191097749|22</stp>
        <stp>DHAI US Equity</stp>
        <stp>LAST_PRICE</stp>
        <tr r="AD510" s="1"/>
        <tr r="AD510" s="1"/>
      </tp>
      <tp>
        <v>8.9999999999999998E-4</v>
        <stp/>
        <stp>BDP|2116244852755614583|22</stp>
        <stp>ADHC US Equity</stp>
        <stp>LAST_PRICE</stp>
        <tr r="AD110" s="1"/>
        <tr r="AD110" s="1"/>
      </tp>
      <tp>
        <v>2.63</v>
        <stp/>
        <stp>BDP|2494551184803035602|22</stp>
        <stp>BCDA US Equity</stp>
        <stp>LAST_PRICE</stp>
        <tr r="AD258" s="1"/>
        <tr r="AD258" s="1"/>
      </tp>
      <tp>
        <v>2.0000000000000001E-4</v>
        <stp/>
        <stp>BDP|7050588384291578067|22</stp>
        <stp>GENN US Equity</stp>
        <stp>LAST_PRICE</stp>
        <tr r="AD641" s="1"/>
        <tr r="AD641" s="1"/>
      </tp>
      <tp t="s">
        <v>#N/A Requesting Data...3773848825</v>
        <stp/>
        <stp>BDP|10743446507259572</stp>
        <tr r="AB282" s="1"/>
        <tr r="AB282" s="1"/>
      </tp>
      <tp t="s">
        <v>#N/A Requesting Data...3412190510</v>
        <stp/>
        <stp>BDP|53005820314164733</stp>
        <tr r="AA1469" s="1"/>
        <tr r="AA1469" s="1"/>
      </tp>
      <tp t="s">
        <v>#N/A Requesting Data...2067056569</v>
        <stp/>
        <stp>BDP|57024905014425538</stp>
        <tr r="AC629" s="1"/>
        <tr r="AC629" s="1"/>
      </tp>
      <tp t="s">
        <v>#N/A Requesting Data...3256787411</v>
        <stp/>
        <stp>BDP|78288875701063571</stp>
        <tr r="AB1586" s="1"/>
        <tr r="AB1586" s="1"/>
      </tp>
      <tp t="s">
        <v>#N/A Requesting Data...4129784146</v>
        <stp/>
        <stp>BDP|46021392371927929</stp>
        <tr r="Y205" s="1"/>
        <tr r="Y205" s="1"/>
      </tp>
      <tp>
        <v>0.21</v>
        <stp/>
        <stp>BDP|13062397525430266973|22</stp>
        <stp>SVA CN Equity</stp>
        <stp>LAST_PRICE</stp>
        <tr r="AD1341" s="1"/>
        <tr r="AD1341" s="1"/>
      </tp>
      <tp>
        <v>21.28</v>
        <stp/>
        <stp>BDP|15996638502963108370|22</stp>
        <stp>OCS US Equity</stp>
        <stp>LAST_PRICE</stp>
        <tr r="AD1073" s="1"/>
        <tr r="AD1073" s="1"/>
      </tp>
      <tp>
        <v>0.57889999999999997</v>
        <stp/>
        <stp>BDP|6654054172166685061|22</stp>
        <stp>ADAP US Equity</stp>
        <stp>LAST_PRICE</stp>
        <tr r="AD46" s="1"/>
        <tr r="AD46" s="1"/>
      </tp>
      <tp>
        <v>1.31</v>
        <stp/>
        <stp>BDP|3080422158473614009|22</stp>
        <stp>GALT US Equity</stp>
        <stp>LAST_PRICE</stp>
        <tr r="AD630" s="1"/>
        <tr r="AD630" s="1"/>
      </tp>
      <tp>
        <v>9.9999999999999995E-7</v>
        <stp/>
        <stp>BDP|5217686028682659935|22</stp>
        <stp>NUGS US Equity</stp>
        <stp>LAST_PRICE</stp>
        <tr r="AD331" s="1"/>
        <tr r="AD331" s="1"/>
      </tp>
      <tp>
        <v>0.13</v>
        <stp/>
        <stp>BDP|1680423554947874106|22</stp>
        <stp>GTHP US Equity</stp>
        <stp>LAST_PRICE</stp>
        <tr r="AD667" s="1"/>
        <tr r="AD667" s="1"/>
      </tp>
      <tp>
        <v>18.37</v>
        <stp/>
        <stp>BDP|6573238353950280067|22</stp>
        <stp>XRAY US Equity</stp>
        <stp>LAST_PRICE</stp>
        <tr r="AD500" s="1"/>
        <tr r="AD500" s="1"/>
      </tp>
      <tp>
        <v>13.23</v>
        <stp/>
        <stp>BDP|8063787704698470852|22</stp>
        <stp>TRML US Equity</stp>
        <stp>LAST_PRICE</stp>
        <tr r="AD1478" s="1"/>
        <tr r="AD1478" s="1"/>
      </tp>
      <tp>
        <v>32.799999999999997</v>
        <stp/>
        <stp>BDP|1453467283353343176|22</stp>
        <stp>EXEL US Equity</stp>
        <stp>LAST_PRICE</stp>
        <tr r="AD599" s="1"/>
        <tr r="AD599" s="1"/>
      </tp>
      <tp t="s">
        <v>#N/A N/A</v>
        <stp/>
        <stp>BDP|7273919253104133451|22</stp>
        <stp>AIDA US Equity</stp>
        <stp>LAST_PRICE</stp>
        <tr r="AD71" s="1"/>
      </tp>
      <tp>
        <v>2.9999999999999997E-4</v>
        <stp/>
        <stp>BDP|8208230246457336217|22</stp>
        <stp>MTEM US Equity</stp>
        <stp>LAST_PRICE</stp>
        <tr r="AD971" s="1"/>
        <tr r="AD971" s="1"/>
      </tp>
      <tp>
        <v>18.02</v>
        <stp/>
        <stp>BDP|8948687999925060867|22</stp>
        <stp>PINC US Equity</stp>
        <stp>LAST_PRICE</stp>
        <tr r="AD1188" s="1"/>
        <tr r="AD1188" s="1"/>
      </tp>
      <tp>
        <v>3.67</v>
        <stp/>
        <stp>BDP|5689790396285039383|22</stp>
        <stp>CVAC US Equity</stp>
        <stp>LAST_PRICE</stp>
        <tr r="AD469" s="1"/>
        <tr r="AD469" s="1"/>
      </tp>
      <tp>
        <v>2.0000000000000001E-4</v>
        <stp/>
        <stp>BDP|2368162408981702526|22</stp>
        <stp>ORHB US Equity</stp>
        <stp>LAST_PRICE</stp>
        <tr r="AD1111" s="1"/>
        <tr r="AD1111" s="1"/>
      </tp>
      <tp>
        <v>2.84</v>
        <stp/>
        <stp>BDP|1507550864396592890|22</stp>
        <stp>PTHL US Equity</stp>
        <stp>LAST_PRICE</stp>
        <tr r="AD1163" s="1"/>
        <tr r="AD1163" s="1"/>
      </tp>
      <tp>
        <v>8.52</v>
        <stp/>
        <stp>BDP|7777969188352330149|22</stp>
        <stp>AUNA US Equity</stp>
        <stp>LAST_PRICE</stp>
        <tr r="AD194" s="1"/>
        <tr r="AD194" s="1"/>
      </tp>
      <tp t="s">
        <v>#N/A N/A</v>
        <stp/>
        <stp>BDP|3215903358302142546|22</stp>
        <stp>TLOG US Equity</stp>
        <stp>LAST_PRICE</stp>
        <tr r="AD1454" s="1"/>
      </tp>
      <tp>
        <v>9.9999999999999995E-7</v>
        <stp/>
        <stp>BDP|7509934909267020768|22</stp>
        <stp>EVIO US Equity</stp>
        <stp>LAST_PRICE</stp>
        <tr r="AD589" s="1"/>
        <tr r="AD589" s="1"/>
      </tp>
      <tp>
        <v>0.245</v>
        <stp/>
        <stp>BDP|5700259761791008466|22</stp>
        <stp>CXXI CN Equity</stp>
        <stp>LAST_PRICE</stp>
        <tr r="AD315" s="1"/>
        <tr r="AD315" s="1"/>
      </tp>
      <tp t="s">
        <v>#N/A Requesting Data...4175287212</v>
        <stp/>
        <stp>BDP|21810628788697284</stp>
        <tr r="Y27" s="1"/>
        <tr r="Y27" s="1"/>
      </tp>
      <tp t="s">
        <v>#N/A Requesting Data...1074566266</v>
        <stp/>
        <stp>BDP|95829333423466820</stp>
        <tr r="AC1604" s="1"/>
        <tr r="AC1604" s="1"/>
      </tp>
      <tp t="s">
        <v>#N/A Requesting Data...4227077334</v>
        <stp/>
        <stp>BDP|97128354777655371</stp>
        <tr r="Z1440" s="1"/>
        <tr r="Z1440" s="1"/>
      </tp>
      <tp t="s">
        <v>#N/A Requesting Data...2917916711</v>
        <stp/>
        <stp>BDP|68118901022125357</stp>
        <tr r="AC510" s="1"/>
        <tr r="AC510" s="1"/>
      </tp>
      <tp t="s">
        <v>#N/A Requesting Data...4021851439</v>
        <stp/>
        <stp>BDP|31550750607720715</stp>
        <tr r="Z49" s="1"/>
        <tr r="Z49" s="1"/>
      </tp>
      <tp t="s">
        <v>#N/A Requesting Data...3861509460</v>
        <stp/>
        <stp>BDP|75100563460547781</stp>
        <tr r="AC187" s="1"/>
        <tr r="AC187" s="1"/>
      </tp>
      <tp t="s">
        <v>#N/A Requesting Data...1535503539</v>
        <stp/>
        <stp>BDP|72524002024659186</stp>
        <tr r="Y1127" s="1"/>
        <tr r="Y1127" s="1"/>
      </tp>
      <tp>
        <v>126.19</v>
        <stp/>
        <stp>BDP|17714140373048075212|22</stp>
        <stp>THC US Equity</stp>
        <stp>LAST_PRICE</stp>
        <tr r="AD1450" s="1"/>
        <tr r="AD1450" s="1"/>
      </tp>
      <tp>
        <v>4.93</v>
        <stp/>
        <stp>BDP|13004937847056804014|22</stp>
        <stp>BKD US Equity</stp>
        <stp>LAST_PRICE</stp>
        <tr r="AD309" s="1"/>
        <tr r="AD309" s="1"/>
      </tp>
      <tp>
        <v>84.21</v>
        <stp/>
        <stp>BDP|17320021815254331369|22</stp>
        <stp>PBH US Equity</stp>
        <stp>LAST_PRICE</stp>
        <tr r="AD1191" s="1"/>
        <tr r="AD1191" s="1"/>
      </tp>
      <tp>
        <v>0.55000000000000004</v>
        <stp/>
        <stp>BDP|16553875974324442728|22</stp>
        <stp>CTX CN Equity</stp>
        <stp>LAST_PRICE</stp>
        <tr r="AD455" s="1"/>
        <tr r="AD455" s="1"/>
      </tp>
      <tp>
        <v>0.61909999999999998</v>
        <stp/>
        <stp>BDP|1607336416506624239|22</stp>
        <stp>ELEV US Equity</stp>
        <stp>LAST_PRICE</stp>
        <tr r="AD542" s="1"/>
        <tr r="AD542" s="1"/>
      </tp>
      <tp>
        <v>1E-4</v>
        <stp/>
        <stp>BDP|1038844753993813588|22</stp>
        <stp>LCDX US Equity</stp>
        <stp>LAST_PRICE</stp>
        <tr r="AD321" s="1"/>
        <tr r="AD321" s="1"/>
      </tp>
      <tp>
        <v>0.39119999999999999</v>
        <stp/>
        <stp>BDP|2673959118948814022|22</stp>
        <stp>TSBX US Equity</stp>
        <stp>LAST_PRICE</stp>
        <tr r="AD1496" s="1"/>
        <tr r="AD1496" s="1"/>
      </tp>
      <tp>
        <v>9.9999999999999995E-7</v>
        <stp/>
        <stp>BDP|6340759320296954208|22</stp>
        <stp>NNLX US Equity</stp>
        <stp>LAST_PRICE</stp>
        <tr r="AD997" s="1"/>
        <tr r="AD997" s="1"/>
      </tp>
      <tp>
        <v>0.28000000000000003</v>
        <stp/>
        <stp>BDP|1108633382983900243|22</stp>
        <stp>KENS US Equity</stp>
        <stp>LAST_PRICE</stp>
        <tr r="AD829" s="1"/>
        <tr r="AD829" s="1"/>
      </tp>
      <tp>
        <v>13.22</v>
        <stp/>
        <stp>BDP|4348501960896097416|22</stp>
        <stp>BCAX US Equity</stp>
        <stp>LAST_PRICE</stp>
        <tr r="AD249" s="1"/>
        <tr r="AD249" s="1"/>
      </tp>
      <tp>
        <v>63.53</v>
        <stp/>
        <stp>BDP|7936946545218476633|22</stp>
        <stp>HOLX US Equity</stp>
        <stp>LAST_PRICE</stp>
        <tr r="AD702" s="1"/>
        <tr r="AD702" s="1"/>
      </tp>
      <tp>
        <v>9.9999999999999995E-7</v>
        <stp/>
        <stp>BDP|7241983097947724687|22</stp>
        <stp>SMAS US Equity</stp>
        <stp>LAST_PRICE</stp>
        <tr r="AD1370" s="1"/>
        <tr r="AD1370" s="1"/>
      </tp>
      <tp>
        <v>1.02</v>
        <stp/>
        <stp>BDP|2392664156414060497|22</stp>
        <stp>ATIP US Equity</stp>
        <stp>LAST_PRICE</stp>
        <tr r="AD189" s="1"/>
        <tr r="AD189" s="1"/>
      </tp>
      <tp>
        <v>2.62</v>
        <stp/>
        <stp>BDP|5403539571062035144|22</stp>
        <stp>EVAX US Equity</stp>
        <stp>LAST_PRICE</stp>
        <tr r="AD587" s="1"/>
        <tr r="AD587" s="1"/>
      </tp>
      <tp>
        <v>0.74850000000000005</v>
        <stp/>
        <stp>BDP|4741315994772470217|22</stp>
        <stp>INDP US Equity</stp>
        <stp>LAST_PRICE</stp>
        <tr r="AD745" s="1"/>
        <tr r="AD745" s="1"/>
      </tp>
      <tp t="s">
        <v>#N/A N/A</v>
        <stp/>
        <stp>BDP|3152637437070231692|22</stp>
        <stp>ABMT US Equity</stp>
        <stp>LAST_PRICE</stp>
        <tr r="AD56" s="1"/>
      </tp>
      <tp>
        <v>9.9999999999999995E-7</v>
        <stp/>
        <stp>BDP|4318054422201199039|22</stp>
        <stp>TBET US Equity</stp>
        <stp>LAST_PRICE</stp>
        <tr r="AD1469" s="1"/>
        <tr r="AD1469" s="1"/>
      </tp>
      <tp t="s">
        <v>#N/A N/A</v>
        <stp/>
        <stp>BDP|3451874325005005061|22</stp>
        <stp>RFCS US Equity</stp>
        <stp>LAST_PRICE</stp>
        <tr r="AD1254" s="1"/>
      </tp>
      <tp>
        <v>3.01</v>
        <stp/>
        <stp>BDP|2521331969225422468|22</stp>
        <stp>SCNX US Equity</stp>
        <stp>LAST_PRICE</stp>
        <tr r="AD1317" s="1"/>
        <tr r="AD1317" s="1"/>
      </tp>
      <tp>
        <v>1.32</v>
        <stp/>
        <stp>BDP|8465409966516880248|22</stp>
        <stp>FEMY US Equity</stp>
        <stp>LAST_PRICE</stp>
        <tr r="AD607" s="1"/>
        <tr r="AD607" s="1"/>
      </tp>
      <tp>
        <v>12.31</v>
        <stp/>
        <stp>BDP|7709763931334783119|22</stp>
        <stp>COEP US Equity</stp>
        <stp>LAST_PRICE</stp>
        <tr r="AD421" s="1"/>
        <tr r="AD421" s="1"/>
      </tp>
      <tp>
        <v>4.4999999999999998E-2</v>
        <stp/>
        <stp>BDP|2959665954750130643|22</stp>
        <stp>REMI US Equity</stp>
        <stp>LAST_PRICE</stp>
        <tr r="AD1264" s="1"/>
        <tr r="AD1264" s="1"/>
      </tp>
      <tp>
        <v>31.86</v>
        <stp/>
        <stp>BDP|5767863820194638471|22</stp>
        <stp>OPCH US Equity</stp>
        <stp>LAST_PRICE</stp>
        <tr r="AD1100" s="1"/>
        <tr r="AD1100" s="1"/>
      </tp>
      <tp>
        <v>0.1535</v>
        <stp/>
        <stp>BDP|4643773129157167979|22</stp>
        <stp>STME US Equity</stp>
        <stp>LAST_PRICE</stp>
        <tr r="AD1402" s="1"/>
        <tr r="AD1402" s="1"/>
      </tp>
      <tp>
        <v>0.71</v>
        <stp/>
        <stp>BDP|3806608436904374364|22</stp>
        <stp>PFHO US Equity</stp>
        <stp>LAST_PRICE</stp>
        <tr r="AD1124" s="1"/>
        <tr r="AD1124" s="1"/>
      </tp>
      <tp>
        <v>295.06</v>
        <stp/>
        <stp>BDP|3271970543175310710|22</stp>
        <stp>AMGN US Equity</stp>
        <stp>LAST_PRICE</stp>
        <tr r="AD119" s="1"/>
        <tr r="AD119" s="1"/>
      </tp>
      <tp>
        <v>663.86</v>
        <stp/>
        <stp>BDP|1234394577399853609|22</stp>
        <stp>REGN US Equity</stp>
        <stp>LAST_PRICE</stp>
        <tr r="AD1256" s="1"/>
        <tr r="AD1256" s="1"/>
      </tp>
      <tp>
        <v>16.98</v>
        <stp/>
        <stp>BDP|7681132848415168300|22</stp>
        <stp>ETON US Equity</stp>
        <stp>LAST_PRICE</stp>
        <tr r="AD584" s="1"/>
        <tr r="AD584" s="1"/>
      </tp>
      <tp>
        <v>10</v>
        <stp/>
        <stp>BDP|5795892163899364206|22</stp>
        <stp>CRMD US Equity</stp>
        <stp>LAST_PRICE</stp>
        <tr r="AD447" s="1"/>
        <tr r="AD447" s="1"/>
      </tp>
      <tp>
        <v>4.5199999999999996</v>
        <stp/>
        <stp>BDP|1658093870960338319|22</stp>
        <stp>CING US Equity</stp>
        <stp>LAST_PRICE</stp>
        <tr r="AD403" s="1"/>
        <tr r="AD403" s="1"/>
      </tp>
      <tp t="s">
        <v>#N/A N/A</v>
        <stp/>
        <stp>BDP|5755564897356494295|22</stp>
        <stp>WPHM US Equity</stp>
        <stp>LAST_PRICE</stp>
        <tr r="AD1587" s="1"/>
      </tp>
      <tp>
        <v>1E-4</v>
        <stp/>
        <stp>BDP|6117428824960091290|22</stp>
        <stp>BIMI US Equity</stp>
        <stp>LAST_PRICE</stp>
        <tr r="AD251" s="1"/>
        <tr r="AD251" s="1"/>
      </tp>
      <tp t="s">
        <v>#N/A Requesting Data...672778379</v>
        <stp/>
        <stp>BDP|36077133935894596</stp>
        <tr r="AC591" s="1"/>
        <tr r="AC591" s="1"/>
      </tp>
      <tp t="s">
        <v>#N/A Requesting Data...3915675617</v>
        <stp/>
        <stp>BDP|48423944734236751</stp>
        <tr r="AC569" s="1"/>
        <tr r="AC569" s="1"/>
      </tp>
      <tp t="s">
        <v>#N/A Requesting Data...4100487400</v>
        <stp/>
        <stp>BDP|12885419218718290</stp>
        <tr r="AB183" s="1"/>
        <tr r="AB183" s="1"/>
      </tp>
      <tp t="s">
        <v>#N/A Requesting Data...1331438622</v>
        <stp/>
        <stp>BDP|17845326001921821</stp>
        <tr r="Z436" s="1"/>
        <tr r="Z436" s="1"/>
      </tp>
      <tp>
        <v>13.05</v>
        <stp/>
        <stp>BDP|16745920188830742805|22</stp>
        <stp>CPH CN Equity</stp>
        <stp>LAST_PRICE</stp>
        <tr r="AD404" s="1"/>
        <tr r="AD404" s="1"/>
      </tp>
      <tp>
        <v>61.31</v>
        <stp/>
        <stp>BDP|15952881118128947716|22</stp>
        <stp>HAE US Equity</stp>
        <stp>LAST_PRICE</stp>
        <tr r="AD669" s="1"/>
        <tr r="AD669" s="1"/>
      </tp>
      <tp>
        <v>549.5</v>
        <stp/>
        <stp>BDP|16820847437911067668|22</stp>
        <stp>CHE US Equity</stp>
        <stp>LAST_PRICE</stp>
        <tr r="AD392" s="1"/>
        <tr r="AD392" s="1"/>
      </tp>
      <tp>
        <v>225.85</v>
        <stp/>
        <stp>BDP|16775375648494849333|22</stp>
        <stp>BDX US Equity</stp>
        <stp>LAST_PRICE</stp>
        <tr r="AD237" s="1"/>
        <tr r="AD237" s="1"/>
      </tp>
      <tp>
        <v>35.21</v>
        <stp/>
        <stp>BDP|2684117679014513179|22</stp>
        <stp>CRNX US Equity</stp>
        <stp>LAST_PRICE</stp>
        <tr r="AD456" s="1"/>
        <tr r="AD456" s="1"/>
      </tp>
      <tp>
        <v>1E-3</v>
        <stp/>
        <stp>BDP|6524026168974604526|22</stp>
        <stp>NHIQ US Equity</stp>
        <stp>LAST_PRICE</stp>
        <tr r="AD1002" s="1"/>
        <tr r="AD1002" s="1"/>
      </tp>
      <tp>
        <v>1.57</v>
        <stp/>
        <stp>BDP|1540449264236056161|22</stp>
        <stp>ERAS US Equity</stp>
        <stp>LAST_PRICE</stp>
        <tr r="AD576" s="1"/>
        <tr r="AD576" s="1"/>
      </tp>
      <tp t="s">
        <v>#N/A N/A</v>
        <stp/>
        <stp>BDP|4733245592669572818|22</stp>
        <stp>BFGX US Equity</stp>
        <stp>LAST_PRICE</stp>
        <tr r="AD230" s="1"/>
      </tp>
      <tp>
        <v>3.76</v>
        <stp/>
        <stp>BDP|2299330282457980098|22</stp>
        <stp>RLAY US Equity</stp>
        <stp>LAST_PRICE</stp>
        <tr r="AD1262" s="1"/>
        <tr r="AD1262" s="1"/>
      </tp>
      <tp>
        <v>0.86650000000000005</v>
        <stp/>
        <stp>BDP|6048353840601566773|22</stp>
        <stp>ACET US Equity</stp>
        <stp>LAST_PRICE</stp>
        <tr r="AD52" s="1"/>
        <tr r="AD52" s="1"/>
      </tp>
      <tp>
        <v>4.99E-2</v>
        <stp/>
        <stp>BDP|7366721147180254021|22</stp>
        <stp>CBDS US Equity</stp>
        <stp>LAST_PRICE</stp>
        <tr r="AD330" s="1"/>
        <tr r="AD330" s="1"/>
      </tp>
      <tp>
        <v>4.6500000000000004</v>
        <stp/>
        <stp>BDP|8177939621175438885|22</stp>
        <stp>KRMD US Equity</stp>
        <stp>LAST_PRICE</stp>
        <tr r="AD846" s="1"/>
        <tr r="AD846" s="1"/>
      </tp>
      <tp>
        <v>2.8E-3</v>
        <stp/>
        <stp>BDP|6902454981479170377|22</stp>
        <stp>AXIM US Equity</stp>
        <stp>LAST_PRICE</stp>
        <tr r="AD219" s="1"/>
        <tr r="AD219" s="1"/>
      </tp>
      <tp t="s">
        <v>#N/A N/A</v>
        <stp/>
        <stp>BDP|1932980071410456789|22</stp>
        <stp>CANL US Equity</stp>
        <stp>LAST_PRICE</stp>
        <tr r="AD335" s="1"/>
      </tp>
      <tp>
        <v>9.9999999999999995E-7</v>
        <stp/>
        <stp>BDP|9985139854535305569|22</stp>
        <stp>NTII US Equity</stp>
        <stp>LAST_PRICE</stp>
        <tr r="AD1024" s="1"/>
        <tr r="AD1024" s="1"/>
      </tp>
      <tp>
        <v>4.0599999999999996</v>
        <stp/>
        <stp>BDP|9749222332253550041|22</stp>
        <stp>EUDA US Equity</stp>
        <stp>LAST_PRICE</stp>
        <tr r="AD585" s="1"/>
        <tr r="AD585" s="1"/>
      </tp>
      <tp>
        <v>14.52</v>
        <stp/>
        <stp>BDP|2603700751386882959|22</stp>
        <stp>ALHC US Equity</stp>
        <stp>LAST_PRICE</stp>
        <tr r="AD85" s="1"/>
        <tr r="AD85" s="1"/>
      </tp>
      <tp t="s">
        <v>#N/A Requesting Data...3827900157</v>
        <stp/>
        <stp>BDP|78529953965321753</stp>
        <tr r="Z134" s="1"/>
        <tr r="Z134" s="1"/>
      </tp>
      <tp>
        <v>312.38</v>
        <stp/>
        <stp>BDP|17315842582664521537|22</stp>
        <stp>HCA US Equity</stp>
        <stp>LAST_PRICE</stp>
        <tr r="AD675" s="1"/>
        <tr r="AD675" s="1"/>
      </tp>
      <tp>
        <v>4.5999999999999996</v>
        <stp/>
        <stp>BDP|16820231446358854814|22</stp>
        <stp>SER US Equity</stp>
        <stp>LAST_PRICE</stp>
        <tr r="AD1340" s="1"/>
        <tr r="AD1340" s="1"/>
      </tp>
      <tp>
        <v>36.18</v>
        <stp/>
        <stp>BDP|16807190486875735378|22</stp>
        <stp>SLP US Equity</stp>
        <stp>LAST_PRICE</stp>
        <tr r="AD1356" s="1"/>
        <tr r="AD1356" s="1"/>
      </tp>
      <tp>
        <v>6.22</v>
        <stp/>
        <stp>BDP|10119020719339294149|22</stp>
        <stp>ALT US Equity</stp>
        <stp>LAST_PRICE</stp>
        <tr r="AD99" s="1"/>
        <tr r="AD99" s="1"/>
      </tp>
      <tp>
        <v>85.4</v>
        <stp/>
        <stp>BDP|6630792530972981824|22</stp>
        <stp>PRAX US Equity</stp>
        <stp>LAST_PRICE</stp>
        <tr r="AD1179" s="1"/>
        <tr r="AD1179" s="1"/>
      </tp>
      <tp>
        <v>22.02</v>
        <stp/>
        <stp>BDP|6538469101241843219|22</stp>
        <stp>PGNY US Equity</stp>
        <stp>LAST_PRICE</stp>
        <tr r="AD1200" s="1"/>
        <tr r="AD1200" s="1"/>
      </tp>
      <tp>
        <v>0.13500000000000001</v>
        <stp/>
        <stp>BDP|7671748984019658123|22</stp>
        <stp>ECGS US Equity</stp>
        <stp>LAST_PRICE</stp>
        <tr r="AD530" s="1"/>
        <tr r="AD530" s="1"/>
      </tp>
      <tp>
        <v>2.4900000000000002</v>
        <stp/>
        <stp>BDP|5061078597456625210|22</stp>
        <stp>INBS US Equity</stp>
        <stp>LAST_PRICE</stp>
        <tr r="AD781" s="1"/>
        <tr r="AD781" s="1"/>
      </tp>
      <tp t="s">
        <v>#N/A N/A</v>
        <stp/>
        <stp>BDP|2087844904554915742|22</stp>
        <stp>GTHR US Equity</stp>
        <stp>LAST_PRICE</stp>
        <tr r="AD642" s="1"/>
      </tp>
      <tp>
        <v>5.2</v>
        <stp/>
        <stp>BDP|9391203916078869513|22</stp>
        <stp>CPIX US Equity</stp>
        <stp>LAST_PRICE</stp>
        <tr r="AD466" s="1"/>
        <tr r="AD466" s="1"/>
      </tp>
      <tp>
        <v>0.82799999999999996</v>
        <stp/>
        <stp>BDP|6537282562421482191|22</stp>
        <stp>JAGX US Equity</stp>
        <stp>LAST_PRICE</stp>
        <tr r="AD808" s="1"/>
        <tr r="AD808" s="1"/>
      </tp>
      <tp>
        <v>28.51</v>
        <stp/>
        <stp>BDP|5945376131866298744|22</stp>
        <stp>APLS US Equity</stp>
        <stp>LAST_PRICE</stp>
        <tr r="AD141" s="1"/>
        <tr r="AD141" s="1"/>
      </tp>
      <tp>
        <v>73.680000000000007</v>
        <stp/>
        <stp>BDP|8884459391269534404|22</stp>
        <stp>SOLV US Equity</stp>
        <stp>LAST_PRICE</stp>
        <tr r="AD1369" s="1"/>
        <tr r="AD1369" s="1"/>
      </tp>
      <tp>
        <v>6.89</v>
        <stp/>
        <stp>BDP|8722096166421948651|22</stp>
        <stp>TRAW US Equity</stp>
        <stp>LAST_PRICE</stp>
        <tr r="AD1484" s="1"/>
        <tr r="AD1484" s="1"/>
      </tp>
      <tp>
        <v>23.86</v>
        <stp/>
        <stp>BDP|3912486621842085326|22</stp>
        <stp>SDGR US Equity</stp>
        <stp>LAST_PRICE</stp>
        <tr r="AD1315" s="1"/>
        <tr r="AD1315" s="1"/>
      </tp>
      <tp>
        <v>5.6</v>
        <stp/>
        <stp>BDP|9994091355813830748|22</stp>
        <stp>GNLX US Equity</stp>
        <stp>LAST_PRICE</stp>
        <tr r="AD638" s="1"/>
        <tr r="AD638" s="1"/>
      </tp>
      <tp>
        <v>16.149999999999999</v>
        <stp/>
        <stp>BDP|6725326081602226928|22</stp>
        <stp>ANAB US Equity</stp>
        <stp>LAST_PRICE</stp>
        <tr r="AD127" s="1"/>
        <tr r="AD127" s="1"/>
      </tp>
      <tp>
        <v>2.5000000000000001E-2</v>
        <stp/>
        <stp>BDP|4029945429861282801|22</stp>
        <stp>LOWL CN Equity</stp>
        <stp>LAST_PRICE</stp>
        <tr r="AD889" s="1"/>
        <tr r="AD889" s="1"/>
      </tp>
      <tp>
        <v>12.55</v>
        <stp/>
        <stp>BDP|8045039091181969512|22</stp>
        <stp>TDOC US Equity</stp>
        <stp>LAST_PRICE</stp>
        <tr r="AD1441" s="1"/>
        <tr r="AD1441" s="1"/>
      </tp>
      <tp>
        <v>2.9999999999999997E-4</v>
        <stp/>
        <stp>BDP|8420924400932311299|22</stp>
        <stp>QBIO US Equity</stp>
        <stp>LAST_PRICE</stp>
        <tr r="AD1224" s="1"/>
        <tr r="AD1224" s="1"/>
      </tp>
      <tp t="s">
        <v>#N/A N/A</v>
        <stp/>
        <stp>BDP|6667728074108037486|22</stp>
        <stp>IMMB US Equity</stp>
        <stp>LAST_PRICE</stp>
        <tr r="AD738" s="1"/>
      </tp>
      <tp>
        <v>3.53</v>
        <stp/>
        <stp>BDP|2235957644237746902|22</stp>
        <stp>ICAD US Equity</stp>
        <stp>LAST_PRICE</stp>
        <tr r="AD714" s="1"/>
        <tr r="AD714" s="1"/>
      </tp>
      <tp>
        <v>1E-4</v>
        <stp/>
        <stp>BDP|1183236076390121275|22</stp>
        <stp>SIGO US Equity</stp>
        <stp>LAST_PRICE</stp>
        <tr r="AD1411" s="1"/>
        <tr r="AD1411" s="1"/>
      </tp>
      <tp>
        <v>65.209999999999994</v>
        <stp/>
        <stp>BDP|4905455433437177534|22</stp>
        <stp>DRUG CN Equity</stp>
        <stp>LAST_PRICE</stp>
        <tr r="AD305" s="1"/>
        <tr r="AD305" s="1"/>
      </tp>
      <tp>
        <v>9.9999999999999995E-7</v>
        <stp/>
        <stp>BDP|7798671806831400462|22</stp>
        <stp>DNAG US Equity</stp>
        <stp>LAST_PRICE</stp>
        <tr r="AD512" s="1"/>
        <tr r="AD512" s="1"/>
      </tp>
      <tp t="s">
        <v>#N/A N/A</v>
        <stp/>
        <stp>BDP|5606233880421095821|22</stp>
        <stp>ACBM US Equity</stp>
        <stp>LAST_PRICE</stp>
        <tr r="AD34" s="1"/>
      </tp>
      <tp>
        <v>1.78</v>
        <stp/>
        <stp>BDP|4352070866724383583|22</stp>
        <stp>BCLI US Equity</stp>
        <stp>LAST_PRICE</stp>
        <tr r="AD301" s="1"/>
        <tr r="AD301" s="1"/>
      </tp>
      <tp>
        <v>5.91</v>
        <stp/>
        <stp>BDP|9245976871124841842|22</stp>
        <stp>BDMD US Equity</stp>
        <stp>LAST_PRICE</stp>
        <tr r="AD228" s="1"/>
        <tr r="AD228" s="1"/>
      </tp>
      <tp t="s">
        <v>#N/A Requesting Data...1848230019</v>
        <stp/>
        <stp>BDP|82806055368899003</stp>
        <tr r="Y375" s="1"/>
        <tr r="Y375" s="1"/>
      </tp>
      <tp>
        <v>8.19</v>
        <stp/>
        <stp>BDP|12398962522295755586|22</stp>
        <stp>OMI US Equity</stp>
        <stp>LAST_PRICE</stp>
        <tr r="AD1120" s="1"/>
        <tr r="AD1120" s="1"/>
      </tp>
      <tp>
        <v>13.39</v>
        <stp/>
        <stp>BDP|10625262657282032927|22</stp>
        <stp>SHC US Equity</stp>
        <stp>LAST_PRICE</stp>
        <tr r="AD1378" s="1"/>
        <tr r="AD1378" s="1"/>
      </tp>
      <tp>
        <v>28.43</v>
        <stp/>
        <stp>BDP|17875089401153653872|22</stp>
        <stp>PHR US Equity</stp>
        <stp>LAST_PRICE</stp>
        <tr r="AD1166" s="1"/>
        <tr r="AD1166" s="1"/>
      </tp>
      <tp>
        <v>9.33</v>
        <stp/>
        <stp>BDP|16982214781164717329|22</stp>
        <stp>FRX CN Equity</stp>
        <stp>LAST_PRICE</stp>
        <tr r="AD608" s="1"/>
        <tr r="AD608" s="1"/>
      </tp>
      <tp>
        <v>6.5</v>
        <stp/>
        <stp>BDP|13042701420855780900|22</stp>
        <stp>BNR US Equity</stp>
        <stp>LAST_PRICE</stp>
        <tr r="AD312" s="1"/>
        <tr r="AD312" s="1"/>
      </tp>
      <tp>
        <v>9.02</v>
        <stp/>
        <stp>BDP|7716651848741902659|22</stp>
        <stp>CRBP US Equity</stp>
        <stp>LAST_PRICE</stp>
        <tr r="AD443" s="1"/>
        <tr r="AD443" s="1"/>
      </tp>
      <tp>
        <v>9.9999999999999995E-7</v>
        <stp/>
        <stp>BDP|5130080508422036694|22</stp>
        <stp>KALY US Equity</stp>
        <stp>LAST_PRICE</stp>
        <tr r="AD822" s="1"/>
        <tr r="AD822" s="1"/>
      </tp>
      <tp>
        <v>6.9999999999999999E-4</v>
        <stp/>
        <stp>BDP|8008910856503309068|22</stp>
        <stp>GPFT US Equity</stp>
        <stp>LAST_PRICE</stp>
        <tr r="AD661" s="1"/>
        <tr r="AD661" s="1"/>
      </tp>
      <tp>
        <v>16.48</v>
        <stp/>
        <stp>BDP|4722787064661629577|22</stp>
        <stp>AVNS US Equity</stp>
        <stp>LAST_PRICE</stp>
        <tr r="AD205" s="1"/>
        <tr r="AD205" s="1"/>
      </tp>
      <tp>
        <v>7.83</v>
        <stp/>
        <stp>BDP|5823136448484087163|22</stp>
        <stp>NVAX US Equity</stp>
        <stp>LAST_PRICE</stp>
        <tr r="AD1055" s="1"/>
        <tr r="AD1055" s="1"/>
      </tp>
      <tp>
        <v>1.73</v>
        <stp/>
        <stp>BDP|8362571575283530896|22</stp>
        <stp>FBIO US Equity</stp>
        <stp>LAST_PRICE</stp>
        <tr r="AD621" s="1"/>
        <tr r="AD621" s="1"/>
      </tp>
      <tp>
        <v>1.1299999999999999</v>
        <stp/>
        <stp>BDP|1775741405658930266|22</stp>
        <stp>SGMO US Equity</stp>
        <stp>LAST_PRICE</stp>
        <tr r="AD1307" s="1"/>
        <tr r="AD1307" s="1"/>
      </tp>
      <tp>
        <v>13.09</v>
        <stp/>
        <stp>BDP|6498807935664049028|22</stp>
        <stp>MYGN US Equity</stp>
        <stp>LAST_PRICE</stp>
        <tr r="AD992" s="1"/>
        <tr r="AD992" s="1"/>
      </tp>
      <tp>
        <v>1.7269000000000001</v>
        <stp/>
        <stp>BDP|1919683936809950329|22</stp>
        <stp>IXHL US Equity</stp>
        <stp>LAST_PRICE</stp>
        <tr r="AD743" s="1"/>
        <tr r="AD743" s="1"/>
      </tp>
      <tp>
        <v>1.66</v>
        <stp/>
        <stp>BDP|1800371183481925061|22</stp>
        <stp>TVGN US Equity</stp>
        <stp>LAST_PRICE</stp>
        <tr r="AD1455" s="1"/>
        <tr r="AD1455" s="1"/>
      </tp>
      <tp>
        <v>0.54810000000000003</v>
        <stp/>
        <stp>BDP|6052865384373400315|22</stp>
        <stp>ONCO US Equity</stp>
        <stp>LAST_PRICE</stp>
        <tr r="AD1088" s="1"/>
        <tr r="AD1088" s="1"/>
      </tp>
      <tp>
        <v>0.59</v>
        <stp/>
        <stp>BDP|1346017766493129597|22</stp>
        <stp>TRUE CN Equity</stp>
        <stp>LAST_PRICE</stp>
        <tr r="AD1486" s="1"/>
        <tr r="AD1486" s="1"/>
      </tp>
      <tp>
        <v>7.8399999999999997E-2</v>
        <stp/>
        <stp>BDP|3036038539005769265|22</stp>
        <stp>TTOO US Equity</stp>
        <stp>LAST_PRICE</stp>
        <tr r="AD1427" s="1"/>
        <tr r="AD1427" s="1"/>
      </tp>
      <tp>
        <v>1.44</v>
        <stp/>
        <stp>BDP|7601001564767883715|22</stp>
        <stp>TNON US Equity</stp>
        <stp>LAST_PRICE</stp>
        <tr r="AD1451" s="1"/>
        <tr r="AD1451" s="1"/>
      </tp>
      <tp>
        <v>6.35</v>
        <stp/>
        <stp>BDP|3071907976453572908|22</stp>
        <stp>ENGN US Equity</stp>
        <stp>LAST_PRICE</stp>
        <tr r="AD557" s="1"/>
        <tr r="AD557" s="1"/>
      </tp>
      <tp>
        <v>1.1499999999999999</v>
        <stp/>
        <stp>BDP|8549742449035866293|22</stp>
        <stp>DRMA US Equity</stp>
        <stp>LAST_PRICE</stp>
        <tr r="AD501" s="1"/>
        <tr r="AD501" s="1"/>
      </tp>
      <tp t="s">
        <v>#N/A Requesting Data...671599941</v>
        <stp/>
        <stp>BDP|77759035719173928</stp>
        <tr r="AB897" s="1"/>
        <tr r="AB897" s="1"/>
      </tp>
      <tp t="s">
        <v>#N/A Requesting Data...3628662684</v>
        <stp/>
        <stp>BDP|91273070289685811</stp>
        <tr r="AB1609" s="1"/>
        <tr r="AB1609" s="1"/>
      </tp>
      <tp t="s">
        <v>#N/A Requesting Data...3874584401</v>
        <stp/>
        <stp>BDP|43140977822018022</stp>
        <tr r="AC1022" s="1"/>
        <tr r="AC1022" s="1"/>
      </tp>
      <tp t="s">
        <v>#N/A Requesting Data...3247464174</v>
        <stp/>
        <stp>BDP|51477969620342629</stp>
        <tr r="AA1489" s="1"/>
        <tr r="AA1489" s="1"/>
      </tp>
      <tp t="s">
        <v>#N/A Requesting Data...3231585175</v>
        <stp/>
        <stp>BDP|20191380425750830</stp>
        <tr r="Z452" s="1"/>
        <tr r="Z452" s="1"/>
      </tp>
      <tp>
        <v>0.155</v>
        <stp/>
        <stp>BDP|14567572951385335885|22</stp>
        <stp>GSD CN Equity</stp>
        <stp>LAST_PRICE</stp>
        <tr r="AD504" s="1"/>
        <tr r="AD504" s="1"/>
      </tp>
      <tp>
        <v>18.239999999999998</v>
        <stp/>
        <stp>BDP|16263418309323276384|22</stp>
        <stp>SEM US Equity</stp>
        <stp>LAST_PRICE</stp>
        <tr r="AD1329" s="1"/>
        <tr r="AD1329" s="1"/>
      </tp>
      <tp>
        <v>1.94</v>
        <stp/>
        <stp>BDP|10570948155618673193|22</stp>
        <stp>UBX US Equity</stp>
        <stp>LAST_PRICE</stp>
        <tr r="AD1507" s="1"/>
        <tr r="AD1507" s="1"/>
      </tp>
      <tp>
        <v>9.9999999999999995E-7</v>
        <stp/>
        <stp>BDP|6664532989905614841|22</stp>
        <stp>VOIS US Equity</stp>
        <stp>LAST_PRICE</stp>
        <tr r="AD958" s="1"/>
        <tr r="AD958" s="1"/>
      </tp>
      <tp>
        <v>2.13</v>
        <stp/>
        <stp>BDP|8799054381534570133|22</stp>
        <stp>GTBP US Equity</stp>
        <stp>LAST_PRICE</stp>
        <tr r="AD666" s="1"/>
        <tr r="AD666" s="1"/>
      </tp>
      <tp>
        <v>2.02</v>
        <stp/>
        <stp>BDP|3507118432535039521|22</stp>
        <stp>ICCT US Equity</stp>
        <stp>LAST_PRICE</stp>
        <tr r="AD717" s="1"/>
        <tr r="AD717" s="1"/>
      </tp>
      <tp>
        <v>4.42</v>
        <stp/>
        <stp>BDP|5533843985971436300|22</stp>
        <stp>VYGR US Equity</stp>
        <stp>LAST_PRICE</stp>
        <tr r="AD1570" s="1"/>
        <tr r="AD1570" s="1"/>
      </tp>
      <tp>
        <v>5.49</v>
        <stp/>
        <stp>BDP|5788653171610335130|22</stp>
        <stp>MODV US Equity</stp>
        <stp>LAST_PRICE</stp>
        <tr r="AD969" s="1"/>
        <tr r="AD969" s="1"/>
      </tp>
      <tp>
        <v>7.58</v>
        <stp/>
        <stp>BDP|3268538295137945040|22</stp>
        <stp>MYNZ US Equity</stp>
        <stp>LAST_PRICE</stp>
        <tr r="AD899" s="1"/>
        <tr r="AD899" s="1"/>
      </tp>
      <tp>
        <v>4.4999999999999998E-2</v>
        <stp/>
        <stp>BDP|3263327618590568751|22</stp>
        <stp>THRM CN Equity</stp>
        <stp>LAST_PRICE</stp>
        <tr r="AD1465" s="1"/>
        <tr r="AD1465" s="1"/>
      </tp>
      <tp>
        <v>9.9999999999999995E-7</v>
        <stp/>
        <stp>BDP|8751102056802805702|22</stp>
        <stp>PANC US Equity</stp>
        <stp>LAST_PRICE</stp>
        <tr r="AD1132" s="1"/>
        <tr r="AD1132" s="1"/>
      </tp>
      <tp>
        <v>6.86</v>
        <stp/>
        <stp>BDP|5722578712296022080|22</stp>
        <stp>LFMD US Equity</stp>
        <stp>LAST_PRICE</stp>
        <tr r="AD872" s="1"/>
        <tr r="AD872" s="1"/>
      </tp>
      <tp>
        <v>3.56</v>
        <stp/>
        <stp>BDP|3899477211160467914|22</stp>
        <stp>FULC US Equity</stp>
        <stp>LAST_PRICE</stp>
        <tr r="AD626" s="1"/>
        <tr r="AD626" s="1"/>
      </tp>
      <tp>
        <v>9.9999999999999995E-7</v>
        <stp/>
        <stp>BDP|6964951678841509780|22</stp>
        <stp>HENC US Equity</stp>
        <stp>LAST_PRICE</stp>
        <tr r="AD696" s="1"/>
        <tr r="AD696" s="1"/>
      </tp>
      <tp>
        <v>32.81</v>
        <stp/>
        <stp>BDP|6428611959426639446|22</stp>
        <stp>AGIO US Equity</stp>
        <stp>LAST_PRICE</stp>
        <tr r="AD69" s="1"/>
        <tr r="AD69" s="1"/>
      </tp>
      <tp>
        <v>9.1300000000000008</v>
        <stp/>
        <stp>BDP|8813930295051062148|22</stp>
        <stp>INMB US Equity</stp>
        <stp>LAST_PRICE</stp>
        <tr r="AD754" s="1"/>
        <tr r="AD754" s="1"/>
      </tp>
      <tp>
        <v>2.79</v>
        <stp/>
        <stp>BDP|4687815868077132628|22</stp>
        <stp>SSKN US Equity</stp>
        <stp>LAST_PRICE</stp>
        <tr r="AD1405" s="1"/>
        <tr r="AD1405" s="1"/>
      </tp>
      <tp>
        <v>4.9699</v>
        <stp/>
        <stp>BDP|8258722693192932999|22</stp>
        <stp>LDDD US Equity</stp>
        <stp>LAST_PRICE</stp>
        <tr r="AD885" s="1"/>
        <tr r="AD885" s="1"/>
      </tp>
      <tp>
        <v>3.68</v>
        <stp/>
        <stp>BDP|7587089252826898198|22</stp>
        <stp>IBIO US Equity</stp>
        <stp>LAST_PRICE</stp>
        <tr r="AD713" s="1"/>
        <tr r="AD713" s="1"/>
      </tp>
      <tp>
        <v>3.4750000000000001</v>
        <stp/>
        <stp>BDP|2221828117807700040|22</stp>
        <stp>GRCE US Equity</stp>
        <stp>LAST_PRICE</stp>
        <tr r="AD659" s="1"/>
        <tr r="AD659" s="1"/>
      </tp>
      <tp>
        <v>16.88</v>
        <stp/>
        <stp>BDP|4185720258157391035|22</stp>
        <stp>PVLA US Equity</stp>
        <stp>LAST_PRICE</stp>
        <tr r="AD1130" s="1"/>
        <tr r="AD1130" s="1"/>
      </tp>
      <tp>
        <v>9.9999999999999995E-7</v>
        <stp/>
        <stp>BDP|8734083334752976698|22</stp>
        <stp>EWLL US Equity</stp>
        <stp>LAST_PRICE</stp>
        <tr r="AD596" s="1"/>
        <tr r="AD596" s="1"/>
      </tp>
      <tp>
        <v>24.46</v>
        <stp/>
        <stp>BDP|1438458427795088150|22</stp>
        <stp>SNDA US Equity</stp>
        <stp>LAST_PRICE</stp>
        <tr r="AD1373" s="1"/>
        <tr r="AD1373" s="1"/>
      </tp>
      <tp t="s">
        <v>#N/A N/A</v>
        <stp/>
        <stp>BDP|8486064847174819037|22</stp>
        <stp>MDIN US Equity</stp>
        <stp>LAST_PRICE</stp>
        <tr r="AD916" s="1"/>
      </tp>
      <tp>
        <v>8.0000000000000002E-3</v>
        <stp/>
        <stp>BDP|1955531649619633665|22</stp>
        <stp>EMDF US Equity</stp>
        <stp>LAST_PRICE</stp>
        <tr r="AD523" s="1"/>
        <tr r="AD523" s="1"/>
      </tp>
      <tp>
        <v>0.71</v>
        <stp/>
        <stp>BDP|4958275803690269568|22</stp>
        <stp>HASH CN Equity</stp>
        <stp>LAST_PRICE</stp>
        <tr r="AD1355" s="1"/>
        <tr r="AD1355" s="1"/>
      </tp>
      <tp>
        <v>3.48</v>
        <stp/>
        <stp>BDP|3820684943361002914|22</stp>
        <stp>BMEA US Equity</stp>
        <stp>LAST_PRICE</stp>
        <tr r="AD270" s="1"/>
        <tr r="AD270" s="1"/>
      </tp>
      <tp>
        <v>1.91</v>
        <stp/>
        <stp>BDP|5011208352216359131|22</stp>
        <stp>PGEN US Equity</stp>
        <stp>LAST_PRICE</stp>
        <tr r="AD1180" s="1"/>
        <tr r="AD1180" s="1"/>
      </tp>
      <tp t="s">
        <v>#N/A Requesting Data...3371302839</v>
        <stp/>
        <stp>BDP|89692819655324551</stp>
        <tr r="AA36" s="1"/>
        <tr r="AA36" s="1"/>
      </tp>
      <tp t="s">
        <v>#N/A Requesting Data...2958944535</v>
        <stp/>
        <stp>BDP|98097617976321087</stp>
        <tr r="AB1173" s="1"/>
        <tr r="AB1173" s="1"/>
      </tp>
      <tp>
        <v>98.03</v>
        <stp/>
        <stp>BDP|17845817868534945375|22</stp>
        <stp>EHC US Equity</stp>
        <stp>LAST_PRICE</stp>
        <tr r="AD553" s="1"/>
        <tr r="AD553" s="1"/>
      </tp>
      <tp>
        <v>9.11</v>
        <stp/>
        <stp>BDP|14105441215047814999|22</stp>
        <stp>VIR US Equity</stp>
        <stp>LAST_PRICE</stp>
        <tr r="AD1554" s="1"/>
        <tr r="AD1554" s="1"/>
      </tp>
      <tp>
        <v>30.29</v>
        <stp/>
        <stp>BDP|17339155115320748017|22</stp>
        <stp>BAX US Equity</stp>
        <stp>LAST_PRICE</stp>
        <tr r="AD235" s="1"/>
        <tr r="AD235" s="1"/>
      </tp>
      <tp>
        <v>4.33</v>
        <stp/>
        <stp>BDP|8592900470373507943|22</stp>
        <stp>ZYBT US Equity</stp>
        <stp>LAST_PRICE</stp>
        <tr r="AD1613" s="1"/>
        <tr r="AD1613" s="1"/>
      </tp>
      <tp>
        <v>0.2049</v>
        <stp/>
        <stp>BDP|6345451178147982558|22</stp>
        <stp>CYDY US Equity</stp>
        <stp>LAST_PRICE</stp>
        <tr r="AD481" s="1"/>
        <tr r="AD481" s="1"/>
      </tp>
      <tp>
        <v>0.48070000000000002</v>
        <stp/>
        <stp>BDP|6743389936630975396|22</stp>
        <stp>XFOR US Equity</stp>
        <stp>LAST_PRICE</stp>
        <tr r="AD1591" s="1"/>
        <tr r="AD1591" s="1"/>
      </tp>
      <tp>
        <v>0.5413</v>
        <stp/>
        <stp>BDP|9582096173313590408|22</stp>
        <stp>APLT US Equity</stp>
        <stp>LAST_PRICE</stp>
        <tr r="AD147" s="1"/>
        <tr r="AD147" s="1"/>
      </tp>
      <tp>
        <v>9.9999999999999995E-7</v>
        <stp/>
        <stp>BDP|2979856226596673969|22</stp>
        <stp>AOLS US Equity</stp>
        <stp>LAST_PRICE</stp>
        <tr r="AD60" s="1"/>
        <tr r="AD60" s="1"/>
      </tp>
      <tp>
        <v>3.01</v>
        <stp/>
        <stp>BDP|7952192608381203526|22</stp>
        <stp>SINT US Equity</stp>
        <stp>LAST_PRICE</stp>
        <tr r="AD1359" s="1"/>
        <tr r="AD1359" s="1"/>
      </tp>
      <tp>
        <v>3.17</v>
        <stp/>
        <stp>BDP|3919378000164958789|22</stp>
        <stp>CRIS US Equity</stp>
        <stp>LAST_PRICE</stp>
        <tr r="AD470" s="1"/>
        <tr r="AD470" s="1"/>
      </tp>
      <tp>
        <v>16.22</v>
        <stp/>
        <stp>BDP|3611961023631632746|22</stp>
        <stp>FLGT US Equity</stp>
        <stp>LAST_PRICE</stp>
        <tr r="AD627" s="1"/>
        <tr r="AD627" s="1"/>
      </tp>
      <tp>
        <v>4.51</v>
        <stp/>
        <stp>BDP|8207745508930718901|22</stp>
        <stp>EPRX CN Equity</stp>
        <stp>LAST_PRICE</stp>
        <tr r="AD586" s="1"/>
        <tr r="AD586" s="1"/>
      </tp>
      <tp>
        <v>1.29</v>
        <stp/>
        <stp>BDP|3509183531940893003|22</stp>
        <stp>CRBU US Equity</stp>
        <stp>LAST_PRICE</stp>
        <tr r="AD358" s="1"/>
        <tr r="AD358" s="1"/>
      </tp>
      <tp>
        <v>4.68</v>
        <stp/>
        <stp>BDP|7262521976138453785|22</stp>
        <stp>OWLT US Equity</stp>
        <stp>LAST_PRICE</stp>
        <tr r="AD1121" s="1"/>
        <tr r="AD1121" s="1"/>
      </tp>
      <tp>
        <v>11.92</v>
        <stp/>
        <stp>BDP|8931279643386141959|22</stp>
        <stp>RBOT US Equity</stp>
        <stp>LAST_PRICE</stp>
        <tr r="AD1548" s="1"/>
        <tr r="AD1548" s="1"/>
      </tp>
      <tp t="s">
        <v>#N/A N/A</v>
        <stp/>
        <stp>BDP|1497162226516759263|22</stp>
        <stp>FPCG US Equity</stp>
        <stp>LAST_PRICE</stp>
        <tr r="AD614" s="1"/>
      </tp>
      <tp>
        <v>12.97</v>
        <stp/>
        <stp>BDP|4589185439641155857|22</stp>
        <stp>AIFF US Equity</stp>
        <stp>LAST_PRICE</stp>
        <tr r="AD612" s="1"/>
        <tr r="AD612" s="1"/>
      </tp>
      <tp>
        <v>12.57</v>
        <stp/>
        <stp>BDP|6079227709706920798|22</stp>
        <stp>ASMB US Equity</stp>
        <stp>LAST_PRICE</stp>
        <tr r="AD180" s="1"/>
        <tr r="AD180" s="1"/>
      </tp>
      <tp>
        <v>8.8300000000000003E-2</v>
        <stp/>
        <stp>BDP|6152829973585009937|22</stp>
        <stp>UEEC US Equity</stp>
        <stp>LAST_PRICE</stp>
        <tr r="AD1504" s="1"/>
        <tr r="AD1504" s="1"/>
      </tp>
      <tp>
        <v>0.70499999999999996</v>
        <stp/>
        <stp>BDP|6146221141935090993|22</stp>
        <stp>LGMK US Equity</stp>
        <stp>LAST_PRICE</stp>
        <tr r="AD884" s="1"/>
        <tr r="AD884" s="1"/>
      </tp>
      <tp>
        <v>19.379799999999999</v>
        <stp/>
        <stp>BDP|1974763111004590063|22</stp>
        <stp>CVKD US Equity</stp>
        <stp>LAST_PRICE</stp>
        <tr r="AD318" s="1"/>
        <tr r="AD318" s="1"/>
      </tp>
      <tp>
        <v>2.0000000000000001E-4</v>
        <stp/>
        <stp>BDP|1893252087502686084|22</stp>
        <stp>SGBI US Equity</stp>
        <stp>LAST_PRICE</stp>
        <tr r="AD1308" s="1"/>
        <tr r="AD1308" s="1"/>
      </tp>
      <tp>
        <v>142.63</v>
        <stp/>
        <stp>BDP|5703925565488093571|22</stp>
        <stp>MLAB US Equity</stp>
        <stp>LAST_PRICE</stp>
        <tr r="AD946" s="1"/>
        <tr r="AD946" s="1"/>
      </tp>
      <tp>
        <v>4.42</v>
        <stp/>
        <stp>BDP|6075258018707684229|22</stp>
        <stp>BIOA US Equity</stp>
        <stp>LAST_PRICE</stp>
        <tr r="AD256" s="1"/>
        <tr r="AD256" s="1"/>
      </tp>
      <tp>
        <v>0.86</v>
        <stp/>
        <stp>BDP|7863695852619340686|22</stp>
        <stp>NCNA US Equity</stp>
        <stp>LAST_PRICE</stp>
        <tr r="AD1060" s="1"/>
        <tr r="AD1060" s="1"/>
      </tp>
      <tp>
        <v>0.67200000000000004</v>
        <stp/>
        <stp>BDP|5703386112372233544|22</stp>
        <stp>AIMD US Equity</stp>
        <stp>LAST_PRICE</stp>
        <tr r="AD73" s="1"/>
        <tr r="AD73" s="1"/>
      </tp>
      <tp>
        <v>1.69</v>
        <stp/>
        <stp>BDP|8074006519955478051|22</stp>
        <stp>RANI US Equity</stp>
        <stp>LAST_PRICE</stp>
        <tr r="AD1245" s="1"/>
        <tr r="AD1245" s="1"/>
      </tp>
      <tp>
        <v>2.1800000000000002</v>
        <stp/>
        <stp>BDP|5509559757721399839|22</stp>
        <stp>MDAI US Equity</stp>
        <stp>LAST_PRICE</stp>
        <tr r="AD1380" s="1"/>
        <tr r="AD1380" s="1"/>
      </tp>
      <tp>
        <v>1.5</v>
        <stp/>
        <stp>BDP|8407831312138549229|22</stp>
        <stp>CLDI US Equity</stp>
        <stp>LAST_PRICE</stp>
        <tr r="AD322" s="1"/>
        <tr r="AD322" s="1"/>
      </tp>
      <tp>
        <v>0.1898</v>
        <stp/>
        <stp>BDP|3101891392969054586|22</stp>
        <stp>APDN US Equity</stp>
        <stp>LAST_PRICE</stp>
        <tr r="AD146" s="1"/>
        <tr r="AD146" s="1"/>
      </tp>
      <tp>
        <v>1.74</v>
        <stp/>
        <stp>BDP|3996469475131711978|22</stp>
        <stp>OTLK US Equity</stp>
        <stp>LAST_PRICE</stp>
        <tr r="AD1118" s="1"/>
        <tr r="AD1118" s="1"/>
      </tp>
      <tp>
        <v>2.19</v>
        <stp/>
        <stp>BDP|1246527629982969532|22</stp>
        <stp>CGEN US Equity</stp>
        <stp>LAST_PRICE</stp>
        <tr r="AD432" s="1"/>
        <tr r="AD432" s="1"/>
      </tp>
      <tp>
        <v>12.69</v>
        <stp/>
        <stp>BDP|8713707722101373940|22</stp>
        <stp>TRDA US Equity</stp>
        <stp>LAST_PRICE</stp>
        <tr r="AD567" s="1"/>
        <tr r="AD567" s="1"/>
      </tp>
      <tp>
        <v>0.13600000000000001</v>
        <stp/>
        <stp>BDP|8223942363174865948|22</stp>
        <stp>AEON US Equity</stp>
        <stp>LAST_PRICE</stp>
        <tr r="AD61" s="1"/>
        <tr r="AD61" s="1"/>
      </tp>
      <tp t="s">
        <v>#N/A N/A</v>
        <stp/>
        <stp>BDP|7758959416422343635|22</stp>
        <stp>GLBH US Equity</stp>
        <stp>LAST_PRICE</stp>
        <tr r="AD651" s="1"/>
      </tp>
      <tp t="s">
        <v>#N/A Requesting Data...3136293897</v>
        <stp/>
        <stp>BDP|13250787205794933</stp>
        <tr r="AC1212" s="1"/>
        <tr r="AC1212" s="1"/>
      </tp>
      <tp t="s">
        <v>#N/A Requesting Data...2474541447</v>
        <stp/>
        <stp>BDP|88527490608072279</stp>
        <tr r="AB1191" s="1"/>
        <tr r="AB1191" s="1"/>
      </tp>
      <tp t="s">
        <v>#N/A Requesting Data...1948655265</v>
        <stp/>
        <stp>BDP|60305653778827893</stp>
        <tr r="AC1619" s="1"/>
        <tr r="AC1619" s="1"/>
      </tp>
      <tp t="s">
        <v>#N/A Requesting Data...3573315266</v>
        <stp/>
        <stp>BDP|37249478991249259</stp>
        <tr r="AA1093" s="1"/>
        <tr r="AA1093" s="1"/>
      </tp>
      <tp t="s">
        <v>#N/A Requesting Data...3820342634</v>
        <stp/>
        <stp>BDP|592180091569813484</stp>
        <tr r="Z751" s="1"/>
        <tr r="Z751" s="1"/>
      </tp>
      <tp t="s">
        <v>#N/A Requesting Data...3823110707</v>
        <stp/>
        <stp>BDP|542585500480488052</stp>
        <tr r="Z1467" s="1"/>
        <tr r="Z1467" s="1"/>
      </tp>
      <tp t="s">
        <v>#N/A Requesting Data...1713049439</v>
        <stp/>
        <stp>BDP|950720340940430632</stp>
        <tr r="Z871" s="1"/>
        <tr r="Z871" s="1"/>
      </tp>
      <tp t="s">
        <v>#N/A Requesting Data...1934980020</v>
        <stp/>
        <stp>BDP|727322454311937240</stp>
        <tr r="Z371" s="1"/>
        <tr r="Z371" s="1"/>
      </tp>
      <tp t="s">
        <v>#N/A Requesting Data...2402267233</v>
        <stp/>
        <stp>BDP|353563022004862636</stp>
        <tr r="Y390" s="1"/>
        <tr r="Y390" s="1"/>
      </tp>
      <tp t="s">
        <v>#N/A Requesting Data...3165804502</v>
        <stp/>
        <stp>BDP|572795957116270144</stp>
        <tr r="AC1279" s="1"/>
        <tr r="AC1279" s="1"/>
      </tp>
      <tp t="s">
        <v>#N/A Requesting Data...1811395310</v>
        <stp/>
        <stp>BDP|895232805183128414</stp>
        <tr r="AA846" s="1"/>
        <tr r="AA846" s="1"/>
      </tp>
      <tp t="s">
        <v>#N/A Requesting Data...693195502</v>
        <stp/>
        <stp>BDP|945246219247825120</stp>
        <tr r="AA1395" s="1"/>
        <tr r="AA1395" s="1"/>
      </tp>
      <tp t="s">
        <v>#N/A Requesting Data...1864847029</v>
        <stp/>
        <stp>BDP|898637135926672666</stp>
        <tr r="AB1255" s="1"/>
        <tr r="AB1255" s="1"/>
      </tp>
      <tp t="s">
        <v>#N/A Requesting Data...3530923077</v>
        <stp/>
        <stp>BDP|712792802635722752</stp>
        <tr r="AC682" s="1"/>
        <tr r="AC682" s="1"/>
      </tp>
      <tp t="s">
        <v>#N/A Requesting Data...2741463272</v>
        <stp/>
        <stp>BDP|516033572712241084</stp>
        <tr r="AC1395" s="1"/>
        <tr r="AC1395" s="1"/>
      </tp>
      <tp t="s">
        <v>#N/A Requesting Data...2912971395</v>
        <stp/>
        <stp>BDP|851029835616889089</stp>
        <tr r="AA289" s="1"/>
        <tr r="AA289" s="1"/>
      </tp>
      <tp t="s">
        <v>#N/A Requesting Data...2640192631</v>
        <stp/>
        <stp>BDP|650397906207735113</stp>
        <tr r="Z1590" s="1"/>
      </tp>
      <tp t="s">
        <v>#N/A Requesting Data...1056685661</v>
        <stp/>
        <stp>BDP|240593411407422660</stp>
        <tr r="AC1491" s="1"/>
        <tr r="AC1491" s="1"/>
      </tp>
      <tp t="s">
        <v>#N/A Requesting Data...3801434669</v>
        <stp/>
        <stp>BDP|371693811760708245</stp>
        <tr r="Z38" s="1"/>
        <tr r="Z38" s="1"/>
      </tp>
      <tp t="s">
        <v>#N/A Requesting Data...2817151276</v>
        <stp/>
        <stp>BDP|851948684986327221</stp>
        <tr r="AC172" s="1"/>
        <tr r="AC172" s="1"/>
      </tp>
      <tp t="s">
        <v>#N/A Requesting Data...3306984420</v>
        <stp/>
        <stp>BDP|669765392672903920</stp>
        <tr r="AA297" s="1"/>
        <tr r="AA297" s="1"/>
      </tp>
      <tp t="s">
        <v>#N/A Requesting Data...2086272174</v>
        <stp/>
        <stp>BDP|467014259514008475</stp>
        <tr r="AC1169" s="1"/>
        <tr r="AC1169" s="1"/>
      </tp>
      <tp t="s">
        <v>#N/A Requesting Data...1530381096</v>
        <stp/>
        <stp>BDP|510553929302519083</stp>
        <tr r="Y898" s="1"/>
        <tr r="Y898" s="1"/>
      </tp>
      <tp t="s">
        <v>#N/A Requesting Data...1535121632</v>
        <stp/>
        <stp>BDP|385623124240288117</stp>
        <tr r="AB941" s="1"/>
        <tr r="AB941" s="1"/>
      </tp>
      <tp t="s">
        <v>#N/A Requesting Data...3539894508</v>
        <stp/>
        <stp>BDP|150867917674546835</stp>
        <tr r="AC979" s="1"/>
        <tr r="AC979" s="1"/>
      </tp>
      <tp t="s">
        <v>#N/A Requesting Data...1453460975</v>
        <stp/>
        <stp>BDP|586096476812905046</stp>
        <tr r="AA455" s="1"/>
        <tr r="AA455" s="1"/>
      </tp>
      <tp t="s">
        <v>#N/A Requesting Data...2406237628</v>
        <stp/>
        <stp>BDP|404817931126904918</stp>
        <tr r="AA1067" s="1"/>
        <tr r="AA1067" s="1"/>
      </tp>
      <tp t="s">
        <v>#N/A Requesting Data...631159740</v>
        <stp/>
        <stp>BDP|490476453607927254</stp>
        <tr r="AA95" s="1"/>
        <tr r="AA95" s="1"/>
      </tp>
      <tp t="s">
        <v>#N/A Requesting Data...888583037</v>
        <stp/>
        <stp>BDP|431365649160093372</stp>
        <tr r="AA1496" s="1"/>
        <tr r="AA1496" s="1"/>
      </tp>
      <tp t="s">
        <v>#N/A Requesting Data...1427954660</v>
        <stp/>
        <stp>BDP|241533133083581194</stp>
        <tr r="Z1315" s="1"/>
        <tr r="Z1315" s="1"/>
      </tp>
      <tp t="s">
        <v>#N/A Requesting Data...2045212264</v>
        <stp/>
        <stp>BDP|425394863017136615</stp>
        <tr r="AA826" s="1"/>
        <tr r="AA826" s="1"/>
      </tp>
      <tp t="s">
        <v>#N/A Requesting Data...3989680552</v>
        <stp/>
        <stp>BDP|808013804101434561</stp>
        <tr r="AB541" s="1"/>
        <tr r="AB541" s="1"/>
      </tp>
      <tp t="s">
        <v>#N/A Requesting Data...2323531122</v>
        <stp/>
        <stp>BDP|286711737018925857</stp>
        <tr r="Y1106" s="1"/>
        <tr r="Y1106" s="1"/>
      </tp>
      <tp t="s">
        <v>#N/A Requesting Data...3464269123</v>
        <stp/>
        <stp>BDP|628488840651781502</stp>
        <tr r="Y204" s="1"/>
        <tr r="Y204" s="1"/>
      </tp>
      <tp t="s">
        <v>#N/A Requesting Data...912512233</v>
        <stp/>
        <stp>BDP|432513068970673728</stp>
        <tr r="Y762" s="1"/>
        <tr r="Y762" s="1"/>
      </tp>
      <tp t="s">
        <v>#N/A Requesting Data...3409341651</v>
        <stp/>
        <stp>BDP|132136255270509087</stp>
        <tr r="Z87" s="1"/>
        <tr r="Z87" s="1"/>
      </tp>
      <tp t="s">
        <v>#N/A Requesting Data...2286294838</v>
        <stp/>
        <stp>BDP|205295708400971614</stp>
        <tr r="Z1589" s="1"/>
        <tr r="Z1589" s="1"/>
      </tp>
      <tp t="s">
        <v>#N/A Requesting Data...3158412622</v>
        <stp/>
        <stp>BDP|595482947032759698</stp>
        <tr r="Z1535" s="1"/>
        <tr r="Z1535" s="1"/>
      </tp>
      <tp t="s">
        <v>#N/A Requesting Data...666414023</v>
        <stp/>
        <stp>BDP|489315419583800510</stp>
        <tr r="AA1377" s="1"/>
        <tr r="AA1377" s="1"/>
      </tp>
      <tp t="s">
        <v>#N/A Requesting Data...4258657343</v>
        <stp/>
        <stp>BDP|647580946840855565</stp>
        <tr r="AC292" s="1"/>
        <tr r="AC292" s="1"/>
      </tp>
      <tp t="s">
        <v>#N/A Requesting Data...3870888886</v>
        <stp/>
        <stp>BDP|593610157672522517</stp>
        <tr r="AC634" s="1"/>
        <tr r="AC634" s="1"/>
      </tp>
      <tp t="s">
        <v>#N/A Requesting Data...3270519830</v>
        <stp/>
        <stp>BDP|715203235643475619</stp>
        <tr r="AC646" s="1"/>
        <tr r="AC646" s="1"/>
      </tp>
      <tp t="s">
        <v>#N/A Requesting Data...1578742894</v>
        <stp/>
        <stp>BDP|469327071776571659</stp>
        <tr r="Y791" s="1"/>
        <tr r="Y791" s="1"/>
      </tp>
      <tp t="s">
        <v>#N/A Requesting Data...2166071055</v>
        <stp/>
        <stp>BDP|142512524824259763</stp>
        <tr r="Z875" s="1"/>
        <tr r="Z875" s="1"/>
      </tp>
      <tp t="s">
        <v>#N/A Requesting Data...3945068827</v>
        <stp/>
        <stp>BDP|502906284037745260</stp>
        <tr r="Y562" s="1"/>
        <tr r="Y562" s="1"/>
      </tp>
      <tp t="s">
        <v>#N/A Requesting Data...3115174502</v>
        <stp/>
        <stp>BDP|152563634266114433</stp>
        <tr r="AA401" s="1"/>
        <tr r="AA401" s="1"/>
      </tp>
      <tp t="s">
        <v>#N/A Requesting Data...2340510273</v>
        <stp/>
        <stp>BDP|310170641994494534</stp>
        <tr r="Y418" s="1"/>
        <tr r="Y418" s="1"/>
      </tp>
      <tp t="s">
        <v>#N/A Requesting Data...876817884</v>
        <stp/>
        <stp>BDP|873089256563167242</stp>
        <tr r="AB913" s="1"/>
        <tr r="AB913" s="1"/>
      </tp>
      <tp t="s">
        <v>#N/A Requesting Data...2249683671</v>
        <stp/>
        <stp>BDP|305400871681115605</stp>
        <tr r="Z50" s="1"/>
        <tr r="Z50" s="1"/>
      </tp>
      <tp t="s">
        <v>#N/A Requesting Data...2045829075</v>
        <stp/>
        <stp>BDP|912321593676887838</stp>
        <tr r="Z279" s="1"/>
        <tr r="Z279" s="1"/>
      </tp>
      <tp t="s">
        <v>#N/A Requesting Data...3265372618</v>
        <stp/>
        <stp>BDP|870363883495117927</stp>
        <tr r="Z146" s="1"/>
        <tr r="Z146" s="1"/>
      </tp>
      <tp t="s">
        <v>#N/A Requesting Data...2385002784</v>
        <stp/>
        <stp>BDP|739739503678723886</stp>
        <tr r="AA44" s="1"/>
        <tr r="AA44" s="1"/>
      </tp>
      <tp t="s">
        <v>#N/A Requesting Data...742623997</v>
        <stp/>
        <stp>BDP|544289164054635773</stp>
        <tr r="Z696" s="1"/>
        <tr r="Z696" s="1"/>
      </tp>
      <tp t="s">
        <v>#N/A Requesting Data...3753796035</v>
        <stp/>
        <stp>BDP|598797962333098562</stp>
        <tr r="Y1346" s="1"/>
        <tr r="Y1346" s="1"/>
      </tp>
      <tp t="s">
        <v>#N/A Requesting Data...1643346044</v>
        <stp/>
        <stp>BDP|532568859515019231</stp>
        <tr r="AA193" s="1"/>
        <tr r="AA193" s="1"/>
      </tp>
      <tp t="s">
        <v>#N/A Requesting Data...3755438040</v>
        <stp/>
        <stp>BDP|695043343830889307</stp>
        <tr r="Z718" s="1"/>
        <tr r="Z718" s="1"/>
      </tp>
      <tp t="s">
        <v>#N/A Requesting Data...983714261</v>
        <stp/>
        <stp>BDP|591372499075373811</stp>
        <tr r="AC1534" s="1"/>
        <tr r="AC1534" s="1"/>
      </tp>
      <tp t="s">
        <v>#N/A Requesting Data...2232288047</v>
        <stp/>
        <stp>BDP|785492504863294023</stp>
        <tr r="AB393" s="1"/>
        <tr r="AB393" s="1"/>
      </tp>
      <tp t="s">
        <v>#N/A Requesting Data...3320798135</v>
        <stp/>
        <stp>BDP|995346146401955196</stp>
        <tr r="Z777" s="1"/>
        <tr r="Z777" s="1"/>
      </tp>
      <tp t="s">
        <v>#N/A Requesting Data...1748594157</v>
        <stp/>
        <stp>BDP|371316538351681672</stp>
        <tr r="AA1082" s="1"/>
      </tp>
      <tp t="s">
        <v>#N/A Requesting Data...2744259157</v>
        <stp/>
        <stp>BDP|894594033259647805</stp>
        <tr r="Y601" s="1"/>
        <tr r="Y601" s="1"/>
      </tp>
      <tp t="s">
        <v>#N/A Requesting Data...1302347531</v>
        <stp/>
        <stp>BDP|209730619277527682</stp>
        <tr r="AA973" s="1"/>
        <tr r="AA973" s="1"/>
      </tp>
      <tp t="s">
        <v>#N/A Requesting Data...947879994</v>
        <stp/>
        <stp>BDP|121400083002711939</stp>
        <tr r="Z483" s="1"/>
        <tr r="Z483" s="1"/>
      </tp>
      <tp t="s">
        <v>#N/A Requesting Data...3740738468</v>
        <stp/>
        <stp>BDP|563351771857761408</stp>
        <tr r="AB1403" s="1"/>
        <tr r="AB1403" s="1"/>
      </tp>
      <tp t="s">
        <v>#N/A Requesting Data...2738181641</v>
        <stp/>
        <stp>BDP|266966086294256278</stp>
        <tr r="AA263" s="1"/>
        <tr r="AA263" s="1"/>
      </tp>
      <tp t="s">
        <v>#N/A Requesting Data...1061125774</v>
        <stp/>
        <stp>BDP|946436280553597881</stp>
        <tr r="AC1520" s="1"/>
        <tr r="AC1520" s="1"/>
      </tp>
      <tp t="s">
        <v>#N/A Requesting Data...4115056290</v>
        <stp/>
        <stp>BDP|804938169991426914</stp>
        <tr r="AA1179" s="1"/>
        <tr r="AA1179" s="1"/>
      </tp>
      <tp t="s">
        <v>#N/A Requesting Data...2963382486</v>
        <stp/>
        <stp>BDP|351770304783730371</stp>
        <tr r="AA1272" s="1"/>
        <tr r="AA1272" s="1"/>
      </tp>
      <tp t="s">
        <v>#N/A Requesting Data...3668144186</v>
        <stp/>
        <stp>BDP|482233901144757105</stp>
        <tr r="AC905" s="1"/>
        <tr r="AC905" s="1"/>
      </tp>
      <tp t="s">
        <v>#N/A Requesting Data...752882003</v>
        <stp/>
        <stp>BDP|814012478227750772</stp>
        <tr r="AB1485" s="1"/>
        <tr r="AB1485" s="1"/>
      </tp>
      <tp t="s">
        <v>#N/A Requesting Data...1765598910</v>
        <stp/>
        <stp>BDP|887084810323350512</stp>
        <tr r="AA1600" s="1"/>
        <tr r="AA1600" s="1"/>
      </tp>
      <tp t="s">
        <v>#N/A Requesting Data...2742589071</v>
        <stp/>
        <stp>BDP|762340747710093067</stp>
        <tr r="AA1152" s="1"/>
        <tr r="AA1152" s="1"/>
      </tp>
      <tp t="s">
        <v>#N/A Requesting Data...2990670685</v>
        <stp/>
        <stp>BDP|473327795278117502</stp>
        <tr r="AC315" s="1"/>
        <tr r="AC315" s="1"/>
      </tp>
      <tp t="s">
        <v>#N/A Requesting Data...1448129075</v>
        <stp/>
        <stp>BDP|520333676552244119</stp>
        <tr r="AA807" s="1"/>
        <tr r="AA807" s="1"/>
      </tp>
      <tp t="s">
        <v>#N/A Requesting Data...2210009601</v>
        <stp/>
        <stp>BDP|570038035514713075</stp>
        <tr r="AC32" s="1"/>
        <tr r="AC32" s="1"/>
      </tp>
      <tp t="s">
        <v>#N/A Requesting Data...1043938496</v>
        <stp/>
        <stp>BDP|326968561349354141</stp>
        <tr r="AB967" s="1"/>
        <tr r="AB967" s="1"/>
      </tp>
      <tp t="s">
        <v>#N/A Requesting Data...3585896830</v>
        <stp/>
        <stp>BDP|844125817876740065</stp>
        <tr r="AA1232" s="1"/>
        <tr r="AA1232" s="1"/>
      </tp>
      <tp t="s">
        <v>#N/A Requesting Data...3845811411</v>
        <stp/>
        <stp>BDP|673296017695010049</stp>
        <tr r="Y414" s="1"/>
        <tr r="Y414" s="1"/>
      </tp>
      <tp t="s">
        <v>#N/A Requesting Data...2833902362</v>
        <stp/>
        <stp>BDP|501188313203786548</stp>
        <tr r="AB518" s="1"/>
        <tr r="AB518" s="1"/>
      </tp>
      <tp t="s">
        <v>#N/A Requesting Data...2714269789</v>
        <stp/>
        <stp>BDP|936702450013528718</stp>
        <tr r="Y788" s="1"/>
        <tr r="Y788" s="1"/>
      </tp>
      <tp t="s">
        <v>#N/A Requesting Data...1068696075</v>
        <stp/>
        <stp>BDP|211696636460036304</stp>
        <tr r="AB824" s="1"/>
        <tr r="AB824" s="1"/>
      </tp>
      <tp t="s">
        <v>#N/A Requesting Data...3422899664</v>
        <stp/>
        <stp>BDP|827753507063750201</stp>
        <tr r="AA395" s="1"/>
      </tp>
      <tp t="s">
        <v>#N/A Requesting Data...4176712317</v>
        <stp/>
        <stp>BDP|522352764102937138</stp>
        <tr r="AC544" s="1"/>
        <tr r="AC544" s="1"/>
      </tp>
      <tp t="s">
        <v>#N/A Requesting Data...2108104773</v>
        <stp/>
        <stp>BDP|441767339730678253</stp>
        <tr r="AA54" s="1"/>
        <tr r="AA54" s="1"/>
      </tp>
      <tp t="s">
        <v>#N/A Requesting Data...1054320493</v>
        <stp/>
        <stp>BDP|917752859713599788</stp>
        <tr r="AC849" s="1"/>
        <tr r="AC849" s="1"/>
      </tp>
      <tp t="s">
        <v>#N/A Requesting Data...1235568250</v>
        <stp/>
        <stp>BDP|825101356182142062</stp>
        <tr r="AB368" s="1"/>
        <tr r="AB368" s="1"/>
      </tp>
      <tp t="s">
        <v>#N/A Requesting Data...2601562133</v>
        <stp/>
        <stp>BDP|895527221489619871</stp>
        <tr r="AC1129" s="1"/>
        <tr r="AC1129" s="1"/>
      </tp>
      <tp t="s">
        <v>#N/A Requesting Data...3232836777</v>
        <stp/>
        <stp>BDP|724583349435899247</stp>
        <tr r="Z13" s="1"/>
        <tr r="Z13" s="1"/>
      </tp>
      <tp t="s">
        <v>#N/A Requesting Data...850784567</v>
        <stp/>
        <stp>BDP|391094659824181785</stp>
        <tr r="Y136" s="1"/>
        <tr r="Y136" s="1"/>
      </tp>
      <tp t="s">
        <v>#N/A Requesting Data...1943278961</v>
        <stp/>
        <stp>BDP|447569372647965338</stp>
        <tr r="AA304" s="1"/>
        <tr r="AA304" s="1"/>
      </tp>
      <tp t="s">
        <v>#N/A Requesting Data...3782765412</v>
        <stp/>
        <stp>BDP|780729623916482585</stp>
        <tr r="AC874" s="1"/>
        <tr r="AC874" s="1"/>
      </tp>
      <tp t="s">
        <v>#N/A Requesting Data...2839161784</v>
        <stp/>
        <stp>BDP|758385564391881281</stp>
        <tr r="AC429" s="1"/>
        <tr r="AC429" s="1"/>
      </tp>
      <tp t="s">
        <v>#N/A Requesting Data...2841383472</v>
        <stp/>
        <stp>BDP|693175707421835650</stp>
        <tr r="AC1430" s="1"/>
        <tr r="AC1430" s="1"/>
      </tp>
      <tp t="s">
        <v>#N/A Requesting Data...2230111970</v>
        <stp/>
        <stp>BDP|361634141496826225</stp>
        <tr r="Z1105" s="1"/>
        <tr r="Z1105" s="1"/>
      </tp>
      <tp t="s">
        <v>#N/A Requesting Data...2651567864</v>
        <stp/>
        <stp>BDP|678541053743496500</stp>
        <tr r="Y1038" s="1"/>
        <tr r="Y1038" s="1"/>
      </tp>
      <tp t="s">
        <v>#N/A Requesting Data...4046343893</v>
        <stp/>
        <stp>BDP|750267214966314302</stp>
        <tr r="AB1239" s="1"/>
        <tr r="AB1239" s="1"/>
      </tp>
      <tp t="s">
        <v>#N/A Requesting Data...2449527995</v>
        <stp/>
        <stp>BDP|923581343640391771</stp>
        <tr r="AC479" s="1"/>
        <tr r="AC479" s="1"/>
      </tp>
      <tp t="s">
        <v>#N/A Requesting Data...2282999284</v>
        <stp/>
        <stp>BDP|985694001740617017</stp>
        <tr r="Y872" s="1"/>
        <tr r="Y872" s="1"/>
      </tp>
      <tp t="s">
        <v>#N/A Requesting Data...2762096561</v>
        <stp/>
        <stp>BDP|464650022202717027</stp>
        <tr r="AC1408" s="1"/>
        <tr r="AC1408" s="1"/>
      </tp>
      <tp t="s">
        <v>#N/A Requesting Data...997076319</v>
        <stp/>
        <stp>BDP|248291989218660421</stp>
        <tr r="Z1221" s="1"/>
        <tr r="Z1221" s="1"/>
      </tp>
      <tp t="s">
        <v>#N/A Requesting Data...3439346686</v>
        <stp/>
        <stp>BDP|286467137625174449</stp>
        <tr r="AC708" s="1"/>
        <tr r="AC708" s="1"/>
      </tp>
      <tp t="s">
        <v>#N/A Requesting Data...971704343</v>
        <stp/>
        <stp>BDP|533416024558285852</stp>
        <tr r="AA425" s="1"/>
        <tr r="AA425" s="1"/>
      </tp>
      <tp t="s">
        <v>#N/A Requesting Data...1412590753</v>
        <stp/>
        <stp>BDP|967793003273328272</stp>
        <tr r="Y1143" s="1"/>
        <tr r="Y1143" s="1"/>
      </tp>
      <tp t="s">
        <v>#N/A Requesting Data...2926546155</v>
        <stp/>
        <stp>BDP|694227563562742018</stp>
        <tr r="Y275" s="1"/>
        <tr r="Y275" s="1"/>
      </tp>
      <tp t="s">
        <v>#N/A Requesting Data...2047604764</v>
        <stp/>
        <stp>BDP|220023606232229455</stp>
        <tr r="Z254" s="1"/>
        <tr r="Z254" s="1"/>
      </tp>
      <tp t="s">
        <v>#N/A Requesting Data...880127624</v>
        <stp/>
        <stp>BDP|805742456207964322</stp>
        <tr r="AA1162" s="1"/>
        <tr r="AA1162" s="1"/>
      </tp>
      <tp t="s">
        <v>#N/A Requesting Data...3419398403</v>
        <stp/>
        <stp>BDP|785717112057544732</stp>
        <tr r="AA358" s="1"/>
        <tr r="AA358" s="1"/>
      </tp>
      <tp t="s">
        <v>#N/A Requesting Data...3066881803</v>
        <stp/>
        <stp>BDP|794707526562608154</stp>
        <tr r="AC1203" s="1"/>
        <tr r="AC1203" s="1"/>
      </tp>
      <tp t="s">
        <v>#N/A Requesting Data...890759645</v>
        <stp/>
        <stp>BDP|698669033741355221</stp>
        <tr r="AB52" s="1"/>
        <tr r="AB52" s="1"/>
      </tp>
      <tp t="s">
        <v>#N/A Requesting Data...3150240180</v>
        <stp/>
        <stp>BDP|258800659493001891</stp>
        <tr r="AB405" s="1"/>
        <tr r="AB405" s="1"/>
      </tp>
      <tp t="s">
        <v>#N/A Requesting Data...1024898028</v>
        <stp/>
        <stp>BDP|162482863750688304</stp>
        <tr r="AA1275" s="1"/>
        <tr r="AA1275" s="1"/>
      </tp>
      <tp t="s">
        <v>#N/A Requesting Data...3354219765</v>
        <stp/>
        <stp>BDP|300199277503485445</stp>
        <tr r="Y1570" s="1"/>
        <tr r="Y1570" s="1"/>
      </tp>
      <tp t="s">
        <v>#N/A Requesting Data...2513271387</v>
        <stp/>
        <stp>BDP|262514772671681292</stp>
        <tr r="Z638" s="1"/>
        <tr r="Z638" s="1"/>
      </tp>
      <tp t="s">
        <v>#N/A Requesting Data...1170805765</v>
        <stp/>
        <stp>BDP|766323698748024337</stp>
        <tr r="AB414" s="1"/>
        <tr r="AB414" s="1"/>
      </tp>
      <tp t="s">
        <v>#N/A Requesting Data...2437379622</v>
        <stp/>
        <stp>BDP|257113171974969342</stp>
        <tr r="Z717" s="1"/>
        <tr r="Z717" s="1"/>
      </tp>
      <tp t="s">
        <v>#N/A Requesting Data...1660288619</v>
        <stp/>
        <stp>BDP|956111396631330829</stp>
        <tr r="AA383" s="1"/>
        <tr r="AA383" s="1"/>
      </tp>
      <tp t="s">
        <v>#N/A Requesting Data...2591771863</v>
        <stp/>
        <stp>BDP|903777387877740914</stp>
        <tr r="AC801" s="1"/>
        <tr r="AC801" s="1"/>
      </tp>
      <tp t="s">
        <v>#N/A Requesting Data...2568798796</v>
        <stp/>
        <stp>BDP|477892186563454204</stp>
        <tr r="Y1047" s="1"/>
        <tr r="Y1047" s="1"/>
      </tp>
      <tp t="s">
        <v>#N/A Requesting Data...2863224788</v>
        <stp/>
        <stp>BDP|370092917699097950</stp>
        <tr r="Y1540" s="1"/>
        <tr r="Y1540" s="1"/>
      </tp>
      <tp t="s">
        <v>#N/A Requesting Data...1452346661</v>
        <stp/>
        <stp>BDP|860805397544195462</stp>
        <tr r="Y1621" s="1"/>
        <tr r="Y1621" s="1"/>
      </tp>
      <tp t="s">
        <v>#N/A Requesting Data...2250108716</v>
        <stp/>
        <stp>BDP|876014967142630511</stp>
        <tr r="AC1354" s="1"/>
        <tr r="AC1354" s="1"/>
      </tp>
      <tp t="s">
        <v>#N/A Requesting Data...3189762780</v>
        <stp/>
        <stp>BDP|439360216654662798</stp>
        <tr r="AA62" s="1"/>
        <tr r="AA62" s="1"/>
      </tp>
      <tp t="s">
        <v>#N/A Requesting Data...4277812201</v>
        <stp/>
        <stp>BDP|149316503524050680</stp>
        <tr r="Y592" s="1"/>
        <tr r="Y592" s="1"/>
      </tp>
      <tp t="s">
        <v>#N/A Requesting Data...3518097275</v>
        <stp/>
        <stp>BDP|138137097308923170</stp>
        <tr r="AB928" s="1"/>
        <tr r="AB928" s="1"/>
      </tp>
      <tp t="s">
        <v>#N/A Requesting Data...2083482060</v>
        <stp/>
        <stp>BDP|798532643267512741</stp>
        <tr r="Y1486" s="1"/>
        <tr r="Y1486" s="1"/>
      </tp>
      <tp t="s">
        <v>#N/A Requesting Data...959826695</v>
        <stp/>
        <stp>BDP|382539473972640130</stp>
        <tr r="Z1351" s="1"/>
        <tr r="Z1351" s="1"/>
      </tp>
      <tp t="s">
        <v>#N/A Requesting Data...2101313905</v>
        <stp/>
        <stp>BDP|977367968653344723</stp>
        <tr r="AA784" s="1"/>
        <tr r="AA784" s="1"/>
      </tp>
      <tp t="s">
        <v>#N/A Requesting Data...3681800933</v>
        <stp/>
        <stp>BDP|326267555470733615</stp>
        <tr r="Y1248" s="1"/>
        <tr r="Y1248" s="1"/>
      </tp>
      <tp t="s">
        <v>#N/A Requesting Data...1442570939</v>
        <stp/>
        <stp>BDP|982370476650699597</stp>
        <tr r="Z726" s="1"/>
        <tr r="Z726" s="1"/>
      </tp>
      <tp t="s">
        <v>#N/A Requesting Data...3871980924</v>
        <stp/>
        <stp>BDP|195551952883738263</stp>
        <tr r="Y1136" s="1"/>
        <tr r="Y1136" s="1"/>
      </tp>
      <tp t="s">
        <v>#N/A Requesting Data...1260281595</v>
        <stp/>
        <stp>BDP|310232655854730258</stp>
        <tr r="Z827" s="1"/>
        <tr r="Z827" s="1"/>
      </tp>
      <tp t="s">
        <v>#N/A Requesting Data...3932951427</v>
        <stp/>
        <stp>BDP|934108138034597737</stp>
        <tr r="AC571" s="1"/>
        <tr r="AC571" s="1"/>
      </tp>
      <tp t="s">
        <v>#N/A Requesting Data...1021881595</v>
        <stp/>
        <stp>BDP|352132921756883484</stp>
        <tr r="AB1194" s="1"/>
        <tr r="AB1194" s="1"/>
      </tp>
      <tp t="s">
        <v>#N/A Requesting Data...2890619756</v>
        <stp/>
        <stp>BDP|493152471712072516</stp>
        <tr r="AC1526" s="1"/>
        <tr r="AC1526" s="1"/>
      </tp>
      <tp t="s">
        <v>#N/A Requesting Data...4109990060</v>
        <stp/>
        <stp>BDP|906550014390884538</stp>
        <tr r="AA801" s="1"/>
        <tr r="AA801" s="1"/>
      </tp>
      <tp t="s">
        <v>#N/A Requesting Data...2778607298</v>
        <stp/>
        <stp>BDP|673240611686115416</stp>
        <tr r="AB367" s="1"/>
        <tr r="AB367" s="1"/>
      </tp>
      <tp t="s">
        <v>#N/A Requesting Data...2188734782</v>
        <stp/>
        <stp>BDP|921705827692240708</stp>
        <tr r="Y156" s="1"/>
        <tr r="Y156" s="1"/>
      </tp>
      <tp t="s">
        <v>#N/A Requesting Data...3851803635</v>
        <stp/>
        <stp>BDP|925554436013499503</stp>
        <tr r="AA181" s="1"/>
        <tr r="AA181" s="1"/>
      </tp>
      <tp t="s">
        <v>#N/A Requesting Data...2234509096</v>
        <stp/>
        <stp>BDP|858865922489315374</stp>
        <tr r="AB445" s="1"/>
      </tp>
      <tp t="s">
        <v>#N/A Requesting Data...3358262578</v>
        <stp/>
        <stp>BDP|801756590297066941</stp>
        <tr r="AA223" s="1"/>
        <tr r="AA223" s="1"/>
      </tp>
      <tp t="s">
        <v>#N/A Requesting Data...1137383096</v>
        <stp/>
        <stp>BDP|217537066056970543</stp>
        <tr r="AB1052" s="1"/>
        <tr r="AB1052" s="1"/>
      </tp>
      <tp t="s">
        <v>#N/A Requesting Data...2449330372</v>
        <stp/>
        <stp>BDP|606221698653652804</stp>
        <tr r="Z280" s="1"/>
        <tr r="Z280" s="1"/>
      </tp>
      <tp t="s">
        <v>#N/A Requesting Data...2153941459</v>
        <stp/>
        <stp>BDP|811824147455717905</stp>
        <tr r="AC30" s="1"/>
        <tr r="AC30" s="1"/>
      </tp>
      <tp t="s">
        <v>#N/A Requesting Data...1316010263</v>
        <stp/>
        <stp>BDP|195100530790968233</stp>
        <tr r="Y1441" s="1"/>
        <tr r="Y1441" s="1"/>
      </tp>
      <tp t="s">
        <v>#N/A Requesting Data...1634550326</v>
        <stp/>
        <stp>BDP|241059654853925612</stp>
        <tr r="AC365" s="1"/>
        <tr r="AC365" s="1"/>
      </tp>
      <tp t="s">
        <v>#N/A Requesting Data...1306948680</v>
        <stp/>
        <stp>BDP|321590845604963521</stp>
        <tr r="Z197" s="1"/>
        <tr r="Z197" s="1"/>
      </tp>
      <tp t="s">
        <v>#N/A Requesting Data...4210707796</v>
        <stp/>
        <stp>BDP|823562339796072037</stp>
        <tr r="AC1589" s="1"/>
      </tp>
      <tp t="s">
        <v>#N/A Requesting Data...1074077742</v>
        <stp/>
        <stp>BDP|240737531776464213</stp>
        <tr r="AA1122" s="1"/>
        <tr r="AA1122" s="1"/>
      </tp>
      <tp t="s">
        <v>#N/A Requesting Data...3713320047</v>
        <stp/>
        <stp>BDP|384558705925441028</stp>
        <tr r="AA764" s="1"/>
        <tr r="AA764" s="1"/>
      </tp>
      <tp t="s">
        <v>#N/A Requesting Data...2763126790</v>
        <stp/>
        <stp>BDP|152912061016123967</stp>
        <tr r="AA851" s="1"/>
        <tr r="AA851" s="1"/>
      </tp>
      <tp t="s">
        <v>#N/A Requesting Data...2603535630</v>
        <stp/>
        <stp>BDP|375433196448127514</stp>
        <tr r="AC1501" s="1"/>
        <tr r="AC1501" s="1"/>
      </tp>
      <tp t="s">
        <v>#N/A Requesting Data...3543572755</v>
        <stp/>
        <stp>BDP|607210991028492351</stp>
        <tr r="AB143" s="1"/>
        <tr r="AB143" s="1"/>
      </tp>
      <tp t="s">
        <v>#N/A Requesting Data...710118748</v>
        <stp/>
        <stp>BDP|694592113080201495</stp>
        <tr r="Y1120" s="1"/>
        <tr r="Y1120" s="1"/>
      </tp>
      <tp t="s">
        <v>#N/A Requesting Data...1101532568</v>
        <stp/>
        <stp>BDP|567163968933224491</stp>
        <tr r="AB382" s="1"/>
        <tr r="AB382" s="1"/>
      </tp>
      <tp t="s">
        <v>#N/A Requesting Data...3166393218</v>
        <stp/>
        <stp>BDP|605837294841176004</stp>
        <tr r="AB218" s="1"/>
        <tr r="AB218" s="1"/>
      </tp>
      <tp t="s">
        <v>#N/A Requesting Data...2446513023</v>
        <stp/>
        <stp>BDP|249947764467589878</stp>
        <tr r="Y1488" s="1"/>
        <tr r="Y1488" s="1"/>
      </tp>
      <tp t="s">
        <v>#N/A Requesting Data...1320100040</v>
        <stp/>
        <stp>BDP|116242916010468366</stp>
        <tr r="AA1269" s="1"/>
        <tr r="AA1269" s="1"/>
      </tp>
      <tp t="s">
        <v>#N/A Requesting Data...3956360785</v>
        <stp/>
        <stp>BDP|783639716163635457</stp>
        <tr r="AB1174" s="1"/>
      </tp>
      <tp t="s">
        <v>#N/A Requesting Data...3781006666</v>
        <stp/>
        <stp>BDP|409847391998375906</stp>
        <tr r="AC455" s="1"/>
        <tr r="AC455" s="1"/>
      </tp>
      <tp t="s">
        <v>#N/A Requesting Data...3599979762</v>
        <stp/>
        <stp>BDP|220379116633036104</stp>
        <tr r="AC915" s="1"/>
        <tr r="AC915" s="1"/>
      </tp>
      <tp t="s">
        <v>#N/A Requesting Data...4005847361</v>
        <stp/>
        <stp>BDP|609883984735059599</stp>
        <tr r="AA120" s="1"/>
        <tr r="AA120" s="1"/>
      </tp>
      <tp t="s">
        <v>#N/A Requesting Data...3957021037</v>
        <stp/>
        <stp>BDP|500923505358852195</stp>
        <tr r="Y1445" s="1"/>
        <tr r="Y1445" s="1"/>
      </tp>
      <tp t="s">
        <v>#N/A Requesting Data...1433701235</v>
        <stp/>
        <stp>BDP|743988564329360542</stp>
        <tr r="AA1231" s="1"/>
        <tr r="AA1231" s="1"/>
      </tp>
      <tp t="s">
        <v>#N/A Requesting Data...4092921381</v>
        <stp/>
        <stp>BDP|327361227457883570</stp>
        <tr r="AA286" s="1"/>
        <tr r="AA286" s="1"/>
      </tp>
      <tp t="s">
        <v>#N/A Requesting Data...2128285624</v>
        <stp/>
        <stp>BDP|375031579656674214</stp>
        <tr r="AC997" s="1"/>
        <tr r="AC997" s="1"/>
      </tp>
      <tp t="s">
        <v>#N/A Requesting Data...3582182403</v>
        <stp/>
        <stp>BDP|564195870523230605</stp>
        <tr r="AB1051" s="1"/>
        <tr r="AB1051" s="1"/>
      </tp>
      <tp t="s">
        <v>#N/A Requesting Data...1881742561</v>
        <stp/>
        <stp>BDP|229359643273463780</stp>
        <tr r="AA118" s="1"/>
        <tr r="AA118" s="1"/>
      </tp>
      <tp t="s">
        <v>#N/A Requesting Data...771911504</v>
        <stp/>
        <stp>BDP|984975416938911397</stp>
        <tr r="AA122" s="1"/>
        <tr r="AA122" s="1"/>
      </tp>
      <tp t="s">
        <v>#N/A Requesting Data...2937055273</v>
        <stp/>
        <stp>BDP|926873205743449875</stp>
        <tr r="AC1258" s="1"/>
        <tr r="AC1258" s="1"/>
      </tp>
      <tp t="s">
        <v>#N/A Requesting Data...1293490100</v>
        <stp/>
        <stp>BDP|859569660112501216</stp>
        <tr r="Z448" s="1"/>
        <tr r="Z448" s="1"/>
      </tp>
      <tp t="s">
        <v>#N/A Requesting Data...1427500030</v>
        <stp/>
        <stp>BDP|471121999498752327</stp>
        <tr r="Z1154" s="1"/>
        <tr r="Z1154" s="1"/>
      </tp>
      <tp t="s">
        <v>#N/A Requesting Data...3965764997</v>
        <stp/>
        <stp>BDP|123331679236483141</stp>
        <tr r="Y567" s="1"/>
        <tr r="Y567" s="1"/>
      </tp>
      <tp t="s">
        <v>#N/A Requesting Data...4036443717</v>
        <stp/>
        <stp>BDP|985418722514493151</stp>
        <tr r="Z996" s="1"/>
        <tr r="Z996" s="1"/>
      </tp>
      <tp t="s">
        <v>#N/A Requesting Data...3693581221</v>
        <stp/>
        <stp>BDP|499355441765064147</stp>
        <tr r="AA183" s="1"/>
        <tr r="AA183" s="1"/>
      </tp>
      <tp t="s">
        <v>#N/A Requesting Data...985166625</v>
        <stp/>
        <stp>BDP|701923071115887882</stp>
        <tr r="AC931" s="1"/>
        <tr r="AC931" s="1"/>
      </tp>
      <tp t="s">
        <v>#N/A Requesting Data...2742881249</v>
        <stp/>
        <stp>BDP|902499930661382577</stp>
        <tr r="AC293" s="1"/>
        <tr r="AC293" s="1"/>
      </tp>
      <tp t="s">
        <v>#N/A Requesting Data...3177270975</v>
        <stp/>
        <stp>BDP|626318371141197627</stp>
        <tr r="Y1289" s="1"/>
        <tr r="Y1289" s="1"/>
      </tp>
      <tp t="s">
        <v>#N/A Requesting Data...2671381491</v>
        <stp/>
        <stp>BDP|230145942093074539</stp>
        <tr r="AC487" s="1"/>
        <tr r="AC487" s="1"/>
      </tp>
      <tp t="s">
        <v>#N/A Requesting Data...1736427506</v>
        <stp/>
        <stp>BDP|902046299643663959</stp>
        <tr r="AC491" s="1"/>
        <tr r="AC491" s="1"/>
      </tp>
      <tp t="s">
        <v>#N/A Requesting Data...1065741896</v>
        <stp/>
        <stp>BDP|951201454774277086</stp>
        <tr r="Z1185" s="1"/>
        <tr r="Z1185" s="1"/>
      </tp>
      <tp t="s">
        <v>#N/A Requesting Data...3181486729</v>
        <stp/>
        <stp>BDP|610069637880342033</stp>
        <tr r="AB1381" s="1"/>
        <tr r="AB1381" s="1"/>
      </tp>
      <tp t="s">
        <v>#N/A Requesting Data...3040090261</v>
        <stp/>
        <stp>BDP|319729175435722627</stp>
        <tr r="AA665" s="1"/>
        <tr r="AA665" s="1"/>
      </tp>
      <tp t="s">
        <v>#N/A Requesting Data...1111435047</v>
        <stp/>
        <stp>BDP|589880891137415597</stp>
        <tr r="AA237" s="1"/>
        <tr r="AA237" s="1"/>
      </tp>
      <tp t="s">
        <v>#N/A Requesting Data...1985815993</v>
        <stp/>
        <stp>BDP|718647362956068528</stp>
        <tr r="AC796" s="1"/>
        <tr r="AC796" s="1"/>
      </tp>
      <tp t="s">
        <v>#N/A Requesting Data...1804771610</v>
        <stp/>
        <stp>BDP|454511046551201327</stp>
        <tr r="AA519" s="1"/>
        <tr r="AA519" s="1"/>
      </tp>
      <tp t="s">
        <v>#N/A Requesting Data...3962249390</v>
        <stp/>
        <stp>BDP|888255311988598952</stp>
        <tr r="AC1233" s="1"/>
        <tr r="AC1233" s="1"/>
      </tp>
      <tp t="s">
        <v>#N/A Requesting Data...3870510912</v>
        <stp/>
        <stp>BDP|698990844158473729</stp>
        <tr r="AA1535" s="1"/>
        <tr r="AA1535" s="1"/>
      </tp>
      <tp t="s">
        <v>#N/A Requesting Data...2342823337</v>
        <stp/>
        <stp>BDP|124298775220676768</stp>
        <tr r="Y300" s="1"/>
      </tp>
      <tp t="s">
        <v>#N/A Requesting Data...3526022448</v>
        <stp/>
        <stp>BDP|985142407432661130</stp>
        <tr r="Y1526" s="1"/>
        <tr r="Y1526" s="1"/>
      </tp>
      <tp t="s">
        <v>#N/A Requesting Data...876629058</v>
        <stp/>
        <stp>BDP|940420727775577162</stp>
        <tr r="Y161" s="1"/>
        <tr r="Y161" s="1"/>
      </tp>
      <tp t="s">
        <v>#N/A Requesting Data...1791265636</v>
        <stp/>
        <stp>BDP|531007740791832724</stp>
        <tr r="Z797" s="1"/>
        <tr r="Z797" s="1"/>
      </tp>
      <tp t="s">
        <v>#N/A Requesting Data...3559977663</v>
        <stp/>
        <stp>BDP|663187040566140179</stp>
        <tr r="AA1097" s="1"/>
        <tr r="AA1097" s="1"/>
      </tp>
      <tp t="s">
        <v>#N/A Requesting Data...2254174012</v>
        <stp/>
        <stp>BDP|800356230705231769</stp>
        <tr r="AB1346" s="1"/>
        <tr r="AB1346" s="1"/>
      </tp>
      <tp t="s">
        <v>#N/A Requesting Data...4093851374</v>
        <stp/>
        <stp>BDP|625156043421956608</stp>
        <tr r="AB1417" s="1"/>
        <tr r="AB1417" s="1"/>
      </tp>
      <tp t="s">
        <v>#N/A Requesting Data...4159073568</v>
        <stp/>
        <stp>BDP|497552048132413148</stp>
        <tr r="Z1110" s="1"/>
        <tr r="Z1110" s="1"/>
      </tp>
      <tp t="s">
        <v>#N/A Requesting Data...3092806911</v>
        <stp/>
        <stp>BDP|995440613021374673</stp>
        <tr r="AA1599" s="1"/>
        <tr r="AA1599" s="1"/>
      </tp>
      <tp t="s">
        <v>#N/A Requesting Data...3831468942</v>
        <stp/>
        <stp>BDP|441396884438301107</stp>
        <tr r="Y1517" s="1"/>
        <tr r="Y1517" s="1"/>
      </tp>
      <tp t="s">
        <v>#N/A Requesting Data...1570327412</v>
        <stp/>
        <stp>BDP|961042689258426243</stp>
        <tr r="AB910" s="1"/>
        <tr r="AB910" s="1"/>
      </tp>
      <tp t="s">
        <v>#N/A Requesting Data...1613798147</v>
        <stp/>
        <stp>BDP|460227405633357364</stp>
        <tr r="Z539" s="1"/>
        <tr r="Z539" s="1"/>
      </tp>
      <tp t="s">
        <v>#N/A Requesting Data...4164761884</v>
        <stp/>
        <stp>BDP|531279822813580129</stp>
        <tr r="AA1390" s="1"/>
        <tr r="AA1390" s="1"/>
      </tp>
      <tp t="s">
        <v>#N/A Requesting Data...3180882473</v>
        <stp/>
        <stp>BDP|603213405471497160</stp>
        <tr r="Y526" s="1"/>
        <tr r="Y526" s="1"/>
      </tp>
      <tp t="s">
        <v>#N/A Requesting Data...3558809153</v>
        <stp/>
        <stp>BDP|721635452608452928</stp>
        <tr r="AB1549" s="1"/>
        <tr r="AB1549" s="1"/>
      </tp>
      <tp t="s">
        <v>#N/A Requesting Data...2278130291</v>
        <stp/>
        <stp>BDP|653810220129038165</stp>
        <tr r="AC898" s="1"/>
        <tr r="AC898" s="1"/>
      </tp>
      <tp t="s">
        <v>#N/A Requesting Data...2876247031</v>
        <stp/>
        <stp>BDP|601894270245978875</stp>
        <tr r="AC319" s="1"/>
        <tr r="AC319" s="1"/>
      </tp>
      <tp t="s">
        <v>#N/A Requesting Data...2035132528</v>
        <stp/>
        <stp>BDP|749858767739562521</stp>
        <tr r="AB1514" s="1"/>
        <tr r="AB1514" s="1"/>
      </tp>
      <tp t="s">
        <v>#N/A Requesting Data...2352102344</v>
        <stp/>
        <stp>BDP|408553800395675256</stp>
        <tr r="AA247" s="1"/>
        <tr r="AA247" s="1"/>
      </tp>
      <tp t="s">
        <v>#N/A Requesting Data...1118003539</v>
        <stp/>
        <stp>BDP|531978997671461320</stp>
        <tr r="Y1193" s="1"/>
        <tr r="Y1193" s="1"/>
      </tp>
      <tp t="s">
        <v>#N/A Requesting Data...1872842750</v>
        <stp/>
        <stp>BDP|294724360861651252</stp>
        <tr r="Y614" s="1"/>
      </tp>
      <tp t="s">
        <v>#N/A Requesting Data...4243781211</v>
        <stp/>
        <stp>BDP|495744753239510695</stp>
        <tr r="AB866" s="1"/>
        <tr r="AB866" s="1"/>
      </tp>
      <tp t="s">
        <v>#N/A Requesting Data...3576704515</v>
        <stp/>
        <stp>BDP|198910807745890105</stp>
        <tr r="AA541" s="1"/>
        <tr r="AA541" s="1"/>
      </tp>
      <tp t="s">
        <v>#N/A Requesting Data...3552135619</v>
        <stp/>
        <stp>BDP|969732582862223059</stp>
        <tr r="AC623" s="1"/>
        <tr r="AC623" s="1"/>
      </tp>
      <tp t="s">
        <v>#N/A Requesting Data...1958143849</v>
        <stp/>
        <stp>BDP|959833515195078178</stp>
        <tr r="AB23" s="1"/>
        <tr r="AB23" s="1"/>
      </tp>
      <tp t="s">
        <v>#N/A Requesting Data...3624005592</v>
        <stp/>
        <stp>BDP|594301802229742786</stp>
        <tr r="AB832" s="1"/>
        <tr r="AB832" s="1"/>
      </tp>
      <tp t="s">
        <v>#N/A Requesting Data...1400611116</v>
        <stp/>
        <stp>BDP|836498855438942449</stp>
        <tr r="AA276" s="1"/>
        <tr r="AA276" s="1"/>
      </tp>
      <tp t="s">
        <v>#N/A Requesting Data...3366933465</v>
        <stp/>
        <stp>BDP|305494085762441327</stp>
        <tr r="AA1476" s="1"/>
        <tr r="AA1476" s="1"/>
      </tp>
      <tp t="s">
        <v>#N/A Requesting Data...1923113584</v>
        <stp/>
        <stp>BDP|128617229339096008</stp>
        <tr r="Y266" s="1"/>
        <tr r="Y266" s="1"/>
      </tp>
      <tp t="s">
        <v>#N/A Requesting Data...2117755444</v>
        <stp/>
        <stp>BDP|403937938266365169</stp>
        <tr r="Y715" s="1"/>
        <tr r="Y715" s="1"/>
      </tp>
      <tp t="s">
        <v>#N/A Requesting Data...2933916532</v>
        <stp/>
        <stp>BDP|318721074659718484</stp>
        <tr r="Z1231" s="1"/>
        <tr r="Z1231" s="1"/>
      </tp>
      <tp t="s">
        <v>#N/A Requesting Data...1127912426</v>
        <stp/>
        <stp>BDP|637013932108696680</stp>
        <tr r="AA171" s="1"/>
        <tr r="AA171" s="1"/>
      </tp>
      <tp t="s">
        <v>#N/A Requesting Data...1708207603</v>
        <stp/>
        <stp>BDP|668626194506804437</stp>
        <tr r="AA1021" s="1"/>
        <tr r="AA1021" s="1"/>
      </tp>
      <tp t="s">
        <v>#N/A Requesting Data...1126287899</v>
        <stp/>
        <stp>BDP|618995802622448620</stp>
        <tr r="Z352" s="1"/>
        <tr r="Z352" s="1"/>
      </tp>
      <tp t="s">
        <v>#N/A Requesting Data...2757587920</v>
        <stp/>
        <stp>BDP|781672193786693417</stp>
        <tr r="Z748" s="1"/>
        <tr r="Z748" s="1"/>
      </tp>
      <tp t="s">
        <v>#N/A Requesting Data...2003343231</v>
        <stp/>
        <stp>BDP|623014284816744309</stp>
        <tr r="AA1620" s="1"/>
        <tr r="AA1620" s="1"/>
      </tp>
      <tp t="s">
        <v>#N/A Requesting Data...3831420950</v>
        <stp/>
        <stp>BDP|303466485561330071</stp>
        <tr r="AC596" s="1"/>
        <tr r="AC596" s="1"/>
      </tp>
      <tp t="s">
        <v>#N/A Requesting Data...3273688260</v>
        <stp/>
        <stp>BDP|533459281559781808</stp>
        <tr r="AA598" s="1"/>
        <tr r="AA598" s="1"/>
      </tp>
      <tp t="s">
        <v>#N/A Requesting Data...2402952959</v>
        <stp/>
        <stp>BDP|303193739666024958</stp>
        <tr r="Y62" s="1"/>
        <tr r="Y62" s="1"/>
      </tp>
      <tp t="s">
        <v>#N/A Requesting Data...3754069687</v>
        <stp/>
        <stp>BDP|476325283840401676</stp>
        <tr r="AA971" s="1"/>
        <tr r="AA971" s="1"/>
      </tp>
      <tp t="s">
        <v>#N/A Requesting Data...1463994167</v>
        <stp/>
        <stp>BDP|839039597355801133</stp>
        <tr r="AA909" s="1"/>
        <tr r="AA909" s="1"/>
      </tp>
      <tp t="s">
        <v>#N/A Requesting Data...1530759172</v>
        <stp/>
        <stp>BDP|758152804424110874</stp>
        <tr r="AB340" s="1"/>
        <tr r="AB340" s="1"/>
      </tp>
      <tp t="s">
        <v>#N/A Requesting Data...2905910013</v>
        <stp/>
        <stp>BDP|549667791213734149</stp>
        <tr r="Z1337" s="1"/>
        <tr r="Z1337" s="1"/>
      </tp>
      <tp t="s">
        <v>#N/A Requesting Data...3845894079</v>
        <stp/>
        <stp>BDP|951265989855124269</stp>
        <tr r="AB819" s="1"/>
      </tp>
      <tp t="s">
        <v>#N/A Requesting Data...797254835</v>
        <stp/>
        <stp>BDP|584218327815304826</stp>
        <tr r="Z1082" s="1"/>
      </tp>
      <tp t="s">
        <v>#N/A Requesting Data...1857237888</v>
        <stp/>
        <stp>BDP|548044884580045569</stp>
        <tr r="AA4" s="1"/>
        <tr r="AA4" s="1"/>
      </tp>
      <tp t="s">
        <v>#N/A Requesting Data...4121637812</v>
        <stp/>
        <stp>BDP|190433789172114240</stp>
        <tr r="AB1081" s="1"/>
        <tr r="AB1081" s="1"/>
      </tp>
      <tp t="s">
        <v>#N/A Requesting Data...2422619710</v>
        <stp/>
        <stp>BDP|857246912929369627</stp>
        <tr r="AB1267" s="1"/>
        <tr r="AB1267" s="1"/>
      </tp>
      <tp t="s">
        <v>#N/A Requesting Data...2100671270</v>
        <stp/>
        <stp>BDP|578909804356751391</stp>
        <tr r="AB1205" s="1"/>
        <tr r="AB1205" s="1"/>
      </tp>
      <tp t="s">
        <v>#N/A Requesting Data...816903740</v>
        <stp/>
        <stp>BDP|515757155718456693</stp>
        <tr r="AA1017" s="1"/>
        <tr r="AA1017" s="1"/>
      </tp>
      <tp t="s">
        <v>#N/A Requesting Data...2715789027</v>
        <stp/>
        <stp>BDP|905084749019660149</stp>
        <tr r="Z1438" s="1"/>
        <tr r="Z1438" s="1"/>
      </tp>
      <tp t="s">
        <v>#N/A Requesting Data...2192922364</v>
        <stp/>
        <stp>BDP|926480951865301889</stp>
        <tr r="Y1053" s="1"/>
        <tr r="Y1053" s="1"/>
      </tp>
      <tp t="s">
        <v>#N/A Requesting Data...3837061416</v>
        <stp/>
        <stp>BDP|538773599341443341</stp>
        <tr r="Y943" s="1"/>
        <tr r="Y943" s="1"/>
      </tp>
      <tp t="s">
        <v>#N/A Requesting Data...2172396177</v>
        <stp/>
        <stp>BDP|705833230997092008</stp>
        <tr r="AC1229" s="1"/>
        <tr r="AC1229" s="1"/>
      </tp>
      <tp t="s">
        <v>#N/A Requesting Data...2629017309</v>
        <stp/>
        <stp>BDP|773910515120473434</stp>
        <tr r="AC1113" s="1"/>
        <tr r="AC1113" s="1"/>
      </tp>
      <tp t="s">
        <v>#N/A Requesting Data...941485985</v>
        <stp/>
        <stp>BDP|880873199474325907</stp>
        <tr r="Z1006" s="1"/>
        <tr r="Z1006" s="1"/>
      </tp>
      <tp t="s">
        <v>#N/A Requesting Data...2866307418</v>
        <stp/>
        <stp>BDP|552068315555312837</stp>
        <tr r="Z659" s="1"/>
        <tr r="Z659" s="1"/>
      </tp>
      <tp t="s">
        <v>#N/A Requesting Data...916267817</v>
        <stp/>
        <stp>BDP|683202732839347417</stp>
        <tr r="AB916" s="1"/>
        <tr r="AB916" s="1"/>
      </tp>
      <tp t="s">
        <v>#N/A Requesting Data...3021474356</v>
        <stp/>
        <stp>BDP|558557717709371125</stp>
        <tr r="AC126" s="1"/>
        <tr r="AC126" s="1"/>
      </tp>
      <tp t="s">
        <v>#N/A Requesting Data...1600937130</v>
        <stp/>
        <stp>BDP|294732281497729419</stp>
        <tr r="Z843" s="1"/>
        <tr r="Z843" s="1"/>
      </tp>
      <tp t="s">
        <v>#N/A Requesting Data...2556911887</v>
        <stp/>
        <stp>BDP|184658489816465495</stp>
        <tr r="AC9" s="1"/>
        <tr r="AC9" s="1"/>
      </tp>
      <tp t="s">
        <v>#N/A Requesting Data...3637082924</v>
        <stp/>
        <stp>BDP|329464461297483901</stp>
        <tr r="AB58" s="1"/>
        <tr r="AB58" s="1"/>
      </tp>
      <tp t="s">
        <v>#N/A Requesting Data...1996146134</v>
        <stp/>
        <stp>BDP|553953945269024850</stp>
        <tr r="Y495" s="1"/>
        <tr r="Y495" s="1"/>
      </tp>
      <tp t="s">
        <v>#N/A Requesting Data...1403838973</v>
        <stp/>
        <stp>BDP|180507129898882312</stp>
        <tr r="Z1471" s="1"/>
        <tr r="Z1471" s="1"/>
      </tp>
      <tp t="s">
        <v>#N/A Requesting Data...3482888441</v>
        <stp/>
        <stp>BDP|770589310828993054</stp>
        <tr r="AB388" s="1"/>
        <tr r="AB388" s="1"/>
      </tp>
      <tp t="s">
        <v>#N/A Requesting Data...993990045</v>
        <stp/>
        <stp>BDP|830184214514475837</stp>
        <tr r="Y332" s="1"/>
        <tr r="Y332" s="1"/>
      </tp>
      <tp t="s">
        <v>#N/A Requesting Data...2795081000</v>
        <stp/>
        <stp>BDP|280499215572085823</stp>
        <tr r="AC635" s="1"/>
        <tr r="AC635" s="1"/>
      </tp>
      <tp t="s">
        <v>#N/A Requesting Data...3958805156</v>
        <stp/>
        <stp>BDP|687793497694481502</stp>
        <tr r="AA1235" s="1"/>
        <tr r="AA1235" s="1"/>
      </tp>
      <tp t="s">
        <v>#N/A Requesting Data...2968368224</v>
        <stp/>
        <stp>BDP|656585490211022236</stp>
        <tr r="Y195" s="1"/>
        <tr r="Y195" s="1"/>
      </tp>
      <tp t="s">
        <v>#N/A Requesting Data...3785776889</v>
        <stp/>
        <stp>BDP|552337166712854860</stp>
        <tr r="AC1041" s="1"/>
        <tr r="AC1041" s="1"/>
      </tp>
      <tp t="s">
        <v>#N/A Requesting Data...3764568505</v>
        <stp/>
        <stp>BDP|197715389499481937</stp>
        <tr r="AC687" s="1"/>
        <tr r="AC687" s="1"/>
      </tp>
      <tp t="s">
        <v>#N/A Requesting Data...2808812169</v>
        <stp/>
        <stp>BDP|107122849499537378</stp>
        <tr r="AA45" s="1"/>
        <tr r="AA45" s="1"/>
      </tp>
      <tp t="s">
        <v>#N/A Requesting Data...4086643399</v>
        <stp/>
        <stp>BDP|957801597898713619</stp>
        <tr r="AA767" s="1"/>
        <tr r="AA767" s="1"/>
      </tp>
      <tp t="s">
        <v>#N/A Requesting Data...2682544451</v>
        <stp/>
        <stp>BDP|512014765531252897</stp>
        <tr r="AB1616" s="1"/>
        <tr r="AB1616" s="1"/>
      </tp>
      <tp t="s">
        <v>#N/A Requesting Data...3877813441</v>
        <stp/>
        <stp>BDP|387909562022843231</stp>
        <tr r="Z684" s="1"/>
        <tr r="Z684" s="1"/>
      </tp>
      <tp t="s">
        <v>#N/A Requesting Data...1430550325</v>
        <stp/>
        <stp>BDP|530050292545130391</stp>
        <tr r="AB565" s="1"/>
        <tr r="AB565" s="1"/>
      </tp>
      <tp t="s">
        <v>#N/A Requesting Data...3504881295</v>
        <stp/>
        <stp>BDP|364958899389791635</stp>
        <tr r="AC1227" s="1"/>
        <tr r="AC1227" s="1"/>
      </tp>
      <tp t="s">
        <v>#N/A Requesting Data...4026279105</v>
        <stp/>
        <stp>BDP|898822835937994323</stp>
        <tr r="AC1071" s="1"/>
        <tr r="AC1071" s="1"/>
      </tp>
      <tp t="s">
        <v>#N/A Requesting Data...2184330414</v>
        <stp/>
        <stp>BDP|701823945305605638</stp>
        <tr r="Z224" s="1"/>
        <tr r="Z224" s="1"/>
      </tp>
      <tp t="s">
        <v>#N/A Requesting Data...779739276</v>
        <stp/>
        <stp>BDP|611832134834236067</stp>
        <tr r="AB325" s="1"/>
        <tr r="AB325" s="1"/>
      </tp>
      <tp t="s">
        <v>#N/A Requesting Data...2974369825</v>
        <stp/>
        <stp>BDP|729548096707084432</stp>
        <tr r="AC430" s="1"/>
        <tr r="AC430" s="1"/>
      </tp>
      <tp t="s">
        <v>#N/A Requesting Data...3452653223</v>
        <stp/>
        <stp>BDP|446134487413280549</stp>
        <tr r="Y1329" s="1"/>
        <tr r="Y1329" s="1"/>
      </tp>
      <tp t="s">
        <v>#N/A Requesting Data...957660873</v>
        <stp/>
        <stp>BDP|456352127938039614</stp>
        <tr r="AB957" s="1"/>
        <tr r="AB957" s="1"/>
      </tp>
      <tp t="s">
        <v>#N/A Requesting Data...1884723745</v>
        <stp/>
        <stp>BDP|600544387220152249</stp>
        <tr r="Z249" s="1"/>
        <tr r="Z249" s="1"/>
      </tp>
      <tp t="s">
        <v>#N/A Requesting Data...2182269772</v>
        <stp/>
        <stp>BDP|707519986460762267</stp>
        <tr r="AC127" s="1"/>
        <tr r="AC127" s="1"/>
      </tp>
      <tp t="s">
        <v>#N/A Requesting Data...1180492273</v>
        <stp/>
        <stp>BDP|217714021638500256</stp>
        <tr r="AC1485" s="1"/>
        <tr r="AC1485" s="1"/>
      </tp>
      <tp t="s">
        <v>#N/A Requesting Data...1015674714</v>
        <stp/>
        <stp>BDP|891825704347519082</stp>
        <tr r="Z306" s="1"/>
        <tr r="Z306" s="1"/>
      </tp>
      <tp t="s">
        <v>#N/A Requesting Data...1423354471</v>
        <stp/>
        <stp>BDP|129123986990167672</stp>
        <tr r="AC506" s="1"/>
        <tr r="AC506" s="1"/>
      </tp>
      <tp t="s">
        <v>#N/A Requesting Data...1193575420</v>
        <stp/>
        <stp>BDP|600228177332210829</stp>
        <tr r="AA1218" s="1"/>
        <tr r="AA1218" s="1"/>
      </tp>
      <tp t="s">
        <v>#N/A Requesting Data...3525825616</v>
        <stp/>
        <stp>BDP|884391489703341670</stp>
        <tr r="AB1309" s="1"/>
        <tr r="AB1309" s="1"/>
      </tp>
      <tp t="s">
        <v>#N/A Requesting Data...4089765748</v>
        <stp/>
        <stp>BDP|391776985556825742</stp>
        <tr r="Y1006" s="1"/>
        <tr r="Y1006" s="1"/>
      </tp>
      <tp t="s">
        <v>#N/A Requesting Data...937885069</v>
        <stp/>
        <stp>BDP|693955379181375146</stp>
        <tr r="AA1569" s="1"/>
        <tr r="AA1569" s="1"/>
      </tp>
      <tp t="s">
        <v>#N/A Requesting Data...1743809061</v>
        <stp/>
        <stp>BDP|231219141229597198</stp>
        <tr r="Z168" s="1"/>
        <tr r="Z168" s="1"/>
      </tp>
      <tp t="s">
        <v>#N/A Requesting Data...4193376617</v>
        <stp/>
        <stp>BDP|519757289175604419</stp>
        <tr r="AC1378" s="1"/>
        <tr r="AC1378" s="1"/>
      </tp>
      <tp t="s">
        <v>#N/A Requesting Data...858445760</v>
        <stp/>
        <stp>BDP|722333709538047530</stp>
        <tr r="AB758" s="1"/>
        <tr r="AB758" s="1"/>
      </tp>
      <tp t="s">
        <v>#N/A Requesting Data...2316996313</v>
        <stp/>
        <stp>BDP|180195203216155951</stp>
        <tr r="AB607" s="1"/>
        <tr r="AB607" s="1"/>
      </tp>
      <tp t="s">
        <v>#N/A Requesting Data...3488611713</v>
        <stp/>
        <stp>BDP|791791643898675533</stp>
        <tr r="AB1133" s="1"/>
        <tr r="AB1133" s="1"/>
      </tp>
      <tp t="s">
        <v>#N/A Requesting Data...2843744163</v>
        <stp/>
        <stp>BDP|778450129348848088</stp>
        <tr r="AC446" s="1"/>
        <tr r="AC446" s="1"/>
      </tp>
      <tp t="s">
        <v>#N/A Requesting Data...2902858567</v>
        <stp/>
        <stp>BDP|630065422264629802</stp>
        <tr r="Y647" s="1"/>
        <tr r="Y647" s="1"/>
      </tp>
      <tp t="s">
        <v>#N/A Requesting Data...2393712004</v>
        <stp/>
        <stp>BDP|956384494947544349</stp>
        <tr r="Y1162" s="1"/>
        <tr r="Y1162" s="1"/>
      </tp>
      <tp t="s">
        <v>#N/A Requesting Data...3475108743</v>
        <stp/>
        <stp>BDP|959626188388020861</stp>
        <tr r="AC1045" s="1"/>
        <tr r="AC1045" s="1"/>
      </tp>
      <tp t="s">
        <v>#N/A Requesting Data...2239570263</v>
        <stp/>
        <stp>BDP|204880208212556417</stp>
        <tr r="Z470" s="1"/>
        <tr r="Z470" s="1"/>
      </tp>
      <tp t="s">
        <v>#N/A Requesting Data...2135408646</v>
        <stp/>
        <stp>BDP|265700825188882387</stp>
        <tr r="AC421" s="1"/>
        <tr r="AC421" s="1"/>
      </tp>
      <tp t="s">
        <v>#N/A Requesting Data...1944944206</v>
        <stp/>
        <stp>BDP|466741615411326912</stp>
        <tr r="Z1134" s="1"/>
        <tr r="Z1134" s="1"/>
      </tp>
      <tp t="s">
        <v>#N/A Requesting Data...1050275499</v>
        <stp/>
        <stp>BDP|641747491208735832</stp>
        <tr r="Z985" s="1"/>
        <tr r="Z985" s="1"/>
      </tp>
      <tp t="s">
        <v>#N/A Requesting Data...3010559141</v>
        <stp/>
        <stp>BDP|703076642743210905</stp>
        <tr r="AC701" s="1"/>
        <tr r="AC701" s="1"/>
      </tp>
      <tp t="s">
        <v>#N/A Requesting Data...4280523173</v>
        <stp/>
        <stp>BDP|881738664507817864</stp>
        <tr r="AC524" s="1"/>
        <tr r="AC524" s="1"/>
      </tp>
      <tp t="s">
        <v>#N/A Requesting Data...3699421328</v>
        <stp/>
        <stp>BDP|832674629039737300</stp>
        <tr r="AB1248" s="1"/>
        <tr r="AB1248" s="1"/>
      </tp>
      <tp t="s">
        <v>#N/A Requesting Data...1982076389</v>
        <stp/>
        <stp>BDP|783210981082707634</stp>
        <tr r="AA333" s="1"/>
      </tp>
      <tp t="s">
        <v>#N/A Requesting Data...2971226586</v>
        <stp/>
        <stp>BDP|174959539342937185</stp>
        <tr r="AA1560" s="1"/>
        <tr r="AA1560" s="1"/>
      </tp>
      <tp t="s">
        <v>#N/A Requesting Data...2376835337</v>
        <stp/>
        <stp>BDP|511910159040274526</stp>
        <tr r="AB462" s="1"/>
        <tr r="AB462" s="1"/>
      </tp>
      <tp t="s">
        <v>#N/A Requesting Data...2459804532</v>
        <stp/>
        <stp>BDP|143834003775984462</stp>
        <tr r="AA1022" s="1"/>
        <tr r="AA1022" s="1"/>
      </tp>
      <tp t="s">
        <v>#N/A Requesting Data...2714506349</v>
        <stp/>
        <stp>BDP|803085069247850892</stp>
        <tr r="Z1489" s="1"/>
        <tr r="Z1489" s="1"/>
      </tp>
      <tp t="s">
        <v>#N/A Requesting Data...2516442759</v>
        <stp/>
        <stp>BDP|852811064193312461</stp>
        <tr r="AB1286" s="1"/>
        <tr r="AB1286" s="1"/>
      </tp>
      <tp t="s">
        <v>#N/A Requesting Data...3109843815</v>
        <stp/>
        <stp>BDP|828600855772417834</stp>
        <tr r="AA672" s="1"/>
        <tr r="AA672" s="1"/>
      </tp>
      <tp t="s">
        <v>#N/A Requesting Data...4060083856</v>
        <stp/>
        <stp>BDP|710300250607883844</stp>
        <tr r="AB1302" s="1"/>
        <tr r="AB1302" s="1"/>
      </tp>
      <tp t="s">
        <v>#N/A Requesting Data...1118674810</v>
        <stp/>
        <stp>BDP|890166160109280779</stp>
        <tr r="AC1480" s="1"/>
      </tp>
      <tp t="s">
        <v>#N/A Requesting Data...2298706554</v>
        <stp/>
        <stp>BDP|313037288111768041</stp>
        <tr r="Y1186" s="1"/>
        <tr r="Y1186" s="1"/>
      </tp>
      <tp t="s">
        <v>#N/A Requesting Data...1606887552</v>
        <stp/>
        <stp>BDP|507387070609143487</stp>
        <tr r="Z1036" s="1"/>
        <tr r="Z1036" s="1"/>
      </tp>
      <tp t="s">
        <v>#N/A Requesting Data...3553861614</v>
        <stp/>
        <stp>BDP|506612889533881400</stp>
        <tr r="AA789" s="1"/>
        <tr r="AA789" s="1"/>
      </tp>
      <tp t="s">
        <v>#N/A Requesting Data...2937992361</v>
        <stp/>
        <stp>BDP|723326787290534219</stp>
        <tr r="Z1307" s="1"/>
        <tr r="Z1307" s="1"/>
      </tp>
      <tp t="s">
        <v>#N/A Requesting Data...3950219183</v>
        <stp/>
        <stp>BDP|518139730288283322</stp>
        <tr r="Y6" s="1"/>
        <tr r="Y6" s="1"/>
      </tp>
      <tp t="s">
        <v>#N/A Requesting Data...4070676906</v>
        <stp/>
        <stp>BDP|665726727675031954</stp>
        <tr r="Z1215" s="1"/>
        <tr r="Z1215" s="1"/>
      </tp>
      <tp t="s">
        <v>#N/A Requesting Data...1621352147</v>
        <stp/>
        <stp>BDP|517814225392691173</stp>
        <tr r="AA1095" s="1"/>
        <tr r="AA1095" s="1"/>
      </tp>
      <tp t="s">
        <v>#N/A Requesting Data...1128145480</v>
        <stp/>
        <stp>BDP|178570262842728830</stp>
        <tr r="AA210" s="1"/>
        <tr r="AA210" s="1"/>
      </tp>
      <tp t="s">
        <v>#N/A Requesting Data...2024352820</v>
        <stp/>
        <stp>BDP|472796812269729684</stp>
        <tr r="Z1429" s="1"/>
        <tr r="Z1429" s="1"/>
      </tp>
      <tp t="s">
        <v>#N/A Requesting Data...1778409779</v>
        <stp/>
        <stp>BDP|738919151073439623</stp>
        <tr r="Z1001" s="1"/>
        <tr r="Z1001" s="1"/>
      </tp>
      <tp t="s">
        <v>#N/A Requesting Data...1378566687</v>
        <stp/>
        <stp>BDP|606202396693508149</stp>
        <tr r="Z590" s="1"/>
        <tr r="Z590" s="1"/>
      </tp>
      <tp t="s">
        <v>#N/A Requesting Data...3690475114</v>
        <stp/>
        <stp>BDP|421812549723543687</stp>
        <tr r="AB528" s="1"/>
        <tr r="AB528" s="1"/>
      </tp>
      <tp t="s">
        <v>#N/A Requesting Data...2848702448</v>
        <stp/>
        <stp>BDP|923826447527636293</stp>
        <tr r="Z282" s="1"/>
        <tr r="Z282" s="1"/>
      </tp>
      <tp t="s">
        <v>#N/A Requesting Data...1515366084</v>
        <stp/>
        <stp>BDP|447539001108582400</stp>
        <tr r="AA1472" s="1"/>
        <tr r="AA1472" s="1"/>
      </tp>
      <tp t="s">
        <v>#N/A Requesting Data...1869115133</v>
        <stp/>
        <stp>BDP|234144249015433874</stp>
        <tr r="Y881" s="1"/>
        <tr r="Y881" s="1"/>
      </tp>
      <tp t="s">
        <v>#N/A Requesting Data...3752399688</v>
        <stp/>
        <stp>BDP|939157436238399274</stp>
        <tr r="Z766" s="1"/>
        <tr r="Z766" s="1"/>
      </tp>
      <tp t="s">
        <v>#N/A Requesting Data...1272765448</v>
        <stp/>
        <stp>BDP|698847572316722197</stp>
        <tr r="AB90" s="1"/>
        <tr r="AB90" s="1"/>
      </tp>
      <tp t="s">
        <v>#N/A Requesting Data...1764201858</v>
        <stp/>
        <stp>BDP|701100082001381081</stp>
        <tr r="AB719" s="1"/>
        <tr r="AB719" s="1"/>
      </tp>
      <tp t="s">
        <v>#N/A Requesting Data...3909877965</v>
        <stp/>
        <stp>BDP|353131755409503583</stp>
        <tr r="Y321" s="1"/>
        <tr r="Y321" s="1"/>
      </tp>
      <tp t="s">
        <v>#N/A Requesting Data...4286030400</v>
        <stp/>
        <stp>BDP|563001699577033647</stp>
        <tr r="Y846" s="1"/>
        <tr r="Y846" s="1"/>
      </tp>
      <tp t="s">
        <v>#N/A Requesting Data...2753857755</v>
        <stp/>
        <stp>BDP|833824704220036060</stp>
        <tr r="Y1091" s="1"/>
        <tr r="Y1091" s="1"/>
      </tp>
      <tp t="s">
        <v>#N/A Requesting Data...2956897817</v>
        <stp/>
        <stp>BDP|486900469327273079</stp>
        <tr r="AB232" s="1"/>
        <tr r="AB232" s="1"/>
      </tp>
      <tp t="s">
        <v>#N/A Requesting Data...1976360082</v>
        <stp/>
        <stp>BDP|940309416368024263</stp>
        <tr r="Z868" s="1"/>
        <tr r="Z868" s="1"/>
      </tp>
      <tp t="s">
        <v>#N/A Requesting Data...1841443189</v>
        <stp/>
        <stp>BDP|860986478122256408</stp>
        <tr r="AB1044" s="1"/>
        <tr r="AB1044" s="1"/>
      </tp>
      <tp t="s">
        <v>#N/A Requesting Data...2948893271</v>
        <stp/>
        <stp>BDP|302591835758445611</stp>
        <tr r="AA1480" s="1"/>
      </tp>
      <tp t="s">
        <v>#N/A Requesting Data...1584407428</v>
        <stp/>
        <stp>BDP|520694886912488441</stp>
        <tr r="AA1184" s="1"/>
        <tr r="AA1184" s="1"/>
      </tp>
      <tp t="s">
        <v>#N/A Requesting Data...2612574408</v>
        <stp/>
        <stp>BDP|955583396825538192</stp>
        <tr r="Z522" s="1"/>
        <tr r="Z522" s="1"/>
      </tp>
      <tp t="s">
        <v>#N/A Requesting Data...2913335185</v>
        <stp/>
        <stp>BDP|235945242097961298</stp>
        <tr r="Y1483" s="1"/>
        <tr r="Y1483" s="1"/>
      </tp>
      <tp t="s">
        <v>#N/A Requesting Data...1694536480</v>
        <stp/>
        <stp>BDP|626038021693340930</stp>
        <tr r="Z1025" s="1"/>
        <tr r="Z1025" s="1"/>
      </tp>
      <tp t="s">
        <v>#N/A Requesting Data...1190126098</v>
        <stp/>
        <stp>BDP|100915013028696812</stp>
        <tr r="Y711" s="1"/>
        <tr r="Y711" s="1"/>
      </tp>
      <tp t="s">
        <v>#N/A Requesting Data...2456152448</v>
        <stp/>
        <stp>BDP|866153088344850596</stp>
        <tr r="AA1294" s="1"/>
        <tr r="AA1294" s="1"/>
      </tp>
      <tp t="s">
        <v>#N/A Requesting Data...3446361928</v>
        <stp/>
        <stp>BDP|265403097916134312</stp>
        <tr r="Y185" s="1"/>
        <tr r="Y185" s="1"/>
      </tp>
      <tp t="s">
        <v>#N/A Requesting Data...3499595036</v>
        <stp/>
        <stp>BDP|716186381831112092</stp>
        <tr r="AA1603" s="1"/>
        <tr r="AA1603" s="1"/>
      </tp>
      <tp t="s">
        <v>#N/A Requesting Data...4058423398</v>
        <stp/>
        <stp>BDP|963489596192697772</stp>
        <tr r="Y481" s="1"/>
        <tr r="Y481" s="1"/>
      </tp>
      <tp t="s">
        <v>#N/A Requesting Data...1853540355</v>
        <stp/>
        <stp>BDP|480972263456456140</stp>
        <tr r="AA610" s="1"/>
        <tr r="AA610" s="1"/>
      </tp>
      <tp t="s">
        <v>#N/A Requesting Data...3574943730</v>
        <stp/>
        <stp>BDP|111268714702231916</stp>
        <tr r="AB706" s="1"/>
        <tr r="AB706" s="1"/>
      </tp>
      <tp t="s">
        <v>#N/A Requesting Data...2354888353</v>
        <stp/>
        <stp>BDP|206891174376660193</stp>
        <tr r="AC1107" s="1"/>
        <tr r="AC1107" s="1"/>
      </tp>
      <tp t="s">
        <v>#N/A Requesting Data...1285729735</v>
        <stp/>
        <stp>BDP|411435297057309223</stp>
        <tr r="AC1325" s="1"/>
        <tr r="AC1325" s="1"/>
      </tp>
      <tp t="s">
        <v>#N/A Requesting Data...3392377200</v>
        <stp/>
        <stp>BDP|527374298664162698</stp>
        <tr r="Z1329" s="1"/>
        <tr r="Z1329" s="1"/>
      </tp>
      <tp t="s">
        <v>#N/A Requesting Data...1987688910</v>
        <stp/>
        <stp>BDP|924807250953955627</stp>
        <tr r="AA749" s="1"/>
        <tr r="AA749" s="1"/>
      </tp>
      <tp t="s">
        <v>#N/A Requesting Data...3261108557</v>
        <stp/>
        <stp>BDP|516247362005788962</stp>
        <tr r="AB1171" s="1"/>
        <tr r="AB1171" s="1"/>
      </tp>
      <tp t="s">
        <v>#N/A Requesting Data...4180579010</v>
        <stp/>
        <stp>BDP|812840644814990030</stp>
        <tr r="Y548" s="1"/>
        <tr r="Y548" s="1"/>
      </tp>
      <tp t="s">
        <v>#N/A Requesting Data...3029493722</v>
        <stp/>
        <stp>BDP|148562335776524852</stp>
        <tr r="AC534" s="1"/>
        <tr r="AC534" s="1"/>
      </tp>
      <tp t="s">
        <v>#N/A Requesting Data...2613064053</v>
        <stp/>
        <stp>BDP|948035283097323785</stp>
        <tr r="AA1025" s="1"/>
        <tr r="AA1025" s="1"/>
      </tp>
      <tp t="s">
        <v>#N/A Requesting Data...1573800961</v>
        <stp/>
        <stp>BDP|580399244054752833</stp>
        <tr r="Z669" s="1"/>
        <tr r="Z669" s="1"/>
      </tp>
      <tp t="s">
        <v>#N/A Requesting Data...2374240395</v>
        <stp/>
        <stp>BDP|528808199518205238</stp>
        <tr r="AB1271" s="1"/>
        <tr r="AB1271" s="1"/>
      </tp>
      <tp t="s">
        <v>#N/A Requesting Data...2617500937</v>
        <stp/>
        <stp>BDP|913035192346707415</stp>
        <tr r="AB1005" s="1"/>
        <tr r="AB1005" s="1"/>
      </tp>
      <tp t="s">
        <v>#N/A Requesting Data...3732313092</v>
        <stp/>
        <stp>BDP|304799731037630824</stp>
        <tr r="Z76" s="1"/>
        <tr r="Z76" s="1"/>
      </tp>
      <tp t="s">
        <v>#N/A Requesting Data...1274390492</v>
        <stp/>
        <stp>BDP|870004143449005644</stp>
        <tr r="Z32" s="1"/>
        <tr r="Z32" s="1"/>
      </tp>
      <tp t="s">
        <v>#N/A Requesting Data...1907125646</v>
        <stp/>
        <stp>BDP|920931880623727951</stp>
        <tr r="Y1204" s="1"/>
        <tr r="Y1204" s="1"/>
      </tp>
      <tp t="s">
        <v>#N/A Requesting Data...2717924273</v>
        <stp/>
        <stp>BDP|193582083984686258</stp>
        <tr r="Z1606" s="1"/>
        <tr r="Z1606" s="1"/>
      </tp>
      <tp t="s">
        <v>#N/A Requesting Data...4211269753</v>
        <stp/>
        <stp>BDP|591276816080944872</stp>
        <tr r="Z63" s="1"/>
        <tr r="Z63" s="1"/>
      </tp>
      <tp t="s">
        <v>#N/A Requesting Data...1005847388</v>
        <stp/>
        <stp>BDP|551377004689805149</stp>
        <tr r="Y404" s="1"/>
        <tr r="Y404" s="1"/>
      </tp>
      <tp t="s">
        <v>#N/A Requesting Data...2920715730</v>
        <stp/>
        <stp>BDP|665989053786078168</stp>
        <tr r="AC1312" s="1"/>
        <tr r="AC1312" s="1"/>
      </tp>
      <tp t="s">
        <v>#N/A Requesting Data...1066107148</v>
        <stp/>
        <stp>BDP|228112210713647812</stp>
        <tr r="AC1239" s="1"/>
        <tr r="AC1239" s="1"/>
      </tp>
      <tp t="s">
        <v>#N/A Requesting Data...1155108676</v>
        <stp/>
        <stp>BDP|892724216828810513</stp>
        <tr r="Z1037" s="1"/>
        <tr r="Z1037" s="1"/>
      </tp>
      <tp t="s">
        <v>#N/A Requesting Data...3253157945</v>
        <stp/>
        <stp>BDP|191057724631404838</stp>
        <tr r="Y584" s="1"/>
        <tr r="Y584" s="1"/>
      </tp>
      <tp t="s">
        <v>#N/A Requesting Data...1899065352</v>
        <stp/>
        <stp>BDP|648214150838495435</stp>
        <tr r="AB1427" s="1"/>
        <tr r="AB1427" s="1"/>
      </tp>
      <tp t="s">
        <v>#N/A Requesting Data...2084339304</v>
        <stp/>
        <stp>BDP|173113797581501238</stp>
        <tr r="AB1231" s="1"/>
        <tr r="AB1231" s="1"/>
      </tp>
      <tp t="s">
        <v>#N/A Requesting Data...2316759386</v>
        <stp/>
        <stp>BDP|333686704635943845</stp>
        <tr r="Y656" s="1"/>
        <tr r="Y656" s="1"/>
      </tp>
      <tp t="s">
        <v>#N/A Requesting Data...4259078354</v>
        <stp/>
        <stp>BDP|315153493456653514</stp>
        <tr r="Z115" s="1"/>
        <tr r="Z115" s="1"/>
      </tp>
      <tp t="s">
        <v>#N/A Requesting Data...1973611010</v>
        <stp/>
        <stp>BDP|357468687192978587</stp>
        <tr r="AA1372" s="1"/>
        <tr r="AA1372" s="1"/>
      </tp>
      <tp t="s">
        <v>#N/A Requesting Data...4246777830</v>
        <stp/>
        <stp>BDP|130564386254989349</stp>
        <tr r="AA1052" s="1"/>
        <tr r="AA1052" s="1"/>
      </tp>
      <tp t="s">
        <v>#N/A Requesting Data...3989032377</v>
        <stp/>
        <stp>BDP|301535975988970016</stp>
        <tr r="Y1534" s="1"/>
        <tr r="Y1534" s="1"/>
      </tp>
      <tp t="s">
        <v>#N/A Requesting Data...1639777981</v>
        <stp/>
        <stp>BDP|818642567262040863</stp>
        <tr r="Z363" s="1"/>
        <tr r="Z363" s="1"/>
      </tp>
      <tp t="s">
        <v>#N/A Requesting Data...3211337839</v>
        <stp/>
        <stp>BDP|318236099687412638</stp>
        <tr r="AC100" s="1"/>
        <tr r="AC100" s="1"/>
      </tp>
      <tp t="s">
        <v>#N/A Requesting Data...4130108241</v>
        <stp/>
        <stp>BDP|814269114050259963</stp>
        <tr r="AC1049" s="1"/>
        <tr r="AC1049" s="1"/>
      </tp>
      <tp t="s">
        <v>#N/A Requesting Data...4101453210</v>
        <stp/>
        <stp>BDP|876800855945634252</stp>
        <tr r="Y636" s="1"/>
        <tr r="Y636" s="1"/>
      </tp>
      <tp t="s">
        <v>#N/A Requesting Data...1338133909</v>
        <stp/>
        <stp>BDP|931954673024621076</stp>
        <tr r="Z1525" s="1"/>
      </tp>
      <tp t="s">
        <v>#N/A Requesting Data...2593010221</v>
        <stp/>
        <stp>BDP|524805639617394618</stp>
        <tr r="Y442" s="1"/>
        <tr r="Y442" s="1"/>
      </tp>
      <tp t="s">
        <v>#N/A Requesting Data...1834248942</v>
        <stp/>
        <stp>BDP|767497923779426573</stp>
        <tr r="AC87" s="1"/>
        <tr r="AC87" s="1"/>
      </tp>
      <tp t="s">
        <v>#N/A Requesting Data...2588001472</v>
        <stp/>
        <stp>BDP|695526799502174434</stp>
        <tr r="AC847" s="1"/>
        <tr r="AC847" s="1"/>
      </tp>
      <tp t="s">
        <v>#N/A Requesting Data...2257107168</v>
        <stp/>
        <stp>BDP|303349490286116697</stp>
        <tr r="AC1285" s="1"/>
        <tr r="AC1285" s="1"/>
      </tp>
      <tp t="s">
        <v>#N/A Requesting Data...2149531810</v>
        <stp/>
        <stp>BDP|874651690440403567</stp>
        <tr r="Z433" s="1"/>
        <tr r="Z433" s="1"/>
      </tp>
      <tp t="s">
        <v>#N/A Requesting Data...3740818875</v>
        <stp/>
        <stp>BDP|908143684523135006</stp>
        <tr r="AA565" s="1"/>
        <tr r="AA565" s="1"/>
      </tp>
      <tp t="s">
        <v>#N/A Requesting Data...4121506931</v>
        <stp/>
        <stp>BDP|607578765681754890</stp>
        <tr r="Y1462" s="1"/>
        <tr r="Y1462" s="1"/>
      </tp>
      <tp t="s">
        <v>#N/A Requesting Data...3958904366</v>
        <stp/>
        <stp>BDP|309167975128901438</stp>
        <tr r="AC966" s="1"/>
        <tr r="AC966" s="1"/>
      </tp>
      <tp t="s">
        <v>#N/A Requesting Data...1660694512</v>
        <stp/>
        <stp>BDP|495388226879609264</stp>
        <tr r="AA1403" s="1"/>
        <tr r="AA1403" s="1"/>
      </tp>
      <tp t="s">
        <v>#N/A Requesting Data...3649601523</v>
        <stp/>
        <stp>BDP|385424197074332317</stp>
        <tr r="Y716" s="1"/>
        <tr r="Y716" s="1"/>
      </tp>
      <tp t="s">
        <v>#N/A Requesting Data...2391416832</v>
        <stp/>
        <stp>BDP|569230291028655955</stp>
        <tr r="AC1366" s="1"/>
        <tr r="AC1366" s="1"/>
      </tp>
      <tp t="s">
        <v>#N/A Requesting Data...3729974599</v>
        <stp/>
        <stp>BDP|957699817924079934</stp>
        <tr r="AC960" s="1"/>
        <tr r="AC960" s="1"/>
      </tp>
      <tp t="s">
        <v>#N/A Requesting Data...3256834830</v>
        <stp/>
        <stp>BDP|633592199657337107</stp>
        <tr r="Z548" s="1"/>
        <tr r="Z548" s="1"/>
      </tp>
      <tp t="s">
        <v>#N/A Requesting Data...2804048504</v>
        <stp/>
        <stp>BDP|941276529129084328</stp>
        <tr r="AA1109" s="1"/>
        <tr r="AA1109" s="1"/>
      </tp>
      <tp t="s">
        <v>#N/A Requesting Data...1204713527</v>
        <stp/>
        <stp>BDP|136961430817179739</stp>
        <tr r="AA1493" s="1"/>
        <tr r="AA1493" s="1"/>
      </tp>
      <tp t="s">
        <v>#N/A Requesting Data...2483835953</v>
        <stp/>
        <stp>BDP|585816934597270643</stp>
        <tr r="Z284" s="1"/>
        <tr r="Z284" s="1"/>
      </tp>
      <tp t="s">
        <v>#N/A Requesting Data...2472258956</v>
        <stp/>
        <stp>BDP|192470557639732203</stp>
        <tr r="AB1117" s="1"/>
        <tr r="AB1117" s="1"/>
      </tp>
      <tp t="s">
        <v>#N/A Requesting Data...3057689198</v>
        <stp/>
        <stp>BDP|467183357856858840</stp>
        <tr r="Y922" s="1"/>
        <tr r="Y922" s="1"/>
      </tp>
      <tp t="s">
        <v>#N/A Requesting Data...1294693623</v>
        <stp/>
        <stp>BDP|660717262929458264</stp>
        <tr r="Y708" s="1"/>
        <tr r="Y708" s="1"/>
      </tp>
      <tp t="s">
        <v>#N/A Requesting Data...1333916626</v>
        <stp/>
        <stp>BDP|746610655920063942</stp>
        <tr r="AA1112" s="1"/>
        <tr r="AA1112" s="1"/>
      </tp>
      <tp t="s">
        <v>#N/A Requesting Data...2799705207</v>
        <stp/>
        <stp>BDP|195156072979107501</stp>
        <tr r="AB1306" s="1"/>
        <tr r="AB1306" s="1"/>
      </tp>
      <tp t="s">
        <v>#N/A Requesting Data...3761012963</v>
        <stp/>
        <stp>BDP|386839937752119365</stp>
        <tr r="AC668" s="1"/>
        <tr r="AC668" s="1"/>
      </tp>
      <tp t="s">
        <v>#N/A Requesting Data...2445751323</v>
        <stp/>
        <stp>BDP|947813242585871324</stp>
        <tr r="AC936" s="1"/>
        <tr r="AC936" s="1"/>
      </tp>
      <tp t="s">
        <v>#N/A Requesting Data...3862172591</v>
        <stp/>
        <stp>BDP|559163790251421365</stp>
        <tr r="AA1201" s="1"/>
        <tr r="AA1201" s="1"/>
      </tp>
      <tp t="s">
        <v>#N/A Requesting Data...4130721361</v>
        <stp/>
        <stp>BDP|547629016354075937</stp>
        <tr r="AA1550" s="1"/>
        <tr r="AA1550" s="1"/>
      </tp>
      <tp t="s">
        <v>#N/A Requesting Data...3240518462</v>
        <stp/>
        <stp>BDP|588268937853363858</stp>
        <tr r="AA148" s="1"/>
        <tr r="AA14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volatileDependencies" Target="volatileDependencies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DB047-9438-4AAA-A585-C0FC071FAEE1}">
  <sheetPr codeName="Sheet19"/>
  <dimension ref="A1:AD2001"/>
  <sheetViews>
    <sheetView showGridLines="0" tabSelected="1" zoomScale="91" zoomScaleNormal="91" workbookViewId="0">
      <pane ySplit="3" topLeftCell="A4" activePane="bottomLeft" state="frozen"/>
      <selection pane="bottomLeft" activeCell="B4" sqref="B4"/>
    </sheetView>
  </sheetViews>
  <sheetFormatPr defaultColWidth="9.1796875" defaultRowHeight="14.5" outlineLevelCol="1" x14ac:dyDescent="0.35"/>
  <cols>
    <col min="1" max="1" width="7.81640625" style="1" customWidth="1"/>
    <col min="2" max="2" width="11.81640625" style="3" customWidth="1"/>
    <col min="3" max="3" width="21.1796875" style="2" customWidth="1"/>
    <col min="4" max="4" width="17.7265625" style="2" customWidth="1"/>
    <col min="5" max="5" width="40.54296875" style="2" customWidth="1"/>
    <col min="6" max="6" width="9.26953125" style="2" customWidth="1"/>
    <col min="7" max="7" width="14.81640625" style="3" customWidth="1"/>
    <col min="8" max="9" width="19.26953125" style="4" hidden="1" customWidth="1" outlineLevel="1"/>
    <col min="10" max="10" width="16" style="5" hidden="1" customWidth="1" outlineLevel="1"/>
    <col min="11" max="11" width="14" style="6" hidden="1" customWidth="1" outlineLevel="1"/>
    <col min="12" max="12" width="18.26953125" style="4" hidden="1" customWidth="1" outlineLevel="1"/>
    <col min="13" max="13" width="12.453125" style="5" hidden="1" customWidth="1" outlineLevel="1"/>
    <col min="14" max="14" width="12.453125" style="4" hidden="1" customWidth="1" outlineLevel="1"/>
    <col min="15" max="15" width="14.7265625" style="7" hidden="1" customWidth="1" outlineLevel="1"/>
    <col min="16" max="18" width="14.7265625" style="8" hidden="1" customWidth="1" outlineLevel="1"/>
    <col min="19" max="19" width="20.453125" style="2" hidden="1" customWidth="1" outlineLevel="1" collapsed="1"/>
    <col min="20" max="23" width="19.1796875" style="9" hidden="1" customWidth="1" outlineLevel="1"/>
    <col min="24" max="24" width="6.1796875" customWidth="1" collapsed="1"/>
    <col min="25" max="29" width="20.81640625" style="4" customWidth="1"/>
    <col min="30" max="30" width="20.81640625" style="38" customWidth="1"/>
    <col min="31" max="49" width="9.1796875" style="10"/>
    <col min="50" max="50" width="38.81640625" style="10" bestFit="1" customWidth="1"/>
    <col min="51" max="16384" width="9.1796875" style="10"/>
  </cols>
  <sheetData>
    <row r="1" spans="1:30" x14ac:dyDescent="0.35">
      <c r="B1" s="42">
        <v>45700.706354166665</v>
      </c>
      <c r="E1" s="43" t="s">
        <v>27</v>
      </c>
    </row>
    <row r="3" spans="1:30" x14ac:dyDescent="0.35">
      <c r="A3" s="11">
        <f>MAX(A4:A2001)</f>
        <v>1619</v>
      </c>
      <c r="B3" s="12" t="s">
        <v>1</v>
      </c>
      <c r="C3" s="13" t="s">
        <v>2</v>
      </c>
      <c r="D3" s="13" t="s">
        <v>3</v>
      </c>
      <c r="E3" s="13" t="s">
        <v>4</v>
      </c>
      <c r="F3" s="13" t="s">
        <v>5</v>
      </c>
      <c r="G3" s="12" t="s">
        <v>6</v>
      </c>
      <c r="H3" s="14" t="s">
        <v>7</v>
      </c>
      <c r="I3" s="14" t="s">
        <v>8</v>
      </c>
      <c r="J3" s="15" t="s">
        <v>9</v>
      </c>
      <c r="K3" s="16" t="s">
        <v>10</v>
      </c>
      <c r="L3" s="14" t="s">
        <v>11</v>
      </c>
      <c r="M3" s="15" t="s">
        <v>12</v>
      </c>
      <c r="N3" s="14" t="s">
        <v>13</v>
      </c>
      <c r="O3" s="17" t="s">
        <v>14</v>
      </c>
      <c r="P3" s="18" t="s">
        <v>15</v>
      </c>
      <c r="Q3" s="18" t="s">
        <v>16</v>
      </c>
      <c r="R3" s="18" t="s">
        <v>17</v>
      </c>
      <c r="S3" s="13" t="s">
        <v>28</v>
      </c>
      <c r="T3" s="19" t="s">
        <v>29</v>
      </c>
      <c r="U3" s="19" t="s">
        <v>18</v>
      </c>
      <c r="V3" s="19" t="s">
        <v>30</v>
      </c>
      <c r="W3" s="19" t="s">
        <v>19</v>
      </c>
      <c r="Y3" s="37" t="s">
        <v>23</v>
      </c>
      <c r="Z3" s="37" t="s">
        <v>20</v>
      </c>
      <c r="AA3" s="37" t="s">
        <v>22</v>
      </c>
      <c r="AB3" s="37" t="s">
        <v>21</v>
      </c>
      <c r="AC3" s="37" t="s">
        <v>24</v>
      </c>
      <c r="AD3" s="39" t="s">
        <v>25</v>
      </c>
    </row>
    <row r="4" spans="1:30" x14ac:dyDescent="0.35">
      <c r="A4" s="1">
        <f>IF(DropSpot="","",0+ 1)</f>
        <v>1</v>
      </c>
      <c r="B4" s="20">
        <v>45700</v>
      </c>
      <c r="C4" s="21" t="s">
        <v>31</v>
      </c>
      <c r="D4" s="21" t="s">
        <v>31</v>
      </c>
      <c r="E4" s="21" t="s">
        <v>32</v>
      </c>
      <c r="F4" s="21" t="s">
        <v>33</v>
      </c>
      <c r="G4" s="22" t="s">
        <v>34</v>
      </c>
      <c r="H4" s="23">
        <v>1452653376</v>
      </c>
      <c r="I4" s="23"/>
      <c r="J4" s="24">
        <v>12</v>
      </c>
      <c r="K4" s="25">
        <v>45700</v>
      </c>
      <c r="L4" s="23">
        <v>25662600</v>
      </c>
      <c r="M4" s="24">
        <v>3.88</v>
      </c>
      <c r="N4" s="23" t="s">
        <v>35</v>
      </c>
      <c r="O4" s="25">
        <v>45699</v>
      </c>
      <c r="P4" s="26">
        <v>2143394.5</v>
      </c>
      <c r="Q4" s="26">
        <v>2065510.875</v>
      </c>
      <c r="R4" s="26">
        <v>1936845.125</v>
      </c>
      <c r="S4" s="21"/>
      <c r="T4" s="25"/>
      <c r="U4" s="27" t="b">
        <v>0</v>
      </c>
      <c r="V4" s="27" t="b">
        <v>0</v>
      </c>
      <c r="W4" s="27" t="b">
        <v>1</v>
      </c>
      <c r="Y4" s="23" cm="1">
        <f t="array" ref="Y4">IF(LEFT(_xll.BDP($C4, VOLUME_AVG_10D), 4) = "#N/A", "",  _xll.BDP($C4, VOLUME_AVG_10D))</f>
        <v>2760263.5</v>
      </c>
      <c r="Z4" s="23" cm="1">
        <f t="array" ref="Z4">IF(LEFT(_xll.BDP($C4, VOLUME_AVG_30D), 4) = "#N/A", "",  _xll.BDP($C4, VOLUME_AVG_30D))</f>
        <v>2143394.5</v>
      </c>
      <c r="AA4" s="23" cm="1">
        <f t="array" ref="AA4">IF(LEFT(_xll.BDP($C4, VOLUME_AVG_3M), 4) = "#N/A", "",  _xll.BDP($C4, VOLUME_AVG_3M))</f>
        <v>2065510.875</v>
      </c>
      <c r="AB4" s="23" cm="1">
        <f t="array" ref="AB4">IF(LEFT(_xll.BDP($C4, VOLUME_AVG_6M), 4) = "#N/A", "",  _xll.BDP($C4, VOLUME_AVG_6M))</f>
        <v>1936845.125</v>
      </c>
      <c r="AC4" s="23" cm="1">
        <f t="array" ref="AC4">IF(LEFT(_xll.BDP($C4, VOLUME_AVG_12M), 4) = "#N/A", "",  _xll.BDP($C4, VOLUME_AVG_12M))</f>
        <v>1824810.75</v>
      </c>
      <c r="AD4" s="40" cm="1">
        <f t="array" ref="AD4">IF(LEFT(_xll.BDP($C4, LAST_PRICE), 4) = "#N/A", "",  _xll.BDP($C4, LAST_PRICE))</f>
        <v>12</v>
      </c>
    </row>
    <row r="5" spans="1:30" x14ac:dyDescent="0.35">
      <c r="A5" s="1">
        <f>IF(B5="","", A4+1)</f>
        <v>2</v>
      </c>
      <c r="B5" s="28">
        <v>45700</v>
      </c>
      <c r="C5" s="29" t="s">
        <v>36</v>
      </c>
      <c r="D5" s="29" t="s">
        <v>36</v>
      </c>
      <c r="E5" s="29" t="s">
        <v>37</v>
      </c>
      <c r="F5" s="29" t="s">
        <v>33</v>
      </c>
      <c r="G5" s="30" t="s">
        <v>34</v>
      </c>
      <c r="H5" s="31">
        <v>4557172.1304825498</v>
      </c>
      <c r="I5" s="31">
        <v>4835395.1304825498</v>
      </c>
      <c r="J5" s="32">
        <v>1.3500000238418599</v>
      </c>
      <c r="K5" s="33">
        <v>45700</v>
      </c>
      <c r="L5" s="31">
        <v>372000</v>
      </c>
      <c r="M5" s="32">
        <v>-87.75</v>
      </c>
      <c r="N5" s="31" t="s">
        <v>35</v>
      </c>
      <c r="O5" s="33">
        <v>45699</v>
      </c>
      <c r="P5" s="34">
        <v>215794.796875</v>
      </c>
      <c r="Q5" s="34">
        <v>435535.65625</v>
      </c>
      <c r="R5" s="34">
        <v>1220058.875</v>
      </c>
      <c r="S5" s="29"/>
      <c r="T5" s="33"/>
      <c r="U5" s="35" t="b">
        <v>1</v>
      </c>
      <c r="V5" s="35" t="b">
        <v>0</v>
      </c>
      <c r="W5" s="35" t="b">
        <v>0</v>
      </c>
      <c r="Y5" s="31" cm="1">
        <f t="array" ref="Y5">IF(LEFT(_xll.BDP($C5, VOLUME_AVG_10D), 4) = "#N/A", "",  _xll.BDP($C5, VOLUME_AVG_10D))</f>
        <v>71243.1015625</v>
      </c>
      <c r="Z5" s="31" cm="1">
        <f t="array" ref="Z5">IF(LEFT(_xll.BDP($C5, VOLUME_AVG_30D), 4) = "#N/A", "",  _xll.BDP($C5, VOLUME_AVG_30D))</f>
        <v>215794.796875</v>
      </c>
      <c r="AA5" s="31" cm="1">
        <f t="array" ref="AA5">IF(LEFT(_xll.BDP($C5, VOLUME_AVG_3M), 4) = "#N/A", "",  _xll.BDP($C5, VOLUME_AVG_3M))</f>
        <v>435535.65625</v>
      </c>
      <c r="AB5" s="31" cm="1">
        <f t="array" ref="AB5">IF(LEFT(_xll.BDP($C5, VOLUME_AVG_6M), 4) = "#N/A", "",  _xll.BDP($C5, VOLUME_AVG_6M))</f>
        <v>1220058.875</v>
      </c>
      <c r="AC5" s="31" cm="1">
        <f t="array" ref="AC5">IF(LEFT(_xll.BDP($C5, VOLUME_AVG_12M), 4) = "#N/A", "",  _xll.BDP($C5, VOLUME_AVG_12M))</f>
        <v>803659.6875</v>
      </c>
      <c r="AD5" s="41" cm="1">
        <f t="array" ref="AD5">IF(LEFT(_xll.BDP($C5, LAST_PRICE), 4) = "#N/A", "",  _xll.BDP($C5, LAST_PRICE))</f>
        <v>1.35</v>
      </c>
    </row>
    <row r="6" spans="1:30" x14ac:dyDescent="0.35">
      <c r="A6" s="1">
        <f t="shared" ref="A6:A69" si="0">IF(B6="","", A5+1)</f>
        <v>3</v>
      </c>
      <c r="B6" s="28">
        <v>45700</v>
      </c>
      <c r="C6" s="29" t="s">
        <v>38</v>
      </c>
      <c r="D6" s="29" t="s">
        <v>38</v>
      </c>
      <c r="E6" s="29" t="s">
        <v>39</v>
      </c>
      <c r="F6" s="29" t="s">
        <v>40</v>
      </c>
      <c r="G6" s="30" t="s">
        <v>41</v>
      </c>
      <c r="H6" s="31">
        <v>2452358.2850000001</v>
      </c>
      <c r="I6" s="31">
        <v>17425296.285</v>
      </c>
      <c r="J6" s="32">
        <v>5.0000000000000001E-3</v>
      </c>
      <c r="K6" s="33">
        <v>45700</v>
      </c>
      <c r="L6" s="31"/>
      <c r="M6" s="32"/>
      <c r="N6" s="31"/>
      <c r="O6" s="33">
        <v>45699</v>
      </c>
      <c r="P6" s="34">
        <v>103582.6</v>
      </c>
      <c r="Q6" s="34">
        <v>194800.8</v>
      </c>
      <c r="R6" s="34">
        <v>232832.6</v>
      </c>
      <c r="S6" s="29"/>
      <c r="T6" s="33"/>
      <c r="U6" s="35" t="b">
        <v>1</v>
      </c>
      <c r="V6" s="35" t="b">
        <v>1</v>
      </c>
      <c r="W6" s="35" t="b">
        <v>0</v>
      </c>
      <c r="Y6" s="31" cm="1">
        <f t="array" ref="Y6">IF(LEFT(_xll.BDP($C6, VOLUME_AVG_10D), 4) = "#N/A", "",  _xll.BDP($C6, VOLUME_AVG_10D))</f>
        <v>0</v>
      </c>
      <c r="Z6" s="31" cm="1">
        <f t="array" ref="Z6">IF(LEFT(_xll.BDP($C6, VOLUME_AVG_30D), 4) = "#N/A", "",  _xll.BDP($C6, VOLUME_AVG_30D))</f>
        <v>103582.6</v>
      </c>
      <c r="AA6" s="31" cm="1">
        <f t="array" ref="AA6">IF(LEFT(_xll.BDP($C6, VOLUME_AVG_3M), 4) = "#N/A", "",  _xll.BDP($C6, VOLUME_AVG_3M))</f>
        <v>194800.8</v>
      </c>
      <c r="AB6" s="31" cm="1">
        <f t="array" ref="AB6">IF(LEFT(_xll.BDP($C6, VOLUME_AVG_6M), 4) = "#N/A", "",  _xll.BDP($C6, VOLUME_AVG_6M))</f>
        <v>232832.6</v>
      </c>
      <c r="AC6" s="31" cm="1">
        <f t="array" ref="AC6">IF(LEFT(_xll.BDP($C6, VOLUME_AVG_12M), 4) = "#N/A", "",  _xll.BDP($C6, VOLUME_AVG_12M))</f>
        <v>285968.8</v>
      </c>
      <c r="AD6" s="41" cm="1">
        <f t="array" ref="AD6">IF(LEFT(_xll.BDP($C6, LAST_PRICE), 4) = "#N/A", "",  _xll.BDP($C6, LAST_PRICE))</f>
        <v>5.0000000000000001E-3</v>
      </c>
    </row>
    <row r="7" spans="1:30" x14ac:dyDescent="0.35">
      <c r="A7" s="1">
        <f t="shared" si="0"/>
        <v>4</v>
      </c>
      <c r="B7" s="28">
        <v>45700</v>
      </c>
      <c r="C7" s="29" t="s">
        <v>42</v>
      </c>
      <c r="D7" s="29" t="s">
        <v>42</v>
      </c>
      <c r="E7" s="29" t="s">
        <v>43</v>
      </c>
      <c r="F7" s="29" t="s">
        <v>40</v>
      </c>
      <c r="G7" s="30" t="s">
        <v>41</v>
      </c>
      <c r="H7" s="31">
        <v>29434233.75</v>
      </c>
      <c r="I7" s="31">
        <v>31722478.75</v>
      </c>
      <c r="J7" s="32">
        <v>0.25</v>
      </c>
      <c r="K7" s="33">
        <v>45700</v>
      </c>
      <c r="L7" s="31"/>
      <c r="M7" s="32"/>
      <c r="N7" s="31"/>
      <c r="O7" s="33">
        <v>45699</v>
      </c>
      <c r="P7" s="34">
        <v>1215.933</v>
      </c>
      <c r="Q7" s="34">
        <v>775.25</v>
      </c>
      <c r="R7" s="34">
        <v>1768.8979999999999</v>
      </c>
      <c r="S7" s="29"/>
      <c r="T7" s="33"/>
      <c r="U7" s="35" t="b">
        <v>0</v>
      </c>
      <c r="V7" s="35" t="b">
        <v>0</v>
      </c>
      <c r="W7" s="35" t="b">
        <v>0</v>
      </c>
      <c r="Y7" s="31" cm="1">
        <f t="array" ref="Y7">IF(LEFT(_xll.BDP($C7, VOLUME_AVG_10D), 4) = "#N/A", "",  _xll.BDP($C7, VOLUME_AVG_10D))</f>
        <v>66.5</v>
      </c>
      <c r="Z7" s="31" cm="1">
        <f t="array" ref="Z7">IF(LEFT(_xll.BDP($C7, VOLUME_AVG_30D), 4) = "#N/A", "",  _xll.BDP($C7, VOLUME_AVG_30D))</f>
        <v>1215.933</v>
      </c>
      <c r="AA7" s="31" cm="1">
        <f t="array" ref="AA7">IF(LEFT(_xll.BDP($C7, VOLUME_AVG_3M), 4) = "#N/A", "",  _xll.BDP($C7, VOLUME_AVG_3M))</f>
        <v>775.25</v>
      </c>
      <c r="AB7" s="31" cm="1">
        <f t="array" ref="AB7">IF(LEFT(_xll.BDP($C7, VOLUME_AVG_6M), 4) = "#N/A", "",  _xll.BDP($C7, VOLUME_AVG_6M))</f>
        <v>1768.8979999999999</v>
      </c>
      <c r="AC7" s="31" cm="1">
        <f t="array" ref="AC7">IF(LEFT(_xll.BDP($C7, VOLUME_AVG_12M), 4) = "#N/A", "",  _xll.BDP($C7, VOLUME_AVG_12M))</f>
        <v>2895.337</v>
      </c>
      <c r="AD7" s="41" cm="1">
        <f t="array" ref="AD7">IF(LEFT(_xll.BDP($C7, LAST_PRICE), 4) = "#N/A", "",  _xll.BDP($C7, LAST_PRICE))</f>
        <v>0.25</v>
      </c>
    </row>
    <row r="8" spans="1:30" x14ac:dyDescent="0.35">
      <c r="A8" s="1">
        <f t="shared" si="0"/>
        <v>5</v>
      </c>
      <c r="B8" s="28">
        <v>45700</v>
      </c>
      <c r="C8" s="29" t="s">
        <v>44</v>
      </c>
      <c r="D8" s="29" t="s">
        <v>44</v>
      </c>
      <c r="E8" s="29" t="s">
        <v>45</v>
      </c>
      <c r="F8" s="29" t="s">
        <v>33</v>
      </c>
      <c r="G8" s="30" t="s">
        <v>34</v>
      </c>
      <c r="H8" s="31">
        <v>123296329.211841</v>
      </c>
      <c r="I8" s="31">
        <v>158164329.21184099</v>
      </c>
      <c r="J8" s="32">
        <v>2.3900001049041699</v>
      </c>
      <c r="K8" s="33">
        <v>45700</v>
      </c>
      <c r="L8" s="31">
        <v>9936000</v>
      </c>
      <c r="M8" s="32">
        <v>3.75</v>
      </c>
      <c r="N8" s="31" t="s">
        <v>35</v>
      </c>
      <c r="O8" s="33">
        <v>45699</v>
      </c>
      <c r="P8" s="34">
        <v>364107.15625</v>
      </c>
      <c r="Q8" s="34">
        <v>327618.0625</v>
      </c>
      <c r="R8" s="34">
        <v>318345.8125</v>
      </c>
      <c r="S8" s="29" t="s">
        <v>46</v>
      </c>
      <c r="T8" s="33">
        <v>45489</v>
      </c>
      <c r="U8" s="35" t="b">
        <v>0</v>
      </c>
      <c r="V8" s="35" t="b">
        <v>0</v>
      </c>
      <c r="W8" s="35" t="b">
        <v>0</v>
      </c>
      <c r="Y8" s="31" cm="1">
        <f t="array" ref="Y8">IF(LEFT(_xll.BDP($C8, VOLUME_AVG_10D), 4) = "#N/A", "",  _xll.BDP($C8, VOLUME_AVG_10D))</f>
        <v>303928.59375</v>
      </c>
      <c r="Z8" s="31" cm="1">
        <f t="array" ref="Z8">IF(LEFT(_xll.BDP($C8, VOLUME_AVG_30D), 4) = "#N/A", "",  _xll.BDP($C8, VOLUME_AVG_30D))</f>
        <v>364107.15625</v>
      </c>
      <c r="AA8" s="31" cm="1">
        <f t="array" ref="AA8">IF(LEFT(_xll.BDP($C8, VOLUME_AVG_3M), 4) = "#N/A", "",  _xll.BDP($C8, VOLUME_AVG_3M))</f>
        <v>327618.0625</v>
      </c>
      <c r="AB8" s="31" cm="1">
        <f t="array" ref="AB8">IF(LEFT(_xll.BDP($C8, VOLUME_AVG_6M), 4) = "#N/A", "",  _xll.BDP($C8, VOLUME_AVG_6M))</f>
        <v>318345.8125</v>
      </c>
      <c r="AC8" s="31" cm="1">
        <f t="array" ref="AC8">IF(LEFT(_xll.BDP($C8, VOLUME_AVG_12M), 4) = "#N/A", "",  _xll.BDP($C8, VOLUME_AVG_12M))</f>
        <v>554012.5</v>
      </c>
      <c r="AD8" s="41" cm="1">
        <f t="array" ref="AD8">IF(LEFT(_xll.BDP($C8, LAST_PRICE), 4) = "#N/A", "",  _xll.BDP($C8, LAST_PRICE))</f>
        <v>2.39</v>
      </c>
    </row>
    <row r="9" spans="1:30" x14ac:dyDescent="0.35">
      <c r="A9" s="1">
        <f t="shared" si="0"/>
        <v>6</v>
      </c>
      <c r="B9" s="28">
        <v>45700</v>
      </c>
      <c r="C9" s="29" t="s">
        <v>47</v>
      </c>
      <c r="D9" s="29" t="s">
        <v>47</v>
      </c>
      <c r="E9" s="29" t="s">
        <v>48</v>
      </c>
      <c r="F9" s="29" t="s">
        <v>33</v>
      </c>
      <c r="G9" s="30" t="s">
        <v>34</v>
      </c>
      <c r="H9" s="31">
        <v>226640901.25073001</v>
      </c>
      <c r="I9" s="31">
        <v>-299196098.74927098</v>
      </c>
      <c r="J9" s="32">
        <v>4.5500001907348597</v>
      </c>
      <c r="K9" s="33">
        <v>45700</v>
      </c>
      <c r="L9" s="31">
        <v>9603800</v>
      </c>
      <c r="M9" s="32">
        <v>3.88</v>
      </c>
      <c r="N9" s="31" t="s">
        <v>35</v>
      </c>
      <c r="O9" s="33">
        <v>45699</v>
      </c>
      <c r="P9" s="34">
        <v>921950.875</v>
      </c>
      <c r="Q9" s="34">
        <v>962389.25</v>
      </c>
      <c r="R9" s="34">
        <v>868981.25</v>
      </c>
      <c r="S9" s="29" t="s">
        <v>49</v>
      </c>
      <c r="T9" s="33">
        <v>45489</v>
      </c>
      <c r="U9" s="35" t="b">
        <v>0</v>
      </c>
      <c r="V9" s="35" t="b">
        <v>0</v>
      </c>
      <c r="W9" s="35" t="b">
        <v>1</v>
      </c>
      <c r="Y9" s="31" cm="1">
        <f t="array" ref="Y9">IF(LEFT(_xll.BDP($C9, VOLUME_AVG_10D), 4) = "#N/A", "",  _xll.BDP($C9, VOLUME_AVG_10D))</f>
        <v>1253951.875</v>
      </c>
      <c r="Z9" s="31" cm="1">
        <f t="array" ref="Z9">IF(LEFT(_xll.BDP($C9, VOLUME_AVG_30D), 4) = "#N/A", "",  _xll.BDP($C9, VOLUME_AVG_30D))</f>
        <v>921950.875</v>
      </c>
      <c r="AA9" s="31" cm="1">
        <f t="array" ref="AA9">IF(LEFT(_xll.BDP($C9, VOLUME_AVG_3M), 4) = "#N/A", "",  _xll.BDP($C9, VOLUME_AVG_3M))</f>
        <v>962389.25</v>
      </c>
      <c r="AB9" s="31" cm="1">
        <f t="array" ref="AB9">IF(LEFT(_xll.BDP($C9, VOLUME_AVG_6M), 4) = "#N/A", "",  _xll.BDP($C9, VOLUME_AVG_6M))</f>
        <v>868981.25</v>
      </c>
      <c r="AC9" s="31" cm="1">
        <f t="array" ref="AC9">IF(LEFT(_xll.BDP($C9, VOLUME_AVG_12M), 4) = "#N/A", "",  _xll.BDP($C9, VOLUME_AVG_12M))</f>
        <v>831064.5625</v>
      </c>
      <c r="AD9" s="41" cm="1">
        <f t="array" ref="AD9">IF(LEFT(_xll.BDP($C9, LAST_PRICE), 4) = "#N/A", "",  _xll.BDP($C9, LAST_PRICE))</f>
        <v>4.55</v>
      </c>
    </row>
    <row r="10" spans="1:30" x14ac:dyDescent="0.35">
      <c r="A10" s="1">
        <f t="shared" si="0"/>
        <v>7</v>
      </c>
      <c r="B10" s="28">
        <v>45700</v>
      </c>
      <c r="C10" s="29" t="s">
        <v>50</v>
      </c>
      <c r="D10" s="29" t="s">
        <v>50</v>
      </c>
      <c r="E10" s="29" t="s">
        <v>51</v>
      </c>
      <c r="F10" s="29" t="s">
        <v>40</v>
      </c>
      <c r="G10" s="30" t="s">
        <v>41</v>
      </c>
      <c r="H10" s="31">
        <v>18278579.859999999</v>
      </c>
      <c r="I10" s="31">
        <v>246450980.16</v>
      </c>
      <c r="J10" s="32">
        <v>0.02</v>
      </c>
      <c r="K10" s="33">
        <v>45700</v>
      </c>
      <c r="L10" s="31"/>
      <c r="M10" s="32"/>
      <c r="N10" s="31"/>
      <c r="O10" s="33">
        <v>45699</v>
      </c>
      <c r="P10" s="34">
        <v>158284.9</v>
      </c>
      <c r="Q10" s="34">
        <v>166624.70000000001</v>
      </c>
      <c r="R10" s="34">
        <v>263477.40000000002</v>
      </c>
      <c r="S10" s="29"/>
      <c r="T10" s="33"/>
      <c r="U10" s="35" t="b">
        <v>1</v>
      </c>
      <c r="V10" s="35" t="b">
        <v>1</v>
      </c>
      <c r="W10" s="35" t="b">
        <v>0</v>
      </c>
      <c r="Y10" s="31" cm="1">
        <f t="array" ref="Y10">IF(LEFT(_xll.BDP($C10, VOLUME_AVG_10D), 4) = "#N/A", "",  _xll.BDP($C10, VOLUME_AVG_10D))</f>
        <v>71624.7</v>
      </c>
      <c r="Z10" s="31" cm="1">
        <f t="array" ref="Z10">IF(LEFT(_xll.BDP($C10, VOLUME_AVG_30D), 4) = "#N/A", "",  _xll.BDP($C10, VOLUME_AVG_30D))</f>
        <v>158284.9</v>
      </c>
      <c r="AA10" s="31" cm="1">
        <f t="array" ref="AA10">IF(LEFT(_xll.BDP($C10, VOLUME_AVG_3M), 4) = "#N/A", "",  _xll.BDP($C10, VOLUME_AVG_3M))</f>
        <v>166624.70000000001</v>
      </c>
      <c r="AB10" s="31" cm="1">
        <f t="array" ref="AB10">IF(LEFT(_xll.BDP($C10, VOLUME_AVG_6M), 4) = "#N/A", "",  _xll.BDP($C10, VOLUME_AVG_6M))</f>
        <v>263477.40000000002</v>
      </c>
      <c r="AC10" s="31" cm="1">
        <f t="array" ref="AC10">IF(LEFT(_xll.BDP($C10, VOLUME_AVG_12M), 4) = "#N/A", "",  _xll.BDP($C10, VOLUME_AVG_12M))</f>
        <v>232939.1</v>
      </c>
      <c r="AD10" s="41" cm="1">
        <f t="array" ref="AD10">IF(LEFT(_xll.BDP($C10, LAST_PRICE), 4) = "#N/A", "",  _xll.BDP($C10, LAST_PRICE))</f>
        <v>0.02</v>
      </c>
    </row>
    <row r="11" spans="1:30" x14ac:dyDescent="0.35">
      <c r="A11" s="1">
        <f t="shared" si="0"/>
        <v>8</v>
      </c>
      <c r="B11" s="28">
        <v>45700</v>
      </c>
      <c r="C11" s="29" t="s">
        <v>52</v>
      </c>
      <c r="D11" s="29" t="s">
        <v>52</v>
      </c>
      <c r="E11" s="29" t="s">
        <v>53</v>
      </c>
      <c r="F11" s="29" t="s">
        <v>33</v>
      </c>
      <c r="G11" s="30" t="s">
        <v>34</v>
      </c>
      <c r="H11" s="31">
        <v>4753819.6386052398</v>
      </c>
      <c r="I11" s="31"/>
      <c r="J11" s="32">
        <v>0.64550000429153398</v>
      </c>
      <c r="K11" s="33">
        <v>45700</v>
      </c>
      <c r="L11" s="31">
        <v>276300</v>
      </c>
      <c r="M11" s="32">
        <v>-132.19999999999999</v>
      </c>
      <c r="N11" s="31" t="s">
        <v>35</v>
      </c>
      <c r="O11" s="33">
        <v>45699</v>
      </c>
      <c r="P11" s="34">
        <v>4338783</v>
      </c>
      <c r="Q11" s="34">
        <v>2368163.5</v>
      </c>
      <c r="R11" s="34">
        <v>1359090.75</v>
      </c>
      <c r="S11" s="29"/>
      <c r="T11" s="33"/>
      <c r="U11" s="35" t="b">
        <v>1</v>
      </c>
      <c r="V11" s="35" t="b">
        <v>0</v>
      </c>
      <c r="W11" s="35" t="b">
        <v>1</v>
      </c>
      <c r="Y11" s="31" cm="1">
        <f t="array" ref="Y11">IF(LEFT(_xll.BDP($C11, VOLUME_AVG_10D), 4) = "#N/A", "",  _xll.BDP($C11, VOLUME_AVG_10D))</f>
        <v>10504325</v>
      </c>
      <c r="Z11" s="31" cm="1">
        <f t="array" ref="Z11">IF(LEFT(_xll.BDP($C11, VOLUME_AVG_30D), 4) = "#N/A", "",  _xll.BDP($C11, VOLUME_AVG_30D))</f>
        <v>4338783</v>
      </c>
      <c r="AA11" s="31" cm="1">
        <f t="array" ref="AA11">IF(LEFT(_xll.BDP($C11, VOLUME_AVG_3M), 4) = "#N/A", "",  _xll.BDP($C11, VOLUME_AVG_3M))</f>
        <v>2368163.5</v>
      </c>
      <c r="AB11" s="31" cm="1">
        <f t="array" ref="AB11">IF(LEFT(_xll.BDP($C11, VOLUME_AVG_6M), 4) = "#N/A", "",  _xll.BDP($C11, VOLUME_AVG_6M))</f>
        <v>1359090.75</v>
      </c>
      <c r="AC11" s="31" cm="1">
        <f t="array" ref="AC11">IF(LEFT(_xll.BDP($C11, VOLUME_AVG_12M), 4) = "#N/A", "",  _xll.BDP($C11, VOLUME_AVG_12M))</f>
        <v>797756.1875</v>
      </c>
      <c r="AD11" s="41" cm="1">
        <f t="array" ref="AD11">IF(LEFT(_xll.BDP($C11, LAST_PRICE), 4) = "#N/A", "",  _xll.BDP($C11, LAST_PRICE))</f>
        <v>0.64549999999999996</v>
      </c>
    </row>
    <row r="12" spans="1:30" x14ac:dyDescent="0.35">
      <c r="A12" s="1">
        <f t="shared" si="0"/>
        <v>9</v>
      </c>
      <c r="B12" s="28">
        <v>45700</v>
      </c>
      <c r="C12" s="29" t="s">
        <v>54</v>
      </c>
      <c r="D12" s="29" t="s">
        <v>54</v>
      </c>
      <c r="E12" s="29" t="s">
        <v>55</v>
      </c>
      <c r="F12" s="29" t="s">
        <v>33</v>
      </c>
      <c r="G12" s="30" t="s">
        <v>34</v>
      </c>
      <c r="H12" s="31">
        <v>1454239145.0315101</v>
      </c>
      <c r="I12" s="31">
        <v>1068033145.03151</v>
      </c>
      <c r="J12" s="32">
        <v>11.0100002288818</v>
      </c>
      <c r="K12" s="33">
        <v>45700</v>
      </c>
      <c r="L12" s="31">
        <v>25604200</v>
      </c>
      <c r="M12" s="32">
        <v>3.88</v>
      </c>
      <c r="N12" s="31" t="s">
        <v>35</v>
      </c>
      <c r="O12" s="33">
        <v>45699</v>
      </c>
      <c r="P12" s="34">
        <v>2876321.25</v>
      </c>
      <c r="Q12" s="34">
        <v>2027580</v>
      </c>
      <c r="R12" s="34">
        <v>1290502</v>
      </c>
      <c r="S12" s="29" t="s">
        <v>56</v>
      </c>
      <c r="T12" s="33">
        <v>45492</v>
      </c>
      <c r="U12" s="35" t="b">
        <v>0</v>
      </c>
      <c r="V12" s="35" t="b">
        <v>0</v>
      </c>
      <c r="W12" s="35" t="b">
        <v>0</v>
      </c>
      <c r="Y12" s="31" cm="1">
        <f t="array" ref="Y12">IF(LEFT(_xll.BDP($C12, VOLUME_AVG_10D), 4) = "#N/A", "",  _xll.BDP($C12, VOLUME_AVG_10D))</f>
        <v>3489463.75</v>
      </c>
      <c r="Z12" s="31" cm="1">
        <f t="array" ref="Z12">IF(LEFT(_xll.BDP($C12, VOLUME_AVG_30D), 4) = "#N/A", "",  _xll.BDP($C12, VOLUME_AVG_30D))</f>
        <v>2876321.25</v>
      </c>
      <c r="AA12" s="31" cm="1">
        <f t="array" ref="AA12">IF(LEFT(_xll.BDP($C12, VOLUME_AVG_3M), 4) = "#N/A", "",  _xll.BDP($C12, VOLUME_AVG_3M))</f>
        <v>2027580</v>
      </c>
      <c r="AB12" s="31" cm="1">
        <f t="array" ref="AB12">IF(LEFT(_xll.BDP($C12, VOLUME_AVG_6M), 4) = "#N/A", "",  _xll.BDP($C12, VOLUME_AVG_6M))</f>
        <v>1290502</v>
      </c>
      <c r="AC12" s="31" cm="1">
        <f t="array" ref="AC12">IF(LEFT(_xll.BDP($C12, VOLUME_AVG_12M), 4) = "#N/A", "",  _xll.BDP($C12, VOLUME_AVG_12M))</f>
        <v>1176454.375</v>
      </c>
      <c r="AD12" s="41" cm="1">
        <f t="array" ref="AD12">IF(LEFT(_xll.BDP($C12, LAST_PRICE), 4) = "#N/A", "",  _xll.BDP($C12, LAST_PRICE))</f>
        <v>11.01</v>
      </c>
    </row>
    <row r="13" spans="1:30" x14ac:dyDescent="0.35">
      <c r="A13" s="1">
        <f t="shared" si="0"/>
        <v>10</v>
      </c>
      <c r="B13" s="28">
        <v>45700</v>
      </c>
      <c r="C13" s="29" t="s">
        <v>57</v>
      </c>
      <c r="D13" s="29" t="s">
        <v>57</v>
      </c>
      <c r="E13" s="29" t="s">
        <v>58</v>
      </c>
      <c r="F13" s="29" t="s">
        <v>33</v>
      </c>
      <c r="G13" s="30" t="s">
        <v>34</v>
      </c>
      <c r="H13" s="31">
        <v>66186803.888673797</v>
      </c>
      <c r="I13" s="31">
        <v>4513803.8886737796</v>
      </c>
      <c r="J13" s="32">
        <v>2.6800000667571999</v>
      </c>
      <c r="K13" s="33">
        <v>45700</v>
      </c>
      <c r="L13" s="31">
        <v>1613900</v>
      </c>
      <c r="M13" s="32">
        <v>3.55</v>
      </c>
      <c r="N13" s="31" t="s">
        <v>35</v>
      </c>
      <c r="O13" s="33">
        <v>45699</v>
      </c>
      <c r="P13" s="34">
        <v>231093.234375</v>
      </c>
      <c r="Q13" s="34">
        <v>364195.9375</v>
      </c>
      <c r="R13" s="34">
        <v>293611.09375</v>
      </c>
      <c r="S13" s="29" t="s">
        <v>46</v>
      </c>
      <c r="T13" s="33">
        <v>45215</v>
      </c>
      <c r="U13" s="35" t="b">
        <v>0</v>
      </c>
      <c r="V13" s="35" t="b">
        <v>0</v>
      </c>
      <c r="W13" s="35" t="b">
        <v>0</v>
      </c>
      <c r="Y13" s="31" cm="1">
        <f t="array" ref="Y13">IF(LEFT(_xll.BDP($C13, VOLUME_AVG_10D), 4) = "#N/A", "",  _xll.BDP($C13, VOLUME_AVG_10D))</f>
        <v>99136.1015625</v>
      </c>
      <c r="Z13" s="31" cm="1">
        <f t="array" ref="Z13">IF(LEFT(_xll.BDP($C13, VOLUME_AVG_30D), 4) = "#N/A", "",  _xll.BDP($C13, VOLUME_AVG_30D))</f>
        <v>231093.234375</v>
      </c>
      <c r="AA13" s="31" cm="1">
        <f t="array" ref="AA13">IF(LEFT(_xll.BDP($C13, VOLUME_AVG_3M), 4) = "#N/A", "",  _xll.BDP($C13, VOLUME_AVG_3M))</f>
        <v>364195.9375</v>
      </c>
      <c r="AB13" s="31" cm="1">
        <f t="array" ref="AB13">IF(LEFT(_xll.BDP($C13, VOLUME_AVG_6M), 4) = "#N/A", "",  _xll.BDP($C13, VOLUME_AVG_6M))</f>
        <v>293611.09375</v>
      </c>
      <c r="AC13" s="31" cm="1">
        <f t="array" ref="AC13">IF(LEFT(_xll.BDP($C13, VOLUME_AVG_12M), 4) = "#N/A", "",  _xll.BDP($C13, VOLUME_AVG_12M))</f>
        <v>284233.71875</v>
      </c>
      <c r="AD13" s="41" cm="1">
        <f t="array" ref="AD13">IF(LEFT(_xll.BDP($C13, LAST_PRICE), 4) = "#N/A", "",  _xll.BDP($C13, LAST_PRICE))</f>
        <v>2.68</v>
      </c>
    </row>
    <row r="14" spans="1:30" x14ac:dyDescent="0.35">
      <c r="A14" s="1">
        <f t="shared" si="0"/>
        <v>11</v>
      </c>
      <c r="B14" s="28">
        <v>45700</v>
      </c>
      <c r="C14" s="29" t="s">
        <v>59</v>
      </c>
      <c r="D14" s="29" t="s">
        <v>59</v>
      </c>
      <c r="E14" s="29" t="s">
        <v>60</v>
      </c>
      <c r="F14" s="29" t="s">
        <v>33</v>
      </c>
      <c r="G14" s="30" t="s">
        <v>34</v>
      </c>
      <c r="H14" s="31">
        <v>226329070272.017</v>
      </c>
      <c r="I14" s="31"/>
      <c r="J14" s="32">
        <v>130.49000549316401</v>
      </c>
      <c r="K14" s="33">
        <v>45700</v>
      </c>
      <c r="L14" s="31">
        <v>524078304</v>
      </c>
      <c r="M14" s="32">
        <v>3.88</v>
      </c>
      <c r="N14" s="31" t="s">
        <v>35</v>
      </c>
      <c r="O14" s="33">
        <v>45699</v>
      </c>
      <c r="P14" s="34">
        <v>6680344.5</v>
      </c>
      <c r="Q14" s="34">
        <v>5806622</v>
      </c>
      <c r="R14" s="34">
        <v>5355368</v>
      </c>
      <c r="S14" s="29"/>
      <c r="T14" s="33"/>
      <c r="U14" s="35" t="b">
        <v>0</v>
      </c>
      <c r="V14" s="35" t="b">
        <v>0</v>
      </c>
      <c r="W14" s="35" t="b">
        <v>1</v>
      </c>
      <c r="Y14" s="31" cm="1">
        <f t="array" ref="Y14">IF(LEFT(_xll.BDP($C14, VOLUME_AVG_10D), 4) = "#N/A", "",  _xll.BDP($C14, VOLUME_AVG_10D))</f>
        <v>6618078.5</v>
      </c>
      <c r="Z14" s="31" cm="1">
        <f t="array" ref="Z14">IF(LEFT(_xll.BDP($C14, VOLUME_AVG_30D), 4) = "#N/A", "",  _xll.BDP($C14, VOLUME_AVG_30D))</f>
        <v>6680344.5</v>
      </c>
      <c r="AA14" s="31" cm="1">
        <f t="array" ref="AA14">IF(LEFT(_xll.BDP($C14, VOLUME_AVG_3M), 4) = "#N/A", "",  _xll.BDP($C14, VOLUME_AVG_3M))</f>
        <v>5806622</v>
      </c>
      <c r="AB14" s="31" cm="1">
        <f t="array" ref="AB14">IF(LEFT(_xll.BDP($C14, VOLUME_AVG_6M), 4) = "#N/A", "",  _xll.BDP($C14, VOLUME_AVG_6M))</f>
        <v>5355368</v>
      </c>
      <c r="AC14" s="31" cm="1">
        <f t="array" ref="AC14">IF(LEFT(_xll.BDP($C14, VOLUME_AVG_12M), 4) = "#N/A", "",  _xll.BDP($C14, VOLUME_AVG_12M))</f>
        <v>5765938</v>
      </c>
      <c r="AD14" s="41" cm="1">
        <f t="array" ref="AD14">IF(LEFT(_xll.BDP($C14, LAST_PRICE), 4) = "#N/A", "",  _xll.BDP($C14, LAST_PRICE))</f>
        <v>130.49</v>
      </c>
    </row>
    <row r="15" spans="1:30" x14ac:dyDescent="0.35">
      <c r="A15" s="1">
        <f t="shared" si="0"/>
        <v>12</v>
      </c>
      <c r="B15" s="28">
        <v>45700</v>
      </c>
      <c r="C15" s="29" t="s">
        <v>61</v>
      </c>
      <c r="D15" s="29" t="s">
        <v>61</v>
      </c>
      <c r="E15" s="29" t="s">
        <v>62</v>
      </c>
      <c r="F15" s="29" t="s">
        <v>33</v>
      </c>
      <c r="G15" s="30" t="s">
        <v>34</v>
      </c>
      <c r="H15" s="31">
        <v>341058082339</v>
      </c>
      <c r="I15" s="31"/>
      <c r="J15" s="32">
        <v>193</v>
      </c>
      <c r="K15" s="33">
        <v>45700</v>
      </c>
      <c r="L15" s="31">
        <v>493453696</v>
      </c>
      <c r="M15" s="32">
        <v>3.88</v>
      </c>
      <c r="N15" s="31" t="s">
        <v>35</v>
      </c>
      <c r="O15" s="33">
        <v>45699</v>
      </c>
      <c r="P15" s="34">
        <v>5785805</v>
      </c>
      <c r="Q15" s="34">
        <v>6629547.5</v>
      </c>
      <c r="R15" s="34">
        <v>5650805</v>
      </c>
      <c r="S15" s="29" t="s">
        <v>63</v>
      </c>
      <c r="T15" s="33">
        <v>45481</v>
      </c>
      <c r="U15" s="35" t="b">
        <v>0</v>
      </c>
      <c r="V15" s="35" t="b">
        <v>0</v>
      </c>
      <c r="W15" s="35" t="b">
        <v>1</v>
      </c>
      <c r="Y15" s="31" cm="1">
        <f t="array" ref="Y15">IF(LEFT(_xll.BDP($C15, VOLUME_AVG_10D), 4) = "#N/A", "",  _xll.BDP($C15, VOLUME_AVG_10D))</f>
        <v>6059894</v>
      </c>
      <c r="Z15" s="31" cm="1">
        <f t="array" ref="Z15">IF(LEFT(_xll.BDP($C15, VOLUME_AVG_30D), 4) = "#N/A", "",  _xll.BDP($C15, VOLUME_AVG_30D))</f>
        <v>5785805</v>
      </c>
      <c r="AA15" s="31" cm="1">
        <f t="array" ref="AA15">IF(LEFT(_xll.BDP($C15, VOLUME_AVG_3M), 4) = "#N/A", "",  _xll.BDP($C15, VOLUME_AVG_3M))</f>
        <v>6629547.5</v>
      </c>
      <c r="AB15" s="31" cm="1">
        <f t="array" ref="AB15">IF(LEFT(_xll.BDP($C15, VOLUME_AVG_6M), 4) = "#N/A", "",  _xll.BDP($C15, VOLUME_AVG_6M))</f>
        <v>5650805</v>
      </c>
      <c r="AC15" s="31" cm="1">
        <f t="array" ref="AC15">IF(LEFT(_xll.BDP($C15, VOLUME_AVG_12M), 4) = "#N/A", "",  _xll.BDP($C15, VOLUME_AVG_12M))</f>
        <v>5622447.5</v>
      </c>
      <c r="AD15" s="41" cm="1">
        <f t="array" ref="AD15">IF(LEFT(_xll.BDP($C15, LAST_PRICE), 4) = "#N/A", "",  _xll.BDP($C15, LAST_PRICE))</f>
        <v>193</v>
      </c>
    </row>
    <row r="16" spans="1:30" x14ac:dyDescent="0.35">
      <c r="A16" s="1">
        <f t="shared" si="0"/>
        <v>13</v>
      </c>
      <c r="B16" s="28">
        <v>45700</v>
      </c>
      <c r="C16" s="29" t="s">
        <v>64</v>
      </c>
      <c r="D16" s="29" t="s">
        <v>64</v>
      </c>
      <c r="E16" s="29" t="s">
        <v>65</v>
      </c>
      <c r="F16" s="29" t="s">
        <v>33</v>
      </c>
      <c r="G16" s="30" t="s">
        <v>34</v>
      </c>
      <c r="H16" s="31">
        <v>915635439.83167601</v>
      </c>
      <c r="I16" s="31">
        <v>340294439.83167601</v>
      </c>
      <c r="J16" s="32">
        <v>3.0999999046325701</v>
      </c>
      <c r="K16" s="33">
        <v>45700</v>
      </c>
      <c r="L16" s="31">
        <v>342800</v>
      </c>
      <c r="M16" s="32">
        <v>3.1</v>
      </c>
      <c r="N16" s="31" t="s">
        <v>35</v>
      </c>
      <c r="O16" s="33">
        <v>45699</v>
      </c>
      <c r="P16" s="34">
        <v>3715768.75</v>
      </c>
      <c r="Q16" s="34">
        <v>3198121.25</v>
      </c>
      <c r="R16" s="34">
        <v>2571210</v>
      </c>
      <c r="S16" s="29"/>
      <c r="T16" s="33"/>
      <c r="U16" s="35" t="b">
        <v>0</v>
      </c>
      <c r="V16" s="35" t="b">
        <v>0</v>
      </c>
      <c r="W16" s="35" t="b">
        <v>0</v>
      </c>
      <c r="Y16" s="31" cm="1">
        <f t="array" ref="Y16">IF(LEFT(_xll.BDP($C16, VOLUME_AVG_10D), 4) = "#N/A", "",  _xll.BDP($C16, VOLUME_AVG_10D))</f>
        <v>3308642.25</v>
      </c>
      <c r="Z16" s="31" cm="1">
        <f t="array" ref="Z16">IF(LEFT(_xll.BDP($C16, VOLUME_AVG_30D), 4) = "#N/A", "",  _xll.BDP($C16, VOLUME_AVG_30D))</f>
        <v>3715768.75</v>
      </c>
      <c r="AA16" s="31" cm="1">
        <f t="array" ref="AA16">IF(LEFT(_xll.BDP($C16, VOLUME_AVG_3M), 4) = "#N/A", "",  _xll.BDP($C16, VOLUME_AVG_3M))</f>
        <v>3198121.25</v>
      </c>
      <c r="AB16" s="31" cm="1">
        <f t="array" ref="AB16">IF(LEFT(_xll.BDP($C16, VOLUME_AVG_6M), 4) = "#N/A", "",  _xll.BDP($C16, VOLUME_AVG_6M))</f>
        <v>2571210</v>
      </c>
      <c r="AC16" s="31" cm="1">
        <f t="array" ref="AC16">IF(LEFT(_xll.BDP($C16, VOLUME_AVG_12M), 4) = "#N/A", "",  _xll.BDP($C16, VOLUME_AVG_12M))</f>
        <v>2055711.375</v>
      </c>
      <c r="AD16" s="41" cm="1">
        <f t="array" ref="AD16">IF(LEFT(_xll.BDP($C16, LAST_PRICE), 4) = "#N/A", "",  _xll.BDP($C16, LAST_PRICE))</f>
        <v>3.1</v>
      </c>
    </row>
    <row r="17" spans="1:30" x14ac:dyDescent="0.35">
      <c r="A17" s="1">
        <f t="shared" si="0"/>
        <v>14</v>
      </c>
      <c r="B17" s="28">
        <v>45700</v>
      </c>
      <c r="C17" s="29" t="s">
        <v>66</v>
      </c>
      <c r="D17" s="29" t="s">
        <v>66</v>
      </c>
      <c r="E17" s="29" t="s">
        <v>67</v>
      </c>
      <c r="F17" s="29" t="s">
        <v>33</v>
      </c>
      <c r="G17" s="30" t="s">
        <v>34</v>
      </c>
      <c r="H17" s="31">
        <v>260826180</v>
      </c>
      <c r="I17" s="31">
        <v>174234180</v>
      </c>
      <c r="J17" s="32">
        <v>6</v>
      </c>
      <c r="K17" s="33">
        <v>45700</v>
      </c>
      <c r="L17" s="31">
        <v>4066900</v>
      </c>
      <c r="M17" s="32">
        <v>3.88</v>
      </c>
      <c r="N17" s="31" t="s">
        <v>35</v>
      </c>
      <c r="O17" s="33">
        <v>45699</v>
      </c>
      <c r="P17" s="34">
        <v>276714.03125</v>
      </c>
      <c r="Q17" s="34">
        <v>277755.53125</v>
      </c>
      <c r="R17" s="34">
        <v>260989.65625</v>
      </c>
      <c r="S17" s="29" t="s">
        <v>68</v>
      </c>
      <c r="T17" s="33">
        <v>45482</v>
      </c>
      <c r="U17" s="35" t="b">
        <v>0</v>
      </c>
      <c r="V17" s="35" t="b">
        <v>0</v>
      </c>
      <c r="W17" s="35" t="b">
        <v>0</v>
      </c>
      <c r="Y17" s="31" cm="1">
        <f t="array" ref="Y17">IF(LEFT(_xll.BDP($C17, VOLUME_AVG_10D), 4) = "#N/A", "",  _xll.BDP($C17, VOLUME_AVG_10D))</f>
        <v>232308.59375</v>
      </c>
      <c r="Z17" s="31" cm="1">
        <f t="array" ref="Z17">IF(LEFT(_xll.BDP($C17, VOLUME_AVG_30D), 4) = "#N/A", "",  _xll.BDP($C17, VOLUME_AVG_30D))</f>
        <v>276714.03125</v>
      </c>
      <c r="AA17" s="31" cm="1">
        <f t="array" ref="AA17">IF(LEFT(_xll.BDP($C17, VOLUME_AVG_3M), 4) = "#N/A", "",  _xll.BDP($C17, VOLUME_AVG_3M))</f>
        <v>277755.53125</v>
      </c>
      <c r="AB17" s="31" cm="1">
        <f t="array" ref="AB17">IF(LEFT(_xll.BDP($C17, VOLUME_AVG_6M), 4) = "#N/A", "",  _xll.BDP($C17, VOLUME_AVG_6M))</f>
        <v>260989.65625</v>
      </c>
      <c r="AC17" s="31" cm="1">
        <f t="array" ref="AC17">IF(LEFT(_xll.BDP($C17, VOLUME_AVG_12M), 4) = "#N/A", "",  _xll.BDP($C17, VOLUME_AVG_12M))</f>
        <v>412793.21875</v>
      </c>
      <c r="AD17" s="41" cm="1">
        <f t="array" ref="AD17">IF(LEFT(_xll.BDP($C17, LAST_PRICE), 4) = "#N/A", "",  _xll.BDP($C17, LAST_PRICE))</f>
        <v>6</v>
      </c>
    </row>
    <row r="18" spans="1:30" x14ac:dyDescent="0.35">
      <c r="A18" s="1">
        <f t="shared" si="0"/>
        <v>15</v>
      </c>
      <c r="B18" s="28">
        <v>45700</v>
      </c>
      <c r="C18" s="29" t="s">
        <v>69</v>
      </c>
      <c r="D18" s="29" t="s">
        <v>69</v>
      </c>
      <c r="E18" s="29" t="s">
        <v>70</v>
      </c>
      <c r="F18" s="29" t="s">
        <v>33</v>
      </c>
      <c r="G18" s="30" t="s">
        <v>34</v>
      </c>
      <c r="H18" s="31">
        <v>51550039.029506899</v>
      </c>
      <c r="I18" s="31">
        <v>51536442.029506899</v>
      </c>
      <c r="J18" s="32">
        <v>0.99199998378753695</v>
      </c>
      <c r="K18" s="33">
        <v>45700</v>
      </c>
      <c r="L18" s="31">
        <v>42500</v>
      </c>
      <c r="M18" s="32">
        <v>-198.15</v>
      </c>
      <c r="N18" s="31" t="s">
        <v>35</v>
      </c>
      <c r="O18" s="33">
        <v>45699</v>
      </c>
      <c r="P18" s="34">
        <v>224206.0625</v>
      </c>
      <c r="Q18" s="34">
        <v>728965.3125</v>
      </c>
      <c r="R18" s="34">
        <v>361931.5625</v>
      </c>
      <c r="S18" s="29"/>
      <c r="T18" s="33"/>
      <c r="U18" s="35" t="b">
        <v>0</v>
      </c>
      <c r="V18" s="35" t="b">
        <v>0</v>
      </c>
      <c r="W18" s="35" t="b">
        <v>0</v>
      </c>
      <c r="Y18" s="31" cm="1">
        <f t="array" ref="Y18">IF(LEFT(_xll.BDP($C18, VOLUME_AVG_10D), 4) = "#N/A", "",  _xll.BDP($C18, VOLUME_AVG_10D))</f>
        <v>43614.8984375</v>
      </c>
      <c r="Z18" s="31" cm="1">
        <f t="array" ref="Z18">IF(LEFT(_xll.BDP($C18, VOLUME_AVG_30D), 4) = "#N/A", "",  _xll.BDP($C18, VOLUME_AVG_30D))</f>
        <v>224206.0625</v>
      </c>
      <c r="AA18" s="31" cm="1">
        <f t="array" ref="AA18">IF(LEFT(_xll.BDP($C18, VOLUME_AVG_3M), 4) = "#N/A", "",  _xll.BDP($C18, VOLUME_AVG_3M))</f>
        <v>728965.3125</v>
      </c>
      <c r="AB18" s="31" cm="1">
        <f t="array" ref="AB18">IF(LEFT(_xll.BDP($C18, VOLUME_AVG_6M), 4) = "#N/A", "",  _xll.BDP($C18, VOLUME_AVG_6M))</f>
        <v>361931.5625</v>
      </c>
      <c r="AC18" s="31" cm="1">
        <f t="array" ref="AC18">IF(LEFT(_xll.BDP($C18, VOLUME_AVG_12M), 4) = "#N/A", "",  _xll.BDP($C18, VOLUME_AVG_12M))</f>
        <v>182657.9375</v>
      </c>
      <c r="AD18" s="41" cm="1">
        <f t="array" ref="AD18">IF(LEFT(_xll.BDP($C18, LAST_PRICE), 4) = "#N/A", "",  _xll.BDP($C18, LAST_PRICE))</f>
        <v>0.99199999999999999</v>
      </c>
    </row>
    <row r="19" spans="1:30" x14ac:dyDescent="0.35">
      <c r="A19" s="1">
        <f t="shared" si="0"/>
        <v>16</v>
      </c>
      <c r="B19" s="28">
        <v>45700</v>
      </c>
      <c r="C19" s="29" t="s">
        <v>71</v>
      </c>
      <c r="D19" s="29" t="s">
        <v>71</v>
      </c>
      <c r="E19" s="29" t="s">
        <v>72</v>
      </c>
      <c r="F19" s="29" t="s">
        <v>33</v>
      </c>
      <c r="G19" s="30" t="s">
        <v>34</v>
      </c>
      <c r="H19" s="31">
        <v>573130211.12160301</v>
      </c>
      <c r="I19" s="31">
        <v>458051211.12160301</v>
      </c>
      <c r="J19" s="32">
        <v>4.9899997711181596</v>
      </c>
      <c r="K19" s="33">
        <v>45700</v>
      </c>
      <c r="L19" s="31">
        <v>4921100</v>
      </c>
      <c r="M19" s="32">
        <v>3.3</v>
      </c>
      <c r="N19" s="31" t="s">
        <v>35</v>
      </c>
      <c r="O19" s="33">
        <v>45699</v>
      </c>
      <c r="P19" s="34">
        <v>6698426.5</v>
      </c>
      <c r="Q19" s="34">
        <v>4383468</v>
      </c>
      <c r="R19" s="34">
        <v>2615712.5</v>
      </c>
      <c r="S19" s="29" t="s">
        <v>73</v>
      </c>
      <c r="T19" s="33">
        <v>45483</v>
      </c>
      <c r="U19" s="35" t="b">
        <v>0</v>
      </c>
      <c r="V19" s="35" t="b">
        <v>0</v>
      </c>
      <c r="W19" s="35" t="b">
        <v>0</v>
      </c>
      <c r="Y19" s="31" cm="1">
        <f t="array" ref="Y19">IF(LEFT(_xll.BDP($C19, VOLUME_AVG_10D), 4) = "#N/A", "",  _xll.BDP($C19, VOLUME_AVG_10D))</f>
        <v>5124993</v>
      </c>
      <c r="Z19" s="31" cm="1">
        <f t="array" ref="Z19">IF(LEFT(_xll.BDP($C19, VOLUME_AVG_30D), 4) = "#N/A", "",  _xll.BDP($C19, VOLUME_AVG_30D))</f>
        <v>6698426.5</v>
      </c>
      <c r="AA19" s="31" cm="1">
        <f t="array" ref="AA19">IF(LEFT(_xll.BDP($C19, VOLUME_AVG_3M), 4) = "#N/A", "",  _xll.BDP($C19, VOLUME_AVG_3M))</f>
        <v>4383468</v>
      </c>
      <c r="AB19" s="31" cm="1">
        <f t="array" ref="AB19">IF(LEFT(_xll.BDP($C19, VOLUME_AVG_6M), 4) = "#N/A", "",  _xll.BDP($C19, VOLUME_AVG_6M))</f>
        <v>2615712.5</v>
      </c>
      <c r="AC19" s="31" cm="1">
        <f t="array" ref="AC19">IF(LEFT(_xll.BDP($C19, VOLUME_AVG_12M), 4) = "#N/A", "",  _xll.BDP($C19, VOLUME_AVG_12M))</f>
        <v>2060749.625</v>
      </c>
      <c r="AD19" s="41" cm="1">
        <f t="array" ref="AD19">IF(LEFT(_xll.BDP($C19, LAST_PRICE), 4) = "#N/A", "",  _xll.BDP($C19, LAST_PRICE))</f>
        <v>4.99</v>
      </c>
    </row>
    <row r="20" spans="1:30" x14ac:dyDescent="0.35">
      <c r="A20" s="1">
        <f t="shared" si="0"/>
        <v>17</v>
      </c>
      <c r="B20" s="28">
        <v>45700</v>
      </c>
      <c r="C20" s="29" t="s">
        <v>74</v>
      </c>
      <c r="D20" s="29" t="s">
        <v>74</v>
      </c>
      <c r="E20" s="29" t="s">
        <v>75</v>
      </c>
      <c r="F20" s="29" t="s">
        <v>33</v>
      </c>
      <c r="G20" s="30" t="s">
        <v>34</v>
      </c>
      <c r="H20" s="31">
        <v>5451004.2343665399</v>
      </c>
      <c r="I20" s="31">
        <v>7189853.2343665399</v>
      </c>
      <c r="J20" s="32">
        <v>0.42010000348091098</v>
      </c>
      <c r="K20" s="33">
        <v>45700</v>
      </c>
      <c r="L20" s="31">
        <v>92300</v>
      </c>
      <c r="M20" s="32">
        <v>-23.5</v>
      </c>
      <c r="N20" s="31" t="s">
        <v>35</v>
      </c>
      <c r="O20" s="33">
        <v>45699</v>
      </c>
      <c r="P20" s="34">
        <v>126265.4296875</v>
      </c>
      <c r="Q20" s="34">
        <v>202462.046875</v>
      </c>
      <c r="R20" s="34">
        <v>168788.75</v>
      </c>
      <c r="S20" s="29"/>
      <c r="T20" s="33"/>
      <c r="U20" s="35" t="b">
        <v>1</v>
      </c>
      <c r="V20" s="35" t="b">
        <v>0</v>
      </c>
      <c r="W20" s="35" t="b">
        <v>0</v>
      </c>
      <c r="Y20" s="31" cm="1">
        <f t="array" ref="Y20">IF(LEFT(_xll.BDP($C20, VOLUME_AVG_10D), 4) = "#N/A", "",  _xll.BDP($C20, VOLUME_AVG_10D))</f>
        <v>106615.296875</v>
      </c>
      <c r="Z20" s="31" cm="1">
        <f t="array" ref="Z20">IF(LEFT(_xll.BDP($C20, VOLUME_AVG_30D), 4) = "#N/A", "",  _xll.BDP($C20, VOLUME_AVG_30D))</f>
        <v>126265.4296875</v>
      </c>
      <c r="AA20" s="31" cm="1">
        <f t="array" ref="AA20">IF(LEFT(_xll.BDP($C20, VOLUME_AVG_3M), 4) = "#N/A", "",  _xll.BDP($C20, VOLUME_AVG_3M))</f>
        <v>202462.046875</v>
      </c>
      <c r="AB20" s="31" cm="1">
        <f t="array" ref="AB20">IF(LEFT(_xll.BDP($C20, VOLUME_AVG_6M), 4) = "#N/A", "",  _xll.BDP($C20, VOLUME_AVG_6M))</f>
        <v>168788.75</v>
      </c>
      <c r="AC20" s="31" cm="1">
        <f t="array" ref="AC20">IF(LEFT(_xll.BDP($C20, VOLUME_AVG_12M), 4) = "#N/A", "",  _xll.BDP($C20, VOLUME_AVG_12M))</f>
        <v>405936.15625</v>
      </c>
      <c r="AD20" s="41" cm="1">
        <f t="array" ref="AD20">IF(LEFT(_xll.BDP($C20, LAST_PRICE), 4) = "#N/A", "",  _xll.BDP($C20, LAST_PRICE))</f>
        <v>0.42009999999999997</v>
      </c>
    </row>
    <row r="21" spans="1:30" x14ac:dyDescent="0.35">
      <c r="A21" s="1">
        <f t="shared" si="0"/>
        <v>18</v>
      </c>
      <c r="B21" s="28">
        <v>45700</v>
      </c>
      <c r="C21" s="29" t="s">
        <v>76</v>
      </c>
      <c r="D21" s="29" t="s">
        <v>76</v>
      </c>
      <c r="E21" s="29" t="s">
        <v>77</v>
      </c>
      <c r="F21" s="29" t="s">
        <v>33</v>
      </c>
      <c r="G21" s="30" t="s">
        <v>34</v>
      </c>
      <c r="H21" s="31">
        <v>240058753.74819401</v>
      </c>
      <c r="I21" s="31">
        <v>189527568.26475701</v>
      </c>
      <c r="J21" s="32">
        <v>2.4200000762939502</v>
      </c>
      <c r="K21" s="33">
        <v>45700</v>
      </c>
      <c r="L21" s="31"/>
      <c r="M21" s="32"/>
      <c r="N21" s="31"/>
      <c r="O21" s="33">
        <v>45699</v>
      </c>
      <c r="P21" s="34">
        <v>164093.53125</v>
      </c>
      <c r="Q21" s="34">
        <v>153954.703125</v>
      </c>
      <c r="R21" s="34">
        <v>121317.484375</v>
      </c>
      <c r="S21" s="29"/>
      <c r="T21" s="33"/>
      <c r="U21" s="35" t="b">
        <v>0</v>
      </c>
      <c r="V21" s="35" t="b">
        <v>0</v>
      </c>
      <c r="W21" s="35" t="b">
        <v>0</v>
      </c>
      <c r="Y21" s="31" cm="1">
        <f t="array" ref="Y21">IF(LEFT(_xll.BDP($C21, VOLUME_AVG_10D), 4) = "#N/A", "",  _xll.BDP($C21, VOLUME_AVG_10D))</f>
        <v>210631</v>
      </c>
      <c r="Z21" s="31" cm="1">
        <f t="array" ref="Z21">IF(LEFT(_xll.BDP($C21, VOLUME_AVG_30D), 4) = "#N/A", "",  _xll.BDP($C21, VOLUME_AVG_30D))</f>
        <v>164093.53125</v>
      </c>
      <c r="AA21" s="31" cm="1">
        <f t="array" ref="AA21">IF(LEFT(_xll.BDP($C21, VOLUME_AVG_3M), 4) = "#N/A", "",  _xll.BDP($C21, VOLUME_AVG_3M))</f>
        <v>153954.703125</v>
      </c>
      <c r="AB21" s="31" cm="1">
        <f t="array" ref="AB21">IF(LEFT(_xll.BDP($C21, VOLUME_AVG_6M), 4) = "#N/A", "",  _xll.BDP($C21, VOLUME_AVG_6M))</f>
        <v>121317.484375</v>
      </c>
      <c r="AC21" s="31" cm="1">
        <f t="array" ref="AC21">IF(LEFT(_xll.BDP($C21, VOLUME_AVG_12M), 4) = "#N/A", "",  _xll.BDP($C21, VOLUME_AVG_12M))</f>
        <v>322197.125</v>
      </c>
      <c r="AD21" s="41" cm="1">
        <f t="array" ref="AD21">IF(LEFT(_xll.BDP($C21, LAST_PRICE), 4) = "#N/A", "",  _xll.BDP($C21, LAST_PRICE))</f>
        <v>2.42</v>
      </c>
    </row>
    <row r="22" spans="1:30" x14ac:dyDescent="0.35">
      <c r="A22" s="1">
        <f t="shared" si="0"/>
        <v>19</v>
      </c>
      <c r="B22" s="28">
        <v>45700</v>
      </c>
      <c r="C22" s="29" t="s">
        <v>78</v>
      </c>
      <c r="D22" s="29" t="s">
        <v>78</v>
      </c>
      <c r="E22" s="29" t="s">
        <v>79</v>
      </c>
      <c r="F22" s="29" t="s">
        <v>33</v>
      </c>
      <c r="G22" s="30" t="s">
        <v>34</v>
      </c>
      <c r="H22" s="31">
        <v>3834307217.1745601</v>
      </c>
      <c r="I22" s="31">
        <v>5876895217.1745596</v>
      </c>
      <c r="J22" s="32">
        <v>41.279998779296903</v>
      </c>
      <c r="K22" s="33">
        <v>45700</v>
      </c>
      <c r="L22" s="31">
        <v>36290600</v>
      </c>
      <c r="M22" s="32">
        <v>3.88</v>
      </c>
      <c r="N22" s="31" t="s">
        <v>35</v>
      </c>
      <c r="O22" s="33">
        <v>45699</v>
      </c>
      <c r="P22" s="34">
        <v>1553727.625</v>
      </c>
      <c r="Q22" s="34">
        <v>1583823.875</v>
      </c>
      <c r="R22" s="34">
        <v>1530517.25</v>
      </c>
      <c r="S22" s="29"/>
      <c r="T22" s="33"/>
      <c r="U22" s="35" t="b">
        <v>0</v>
      </c>
      <c r="V22" s="35" t="b">
        <v>0</v>
      </c>
      <c r="W22" s="35" t="b">
        <v>0</v>
      </c>
      <c r="Y22" s="31" cm="1">
        <f t="array" ref="Y22">IF(LEFT(_xll.BDP($C22, VOLUME_AVG_10D), 4) = "#N/A", "",  _xll.BDP($C22, VOLUME_AVG_10D))</f>
        <v>1046022.8125</v>
      </c>
      <c r="Z22" s="31" cm="1">
        <f t="array" ref="Z22">IF(LEFT(_xll.BDP($C22, VOLUME_AVG_30D), 4) = "#N/A", "",  _xll.BDP($C22, VOLUME_AVG_30D))</f>
        <v>1553727.625</v>
      </c>
      <c r="AA22" s="31" cm="1">
        <f t="array" ref="AA22">IF(LEFT(_xll.BDP($C22, VOLUME_AVG_3M), 4) = "#N/A", "",  _xll.BDP($C22, VOLUME_AVG_3M))</f>
        <v>1583823.875</v>
      </c>
      <c r="AB22" s="31" cm="1">
        <f t="array" ref="AB22">IF(LEFT(_xll.BDP($C22, VOLUME_AVG_6M), 4) = "#N/A", "",  _xll.BDP($C22, VOLUME_AVG_6M))</f>
        <v>1530517.25</v>
      </c>
      <c r="AC22" s="31" cm="1">
        <f t="array" ref="AC22">IF(LEFT(_xll.BDP($C22, VOLUME_AVG_12M), 4) = "#N/A", "",  _xll.BDP($C22, VOLUME_AVG_12M))</f>
        <v>1195118.5</v>
      </c>
      <c r="AD22" s="41" cm="1">
        <f t="array" ref="AD22">IF(LEFT(_xll.BDP($C22, LAST_PRICE), 4) = "#N/A", "",  _xll.BDP($C22, LAST_PRICE))</f>
        <v>41.28</v>
      </c>
    </row>
    <row r="23" spans="1:30" x14ac:dyDescent="0.35">
      <c r="A23" s="1">
        <f t="shared" si="0"/>
        <v>20</v>
      </c>
      <c r="B23" s="28">
        <v>45700</v>
      </c>
      <c r="C23" s="29" t="s">
        <v>80</v>
      </c>
      <c r="D23" s="29" t="s">
        <v>80</v>
      </c>
      <c r="E23" s="29" t="s">
        <v>81</v>
      </c>
      <c r="F23" s="29" t="s">
        <v>33</v>
      </c>
      <c r="G23" s="30" t="s">
        <v>34</v>
      </c>
      <c r="H23" s="31">
        <v>3178085181.5734701</v>
      </c>
      <c r="I23" s="31">
        <v>2662125181.5734701</v>
      </c>
      <c r="J23" s="32">
        <v>19.100000381469702</v>
      </c>
      <c r="K23" s="33">
        <v>45700</v>
      </c>
      <c r="L23" s="31">
        <v>48504700</v>
      </c>
      <c r="M23" s="32">
        <v>3.88</v>
      </c>
      <c r="N23" s="31" t="s">
        <v>35</v>
      </c>
      <c r="O23" s="33">
        <v>45699</v>
      </c>
      <c r="P23" s="34">
        <v>3272300.75</v>
      </c>
      <c r="Q23" s="34">
        <v>2380814.5</v>
      </c>
      <c r="R23" s="34">
        <v>1864234.75</v>
      </c>
      <c r="S23" s="29" t="s">
        <v>82</v>
      </c>
      <c r="T23" s="33">
        <v>45446</v>
      </c>
      <c r="U23" s="35" t="b">
        <v>0</v>
      </c>
      <c r="V23" s="35" t="b">
        <v>0</v>
      </c>
      <c r="W23" s="35" t="b">
        <v>0</v>
      </c>
      <c r="Y23" s="31" cm="1">
        <f t="array" ref="Y23">IF(LEFT(_xll.BDP($C23, VOLUME_AVG_10D), 4) = "#N/A", "",  _xll.BDP($C23, VOLUME_AVG_10D))</f>
        <v>1337931.5</v>
      </c>
      <c r="Z23" s="31" cm="1">
        <f t="array" ref="Z23">IF(LEFT(_xll.BDP($C23, VOLUME_AVG_30D), 4) = "#N/A", "",  _xll.BDP($C23, VOLUME_AVG_30D))</f>
        <v>3272300.75</v>
      </c>
      <c r="AA23" s="31" cm="1">
        <f t="array" ref="AA23">IF(LEFT(_xll.BDP($C23, VOLUME_AVG_3M), 4) = "#N/A", "",  _xll.BDP($C23, VOLUME_AVG_3M))</f>
        <v>2380814.5</v>
      </c>
      <c r="AB23" s="31" cm="1">
        <f t="array" ref="AB23">IF(LEFT(_xll.BDP($C23, VOLUME_AVG_6M), 4) = "#N/A", "",  _xll.BDP($C23, VOLUME_AVG_6M))</f>
        <v>1864234.75</v>
      </c>
      <c r="AC23" s="31" cm="1">
        <f t="array" ref="AC23">IF(LEFT(_xll.BDP($C23, VOLUME_AVG_12M), 4) = "#N/A", "",  _xll.BDP($C23, VOLUME_AVG_12M))</f>
        <v>1878936</v>
      </c>
      <c r="AD23" s="41" cm="1">
        <f t="array" ref="AD23">IF(LEFT(_xll.BDP($C23, LAST_PRICE), 4) = "#N/A", "",  _xll.BDP($C23, LAST_PRICE))</f>
        <v>19.100000000000001</v>
      </c>
    </row>
    <row r="24" spans="1:30" x14ac:dyDescent="0.35">
      <c r="A24" s="1">
        <f t="shared" si="0"/>
        <v>21</v>
      </c>
      <c r="B24" s="28">
        <v>45700</v>
      </c>
      <c r="C24" s="29" t="s">
        <v>83</v>
      </c>
      <c r="D24" s="29" t="s">
        <v>83</v>
      </c>
      <c r="E24" s="29" t="s">
        <v>84</v>
      </c>
      <c r="F24" s="29" t="s">
        <v>33</v>
      </c>
      <c r="G24" s="30" t="s">
        <v>34</v>
      </c>
      <c r="H24" s="31">
        <v>4095696.64</v>
      </c>
      <c r="I24" s="31"/>
      <c r="J24" s="32">
        <v>0.32</v>
      </c>
      <c r="K24" s="33">
        <v>45700</v>
      </c>
      <c r="L24" s="31"/>
      <c r="M24" s="32"/>
      <c r="N24" s="31"/>
      <c r="O24" s="33">
        <v>45699</v>
      </c>
      <c r="P24" s="34">
        <v>6.6666665077209499</v>
      </c>
      <c r="Q24" s="34">
        <v>3.2580645084381099</v>
      </c>
      <c r="R24" s="34">
        <v>123.57936859130901</v>
      </c>
      <c r="S24" s="29"/>
      <c r="T24" s="33"/>
      <c r="U24" s="35" t="b">
        <v>1</v>
      </c>
      <c r="V24" s="35" t="b">
        <v>0</v>
      </c>
      <c r="W24" s="35" t="b">
        <v>1</v>
      </c>
      <c r="Y24" s="31" cm="1">
        <f t="array" ref="Y24">IF(LEFT(_xll.BDP($C24, VOLUME_AVG_10D), 4) = "#N/A", "",  _xll.BDP($C24, VOLUME_AVG_10D))</f>
        <v>20</v>
      </c>
      <c r="Z24" s="31" cm="1">
        <f t="array" ref="Z24">IF(LEFT(_xll.BDP($C24, VOLUME_AVG_30D), 4) = "#N/A", "",  _xll.BDP($C24, VOLUME_AVG_30D))</f>
        <v>6.6666665077209473</v>
      </c>
      <c r="AA24" s="31" cm="1">
        <f t="array" ref="AA24">IF(LEFT(_xll.BDP($C24, VOLUME_AVG_3M), 4) = "#N/A", "",  _xll.BDP($C24, VOLUME_AVG_3M))</f>
        <v>3.2580645084381104</v>
      </c>
      <c r="AB24" s="31" cm="1">
        <f t="array" ref="AB24">IF(LEFT(_xll.BDP($C24, VOLUME_AVG_6M), 4) = "#N/A", "",  _xll.BDP($C24, VOLUME_AVG_6M))</f>
        <v>123.57936859130859</v>
      </c>
      <c r="AC24" s="31" cm="1">
        <f t="array" ref="AC24">IF(LEFT(_xll.BDP($C24, VOLUME_AVG_12M), 4) = "#N/A", "",  _xll.BDP($C24, VOLUME_AVG_12M))</f>
        <v>82.466133117675781</v>
      </c>
      <c r="AD24" s="41" cm="1">
        <f t="array" ref="AD24">IF(LEFT(_xll.BDP($C24, LAST_PRICE), 4) = "#N/A", "",  _xll.BDP($C24, LAST_PRICE))</f>
        <v>0.32</v>
      </c>
    </row>
    <row r="25" spans="1:30" x14ac:dyDescent="0.35">
      <c r="A25" s="1">
        <f t="shared" si="0"/>
        <v>22</v>
      </c>
      <c r="B25" s="28">
        <v>45700</v>
      </c>
      <c r="C25" s="29" t="s">
        <v>85</v>
      </c>
      <c r="D25" s="29" t="s">
        <v>85</v>
      </c>
      <c r="E25" s="29" t="s">
        <v>86</v>
      </c>
      <c r="F25" s="29" t="s">
        <v>33</v>
      </c>
      <c r="G25" s="30" t="s">
        <v>34</v>
      </c>
      <c r="H25" s="31">
        <v>30052587.594182499</v>
      </c>
      <c r="I25" s="31">
        <v>68114587.594182506</v>
      </c>
      <c r="J25" s="32">
        <v>1.20000004768372</v>
      </c>
      <c r="K25" s="33">
        <v>45700</v>
      </c>
      <c r="L25" s="31">
        <v>2904500</v>
      </c>
      <c r="M25" s="32">
        <v>-3.95</v>
      </c>
      <c r="N25" s="31" t="s">
        <v>35</v>
      </c>
      <c r="O25" s="33">
        <v>45699</v>
      </c>
      <c r="P25" s="34">
        <v>54492.96484375</v>
      </c>
      <c r="Q25" s="34">
        <v>56986.59765625</v>
      </c>
      <c r="R25" s="34">
        <v>62285.421875</v>
      </c>
      <c r="S25" s="29"/>
      <c r="T25" s="33"/>
      <c r="U25" s="35" t="b">
        <v>0</v>
      </c>
      <c r="V25" s="35" t="b">
        <v>0</v>
      </c>
      <c r="W25" s="35" t="b">
        <v>0</v>
      </c>
      <c r="Y25" s="31" cm="1">
        <f t="array" ref="Y25">IF(LEFT(_xll.BDP($C25, VOLUME_AVG_10D), 4) = "#N/A", "",  _xll.BDP($C25, VOLUME_AVG_10D))</f>
        <v>19567.69921875</v>
      </c>
      <c r="Z25" s="31" cm="1">
        <f t="array" ref="Z25">IF(LEFT(_xll.BDP($C25, VOLUME_AVG_30D), 4) = "#N/A", "",  _xll.BDP($C25, VOLUME_AVG_30D))</f>
        <v>54492.96484375</v>
      </c>
      <c r="AA25" s="31" cm="1">
        <f t="array" ref="AA25">IF(LEFT(_xll.BDP($C25, VOLUME_AVG_3M), 4) = "#N/A", "",  _xll.BDP($C25, VOLUME_AVG_3M))</f>
        <v>56986.59765625</v>
      </c>
      <c r="AB25" s="31" cm="1">
        <f t="array" ref="AB25">IF(LEFT(_xll.BDP($C25, VOLUME_AVG_6M), 4) = "#N/A", "",  _xll.BDP($C25, VOLUME_AVG_6M))</f>
        <v>62285.421875</v>
      </c>
      <c r="AC25" s="31" cm="1">
        <f t="array" ref="AC25">IF(LEFT(_xll.BDP($C25, VOLUME_AVG_12M), 4) = "#N/A", "",  _xll.BDP($C25, VOLUME_AVG_12M))</f>
        <v>63434.88671875</v>
      </c>
      <c r="AD25" s="41" cm="1">
        <f t="array" ref="AD25">IF(LEFT(_xll.BDP($C25, LAST_PRICE), 4) = "#N/A", "",  _xll.BDP($C25, LAST_PRICE))</f>
        <v>1.2</v>
      </c>
    </row>
    <row r="26" spans="1:30" x14ac:dyDescent="0.35">
      <c r="A26" s="1">
        <f t="shared" si="0"/>
        <v>23</v>
      </c>
      <c r="B26" s="28">
        <v>45700</v>
      </c>
      <c r="C26" s="29" t="s">
        <v>87</v>
      </c>
      <c r="D26" s="29" t="s">
        <v>87</v>
      </c>
      <c r="E26" s="29" t="s">
        <v>88</v>
      </c>
      <c r="F26" s="29" t="s">
        <v>33</v>
      </c>
      <c r="G26" s="30" t="s">
        <v>34</v>
      </c>
      <c r="H26" s="31">
        <v>565001174.10908794</v>
      </c>
      <c r="I26" s="31">
        <v>577414174.10908794</v>
      </c>
      <c r="J26" s="32">
        <v>6.9000000953674299</v>
      </c>
      <c r="K26" s="33">
        <v>45700</v>
      </c>
      <c r="L26" s="31">
        <v>12841700</v>
      </c>
      <c r="M26" s="32">
        <v>3.88</v>
      </c>
      <c r="N26" s="31" t="s">
        <v>35</v>
      </c>
      <c r="O26" s="33">
        <v>45699</v>
      </c>
      <c r="P26" s="34">
        <v>3026618.25</v>
      </c>
      <c r="Q26" s="34">
        <v>2037337.75</v>
      </c>
      <c r="R26" s="34">
        <v>1630803.25</v>
      </c>
      <c r="S26" s="29"/>
      <c r="T26" s="33"/>
      <c r="U26" s="35" t="b">
        <v>0</v>
      </c>
      <c r="V26" s="35" t="b">
        <v>0</v>
      </c>
      <c r="W26" s="35" t="b">
        <v>0</v>
      </c>
      <c r="Y26" s="31" cm="1">
        <f t="array" ref="Y26">IF(LEFT(_xll.BDP($C26, VOLUME_AVG_10D), 4) = "#N/A", "",  _xll.BDP($C26, VOLUME_AVG_10D))</f>
        <v>1809158</v>
      </c>
      <c r="Z26" s="31" cm="1">
        <f t="array" ref="Z26">IF(LEFT(_xll.BDP($C26, VOLUME_AVG_30D), 4) = "#N/A", "",  _xll.BDP($C26, VOLUME_AVG_30D))</f>
        <v>3026618.25</v>
      </c>
      <c r="AA26" s="31" cm="1">
        <f t="array" ref="AA26">IF(LEFT(_xll.BDP($C26, VOLUME_AVG_3M), 4) = "#N/A", "",  _xll.BDP($C26, VOLUME_AVG_3M))</f>
        <v>2037337.75</v>
      </c>
      <c r="AB26" s="31" cm="1">
        <f t="array" ref="AB26">IF(LEFT(_xll.BDP($C26, VOLUME_AVG_6M), 4) = "#N/A", "",  _xll.BDP($C26, VOLUME_AVG_6M))</f>
        <v>1630803.25</v>
      </c>
      <c r="AC26" s="31" cm="1">
        <f t="array" ref="AC26">IF(LEFT(_xll.BDP($C26, VOLUME_AVG_12M), 4) = "#N/A", "",  _xll.BDP($C26, VOLUME_AVG_12M))</f>
        <v>1339342.25</v>
      </c>
      <c r="AD26" s="41" cm="1">
        <f t="array" ref="AD26">IF(LEFT(_xll.BDP($C26, LAST_PRICE), 4) = "#N/A", "",  _xll.BDP($C26, LAST_PRICE))</f>
        <v>6.9</v>
      </c>
    </row>
    <row r="27" spans="1:30" x14ac:dyDescent="0.35">
      <c r="A27" s="1">
        <f t="shared" si="0"/>
        <v>24</v>
      </c>
      <c r="B27" s="28">
        <v>45700</v>
      </c>
      <c r="C27" s="29" t="s">
        <v>89</v>
      </c>
      <c r="D27" s="29" t="s">
        <v>89</v>
      </c>
      <c r="E27" s="29" t="s">
        <v>90</v>
      </c>
      <c r="F27" s="29" t="s">
        <v>33</v>
      </c>
      <c r="G27" s="30" t="s">
        <v>34</v>
      </c>
      <c r="H27" s="31">
        <v>229312066.021337</v>
      </c>
      <c r="I27" s="31">
        <v>380218066.02133697</v>
      </c>
      <c r="J27" s="32">
        <v>2.2300000190734899</v>
      </c>
      <c r="K27" s="33">
        <v>45700</v>
      </c>
      <c r="L27" s="31">
        <v>21982300</v>
      </c>
      <c r="M27" s="32">
        <v>3.88</v>
      </c>
      <c r="N27" s="31" t="s">
        <v>35</v>
      </c>
      <c r="O27" s="33">
        <v>45699</v>
      </c>
      <c r="P27" s="34">
        <v>817101.375</v>
      </c>
      <c r="Q27" s="34">
        <v>715152.125</v>
      </c>
      <c r="R27" s="34">
        <v>825668.0625</v>
      </c>
      <c r="S27" s="29"/>
      <c r="T27" s="33"/>
      <c r="U27" s="35" t="b">
        <v>0</v>
      </c>
      <c r="V27" s="35" t="b">
        <v>0</v>
      </c>
      <c r="W27" s="35" t="b">
        <v>0</v>
      </c>
      <c r="Y27" s="31" cm="1">
        <f t="array" ref="Y27">IF(LEFT(_xll.BDP($C27, VOLUME_AVG_10D), 4) = "#N/A", "",  _xll.BDP($C27, VOLUME_AVG_10D))</f>
        <v>1048470.8125</v>
      </c>
      <c r="Z27" s="31" cm="1">
        <f t="array" ref="Z27">IF(LEFT(_xll.BDP($C27, VOLUME_AVG_30D), 4) = "#N/A", "",  _xll.BDP($C27, VOLUME_AVG_30D))</f>
        <v>817101.375</v>
      </c>
      <c r="AA27" s="31" cm="1">
        <f t="array" ref="AA27">IF(LEFT(_xll.BDP($C27, VOLUME_AVG_3M), 4) = "#N/A", "",  _xll.BDP($C27, VOLUME_AVG_3M))</f>
        <v>715152.125</v>
      </c>
      <c r="AB27" s="31" cm="1">
        <f t="array" ref="AB27">IF(LEFT(_xll.BDP($C27, VOLUME_AVG_6M), 4) = "#N/A", "",  _xll.BDP($C27, VOLUME_AVG_6M))</f>
        <v>825668.0625</v>
      </c>
      <c r="AC27" s="31" cm="1">
        <f t="array" ref="AC27">IF(LEFT(_xll.BDP($C27, VOLUME_AVG_12M), 4) = "#N/A", "",  _xll.BDP($C27, VOLUME_AVG_12M))</f>
        <v>704366.6875</v>
      </c>
      <c r="AD27" s="41" cm="1">
        <f t="array" ref="AD27">IF(LEFT(_xll.BDP($C27, LAST_PRICE), 4) = "#N/A", "",  _xll.BDP($C27, LAST_PRICE))</f>
        <v>2.23</v>
      </c>
    </row>
    <row r="28" spans="1:30" x14ac:dyDescent="0.35">
      <c r="A28" s="1">
        <f t="shared" si="0"/>
        <v>25</v>
      </c>
      <c r="B28" s="28">
        <v>45700</v>
      </c>
      <c r="C28" s="29" t="s">
        <v>91</v>
      </c>
      <c r="D28" s="29" t="s">
        <v>91</v>
      </c>
      <c r="E28" s="29" t="s">
        <v>92</v>
      </c>
      <c r="F28" s="29" t="s">
        <v>33</v>
      </c>
      <c r="G28" s="30" t="s">
        <v>34</v>
      </c>
      <c r="H28" s="31">
        <v>3687623.7397387601</v>
      </c>
      <c r="I28" s="31"/>
      <c r="J28" s="32">
        <v>0.32499998807907099</v>
      </c>
      <c r="K28" s="33">
        <v>45700</v>
      </c>
      <c r="L28" s="31">
        <v>18900</v>
      </c>
      <c r="M28" s="32">
        <v>-11.25</v>
      </c>
      <c r="N28" s="31" t="s">
        <v>35</v>
      </c>
      <c r="O28" s="33">
        <v>45699</v>
      </c>
      <c r="P28" s="34">
        <v>9210.7333984375</v>
      </c>
      <c r="Q28" s="34">
        <v>6353.29052734375</v>
      </c>
      <c r="R28" s="34">
        <v>4199.6904296875</v>
      </c>
      <c r="S28" s="29"/>
      <c r="T28" s="33"/>
      <c r="U28" s="35" t="b">
        <v>1</v>
      </c>
      <c r="V28" s="35" t="b">
        <v>0</v>
      </c>
      <c r="W28" s="35" t="b">
        <v>1</v>
      </c>
      <c r="Y28" s="31" cm="1">
        <f t="array" ref="Y28">IF(LEFT(_xll.BDP($C28, VOLUME_AVG_10D), 4) = "#N/A", "",  _xll.BDP($C28, VOLUME_AVG_10D))</f>
        <v>3880.800048828125</v>
      </c>
      <c r="Z28" s="31" cm="1">
        <f t="array" ref="Z28">IF(LEFT(_xll.BDP($C28, VOLUME_AVG_30D), 4) = "#N/A", "",  _xll.BDP($C28, VOLUME_AVG_30D))</f>
        <v>9210.7333984375</v>
      </c>
      <c r="AA28" s="31" cm="1">
        <f t="array" ref="AA28">IF(LEFT(_xll.BDP($C28, VOLUME_AVG_3M), 4) = "#N/A", "",  _xll.BDP($C28, VOLUME_AVG_3M))</f>
        <v>6353.29052734375</v>
      </c>
      <c r="AB28" s="31" cm="1">
        <f t="array" ref="AB28">IF(LEFT(_xll.BDP($C28, VOLUME_AVG_6M), 4) = "#N/A", "",  _xll.BDP($C28, VOLUME_AVG_6M))</f>
        <v>4199.6904296875</v>
      </c>
      <c r="AC28" s="31" cm="1">
        <f t="array" ref="AC28">IF(LEFT(_xll.BDP($C28, VOLUME_AVG_12M), 4) = "#N/A", "",  _xll.BDP($C28, VOLUME_AVG_12M))</f>
        <v>3092.47412109375</v>
      </c>
      <c r="AD28" s="41" cm="1">
        <f t="array" ref="AD28">IF(LEFT(_xll.BDP($C28, LAST_PRICE), 4) = "#N/A", "",  _xll.BDP($C28, LAST_PRICE))</f>
        <v>0.32500000000000001</v>
      </c>
    </row>
    <row r="29" spans="1:30" x14ac:dyDescent="0.35">
      <c r="A29" s="1">
        <f t="shared" si="0"/>
        <v>26</v>
      </c>
      <c r="B29" s="28">
        <v>45700</v>
      </c>
      <c r="C29" s="29" t="s">
        <v>93</v>
      </c>
      <c r="D29" s="29" t="s">
        <v>93</v>
      </c>
      <c r="E29" s="29" t="s">
        <v>94</v>
      </c>
      <c r="F29" s="29" t="s">
        <v>33</v>
      </c>
      <c r="G29" s="30" t="s">
        <v>34</v>
      </c>
      <c r="H29" s="31">
        <v>200651138</v>
      </c>
      <c r="I29" s="31">
        <v>-519105862</v>
      </c>
      <c r="J29" s="32">
        <v>2</v>
      </c>
      <c r="K29" s="33">
        <v>45700</v>
      </c>
      <c r="L29" s="31">
        <v>12458300</v>
      </c>
      <c r="M29" s="32">
        <v>3.88</v>
      </c>
      <c r="N29" s="31" t="s">
        <v>35</v>
      </c>
      <c r="O29" s="33">
        <v>45699</v>
      </c>
      <c r="P29" s="34">
        <v>2213033.5</v>
      </c>
      <c r="Q29" s="34">
        <v>1426659.625</v>
      </c>
      <c r="R29" s="34">
        <v>1165462.625</v>
      </c>
      <c r="S29" s="29" t="s">
        <v>73</v>
      </c>
      <c r="T29" s="33">
        <v>45446</v>
      </c>
      <c r="U29" s="35" t="b">
        <v>0</v>
      </c>
      <c r="V29" s="35" t="b">
        <v>0</v>
      </c>
      <c r="W29" s="35" t="b">
        <v>1</v>
      </c>
      <c r="Y29" s="31" cm="1">
        <f t="array" ref="Y29">IF(LEFT(_xll.BDP($C29, VOLUME_AVG_10D), 4) = "#N/A", "",  _xll.BDP($C29, VOLUME_AVG_10D))</f>
        <v>3221095.5</v>
      </c>
      <c r="Z29" s="31" cm="1">
        <f t="array" ref="Z29">IF(LEFT(_xll.BDP($C29, VOLUME_AVG_30D), 4) = "#N/A", "",  _xll.BDP($C29, VOLUME_AVG_30D))</f>
        <v>2213033.5</v>
      </c>
      <c r="AA29" s="31" cm="1">
        <f t="array" ref="AA29">IF(LEFT(_xll.BDP($C29, VOLUME_AVG_3M), 4) = "#N/A", "",  _xll.BDP($C29, VOLUME_AVG_3M))</f>
        <v>1426659.625</v>
      </c>
      <c r="AB29" s="31" cm="1">
        <f t="array" ref="AB29">IF(LEFT(_xll.BDP($C29, VOLUME_AVG_6M), 4) = "#N/A", "",  _xll.BDP($C29, VOLUME_AVG_6M))</f>
        <v>1165462.625</v>
      </c>
      <c r="AC29" s="31" cm="1">
        <f t="array" ref="AC29">IF(LEFT(_xll.BDP($C29, VOLUME_AVG_12M), 4) = "#N/A", "",  _xll.BDP($C29, VOLUME_AVG_12M))</f>
        <v>1134515</v>
      </c>
      <c r="AD29" s="41" cm="1">
        <f t="array" ref="AD29">IF(LEFT(_xll.BDP($C29, LAST_PRICE), 4) = "#N/A", "",  _xll.BDP($C29, LAST_PRICE))</f>
        <v>2</v>
      </c>
    </row>
    <row r="30" spans="1:30" x14ac:dyDescent="0.35">
      <c r="A30" s="1">
        <f t="shared" si="0"/>
        <v>27</v>
      </c>
      <c r="B30" s="28">
        <v>45700</v>
      </c>
      <c r="C30" s="29" t="s">
        <v>95</v>
      </c>
      <c r="D30" s="29" t="s">
        <v>95</v>
      </c>
      <c r="E30" s="29" t="s">
        <v>96</v>
      </c>
      <c r="F30" s="29" t="s">
        <v>33</v>
      </c>
      <c r="G30" s="30" t="s">
        <v>34</v>
      </c>
      <c r="H30" s="31">
        <v>113142921.028128</v>
      </c>
      <c r="I30" s="31">
        <v>80076921.0281277</v>
      </c>
      <c r="J30" s="32">
        <v>3.28999996185303</v>
      </c>
      <c r="K30" s="33">
        <v>45700</v>
      </c>
      <c r="L30" s="31">
        <v>6462900</v>
      </c>
      <c r="M30" s="32">
        <v>3.88</v>
      </c>
      <c r="N30" s="31" t="s">
        <v>35</v>
      </c>
      <c r="O30" s="33">
        <v>45699</v>
      </c>
      <c r="P30" s="34">
        <v>306000.28125</v>
      </c>
      <c r="Q30" s="34">
        <v>220077.015625</v>
      </c>
      <c r="R30" s="34">
        <v>158790.359375</v>
      </c>
      <c r="S30" s="29" t="s">
        <v>97</v>
      </c>
      <c r="T30" s="33">
        <v>45215</v>
      </c>
      <c r="U30" s="35" t="b">
        <v>0</v>
      </c>
      <c r="V30" s="35" t="b">
        <v>0</v>
      </c>
      <c r="W30" s="35" t="b">
        <v>0</v>
      </c>
      <c r="Y30" s="31" cm="1">
        <f t="array" ref="Y30">IF(LEFT(_xll.BDP($C30, VOLUME_AVG_10D), 4) = "#N/A", "",  _xll.BDP($C30, VOLUME_AVG_10D))</f>
        <v>272489</v>
      </c>
      <c r="Z30" s="31" cm="1">
        <f t="array" ref="Z30">IF(LEFT(_xll.BDP($C30, VOLUME_AVG_30D), 4) = "#N/A", "",  _xll.BDP($C30, VOLUME_AVG_30D))</f>
        <v>306000.28125</v>
      </c>
      <c r="AA30" s="31" cm="1">
        <f t="array" ref="AA30">IF(LEFT(_xll.BDP($C30, VOLUME_AVG_3M), 4) = "#N/A", "",  _xll.BDP($C30, VOLUME_AVG_3M))</f>
        <v>220077.015625</v>
      </c>
      <c r="AB30" s="31" cm="1">
        <f t="array" ref="AB30">IF(LEFT(_xll.BDP($C30, VOLUME_AVG_6M), 4) = "#N/A", "",  _xll.BDP($C30, VOLUME_AVG_6M))</f>
        <v>158790.359375</v>
      </c>
      <c r="AC30" s="31" cm="1">
        <f t="array" ref="AC30">IF(LEFT(_xll.BDP($C30, VOLUME_AVG_12M), 4) = "#N/A", "",  _xll.BDP($C30, VOLUME_AVG_12M))</f>
        <v>169536.484375</v>
      </c>
      <c r="AD30" s="41" cm="1">
        <f t="array" ref="AD30">IF(LEFT(_xll.BDP($C30, LAST_PRICE), 4) = "#N/A", "",  _xll.BDP($C30, LAST_PRICE))</f>
        <v>3.29</v>
      </c>
    </row>
    <row r="31" spans="1:30" x14ac:dyDescent="0.35">
      <c r="A31" s="1">
        <f t="shared" si="0"/>
        <v>28</v>
      </c>
      <c r="B31" s="28">
        <v>45700</v>
      </c>
      <c r="C31" s="29" t="s">
        <v>98</v>
      </c>
      <c r="D31" s="29" t="s">
        <v>98</v>
      </c>
      <c r="E31" s="29" t="s">
        <v>99</v>
      </c>
      <c r="F31" s="29" t="s">
        <v>33</v>
      </c>
      <c r="G31" s="30" t="s">
        <v>34</v>
      </c>
      <c r="H31" s="31">
        <v>4754346.3056116104</v>
      </c>
      <c r="I31" s="31">
        <v>4859001.3056116104</v>
      </c>
      <c r="J31" s="32">
        <v>4.6799998283386204</v>
      </c>
      <c r="K31" s="33">
        <v>45700</v>
      </c>
      <c r="L31" s="31">
        <v>2400</v>
      </c>
      <c r="M31" s="32">
        <v>-92.2</v>
      </c>
      <c r="N31" s="31" t="s">
        <v>35</v>
      </c>
      <c r="O31" s="33">
        <v>45699</v>
      </c>
      <c r="P31" s="34">
        <v>724168.125</v>
      </c>
      <c r="Q31" s="34">
        <v>351713.46875</v>
      </c>
      <c r="R31" s="34">
        <v>173999.484375</v>
      </c>
      <c r="S31" s="29"/>
      <c r="T31" s="33"/>
      <c r="U31" s="35" t="b">
        <v>1</v>
      </c>
      <c r="V31" s="35" t="b">
        <v>0</v>
      </c>
      <c r="W31" s="35" t="b">
        <v>0</v>
      </c>
      <c r="Y31" s="31" cm="1">
        <f t="array" ref="Y31">IF(LEFT(_xll.BDP($C31, VOLUME_AVG_10D), 4) = "#N/A", "",  _xll.BDP($C31, VOLUME_AVG_10D))</f>
        <v>1513037.875</v>
      </c>
      <c r="Z31" s="31" cm="1">
        <f t="array" ref="Z31">IF(LEFT(_xll.BDP($C31, VOLUME_AVG_30D), 4) = "#N/A", "",  _xll.BDP($C31, VOLUME_AVG_30D))</f>
        <v>724168.125</v>
      </c>
      <c r="AA31" s="31" cm="1">
        <f t="array" ref="AA31">IF(LEFT(_xll.BDP($C31, VOLUME_AVG_3M), 4) = "#N/A", "",  _xll.BDP($C31, VOLUME_AVG_3M))</f>
        <v>351713.46875</v>
      </c>
      <c r="AB31" s="31" cm="1">
        <f t="array" ref="AB31">IF(LEFT(_xll.BDP($C31, VOLUME_AVG_6M), 4) = "#N/A", "",  _xll.BDP($C31, VOLUME_AVG_6M))</f>
        <v>173999.484375</v>
      </c>
      <c r="AC31" s="31" cm="1">
        <f t="array" ref="AC31">IF(LEFT(_xll.BDP($C31, VOLUME_AVG_12M), 4) = "#N/A", "",  _xll.BDP($C31, VOLUME_AVG_12M))</f>
        <v>89833.75</v>
      </c>
      <c r="AD31" s="41" cm="1">
        <f t="array" ref="AD31">IF(LEFT(_xll.BDP($C31, LAST_PRICE), 4) = "#N/A", "",  _xll.BDP($C31, LAST_PRICE))</f>
        <v>4.68</v>
      </c>
    </row>
    <row r="32" spans="1:30" x14ac:dyDescent="0.35">
      <c r="A32" s="1">
        <f t="shared" si="0"/>
        <v>29</v>
      </c>
      <c r="B32" s="28">
        <v>45700</v>
      </c>
      <c r="C32" s="29" t="s">
        <v>100</v>
      </c>
      <c r="D32" s="29" t="s">
        <v>100</v>
      </c>
      <c r="E32" s="29" t="s">
        <v>101</v>
      </c>
      <c r="F32" s="29" t="s">
        <v>33</v>
      </c>
      <c r="G32" s="30" t="s">
        <v>34</v>
      </c>
      <c r="H32" s="31">
        <v>232230663.11488199</v>
      </c>
      <c r="I32" s="31">
        <v>61504663.114881501</v>
      </c>
      <c r="J32" s="32">
        <v>2.1700000762939502</v>
      </c>
      <c r="K32" s="33">
        <v>45700</v>
      </c>
      <c r="L32" s="31">
        <v>10378600</v>
      </c>
      <c r="M32" s="32">
        <v>3.7</v>
      </c>
      <c r="N32" s="31" t="s">
        <v>35</v>
      </c>
      <c r="O32" s="33">
        <v>45699</v>
      </c>
      <c r="P32" s="34">
        <v>862640.6875</v>
      </c>
      <c r="Q32" s="34">
        <v>2476243.75</v>
      </c>
      <c r="R32" s="34">
        <v>1475704.875</v>
      </c>
      <c r="S32" s="29" t="s">
        <v>73</v>
      </c>
      <c r="T32" s="33">
        <v>45446</v>
      </c>
      <c r="U32" s="35" t="b">
        <v>0</v>
      </c>
      <c r="V32" s="35" t="b">
        <v>0</v>
      </c>
      <c r="W32" s="35" t="b">
        <v>0</v>
      </c>
      <c r="Y32" s="31" cm="1">
        <f t="array" ref="Y32">IF(LEFT(_xll.BDP($C32, VOLUME_AVG_10D), 4) = "#N/A", "",  _xll.BDP($C32, VOLUME_AVG_10D))</f>
        <v>810205.875</v>
      </c>
      <c r="Z32" s="31" cm="1">
        <f t="array" ref="Z32">IF(LEFT(_xll.BDP($C32, VOLUME_AVG_30D), 4) = "#N/A", "",  _xll.BDP($C32, VOLUME_AVG_30D))</f>
        <v>862640.6875</v>
      </c>
      <c r="AA32" s="31" cm="1">
        <f t="array" ref="AA32">IF(LEFT(_xll.BDP($C32, VOLUME_AVG_3M), 4) = "#N/A", "",  _xll.BDP($C32, VOLUME_AVG_3M))</f>
        <v>2476243.75</v>
      </c>
      <c r="AB32" s="31" cm="1">
        <f t="array" ref="AB32">IF(LEFT(_xll.BDP($C32, VOLUME_AVG_6M), 4) = "#N/A", "",  _xll.BDP($C32, VOLUME_AVG_6M))</f>
        <v>1475704.875</v>
      </c>
      <c r="AC32" s="31" cm="1">
        <f t="array" ref="AC32">IF(LEFT(_xll.BDP($C32, VOLUME_AVG_12M), 4) = "#N/A", "",  _xll.BDP($C32, VOLUME_AVG_12M))</f>
        <v>1211349.875</v>
      </c>
      <c r="AD32" s="41" cm="1">
        <f t="array" ref="AD32">IF(LEFT(_xll.BDP($C32, LAST_PRICE), 4) = "#N/A", "",  _xll.BDP($C32, LAST_PRICE))</f>
        <v>2.17</v>
      </c>
    </row>
    <row r="33" spans="1:30" x14ac:dyDescent="0.35">
      <c r="A33" s="1">
        <f t="shared" si="0"/>
        <v>30</v>
      </c>
      <c r="B33" s="28">
        <v>45700</v>
      </c>
      <c r="C33" s="29" t="s">
        <v>102</v>
      </c>
      <c r="D33" s="29" t="s">
        <v>102</v>
      </c>
      <c r="E33" s="29" t="s">
        <v>103</v>
      </c>
      <c r="F33" s="29" t="s">
        <v>33</v>
      </c>
      <c r="G33" s="30" t="s">
        <v>34</v>
      </c>
      <c r="H33" s="31">
        <v>160663282.608978</v>
      </c>
      <c r="I33" s="31">
        <v>-22776717.391021799</v>
      </c>
      <c r="J33" s="32">
        <v>5.1599998474121103</v>
      </c>
      <c r="K33" s="33">
        <v>45700</v>
      </c>
      <c r="L33" s="31">
        <v>1941800</v>
      </c>
      <c r="M33" s="32">
        <v>3.75</v>
      </c>
      <c r="N33" s="31" t="s">
        <v>35</v>
      </c>
      <c r="O33" s="33">
        <v>45699</v>
      </c>
      <c r="P33" s="34">
        <v>62173.30078125</v>
      </c>
      <c r="Q33" s="34">
        <v>60177.37109375</v>
      </c>
      <c r="R33" s="34">
        <v>74302.8984375</v>
      </c>
      <c r="S33" s="29" t="s">
        <v>46</v>
      </c>
      <c r="T33" s="33">
        <v>45446</v>
      </c>
      <c r="U33" s="35" t="b">
        <v>0</v>
      </c>
      <c r="V33" s="35" t="b">
        <v>0</v>
      </c>
      <c r="W33" s="35" t="b">
        <v>1</v>
      </c>
      <c r="Y33" s="31" cm="1">
        <f t="array" ref="Y33">IF(LEFT(_xll.BDP($C33, VOLUME_AVG_10D), 4) = "#N/A", "",  _xll.BDP($C33, VOLUME_AVG_10D))</f>
        <v>105077.796875</v>
      </c>
      <c r="Z33" s="31" cm="1">
        <f t="array" ref="Z33">IF(LEFT(_xll.BDP($C33, VOLUME_AVG_30D), 4) = "#N/A", "",  _xll.BDP($C33, VOLUME_AVG_30D))</f>
        <v>62173.30078125</v>
      </c>
      <c r="AA33" s="31" cm="1">
        <f t="array" ref="AA33">IF(LEFT(_xll.BDP($C33, VOLUME_AVG_3M), 4) = "#N/A", "",  _xll.BDP($C33, VOLUME_AVG_3M))</f>
        <v>60177.37109375</v>
      </c>
      <c r="AB33" s="31" cm="1">
        <f t="array" ref="AB33">IF(LEFT(_xll.BDP($C33, VOLUME_AVG_6M), 4) = "#N/A", "",  _xll.BDP($C33, VOLUME_AVG_6M))</f>
        <v>74302.8984375</v>
      </c>
      <c r="AC33" s="31" cm="1">
        <f t="array" ref="AC33">IF(LEFT(_xll.BDP($C33, VOLUME_AVG_12M), 4) = "#N/A", "",  _xll.BDP($C33, VOLUME_AVG_12M))</f>
        <v>257977.625</v>
      </c>
      <c r="AD33" s="41" cm="1">
        <f t="array" ref="AD33">IF(LEFT(_xll.BDP($C33, LAST_PRICE), 4) = "#N/A", "",  _xll.BDP($C33, LAST_PRICE))</f>
        <v>5.16</v>
      </c>
    </row>
    <row r="34" spans="1:30" x14ac:dyDescent="0.35">
      <c r="A34" s="1">
        <f t="shared" si="0"/>
        <v>31</v>
      </c>
      <c r="B34" s="28">
        <v>45700</v>
      </c>
      <c r="C34" s="29" t="s">
        <v>104</v>
      </c>
      <c r="D34" s="29" t="s">
        <v>104</v>
      </c>
      <c r="E34" s="29" t="s">
        <v>105</v>
      </c>
      <c r="F34" s="29" t="s">
        <v>33</v>
      </c>
      <c r="G34" s="30" t="s">
        <v>34</v>
      </c>
      <c r="H34" s="31"/>
      <c r="I34" s="31"/>
      <c r="J34" s="32"/>
      <c r="K34" s="33">
        <v>45700</v>
      </c>
      <c r="L34" s="31"/>
      <c r="M34" s="32"/>
      <c r="N34" s="31"/>
      <c r="O34" s="33">
        <v>45699</v>
      </c>
      <c r="P34" s="34"/>
      <c r="Q34" s="34"/>
      <c r="R34" s="34"/>
      <c r="S34" s="29"/>
      <c r="T34" s="33"/>
      <c r="U34" s="35" t="b">
        <v>1</v>
      </c>
      <c r="V34" s="35" t="b">
        <v>1</v>
      </c>
      <c r="W34" s="35" t="b">
        <v>1</v>
      </c>
      <c r="Y34" s="31" t="str" cm="1">
        <f t="array" ref="Y34">IF(LEFT(_xll.BDP($C34, VOLUME_AVG_10D), 4) = "#N/A", "",  _xll.BDP($C34, VOLUME_AVG_10D))</f>
        <v/>
      </c>
      <c r="Z34" s="31" t="str" cm="1">
        <f t="array" ref="Z34">IF(LEFT(_xll.BDP($C34, VOLUME_AVG_30D), 4) = "#N/A", "",  _xll.BDP($C34, VOLUME_AVG_30D))</f>
        <v/>
      </c>
      <c r="AA34" s="31" t="str" cm="1">
        <f t="array" ref="AA34">IF(LEFT(_xll.BDP($C34, VOLUME_AVG_3M), 4) = "#N/A", "",  _xll.BDP($C34, VOLUME_AVG_3M))</f>
        <v/>
      </c>
      <c r="AB34" s="31" t="str" cm="1">
        <f t="array" ref="AB34">IF(LEFT(_xll.BDP($C34, VOLUME_AVG_6M), 4) = "#N/A", "",  _xll.BDP($C34, VOLUME_AVG_6M))</f>
        <v/>
      </c>
      <c r="AC34" s="31" t="str" cm="1">
        <f t="array" ref="AC34">IF(LEFT(_xll.BDP($C34, VOLUME_AVG_12M), 4) = "#N/A", "",  _xll.BDP($C34, VOLUME_AVG_12M))</f>
        <v/>
      </c>
      <c r="AD34" s="41" t="str" cm="1">
        <f t="array" ref="AD34">IF(LEFT(_xll.BDP($C34, LAST_PRICE), 4) = "#N/A", "",  _xll.BDP($C34, LAST_PRICE))</f>
        <v/>
      </c>
    </row>
    <row r="35" spans="1:30" x14ac:dyDescent="0.35">
      <c r="A35" s="1">
        <f t="shared" si="0"/>
        <v>32</v>
      </c>
      <c r="B35" s="28">
        <v>45700</v>
      </c>
      <c r="C35" s="29" t="s">
        <v>106</v>
      </c>
      <c r="D35" s="29" t="s">
        <v>106</v>
      </c>
      <c r="E35" s="29" t="s">
        <v>107</v>
      </c>
      <c r="F35" s="29" t="s">
        <v>33</v>
      </c>
      <c r="G35" s="30" t="s">
        <v>34</v>
      </c>
      <c r="H35" s="31"/>
      <c r="I35" s="31"/>
      <c r="J35" s="32"/>
      <c r="K35" s="33">
        <v>45700</v>
      </c>
      <c r="L35" s="31"/>
      <c r="M35" s="32"/>
      <c r="N35" s="31"/>
      <c r="O35" s="33">
        <v>45699</v>
      </c>
      <c r="P35" s="34"/>
      <c r="Q35" s="34"/>
      <c r="R35" s="34"/>
      <c r="S35" s="29"/>
      <c r="T35" s="33"/>
      <c r="U35" s="35" t="b">
        <v>1</v>
      </c>
      <c r="V35" s="35" t="b">
        <v>1</v>
      </c>
      <c r="W35" s="35" t="b">
        <v>1</v>
      </c>
      <c r="Y35" s="31" t="str" cm="1">
        <f t="array" ref="Y35">IF(LEFT(_xll.BDP($C35, VOLUME_AVG_10D), 4) = "#N/A", "",  _xll.BDP($C35, VOLUME_AVG_10D))</f>
        <v/>
      </c>
      <c r="Z35" s="31" t="str" cm="1">
        <f t="array" ref="Z35">IF(LEFT(_xll.BDP($C35, VOLUME_AVG_30D), 4) = "#N/A", "",  _xll.BDP($C35, VOLUME_AVG_30D))</f>
        <v/>
      </c>
      <c r="AA35" s="31" t="str" cm="1">
        <f t="array" ref="AA35">IF(LEFT(_xll.BDP($C35, VOLUME_AVG_3M), 4) = "#N/A", "",  _xll.BDP($C35, VOLUME_AVG_3M))</f>
        <v/>
      </c>
      <c r="AB35" s="31" t="str" cm="1">
        <f t="array" ref="AB35">IF(LEFT(_xll.BDP($C35, VOLUME_AVG_6M), 4) = "#N/A", "",  _xll.BDP($C35, VOLUME_AVG_6M))</f>
        <v/>
      </c>
      <c r="AC35" s="31" t="str" cm="1">
        <f t="array" ref="AC35">IF(LEFT(_xll.BDP($C35, VOLUME_AVG_12M), 4) = "#N/A", "",  _xll.BDP($C35, VOLUME_AVG_12M))</f>
        <v/>
      </c>
      <c r="AD35" s="41" t="str" cm="1">
        <f t="array" ref="AD35">IF(LEFT(_xll.BDP($C35, LAST_PRICE), 4) = "#N/A", "",  _xll.BDP($C35, LAST_PRICE))</f>
        <v/>
      </c>
    </row>
    <row r="36" spans="1:30" x14ac:dyDescent="0.35">
      <c r="A36" s="1">
        <f t="shared" si="0"/>
        <v>33</v>
      </c>
      <c r="B36" s="28">
        <v>45700</v>
      </c>
      <c r="C36" s="29" t="s">
        <v>108</v>
      </c>
      <c r="D36" s="29" t="s">
        <v>108</v>
      </c>
      <c r="E36" s="29" t="s">
        <v>109</v>
      </c>
      <c r="F36" s="29" t="s">
        <v>33</v>
      </c>
      <c r="G36" s="30" t="s">
        <v>34</v>
      </c>
      <c r="H36" s="31">
        <v>34003522.231275201</v>
      </c>
      <c r="I36" s="31">
        <v>-42945477.768724799</v>
      </c>
      <c r="J36" s="32">
        <v>1.0900000333786</v>
      </c>
      <c r="K36" s="33">
        <v>45700</v>
      </c>
      <c r="L36" s="31">
        <v>3426000</v>
      </c>
      <c r="M36" s="32">
        <v>3.88</v>
      </c>
      <c r="N36" s="31" t="s">
        <v>35</v>
      </c>
      <c r="O36" s="33">
        <v>45699</v>
      </c>
      <c r="P36" s="34">
        <v>231888.5625</v>
      </c>
      <c r="Q36" s="34">
        <v>292276.65625</v>
      </c>
      <c r="R36" s="34">
        <v>328448.21875</v>
      </c>
      <c r="S36" s="29" t="s">
        <v>46</v>
      </c>
      <c r="T36" s="33">
        <v>45446</v>
      </c>
      <c r="U36" s="35" t="b">
        <v>0</v>
      </c>
      <c r="V36" s="35" t="b">
        <v>0</v>
      </c>
      <c r="W36" s="35" t="b">
        <v>1</v>
      </c>
      <c r="Y36" s="31" cm="1">
        <f t="array" ref="Y36">IF(LEFT(_xll.BDP($C36, VOLUME_AVG_10D), 4) = "#N/A", "",  _xll.BDP($C36, VOLUME_AVG_10D))</f>
        <v>178681</v>
      </c>
      <c r="Z36" s="31" cm="1">
        <f t="array" ref="Z36">IF(LEFT(_xll.BDP($C36, VOLUME_AVG_30D), 4) = "#N/A", "",  _xll.BDP($C36, VOLUME_AVG_30D))</f>
        <v>231888.5625</v>
      </c>
      <c r="AA36" s="31" cm="1">
        <f t="array" ref="AA36">IF(LEFT(_xll.BDP($C36, VOLUME_AVG_3M), 4) = "#N/A", "",  _xll.BDP($C36, VOLUME_AVG_3M))</f>
        <v>292276.65625</v>
      </c>
      <c r="AB36" s="31" cm="1">
        <f t="array" ref="AB36">IF(LEFT(_xll.BDP($C36, VOLUME_AVG_6M), 4) = "#N/A", "",  _xll.BDP($C36, VOLUME_AVG_6M))</f>
        <v>328448.21875</v>
      </c>
      <c r="AC36" s="31" cm="1">
        <f t="array" ref="AC36">IF(LEFT(_xll.BDP($C36, VOLUME_AVG_12M), 4) = "#N/A", "",  _xll.BDP($C36, VOLUME_AVG_12M))</f>
        <v>441328.59375</v>
      </c>
      <c r="AD36" s="41" cm="1">
        <f t="array" ref="AD36">IF(LEFT(_xll.BDP($C36, LAST_PRICE), 4) = "#N/A", "",  _xll.BDP($C36, LAST_PRICE))</f>
        <v>1.0900000000000001</v>
      </c>
    </row>
    <row r="37" spans="1:30" x14ac:dyDescent="0.35">
      <c r="A37" s="1">
        <f t="shared" si="0"/>
        <v>34</v>
      </c>
      <c r="B37" s="28">
        <v>45700</v>
      </c>
      <c r="C37" s="29" t="s">
        <v>110</v>
      </c>
      <c r="D37" s="29" t="s">
        <v>110</v>
      </c>
      <c r="E37" s="29" t="s">
        <v>111</v>
      </c>
      <c r="F37" s="29" t="s">
        <v>33</v>
      </c>
      <c r="G37" s="30" t="s">
        <v>34</v>
      </c>
      <c r="H37" s="31">
        <v>156057767.169563</v>
      </c>
      <c r="I37" s="31"/>
      <c r="J37" s="32">
        <v>7.9899997711181596</v>
      </c>
      <c r="K37" s="33">
        <v>45700</v>
      </c>
      <c r="L37" s="31">
        <v>67100</v>
      </c>
      <c r="M37" s="32">
        <v>-7.5</v>
      </c>
      <c r="N37" s="31" t="s">
        <v>35</v>
      </c>
      <c r="O37" s="33">
        <v>45699</v>
      </c>
      <c r="P37" s="34">
        <v>35133.33203125</v>
      </c>
      <c r="Q37" s="34">
        <v>52757.58203125</v>
      </c>
      <c r="R37" s="34"/>
      <c r="S37" s="29"/>
      <c r="T37" s="33"/>
      <c r="U37" s="35" t="b">
        <v>0</v>
      </c>
      <c r="V37" s="35" t="b">
        <v>0</v>
      </c>
      <c r="W37" s="35" t="b">
        <v>1</v>
      </c>
      <c r="Y37" s="31" cm="1">
        <f t="array" ref="Y37">IF(LEFT(_xll.BDP($C37, VOLUME_AVG_10D), 4) = "#N/A", "",  _xll.BDP($C37, VOLUME_AVG_10D))</f>
        <v>16887.69921875</v>
      </c>
      <c r="Z37" s="31" cm="1">
        <f t="array" ref="Z37">IF(LEFT(_xll.BDP($C37, VOLUME_AVG_30D), 4) = "#N/A", "",  _xll.BDP($C37, VOLUME_AVG_30D))</f>
        <v>35133.33203125</v>
      </c>
      <c r="AA37" s="31" cm="1">
        <f t="array" ref="AA37">IF(LEFT(_xll.BDP($C37, VOLUME_AVG_3M), 4) = "#N/A", "",  _xll.BDP($C37, VOLUME_AVG_3M))</f>
        <v>52757.58203125</v>
      </c>
      <c r="AB37" s="31" t="str" cm="1">
        <f t="array" ref="AB37">IF(LEFT(_xll.BDP($C37, VOLUME_AVG_6M), 4) = "#N/A", "",  _xll.BDP($C37, VOLUME_AVG_6M))</f>
        <v/>
      </c>
      <c r="AC37" s="31" t="str" cm="1">
        <f t="array" ref="AC37">IF(LEFT(_xll.BDP($C37, VOLUME_AVG_12M), 4) = "#N/A", "",  _xll.BDP($C37, VOLUME_AVG_12M))</f>
        <v/>
      </c>
      <c r="AD37" s="41" cm="1">
        <f t="array" ref="AD37">IF(LEFT(_xll.BDP($C37, LAST_PRICE), 4) = "#N/A", "",  _xll.BDP($C37, LAST_PRICE))</f>
        <v>7.99</v>
      </c>
    </row>
    <row r="38" spans="1:30" x14ac:dyDescent="0.35">
      <c r="A38" s="1">
        <f t="shared" si="0"/>
        <v>35</v>
      </c>
      <c r="B38" s="28">
        <v>45700</v>
      </c>
      <c r="C38" s="29" t="s">
        <v>112</v>
      </c>
      <c r="D38" s="29" t="s">
        <v>112</v>
      </c>
      <c r="E38" s="29" t="s">
        <v>113</v>
      </c>
      <c r="F38" s="29" t="s">
        <v>33</v>
      </c>
      <c r="G38" s="30" t="s">
        <v>34</v>
      </c>
      <c r="H38" s="31">
        <v>82309296.146482706</v>
      </c>
      <c r="I38" s="31">
        <v>-193474703.853517</v>
      </c>
      <c r="J38" s="32">
        <v>1.37000000476837</v>
      </c>
      <c r="K38" s="33">
        <v>45700</v>
      </c>
      <c r="L38" s="31">
        <v>8561700</v>
      </c>
      <c r="M38" s="32">
        <v>3.88</v>
      </c>
      <c r="N38" s="31" t="s">
        <v>35</v>
      </c>
      <c r="O38" s="33">
        <v>45699</v>
      </c>
      <c r="P38" s="34">
        <v>310262.46875</v>
      </c>
      <c r="Q38" s="34">
        <v>319894.28125</v>
      </c>
      <c r="R38" s="34">
        <v>251289.71875</v>
      </c>
      <c r="S38" s="29" t="s">
        <v>82</v>
      </c>
      <c r="T38" s="33">
        <v>45446</v>
      </c>
      <c r="U38" s="35" t="b">
        <v>0</v>
      </c>
      <c r="V38" s="35" t="b">
        <v>0</v>
      </c>
      <c r="W38" s="35" t="b">
        <v>1</v>
      </c>
      <c r="Y38" s="31" cm="1">
        <f t="array" ref="Y38">IF(LEFT(_xll.BDP($C38, VOLUME_AVG_10D), 4) = "#N/A", "",  _xll.BDP($C38, VOLUME_AVG_10D))</f>
        <v>262859.3125</v>
      </c>
      <c r="Z38" s="31" cm="1">
        <f t="array" ref="Z38">IF(LEFT(_xll.BDP($C38, VOLUME_AVG_30D), 4) = "#N/A", "",  _xll.BDP($C38, VOLUME_AVG_30D))</f>
        <v>310262.46875</v>
      </c>
      <c r="AA38" s="31" cm="1">
        <f t="array" ref="AA38">IF(LEFT(_xll.BDP($C38, VOLUME_AVG_3M), 4) = "#N/A", "",  _xll.BDP($C38, VOLUME_AVG_3M))</f>
        <v>319894.28125</v>
      </c>
      <c r="AB38" s="31" cm="1">
        <f t="array" ref="AB38">IF(LEFT(_xll.BDP($C38, VOLUME_AVG_6M), 4) = "#N/A", "",  _xll.BDP($C38, VOLUME_AVG_6M))</f>
        <v>251289.71875</v>
      </c>
      <c r="AC38" s="31" cm="1">
        <f t="array" ref="AC38">IF(LEFT(_xll.BDP($C38, VOLUME_AVG_12M), 4) = "#N/A", "",  _xll.BDP($C38, VOLUME_AVG_12M))</f>
        <v>314923.8125</v>
      </c>
      <c r="AD38" s="41" cm="1">
        <f t="array" ref="AD38">IF(LEFT(_xll.BDP($C38, LAST_PRICE), 4) = "#N/A", "",  _xll.BDP($C38, LAST_PRICE))</f>
        <v>1.37</v>
      </c>
    </row>
    <row r="39" spans="1:30" x14ac:dyDescent="0.35">
      <c r="A39" s="1">
        <f t="shared" si="0"/>
        <v>36</v>
      </c>
      <c r="B39" s="28">
        <v>45700</v>
      </c>
      <c r="C39" s="29" t="s">
        <v>114</v>
      </c>
      <c r="D39" s="29" t="s">
        <v>114</v>
      </c>
      <c r="E39" s="29" t="s">
        <v>115</v>
      </c>
      <c r="F39" s="29" t="s">
        <v>33</v>
      </c>
      <c r="G39" s="30" t="s">
        <v>34</v>
      </c>
      <c r="H39" s="31">
        <v>376210.16310000001</v>
      </c>
      <c r="I39" s="31"/>
      <c r="J39" s="32">
        <v>5.7000000000000002E-3</v>
      </c>
      <c r="K39" s="33">
        <v>45700</v>
      </c>
      <c r="L39" s="31"/>
      <c r="M39" s="32"/>
      <c r="N39" s="31"/>
      <c r="O39" s="33">
        <v>45699</v>
      </c>
      <c r="P39" s="34">
        <v>3017.5</v>
      </c>
      <c r="Q39" s="34">
        <v>2654.20971679688</v>
      </c>
      <c r="R39" s="34">
        <v>1422.18249511719</v>
      </c>
      <c r="S39" s="29"/>
      <c r="T39" s="33"/>
      <c r="U39" s="35" t="b">
        <v>1</v>
      </c>
      <c r="V39" s="35" t="b">
        <v>1</v>
      </c>
      <c r="W39" s="35" t="b">
        <v>1</v>
      </c>
      <c r="Y39" s="31" cm="1">
        <f t="array" ref="Y39">IF(LEFT(_xll.BDP($C39, VOLUME_AVG_10D), 4) = "#N/A", "",  _xll.BDP($C39, VOLUME_AVG_10D))</f>
        <v>222</v>
      </c>
      <c r="Z39" s="31" cm="1">
        <f t="array" ref="Z39">IF(LEFT(_xll.BDP($C39, VOLUME_AVG_30D), 4) = "#N/A", "",  _xll.BDP($C39, VOLUME_AVG_30D))</f>
        <v>3017.5</v>
      </c>
      <c r="AA39" s="31" cm="1">
        <f t="array" ref="AA39">IF(LEFT(_xll.BDP($C39, VOLUME_AVG_3M), 4) = "#N/A", "",  _xll.BDP($C39, VOLUME_AVG_3M))</f>
        <v>2654.209716796875</v>
      </c>
      <c r="AB39" s="31" cm="1">
        <f t="array" ref="AB39">IF(LEFT(_xll.BDP($C39, VOLUME_AVG_6M), 4) = "#N/A", "",  _xll.BDP($C39, VOLUME_AVG_6M))</f>
        <v>1422.1824951171875</v>
      </c>
      <c r="AC39" s="31" cm="1">
        <f t="array" ref="AC39">IF(LEFT(_xll.BDP($C39, VOLUME_AVG_12M), 4) = "#N/A", "",  _xll.BDP($C39, VOLUME_AVG_12M))</f>
        <v>1046.661376953125</v>
      </c>
      <c r="AD39" s="41" cm="1">
        <f t="array" ref="AD39">IF(LEFT(_xll.BDP($C39, LAST_PRICE), 4) = "#N/A", "",  _xll.BDP($C39, LAST_PRICE))</f>
        <v>5.7000000000000002E-3</v>
      </c>
    </row>
    <row r="40" spans="1:30" x14ac:dyDescent="0.35">
      <c r="A40" s="1">
        <f t="shared" si="0"/>
        <v>37</v>
      </c>
      <c r="B40" s="28">
        <v>45700</v>
      </c>
      <c r="C40" s="29" t="s">
        <v>116</v>
      </c>
      <c r="D40" s="29" t="s">
        <v>116</v>
      </c>
      <c r="E40" s="29" t="s">
        <v>117</v>
      </c>
      <c r="F40" s="29" t="s">
        <v>33</v>
      </c>
      <c r="G40" s="30" t="s">
        <v>34</v>
      </c>
      <c r="H40" s="31">
        <v>14533105.880633401</v>
      </c>
      <c r="I40" s="31">
        <v>7058917.8806333505</v>
      </c>
      <c r="J40" s="32">
        <v>0.74400001764297496</v>
      </c>
      <c r="K40" s="33">
        <v>45700</v>
      </c>
      <c r="L40" s="31">
        <v>740300</v>
      </c>
      <c r="M40" s="32">
        <v>3.85</v>
      </c>
      <c r="N40" s="31" t="s">
        <v>35</v>
      </c>
      <c r="O40" s="33">
        <v>45699</v>
      </c>
      <c r="P40" s="34">
        <v>349629.3125</v>
      </c>
      <c r="Q40" s="34">
        <v>279319.53125</v>
      </c>
      <c r="R40" s="34">
        <v>161458.6875</v>
      </c>
      <c r="S40" s="29"/>
      <c r="T40" s="33"/>
      <c r="U40" s="35" t="b">
        <v>1</v>
      </c>
      <c r="V40" s="35" t="b">
        <v>0</v>
      </c>
      <c r="W40" s="35" t="b">
        <v>0</v>
      </c>
      <c r="Y40" s="31" cm="1">
        <f t="array" ref="Y40">IF(LEFT(_xll.BDP($C40, VOLUME_AVG_10D), 4) = "#N/A", "",  _xll.BDP($C40, VOLUME_AVG_10D))</f>
        <v>91482.296875</v>
      </c>
      <c r="Z40" s="31" cm="1">
        <f t="array" ref="Z40">IF(LEFT(_xll.BDP($C40, VOLUME_AVG_30D), 4) = "#N/A", "",  _xll.BDP($C40, VOLUME_AVG_30D))</f>
        <v>349629.3125</v>
      </c>
      <c r="AA40" s="31" cm="1">
        <f t="array" ref="AA40">IF(LEFT(_xll.BDP($C40, VOLUME_AVG_3M), 4) = "#N/A", "",  _xll.BDP($C40, VOLUME_AVG_3M))</f>
        <v>279319.53125</v>
      </c>
      <c r="AB40" s="31" cm="1">
        <f t="array" ref="AB40">IF(LEFT(_xll.BDP($C40, VOLUME_AVG_6M), 4) = "#N/A", "",  _xll.BDP($C40, VOLUME_AVG_6M))</f>
        <v>161458.6875</v>
      </c>
      <c r="AC40" s="31" cm="1">
        <f t="array" ref="AC40">IF(LEFT(_xll.BDP($C40, VOLUME_AVG_12M), 4) = "#N/A", "",  _xll.BDP($C40, VOLUME_AVG_12M))</f>
        <v>116498.3671875</v>
      </c>
      <c r="AD40" s="41" cm="1">
        <f t="array" ref="AD40">IF(LEFT(_xll.BDP($C40, LAST_PRICE), 4) = "#N/A", "",  _xll.BDP($C40, LAST_PRICE))</f>
        <v>0.74399999999999999</v>
      </c>
    </row>
    <row r="41" spans="1:30" x14ac:dyDescent="0.35">
      <c r="A41" s="1">
        <f t="shared" si="0"/>
        <v>38</v>
      </c>
      <c r="B41" s="28">
        <v>45700</v>
      </c>
      <c r="C41" s="29" t="s">
        <v>118</v>
      </c>
      <c r="D41" s="29" t="s">
        <v>118</v>
      </c>
      <c r="E41" s="29" t="s">
        <v>119</v>
      </c>
      <c r="F41" s="29" t="s">
        <v>33</v>
      </c>
      <c r="G41" s="30" t="s">
        <v>34</v>
      </c>
      <c r="H41" s="31"/>
      <c r="I41" s="31"/>
      <c r="J41" s="32"/>
      <c r="K41" s="33">
        <v>45700</v>
      </c>
      <c r="L41" s="31"/>
      <c r="M41" s="32"/>
      <c r="N41" s="31"/>
      <c r="O41" s="33">
        <v>45699</v>
      </c>
      <c r="P41" s="34">
        <v>10</v>
      </c>
      <c r="Q41" s="34">
        <v>138.919357299805</v>
      </c>
      <c r="R41" s="34">
        <v>69.071426391601605</v>
      </c>
      <c r="S41" s="29"/>
      <c r="T41" s="33"/>
      <c r="U41" s="35" t="b">
        <v>1</v>
      </c>
      <c r="V41" s="35" t="b">
        <v>1</v>
      </c>
      <c r="W41" s="35" t="b">
        <v>1</v>
      </c>
      <c r="Y41" s="31" cm="1">
        <f t="array" ref="Y41">IF(LEFT(_xll.BDP($C41, VOLUME_AVG_10D), 4) = "#N/A", "",  _xll.BDP($C41, VOLUME_AVG_10D))</f>
        <v>0</v>
      </c>
      <c r="Z41" s="31" cm="1">
        <f t="array" ref="Z41">IF(LEFT(_xll.BDP($C41, VOLUME_AVG_30D), 4) = "#N/A", "",  _xll.BDP($C41, VOLUME_AVG_30D))</f>
        <v>10</v>
      </c>
      <c r="AA41" s="31" cm="1">
        <f t="array" ref="AA41">IF(LEFT(_xll.BDP($C41, VOLUME_AVG_3M), 4) = "#N/A", "",  _xll.BDP($C41, VOLUME_AVG_3M))</f>
        <v>138.91935729980469</v>
      </c>
      <c r="AB41" s="31" cm="1">
        <f t="array" ref="AB41">IF(LEFT(_xll.BDP($C41, VOLUME_AVG_6M), 4) = "#N/A", "",  _xll.BDP($C41, VOLUME_AVG_6M))</f>
        <v>69.071426391601563</v>
      </c>
      <c r="AC41" s="31" cm="1">
        <f t="array" ref="AC41">IF(LEFT(_xll.BDP($C41, VOLUME_AVG_12M), 4) = "#N/A", "",  _xll.BDP($C41, VOLUME_AVG_12M))</f>
        <v>40.792827606201172</v>
      </c>
      <c r="AD41" s="41" cm="1">
        <f t="array" ref="AD41">IF(LEFT(_xll.BDP($C41, LAST_PRICE), 4) = "#N/A", "",  _xll.BDP($C41, LAST_PRICE))</f>
        <v>9.9999999999999995E-7</v>
      </c>
    </row>
    <row r="42" spans="1:30" x14ac:dyDescent="0.35">
      <c r="A42" s="1">
        <f t="shared" si="0"/>
        <v>39</v>
      </c>
      <c r="B42" s="28">
        <v>45700</v>
      </c>
      <c r="C42" s="29" t="s">
        <v>120</v>
      </c>
      <c r="D42" s="29" t="s">
        <v>120</v>
      </c>
      <c r="E42" s="29" t="s">
        <v>121</v>
      </c>
      <c r="F42" s="29" t="s">
        <v>33</v>
      </c>
      <c r="G42" s="30" t="s">
        <v>34</v>
      </c>
      <c r="H42" s="31">
        <v>1465702.9066673899</v>
      </c>
      <c r="I42" s="31">
        <v>24652702.9066674</v>
      </c>
      <c r="J42" s="32">
        <v>4.8999998718500103E-2</v>
      </c>
      <c r="K42" s="33">
        <v>45700</v>
      </c>
      <c r="L42" s="31">
        <v>1618200</v>
      </c>
      <c r="M42" s="32">
        <v>-4.6500000000000004</v>
      </c>
      <c r="N42" s="31" t="s">
        <v>35</v>
      </c>
      <c r="O42" s="33">
        <v>45699</v>
      </c>
      <c r="P42" s="34">
        <v>46902.765625</v>
      </c>
      <c r="Q42" s="34">
        <v>74145.1640625</v>
      </c>
      <c r="R42" s="34">
        <v>131718.578125</v>
      </c>
      <c r="S42" s="29"/>
      <c r="T42" s="33"/>
      <c r="U42" s="35" t="b">
        <v>1</v>
      </c>
      <c r="V42" s="35" t="b">
        <v>1</v>
      </c>
      <c r="W42" s="35" t="b">
        <v>0</v>
      </c>
      <c r="Y42" s="31" cm="1">
        <f t="array" ref="Y42">IF(LEFT(_xll.BDP($C42, VOLUME_AVG_10D), 4) = "#N/A", "",  _xll.BDP($C42, VOLUME_AVG_10D))</f>
        <v>53794.1015625</v>
      </c>
      <c r="Z42" s="31" cm="1">
        <f t="array" ref="Z42">IF(LEFT(_xll.BDP($C42, VOLUME_AVG_30D), 4) = "#N/A", "",  _xll.BDP($C42, VOLUME_AVG_30D))</f>
        <v>46902.765625</v>
      </c>
      <c r="AA42" s="31" cm="1">
        <f t="array" ref="AA42">IF(LEFT(_xll.BDP($C42, VOLUME_AVG_3M), 4) = "#N/A", "",  _xll.BDP($C42, VOLUME_AVG_3M))</f>
        <v>74145.1640625</v>
      </c>
      <c r="AB42" s="31" cm="1">
        <f t="array" ref="AB42">IF(LEFT(_xll.BDP($C42, VOLUME_AVG_6M), 4) = "#N/A", "",  _xll.BDP($C42, VOLUME_AVG_6M))</f>
        <v>131718.578125</v>
      </c>
      <c r="AC42" s="31" cm="1">
        <f t="array" ref="AC42">IF(LEFT(_xll.BDP($C42, VOLUME_AVG_12M), 4) = "#N/A", "",  _xll.BDP($C42, VOLUME_AVG_12M))</f>
        <v>399082.3125</v>
      </c>
      <c r="AD42" s="41" cm="1">
        <f t="array" ref="AD42">IF(LEFT(_xll.BDP($C42, LAST_PRICE), 4) = "#N/A", "",  _xll.BDP($C42, LAST_PRICE))</f>
        <v>4.9000000000000002E-2</v>
      </c>
    </row>
    <row r="43" spans="1:30" x14ac:dyDescent="0.35">
      <c r="A43" s="1">
        <f t="shared" si="0"/>
        <v>40</v>
      </c>
      <c r="B43" s="28">
        <v>45700</v>
      </c>
      <c r="C43" s="29" t="s">
        <v>122</v>
      </c>
      <c r="D43" s="29" t="s">
        <v>122</v>
      </c>
      <c r="E43" s="29" t="s">
        <v>123</v>
      </c>
      <c r="F43" s="29" t="s">
        <v>33</v>
      </c>
      <c r="G43" s="30" t="s">
        <v>34</v>
      </c>
      <c r="H43" s="31">
        <v>77363034.830992699</v>
      </c>
      <c r="I43" s="31">
        <v>164642408.830993</v>
      </c>
      <c r="J43" s="32">
        <v>1.7519999742507899</v>
      </c>
      <c r="K43" s="33">
        <v>45700</v>
      </c>
      <c r="L43" s="31">
        <v>31200</v>
      </c>
      <c r="M43" s="32">
        <v>-86.65</v>
      </c>
      <c r="N43" s="31" t="s">
        <v>35</v>
      </c>
      <c r="O43" s="33">
        <v>45699</v>
      </c>
      <c r="P43" s="34">
        <v>107178.296875</v>
      </c>
      <c r="Q43" s="34">
        <v>92968.8359375</v>
      </c>
      <c r="R43" s="34">
        <v>90598.7109375</v>
      </c>
      <c r="S43" s="29"/>
      <c r="T43" s="33"/>
      <c r="U43" s="35" t="b">
        <v>0</v>
      </c>
      <c r="V43" s="35" t="b">
        <v>0</v>
      </c>
      <c r="W43" s="35" t="b">
        <v>0</v>
      </c>
      <c r="Y43" s="31" cm="1">
        <f t="array" ref="Y43">IF(LEFT(_xll.BDP($C43, VOLUME_AVG_10D), 4) = "#N/A", "",  _xll.BDP($C43, VOLUME_AVG_10D))</f>
        <v>19043.80078125</v>
      </c>
      <c r="Z43" s="31" cm="1">
        <f t="array" ref="Z43">IF(LEFT(_xll.BDP($C43, VOLUME_AVG_30D), 4) = "#N/A", "",  _xll.BDP($C43, VOLUME_AVG_30D))</f>
        <v>107178.296875</v>
      </c>
      <c r="AA43" s="31" cm="1">
        <f t="array" ref="AA43">IF(LEFT(_xll.BDP($C43, VOLUME_AVG_3M), 4) = "#N/A", "",  _xll.BDP($C43, VOLUME_AVG_3M))</f>
        <v>92968.8359375</v>
      </c>
      <c r="AB43" s="31" cm="1">
        <f t="array" ref="AB43">IF(LEFT(_xll.BDP($C43, VOLUME_AVG_6M), 4) = "#N/A", "",  _xll.BDP($C43, VOLUME_AVG_6M))</f>
        <v>90598.7109375</v>
      </c>
      <c r="AC43" s="31" cm="1">
        <f t="array" ref="AC43">IF(LEFT(_xll.BDP($C43, VOLUME_AVG_12M), 4) = "#N/A", "",  _xll.BDP($C43, VOLUME_AVG_12M))</f>
        <v>58595.70703125</v>
      </c>
      <c r="AD43" s="41" cm="1">
        <f t="array" ref="AD43">IF(LEFT(_xll.BDP($C43, LAST_PRICE), 4) = "#N/A", "",  _xll.BDP($C43, LAST_PRICE))</f>
        <v>1.752</v>
      </c>
    </row>
    <row r="44" spans="1:30" x14ac:dyDescent="0.35">
      <c r="A44" s="1">
        <f t="shared" si="0"/>
        <v>41</v>
      </c>
      <c r="B44" s="28">
        <v>45700</v>
      </c>
      <c r="C44" s="29" t="s">
        <v>124</v>
      </c>
      <c r="D44" s="29" t="s">
        <v>124</v>
      </c>
      <c r="E44" s="29" t="s">
        <v>125</v>
      </c>
      <c r="F44" s="29" t="s">
        <v>33</v>
      </c>
      <c r="G44" s="30" t="s">
        <v>34</v>
      </c>
      <c r="H44" s="31">
        <v>16304458.0198598</v>
      </c>
      <c r="I44" s="31">
        <v>144818458.01986</v>
      </c>
      <c r="J44" s="32">
        <v>1.0599999427795399</v>
      </c>
      <c r="K44" s="33">
        <v>45700</v>
      </c>
      <c r="L44" s="31">
        <v>26300</v>
      </c>
      <c r="M44" s="32">
        <v>-48.6</v>
      </c>
      <c r="N44" s="31" t="s">
        <v>35</v>
      </c>
      <c r="O44" s="33">
        <v>45699</v>
      </c>
      <c r="P44" s="34">
        <v>694432.5</v>
      </c>
      <c r="Q44" s="34">
        <v>514789.75</v>
      </c>
      <c r="R44" s="34">
        <v>265671.25</v>
      </c>
      <c r="S44" s="29"/>
      <c r="T44" s="33"/>
      <c r="U44" s="35" t="b">
        <v>1</v>
      </c>
      <c r="V44" s="35" t="b">
        <v>0</v>
      </c>
      <c r="W44" s="35" t="b">
        <v>0</v>
      </c>
      <c r="Y44" s="31" cm="1">
        <f t="array" ref="Y44">IF(LEFT(_xll.BDP($C44, VOLUME_AVG_10D), 4) = "#N/A", "",  _xll.BDP($C44, VOLUME_AVG_10D))</f>
        <v>231484.40625</v>
      </c>
      <c r="Z44" s="31" cm="1">
        <f t="array" ref="Z44">IF(LEFT(_xll.BDP($C44, VOLUME_AVG_30D), 4) = "#N/A", "",  _xll.BDP($C44, VOLUME_AVG_30D))</f>
        <v>694432.5</v>
      </c>
      <c r="AA44" s="31" cm="1">
        <f t="array" ref="AA44">IF(LEFT(_xll.BDP($C44, VOLUME_AVG_3M), 4) = "#N/A", "",  _xll.BDP($C44, VOLUME_AVG_3M))</f>
        <v>514789.75</v>
      </c>
      <c r="AB44" s="31" cm="1">
        <f t="array" ref="AB44">IF(LEFT(_xll.BDP($C44, VOLUME_AVG_6M), 4) = "#N/A", "",  _xll.BDP($C44, VOLUME_AVG_6M))</f>
        <v>265671.25</v>
      </c>
      <c r="AC44" s="31" cm="1">
        <f t="array" ref="AC44">IF(LEFT(_xll.BDP($C44, VOLUME_AVG_12M), 4) = "#N/A", "",  _xll.BDP($C44, VOLUME_AVG_12M))</f>
        <v>148957.71875</v>
      </c>
      <c r="AD44" s="41" cm="1">
        <f t="array" ref="AD44">IF(LEFT(_xll.BDP($C44, LAST_PRICE), 4) = "#N/A", "",  _xll.BDP($C44, LAST_PRICE))</f>
        <v>1.06</v>
      </c>
    </row>
    <row r="45" spans="1:30" x14ac:dyDescent="0.35">
      <c r="A45" s="1">
        <f t="shared" si="0"/>
        <v>42</v>
      </c>
      <c r="B45" s="28">
        <v>45700</v>
      </c>
      <c r="C45" s="29" t="s">
        <v>126</v>
      </c>
      <c r="D45" s="29" t="s">
        <v>126</v>
      </c>
      <c r="E45" s="29" t="s">
        <v>127</v>
      </c>
      <c r="F45" s="29" t="s">
        <v>33</v>
      </c>
      <c r="G45" s="30" t="s">
        <v>34</v>
      </c>
      <c r="H45" s="31">
        <v>1204266230.88569</v>
      </c>
      <c r="I45" s="31">
        <v>3290728243.2916899</v>
      </c>
      <c r="J45" s="32">
        <v>8.9499998092651403</v>
      </c>
      <c r="K45" s="33">
        <v>45700</v>
      </c>
      <c r="L45" s="31">
        <v>39028800</v>
      </c>
      <c r="M45" s="32">
        <v>3.88</v>
      </c>
      <c r="N45" s="31" t="s">
        <v>35</v>
      </c>
      <c r="O45" s="33">
        <v>45699</v>
      </c>
      <c r="P45" s="34">
        <v>912685.0625</v>
      </c>
      <c r="Q45" s="34">
        <v>1163000.125</v>
      </c>
      <c r="R45" s="34">
        <v>1106435.375</v>
      </c>
      <c r="S45" s="29"/>
      <c r="T45" s="33"/>
      <c r="U45" s="35" t="b">
        <v>0</v>
      </c>
      <c r="V45" s="35" t="b">
        <v>0</v>
      </c>
      <c r="W45" s="35" t="b">
        <v>0</v>
      </c>
      <c r="Y45" s="31" cm="1">
        <f t="array" ref="Y45">IF(LEFT(_xll.BDP($C45, VOLUME_AVG_10D), 4) = "#N/A", "",  _xll.BDP($C45, VOLUME_AVG_10D))</f>
        <v>1014724</v>
      </c>
      <c r="Z45" s="31" cm="1">
        <f t="array" ref="Z45">IF(LEFT(_xll.BDP($C45, VOLUME_AVG_30D), 4) = "#N/A", "",  _xll.BDP($C45, VOLUME_AVG_30D))</f>
        <v>912685.0625</v>
      </c>
      <c r="AA45" s="31" cm="1">
        <f t="array" ref="AA45">IF(LEFT(_xll.BDP($C45, VOLUME_AVG_3M), 4) = "#N/A", "",  _xll.BDP($C45, VOLUME_AVG_3M))</f>
        <v>1163000.125</v>
      </c>
      <c r="AB45" s="31" cm="1">
        <f t="array" ref="AB45">IF(LEFT(_xll.BDP($C45, VOLUME_AVG_6M), 4) = "#N/A", "",  _xll.BDP($C45, VOLUME_AVG_6M))</f>
        <v>1106435.375</v>
      </c>
      <c r="AC45" s="31" cm="1">
        <f t="array" ref="AC45">IF(LEFT(_xll.BDP($C45, VOLUME_AVG_12M), 4) = "#N/A", "",  _xll.BDP($C45, VOLUME_AVG_12M))</f>
        <v>1104523.375</v>
      </c>
      <c r="AD45" s="41" cm="1">
        <f t="array" ref="AD45">IF(LEFT(_xll.BDP($C45, LAST_PRICE), 4) = "#N/A", "",  _xll.BDP($C45, LAST_PRICE))</f>
        <v>8.9499999999999993</v>
      </c>
    </row>
    <row r="46" spans="1:30" x14ac:dyDescent="0.35">
      <c r="A46" s="1">
        <f t="shared" si="0"/>
        <v>43</v>
      </c>
      <c r="B46" s="28">
        <v>45700</v>
      </c>
      <c r="C46" s="29" t="s">
        <v>128</v>
      </c>
      <c r="D46" s="29" t="s">
        <v>128</v>
      </c>
      <c r="E46" s="29" t="s">
        <v>129</v>
      </c>
      <c r="F46" s="29" t="s">
        <v>33</v>
      </c>
      <c r="G46" s="30" t="s">
        <v>34</v>
      </c>
      <c r="H46" s="31">
        <v>148130783.310074</v>
      </c>
      <c r="I46" s="31">
        <v>-13329216.689925799</v>
      </c>
      <c r="J46" s="32">
        <v>0.57889997959136996</v>
      </c>
      <c r="K46" s="33">
        <v>45700</v>
      </c>
      <c r="L46" s="31">
        <v>6383600</v>
      </c>
      <c r="M46" s="32">
        <v>3.75</v>
      </c>
      <c r="N46" s="31" t="s">
        <v>35</v>
      </c>
      <c r="O46" s="33">
        <v>45699</v>
      </c>
      <c r="P46" s="34">
        <v>1367069.25</v>
      </c>
      <c r="Q46" s="34">
        <v>2072666.5</v>
      </c>
      <c r="R46" s="34">
        <v>1625829.125</v>
      </c>
      <c r="S46" s="29" t="s">
        <v>46</v>
      </c>
      <c r="T46" s="33">
        <v>45446</v>
      </c>
      <c r="U46" s="35" t="b">
        <v>0</v>
      </c>
      <c r="V46" s="35" t="b">
        <v>0</v>
      </c>
      <c r="W46" s="35" t="b">
        <v>1</v>
      </c>
      <c r="Y46" s="31" cm="1">
        <f t="array" ref="Y46">IF(LEFT(_xll.BDP($C46, VOLUME_AVG_10D), 4) = "#N/A", "",  _xll.BDP($C46, VOLUME_AVG_10D))</f>
        <v>661763.3125</v>
      </c>
      <c r="Z46" s="31" cm="1">
        <f t="array" ref="Z46">IF(LEFT(_xll.BDP($C46, VOLUME_AVG_30D), 4) = "#N/A", "",  _xll.BDP($C46, VOLUME_AVG_30D))</f>
        <v>1367069.25</v>
      </c>
      <c r="AA46" s="31" cm="1">
        <f t="array" ref="AA46">IF(LEFT(_xll.BDP($C46, VOLUME_AVG_3M), 4) = "#N/A", "",  _xll.BDP($C46, VOLUME_AVG_3M))</f>
        <v>2072666.5</v>
      </c>
      <c r="AB46" s="31" cm="1">
        <f t="array" ref="AB46">IF(LEFT(_xll.BDP($C46, VOLUME_AVG_6M), 4) = "#N/A", "",  _xll.BDP($C46, VOLUME_AVG_6M))</f>
        <v>1625829.125</v>
      </c>
      <c r="AC46" s="31" cm="1">
        <f t="array" ref="AC46">IF(LEFT(_xll.BDP($C46, VOLUME_AVG_12M), 4) = "#N/A", "",  _xll.BDP($C46, VOLUME_AVG_12M))</f>
        <v>1701086.125</v>
      </c>
      <c r="AD46" s="41" cm="1">
        <f t="array" ref="AD46">IF(LEFT(_xll.BDP($C46, LAST_PRICE), 4) = "#N/A", "",  _xll.BDP($C46, LAST_PRICE))</f>
        <v>0.57889999999999997</v>
      </c>
    </row>
    <row r="47" spans="1:30" x14ac:dyDescent="0.35">
      <c r="A47" s="1">
        <f t="shared" si="0"/>
        <v>44</v>
      </c>
      <c r="B47" s="28">
        <v>45700</v>
      </c>
      <c r="C47" s="29" t="s">
        <v>130</v>
      </c>
      <c r="D47" s="29" t="s">
        <v>130</v>
      </c>
      <c r="E47" s="29" t="s">
        <v>131</v>
      </c>
      <c r="F47" s="29" t="s">
        <v>33</v>
      </c>
      <c r="G47" s="30" t="s">
        <v>34</v>
      </c>
      <c r="H47" s="31">
        <v>1114225147.44855</v>
      </c>
      <c r="I47" s="31">
        <v>947434147.44855297</v>
      </c>
      <c r="J47" s="32">
        <v>7.5500001907348597</v>
      </c>
      <c r="K47" s="33">
        <v>45700</v>
      </c>
      <c r="L47" s="31">
        <v>30107600</v>
      </c>
      <c r="M47" s="32">
        <v>3.88</v>
      </c>
      <c r="N47" s="31" t="s">
        <v>35</v>
      </c>
      <c r="O47" s="33">
        <v>45699</v>
      </c>
      <c r="P47" s="34">
        <v>1451315.125</v>
      </c>
      <c r="Q47" s="34">
        <v>1400651.25</v>
      </c>
      <c r="R47" s="34">
        <v>1215928.5</v>
      </c>
      <c r="S47" s="29"/>
      <c r="T47" s="33"/>
      <c r="U47" s="35" t="b">
        <v>0</v>
      </c>
      <c r="V47" s="35" t="b">
        <v>0</v>
      </c>
      <c r="W47" s="35" t="b">
        <v>0</v>
      </c>
      <c r="Y47" s="31" cm="1">
        <f t="array" ref="Y47">IF(LEFT(_xll.BDP($C47, VOLUME_AVG_10D), 4) = "#N/A", "",  _xll.BDP($C47, VOLUME_AVG_10D))</f>
        <v>1332290.25</v>
      </c>
      <c r="Z47" s="31" cm="1">
        <f t="array" ref="Z47">IF(LEFT(_xll.BDP($C47, VOLUME_AVG_30D), 4) = "#N/A", "",  _xll.BDP($C47, VOLUME_AVG_30D))</f>
        <v>1451315.125</v>
      </c>
      <c r="AA47" s="31" cm="1">
        <f t="array" ref="AA47">IF(LEFT(_xll.BDP($C47, VOLUME_AVG_3M), 4) = "#N/A", "",  _xll.BDP($C47, VOLUME_AVG_3M))</f>
        <v>1400651.25</v>
      </c>
      <c r="AB47" s="31" cm="1">
        <f t="array" ref="AB47">IF(LEFT(_xll.BDP($C47, VOLUME_AVG_6M), 4) = "#N/A", "",  _xll.BDP($C47, VOLUME_AVG_6M))</f>
        <v>1215928.5</v>
      </c>
      <c r="AC47" s="31" cm="1">
        <f t="array" ref="AC47">IF(LEFT(_xll.BDP($C47, VOLUME_AVG_12M), 4) = "#N/A", "",  _xll.BDP($C47, VOLUME_AVG_12M))</f>
        <v>1421462.625</v>
      </c>
      <c r="AD47" s="41" cm="1">
        <f t="array" ref="AD47">IF(LEFT(_xll.BDP($C47, LAST_PRICE), 4) = "#N/A", "",  _xll.BDP($C47, LAST_PRICE))</f>
        <v>7.55</v>
      </c>
    </row>
    <row r="48" spans="1:30" x14ac:dyDescent="0.35">
      <c r="A48" s="1">
        <f t="shared" si="0"/>
        <v>45</v>
      </c>
      <c r="B48" s="28">
        <v>45700</v>
      </c>
      <c r="C48" s="29" t="s">
        <v>132</v>
      </c>
      <c r="D48" s="29" t="s">
        <v>132</v>
      </c>
      <c r="E48" s="29" t="s">
        <v>133</v>
      </c>
      <c r="F48" s="29" t="s">
        <v>33</v>
      </c>
      <c r="G48" s="30" t="s">
        <v>34</v>
      </c>
      <c r="H48" s="31">
        <v>143100635.004208</v>
      </c>
      <c r="I48" s="31">
        <v>-122288364.995792</v>
      </c>
      <c r="J48" s="32">
        <v>1.4800000190734901</v>
      </c>
      <c r="K48" s="33">
        <v>45700</v>
      </c>
      <c r="L48" s="31"/>
      <c r="M48" s="32"/>
      <c r="N48" s="31"/>
      <c r="O48" s="33">
        <v>45699</v>
      </c>
      <c r="P48" s="34">
        <v>580511.875</v>
      </c>
      <c r="Q48" s="34">
        <v>941601.25</v>
      </c>
      <c r="R48" s="34">
        <v>643118.125</v>
      </c>
      <c r="S48" s="29"/>
      <c r="T48" s="33"/>
      <c r="U48" s="35" t="b">
        <v>0</v>
      </c>
      <c r="V48" s="35" t="b">
        <v>0</v>
      </c>
      <c r="W48" s="35" t="b">
        <v>1</v>
      </c>
      <c r="Y48" s="31" cm="1">
        <f t="array" ref="Y48">IF(LEFT(_xll.BDP($C48, VOLUME_AVG_10D), 4) = "#N/A", "",  _xll.BDP($C48, VOLUME_AVG_10D))</f>
        <v>545193.375</v>
      </c>
      <c r="Z48" s="31" cm="1">
        <f t="array" ref="Z48">IF(LEFT(_xll.BDP($C48, VOLUME_AVG_30D), 4) = "#N/A", "",  _xll.BDP($C48, VOLUME_AVG_30D))</f>
        <v>580511.875</v>
      </c>
      <c r="AA48" s="31" cm="1">
        <f t="array" ref="AA48">IF(LEFT(_xll.BDP($C48, VOLUME_AVG_3M), 4) = "#N/A", "",  _xll.BDP($C48, VOLUME_AVG_3M))</f>
        <v>941601.25</v>
      </c>
      <c r="AB48" s="31" cm="1">
        <f t="array" ref="AB48">IF(LEFT(_xll.BDP($C48, VOLUME_AVG_6M), 4) = "#N/A", "",  _xll.BDP($C48, VOLUME_AVG_6M))</f>
        <v>643118.125</v>
      </c>
      <c r="AC48" s="31" cm="1">
        <f t="array" ref="AC48">IF(LEFT(_xll.BDP($C48, VOLUME_AVG_12M), 4) = "#N/A", "",  _xll.BDP($C48, VOLUME_AVG_12M))</f>
        <v>666566.25</v>
      </c>
      <c r="AD48" s="41" cm="1">
        <f t="array" ref="AD48">IF(LEFT(_xll.BDP($C48, LAST_PRICE), 4) = "#N/A", "",  _xll.BDP($C48, LAST_PRICE))</f>
        <v>1.48</v>
      </c>
    </row>
    <row r="49" spans="1:30" x14ac:dyDescent="0.35">
      <c r="A49" s="1">
        <f t="shared" si="0"/>
        <v>46</v>
      </c>
      <c r="B49" s="28">
        <v>45700</v>
      </c>
      <c r="C49" s="29" t="s">
        <v>134</v>
      </c>
      <c r="D49" s="29" t="s">
        <v>134</v>
      </c>
      <c r="E49" s="29" t="s">
        <v>135</v>
      </c>
      <c r="F49" s="29" t="s">
        <v>33</v>
      </c>
      <c r="G49" s="30" t="s">
        <v>34</v>
      </c>
      <c r="H49" s="31">
        <v>2071889758.6365099</v>
      </c>
      <c r="I49" s="31">
        <v>1909955758.6365099</v>
      </c>
      <c r="J49" s="32">
        <v>114.26000213623</v>
      </c>
      <c r="K49" s="33">
        <v>45700</v>
      </c>
      <c r="L49" s="31">
        <v>7612300</v>
      </c>
      <c r="M49" s="32">
        <v>3.88</v>
      </c>
      <c r="N49" s="31" t="s">
        <v>35</v>
      </c>
      <c r="O49" s="33">
        <v>45699</v>
      </c>
      <c r="P49" s="34">
        <v>146482</v>
      </c>
      <c r="Q49" s="34">
        <v>146361.859375</v>
      </c>
      <c r="R49" s="34">
        <v>134190.921875</v>
      </c>
      <c r="S49" s="29"/>
      <c r="T49" s="33"/>
      <c r="U49" s="35" t="b">
        <v>0</v>
      </c>
      <c r="V49" s="35" t="b">
        <v>0</v>
      </c>
      <c r="W49" s="35" t="b">
        <v>0</v>
      </c>
      <c r="Y49" s="31" cm="1">
        <f t="array" ref="Y49">IF(LEFT(_xll.BDP($C49, VOLUME_AVG_10D), 4) = "#N/A", "",  _xll.BDP($C49, VOLUME_AVG_10D))</f>
        <v>177293.59375</v>
      </c>
      <c r="Z49" s="31" cm="1">
        <f t="array" ref="Z49">IF(LEFT(_xll.BDP($C49, VOLUME_AVG_30D), 4) = "#N/A", "",  _xll.BDP($C49, VOLUME_AVG_30D))</f>
        <v>146482</v>
      </c>
      <c r="AA49" s="31" cm="1">
        <f t="array" ref="AA49">IF(LEFT(_xll.BDP($C49, VOLUME_AVG_3M), 4) = "#N/A", "",  _xll.BDP($C49, VOLUME_AVG_3M))</f>
        <v>146361.859375</v>
      </c>
      <c r="AB49" s="31" cm="1">
        <f t="array" ref="AB49">IF(LEFT(_xll.BDP($C49, VOLUME_AVG_6M), 4) = "#N/A", "",  _xll.BDP($C49, VOLUME_AVG_6M))</f>
        <v>134190.921875</v>
      </c>
      <c r="AC49" s="31" cm="1">
        <f t="array" ref="AC49">IF(LEFT(_xll.BDP($C49, VOLUME_AVG_12M), 4) = "#N/A", "",  _xll.BDP($C49, VOLUME_AVG_12M))</f>
        <v>140243.625</v>
      </c>
      <c r="AD49" s="41" cm="1">
        <f t="array" ref="AD49">IF(LEFT(_xll.BDP($C49, LAST_PRICE), 4) = "#N/A", "",  _xll.BDP($C49, LAST_PRICE))</f>
        <v>114.26</v>
      </c>
    </row>
    <row r="50" spans="1:30" x14ac:dyDescent="0.35">
      <c r="A50" s="1">
        <f t="shared" si="0"/>
        <v>47</v>
      </c>
      <c r="B50" s="28">
        <v>45700</v>
      </c>
      <c r="C50" s="29" t="s">
        <v>136</v>
      </c>
      <c r="D50" s="29" t="s">
        <v>136</v>
      </c>
      <c r="E50" s="29" t="s">
        <v>137</v>
      </c>
      <c r="F50" s="29" t="s">
        <v>33</v>
      </c>
      <c r="G50" s="30" t="s">
        <v>34</v>
      </c>
      <c r="H50" s="31">
        <v>722.09</v>
      </c>
      <c r="I50" s="31">
        <v>13205868.09</v>
      </c>
      <c r="J50" s="32"/>
      <c r="K50" s="33">
        <v>45700</v>
      </c>
      <c r="L50" s="31"/>
      <c r="M50" s="32"/>
      <c r="N50" s="31"/>
      <c r="O50" s="33">
        <v>45699</v>
      </c>
      <c r="P50" s="34">
        <v>10959.400390625</v>
      </c>
      <c r="Q50" s="34">
        <v>5718.45166015625</v>
      </c>
      <c r="R50" s="34">
        <v>3663.3173828125</v>
      </c>
      <c r="S50" s="29"/>
      <c r="T50" s="33"/>
      <c r="U50" s="35" t="b">
        <v>1</v>
      </c>
      <c r="V50" s="35" t="b">
        <v>1</v>
      </c>
      <c r="W50" s="35" t="b">
        <v>0</v>
      </c>
      <c r="Y50" s="31" cm="1">
        <f t="array" ref="Y50">IF(LEFT(_xll.BDP($C50, VOLUME_AVG_10D), 4) = "#N/A", "",  _xll.BDP($C50, VOLUME_AVG_10D))</f>
        <v>0</v>
      </c>
      <c r="Z50" s="31" cm="1">
        <f t="array" ref="Z50">IF(LEFT(_xll.BDP($C50, VOLUME_AVG_30D), 4) = "#N/A", "",  _xll.BDP($C50, VOLUME_AVG_30D))</f>
        <v>10959.400390625</v>
      </c>
      <c r="AA50" s="31" cm="1">
        <f t="array" ref="AA50">IF(LEFT(_xll.BDP($C50, VOLUME_AVG_3M), 4) = "#N/A", "",  _xll.BDP($C50, VOLUME_AVG_3M))</f>
        <v>5718.45166015625</v>
      </c>
      <c r="AB50" s="31" cm="1">
        <f t="array" ref="AB50">IF(LEFT(_xll.BDP($C50, VOLUME_AVG_6M), 4) = "#N/A", "",  _xll.BDP($C50, VOLUME_AVG_6M))</f>
        <v>3663.3173828125</v>
      </c>
      <c r="AC50" s="31" cm="1">
        <f t="array" ref="AC50">IF(LEFT(_xll.BDP($C50, VOLUME_AVG_12M), 4) = "#N/A", "",  _xll.BDP($C50, VOLUME_AVG_12M))</f>
        <v>28491.15625</v>
      </c>
      <c r="AD50" s="41" t="str" cm="1">
        <f t="array" ref="AD50">IF(LEFT(_xll.BDP($C50, LAST_PRICE), 4) = "#N/A", "",  _xll.BDP($C50, LAST_PRICE))</f>
        <v/>
      </c>
    </row>
    <row r="51" spans="1:30" x14ac:dyDescent="0.35">
      <c r="A51" s="1">
        <f t="shared" si="0"/>
        <v>48</v>
      </c>
      <c r="B51" s="28">
        <v>45700</v>
      </c>
      <c r="C51" s="29" t="s">
        <v>138</v>
      </c>
      <c r="D51" s="29" t="s">
        <v>138</v>
      </c>
      <c r="E51" s="29" t="s">
        <v>139</v>
      </c>
      <c r="F51" s="29" t="s">
        <v>33</v>
      </c>
      <c r="G51" s="30" t="s">
        <v>34</v>
      </c>
      <c r="H51" s="31">
        <v>5028165.0617938004</v>
      </c>
      <c r="I51" s="31">
        <v>-176180.93820619601</v>
      </c>
      <c r="J51" s="32">
        <v>0.77660000324249301</v>
      </c>
      <c r="K51" s="33">
        <v>45700</v>
      </c>
      <c r="L51" s="31">
        <v>157100</v>
      </c>
      <c r="M51" s="32">
        <v>-109.8</v>
      </c>
      <c r="N51" s="31" t="s">
        <v>35</v>
      </c>
      <c r="O51" s="33">
        <v>45699</v>
      </c>
      <c r="P51" s="34">
        <v>120370.9296875</v>
      </c>
      <c r="Q51" s="34">
        <v>176860.46875</v>
      </c>
      <c r="R51" s="34">
        <v>150249.09375</v>
      </c>
      <c r="S51" s="29"/>
      <c r="T51" s="33"/>
      <c r="U51" s="35" t="b">
        <v>1</v>
      </c>
      <c r="V51" s="35" t="b">
        <v>0</v>
      </c>
      <c r="W51" s="35" t="b">
        <v>1</v>
      </c>
      <c r="Y51" s="31" cm="1">
        <f t="array" ref="Y51">IF(LEFT(_xll.BDP($C51, VOLUME_AVG_10D), 4) = "#N/A", "",  _xll.BDP($C51, VOLUME_AVG_10D))</f>
        <v>145792.796875</v>
      </c>
      <c r="Z51" s="31" cm="1">
        <f t="array" ref="Z51">IF(LEFT(_xll.BDP($C51, VOLUME_AVG_30D), 4) = "#N/A", "",  _xll.BDP($C51, VOLUME_AVG_30D))</f>
        <v>120370.9296875</v>
      </c>
      <c r="AA51" s="31" cm="1">
        <f t="array" ref="AA51">IF(LEFT(_xll.BDP($C51, VOLUME_AVG_3M), 4) = "#N/A", "",  _xll.BDP($C51, VOLUME_AVG_3M))</f>
        <v>176860.46875</v>
      </c>
      <c r="AB51" s="31" cm="1">
        <f t="array" ref="AB51">IF(LEFT(_xll.BDP($C51, VOLUME_AVG_6M), 4) = "#N/A", "",  _xll.BDP($C51, VOLUME_AVG_6M))</f>
        <v>150249.09375</v>
      </c>
      <c r="AC51" s="31" cm="1">
        <f t="array" ref="AC51">IF(LEFT(_xll.BDP($C51, VOLUME_AVG_12M), 4) = "#N/A", "",  _xll.BDP($C51, VOLUME_AVG_12M))</f>
        <v>2398752.5</v>
      </c>
      <c r="AD51" s="41" cm="1">
        <f t="array" ref="AD51">IF(LEFT(_xll.BDP($C51, LAST_PRICE), 4) = "#N/A", "",  _xll.BDP($C51, LAST_PRICE))</f>
        <v>0.77659999999999996</v>
      </c>
    </row>
    <row r="52" spans="1:30" x14ac:dyDescent="0.35">
      <c r="A52" s="1">
        <f t="shared" si="0"/>
        <v>49</v>
      </c>
      <c r="B52" s="28">
        <v>45700</v>
      </c>
      <c r="C52" s="29" t="s">
        <v>140</v>
      </c>
      <c r="D52" s="29" t="s">
        <v>140</v>
      </c>
      <c r="E52" s="29" t="s">
        <v>141</v>
      </c>
      <c r="F52" s="29" t="s">
        <v>33</v>
      </c>
      <c r="G52" s="30" t="s">
        <v>34</v>
      </c>
      <c r="H52" s="31">
        <v>71400433.490257293</v>
      </c>
      <c r="I52" s="31">
        <v>-112465566.50974301</v>
      </c>
      <c r="J52" s="32">
        <v>0.86650002002716098</v>
      </c>
      <c r="K52" s="33">
        <v>45700</v>
      </c>
      <c r="L52" s="31">
        <v>8039700</v>
      </c>
      <c r="M52" s="32">
        <v>3.8</v>
      </c>
      <c r="N52" s="31" t="s">
        <v>35</v>
      </c>
      <c r="O52" s="33">
        <v>45699</v>
      </c>
      <c r="P52" s="34">
        <v>1193160.375</v>
      </c>
      <c r="Q52" s="34">
        <v>976656.0625</v>
      </c>
      <c r="R52" s="34">
        <v>696698.375</v>
      </c>
      <c r="S52" s="29" t="s">
        <v>73</v>
      </c>
      <c r="T52" s="33">
        <v>45446</v>
      </c>
      <c r="U52" s="35" t="b">
        <v>0</v>
      </c>
      <c r="V52" s="35" t="b">
        <v>0</v>
      </c>
      <c r="W52" s="35" t="b">
        <v>1</v>
      </c>
      <c r="Y52" s="31" cm="1">
        <f t="array" ref="Y52">IF(LEFT(_xll.BDP($C52, VOLUME_AVG_10D), 4) = "#N/A", "",  _xll.BDP($C52, VOLUME_AVG_10D))</f>
        <v>2808009.25</v>
      </c>
      <c r="Z52" s="31" cm="1">
        <f t="array" ref="Z52">IF(LEFT(_xll.BDP($C52, VOLUME_AVG_30D), 4) = "#N/A", "",  _xll.BDP($C52, VOLUME_AVG_30D))</f>
        <v>1193160.375</v>
      </c>
      <c r="AA52" s="31" cm="1">
        <f t="array" ref="AA52">IF(LEFT(_xll.BDP($C52, VOLUME_AVG_3M), 4) = "#N/A", "",  _xll.BDP($C52, VOLUME_AVG_3M))</f>
        <v>976656.0625</v>
      </c>
      <c r="AB52" s="31" cm="1">
        <f t="array" ref="AB52">IF(LEFT(_xll.BDP($C52, VOLUME_AVG_6M), 4) = "#N/A", "",  _xll.BDP($C52, VOLUME_AVG_6M))</f>
        <v>696698.375</v>
      </c>
      <c r="AC52" s="31" cm="1">
        <f t="array" ref="AC52">IF(LEFT(_xll.BDP($C52, VOLUME_AVG_12M), 4) = "#N/A", "",  _xll.BDP($C52, VOLUME_AVG_12M))</f>
        <v>967830.5625</v>
      </c>
      <c r="AD52" s="41" cm="1">
        <f t="array" ref="AD52">IF(LEFT(_xll.BDP($C52, LAST_PRICE), 4) = "#N/A", "",  _xll.BDP($C52, LAST_PRICE))</f>
        <v>0.86650000000000005</v>
      </c>
    </row>
    <row r="53" spans="1:30" x14ac:dyDescent="0.35">
      <c r="A53" s="1">
        <f t="shared" si="0"/>
        <v>50</v>
      </c>
      <c r="B53" s="28">
        <v>45700</v>
      </c>
      <c r="C53" s="29" t="s">
        <v>142</v>
      </c>
      <c r="D53" s="29" t="s">
        <v>142</v>
      </c>
      <c r="E53" s="29" t="s">
        <v>143</v>
      </c>
      <c r="F53" s="29" t="s">
        <v>33</v>
      </c>
      <c r="G53" s="30" t="s">
        <v>34</v>
      </c>
      <c r="H53" s="31">
        <v>7195016.0029212097</v>
      </c>
      <c r="I53" s="31">
        <v>11848970.002921199</v>
      </c>
      <c r="J53" s="32">
        <v>9.1200001537799794E-2</v>
      </c>
      <c r="K53" s="33">
        <v>45700</v>
      </c>
      <c r="L53" s="31">
        <v>5217100</v>
      </c>
      <c r="M53" s="32">
        <v>-8.15</v>
      </c>
      <c r="N53" s="31" t="s">
        <v>35</v>
      </c>
      <c r="O53" s="33">
        <v>45699</v>
      </c>
      <c r="P53" s="34">
        <v>42990716</v>
      </c>
      <c r="Q53" s="34">
        <v>21899896</v>
      </c>
      <c r="R53" s="34">
        <v>12013680</v>
      </c>
      <c r="S53" s="29"/>
      <c r="T53" s="33"/>
      <c r="U53" s="35" t="b">
        <v>1</v>
      </c>
      <c r="V53" s="35" t="b">
        <v>1</v>
      </c>
      <c r="W53" s="35" t="b">
        <v>0</v>
      </c>
      <c r="Y53" s="31" cm="1">
        <f t="array" ref="Y53">IF(LEFT(_xll.BDP($C53, VOLUME_AVG_10D), 4) = "#N/A", "",  _xll.BDP($C53, VOLUME_AVG_10D))</f>
        <v>46005968</v>
      </c>
      <c r="Z53" s="31" cm="1">
        <f t="array" ref="Z53">IF(LEFT(_xll.BDP($C53, VOLUME_AVG_30D), 4) = "#N/A", "",  _xll.BDP($C53, VOLUME_AVG_30D))</f>
        <v>42990716</v>
      </c>
      <c r="AA53" s="31" cm="1">
        <f t="array" ref="AA53">IF(LEFT(_xll.BDP($C53, VOLUME_AVG_3M), 4) = "#N/A", "",  _xll.BDP($C53, VOLUME_AVG_3M))</f>
        <v>21899896</v>
      </c>
      <c r="AB53" s="31" cm="1">
        <f t="array" ref="AB53">IF(LEFT(_xll.BDP($C53, VOLUME_AVG_6M), 4) = "#N/A", "",  _xll.BDP($C53, VOLUME_AVG_6M))</f>
        <v>12013680</v>
      </c>
      <c r="AC53" s="31" cm="1">
        <f t="array" ref="AC53">IF(LEFT(_xll.BDP($C53, VOLUME_AVG_12M), 4) = "#N/A", "",  _xll.BDP($C53, VOLUME_AVG_12M))</f>
        <v>6047975.5</v>
      </c>
      <c r="AD53" s="41" cm="1">
        <f t="array" ref="AD53">IF(LEFT(_xll.BDP($C53, LAST_PRICE), 4) = "#N/A", "",  _xll.BDP($C53, LAST_PRICE))</f>
        <v>9.1200000000000003E-2</v>
      </c>
    </row>
    <row r="54" spans="1:30" x14ac:dyDescent="0.35">
      <c r="A54" s="1">
        <f t="shared" si="0"/>
        <v>51</v>
      </c>
      <c r="B54" s="28">
        <v>45700</v>
      </c>
      <c r="C54" s="29" t="s">
        <v>144</v>
      </c>
      <c r="D54" s="29" t="s">
        <v>144</v>
      </c>
      <c r="E54" s="29" t="s">
        <v>145</v>
      </c>
      <c r="F54" s="29" t="s">
        <v>33</v>
      </c>
      <c r="G54" s="30" t="s">
        <v>34</v>
      </c>
      <c r="H54" s="31">
        <v>80627083.468549699</v>
      </c>
      <c r="I54" s="31">
        <v>13676083.4685497</v>
      </c>
      <c r="J54" s="32">
        <v>2.1849999427795401</v>
      </c>
      <c r="K54" s="33">
        <v>45700</v>
      </c>
      <c r="L54" s="31"/>
      <c r="M54" s="32"/>
      <c r="N54" s="31"/>
      <c r="O54" s="33">
        <v>45699</v>
      </c>
      <c r="P54" s="34">
        <v>9919.2001953125</v>
      </c>
      <c r="Q54" s="34">
        <v>11556.87109375</v>
      </c>
      <c r="R54" s="34">
        <v>12461.72265625</v>
      </c>
      <c r="S54" s="29"/>
      <c r="T54" s="33"/>
      <c r="U54" s="35" t="b">
        <v>0</v>
      </c>
      <c r="V54" s="35" t="b">
        <v>0</v>
      </c>
      <c r="W54" s="35" t="b">
        <v>0</v>
      </c>
      <c r="Y54" s="31" cm="1">
        <f t="array" ref="Y54">IF(LEFT(_xll.BDP($C54, VOLUME_AVG_10D), 4) = "#N/A", "",  _xll.BDP($C54, VOLUME_AVG_10D))</f>
        <v>3086.10009765625</v>
      </c>
      <c r="Z54" s="31" cm="1">
        <f t="array" ref="Z54">IF(LEFT(_xll.BDP($C54, VOLUME_AVG_30D), 4) = "#N/A", "",  _xll.BDP($C54, VOLUME_AVG_30D))</f>
        <v>9919.2001953125</v>
      </c>
      <c r="AA54" s="31" cm="1">
        <f t="array" ref="AA54">IF(LEFT(_xll.BDP($C54, VOLUME_AVG_3M), 4) = "#N/A", "",  _xll.BDP($C54, VOLUME_AVG_3M))</f>
        <v>11556.87109375</v>
      </c>
      <c r="AB54" s="31" cm="1">
        <f t="array" ref="AB54">IF(LEFT(_xll.BDP($C54, VOLUME_AVG_6M), 4) = "#N/A", "",  _xll.BDP($C54, VOLUME_AVG_6M))</f>
        <v>12461.72265625</v>
      </c>
      <c r="AC54" s="31" cm="1">
        <f t="array" ref="AC54">IF(LEFT(_xll.BDP($C54, VOLUME_AVG_12M), 4) = "#N/A", "",  _xll.BDP($C54, VOLUME_AVG_12M))</f>
        <v>11376.2626953125</v>
      </c>
      <c r="AD54" s="41" cm="1">
        <f t="array" ref="AD54">IF(LEFT(_xll.BDP($C54, LAST_PRICE), 4) = "#N/A", "",  _xll.BDP($C54, LAST_PRICE))</f>
        <v>2.1850000000000001</v>
      </c>
    </row>
    <row r="55" spans="1:30" x14ac:dyDescent="0.35">
      <c r="A55" s="1">
        <f t="shared" si="0"/>
        <v>52</v>
      </c>
      <c r="B55" s="28">
        <v>45700</v>
      </c>
      <c r="C55" s="29" t="s">
        <v>146</v>
      </c>
      <c r="D55" s="29" t="s">
        <v>146</v>
      </c>
      <c r="E55" s="29" t="s">
        <v>147</v>
      </c>
      <c r="F55" s="29" t="s">
        <v>33</v>
      </c>
      <c r="G55" s="30" t="s">
        <v>34</v>
      </c>
      <c r="H55" s="31">
        <v>3744421643.5902901</v>
      </c>
      <c r="I55" s="31">
        <v>3769098643.5902901</v>
      </c>
      <c r="J55" s="32">
        <v>15.8400001525879</v>
      </c>
      <c r="K55" s="33">
        <v>45700</v>
      </c>
      <c r="L55" s="31">
        <v>94159400</v>
      </c>
      <c r="M55" s="32">
        <v>3.88</v>
      </c>
      <c r="N55" s="31" t="s">
        <v>35</v>
      </c>
      <c r="O55" s="33">
        <v>45699</v>
      </c>
      <c r="P55" s="34">
        <v>2299554.25</v>
      </c>
      <c r="Q55" s="34">
        <v>2534607.75</v>
      </c>
      <c r="R55" s="34">
        <v>3922770.25</v>
      </c>
      <c r="S55" s="29" t="s">
        <v>73</v>
      </c>
      <c r="T55" s="33">
        <v>45446</v>
      </c>
      <c r="U55" s="35" t="b">
        <v>0</v>
      </c>
      <c r="V55" s="35" t="b">
        <v>0</v>
      </c>
      <c r="W55" s="35" t="b">
        <v>0</v>
      </c>
      <c r="Y55" s="31" cm="1">
        <f t="array" ref="Y55">IF(LEFT(_xll.BDP($C55, VOLUME_AVG_10D), 4) = "#N/A", "",  _xll.BDP($C55, VOLUME_AVG_10D))</f>
        <v>2083286.75</v>
      </c>
      <c r="Z55" s="31" cm="1">
        <f t="array" ref="Z55">IF(LEFT(_xll.BDP($C55, VOLUME_AVG_30D), 4) = "#N/A", "",  _xll.BDP($C55, VOLUME_AVG_30D))</f>
        <v>2299554.25</v>
      </c>
      <c r="AA55" s="31" cm="1">
        <f t="array" ref="AA55">IF(LEFT(_xll.BDP($C55, VOLUME_AVG_3M), 4) = "#N/A", "",  _xll.BDP($C55, VOLUME_AVG_3M))</f>
        <v>2534607.75</v>
      </c>
      <c r="AB55" s="31" cm="1">
        <f t="array" ref="AB55">IF(LEFT(_xll.BDP($C55, VOLUME_AVG_6M), 4) = "#N/A", "",  _xll.BDP($C55, VOLUME_AVG_6M))</f>
        <v>3922770.25</v>
      </c>
      <c r="AC55" s="31" cm="1">
        <f t="array" ref="AC55">IF(LEFT(_xll.BDP($C55, VOLUME_AVG_12M), 4) = "#N/A", "",  _xll.BDP($C55, VOLUME_AVG_12M))</f>
        <v>3513809.5</v>
      </c>
      <c r="AD55" s="41" cm="1">
        <f t="array" ref="AD55">IF(LEFT(_xll.BDP($C55, LAST_PRICE), 4) = "#N/A", "",  _xll.BDP($C55, LAST_PRICE))</f>
        <v>15.84</v>
      </c>
    </row>
    <row r="56" spans="1:30" x14ac:dyDescent="0.35">
      <c r="A56" s="1">
        <f t="shared" si="0"/>
        <v>53</v>
      </c>
      <c r="B56" s="28">
        <v>45700</v>
      </c>
      <c r="C56" s="29" t="s">
        <v>148</v>
      </c>
      <c r="D56" s="29" t="s">
        <v>148</v>
      </c>
      <c r="E56" s="29" t="s">
        <v>149</v>
      </c>
      <c r="F56" s="29" t="s">
        <v>33</v>
      </c>
      <c r="G56" s="30" t="s">
        <v>34</v>
      </c>
      <c r="H56" s="31"/>
      <c r="I56" s="31"/>
      <c r="J56" s="32"/>
      <c r="K56" s="33">
        <v>45700</v>
      </c>
      <c r="L56" s="31"/>
      <c r="M56" s="32"/>
      <c r="N56" s="31"/>
      <c r="O56" s="33">
        <v>45699</v>
      </c>
      <c r="P56" s="34"/>
      <c r="Q56" s="34"/>
      <c r="R56" s="34"/>
      <c r="S56" s="29"/>
      <c r="T56" s="33"/>
      <c r="U56" s="35" t="b">
        <v>1</v>
      </c>
      <c r="V56" s="35" t="b">
        <v>1</v>
      </c>
      <c r="W56" s="35" t="b">
        <v>1</v>
      </c>
      <c r="Y56" s="31" t="str" cm="1">
        <f t="array" ref="Y56">IF(LEFT(_xll.BDP($C56, VOLUME_AVG_10D), 4) = "#N/A", "",  _xll.BDP($C56, VOLUME_AVG_10D))</f>
        <v/>
      </c>
      <c r="Z56" s="31" t="str" cm="1">
        <f t="array" ref="Z56">IF(LEFT(_xll.BDP($C56, VOLUME_AVG_30D), 4) = "#N/A", "",  _xll.BDP($C56, VOLUME_AVG_30D))</f>
        <v/>
      </c>
      <c r="AA56" s="31" t="str" cm="1">
        <f t="array" ref="AA56">IF(LEFT(_xll.BDP($C56, VOLUME_AVG_3M), 4) = "#N/A", "",  _xll.BDP($C56, VOLUME_AVG_3M))</f>
        <v/>
      </c>
      <c r="AB56" s="31" t="str" cm="1">
        <f t="array" ref="AB56">IF(LEFT(_xll.BDP($C56, VOLUME_AVG_6M), 4) = "#N/A", "",  _xll.BDP($C56, VOLUME_AVG_6M))</f>
        <v/>
      </c>
      <c r="AC56" s="31" t="str" cm="1">
        <f t="array" ref="AC56">IF(LEFT(_xll.BDP($C56, VOLUME_AVG_12M), 4) = "#N/A", "",  _xll.BDP($C56, VOLUME_AVG_12M))</f>
        <v/>
      </c>
      <c r="AD56" s="41" t="str" cm="1">
        <f t="array" ref="AD56">IF(LEFT(_xll.BDP($C56, LAST_PRICE), 4) = "#N/A", "",  _xll.BDP($C56, LAST_PRICE))</f>
        <v/>
      </c>
    </row>
    <row r="57" spans="1:30" x14ac:dyDescent="0.35">
      <c r="A57" s="1">
        <f t="shared" si="0"/>
        <v>54</v>
      </c>
      <c r="B57" s="28">
        <v>45700</v>
      </c>
      <c r="C57" s="29" t="s">
        <v>150</v>
      </c>
      <c r="D57" s="29" t="s">
        <v>150</v>
      </c>
      <c r="E57" s="29" t="s">
        <v>151</v>
      </c>
      <c r="F57" s="29" t="s">
        <v>33</v>
      </c>
      <c r="G57" s="30" t="s">
        <v>34</v>
      </c>
      <c r="H57" s="31">
        <v>8189.69694311085</v>
      </c>
      <c r="I57" s="31"/>
      <c r="J57" s="32">
        <v>9.9999997473787499E-6</v>
      </c>
      <c r="K57" s="33">
        <v>45700</v>
      </c>
      <c r="L57" s="31"/>
      <c r="M57" s="32"/>
      <c r="N57" s="31"/>
      <c r="O57" s="33">
        <v>45699</v>
      </c>
      <c r="P57" s="34">
        <v>82374.296875</v>
      </c>
      <c r="Q57" s="34">
        <v>69483.515625</v>
      </c>
      <c r="R57" s="34">
        <v>50322.9140625</v>
      </c>
      <c r="S57" s="29"/>
      <c r="T57" s="33"/>
      <c r="U57" s="35" t="b">
        <v>1</v>
      </c>
      <c r="V57" s="35" t="b">
        <v>1</v>
      </c>
      <c r="W57" s="35" t="b">
        <v>1</v>
      </c>
      <c r="Y57" s="31" cm="1">
        <f t="array" ref="Y57">IF(LEFT(_xll.BDP($C57, VOLUME_AVG_10D), 4) = "#N/A", "",  _xll.BDP($C57, VOLUME_AVG_10D))</f>
        <v>111743.3984375</v>
      </c>
      <c r="Z57" s="31" cm="1">
        <f t="array" ref="Z57">IF(LEFT(_xll.BDP($C57, VOLUME_AVG_30D), 4) = "#N/A", "",  _xll.BDP($C57, VOLUME_AVG_30D))</f>
        <v>82374.296875</v>
      </c>
      <c r="AA57" s="31" cm="1">
        <f t="array" ref="AA57">IF(LEFT(_xll.BDP($C57, VOLUME_AVG_3M), 4) = "#N/A", "",  _xll.BDP($C57, VOLUME_AVG_3M))</f>
        <v>69483.515625</v>
      </c>
      <c r="AB57" s="31" cm="1">
        <f t="array" ref="AB57">IF(LEFT(_xll.BDP($C57, VOLUME_AVG_6M), 4) = "#N/A", "",  _xll.BDP($C57, VOLUME_AVG_6M))</f>
        <v>50322.9140625</v>
      </c>
      <c r="AC57" s="31" cm="1">
        <f t="array" ref="AC57">IF(LEFT(_xll.BDP($C57, VOLUME_AVG_12M), 4) = "#N/A", "",  _xll.BDP($C57, VOLUME_AVG_12M))</f>
        <v>27107.685546875</v>
      </c>
      <c r="AD57" s="41" cm="1">
        <f t="array" ref="AD57">IF(LEFT(_xll.BDP($C57, LAST_PRICE), 4) = "#N/A", "",  _xll.BDP($C57, LAST_PRICE))</f>
        <v>1.0000000000000001E-5</v>
      </c>
    </row>
    <row r="58" spans="1:30" x14ac:dyDescent="0.35">
      <c r="A58" s="1">
        <f t="shared" si="0"/>
        <v>55</v>
      </c>
      <c r="B58" s="28">
        <v>45700</v>
      </c>
      <c r="C58" s="29" t="s">
        <v>152</v>
      </c>
      <c r="D58" s="29" t="s">
        <v>152</v>
      </c>
      <c r="E58" s="29" t="s">
        <v>153</v>
      </c>
      <c r="F58" s="29" t="s">
        <v>33</v>
      </c>
      <c r="G58" s="30" t="s">
        <v>34</v>
      </c>
      <c r="H58" s="31">
        <v>85082076.844203904</v>
      </c>
      <c r="I58" s="31">
        <v>5104076.8442039499</v>
      </c>
      <c r="J58" s="32">
        <v>4.0900001525878897</v>
      </c>
      <c r="K58" s="33">
        <v>45700</v>
      </c>
      <c r="L58" s="31">
        <v>3625800</v>
      </c>
      <c r="M58" s="32">
        <v>3.88</v>
      </c>
      <c r="N58" s="31" t="s">
        <v>35</v>
      </c>
      <c r="O58" s="33">
        <v>45699</v>
      </c>
      <c r="P58" s="34">
        <v>175145.234375</v>
      </c>
      <c r="Q58" s="34">
        <v>222591.84375</v>
      </c>
      <c r="R58" s="34">
        <v>203332.046875</v>
      </c>
      <c r="S58" s="29" t="s">
        <v>68</v>
      </c>
      <c r="T58" s="33">
        <v>45446</v>
      </c>
      <c r="U58" s="35" t="b">
        <v>0</v>
      </c>
      <c r="V58" s="35" t="b">
        <v>0</v>
      </c>
      <c r="W58" s="35" t="b">
        <v>0</v>
      </c>
      <c r="Y58" s="31" cm="1">
        <f t="array" ref="Y58">IF(LEFT(_xll.BDP($C58, VOLUME_AVG_10D), 4) = "#N/A", "",  _xll.BDP($C58, VOLUME_AVG_10D))</f>
        <v>149608.90625</v>
      </c>
      <c r="Z58" s="31" cm="1">
        <f t="array" ref="Z58">IF(LEFT(_xll.BDP($C58, VOLUME_AVG_30D), 4) = "#N/A", "",  _xll.BDP($C58, VOLUME_AVG_30D))</f>
        <v>175145.234375</v>
      </c>
      <c r="AA58" s="31" cm="1">
        <f t="array" ref="AA58">IF(LEFT(_xll.BDP($C58, VOLUME_AVG_3M), 4) = "#N/A", "",  _xll.BDP($C58, VOLUME_AVG_3M))</f>
        <v>222591.84375</v>
      </c>
      <c r="AB58" s="31" cm="1">
        <f t="array" ref="AB58">IF(LEFT(_xll.BDP($C58, VOLUME_AVG_6M), 4) = "#N/A", "",  _xll.BDP($C58, VOLUME_AVG_6M))</f>
        <v>203332.046875</v>
      </c>
      <c r="AC58" s="31" cm="1">
        <f t="array" ref="AC58">IF(LEFT(_xll.BDP($C58, VOLUME_AVG_12M), 4) = "#N/A", "",  _xll.BDP($C58, VOLUME_AVG_12M))</f>
        <v>264518.53125</v>
      </c>
      <c r="AD58" s="41" cm="1">
        <f t="array" ref="AD58">IF(LEFT(_xll.BDP($C58, LAST_PRICE), 4) = "#N/A", "",  _xll.BDP($C58, LAST_PRICE))</f>
        <v>4.09</v>
      </c>
    </row>
    <row r="59" spans="1:30" x14ac:dyDescent="0.35">
      <c r="A59" s="1">
        <f t="shared" si="0"/>
        <v>56</v>
      </c>
      <c r="B59" s="28">
        <v>45700</v>
      </c>
      <c r="C59" s="29" t="s">
        <v>154</v>
      </c>
      <c r="D59" s="29" t="s">
        <v>154</v>
      </c>
      <c r="E59" s="29" t="s">
        <v>155</v>
      </c>
      <c r="F59" s="29" t="s">
        <v>33</v>
      </c>
      <c r="G59" s="30" t="s">
        <v>34</v>
      </c>
      <c r="H59" s="31"/>
      <c r="I59" s="31"/>
      <c r="J59" s="32"/>
      <c r="K59" s="33">
        <v>45700</v>
      </c>
      <c r="L59" s="31"/>
      <c r="M59" s="32"/>
      <c r="N59" s="31"/>
      <c r="O59" s="33">
        <v>45699</v>
      </c>
      <c r="P59" s="34">
        <v>285.46667480468801</v>
      </c>
      <c r="Q59" s="34">
        <v>143.66128540039099</v>
      </c>
      <c r="R59" s="34">
        <v>99.111114501953097</v>
      </c>
      <c r="S59" s="29"/>
      <c r="T59" s="33"/>
      <c r="U59" s="35" t="b">
        <v>1</v>
      </c>
      <c r="V59" s="35" t="b">
        <v>1</v>
      </c>
      <c r="W59" s="35" t="b">
        <v>1</v>
      </c>
      <c r="Y59" s="31" cm="1">
        <f t="array" ref="Y59">IF(LEFT(_xll.BDP($C59, VOLUME_AVG_10D), 4) = "#N/A", "",  _xll.BDP($C59, VOLUME_AVG_10D))</f>
        <v>0</v>
      </c>
      <c r="Z59" s="31" cm="1">
        <f t="array" ref="Z59">IF(LEFT(_xll.BDP($C59, VOLUME_AVG_30D), 4) = "#N/A", "",  _xll.BDP($C59, VOLUME_AVG_30D))</f>
        <v>285.4666748046875</v>
      </c>
      <c r="AA59" s="31" cm="1">
        <f t="array" ref="AA59">IF(LEFT(_xll.BDP($C59, VOLUME_AVG_3M), 4) = "#N/A", "",  _xll.BDP($C59, VOLUME_AVG_3M))</f>
        <v>143.66128540039063</v>
      </c>
      <c r="AB59" s="31" cm="1">
        <f t="array" ref="AB59">IF(LEFT(_xll.BDP($C59, VOLUME_AVG_6M), 4) = "#N/A", "",  _xll.BDP($C59, VOLUME_AVG_6M))</f>
        <v>99.111114501953125</v>
      </c>
      <c r="AC59" s="31" cm="1">
        <f t="array" ref="AC59">IF(LEFT(_xll.BDP($C59, VOLUME_AVG_12M), 4) = "#N/A", "",  _xll.BDP($C59, VOLUME_AVG_12M))</f>
        <v>52.011951446533203</v>
      </c>
      <c r="AD59" s="41" cm="1">
        <f t="array" ref="AD59">IF(LEFT(_xll.BDP($C59, LAST_PRICE), 4) = "#N/A", "",  _xll.BDP($C59, LAST_PRICE))</f>
        <v>9.9999999999999995E-7</v>
      </c>
    </row>
    <row r="60" spans="1:30" x14ac:dyDescent="0.35">
      <c r="A60" s="1">
        <f t="shared" si="0"/>
        <v>57</v>
      </c>
      <c r="B60" s="28">
        <v>45700</v>
      </c>
      <c r="C60" s="29" t="s">
        <v>156</v>
      </c>
      <c r="D60" s="29" t="s">
        <v>156</v>
      </c>
      <c r="E60" s="29" t="s">
        <v>157</v>
      </c>
      <c r="F60" s="29" t="s">
        <v>33</v>
      </c>
      <c r="G60" s="30" t="s">
        <v>34</v>
      </c>
      <c r="H60" s="31"/>
      <c r="I60" s="31"/>
      <c r="J60" s="32"/>
      <c r="K60" s="33">
        <v>45700</v>
      </c>
      <c r="L60" s="31"/>
      <c r="M60" s="32"/>
      <c r="N60" s="31"/>
      <c r="O60" s="33">
        <v>45699</v>
      </c>
      <c r="P60" s="34">
        <v>101</v>
      </c>
      <c r="Q60" s="34">
        <v>20787.64453125</v>
      </c>
      <c r="R60" s="34">
        <v>10229.0400390625</v>
      </c>
      <c r="S60" s="29"/>
      <c r="T60" s="33"/>
      <c r="U60" s="35" t="b">
        <v>1</v>
      </c>
      <c r="V60" s="35" t="b">
        <v>1</v>
      </c>
      <c r="W60" s="35" t="b">
        <v>1</v>
      </c>
      <c r="Y60" s="31" cm="1">
        <f t="array" ref="Y60">IF(LEFT(_xll.BDP($C60, VOLUME_AVG_10D), 4) = "#N/A", "",  _xll.BDP($C60, VOLUME_AVG_10D))</f>
        <v>0</v>
      </c>
      <c r="Z60" s="31" cm="1">
        <f t="array" ref="Z60">IF(LEFT(_xll.BDP($C60, VOLUME_AVG_30D), 4) = "#N/A", "",  _xll.BDP($C60, VOLUME_AVG_30D))</f>
        <v>101</v>
      </c>
      <c r="AA60" s="31" cm="1">
        <f t="array" ref="AA60">IF(LEFT(_xll.BDP($C60, VOLUME_AVG_3M), 4) = "#N/A", "",  _xll.BDP($C60, VOLUME_AVG_3M))</f>
        <v>20787.64453125</v>
      </c>
      <c r="AB60" s="31" cm="1">
        <f t="array" ref="AB60">IF(LEFT(_xll.BDP($C60, VOLUME_AVG_6M), 4) = "#N/A", "",  _xll.BDP($C60, VOLUME_AVG_6M))</f>
        <v>10229.0400390625</v>
      </c>
      <c r="AC60" s="31" cm="1">
        <f t="array" ref="AC60">IF(LEFT(_xll.BDP($C60, VOLUME_AVG_12M), 4) = "#N/A", "",  _xll.BDP($C60, VOLUME_AVG_12M))</f>
        <v>5397.609375</v>
      </c>
      <c r="AD60" s="41" cm="1">
        <f t="array" ref="AD60">IF(LEFT(_xll.BDP($C60, LAST_PRICE), 4) = "#N/A", "",  _xll.BDP($C60, LAST_PRICE))</f>
        <v>9.9999999999999995E-7</v>
      </c>
    </row>
    <row r="61" spans="1:30" x14ac:dyDescent="0.35">
      <c r="A61" s="1">
        <f t="shared" si="0"/>
        <v>58</v>
      </c>
      <c r="B61" s="28">
        <v>45700</v>
      </c>
      <c r="C61" s="29" t="s">
        <v>158</v>
      </c>
      <c r="D61" s="29" t="s">
        <v>158</v>
      </c>
      <c r="E61" s="29" t="s">
        <v>159</v>
      </c>
      <c r="F61" s="29" t="s">
        <v>33</v>
      </c>
      <c r="G61" s="30" t="s">
        <v>34</v>
      </c>
      <c r="H61" s="31">
        <v>10876014.839061501</v>
      </c>
      <c r="I61" s="31">
        <v>26713014.839061499</v>
      </c>
      <c r="J61" s="32">
        <v>0.13600000739097601</v>
      </c>
      <c r="K61" s="33">
        <v>45700</v>
      </c>
      <c r="L61" s="31">
        <v>366800</v>
      </c>
      <c r="M61" s="32">
        <v>-14.7</v>
      </c>
      <c r="N61" s="31" t="s">
        <v>35</v>
      </c>
      <c r="O61" s="33">
        <v>45699</v>
      </c>
      <c r="P61" s="34">
        <v>33795048</v>
      </c>
      <c r="Q61" s="34">
        <v>16477922</v>
      </c>
      <c r="R61" s="34">
        <v>8174315.5</v>
      </c>
      <c r="S61" s="29"/>
      <c r="T61" s="33"/>
      <c r="U61" s="35" t="b">
        <v>1</v>
      </c>
      <c r="V61" s="35" t="b">
        <v>0</v>
      </c>
      <c r="W61" s="35" t="b">
        <v>0</v>
      </c>
      <c r="Y61" s="31" cm="1">
        <f t="array" ref="Y61">IF(LEFT(_xll.BDP($C61, VOLUME_AVG_10D), 4) = "#N/A", "",  _xll.BDP($C61, VOLUME_AVG_10D))</f>
        <v>4349116.5</v>
      </c>
      <c r="Z61" s="31" cm="1">
        <f t="array" ref="Z61">IF(LEFT(_xll.BDP($C61, VOLUME_AVG_30D), 4) = "#N/A", "",  _xll.BDP($C61, VOLUME_AVG_30D))</f>
        <v>33795048</v>
      </c>
      <c r="AA61" s="31" cm="1">
        <f t="array" ref="AA61">IF(LEFT(_xll.BDP($C61, VOLUME_AVG_3M), 4) = "#N/A", "",  _xll.BDP($C61, VOLUME_AVG_3M))</f>
        <v>16477922</v>
      </c>
      <c r="AB61" s="31" cm="1">
        <f t="array" ref="AB61">IF(LEFT(_xll.BDP($C61, VOLUME_AVG_6M), 4) = "#N/A", "",  _xll.BDP($C61, VOLUME_AVG_6M))</f>
        <v>8174315.5</v>
      </c>
      <c r="AC61" s="31" cm="1">
        <f t="array" ref="AC61">IF(LEFT(_xll.BDP($C61, VOLUME_AVG_12M), 4) = "#N/A", "",  _xll.BDP($C61, VOLUME_AVG_12M))</f>
        <v>4559024</v>
      </c>
      <c r="AD61" s="41" cm="1">
        <f t="array" ref="AD61">IF(LEFT(_xll.BDP($C61, LAST_PRICE), 4) = "#N/A", "",  _xll.BDP($C61, LAST_PRICE))</f>
        <v>0.13600000000000001</v>
      </c>
    </row>
    <row r="62" spans="1:30" x14ac:dyDescent="0.35">
      <c r="A62" s="1">
        <f t="shared" si="0"/>
        <v>59</v>
      </c>
      <c r="B62" s="28">
        <v>45700</v>
      </c>
      <c r="C62" s="29" t="s">
        <v>160</v>
      </c>
      <c r="D62" s="29" t="s">
        <v>160</v>
      </c>
      <c r="E62" s="29" t="s">
        <v>161</v>
      </c>
      <c r="F62" s="29" t="s">
        <v>40</v>
      </c>
      <c r="G62" s="30" t="s">
        <v>41</v>
      </c>
      <c r="H62" s="31">
        <v>663172.140176947</v>
      </c>
      <c r="I62" s="31">
        <v>1205147.14017695</v>
      </c>
      <c r="J62" s="32">
        <v>4.9999998882412902E-3</v>
      </c>
      <c r="K62" s="33">
        <v>45700</v>
      </c>
      <c r="L62" s="31"/>
      <c r="M62" s="32"/>
      <c r="N62" s="31"/>
      <c r="O62" s="33">
        <v>45699</v>
      </c>
      <c r="P62" s="34">
        <v>330786.2</v>
      </c>
      <c r="Q62" s="34">
        <v>179079</v>
      </c>
      <c r="R62" s="34">
        <v>147956</v>
      </c>
      <c r="S62" s="29"/>
      <c r="T62" s="33"/>
      <c r="U62" s="35" t="b">
        <v>1</v>
      </c>
      <c r="V62" s="35" t="b">
        <v>1</v>
      </c>
      <c r="W62" s="35" t="b">
        <v>0</v>
      </c>
      <c r="Y62" s="31" cm="1">
        <f t="array" ref="Y62">IF(LEFT(_xll.BDP($C62, VOLUME_AVG_10D), 4) = "#N/A", "",  _xll.BDP($C62, VOLUME_AVG_10D))</f>
        <v>76010.2</v>
      </c>
      <c r="Z62" s="31" cm="1">
        <f t="array" ref="Z62">IF(LEFT(_xll.BDP($C62, VOLUME_AVG_30D), 4) = "#N/A", "",  _xll.BDP($C62, VOLUME_AVG_30D))</f>
        <v>330786.2</v>
      </c>
      <c r="AA62" s="31" cm="1">
        <f t="array" ref="AA62">IF(LEFT(_xll.BDP($C62, VOLUME_AVG_3M), 4) = "#N/A", "",  _xll.BDP($C62, VOLUME_AVG_3M))</f>
        <v>179079</v>
      </c>
      <c r="AB62" s="31" cm="1">
        <f t="array" ref="AB62">IF(LEFT(_xll.BDP($C62, VOLUME_AVG_6M), 4) = "#N/A", "",  _xll.BDP($C62, VOLUME_AVG_6M))</f>
        <v>147956</v>
      </c>
      <c r="AC62" s="31" cm="1">
        <f t="array" ref="AC62">IF(LEFT(_xll.BDP($C62, VOLUME_AVG_12M), 4) = "#N/A", "",  _xll.BDP($C62, VOLUME_AVG_12M))</f>
        <v>167453.29999999999</v>
      </c>
      <c r="AD62" s="41" cm="1">
        <f t="array" ref="AD62">IF(LEFT(_xll.BDP($C62, LAST_PRICE), 4) = "#N/A", "",  _xll.BDP($C62, LAST_PRICE))</f>
        <v>5.0000000000000001E-3</v>
      </c>
    </row>
    <row r="63" spans="1:30" x14ac:dyDescent="0.35">
      <c r="A63" s="1">
        <f t="shared" si="0"/>
        <v>60</v>
      </c>
      <c r="B63" s="28">
        <v>45700</v>
      </c>
      <c r="C63" s="29" t="s">
        <v>162</v>
      </c>
      <c r="D63" s="29" t="s">
        <v>162</v>
      </c>
      <c r="E63" s="29" t="s">
        <v>163</v>
      </c>
      <c r="F63" s="29" t="s">
        <v>33</v>
      </c>
      <c r="G63" s="30" t="s">
        <v>34</v>
      </c>
      <c r="H63" s="31">
        <v>70742558.226844102</v>
      </c>
      <c r="I63" s="31">
        <v>-51021441.773155898</v>
      </c>
      <c r="J63" s="32">
        <v>2.4500000476837198</v>
      </c>
      <c r="K63" s="33">
        <v>45700</v>
      </c>
      <c r="L63" s="31">
        <v>1530900</v>
      </c>
      <c r="M63" s="32">
        <v>2.5499999999999998</v>
      </c>
      <c r="N63" s="31" t="s">
        <v>35</v>
      </c>
      <c r="O63" s="33">
        <v>45699</v>
      </c>
      <c r="P63" s="34">
        <v>203815.140625</v>
      </c>
      <c r="Q63" s="34">
        <v>215728.21875</v>
      </c>
      <c r="R63" s="34">
        <v>491728.375</v>
      </c>
      <c r="S63" s="29" t="s">
        <v>164</v>
      </c>
      <c r="T63" s="33">
        <v>45446</v>
      </c>
      <c r="U63" s="35" t="b">
        <v>0</v>
      </c>
      <c r="V63" s="35" t="b">
        <v>0</v>
      </c>
      <c r="W63" s="35" t="b">
        <v>1</v>
      </c>
      <c r="Y63" s="31" cm="1">
        <f t="array" ref="Y63">IF(LEFT(_xll.BDP($C63, VOLUME_AVG_10D), 4) = "#N/A", "",  _xll.BDP($C63, VOLUME_AVG_10D))</f>
        <v>132750.40625</v>
      </c>
      <c r="Z63" s="31" cm="1">
        <f t="array" ref="Z63">IF(LEFT(_xll.BDP($C63, VOLUME_AVG_30D), 4) = "#N/A", "",  _xll.BDP($C63, VOLUME_AVG_30D))</f>
        <v>203815.140625</v>
      </c>
      <c r="AA63" s="31" cm="1">
        <f t="array" ref="AA63">IF(LEFT(_xll.BDP($C63, VOLUME_AVG_3M), 4) = "#N/A", "",  _xll.BDP($C63, VOLUME_AVG_3M))</f>
        <v>215728.21875</v>
      </c>
      <c r="AB63" s="31" cm="1">
        <f t="array" ref="AB63">IF(LEFT(_xll.BDP($C63, VOLUME_AVG_6M), 4) = "#N/A", "",  _xll.BDP($C63, VOLUME_AVG_6M))</f>
        <v>491728.375</v>
      </c>
      <c r="AC63" s="31" cm="1">
        <f t="array" ref="AC63">IF(LEFT(_xll.BDP($C63, VOLUME_AVG_12M), 4) = "#N/A", "",  _xll.BDP($C63, VOLUME_AVG_12M))</f>
        <v>583461.5625</v>
      </c>
      <c r="AD63" s="41" cm="1">
        <f t="array" ref="AD63">IF(LEFT(_xll.BDP($C63, LAST_PRICE), 4) = "#N/A", "",  _xll.BDP($C63, LAST_PRICE))</f>
        <v>2.4500000000000002</v>
      </c>
    </row>
    <row r="64" spans="1:30" x14ac:dyDescent="0.35">
      <c r="A64" s="1">
        <f t="shared" si="0"/>
        <v>61</v>
      </c>
      <c r="B64" s="28">
        <v>45700</v>
      </c>
      <c r="C64" s="29" t="s">
        <v>165</v>
      </c>
      <c r="D64" s="29" t="s">
        <v>165</v>
      </c>
      <c r="E64" s="29" t="s">
        <v>166</v>
      </c>
      <c r="F64" s="29" t="s">
        <v>33</v>
      </c>
      <c r="G64" s="30" t="s">
        <v>34</v>
      </c>
      <c r="H64" s="31">
        <v>9326614.4243264198</v>
      </c>
      <c r="I64" s="31">
        <v>4824952.4243264198</v>
      </c>
      <c r="J64" s="32">
        <v>0.66799998283386197</v>
      </c>
      <c r="K64" s="33">
        <v>45700</v>
      </c>
      <c r="L64" s="31">
        <v>737200</v>
      </c>
      <c r="M64" s="32">
        <v>-65.25</v>
      </c>
      <c r="N64" s="31" t="s">
        <v>35</v>
      </c>
      <c r="O64" s="33">
        <v>45699</v>
      </c>
      <c r="P64" s="34">
        <v>1956672.5</v>
      </c>
      <c r="Q64" s="34">
        <v>3338767.75</v>
      </c>
      <c r="R64" s="34">
        <v>2464415.25</v>
      </c>
      <c r="S64" s="29"/>
      <c r="T64" s="33"/>
      <c r="U64" s="35" t="b">
        <v>1</v>
      </c>
      <c r="V64" s="35" t="b">
        <v>0</v>
      </c>
      <c r="W64" s="35" t="b">
        <v>0</v>
      </c>
      <c r="Y64" s="31" cm="1">
        <f t="array" ref="Y64">IF(LEFT(_xll.BDP($C64, VOLUME_AVG_10D), 4) = "#N/A", "",  _xll.BDP($C64, VOLUME_AVG_10D))</f>
        <v>1058572.75</v>
      </c>
      <c r="Z64" s="31" cm="1">
        <f t="array" ref="Z64">IF(LEFT(_xll.BDP($C64, VOLUME_AVG_30D), 4) = "#N/A", "",  _xll.BDP($C64, VOLUME_AVG_30D))</f>
        <v>1956672.5</v>
      </c>
      <c r="AA64" s="31" cm="1">
        <f t="array" ref="AA64">IF(LEFT(_xll.BDP($C64, VOLUME_AVG_3M), 4) = "#N/A", "",  _xll.BDP($C64, VOLUME_AVG_3M))</f>
        <v>3338767.75</v>
      </c>
      <c r="AB64" s="31" cm="1">
        <f t="array" ref="AB64">IF(LEFT(_xll.BDP($C64, VOLUME_AVG_6M), 4) = "#N/A", "",  _xll.BDP($C64, VOLUME_AVG_6M))</f>
        <v>2464415.25</v>
      </c>
      <c r="AC64" s="31" cm="1">
        <f t="array" ref="AC64">IF(LEFT(_xll.BDP($C64, VOLUME_AVG_12M), 4) = "#N/A", "",  _xll.BDP($C64, VOLUME_AVG_12M))</f>
        <v>2444324</v>
      </c>
      <c r="AD64" s="41" cm="1">
        <f t="array" ref="AD64">IF(LEFT(_xll.BDP($C64, LAST_PRICE), 4) = "#N/A", "",  _xll.BDP($C64, LAST_PRICE))</f>
        <v>0.66800000000000004</v>
      </c>
    </row>
    <row r="65" spans="1:30" x14ac:dyDescent="0.35">
      <c r="A65" s="1">
        <f t="shared" si="0"/>
        <v>62</v>
      </c>
      <c r="B65" s="28">
        <v>45700</v>
      </c>
      <c r="C65" s="29" t="s">
        <v>167</v>
      </c>
      <c r="D65" s="29" t="s">
        <v>167</v>
      </c>
      <c r="E65" s="29" t="s">
        <v>168</v>
      </c>
      <c r="F65" s="29" t="s">
        <v>33</v>
      </c>
      <c r="G65" s="30" t="s">
        <v>34</v>
      </c>
      <c r="H65" s="31">
        <v>14910038.302724101</v>
      </c>
      <c r="I65" s="31">
        <v>18944823.065417401</v>
      </c>
      <c r="J65" s="32">
        <v>0.99839997291564897</v>
      </c>
      <c r="K65" s="33">
        <v>45700</v>
      </c>
      <c r="L65" s="31"/>
      <c r="M65" s="32"/>
      <c r="N65" s="31"/>
      <c r="O65" s="33">
        <v>45699</v>
      </c>
      <c r="P65" s="34">
        <v>227413.359375</v>
      </c>
      <c r="Q65" s="34">
        <v>329084.78125</v>
      </c>
      <c r="R65" s="34">
        <v>205111.234375</v>
      </c>
      <c r="S65" s="29" t="s">
        <v>46</v>
      </c>
      <c r="T65" s="33">
        <v>45215</v>
      </c>
      <c r="U65" s="35" t="b">
        <v>1</v>
      </c>
      <c r="V65" s="35" t="b">
        <v>0</v>
      </c>
      <c r="W65" s="35" t="b">
        <v>0</v>
      </c>
      <c r="Y65" s="31" cm="1">
        <f t="array" ref="Y65">IF(LEFT(_xll.BDP($C65, VOLUME_AVG_10D), 4) = "#N/A", "",  _xll.BDP($C65, VOLUME_AVG_10D))</f>
        <v>106715.796875</v>
      </c>
      <c r="Z65" s="31" cm="1">
        <f t="array" ref="Z65">IF(LEFT(_xll.BDP($C65, VOLUME_AVG_30D), 4) = "#N/A", "",  _xll.BDP($C65, VOLUME_AVG_30D))</f>
        <v>227413.359375</v>
      </c>
      <c r="AA65" s="31" cm="1">
        <f t="array" ref="AA65">IF(LEFT(_xll.BDP($C65, VOLUME_AVG_3M), 4) = "#N/A", "",  _xll.BDP($C65, VOLUME_AVG_3M))</f>
        <v>329084.78125</v>
      </c>
      <c r="AB65" s="31" cm="1">
        <f t="array" ref="AB65">IF(LEFT(_xll.BDP($C65, VOLUME_AVG_6M), 4) = "#N/A", "",  _xll.BDP($C65, VOLUME_AVG_6M))</f>
        <v>205111.234375</v>
      </c>
      <c r="AC65" s="31" cm="1">
        <f t="array" ref="AC65">IF(LEFT(_xll.BDP($C65, VOLUME_AVG_12M), 4) = "#N/A", "",  _xll.BDP($C65, VOLUME_AVG_12M))</f>
        <v>306318.03125</v>
      </c>
      <c r="AD65" s="41" cm="1">
        <f t="array" ref="AD65">IF(LEFT(_xll.BDP($C65, LAST_PRICE), 4) = "#N/A", "",  _xll.BDP($C65, LAST_PRICE))</f>
        <v>0.99839999999999995</v>
      </c>
    </row>
    <row r="66" spans="1:30" x14ac:dyDescent="0.35">
      <c r="A66" s="1">
        <f t="shared" si="0"/>
        <v>63</v>
      </c>
      <c r="B66" s="28">
        <v>45700</v>
      </c>
      <c r="C66" s="29" t="s">
        <v>169</v>
      </c>
      <c r="D66" s="29" t="s">
        <v>169</v>
      </c>
      <c r="E66" s="29" t="s">
        <v>170</v>
      </c>
      <c r="F66" s="29" t="s">
        <v>33</v>
      </c>
      <c r="G66" s="30" t="s">
        <v>34</v>
      </c>
      <c r="H66" s="31">
        <v>3710659.1085383901</v>
      </c>
      <c r="I66" s="31">
        <v>1184968.1085383899</v>
      </c>
      <c r="J66" s="32">
        <v>0.93000000715255704</v>
      </c>
      <c r="K66" s="33">
        <v>45700</v>
      </c>
      <c r="L66" s="31">
        <v>207300</v>
      </c>
      <c r="M66" s="32">
        <v>-99.6</v>
      </c>
      <c r="N66" s="31" t="s">
        <v>35</v>
      </c>
      <c r="O66" s="33">
        <v>45699</v>
      </c>
      <c r="P66" s="34">
        <v>3048617.25</v>
      </c>
      <c r="Q66" s="34">
        <v>1562410.25</v>
      </c>
      <c r="R66" s="34">
        <v>2226965.5</v>
      </c>
      <c r="S66" s="29"/>
      <c r="T66" s="33"/>
      <c r="U66" s="35" t="b">
        <v>1</v>
      </c>
      <c r="V66" s="35" t="b">
        <v>0</v>
      </c>
      <c r="W66" s="35" t="b">
        <v>0</v>
      </c>
      <c r="Y66" s="31" cm="1">
        <f t="array" ref="Y66">IF(LEFT(_xll.BDP($C66, VOLUME_AVG_10D), 4) = "#N/A", "",  _xll.BDP($C66, VOLUME_AVG_10D))</f>
        <v>144383.203125</v>
      </c>
      <c r="Z66" s="31" cm="1">
        <f t="array" ref="Z66">IF(LEFT(_xll.BDP($C66, VOLUME_AVG_30D), 4) = "#N/A", "",  _xll.BDP($C66, VOLUME_AVG_30D))</f>
        <v>3048617.25</v>
      </c>
      <c r="AA66" s="31" cm="1">
        <f t="array" ref="AA66">IF(LEFT(_xll.BDP($C66, VOLUME_AVG_3M), 4) = "#N/A", "",  _xll.BDP($C66, VOLUME_AVG_3M))</f>
        <v>1562410.25</v>
      </c>
      <c r="AB66" s="31" cm="1">
        <f t="array" ref="AB66">IF(LEFT(_xll.BDP($C66, VOLUME_AVG_6M), 4) = "#N/A", "",  _xll.BDP($C66, VOLUME_AVG_6M))</f>
        <v>2226965.5</v>
      </c>
      <c r="AC66" s="31" cm="1">
        <f t="array" ref="AC66">IF(LEFT(_xll.BDP($C66, VOLUME_AVG_12M), 4) = "#N/A", "",  _xll.BDP($C66, VOLUME_AVG_12M))</f>
        <v>1229976.75</v>
      </c>
      <c r="AD66" s="41" cm="1">
        <f t="array" ref="AD66">IF(LEFT(_xll.BDP($C66, LAST_PRICE), 4) = "#N/A", "",  _xll.BDP($C66, LAST_PRICE))</f>
        <v>0.93</v>
      </c>
    </row>
    <row r="67" spans="1:30" x14ac:dyDescent="0.35">
      <c r="A67" s="1">
        <f t="shared" si="0"/>
        <v>64</v>
      </c>
      <c r="B67" s="28">
        <v>45700</v>
      </c>
      <c r="C67" s="29" t="s">
        <v>171</v>
      </c>
      <c r="D67" s="29" t="s">
        <v>171</v>
      </c>
      <c r="E67" s="29" t="s">
        <v>172</v>
      </c>
      <c r="F67" s="29" t="s">
        <v>33</v>
      </c>
      <c r="G67" s="30" t="s">
        <v>34</v>
      </c>
      <c r="H67" s="31">
        <v>81167895.234887093</v>
      </c>
      <c r="I67" s="31">
        <v>161954895.234887</v>
      </c>
      <c r="J67" s="32">
        <v>3.46000003814697</v>
      </c>
      <c r="K67" s="33">
        <v>45700</v>
      </c>
      <c r="L67" s="31">
        <v>1967700</v>
      </c>
      <c r="M67" s="32">
        <v>3.15</v>
      </c>
      <c r="N67" s="31" t="s">
        <v>35</v>
      </c>
      <c r="O67" s="33">
        <v>45699</v>
      </c>
      <c r="P67" s="34">
        <v>435257.9375</v>
      </c>
      <c r="Q67" s="34">
        <v>537704.8125</v>
      </c>
      <c r="R67" s="34">
        <v>464047.34375</v>
      </c>
      <c r="S67" s="29" t="s">
        <v>46</v>
      </c>
      <c r="T67" s="33">
        <v>45446</v>
      </c>
      <c r="U67" s="35" t="b">
        <v>0</v>
      </c>
      <c r="V67" s="35" t="b">
        <v>0</v>
      </c>
      <c r="W67" s="35" t="b">
        <v>0</v>
      </c>
      <c r="Y67" s="31" cm="1">
        <f t="array" ref="Y67">IF(LEFT(_xll.BDP($C67, VOLUME_AVG_10D), 4) = "#N/A", "",  _xll.BDP($C67, VOLUME_AVG_10D))</f>
        <v>466644.5</v>
      </c>
      <c r="Z67" s="31" cm="1">
        <f t="array" ref="Z67">IF(LEFT(_xll.BDP($C67, VOLUME_AVG_30D), 4) = "#N/A", "",  _xll.BDP($C67, VOLUME_AVG_30D))</f>
        <v>435257.9375</v>
      </c>
      <c r="AA67" s="31" cm="1">
        <f t="array" ref="AA67">IF(LEFT(_xll.BDP($C67, VOLUME_AVG_3M), 4) = "#N/A", "",  _xll.BDP($C67, VOLUME_AVG_3M))</f>
        <v>537704.8125</v>
      </c>
      <c r="AB67" s="31" cm="1">
        <f t="array" ref="AB67">IF(LEFT(_xll.BDP($C67, VOLUME_AVG_6M), 4) = "#N/A", "",  _xll.BDP($C67, VOLUME_AVG_6M))</f>
        <v>464047.34375</v>
      </c>
      <c r="AC67" s="31" cm="1">
        <f t="array" ref="AC67">IF(LEFT(_xll.BDP($C67, VOLUME_AVG_12M), 4) = "#N/A", "",  _xll.BDP($C67, VOLUME_AVG_12M))</f>
        <v>635130.25</v>
      </c>
      <c r="AD67" s="41" cm="1">
        <f t="array" ref="AD67">IF(LEFT(_xll.BDP($C67, LAST_PRICE), 4) = "#N/A", "",  _xll.BDP($C67, LAST_PRICE))</f>
        <v>3.46</v>
      </c>
    </row>
    <row r="68" spans="1:30" x14ac:dyDescent="0.35">
      <c r="A68" s="1">
        <f t="shared" si="0"/>
        <v>65</v>
      </c>
      <c r="B68" s="28">
        <v>45700</v>
      </c>
      <c r="C68" s="29" t="s">
        <v>173</v>
      </c>
      <c r="D68" s="29" t="s">
        <v>173</v>
      </c>
      <c r="E68" s="29" t="s">
        <v>174</v>
      </c>
      <c r="F68" s="29" t="s">
        <v>33</v>
      </c>
      <c r="G68" s="30" t="s">
        <v>34</v>
      </c>
      <c r="H68" s="31">
        <v>1470903679.14484</v>
      </c>
      <c r="I68" s="31">
        <v>1034051679.14484</v>
      </c>
      <c r="J68" s="32">
        <v>3.5699999332428001</v>
      </c>
      <c r="K68" s="33">
        <v>45700</v>
      </c>
      <c r="L68" s="31">
        <v>136948992</v>
      </c>
      <c r="M68" s="32">
        <v>3.88</v>
      </c>
      <c r="N68" s="31" t="s">
        <v>35</v>
      </c>
      <c r="O68" s="33">
        <v>45699</v>
      </c>
      <c r="P68" s="34">
        <v>4758383.5</v>
      </c>
      <c r="Q68" s="34">
        <v>4292070</v>
      </c>
      <c r="R68" s="34">
        <v>4389504.5</v>
      </c>
      <c r="S68" s="29"/>
      <c r="T68" s="33"/>
      <c r="U68" s="35" t="b">
        <v>0</v>
      </c>
      <c r="V68" s="35" t="b">
        <v>0</v>
      </c>
      <c r="W68" s="35" t="b">
        <v>0</v>
      </c>
      <c r="Y68" s="31" cm="1">
        <f t="array" ref="Y68">IF(LEFT(_xll.BDP($C68, VOLUME_AVG_10D), 4) = "#N/A", "",  _xll.BDP($C68, VOLUME_AVG_10D))</f>
        <v>4184942.75</v>
      </c>
      <c r="Z68" s="31" cm="1">
        <f t="array" ref="Z68">IF(LEFT(_xll.BDP($C68, VOLUME_AVG_30D), 4) = "#N/A", "",  _xll.BDP($C68, VOLUME_AVG_30D))</f>
        <v>4758383.5</v>
      </c>
      <c r="AA68" s="31" cm="1">
        <f t="array" ref="AA68">IF(LEFT(_xll.BDP($C68, VOLUME_AVG_3M), 4) = "#N/A", "",  _xll.BDP($C68, VOLUME_AVG_3M))</f>
        <v>4292070</v>
      </c>
      <c r="AB68" s="31" cm="1">
        <f t="array" ref="AB68">IF(LEFT(_xll.BDP($C68, VOLUME_AVG_6M), 4) = "#N/A", "",  _xll.BDP($C68, VOLUME_AVG_6M))</f>
        <v>4389504.5</v>
      </c>
      <c r="AC68" s="31" cm="1">
        <f t="array" ref="AC68">IF(LEFT(_xll.BDP($C68, VOLUME_AVG_12M), 4) = "#N/A", "",  _xll.BDP($C68, VOLUME_AVG_12M))</f>
        <v>4492512</v>
      </c>
      <c r="AD68" s="41" cm="1">
        <f t="array" ref="AD68">IF(LEFT(_xll.BDP($C68, LAST_PRICE), 4) = "#N/A", "",  _xll.BDP($C68, LAST_PRICE))</f>
        <v>3.57</v>
      </c>
    </row>
    <row r="69" spans="1:30" x14ac:dyDescent="0.35">
      <c r="A69" s="1">
        <f t="shared" si="0"/>
        <v>66</v>
      </c>
      <c r="B69" s="28">
        <v>45700</v>
      </c>
      <c r="C69" s="29" t="s">
        <v>175</v>
      </c>
      <c r="D69" s="29" t="s">
        <v>175</v>
      </c>
      <c r="E69" s="29" t="s">
        <v>176</v>
      </c>
      <c r="F69" s="29" t="s">
        <v>33</v>
      </c>
      <c r="G69" s="30" t="s">
        <v>34</v>
      </c>
      <c r="H69" s="31">
        <v>1871160776.2690499</v>
      </c>
      <c r="I69" s="31">
        <v>271348776.269054</v>
      </c>
      <c r="J69" s="32">
        <v>32.810001373291001</v>
      </c>
      <c r="K69" s="33">
        <v>45700</v>
      </c>
      <c r="L69" s="31">
        <v>17068300</v>
      </c>
      <c r="M69" s="32">
        <v>3.88</v>
      </c>
      <c r="N69" s="31" t="s">
        <v>35</v>
      </c>
      <c r="O69" s="33">
        <v>45699</v>
      </c>
      <c r="P69" s="34">
        <v>756771.75</v>
      </c>
      <c r="Q69" s="34">
        <v>859662.125</v>
      </c>
      <c r="R69" s="34">
        <v>684684.4375</v>
      </c>
      <c r="S69" s="29" t="s">
        <v>177</v>
      </c>
      <c r="T69" s="33">
        <v>45446</v>
      </c>
      <c r="U69" s="35" t="b">
        <v>0</v>
      </c>
      <c r="V69" s="35" t="b">
        <v>0</v>
      </c>
      <c r="W69" s="35" t="b">
        <v>0</v>
      </c>
      <c r="Y69" s="31" cm="1">
        <f t="array" ref="Y69">IF(LEFT(_xll.BDP($C69, VOLUME_AVG_10D), 4) = "#N/A", "",  _xll.BDP($C69, VOLUME_AVG_10D))</f>
        <v>614943.3125</v>
      </c>
      <c r="Z69" s="31" cm="1">
        <f t="array" ref="Z69">IF(LEFT(_xll.BDP($C69, VOLUME_AVG_30D), 4) = "#N/A", "",  _xll.BDP($C69, VOLUME_AVG_30D))</f>
        <v>756771.75</v>
      </c>
      <c r="AA69" s="31" cm="1">
        <f t="array" ref="AA69">IF(LEFT(_xll.BDP($C69, VOLUME_AVG_3M), 4) = "#N/A", "",  _xll.BDP($C69, VOLUME_AVG_3M))</f>
        <v>859662.125</v>
      </c>
      <c r="AB69" s="31" cm="1">
        <f t="array" ref="AB69">IF(LEFT(_xll.BDP($C69, VOLUME_AVG_6M), 4) = "#N/A", "",  _xll.BDP($C69, VOLUME_AVG_6M))</f>
        <v>684684.4375</v>
      </c>
      <c r="AC69" s="31" cm="1">
        <f t="array" ref="AC69">IF(LEFT(_xll.BDP($C69, VOLUME_AVG_12M), 4) = "#N/A", "",  _xll.BDP($C69, VOLUME_AVG_12M))</f>
        <v>724253.0625</v>
      </c>
      <c r="AD69" s="41" cm="1">
        <f t="array" ref="AD69">IF(LEFT(_xll.BDP($C69, LAST_PRICE), 4) = "#N/A", "",  _xll.BDP($C69, LAST_PRICE))</f>
        <v>32.81</v>
      </c>
    </row>
    <row r="70" spans="1:30" x14ac:dyDescent="0.35">
      <c r="A70" s="1">
        <f t="shared" ref="A70:A133" si="1">IF(B70="","", A69+1)</f>
        <v>67</v>
      </c>
      <c r="B70" s="28">
        <v>45700</v>
      </c>
      <c r="C70" s="29" t="s">
        <v>3307</v>
      </c>
      <c r="D70" s="29" t="s">
        <v>3307</v>
      </c>
      <c r="E70" s="29" t="s">
        <v>3303</v>
      </c>
      <c r="F70" s="29" t="s">
        <v>33</v>
      </c>
      <c r="G70" s="30" t="s">
        <v>34</v>
      </c>
      <c r="H70" s="31">
        <v>203091.612628423</v>
      </c>
      <c r="I70" s="31"/>
      <c r="J70" s="32">
        <v>3.3900000154972097E-2</v>
      </c>
      <c r="K70" s="33">
        <v>45700</v>
      </c>
      <c r="L70" s="31"/>
      <c r="M70" s="32"/>
      <c r="N70" s="31"/>
      <c r="O70" s="33">
        <v>45699</v>
      </c>
      <c r="P70" s="34">
        <v>282424.65625</v>
      </c>
      <c r="Q70" s="34">
        <v>142219.875</v>
      </c>
      <c r="R70" s="34">
        <v>72434.28125</v>
      </c>
      <c r="S70" s="29"/>
      <c r="T70" s="33"/>
      <c r="U70" s="35" t="b">
        <v>1</v>
      </c>
      <c r="V70" s="35" t="b">
        <v>1</v>
      </c>
      <c r="W70" s="35" t="b">
        <v>1</v>
      </c>
      <c r="Y70" s="31" cm="1">
        <f t="array" ref="Y70">IF(LEFT(_xll.BDP($C70, VOLUME_AVG_10D), 4) = "#N/A", "",  _xll.BDP($C70, VOLUME_AVG_10D))</f>
        <v>400469.3125</v>
      </c>
      <c r="Z70" s="31" cm="1">
        <f t="array" ref="Z70">IF(LEFT(_xll.BDP($C70, VOLUME_AVG_30D), 4) = "#N/A", "",  _xll.BDP($C70, VOLUME_AVG_30D))</f>
        <v>282424.65625</v>
      </c>
      <c r="AA70" s="31" cm="1">
        <f t="array" ref="AA70">IF(LEFT(_xll.BDP($C70, VOLUME_AVG_3M), 4) = "#N/A", "",  _xll.BDP($C70, VOLUME_AVG_3M))</f>
        <v>142219.875</v>
      </c>
      <c r="AB70" s="31" cm="1">
        <f t="array" ref="AB70">IF(LEFT(_xll.BDP($C70, VOLUME_AVG_6M), 4) = "#N/A", "",  _xll.BDP($C70, VOLUME_AVG_6M))</f>
        <v>72434.28125</v>
      </c>
      <c r="AC70" s="31" cm="1">
        <f t="array" ref="AC70">IF(LEFT(_xll.BDP($C70, VOLUME_AVG_12M), 4) = "#N/A", "",  _xll.BDP($C70, VOLUME_AVG_12M))</f>
        <v>47449.640625</v>
      </c>
      <c r="AD70" s="41" cm="1">
        <f t="array" ref="AD70">IF(LEFT(_xll.BDP($C70, LAST_PRICE), 4) = "#N/A", "",  _xll.BDP($C70, LAST_PRICE))</f>
        <v>3.39E-2</v>
      </c>
    </row>
    <row r="71" spans="1:30" x14ac:dyDescent="0.35">
      <c r="A71" s="1">
        <f t="shared" si="1"/>
        <v>68</v>
      </c>
      <c r="B71" s="28">
        <v>45700</v>
      </c>
      <c r="C71" s="29" t="s">
        <v>178</v>
      </c>
      <c r="D71" s="29" t="s">
        <v>178</v>
      </c>
      <c r="E71" s="29" t="s">
        <v>179</v>
      </c>
      <c r="F71" s="29" t="s">
        <v>33</v>
      </c>
      <c r="G71" s="30" t="s">
        <v>34</v>
      </c>
      <c r="H71" s="31">
        <v>5400</v>
      </c>
      <c r="I71" s="31">
        <v>41069064</v>
      </c>
      <c r="J71" s="32"/>
      <c r="K71" s="33">
        <v>45700</v>
      </c>
      <c r="L71" s="31"/>
      <c r="M71" s="32"/>
      <c r="N71" s="31"/>
      <c r="O71" s="33">
        <v>45699</v>
      </c>
      <c r="P71" s="34"/>
      <c r="Q71" s="34">
        <v>94.419357299804702</v>
      </c>
      <c r="R71" s="34">
        <v>165.50793457031301</v>
      </c>
      <c r="S71" s="29"/>
      <c r="T71" s="33"/>
      <c r="U71" s="35" t="b">
        <v>1</v>
      </c>
      <c r="V71" s="35" t="b">
        <v>1</v>
      </c>
      <c r="W71" s="35" t="b">
        <v>0</v>
      </c>
      <c r="Y71" s="31" cm="1">
        <f t="array" ref="Y71">IF(LEFT(_xll.BDP($C71, VOLUME_AVG_10D), 4) = "#N/A", "",  _xll.BDP($C71, VOLUME_AVG_10D))</f>
        <v>0</v>
      </c>
      <c r="Z71" s="31" cm="1">
        <f t="array" ref="Z71">IF(LEFT(_xll.BDP($C71, VOLUME_AVG_30D), 4) = "#N/A", "",  _xll.BDP($C71, VOLUME_AVG_30D))</f>
        <v>0</v>
      </c>
      <c r="AA71" s="31" cm="1">
        <f t="array" ref="AA71">IF(LEFT(_xll.BDP($C71, VOLUME_AVG_3M), 4) = "#N/A", "",  _xll.BDP($C71, VOLUME_AVG_3M))</f>
        <v>94.419357299804688</v>
      </c>
      <c r="AB71" s="31" cm="1">
        <f t="array" ref="AB71">IF(LEFT(_xll.BDP($C71, VOLUME_AVG_6M), 4) = "#N/A", "",  _xll.BDP($C71, VOLUME_AVG_6M))</f>
        <v>165.5079345703125</v>
      </c>
      <c r="AC71" s="31" cm="1">
        <f t="array" ref="AC71">IF(LEFT(_xll.BDP($C71, VOLUME_AVG_12M), 4) = "#N/A", "",  _xll.BDP($C71, VOLUME_AVG_12M))</f>
        <v>163.16334533691406</v>
      </c>
      <c r="AD71" s="41" t="str" cm="1">
        <f t="array" ref="AD71">IF(LEFT(_xll.BDP($C71, LAST_PRICE), 4) = "#N/A", "",  _xll.BDP($C71, LAST_PRICE))</f>
        <v/>
      </c>
    </row>
    <row r="72" spans="1:30" x14ac:dyDescent="0.35">
      <c r="A72" s="1">
        <f t="shared" si="1"/>
        <v>69</v>
      </c>
      <c r="B72" s="28">
        <v>45700</v>
      </c>
      <c r="C72" s="29" t="s">
        <v>180</v>
      </c>
      <c r="D72" s="29" t="s">
        <v>180</v>
      </c>
      <c r="E72" s="29" t="s">
        <v>181</v>
      </c>
      <c r="F72" s="29" t="s">
        <v>33</v>
      </c>
      <c r="G72" s="30" t="s">
        <v>34</v>
      </c>
      <c r="H72" s="31">
        <v>10244396.036473099</v>
      </c>
      <c r="I72" s="31">
        <v>6304396.0364731299</v>
      </c>
      <c r="J72" s="32">
        <v>0.149000003933907</v>
      </c>
      <c r="K72" s="33">
        <v>45700</v>
      </c>
      <c r="L72" s="31">
        <v>4048500</v>
      </c>
      <c r="M72" s="32">
        <v>3.88</v>
      </c>
      <c r="N72" s="31" t="s">
        <v>35</v>
      </c>
      <c r="O72" s="33">
        <v>45699</v>
      </c>
      <c r="P72" s="34">
        <v>1265421.5</v>
      </c>
      <c r="Q72" s="34">
        <v>932522.875</v>
      </c>
      <c r="R72" s="34">
        <v>606657.1875</v>
      </c>
      <c r="S72" s="29"/>
      <c r="T72" s="33"/>
      <c r="U72" s="35" t="b">
        <v>1</v>
      </c>
      <c r="V72" s="35" t="b">
        <v>0</v>
      </c>
      <c r="W72" s="35" t="b">
        <v>0</v>
      </c>
      <c r="Y72" s="31" cm="1">
        <f t="array" ref="Y72">IF(LEFT(_xll.BDP($C72, VOLUME_AVG_10D), 4) = "#N/A", "",  _xll.BDP($C72, VOLUME_AVG_10D))</f>
        <v>2051007</v>
      </c>
      <c r="Z72" s="31" cm="1">
        <f t="array" ref="Z72">IF(LEFT(_xll.BDP($C72, VOLUME_AVG_30D), 4) = "#N/A", "",  _xll.BDP($C72, VOLUME_AVG_30D))</f>
        <v>1265421.5</v>
      </c>
      <c r="AA72" s="31" cm="1">
        <f t="array" ref="AA72">IF(LEFT(_xll.BDP($C72, VOLUME_AVG_3M), 4) = "#N/A", "",  _xll.BDP($C72, VOLUME_AVG_3M))</f>
        <v>932522.875</v>
      </c>
      <c r="AB72" s="31" cm="1">
        <f t="array" ref="AB72">IF(LEFT(_xll.BDP($C72, VOLUME_AVG_6M), 4) = "#N/A", "",  _xll.BDP($C72, VOLUME_AVG_6M))</f>
        <v>606657.1875</v>
      </c>
      <c r="AC72" s="31" cm="1">
        <f t="array" ref="AC72">IF(LEFT(_xll.BDP($C72, VOLUME_AVG_12M), 4) = "#N/A", "",  _xll.BDP($C72, VOLUME_AVG_12M))</f>
        <v>430673.53125</v>
      </c>
      <c r="AD72" s="41" cm="1">
        <f t="array" ref="AD72">IF(LEFT(_xll.BDP($C72, LAST_PRICE), 4) = "#N/A", "",  _xll.BDP($C72, LAST_PRICE))</f>
        <v>0.14899999999999999</v>
      </c>
    </row>
    <row r="73" spans="1:30" x14ac:dyDescent="0.35">
      <c r="A73" s="1">
        <f t="shared" si="1"/>
        <v>70</v>
      </c>
      <c r="B73" s="28">
        <v>45700</v>
      </c>
      <c r="C73" s="29" t="s">
        <v>182</v>
      </c>
      <c r="D73" s="29" t="s">
        <v>182</v>
      </c>
      <c r="E73" s="29" t="s">
        <v>183</v>
      </c>
      <c r="F73" s="29" t="s">
        <v>33</v>
      </c>
      <c r="G73" s="30" t="s">
        <v>34</v>
      </c>
      <c r="H73" s="31">
        <v>9466010.9443792105</v>
      </c>
      <c r="I73" s="31">
        <v>7796164.9443792095</v>
      </c>
      <c r="J73" s="32">
        <v>0.67199999094009399</v>
      </c>
      <c r="K73" s="33">
        <v>45700</v>
      </c>
      <c r="L73" s="31">
        <v>66600</v>
      </c>
      <c r="M73" s="32">
        <v>-13.25</v>
      </c>
      <c r="N73" s="31" t="s">
        <v>35</v>
      </c>
      <c r="O73" s="33">
        <v>45699</v>
      </c>
      <c r="P73" s="34">
        <v>1130824</v>
      </c>
      <c r="Q73" s="34">
        <v>610259.8125</v>
      </c>
      <c r="R73" s="34">
        <v>636645.6875</v>
      </c>
      <c r="S73" s="29"/>
      <c r="T73" s="33"/>
      <c r="U73" s="35" t="b">
        <v>1</v>
      </c>
      <c r="V73" s="35" t="b">
        <v>0</v>
      </c>
      <c r="W73" s="35" t="b">
        <v>0</v>
      </c>
      <c r="Y73" s="31" cm="1">
        <f t="array" ref="Y73">IF(LEFT(_xll.BDP($C73, VOLUME_AVG_10D), 4) = "#N/A", "",  _xll.BDP($C73, VOLUME_AVG_10D))</f>
        <v>110960.5</v>
      </c>
      <c r="Z73" s="31" cm="1">
        <f t="array" ref="Z73">IF(LEFT(_xll.BDP($C73, VOLUME_AVG_30D), 4) = "#N/A", "",  _xll.BDP($C73, VOLUME_AVG_30D))</f>
        <v>1130824</v>
      </c>
      <c r="AA73" s="31" cm="1">
        <f t="array" ref="AA73">IF(LEFT(_xll.BDP($C73, VOLUME_AVG_3M), 4) = "#N/A", "",  _xll.BDP($C73, VOLUME_AVG_3M))</f>
        <v>610259.8125</v>
      </c>
      <c r="AB73" s="31" cm="1">
        <f t="array" ref="AB73">IF(LEFT(_xll.BDP($C73, VOLUME_AVG_6M), 4) = "#N/A", "",  _xll.BDP($C73, VOLUME_AVG_6M))</f>
        <v>636645.6875</v>
      </c>
      <c r="AC73" s="31" cm="1">
        <f t="array" ref="AC73">IF(LEFT(_xll.BDP($C73, VOLUME_AVG_12M), 4) = "#N/A", "",  _xll.BDP($C73, VOLUME_AVG_12M))</f>
        <v>867373.8125</v>
      </c>
      <c r="AD73" s="41" cm="1">
        <f t="array" ref="AD73">IF(LEFT(_xll.BDP($C73, LAST_PRICE), 4) = "#N/A", "",  _xll.BDP($C73, LAST_PRICE))</f>
        <v>0.67200000000000004</v>
      </c>
    </row>
    <row r="74" spans="1:30" x14ac:dyDescent="0.35">
      <c r="A74" s="1">
        <f t="shared" si="1"/>
        <v>71</v>
      </c>
      <c r="B74" s="28">
        <v>45700</v>
      </c>
      <c r="C74" s="29" t="s">
        <v>184</v>
      </c>
      <c r="D74" s="29" t="s">
        <v>184</v>
      </c>
      <c r="E74" s="29" t="s">
        <v>185</v>
      </c>
      <c r="F74" s="29" t="s">
        <v>33</v>
      </c>
      <c r="G74" s="30" t="s">
        <v>34</v>
      </c>
      <c r="H74" s="31">
        <v>329350199.27205098</v>
      </c>
      <c r="I74" s="31">
        <v>425570199.27205098</v>
      </c>
      <c r="J74" s="32">
        <v>5.6900000572204599</v>
      </c>
      <c r="K74" s="33">
        <v>45700</v>
      </c>
      <c r="L74" s="31">
        <v>61000</v>
      </c>
      <c r="M74" s="32">
        <v>-6.2</v>
      </c>
      <c r="N74" s="31" t="s">
        <v>35</v>
      </c>
      <c r="O74" s="33">
        <v>45699</v>
      </c>
      <c r="P74" s="34">
        <v>221952.765625</v>
      </c>
      <c r="Q74" s="34">
        <v>238223.4375</v>
      </c>
      <c r="R74" s="34">
        <v>170499.296875</v>
      </c>
      <c r="S74" s="29"/>
      <c r="T74" s="33"/>
      <c r="U74" s="35" t="b">
        <v>0</v>
      </c>
      <c r="V74" s="35" t="b">
        <v>0</v>
      </c>
      <c r="W74" s="35" t="b">
        <v>0</v>
      </c>
      <c r="Y74" s="31" cm="1">
        <f t="array" ref="Y74">IF(LEFT(_xll.BDP($C74, VOLUME_AVG_10D), 4) = "#N/A", "",  _xll.BDP($C74, VOLUME_AVG_10D))</f>
        <v>147958.296875</v>
      </c>
      <c r="Z74" s="31" cm="1">
        <f t="array" ref="Z74">IF(LEFT(_xll.BDP($C74, VOLUME_AVG_30D), 4) = "#N/A", "",  _xll.BDP($C74, VOLUME_AVG_30D))</f>
        <v>221952.765625</v>
      </c>
      <c r="AA74" s="31" cm="1">
        <f t="array" ref="AA74">IF(LEFT(_xll.BDP($C74, VOLUME_AVG_3M), 4) = "#N/A", "",  _xll.BDP($C74, VOLUME_AVG_3M))</f>
        <v>238223.4375</v>
      </c>
      <c r="AB74" s="31" cm="1">
        <f t="array" ref="AB74">IF(LEFT(_xll.BDP($C74, VOLUME_AVG_6M), 4) = "#N/A", "",  _xll.BDP($C74, VOLUME_AVG_6M))</f>
        <v>170499.296875</v>
      </c>
      <c r="AC74" s="31" cm="1">
        <f t="array" ref="AC74">IF(LEFT(_xll.BDP($C74, VOLUME_AVG_12M), 4) = "#N/A", "",  _xll.BDP($C74, VOLUME_AVG_12M))</f>
        <v>118843.3515625</v>
      </c>
      <c r="AD74" s="41" cm="1">
        <f t="array" ref="AD74">IF(LEFT(_xll.BDP($C74, LAST_PRICE), 4) = "#N/A", "",  _xll.BDP($C74, LAST_PRICE))</f>
        <v>5.69</v>
      </c>
    </row>
    <row r="75" spans="1:30" x14ac:dyDescent="0.35">
      <c r="A75" s="1">
        <f t="shared" si="1"/>
        <v>72</v>
      </c>
      <c r="B75" s="28">
        <v>45700</v>
      </c>
      <c r="C75" s="29" t="s">
        <v>186</v>
      </c>
      <c r="D75" s="29" t="s">
        <v>186</v>
      </c>
      <c r="E75" s="29" t="s">
        <v>187</v>
      </c>
      <c r="F75" s="29" t="s">
        <v>33</v>
      </c>
      <c r="G75" s="30" t="s">
        <v>34</v>
      </c>
      <c r="H75" s="31">
        <v>2231429.99711728</v>
      </c>
      <c r="I75" s="31">
        <v>2979549.99711728</v>
      </c>
      <c r="J75" s="32">
        <v>1.7200000286102299</v>
      </c>
      <c r="K75" s="33">
        <v>45700</v>
      </c>
      <c r="L75" s="31">
        <v>54100</v>
      </c>
      <c r="M75" s="32">
        <v>-18.350000000000001</v>
      </c>
      <c r="N75" s="31" t="s">
        <v>35</v>
      </c>
      <c r="O75" s="33">
        <v>45699</v>
      </c>
      <c r="P75" s="34">
        <v>120556.6015625</v>
      </c>
      <c r="Q75" s="34">
        <v>133583.203125</v>
      </c>
      <c r="R75" s="34">
        <v>236991.015625</v>
      </c>
      <c r="S75" s="29"/>
      <c r="T75" s="33"/>
      <c r="U75" s="35" t="b">
        <v>1</v>
      </c>
      <c r="V75" s="35" t="b">
        <v>0</v>
      </c>
      <c r="W75" s="35" t="b">
        <v>0</v>
      </c>
      <c r="Y75" s="31" cm="1">
        <f t="array" ref="Y75">IF(LEFT(_xll.BDP($C75, VOLUME_AVG_10D), 4) = "#N/A", "",  _xll.BDP($C75, VOLUME_AVG_10D))</f>
        <v>197951.5</v>
      </c>
      <c r="Z75" s="31" cm="1">
        <f t="array" ref="Z75">IF(LEFT(_xll.BDP($C75, VOLUME_AVG_30D), 4) = "#N/A", "",  _xll.BDP($C75, VOLUME_AVG_30D))</f>
        <v>120556.6015625</v>
      </c>
      <c r="AA75" s="31" cm="1">
        <f t="array" ref="AA75">IF(LEFT(_xll.BDP($C75, VOLUME_AVG_3M), 4) = "#N/A", "",  _xll.BDP($C75, VOLUME_AVG_3M))</f>
        <v>133583.203125</v>
      </c>
      <c r="AB75" s="31" cm="1">
        <f t="array" ref="AB75">IF(LEFT(_xll.BDP($C75, VOLUME_AVG_6M), 4) = "#N/A", "",  _xll.BDP($C75, VOLUME_AVG_6M))</f>
        <v>236991.015625</v>
      </c>
      <c r="AC75" s="31" cm="1">
        <f t="array" ref="AC75">IF(LEFT(_xll.BDP($C75, VOLUME_AVG_12M), 4) = "#N/A", "",  _xll.BDP($C75, VOLUME_AVG_12M))</f>
        <v>358380.46875</v>
      </c>
      <c r="AD75" s="41" cm="1">
        <f t="array" ref="AD75">IF(LEFT(_xll.BDP($C75, LAST_PRICE), 4) = "#N/A", "",  _xll.BDP($C75, LAST_PRICE))</f>
        <v>1.72</v>
      </c>
    </row>
    <row r="76" spans="1:30" x14ac:dyDescent="0.35">
      <c r="A76" s="1">
        <f t="shared" si="1"/>
        <v>73</v>
      </c>
      <c r="B76" s="28">
        <v>45700</v>
      </c>
      <c r="C76" s="29" t="s">
        <v>188</v>
      </c>
      <c r="D76" s="29" t="s">
        <v>188</v>
      </c>
      <c r="E76" s="29" t="s">
        <v>189</v>
      </c>
      <c r="F76" s="29" t="s">
        <v>33</v>
      </c>
      <c r="G76" s="30" t="s">
        <v>34</v>
      </c>
      <c r="H76" s="31">
        <v>29462685.436696</v>
      </c>
      <c r="I76" s="31">
        <v>16212740.436696</v>
      </c>
      <c r="J76" s="32">
        <v>1.1900000572204601</v>
      </c>
      <c r="K76" s="33">
        <v>45700</v>
      </c>
      <c r="L76" s="31">
        <v>123500</v>
      </c>
      <c r="M76" s="32">
        <v>-28.15</v>
      </c>
      <c r="N76" s="31" t="s">
        <v>35</v>
      </c>
      <c r="O76" s="33">
        <v>45699</v>
      </c>
      <c r="P76" s="34">
        <v>49769.234375</v>
      </c>
      <c r="Q76" s="34">
        <v>60439.33984375</v>
      </c>
      <c r="R76" s="34">
        <v>38161.5234375</v>
      </c>
      <c r="S76" s="29"/>
      <c r="T76" s="33"/>
      <c r="U76" s="35" t="b">
        <v>0</v>
      </c>
      <c r="V76" s="35" t="b">
        <v>0</v>
      </c>
      <c r="W76" s="35" t="b">
        <v>0</v>
      </c>
      <c r="Y76" s="31" cm="1">
        <f t="array" ref="Y76">IF(LEFT(_xll.BDP($C76, VOLUME_AVG_10D), 4) = "#N/A", "",  _xll.BDP($C76, VOLUME_AVG_10D))</f>
        <v>37375.69921875</v>
      </c>
      <c r="Z76" s="31" cm="1">
        <f t="array" ref="Z76">IF(LEFT(_xll.BDP($C76, VOLUME_AVG_30D), 4) = "#N/A", "",  _xll.BDP($C76, VOLUME_AVG_30D))</f>
        <v>49769.234375</v>
      </c>
      <c r="AA76" s="31" cm="1">
        <f t="array" ref="AA76">IF(LEFT(_xll.BDP($C76, VOLUME_AVG_3M), 4) = "#N/A", "",  _xll.BDP($C76, VOLUME_AVG_3M))</f>
        <v>60439.33984375</v>
      </c>
      <c r="AB76" s="31" cm="1">
        <f t="array" ref="AB76">IF(LEFT(_xll.BDP($C76, VOLUME_AVG_6M), 4) = "#N/A", "",  _xll.BDP($C76, VOLUME_AVG_6M))</f>
        <v>38161.5234375</v>
      </c>
      <c r="AC76" s="31" cm="1">
        <f t="array" ref="AC76">IF(LEFT(_xll.BDP($C76, VOLUME_AVG_12M), 4) = "#N/A", "",  _xll.BDP($C76, VOLUME_AVG_12M))</f>
        <v>29292.24609375</v>
      </c>
      <c r="AD76" s="41" cm="1">
        <f t="array" ref="AD76">IF(LEFT(_xll.BDP($C76, LAST_PRICE), 4) = "#N/A", "",  _xll.BDP($C76, LAST_PRICE))</f>
        <v>1.19</v>
      </c>
    </row>
    <row r="77" spans="1:30" x14ac:dyDescent="0.35">
      <c r="A77" s="1">
        <f t="shared" si="1"/>
        <v>74</v>
      </c>
      <c r="B77" s="28">
        <v>45700</v>
      </c>
      <c r="C77" s="29" t="s">
        <v>190</v>
      </c>
      <c r="D77" s="29" t="s">
        <v>190</v>
      </c>
      <c r="E77" s="29" t="s">
        <v>191</v>
      </c>
      <c r="F77" s="29" t="s">
        <v>33</v>
      </c>
      <c r="G77" s="30" t="s">
        <v>34</v>
      </c>
      <c r="H77" s="31">
        <v>460362313.33188099</v>
      </c>
      <c r="I77" s="31">
        <v>474924313.33188099</v>
      </c>
      <c r="J77" s="32">
        <v>2.1099998950958301</v>
      </c>
      <c r="K77" s="33">
        <v>45700</v>
      </c>
      <c r="L77" s="31">
        <v>31465400</v>
      </c>
      <c r="M77" s="32">
        <v>3.88</v>
      </c>
      <c r="N77" s="31" t="s">
        <v>35</v>
      </c>
      <c r="O77" s="33">
        <v>45699</v>
      </c>
      <c r="P77" s="34">
        <v>2257703.25</v>
      </c>
      <c r="Q77" s="34">
        <v>2178320.25</v>
      </c>
      <c r="R77" s="34">
        <v>1996347</v>
      </c>
      <c r="S77" s="29" t="s">
        <v>192</v>
      </c>
      <c r="T77" s="33">
        <v>45446</v>
      </c>
      <c r="U77" s="35" t="b">
        <v>0</v>
      </c>
      <c r="V77" s="35" t="b">
        <v>0</v>
      </c>
      <c r="W77" s="35" t="b">
        <v>0</v>
      </c>
      <c r="Y77" s="31" cm="1">
        <f t="array" ref="Y77">IF(LEFT(_xll.BDP($C77, VOLUME_AVG_10D), 4) = "#N/A", "",  _xll.BDP($C77, VOLUME_AVG_10D))</f>
        <v>1700328.5</v>
      </c>
      <c r="Z77" s="31" cm="1">
        <f t="array" ref="Z77">IF(LEFT(_xll.BDP($C77, VOLUME_AVG_30D), 4) = "#N/A", "",  _xll.BDP($C77, VOLUME_AVG_30D))</f>
        <v>2257703.25</v>
      </c>
      <c r="AA77" s="31" cm="1">
        <f t="array" ref="AA77">IF(LEFT(_xll.BDP($C77, VOLUME_AVG_3M), 4) = "#N/A", "",  _xll.BDP($C77, VOLUME_AVG_3M))</f>
        <v>2178320.25</v>
      </c>
      <c r="AB77" s="31" cm="1">
        <f t="array" ref="AB77">IF(LEFT(_xll.BDP($C77, VOLUME_AVG_6M), 4) = "#N/A", "",  _xll.BDP($C77, VOLUME_AVG_6M))</f>
        <v>1996347</v>
      </c>
      <c r="AC77" s="31" cm="1">
        <f t="array" ref="AC77">IF(LEFT(_xll.BDP($C77, VOLUME_AVG_12M), 4) = "#N/A", "",  _xll.BDP($C77, VOLUME_AVG_12M))</f>
        <v>3021256.75</v>
      </c>
      <c r="AD77" s="41" cm="1">
        <f t="array" ref="AD77">IF(LEFT(_xll.BDP($C77, LAST_PRICE), 4) = "#N/A", "",  _xll.BDP($C77, LAST_PRICE))</f>
        <v>2.11</v>
      </c>
    </row>
    <row r="78" spans="1:30" x14ac:dyDescent="0.35">
      <c r="A78" s="1">
        <f t="shared" si="1"/>
        <v>75</v>
      </c>
      <c r="B78" s="28">
        <v>45700</v>
      </c>
      <c r="C78" s="29" t="s">
        <v>193</v>
      </c>
      <c r="D78" s="29" t="s">
        <v>193</v>
      </c>
      <c r="E78" s="29" t="s">
        <v>194</v>
      </c>
      <c r="F78" s="29" t="s">
        <v>33</v>
      </c>
      <c r="G78" s="30" t="s">
        <v>34</v>
      </c>
      <c r="H78" s="31">
        <v>3759504361.6525402</v>
      </c>
      <c r="I78" s="31">
        <v>3008792361.6525402</v>
      </c>
      <c r="J78" s="32">
        <v>49.439998626708999</v>
      </c>
      <c r="K78" s="33">
        <v>45700</v>
      </c>
      <c r="L78" s="31">
        <v>21703200</v>
      </c>
      <c r="M78" s="32">
        <v>3.88</v>
      </c>
      <c r="N78" s="31" t="s">
        <v>35</v>
      </c>
      <c r="O78" s="33">
        <v>45699</v>
      </c>
      <c r="P78" s="34">
        <v>1740332.875</v>
      </c>
      <c r="Q78" s="34">
        <v>1172696.375</v>
      </c>
      <c r="R78" s="34">
        <v>836468.0625</v>
      </c>
      <c r="S78" s="29" t="s">
        <v>195</v>
      </c>
      <c r="T78" s="33">
        <v>45446</v>
      </c>
      <c r="U78" s="35" t="b">
        <v>0</v>
      </c>
      <c r="V78" s="35" t="b">
        <v>0</v>
      </c>
      <c r="W78" s="35" t="b">
        <v>0</v>
      </c>
      <c r="Y78" s="31" cm="1">
        <f t="array" ref="Y78">IF(LEFT(_xll.BDP($C78, VOLUME_AVG_10D), 4) = "#N/A", "",  _xll.BDP($C78, VOLUME_AVG_10D))</f>
        <v>1547334.25</v>
      </c>
      <c r="Z78" s="31" cm="1">
        <f t="array" ref="Z78">IF(LEFT(_xll.BDP($C78, VOLUME_AVG_30D), 4) = "#N/A", "",  _xll.BDP($C78, VOLUME_AVG_30D))</f>
        <v>1740332.875</v>
      </c>
      <c r="AA78" s="31" cm="1">
        <f t="array" ref="AA78">IF(LEFT(_xll.BDP($C78, VOLUME_AVG_3M), 4) = "#N/A", "",  _xll.BDP($C78, VOLUME_AVG_3M))</f>
        <v>1172696.375</v>
      </c>
      <c r="AB78" s="31" cm="1">
        <f t="array" ref="AB78">IF(LEFT(_xll.BDP($C78, VOLUME_AVG_6M), 4) = "#N/A", "",  _xll.BDP($C78, VOLUME_AVG_6M))</f>
        <v>836468.0625</v>
      </c>
      <c r="AC78" s="31" cm="1">
        <f t="array" ref="AC78">IF(LEFT(_xll.BDP($C78, VOLUME_AVG_12M), 4) = "#N/A", "",  _xll.BDP($C78, VOLUME_AVG_12M))</f>
        <v>942767.6875</v>
      </c>
      <c r="AD78" s="41" cm="1">
        <f t="array" ref="AD78">IF(LEFT(_xll.BDP($C78, LAST_PRICE), 4) = "#N/A", "",  _xll.BDP($C78, LAST_PRICE))</f>
        <v>49.44</v>
      </c>
    </row>
    <row r="79" spans="1:30" x14ac:dyDescent="0.35">
      <c r="A79" s="1">
        <f t="shared" si="1"/>
        <v>76</v>
      </c>
      <c r="B79" s="28">
        <v>45700</v>
      </c>
      <c r="C79" s="29" t="s">
        <v>196</v>
      </c>
      <c r="D79" s="29" t="s">
        <v>196</v>
      </c>
      <c r="E79" s="29" t="s">
        <v>197</v>
      </c>
      <c r="F79" s="29" t="s">
        <v>33</v>
      </c>
      <c r="G79" s="30" t="s">
        <v>34</v>
      </c>
      <c r="H79" s="31">
        <v>111021985.112673</v>
      </c>
      <c r="I79" s="31">
        <v>156645985.11267301</v>
      </c>
      <c r="J79" s="32">
        <v>2.2400000095367401</v>
      </c>
      <c r="K79" s="33">
        <v>45700</v>
      </c>
      <c r="L79" s="31">
        <v>1647300</v>
      </c>
      <c r="M79" s="32">
        <v>3.6</v>
      </c>
      <c r="N79" s="31" t="s">
        <v>35</v>
      </c>
      <c r="O79" s="33">
        <v>45699</v>
      </c>
      <c r="P79" s="34">
        <v>1029370.1875</v>
      </c>
      <c r="Q79" s="34">
        <v>673741.3125</v>
      </c>
      <c r="R79" s="34">
        <v>398238.6875</v>
      </c>
      <c r="S79" s="29" t="s">
        <v>198</v>
      </c>
      <c r="T79" s="33">
        <v>45484</v>
      </c>
      <c r="U79" s="35" t="b">
        <v>0</v>
      </c>
      <c r="V79" s="35" t="b">
        <v>0</v>
      </c>
      <c r="W79" s="35" t="b">
        <v>0</v>
      </c>
      <c r="Y79" s="31" cm="1">
        <f t="array" ref="Y79">IF(LEFT(_xll.BDP($C79, VOLUME_AVG_10D), 4) = "#N/A", "",  _xll.BDP($C79, VOLUME_AVG_10D))</f>
        <v>397641.40625</v>
      </c>
      <c r="Z79" s="31" cm="1">
        <f t="array" ref="Z79">IF(LEFT(_xll.BDP($C79, VOLUME_AVG_30D), 4) = "#N/A", "",  _xll.BDP($C79, VOLUME_AVG_30D))</f>
        <v>1029370.1875</v>
      </c>
      <c r="AA79" s="31" cm="1">
        <f t="array" ref="AA79">IF(LEFT(_xll.BDP($C79, VOLUME_AVG_3M), 4) = "#N/A", "",  _xll.BDP($C79, VOLUME_AVG_3M))</f>
        <v>673741.3125</v>
      </c>
      <c r="AB79" s="31" cm="1">
        <f t="array" ref="AB79">IF(LEFT(_xll.BDP($C79, VOLUME_AVG_6M), 4) = "#N/A", "",  _xll.BDP($C79, VOLUME_AVG_6M))</f>
        <v>398238.6875</v>
      </c>
      <c r="AC79" s="31" cm="1">
        <f t="array" ref="AC79">IF(LEFT(_xll.BDP($C79, VOLUME_AVG_12M), 4) = "#N/A", "",  _xll.BDP($C79, VOLUME_AVG_12M))</f>
        <v>333257.4375</v>
      </c>
      <c r="AD79" s="41" cm="1">
        <f t="array" ref="AD79">IF(LEFT(_xll.BDP($C79, LAST_PRICE), 4) = "#N/A", "",  _xll.BDP($C79, LAST_PRICE))</f>
        <v>2.2400000000000002</v>
      </c>
    </row>
    <row r="80" spans="1:30" x14ac:dyDescent="0.35">
      <c r="A80" s="1">
        <f t="shared" si="1"/>
        <v>77</v>
      </c>
      <c r="B80" s="28">
        <v>45700</v>
      </c>
      <c r="C80" s="29" t="s">
        <v>199</v>
      </c>
      <c r="D80" s="29" t="s">
        <v>199</v>
      </c>
      <c r="E80" s="29" t="s">
        <v>200</v>
      </c>
      <c r="F80" s="29" t="s">
        <v>33</v>
      </c>
      <c r="G80" s="30" t="s">
        <v>34</v>
      </c>
      <c r="H80" s="31">
        <v>300138054.54830199</v>
      </c>
      <c r="I80" s="31">
        <v>215020847.54830199</v>
      </c>
      <c r="J80" s="32">
        <v>1.2599999904632599</v>
      </c>
      <c r="K80" s="33">
        <v>45700</v>
      </c>
      <c r="L80" s="31">
        <v>135900</v>
      </c>
      <c r="M80" s="32">
        <v>-51</v>
      </c>
      <c r="N80" s="31" t="s">
        <v>35</v>
      </c>
      <c r="O80" s="33">
        <v>45699</v>
      </c>
      <c r="P80" s="34">
        <v>146058.671875</v>
      </c>
      <c r="Q80" s="34">
        <v>195278.90625</v>
      </c>
      <c r="R80" s="34">
        <v>101699.453125</v>
      </c>
      <c r="S80" s="29"/>
      <c r="T80" s="33"/>
      <c r="U80" s="35" t="b">
        <v>0</v>
      </c>
      <c r="V80" s="35" t="b">
        <v>0</v>
      </c>
      <c r="W80" s="35" t="b">
        <v>0</v>
      </c>
      <c r="Y80" s="31" cm="1">
        <f t="array" ref="Y80">IF(LEFT(_xll.BDP($C80, VOLUME_AVG_10D), 4) = "#N/A", "",  _xll.BDP($C80, VOLUME_AVG_10D))</f>
        <v>10445</v>
      </c>
      <c r="Z80" s="31" cm="1">
        <f t="array" ref="Z80">IF(LEFT(_xll.BDP($C80, VOLUME_AVG_30D), 4) = "#N/A", "",  _xll.BDP($C80, VOLUME_AVG_30D))</f>
        <v>146058.671875</v>
      </c>
      <c r="AA80" s="31" cm="1">
        <f t="array" ref="AA80">IF(LEFT(_xll.BDP($C80, VOLUME_AVG_3M), 4) = "#N/A", "",  _xll.BDP($C80, VOLUME_AVG_3M))</f>
        <v>195278.90625</v>
      </c>
      <c r="AB80" s="31" cm="1">
        <f t="array" ref="AB80">IF(LEFT(_xll.BDP($C80, VOLUME_AVG_6M), 4) = "#N/A", "",  _xll.BDP($C80, VOLUME_AVG_6M))</f>
        <v>101699.453125</v>
      </c>
      <c r="AC80" s="31" cm="1">
        <f t="array" ref="AC80">IF(LEFT(_xll.BDP($C80, VOLUME_AVG_12M), 4) = "#N/A", "",  _xll.BDP($C80, VOLUME_AVG_12M))</f>
        <v>68151.265625</v>
      </c>
      <c r="AD80" s="41" cm="1">
        <f t="array" ref="AD80">IF(LEFT(_xll.BDP($C80, LAST_PRICE), 4) = "#N/A", "",  _xll.BDP($C80, LAST_PRICE))</f>
        <v>1.26</v>
      </c>
    </row>
    <row r="81" spans="1:30" x14ac:dyDescent="0.35">
      <c r="A81" s="1">
        <f t="shared" si="1"/>
        <v>78</v>
      </c>
      <c r="B81" s="28">
        <v>45700</v>
      </c>
      <c r="C81" s="29" t="s">
        <v>201</v>
      </c>
      <c r="D81" s="29" t="s">
        <v>201</v>
      </c>
      <c r="E81" s="29" t="s">
        <v>202</v>
      </c>
      <c r="F81" s="29" t="s">
        <v>33</v>
      </c>
      <c r="G81" s="30" t="s">
        <v>34</v>
      </c>
      <c r="H81" s="31">
        <v>2674091.1052817102</v>
      </c>
      <c r="I81" s="31">
        <v>991091.10528171097</v>
      </c>
      <c r="J81" s="32">
        <v>1.66999995708466</v>
      </c>
      <c r="K81" s="33">
        <v>45700</v>
      </c>
      <c r="L81" s="31">
        <v>46500</v>
      </c>
      <c r="M81" s="32">
        <v>0.65</v>
      </c>
      <c r="N81" s="31" t="s">
        <v>35</v>
      </c>
      <c r="O81" s="33">
        <v>45699</v>
      </c>
      <c r="P81" s="34">
        <v>26007</v>
      </c>
      <c r="Q81" s="34">
        <v>27144.7421875</v>
      </c>
      <c r="R81" s="34">
        <v>23220.69921875</v>
      </c>
      <c r="S81" s="29"/>
      <c r="T81" s="33"/>
      <c r="U81" s="35" t="b">
        <v>1</v>
      </c>
      <c r="V81" s="35" t="b">
        <v>0</v>
      </c>
      <c r="W81" s="35" t="b">
        <v>0</v>
      </c>
      <c r="Y81" s="31" cm="1">
        <f t="array" ref="Y81">IF(LEFT(_xll.BDP($C81, VOLUME_AVG_10D), 4) = "#N/A", "",  _xll.BDP($C81, VOLUME_AVG_10D))</f>
        <v>12071.599609375</v>
      </c>
      <c r="Z81" s="31" cm="1">
        <f t="array" ref="Z81">IF(LEFT(_xll.BDP($C81, VOLUME_AVG_30D), 4) = "#N/A", "",  _xll.BDP($C81, VOLUME_AVG_30D))</f>
        <v>26007</v>
      </c>
      <c r="AA81" s="31" cm="1">
        <f t="array" ref="AA81">IF(LEFT(_xll.BDP($C81, VOLUME_AVG_3M), 4) = "#N/A", "",  _xll.BDP($C81, VOLUME_AVG_3M))</f>
        <v>27144.7421875</v>
      </c>
      <c r="AB81" s="31" cm="1">
        <f t="array" ref="AB81">IF(LEFT(_xll.BDP($C81, VOLUME_AVG_6M), 4) = "#N/A", "",  _xll.BDP($C81, VOLUME_AVG_6M))</f>
        <v>23220.69921875</v>
      </c>
      <c r="AC81" s="31" cm="1">
        <f t="array" ref="AC81">IF(LEFT(_xll.BDP($C81, VOLUME_AVG_12M), 4) = "#N/A", "",  _xll.BDP($C81, VOLUME_AVG_12M))</f>
        <v>16431.9453125</v>
      </c>
      <c r="AD81" s="41" cm="1">
        <f t="array" ref="AD81">IF(LEFT(_xll.BDP($C81, LAST_PRICE), 4) = "#N/A", "",  _xll.BDP($C81, LAST_PRICE))</f>
        <v>1.67</v>
      </c>
    </row>
    <row r="82" spans="1:30" x14ac:dyDescent="0.35">
      <c r="A82" s="1">
        <f t="shared" si="1"/>
        <v>79</v>
      </c>
      <c r="B82" s="28">
        <v>45700</v>
      </c>
      <c r="C82" s="29" t="s">
        <v>203</v>
      </c>
      <c r="D82" s="29" t="s">
        <v>203</v>
      </c>
      <c r="E82" s="29" t="s">
        <v>204</v>
      </c>
      <c r="F82" s="29" t="s">
        <v>33</v>
      </c>
      <c r="G82" s="30" t="s">
        <v>34</v>
      </c>
      <c r="H82" s="31">
        <v>358786333.62909198</v>
      </c>
      <c r="I82" s="31">
        <v>301655566.62909198</v>
      </c>
      <c r="J82" s="32">
        <v>6.0250000953674299</v>
      </c>
      <c r="K82" s="33">
        <v>45700</v>
      </c>
      <c r="L82" s="31">
        <v>9371500</v>
      </c>
      <c r="M82" s="32">
        <v>3.88</v>
      </c>
      <c r="N82" s="31" t="s">
        <v>35</v>
      </c>
      <c r="O82" s="33">
        <v>45699</v>
      </c>
      <c r="P82" s="34">
        <v>379350.0625</v>
      </c>
      <c r="Q82" s="34">
        <v>449139.71875</v>
      </c>
      <c r="R82" s="34">
        <v>446950.65625</v>
      </c>
      <c r="S82" s="29" t="s">
        <v>49</v>
      </c>
      <c r="T82" s="33">
        <v>45484</v>
      </c>
      <c r="U82" s="35" t="b">
        <v>0</v>
      </c>
      <c r="V82" s="35" t="b">
        <v>0</v>
      </c>
      <c r="W82" s="35" t="b">
        <v>0</v>
      </c>
      <c r="Y82" s="31" cm="1">
        <f t="array" ref="Y82">IF(LEFT(_xll.BDP($C82, VOLUME_AVG_10D), 4) = "#N/A", "",  _xll.BDP($C82, VOLUME_AVG_10D))</f>
        <v>342481.59375</v>
      </c>
      <c r="Z82" s="31" cm="1">
        <f t="array" ref="Z82">IF(LEFT(_xll.BDP($C82, VOLUME_AVG_30D), 4) = "#N/A", "",  _xll.BDP($C82, VOLUME_AVG_30D))</f>
        <v>379350.0625</v>
      </c>
      <c r="AA82" s="31" cm="1">
        <f t="array" ref="AA82">IF(LEFT(_xll.BDP($C82, VOLUME_AVG_3M), 4) = "#N/A", "",  _xll.BDP($C82, VOLUME_AVG_3M))</f>
        <v>449139.71875</v>
      </c>
      <c r="AB82" s="31" cm="1">
        <f t="array" ref="AB82">IF(LEFT(_xll.BDP($C82, VOLUME_AVG_6M), 4) = "#N/A", "",  _xll.BDP($C82, VOLUME_AVG_6M))</f>
        <v>446950.65625</v>
      </c>
      <c r="AC82" s="31" cm="1">
        <f t="array" ref="AC82">IF(LEFT(_xll.BDP($C82, VOLUME_AVG_12M), 4) = "#N/A", "",  _xll.BDP($C82, VOLUME_AVG_12M))</f>
        <v>474839.78125</v>
      </c>
      <c r="AD82" s="41" cm="1">
        <f t="array" ref="AD82">IF(LEFT(_xll.BDP($C82, LAST_PRICE), 4) = "#N/A", "",  _xll.BDP($C82, LAST_PRICE))</f>
        <v>6.0250000000000004</v>
      </c>
    </row>
    <row r="83" spans="1:30" x14ac:dyDescent="0.35">
      <c r="A83" s="1">
        <f t="shared" si="1"/>
        <v>80</v>
      </c>
      <c r="B83" s="28">
        <v>45700</v>
      </c>
      <c r="C83" s="29" t="s">
        <v>205</v>
      </c>
      <c r="D83" s="29" t="s">
        <v>205</v>
      </c>
      <c r="E83" s="29" t="s">
        <v>206</v>
      </c>
      <c r="F83" s="29" t="s">
        <v>33</v>
      </c>
      <c r="G83" s="30" t="s">
        <v>34</v>
      </c>
      <c r="H83" s="31">
        <v>160609470.799063</v>
      </c>
      <c r="I83" s="31">
        <v>-261953529.200937</v>
      </c>
      <c r="J83" s="32">
        <v>1.6399999856948899</v>
      </c>
      <c r="K83" s="33">
        <v>45700</v>
      </c>
      <c r="L83" s="31">
        <v>17906400</v>
      </c>
      <c r="M83" s="32">
        <v>3.88</v>
      </c>
      <c r="N83" s="31" t="s">
        <v>35</v>
      </c>
      <c r="O83" s="33">
        <v>45699</v>
      </c>
      <c r="P83" s="34">
        <v>772155.8125</v>
      </c>
      <c r="Q83" s="34">
        <v>1286185.5</v>
      </c>
      <c r="R83" s="34">
        <v>901857.875</v>
      </c>
      <c r="S83" s="29" t="s">
        <v>82</v>
      </c>
      <c r="T83" s="33">
        <v>45446</v>
      </c>
      <c r="U83" s="35" t="b">
        <v>0</v>
      </c>
      <c r="V83" s="35" t="b">
        <v>0</v>
      </c>
      <c r="W83" s="35" t="b">
        <v>1</v>
      </c>
      <c r="Y83" s="31" cm="1">
        <f t="array" ref="Y83">IF(LEFT(_xll.BDP($C83, VOLUME_AVG_10D), 4) = "#N/A", "",  _xll.BDP($C83, VOLUME_AVG_10D))</f>
        <v>514798.40625</v>
      </c>
      <c r="Z83" s="31" cm="1">
        <f t="array" ref="Z83">IF(LEFT(_xll.BDP($C83, VOLUME_AVG_30D), 4) = "#N/A", "",  _xll.BDP($C83, VOLUME_AVG_30D))</f>
        <v>772155.8125</v>
      </c>
      <c r="AA83" s="31" cm="1">
        <f t="array" ref="AA83">IF(LEFT(_xll.BDP($C83, VOLUME_AVG_3M), 4) = "#N/A", "",  _xll.BDP($C83, VOLUME_AVG_3M))</f>
        <v>1286185.5</v>
      </c>
      <c r="AB83" s="31" cm="1">
        <f t="array" ref="AB83">IF(LEFT(_xll.BDP($C83, VOLUME_AVG_6M), 4) = "#N/A", "",  _xll.BDP($C83, VOLUME_AVG_6M))</f>
        <v>901857.875</v>
      </c>
      <c r="AC83" s="31" cm="1">
        <f t="array" ref="AC83">IF(LEFT(_xll.BDP($C83, VOLUME_AVG_12M), 4) = "#N/A", "",  _xll.BDP($C83, VOLUME_AVG_12M))</f>
        <v>771438.375</v>
      </c>
      <c r="AD83" s="41" cm="1">
        <f t="array" ref="AD83">IF(LEFT(_xll.BDP($C83, LAST_PRICE), 4) = "#N/A", "",  _xll.BDP($C83, LAST_PRICE))</f>
        <v>1.64</v>
      </c>
    </row>
    <row r="84" spans="1:30" x14ac:dyDescent="0.35">
      <c r="A84" s="1">
        <f t="shared" si="1"/>
        <v>81</v>
      </c>
      <c r="B84" s="28">
        <v>45700</v>
      </c>
      <c r="C84" s="29" t="s">
        <v>207</v>
      </c>
      <c r="D84" s="29" t="s">
        <v>207</v>
      </c>
      <c r="E84" s="29" t="s">
        <v>208</v>
      </c>
      <c r="F84" s="29" t="s">
        <v>33</v>
      </c>
      <c r="G84" s="30" t="s">
        <v>34</v>
      </c>
      <c r="H84" s="31">
        <v>15329259067.0123</v>
      </c>
      <c r="I84" s="31">
        <v>14373586067.0123</v>
      </c>
      <c r="J84" s="32">
        <v>205.33999633789099</v>
      </c>
      <c r="K84" s="33">
        <v>45700</v>
      </c>
      <c r="L84" s="31">
        <v>26539400</v>
      </c>
      <c r="M84" s="32">
        <v>3.88</v>
      </c>
      <c r="N84" s="31" t="s">
        <v>35</v>
      </c>
      <c r="O84" s="33">
        <v>45699</v>
      </c>
      <c r="P84" s="34">
        <v>761748.0625</v>
      </c>
      <c r="Q84" s="34">
        <v>744767.6875</v>
      </c>
      <c r="R84" s="34">
        <v>756263.3125</v>
      </c>
      <c r="S84" s="29"/>
      <c r="T84" s="33"/>
      <c r="U84" s="35" t="b">
        <v>0</v>
      </c>
      <c r="V84" s="35" t="b">
        <v>0</v>
      </c>
      <c r="W84" s="35" t="b">
        <v>0</v>
      </c>
      <c r="Y84" s="31" cm="1">
        <f t="array" ref="Y84">IF(LEFT(_xll.BDP($C84, VOLUME_AVG_10D), 4) = "#N/A", "",  _xll.BDP($C84, VOLUME_AVG_10D))</f>
        <v>1139611.75</v>
      </c>
      <c r="Z84" s="31" cm="1">
        <f t="array" ref="Z84">IF(LEFT(_xll.BDP($C84, VOLUME_AVG_30D), 4) = "#N/A", "",  _xll.BDP($C84, VOLUME_AVG_30D))</f>
        <v>761748.0625</v>
      </c>
      <c r="AA84" s="31" cm="1">
        <f t="array" ref="AA84">IF(LEFT(_xll.BDP($C84, VOLUME_AVG_3M), 4) = "#N/A", "",  _xll.BDP($C84, VOLUME_AVG_3M))</f>
        <v>744767.6875</v>
      </c>
      <c r="AB84" s="31" cm="1">
        <f t="array" ref="AB84">IF(LEFT(_xll.BDP($C84, VOLUME_AVG_6M), 4) = "#N/A", "",  _xll.BDP($C84, VOLUME_AVG_6M))</f>
        <v>756263.3125</v>
      </c>
      <c r="AC84" s="31" cm="1">
        <f t="array" ref="AC84">IF(LEFT(_xll.BDP($C84, VOLUME_AVG_12M), 4) = "#N/A", "",  _xll.BDP($C84, VOLUME_AVG_12M))</f>
        <v>749515.6875</v>
      </c>
      <c r="AD84" s="41" cm="1">
        <f t="array" ref="AD84">IF(LEFT(_xll.BDP($C84, LAST_PRICE), 4) = "#N/A", "",  _xll.BDP($C84, LAST_PRICE))</f>
        <v>205.34</v>
      </c>
    </row>
    <row r="85" spans="1:30" x14ac:dyDescent="0.35">
      <c r="A85" s="1">
        <f t="shared" si="1"/>
        <v>82</v>
      </c>
      <c r="B85" s="28">
        <v>45700</v>
      </c>
      <c r="C85" s="29" t="s">
        <v>209</v>
      </c>
      <c r="D85" s="29" t="s">
        <v>209</v>
      </c>
      <c r="E85" s="29" t="s">
        <v>210</v>
      </c>
      <c r="F85" s="29" t="s">
        <v>33</v>
      </c>
      <c r="G85" s="30" t="s">
        <v>34</v>
      </c>
      <c r="H85" s="31">
        <v>2783427358.1115098</v>
      </c>
      <c r="I85" s="31">
        <v>2623718358.1115098</v>
      </c>
      <c r="J85" s="32">
        <v>14.5200004577637</v>
      </c>
      <c r="K85" s="33">
        <v>45700</v>
      </c>
      <c r="L85" s="31">
        <v>34344400</v>
      </c>
      <c r="M85" s="32">
        <v>3.88</v>
      </c>
      <c r="N85" s="31" t="s">
        <v>35</v>
      </c>
      <c r="O85" s="33">
        <v>45699</v>
      </c>
      <c r="P85" s="34">
        <v>1817028.125</v>
      </c>
      <c r="Q85" s="34">
        <v>1989894.75</v>
      </c>
      <c r="R85" s="34">
        <v>1634176.5</v>
      </c>
      <c r="S85" s="29"/>
      <c r="T85" s="33"/>
      <c r="U85" s="35" t="b">
        <v>0</v>
      </c>
      <c r="V85" s="35" t="b">
        <v>0</v>
      </c>
      <c r="W85" s="35" t="b">
        <v>0</v>
      </c>
      <c r="Y85" s="31" cm="1">
        <f t="array" ref="Y85">IF(LEFT(_xll.BDP($C85, VOLUME_AVG_10D), 4) = "#N/A", "",  _xll.BDP($C85, VOLUME_AVG_10D))</f>
        <v>1701358.875</v>
      </c>
      <c r="Z85" s="31" cm="1">
        <f t="array" ref="Z85">IF(LEFT(_xll.BDP($C85, VOLUME_AVG_30D), 4) = "#N/A", "",  _xll.BDP($C85, VOLUME_AVG_30D))</f>
        <v>1817028.125</v>
      </c>
      <c r="AA85" s="31" cm="1">
        <f t="array" ref="AA85">IF(LEFT(_xll.BDP($C85, VOLUME_AVG_3M), 4) = "#N/A", "",  _xll.BDP($C85, VOLUME_AVG_3M))</f>
        <v>1989894.75</v>
      </c>
      <c r="AB85" s="31" cm="1">
        <f t="array" ref="AB85">IF(LEFT(_xll.BDP($C85, VOLUME_AVG_6M), 4) = "#N/A", "",  _xll.BDP($C85, VOLUME_AVG_6M))</f>
        <v>1634176.5</v>
      </c>
      <c r="AC85" s="31" cm="1">
        <f t="array" ref="AC85">IF(LEFT(_xll.BDP($C85, VOLUME_AVG_12M), 4) = "#N/A", "",  _xll.BDP($C85, VOLUME_AVG_12M))</f>
        <v>1317395.5</v>
      </c>
      <c r="AD85" s="41" cm="1">
        <f t="array" ref="AD85">IF(LEFT(_xll.BDP($C85, LAST_PRICE), 4) = "#N/A", "",  _xll.BDP($C85, LAST_PRICE))</f>
        <v>14.52</v>
      </c>
    </row>
    <row r="86" spans="1:30" x14ac:dyDescent="0.35">
      <c r="A86" s="1">
        <f t="shared" si="1"/>
        <v>83</v>
      </c>
      <c r="B86" s="28">
        <v>45700</v>
      </c>
      <c r="C86" s="29" t="s">
        <v>211</v>
      </c>
      <c r="D86" s="29" t="s">
        <v>211</v>
      </c>
      <c r="E86" s="29" t="s">
        <v>212</v>
      </c>
      <c r="F86" s="29" t="s">
        <v>33</v>
      </c>
      <c r="G86" s="30" t="s">
        <v>34</v>
      </c>
      <c r="H86" s="31">
        <v>75381632.751203507</v>
      </c>
      <c r="I86" s="31">
        <v>9592632.7512035407</v>
      </c>
      <c r="J86" s="32">
        <v>21.0100002288818</v>
      </c>
      <c r="K86" s="33">
        <v>45700</v>
      </c>
      <c r="L86" s="31">
        <v>77200</v>
      </c>
      <c r="M86" s="32">
        <v>2.0499999999999998</v>
      </c>
      <c r="N86" s="31" t="s">
        <v>35</v>
      </c>
      <c r="O86" s="33">
        <v>45699</v>
      </c>
      <c r="P86" s="34">
        <v>319539.78125</v>
      </c>
      <c r="Q86" s="34">
        <v>478554.78125</v>
      </c>
      <c r="R86" s="34">
        <v>285853.75</v>
      </c>
      <c r="S86" s="29"/>
      <c r="T86" s="33"/>
      <c r="U86" s="35" t="b">
        <v>0</v>
      </c>
      <c r="V86" s="35" t="b">
        <v>0</v>
      </c>
      <c r="W86" s="35" t="b">
        <v>0</v>
      </c>
      <c r="Y86" s="31" cm="1">
        <f t="array" ref="Y86">IF(LEFT(_xll.BDP($C86, VOLUME_AVG_10D), 4) = "#N/A", "",  _xll.BDP($C86, VOLUME_AVG_10D))</f>
        <v>229098.296875</v>
      </c>
      <c r="Z86" s="31" cm="1">
        <f t="array" ref="Z86">IF(LEFT(_xll.BDP($C86, VOLUME_AVG_30D), 4) = "#N/A", "",  _xll.BDP($C86, VOLUME_AVG_30D))</f>
        <v>319539.78125</v>
      </c>
      <c r="AA86" s="31" cm="1">
        <f t="array" ref="AA86">IF(LEFT(_xll.BDP($C86, VOLUME_AVG_3M), 4) = "#N/A", "",  _xll.BDP($C86, VOLUME_AVG_3M))</f>
        <v>478554.78125</v>
      </c>
      <c r="AB86" s="31" cm="1">
        <f t="array" ref="AB86">IF(LEFT(_xll.BDP($C86, VOLUME_AVG_6M), 4) = "#N/A", "",  _xll.BDP($C86, VOLUME_AVG_6M))</f>
        <v>285853.75</v>
      </c>
      <c r="AC86" s="31" cm="1">
        <f t="array" ref="AC86">IF(LEFT(_xll.BDP($C86, VOLUME_AVG_12M), 4) = "#N/A", "",  _xll.BDP($C86, VOLUME_AVG_12M))</f>
        <v>151843.890625</v>
      </c>
      <c r="AD86" s="41" cm="1">
        <f t="array" ref="AD86">IF(LEFT(_xll.BDP($C86, LAST_PRICE), 4) = "#N/A", "",  _xll.BDP($C86, LAST_PRICE))</f>
        <v>21.01</v>
      </c>
    </row>
    <row r="87" spans="1:30" x14ac:dyDescent="0.35">
      <c r="A87" s="1">
        <f t="shared" si="1"/>
        <v>84</v>
      </c>
      <c r="B87" s="28">
        <v>45700</v>
      </c>
      <c r="C87" s="29" t="s">
        <v>213</v>
      </c>
      <c r="D87" s="29" t="s">
        <v>213</v>
      </c>
      <c r="E87" s="29" t="s">
        <v>214</v>
      </c>
      <c r="F87" s="29" t="s">
        <v>33</v>
      </c>
      <c r="G87" s="30" t="s">
        <v>34</v>
      </c>
      <c r="H87" s="31">
        <v>5420384018</v>
      </c>
      <c r="I87" s="31"/>
      <c r="J87" s="32">
        <v>33.5</v>
      </c>
      <c r="K87" s="33">
        <v>45700</v>
      </c>
      <c r="L87" s="31"/>
      <c r="M87" s="32"/>
      <c r="N87" s="31"/>
      <c r="O87" s="33">
        <v>45699</v>
      </c>
      <c r="P87" s="34">
        <v>1496148.25</v>
      </c>
      <c r="Q87" s="34">
        <v>1565536.875</v>
      </c>
      <c r="R87" s="34">
        <v>1616089.625</v>
      </c>
      <c r="S87" s="29" t="s">
        <v>97</v>
      </c>
      <c r="T87" s="33">
        <v>45484</v>
      </c>
      <c r="U87" s="35" t="b">
        <v>0</v>
      </c>
      <c r="V87" s="35" t="b">
        <v>0</v>
      </c>
      <c r="W87" s="35" t="b">
        <v>1</v>
      </c>
      <c r="Y87" s="31" cm="1">
        <f t="array" ref="Y87">IF(LEFT(_xll.BDP($C87, VOLUME_AVG_10D), 4) = "#N/A", "",  _xll.BDP($C87, VOLUME_AVG_10D))</f>
        <v>1708108.75</v>
      </c>
      <c r="Z87" s="31" cm="1">
        <f t="array" ref="Z87">IF(LEFT(_xll.BDP($C87, VOLUME_AVG_30D), 4) = "#N/A", "",  _xll.BDP($C87, VOLUME_AVG_30D))</f>
        <v>1496148.25</v>
      </c>
      <c r="AA87" s="31" cm="1">
        <f t="array" ref="AA87">IF(LEFT(_xll.BDP($C87, VOLUME_AVG_3M), 4) = "#N/A", "",  _xll.BDP($C87, VOLUME_AVG_3M))</f>
        <v>1565536.875</v>
      </c>
      <c r="AB87" s="31" cm="1">
        <f t="array" ref="AB87">IF(LEFT(_xll.BDP($C87, VOLUME_AVG_6M), 4) = "#N/A", "",  _xll.BDP($C87, VOLUME_AVG_6M))</f>
        <v>1616089.625</v>
      </c>
      <c r="AC87" s="31" cm="1">
        <f t="array" ref="AC87">IF(LEFT(_xll.BDP($C87, VOLUME_AVG_12M), 4) = "#N/A", "",  _xll.BDP($C87, VOLUME_AVG_12M))</f>
        <v>1816024.25</v>
      </c>
      <c r="AD87" s="41" cm="1">
        <f t="array" ref="AD87">IF(LEFT(_xll.BDP($C87, LAST_PRICE), 4) = "#N/A", "",  _xll.BDP($C87, LAST_PRICE))</f>
        <v>33.5</v>
      </c>
    </row>
    <row r="88" spans="1:30" x14ac:dyDescent="0.35">
      <c r="A88" s="1">
        <f t="shared" si="1"/>
        <v>85</v>
      </c>
      <c r="B88" s="28">
        <v>45700</v>
      </c>
      <c r="C88" s="29" t="s">
        <v>215</v>
      </c>
      <c r="D88" s="29" t="s">
        <v>215</v>
      </c>
      <c r="E88" s="29" t="s">
        <v>216</v>
      </c>
      <c r="F88" s="29" t="s">
        <v>33</v>
      </c>
      <c r="G88" s="30" t="s">
        <v>34</v>
      </c>
      <c r="H88" s="31">
        <v>23631390.490061</v>
      </c>
      <c r="I88" s="31">
        <v>-30081609.509939</v>
      </c>
      <c r="J88" s="32">
        <v>0.264499992132187</v>
      </c>
      <c r="K88" s="33">
        <v>45700</v>
      </c>
      <c r="L88" s="31">
        <v>7556800</v>
      </c>
      <c r="M88" s="32">
        <v>3.88</v>
      </c>
      <c r="N88" s="31" t="s">
        <v>35</v>
      </c>
      <c r="O88" s="33">
        <v>45699</v>
      </c>
      <c r="P88" s="34">
        <v>3858409.25</v>
      </c>
      <c r="Q88" s="34">
        <v>2102460.25</v>
      </c>
      <c r="R88" s="34">
        <v>1345138.625</v>
      </c>
      <c r="S88" s="29" t="s">
        <v>217</v>
      </c>
      <c r="T88" s="33">
        <v>45215</v>
      </c>
      <c r="U88" s="35" t="b">
        <v>0</v>
      </c>
      <c r="V88" s="35" t="b">
        <v>0</v>
      </c>
      <c r="W88" s="35" t="b">
        <v>1</v>
      </c>
      <c r="Y88" s="31" cm="1">
        <f t="array" ref="Y88">IF(LEFT(_xll.BDP($C88, VOLUME_AVG_10D), 4) = "#N/A", "",  _xll.BDP($C88, VOLUME_AVG_10D))</f>
        <v>3493127</v>
      </c>
      <c r="Z88" s="31" cm="1">
        <f t="array" ref="Z88">IF(LEFT(_xll.BDP($C88, VOLUME_AVG_30D), 4) = "#N/A", "",  _xll.BDP($C88, VOLUME_AVG_30D))</f>
        <v>3858409.25</v>
      </c>
      <c r="AA88" s="31" cm="1">
        <f t="array" ref="AA88">IF(LEFT(_xll.BDP($C88, VOLUME_AVG_3M), 4) = "#N/A", "",  _xll.BDP($C88, VOLUME_AVG_3M))</f>
        <v>2102460.25</v>
      </c>
      <c r="AB88" s="31" cm="1">
        <f t="array" ref="AB88">IF(LEFT(_xll.BDP($C88, VOLUME_AVG_6M), 4) = "#N/A", "",  _xll.BDP($C88, VOLUME_AVG_6M))</f>
        <v>1345138.625</v>
      </c>
      <c r="AC88" s="31" cm="1">
        <f t="array" ref="AC88">IF(LEFT(_xll.BDP($C88, VOLUME_AVG_12M), 4) = "#N/A", "",  _xll.BDP($C88, VOLUME_AVG_12M))</f>
        <v>973577.375</v>
      </c>
      <c r="AD88" s="41" cm="1">
        <f t="array" ref="AD88">IF(LEFT(_xll.BDP($C88, LAST_PRICE), 4) = "#N/A", "",  _xll.BDP($C88, LAST_PRICE))</f>
        <v>0.26450000000000001</v>
      </c>
    </row>
    <row r="89" spans="1:30" x14ac:dyDescent="0.35">
      <c r="A89" s="1">
        <f t="shared" si="1"/>
        <v>86</v>
      </c>
      <c r="B89" s="28">
        <v>45700</v>
      </c>
      <c r="C89" s="29" t="s">
        <v>218</v>
      </c>
      <c r="D89" s="29" t="s">
        <v>218</v>
      </c>
      <c r="E89" s="29" t="s">
        <v>219</v>
      </c>
      <c r="F89" s="29" t="s">
        <v>33</v>
      </c>
      <c r="G89" s="30" t="s">
        <v>34</v>
      </c>
      <c r="H89" s="31">
        <v>4477922.8277180204</v>
      </c>
      <c r="I89" s="31">
        <v>7353922.8277180204</v>
      </c>
      <c r="J89" s="32">
        <v>1.0099999904632599</v>
      </c>
      <c r="K89" s="33">
        <v>45700</v>
      </c>
      <c r="L89" s="31">
        <v>83200</v>
      </c>
      <c r="M89" s="32">
        <v>-18.350000000000001</v>
      </c>
      <c r="N89" s="31" t="s">
        <v>35</v>
      </c>
      <c r="O89" s="33">
        <v>45699</v>
      </c>
      <c r="P89" s="34">
        <v>3259603.25</v>
      </c>
      <c r="Q89" s="34">
        <v>1794241.625</v>
      </c>
      <c r="R89" s="34">
        <v>1167226.75</v>
      </c>
      <c r="S89" s="29"/>
      <c r="T89" s="33"/>
      <c r="U89" s="35" t="b">
        <v>1</v>
      </c>
      <c r="V89" s="35" t="b">
        <v>0</v>
      </c>
      <c r="W89" s="35" t="b">
        <v>0</v>
      </c>
      <c r="Y89" s="31" cm="1">
        <f t="array" ref="Y89">IF(LEFT(_xll.BDP($C89, VOLUME_AVG_10D), 4) = "#N/A", "",  _xll.BDP($C89, VOLUME_AVG_10D))</f>
        <v>2200689</v>
      </c>
      <c r="Z89" s="31" cm="1">
        <f t="array" ref="Z89">IF(LEFT(_xll.BDP($C89, VOLUME_AVG_30D), 4) = "#N/A", "",  _xll.BDP($C89, VOLUME_AVG_30D))</f>
        <v>3259603.25</v>
      </c>
      <c r="AA89" s="31" cm="1">
        <f t="array" ref="AA89">IF(LEFT(_xll.BDP($C89, VOLUME_AVG_3M), 4) = "#N/A", "",  _xll.BDP($C89, VOLUME_AVG_3M))</f>
        <v>1794241.625</v>
      </c>
      <c r="AB89" s="31" cm="1">
        <f t="array" ref="AB89">IF(LEFT(_xll.BDP($C89, VOLUME_AVG_6M), 4) = "#N/A", "",  _xll.BDP($C89, VOLUME_AVG_6M))</f>
        <v>1167226.75</v>
      </c>
      <c r="AC89" s="31" cm="1">
        <f t="array" ref="AC89">IF(LEFT(_xll.BDP($C89, VOLUME_AVG_12M), 4) = "#N/A", "",  _xll.BDP($C89, VOLUME_AVG_12M))</f>
        <v>662435.4375</v>
      </c>
      <c r="AD89" s="41" cm="1">
        <f t="array" ref="AD89">IF(LEFT(_xll.BDP($C89, LAST_PRICE), 4) = "#N/A", "",  _xll.BDP($C89, LAST_PRICE))</f>
        <v>1.01</v>
      </c>
    </row>
    <row r="90" spans="1:30" x14ac:dyDescent="0.35">
      <c r="A90" s="1">
        <f t="shared" si="1"/>
        <v>87</v>
      </c>
      <c r="B90" s="28">
        <v>45700</v>
      </c>
      <c r="C90" s="29" t="s">
        <v>220</v>
      </c>
      <c r="D90" s="29" t="s">
        <v>220</v>
      </c>
      <c r="E90" s="29" t="s">
        <v>221</v>
      </c>
      <c r="F90" s="29" t="s">
        <v>33</v>
      </c>
      <c r="G90" s="30" t="s">
        <v>34</v>
      </c>
      <c r="H90" s="31">
        <v>2078916.912</v>
      </c>
      <c r="I90" s="31"/>
      <c r="J90" s="32">
        <v>1.7999999999999999E-2</v>
      </c>
      <c r="K90" s="33">
        <v>45700</v>
      </c>
      <c r="L90" s="31"/>
      <c r="M90" s="32"/>
      <c r="N90" s="31"/>
      <c r="O90" s="33">
        <v>45699</v>
      </c>
      <c r="P90" s="34">
        <v>2526.10009765625</v>
      </c>
      <c r="Q90" s="34">
        <v>7581.25830078125</v>
      </c>
      <c r="R90" s="34">
        <v>8925.77734375</v>
      </c>
      <c r="S90" s="29"/>
      <c r="T90" s="33"/>
      <c r="U90" s="35" t="b">
        <v>1</v>
      </c>
      <c r="V90" s="35" t="b">
        <v>1</v>
      </c>
      <c r="W90" s="35" t="b">
        <v>1</v>
      </c>
      <c r="Y90" s="31" cm="1">
        <f t="array" ref="Y90">IF(LEFT(_xll.BDP($C90, VOLUME_AVG_10D), 4) = "#N/A", "",  _xll.BDP($C90, VOLUME_AVG_10D))</f>
        <v>1360.5</v>
      </c>
      <c r="Z90" s="31" cm="1">
        <f t="array" ref="Z90">IF(LEFT(_xll.BDP($C90, VOLUME_AVG_30D), 4) = "#N/A", "",  _xll.BDP($C90, VOLUME_AVG_30D))</f>
        <v>2526.10009765625</v>
      </c>
      <c r="AA90" s="31" cm="1">
        <f t="array" ref="AA90">IF(LEFT(_xll.BDP($C90, VOLUME_AVG_3M), 4) = "#N/A", "",  _xll.BDP($C90, VOLUME_AVG_3M))</f>
        <v>7581.25830078125</v>
      </c>
      <c r="AB90" s="31" cm="1">
        <f t="array" ref="AB90">IF(LEFT(_xll.BDP($C90, VOLUME_AVG_6M), 4) = "#N/A", "",  _xll.BDP($C90, VOLUME_AVG_6M))</f>
        <v>8925.77734375</v>
      </c>
      <c r="AC90" s="31" cm="1">
        <f t="array" ref="AC90">IF(LEFT(_xll.BDP($C90, VOLUME_AVG_12M), 4) = "#N/A", "",  _xll.BDP($C90, VOLUME_AVG_12M))</f>
        <v>10615.1796875</v>
      </c>
      <c r="AD90" s="41" cm="1">
        <f t="array" ref="AD90">IF(LEFT(_xll.BDP($C90, LAST_PRICE), 4) = "#N/A", "",  _xll.BDP($C90, LAST_PRICE))</f>
        <v>1.7999999999999999E-2</v>
      </c>
    </row>
    <row r="91" spans="1:30" x14ac:dyDescent="0.35">
      <c r="A91" s="1">
        <f t="shared" si="1"/>
        <v>88</v>
      </c>
      <c r="B91" s="28">
        <v>45700</v>
      </c>
      <c r="C91" s="29" t="s">
        <v>222</v>
      </c>
      <c r="D91" s="29" t="s">
        <v>222</v>
      </c>
      <c r="E91" s="29" t="s">
        <v>223</v>
      </c>
      <c r="F91" s="29" t="s">
        <v>33</v>
      </c>
      <c r="G91" s="30" t="s">
        <v>34</v>
      </c>
      <c r="H91" s="31">
        <v>299831079.13226098</v>
      </c>
      <c r="I91" s="31">
        <v>100791079.13226099</v>
      </c>
      <c r="J91" s="32">
        <v>1.4299999475479099</v>
      </c>
      <c r="K91" s="33">
        <v>45700</v>
      </c>
      <c r="L91" s="31">
        <v>27214400</v>
      </c>
      <c r="M91" s="32">
        <v>3.88</v>
      </c>
      <c r="N91" s="31" t="s">
        <v>35</v>
      </c>
      <c r="O91" s="33">
        <v>45699</v>
      </c>
      <c r="P91" s="34">
        <v>2779451.25</v>
      </c>
      <c r="Q91" s="34">
        <v>2710846.5</v>
      </c>
      <c r="R91" s="34">
        <v>2331806.75</v>
      </c>
      <c r="S91" s="29" t="s">
        <v>46</v>
      </c>
      <c r="T91" s="33">
        <v>45446</v>
      </c>
      <c r="U91" s="35" t="b">
        <v>0</v>
      </c>
      <c r="V91" s="35" t="b">
        <v>0</v>
      </c>
      <c r="W91" s="35" t="b">
        <v>0</v>
      </c>
      <c r="Y91" s="31" cm="1">
        <f t="array" ref="Y91">IF(LEFT(_xll.BDP($C91, VOLUME_AVG_10D), 4) = "#N/A", "",  _xll.BDP($C91, VOLUME_AVG_10D))</f>
        <v>2768524.75</v>
      </c>
      <c r="Z91" s="31" cm="1">
        <f t="array" ref="Z91">IF(LEFT(_xll.BDP($C91, VOLUME_AVG_30D), 4) = "#N/A", "",  _xll.BDP($C91, VOLUME_AVG_30D))</f>
        <v>2779451.25</v>
      </c>
      <c r="AA91" s="31" cm="1">
        <f t="array" ref="AA91">IF(LEFT(_xll.BDP($C91, VOLUME_AVG_3M), 4) = "#N/A", "",  _xll.BDP($C91, VOLUME_AVG_3M))</f>
        <v>2710846.5</v>
      </c>
      <c r="AB91" s="31" cm="1">
        <f t="array" ref="AB91">IF(LEFT(_xll.BDP($C91, VOLUME_AVG_6M), 4) = "#N/A", "",  _xll.BDP($C91, VOLUME_AVG_6M))</f>
        <v>2331806.75</v>
      </c>
      <c r="AC91" s="31" cm="1">
        <f t="array" ref="AC91">IF(LEFT(_xll.BDP($C91, VOLUME_AVG_12M), 4) = "#N/A", "",  _xll.BDP($C91, VOLUME_AVG_12M))</f>
        <v>2448029.75</v>
      </c>
      <c r="AD91" s="41" cm="1">
        <f t="array" ref="AD91">IF(LEFT(_xll.BDP($C91, LAST_PRICE), 4) = "#N/A", "",  _xll.BDP($C91, LAST_PRICE))</f>
        <v>1.43</v>
      </c>
    </row>
    <row r="92" spans="1:30" x14ac:dyDescent="0.35">
      <c r="A92" s="1">
        <f t="shared" si="1"/>
        <v>89</v>
      </c>
      <c r="B92" s="28">
        <v>45700</v>
      </c>
      <c r="C92" s="29" t="s">
        <v>224</v>
      </c>
      <c r="D92" s="29" t="s">
        <v>224</v>
      </c>
      <c r="E92" s="29" t="s">
        <v>225</v>
      </c>
      <c r="F92" s="29" t="s">
        <v>33</v>
      </c>
      <c r="G92" s="30" t="s">
        <v>34</v>
      </c>
      <c r="H92" s="31">
        <v>48990354.880434804</v>
      </c>
      <c r="I92" s="31">
        <v>-72860645.119565204</v>
      </c>
      <c r="J92" s="32">
        <v>9.75</v>
      </c>
      <c r="K92" s="33">
        <v>45700</v>
      </c>
      <c r="L92" s="31">
        <v>166400</v>
      </c>
      <c r="M92" s="32">
        <v>3.4</v>
      </c>
      <c r="N92" s="31" t="s">
        <v>35</v>
      </c>
      <c r="O92" s="33">
        <v>45699</v>
      </c>
      <c r="P92" s="34">
        <v>33991.171875</v>
      </c>
      <c r="Q92" s="34">
        <v>25038.1484375</v>
      </c>
      <c r="R92" s="34">
        <v>17781.78515625</v>
      </c>
      <c r="S92" s="29"/>
      <c r="T92" s="33"/>
      <c r="U92" s="35" t="b">
        <v>0</v>
      </c>
      <c r="V92" s="35" t="b">
        <v>0</v>
      </c>
      <c r="W92" s="35" t="b">
        <v>1</v>
      </c>
      <c r="Y92" s="31" cm="1">
        <f t="array" ref="Y92">IF(LEFT(_xll.BDP($C92, VOLUME_AVG_10D), 4) = "#N/A", "",  _xll.BDP($C92, VOLUME_AVG_10D))</f>
        <v>26156.5</v>
      </c>
      <c r="Z92" s="31" cm="1">
        <f t="array" ref="Z92">IF(LEFT(_xll.BDP($C92, VOLUME_AVG_30D), 4) = "#N/A", "",  _xll.BDP($C92, VOLUME_AVG_30D))</f>
        <v>33991.171875</v>
      </c>
      <c r="AA92" s="31" cm="1">
        <f t="array" ref="AA92">IF(LEFT(_xll.BDP($C92, VOLUME_AVG_3M), 4) = "#N/A", "",  _xll.BDP($C92, VOLUME_AVG_3M))</f>
        <v>25038.1484375</v>
      </c>
      <c r="AB92" s="31" cm="1">
        <f t="array" ref="AB92">IF(LEFT(_xll.BDP($C92, VOLUME_AVG_6M), 4) = "#N/A", "",  _xll.BDP($C92, VOLUME_AVG_6M))</f>
        <v>17781.78515625</v>
      </c>
      <c r="AC92" s="31" cm="1">
        <f t="array" ref="AC92">IF(LEFT(_xll.BDP($C92, VOLUME_AVG_12M), 4) = "#N/A", "",  _xll.BDP($C92, VOLUME_AVG_12M))</f>
        <v>18700.33984375</v>
      </c>
      <c r="AD92" s="41" cm="1">
        <f t="array" ref="AD92">IF(LEFT(_xll.BDP($C92, LAST_PRICE), 4) = "#N/A", "",  _xll.BDP($C92, LAST_PRICE))</f>
        <v>9.75</v>
      </c>
    </row>
    <row r="93" spans="1:30" x14ac:dyDescent="0.35">
      <c r="A93" s="1">
        <f t="shared" si="1"/>
        <v>90</v>
      </c>
      <c r="B93" s="28">
        <v>45700</v>
      </c>
      <c r="C93" s="29" t="s">
        <v>226</v>
      </c>
      <c r="D93" s="29" t="s">
        <v>226</v>
      </c>
      <c r="E93" s="29" t="s">
        <v>227</v>
      </c>
      <c r="F93" s="29" t="s">
        <v>33</v>
      </c>
      <c r="G93" s="30" t="s">
        <v>34</v>
      </c>
      <c r="H93" s="31">
        <v>34303763583.188099</v>
      </c>
      <c r="I93" s="31">
        <v>32825356583.188099</v>
      </c>
      <c r="J93" s="32">
        <v>265.95999145507801</v>
      </c>
      <c r="K93" s="33">
        <v>45700</v>
      </c>
      <c r="L93" s="31">
        <v>47116700</v>
      </c>
      <c r="M93" s="32">
        <v>3.88</v>
      </c>
      <c r="N93" s="31" t="s">
        <v>35</v>
      </c>
      <c r="O93" s="33">
        <v>45699</v>
      </c>
      <c r="P93" s="34">
        <v>641083.0625</v>
      </c>
      <c r="Q93" s="34">
        <v>696555.6875</v>
      </c>
      <c r="R93" s="34">
        <v>754625.0625</v>
      </c>
      <c r="S93" s="29" t="s">
        <v>177</v>
      </c>
      <c r="T93" s="33">
        <v>45446</v>
      </c>
      <c r="U93" s="35" t="b">
        <v>0</v>
      </c>
      <c r="V93" s="35" t="b">
        <v>0</v>
      </c>
      <c r="W93" s="35" t="b">
        <v>0</v>
      </c>
      <c r="Y93" s="31" cm="1">
        <f t="array" ref="Y93">IF(LEFT(_xll.BDP($C93, VOLUME_AVG_10D), 4) = "#N/A", "",  _xll.BDP($C93, VOLUME_AVG_10D))</f>
        <v>596816.125</v>
      </c>
      <c r="Z93" s="31" cm="1">
        <f t="array" ref="Z93">IF(LEFT(_xll.BDP($C93, VOLUME_AVG_30D), 4) = "#N/A", "",  _xll.BDP($C93, VOLUME_AVG_30D))</f>
        <v>641083.0625</v>
      </c>
      <c r="AA93" s="31" cm="1">
        <f t="array" ref="AA93">IF(LEFT(_xll.BDP($C93, VOLUME_AVG_3M), 4) = "#N/A", "",  _xll.BDP($C93, VOLUME_AVG_3M))</f>
        <v>696555.6875</v>
      </c>
      <c r="AB93" s="31" cm="1">
        <f t="array" ref="AB93">IF(LEFT(_xll.BDP($C93, VOLUME_AVG_6M), 4) = "#N/A", "",  _xll.BDP($C93, VOLUME_AVG_6M))</f>
        <v>754625.0625</v>
      </c>
      <c r="AC93" s="31" cm="1">
        <f t="array" ref="AC93">IF(LEFT(_xll.BDP($C93, VOLUME_AVG_12M), 4) = "#N/A", "",  _xll.BDP($C93, VOLUME_AVG_12M))</f>
        <v>853036.75</v>
      </c>
      <c r="AD93" s="41" cm="1">
        <f t="array" ref="AD93">IF(LEFT(_xll.BDP($C93, LAST_PRICE), 4) = "#N/A", "",  _xll.BDP($C93, LAST_PRICE))</f>
        <v>265.95999999999998</v>
      </c>
    </row>
    <row r="94" spans="1:30" x14ac:dyDescent="0.35">
      <c r="A94" s="1">
        <f t="shared" si="1"/>
        <v>91</v>
      </c>
      <c r="B94" s="28">
        <v>45700</v>
      </c>
      <c r="C94" s="29" t="s">
        <v>3300</v>
      </c>
      <c r="D94" s="29" t="s">
        <v>3300</v>
      </c>
      <c r="E94" s="29" t="s">
        <v>3301</v>
      </c>
      <c r="F94" s="29" t="s">
        <v>33</v>
      </c>
      <c r="G94" s="30" t="s">
        <v>34</v>
      </c>
      <c r="H94" s="31">
        <v>92914773.455532104</v>
      </c>
      <c r="I94" s="31">
        <v>130553850.00431199</v>
      </c>
      <c r="J94" s="32">
        <v>5.8000001907348597</v>
      </c>
      <c r="K94" s="33">
        <v>45700</v>
      </c>
      <c r="L94" s="31">
        <v>1050000</v>
      </c>
      <c r="M94" s="32">
        <v>-6.15</v>
      </c>
      <c r="N94" s="31" t="s">
        <v>35</v>
      </c>
      <c r="O94" s="33">
        <v>45699</v>
      </c>
      <c r="P94" s="34">
        <v>112427.265625</v>
      </c>
      <c r="Q94" s="34">
        <v>116893.6328125</v>
      </c>
      <c r="R94" s="34">
        <v>59529.9140625</v>
      </c>
      <c r="S94" s="29"/>
      <c r="T94" s="33"/>
      <c r="U94" s="35" t="b">
        <v>0</v>
      </c>
      <c r="V94" s="35" t="b">
        <v>0</v>
      </c>
      <c r="W94" s="35" t="b">
        <v>0</v>
      </c>
      <c r="Y94" s="31" cm="1">
        <f t="array" ref="Y94">IF(LEFT(_xll.BDP($C94, VOLUME_AVG_10D), 4) = "#N/A", "",  _xll.BDP($C94, VOLUME_AVG_10D))</f>
        <v>73432.6015625</v>
      </c>
      <c r="Z94" s="31" cm="1">
        <f t="array" ref="Z94">IF(LEFT(_xll.BDP($C94, VOLUME_AVG_30D), 4) = "#N/A", "",  _xll.BDP($C94, VOLUME_AVG_30D))</f>
        <v>112427.265625</v>
      </c>
      <c r="AA94" s="31" cm="1">
        <f t="array" ref="AA94">IF(LEFT(_xll.BDP($C94, VOLUME_AVG_3M), 4) = "#N/A", "",  _xll.BDP($C94, VOLUME_AVG_3M))</f>
        <v>116893.6328125</v>
      </c>
      <c r="AB94" s="31" cm="1">
        <f t="array" ref="AB94">IF(LEFT(_xll.BDP($C94, VOLUME_AVG_6M), 4) = "#N/A", "",  _xll.BDP($C94, VOLUME_AVG_6M))</f>
        <v>59529.9140625</v>
      </c>
      <c r="AC94" s="31" cm="1">
        <f t="array" ref="AC94">IF(LEFT(_xll.BDP($C94, VOLUME_AVG_12M), 4) = "#N/A", "",  _xll.BDP($C94, VOLUME_AVG_12M))</f>
        <v>31579.884765625</v>
      </c>
      <c r="AD94" s="41" cm="1">
        <f t="array" ref="AD94">IF(LEFT(_xll.BDP($C94, LAST_PRICE), 4) = "#N/A", "",  _xll.BDP($C94, LAST_PRICE))</f>
        <v>5.8</v>
      </c>
    </row>
    <row r="95" spans="1:30" x14ac:dyDescent="0.35">
      <c r="A95" s="1">
        <f t="shared" si="1"/>
        <v>92</v>
      </c>
      <c r="B95" s="28">
        <v>45700</v>
      </c>
      <c r="C95" s="29" t="s">
        <v>228</v>
      </c>
      <c r="D95" s="29" t="s">
        <v>228</v>
      </c>
      <c r="E95" s="29" t="s">
        <v>229</v>
      </c>
      <c r="F95" s="29" t="s">
        <v>33</v>
      </c>
      <c r="G95" s="30" t="s">
        <v>34</v>
      </c>
      <c r="H95" s="31">
        <v>211484165.653099</v>
      </c>
      <c r="I95" s="31">
        <v>142972165.653099</v>
      </c>
      <c r="J95" s="32">
        <v>3.0299999713897701</v>
      </c>
      <c r="K95" s="33">
        <v>45700</v>
      </c>
      <c r="L95" s="31"/>
      <c r="M95" s="32"/>
      <c r="N95" s="31"/>
      <c r="O95" s="33">
        <v>45699</v>
      </c>
      <c r="P95" s="34">
        <v>127655</v>
      </c>
      <c r="Q95" s="34">
        <v>88123.7578125</v>
      </c>
      <c r="R95" s="34">
        <v>54597.0234375</v>
      </c>
      <c r="S95" s="29"/>
      <c r="T95" s="33"/>
      <c r="U95" s="35" t="b">
        <v>0</v>
      </c>
      <c r="V95" s="35" t="b">
        <v>0</v>
      </c>
      <c r="W95" s="35" t="b">
        <v>0</v>
      </c>
      <c r="Y95" s="31" cm="1">
        <f t="array" ref="Y95">IF(LEFT(_xll.BDP($C95, VOLUME_AVG_10D), 4) = "#N/A", "",  _xll.BDP($C95, VOLUME_AVG_10D))</f>
        <v>116283.1015625</v>
      </c>
      <c r="Z95" s="31" cm="1">
        <f t="array" ref="Z95">IF(LEFT(_xll.BDP($C95, VOLUME_AVG_30D), 4) = "#N/A", "",  _xll.BDP($C95, VOLUME_AVG_30D))</f>
        <v>127655</v>
      </c>
      <c r="AA95" s="31" cm="1">
        <f t="array" ref="AA95">IF(LEFT(_xll.BDP($C95, VOLUME_AVG_3M), 4) = "#N/A", "",  _xll.BDP($C95, VOLUME_AVG_3M))</f>
        <v>88123.7578125</v>
      </c>
      <c r="AB95" s="31" cm="1">
        <f t="array" ref="AB95">IF(LEFT(_xll.BDP($C95, VOLUME_AVG_6M), 4) = "#N/A", "",  _xll.BDP($C95, VOLUME_AVG_6M))</f>
        <v>54597.0234375</v>
      </c>
      <c r="AC95" s="31" cm="1">
        <f t="array" ref="AC95">IF(LEFT(_xll.BDP($C95, VOLUME_AVG_12M), 4) = "#N/A", "",  _xll.BDP($C95, VOLUME_AVG_12M))</f>
        <v>45298.125</v>
      </c>
      <c r="AD95" s="41" cm="1">
        <f t="array" ref="AD95">IF(LEFT(_xll.BDP($C95, LAST_PRICE), 4) = "#N/A", "",  _xll.BDP($C95, LAST_PRICE))</f>
        <v>3.03</v>
      </c>
    </row>
    <row r="96" spans="1:30" x14ac:dyDescent="0.35">
      <c r="A96" s="1">
        <f t="shared" si="1"/>
        <v>93</v>
      </c>
      <c r="B96" s="28">
        <v>45700</v>
      </c>
      <c r="C96" s="29" t="s">
        <v>230</v>
      </c>
      <c r="D96" s="29" t="s">
        <v>230</v>
      </c>
      <c r="E96" s="29" t="s">
        <v>231</v>
      </c>
      <c r="F96" s="29" t="s">
        <v>33</v>
      </c>
      <c r="G96" s="30" t="s">
        <v>34</v>
      </c>
      <c r="H96" s="31">
        <v>429126906.61763501</v>
      </c>
      <c r="I96" s="31">
        <v>431100906.61763501</v>
      </c>
      <c r="J96" s="32">
        <v>8.0500001907348597</v>
      </c>
      <c r="K96" s="33">
        <v>45700</v>
      </c>
      <c r="L96" s="31">
        <v>985700</v>
      </c>
      <c r="M96" s="32">
        <v>-6.6</v>
      </c>
      <c r="N96" s="31" t="s">
        <v>35</v>
      </c>
      <c r="O96" s="33">
        <v>45699</v>
      </c>
      <c r="P96" s="34">
        <v>263709.9375</v>
      </c>
      <c r="Q96" s="34">
        <v>264021.09375</v>
      </c>
      <c r="R96" s="34">
        <v>242451.09375</v>
      </c>
      <c r="S96" s="29"/>
      <c r="T96" s="33"/>
      <c r="U96" s="35" t="b">
        <v>0</v>
      </c>
      <c r="V96" s="35" t="b">
        <v>0</v>
      </c>
      <c r="W96" s="35" t="b">
        <v>0</v>
      </c>
      <c r="Y96" s="31" cm="1">
        <f t="array" ref="Y96">IF(LEFT(_xll.BDP($C96, VOLUME_AVG_10D), 4) = "#N/A", "",  _xll.BDP($C96, VOLUME_AVG_10D))</f>
        <v>173824.40625</v>
      </c>
      <c r="Z96" s="31" cm="1">
        <f t="array" ref="Z96">IF(LEFT(_xll.BDP($C96, VOLUME_AVG_30D), 4) = "#N/A", "",  _xll.BDP($C96, VOLUME_AVG_30D))</f>
        <v>263709.9375</v>
      </c>
      <c r="AA96" s="31" cm="1">
        <f t="array" ref="AA96">IF(LEFT(_xll.BDP($C96, VOLUME_AVG_3M), 4) = "#N/A", "",  _xll.BDP($C96, VOLUME_AVG_3M))</f>
        <v>264021.09375</v>
      </c>
      <c r="AB96" s="31" cm="1">
        <f t="array" ref="AB96">IF(LEFT(_xll.BDP($C96, VOLUME_AVG_6M), 4) = "#N/A", "",  _xll.BDP($C96, VOLUME_AVG_6M))</f>
        <v>242451.09375</v>
      </c>
      <c r="AC96" s="31" cm="1">
        <f t="array" ref="AC96">IF(LEFT(_xll.BDP($C96, VOLUME_AVG_12M), 4) = "#N/A", "",  _xll.BDP($C96, VOLUME_AVG_12M))</f>
        <v>258821.875</v>
      </c>
      <c r="AD96" s="41" cm="1">
        <f t="array" ref="AD96">IF(LEFT(_xll.BDP($C96, LAST_PRICE), 4) = "#N/A", "",  _xll.BDP($C96, LAST_PRICE))</f>
        <v>8.0500000000000007</v>
      </c>
    </row>
    <row r="97" spans="1:30" x14ac:dyDescent="0.35">
      <c r="A97" s="1">
        <f t="shared" si="1"/>
        <v>94</v>
      </c>
      <c r="B97" s="28">
        <v>45700</v>
      </c>
      <c r="C97" s="29" t="s">
        <v>232</v>
      </c>
      <c r="D97" s="29" t="s">
        <v>232</v>
      </c>
      <c r="E97" s="29" t="s">
        <v>233</v>
      </c>
      <c r="F97" s="29" t="s">
        <v>33</v>
      </c>
      <c r="G97" s="30" t="s">
        <v>34</v>
      </c>
      <c r="H97" s="31">
        <v>1514080894.86412</v>
      </c>
      <c r="I97" s="31">
        <v>2020561894.86412</v>
      </c>
      <c r="J97" s="32">
        <v>10.680000305175801</v>
      </c>
      <c r="K97" s="33">
        <v>45700</v>
      </c>
      <c r="L97" s="31">
        <v>23554500</v>
      </c>
      <c r="M97" s="32">
        <v>3.88</v>
      </c>
      <c r="N97" s="31" t="s">
        <v>35</v>
      </c>
      <c r="O97" s="33">
        <v>45699</v>
      </c>
      <c r="P97" s="34">
        <v>1654123.875</v>
      </c>
      <c r="Q97" s="34">
        <v>1582701.625</v>
      </c>
      <c r="R97" s="34">
        <v>1977160.875</v>
      </c>
      <c r="S97" s="29"/>
      <c r="T97" s="33"/>
      <c r="U97" s="35" t="b">
        <v>0</v>
      </c>
      <c r="V97" s="35" t="b">
        <v>0</v>
      </c>
      <c r="W97" s="35" t="b">
        <v>0</v>
      </c>
      <c r="Y97" s="31" cm="1">
        <f t="array" ref="Y97">IF(LEFT(_xll.BDP($C97, VOLUME_AVG_10D), 4) = "#N/A", "",  _xll.BDP($C97, VOLUME_AVG_10D))</f>
        <v>1585019.625</v>
      </c>
      <c r="Z97" s="31" cm="1">
        <f t="array" ref="Z97">IF(LEFT(_xll.BDP($C97, VOLUME_AVG_30D), 4) = "#N/A", "",  _xll.BDP($C97, VOLUME_AVG_30D))</f>
        <v>1654123.875</v>
      </c>
      <c r="AA97" s="31" cm="1">
        <f t="array" ref="AA97">IF(LEFT(_xll.BDP($C97, VOLUME_AVG_3M), 4) = "#N/A", "",  _xll.BDP($C97, VOLUME_AVG_3M))</f>
        <v>1582701.625</v>
      </c>
      <c r="AB97" s="31" cm="1">
        <f t="array" ref="AB97">IF(LEFT(_xll.BDP($C97, VOLUME_AVG_6M), 4) = "#N/A", "",  _xll.BDP($C97, VOLUME_AVG_6M))</f>
        <v>1977160.875</v>
      </c>
      <c r="AC97" s="31" cm="1">
        <f t="array" ref="AC97">IF(LEFT(_xll.BDP($C97, VOLUME_AVG_12M), 4) = "#N/A", "",  _xll.BDP($C97, VOLUME_AVG_12M))</f>
        <v>1941093.375</v>
      </c>
      <c r="AD97" s="41" cm="1">
        <f t="array" ref="AD97">IF(LEFT(_xll.BDP($C97, LAST_PRICE), 4) = "#N/A", "",  _xll.BDP($C97, LAST_PRICE))</f>
        <v>10.68</v>
      </c>
    </row>
    <row r="98" spans="1:30" x14ac:dyDescent="0.35">
      <c r="A98" s="1">
        <f t="shared" si="1"/>
        <v>95</v>
      </c>
      <c r="B98" s="28">
        <v>45700</v>
      </c>
      <c r="C98" s="29" t="s">
        <v>234</v>
      </c>
      <c r="D98" s="29" t="s">
        <v>234</v>
      </c>
      <c r="E98" s="29" t="s">
        <v>235</v>
      </c>
      <c r="F98" s="29" t="s">
        <v>33</v>
      </c>
      <c r="G98" s="30" t="s">
        <v>34</v>
      </c>
      <c r="H98" s="31">
        <v>86105148.669877097</v>
      </c>
      <c r="I98" s="31">
        <v>108590148.66987699</v>
      </c>
      <c r="J98" s="32">
        <v>6.1199998855590803</v>
      </c>
      <c r="K98" s="33">
        <v>45700</v>
      </c>
      <c r="L98" s="31">
        <v>301600</v>
      </c>
      <c r="M98" s="32">
        <v>-3.25</v>
      </c>
      <c r="N98" s="31" t="s">
        <v>35</v>
      </c>
      <c r="O98" s="33">
        <v>45699</v>
      </c>
      <c r="P98" s="34">
        <v>254021.640625</v>
      </c>
      <c r="Q98" s="34">
        <v>221423.234375</v>
      </c>
      <c r="R98" s="34">
        <v>265935.28125</v>
      </c>
      <c r="S98" s="29"/>
      <c r="T98" s="33"/>
      <c r="U98" s="35" t="b">
        <v>0</v>
      </c>
      <c r="V98" s="35" t="b">
        <v>0</v>
      </c>
      <c r="W98" s="35" t="b">
        <v>0</v>
      </c>
      <c r="Y98" s="31" cm="1">
        <f t="array" ref="Y98">IF(LEFT(_xll.BDP($C98, VOLUME_AVG_10D), 4) = "#N/A", "",  _xll.BDP($C98, VOLUME_AVG_10D))</f>
        <v>209936.40625</v>
      </c>
      <c r="Z98" s="31" cm="1">
        <f t="array" ref="Z98">IF(LEFT(_xll.BDP($C98, VOLUME_AVG_30D), 4) = "#N/A", "",  _xll.BDP($C98, VOLUME_AVG_30D))</f>
        <v>254021.640625</v>
      </c>
      <c r="AA98" s="31" cm="1">
        <f t="array" ref="AA98">IF(LEFT(_xll.BDP($C98, VOLUME_AVG_3M), 4) = "#N/A", "",  _xll.BDP($C98, VOLUME_AVG_3M))</f>
        <v>221423.234375</v>
      </c>
      <c r="AB98" s="31" cm="1">
        <f t="array" ref="AB98">IF(LEFT(_xll.BDP($C98, VOLUME_AVG_6M), 4) = "#N/A", "",  _xll.BDP($C98, VOLUME_AVG_6M))</f>
        <v>265935.28125</v>
      </c>
      <c r="AC98" s="31" cm="1">
        <f t="array" ref="AC98">IF(LEFT(_xll.BDP($C98, VOLUME_AVG_12M), 4) = "#N/A", "",  _xll.BDP($C98, VOLUME_AVG_12M))</f>
        <v>258767.6875</v>
      </c>
      <c r="AD98" s="41" cm="1">
        <f t="array" ref="AD98">IF(LEFT(_xll.BDP($C98, LAST_PRICE), 4) = "#N/A", "",  _xll.BDP($C98, LAST_PRICE))</f>
        <v>6.12</v>
      </c>
    </row>
    <row r="99" spans="1:30" x14ac:dyDescent="0.35">
      <c r="A99" s="1">
        <f t="shared" si="1"/>
        <v>96</v>
      </c>
      <c r="B99" s="28">
        <v>45700</v>
      </c>
      <c r="C99" s="29" t="s">
        <v>236</v>
      </c>
      <c r="D99" s="29" t="s">
        <v>236</v>
      </c>
      <c r="E99" s="29" t="s">
        <v>237</v>
      </c>
      <c r="F99" s="29" t="s">
        <v>33</v>
      </c>
      <c r="G99" s="30" t="s">
        <v>34</v>
      </c>
      <c r="H99" s="31">
        <v>442395152.57745999</v>
      </c>
      <c r="I99" s="31">
        <v>304788152.57745999</v>
      </c>
      <c r="J99" s="32">
        <v>6.2199997901916504</v>
      </c>
      <c r="K99" s="33">
        <v>45700</v>
      </c>
      <c r="L99" s="31">
        <v>711700</v>
      </c>
      <c r="M99" s="32">
        <v>-3.8</v>
      </c>
      <c r="N99" s="31" t="s">
        <v>35</v>
      </c>
      <c r="O99" s="33">
        <v>45699</v>
      </c>
      <c r="P99" s="34">
        <v>2133167.75</v>
      </c>
      <c r="Q99" s="34">
        <v>3199566.25</v>
      </c>
      <c r="R99" s="34">
        <v>2657498.5</v>
      </c>
      <c r="S99" s="29" t="s">
        <v>195</v>
      </c>
      <c r="T99" s="33">
        <v>45446</v>
      </c>
      <c r="U99" s="35" t="b">
        <v>0</v>
      </c>
      <c r="V99" s="35" t="b">
        <v>0</v>
      </c>
      <c r="W99" s="35" t="b">
        <v>0</v>
      </c>
      <c r="Y99" s="31" cm="1">
        <f t="array" ref="Y99">IF(LEFT(_xll.BDP($C99, VOLUME_AVG_10D), 4) = "#N/A", "",  _xll.BDP($C99, VOLUME_AVG_10D))</f>
        <v>1881786.75</v>
      </c>
      <c r="Z99" s="31" cm="1">
        <f t="array" ref="Z99">IF(LEFT(_xll.BDP($C99, VOLUME_AVG_30D), 4) = "#N/A", "",  _xll.BDP($C99, VOLUME_AVG_30D))</f>
        <v>2133167.75</v>
      </c>
      <c r="AA99" s="31" cm="1">
        <f t="array" ref="AA99">IF(LEFT(_xll.BDP($C99, VOLUME_AVG_3M), 4) = "#N/A", "",  _xll.BDP($C99, VOLUME_AVG_3M))</f>
        <v>3199566.25</v>
      </c>
      <c r="AB99" s="31" cm="1">
        <f t="array" ref="AB99">IF(LEFT(_xll.BDP($C99, VOLUME_AVG_6M), 4) = "#N/A", "",  _xll.BDP($C99, VOLUME_AVG_6M))</f>
        <v>2657498.5</v>
      </c>
      <c r="AC99" s="31" cm="1">
        <f t="array" ref="AC99">IF(LEFT(_xll.BDP($C99, VOLUME_AVG_12M), 4) = "#N/A", "",  _xll.BDP($C99, VOLUME_AVG_12M))</f>
        <v>3332155.25</v>
      </c>
      <c r="AD99" s="41" cm="1">
        <f t="array" ref="AD99">IF(LEFT(_xll.BDP($C99, LAST_PRICE), 4) = "#N/A", "",  _xll.BDP($C99, LAST_PRICE))</f>
        <v>6.22</v>
      </c>
    </row>
    <row r="100" spans="1:30" x14ac:dyDescent="0.35">
      <c r="A100" s="1">
        <f t="shared" si="1"/>
        <v>97</v>
      </c>
      <c r="B100" s="28">
        <v>45700</v>
      </c>
      <c r="C100" s="29" t="s">
        <v>238</v>
      </c>
      <c r="D100" s="29" t="s">
        <v>238</v>
      </c>
      <c r="E100" s="29" t="s">
        <v>239</v>
      </c>
      <c r="F100" s="29" t="s">
        <v>33</v>
      </c>
      <c r="G100" s="30" t="s">
        <v>34</v>
      </c>
      <c r="H100" s="31">
        <v>84956031.772075698</v>
      </c>
      <c r="I100" s="31">
        <v>-84785968.227924302</v>
      </c>
      <c r="J100" s="32">
        <v>3.1500000953674299</v>
      </c>
      <c r="K100" s="33">
        <v>45700</v>
      </c>
      <c r="L100" s="31">
        <v>4811900</v>
      </c>
      <c r="M100" s="32">
        <v>3.6</v>
      </c>
      <c r="N100" s="31" t="s">
        <v>35</v>
      </c>
      <c r="O100" s="33">
        <v>45699</v>
      </c>
      <c r="P100" s="34">
        <v>225526.265625</v>
      </c>
      <c r="Q100" s="34">
        <v>295435.78125</v>
      </c>
      <c r="R100" s="34">
        <v>515399.5625</v>
      </c>
      <c r="S100" s="29"/>
      <c r="T100" s="33"/>
      <c r="U100" s="35" t="b">
        <v>0</v>
      </c>
      <c r="V100" s="35" t="b">
        <v>0</v>
      </c>
      <c r="W100" s="35" t="b">
        <v>1</v>
      </c>
      <c r="Y100" s="31" cm="1">
        <f t="array" ref="Y100">IF(LEFT(_xll.BDP($C100, VOLUME_AVG_10D), 4) = "#N/A", "",  _xll.BDP($C100, VOLUME_AVG_10D))</f>
        <v>236524.796875</v>
      </c>
      <c r="Z100" s="31" cm="1">
        <f t="array" ref="Z100">IF(LEFT(_xll.BDP($C100, VOLUME_AVG_30D), 4) = "#N/A", "",  _xll.BDP($C100, VOLUME_AVG_30D))</f>
        <v>225526.265625</v>
      </c>
      <c r="AA100" s="31" cm="1">
        <f t="array" ref="AA100">IF(LEFT(_xll.BDP($C100, VOLUME_AVG_3M), 4) = "#N/A", "",  _xll.BDP($C100, VOLUME_AVG_3M))</f>
        <v>295435.78125</v>
      </c>
      <c r="AB100" s="31" cm="1">
        <f t="array" ref="AB100">IF(LEFT(_xll.BDP($C100, VOLUME_AVG_6M), 4) = "#N/A", "",  _xll.BDP($C100, VOLUME_AVG_6M))</f>
        <v>515399.5625</v>
      </c>
      <c r="AC100" s="31" cm="1">
        <f t="array" ref="AC100">IF(LEFT(_xll.BDP($C100, VOLUME_AVG_12M), 4) = "#N/A", "",  _xll.BDP($C100, VOLUME_AVG_12M))</f>
        <v>349463.09375</v>
      </c>
      <c r="AD100" s="41" cm="1">
        <f t="array" ref="AD100">IF(LEFT(_xll.BDP($C100, LAST_PRICE), 4) = "#N/A", "",  _xll.BDP($C100, LAST_PRICE))</f>
        <v>3.15</v>
      </c>
    </row>
    <row r="101" spans="1:30" x14ac:dyDescent="0.35">
      <c r="A101" s="1">
        <f t="shared" si="1"/>
        <v>98</v>
      </c>
      <c r="B101" s="28">
        <v>45700</v>
      </c>
      <c r="C101" s="29" t="s">
        <v>240</v>
      </c>
      <c r="D101" s="29" t="s">
        <v>240</v>
      </c>
      <c r="E101" s="29" t="s">
        <v>241</v>
      </c>
      <c r="F101" s="29" t="s">
        <v>33</v>
      </c>
      <c r="G101" s="30" t="s">
        <v>34</v>
      </c>
      <c r="H101" s="31">
        <v>237528777.477658</v>
      </c>
      <c r="I101" s="31">
        <v>221156777.477658</v>
      </c>
      <c r="J101" s="32">
        <v>5.0300002098083496</v>
      </c>
      <c r="K101" s="33">
        <v>45700</v>
      </c>
      <c r="L101" s="31">
        <v>137100</v>
      </c>
      <c r="M101" s="32">
        <v>-5.6</v>
      </c>
      <c r="N101" s="31" t="s">
        <v>35</v>
      </c>
      <c r="O101" s="33">
        <v>45699</v>
      </c>
      <c r="P101" s="34">
        <v>218726.203125</v>
      </c>
      <c r="Q101" s="34">
        <v>178686.484375</v>
      </c>
      <c r="R101" s="34">
        <v>163644.390625</v>
      </c>
      <c r="S101" s="29"/>
      <c r="T101" s="33"/>
      <c r="U101" s="35" t="b">
        <v>0</v>
      </c>
      <c r="V101" s="35" t="b">
        <v>0</v>
      </c>
      <c r="W101" s="35" t="b">
        <v>0</v>
      </c>
      <c r="Y101" s="31" cm="1">
        <f t="array" ref="Y101">IF(LEFT(_xll.BDP($C101, VOLUME_AVG_10D), 4) = "#N/A", "",  _xll.BDP($C101, VOLUME_AVG_10D))</f>
        <v>350820</v>
      </c>
      <c r="Z101" s="31" cm="1">
        <f t="array" ref="Z101">IF(LEFT(_xll.BDP($C101, VOLUME_AVG_30D), 4) = "#N/A", "",  _xll.BDP($C101, VOLUME_AVG_30D))</f>
        <v>218726.203125</v>
      </c>
      <c r="AA101" s="31" cm="1">
        <f t="array" ref="AA101">IF(LEFT(_xll.BDP($C101, VOLUME_AVG_3M), 4) = "#N/A", "",  _xll.BDP($C101, VOLUME_AVG_3M))</f>
        <v>178686.484375</v>
      </c>
      <c r="AB101" s="31" cm="1">
        <f t="array" ref="AB101">IF(LEFT(_xll.BDP($C101, VOLUME_AVG_6M), 4) = "#N/A", "",  _xll.BDP($C101, VOLUME_AVG_6M))</f>
        <v>163644.390625</v>
      </c>
      <c r="AC101" s="31" t="str" cm="1">
        <f t="array" ref="AC101">IF(LEFT(_xll.BDP($C101, VOLUME_AVG_12M), 4) = "#N/A", "",  _xll.BDP($C101, VOLUME_AVG_12M))</f>
        <v/>
      </c>
      <c r="AD101" s="41" cm="1">
        <f t="array" ref="AD101">IF(LEFT(_xll.BDP($C101, LAST_PRICE), 4) = "#N/A", "",  _xll.BDP($C101, LAST_PRICE))</f>
        <v>5.03</v>
      </c>
    </row>
    <row r="102" spans="1:30" x14ac:dyDescent="0.35">
      <c r="A102" s="1">
        <f t="shared" si="1"/>
        <v>99</v>
      </c>
      <c r="B102" s="28">
        <v>45700</v>
      </c>
      <c r="C102" s="29" t="s">
        <v>242</v>
      </c>
      <c r="D102" s="29" t="s">
        <v>242</v>
      </c>
      <c r="E102" s="29" t="s">
        <v>243</v>
      </c>
      <c r="F102" s="29" t="s">
        <v>33</v>
      </c>
      <c r="G102" s="30" t="s">
        <v>34</v>
      </c>
      <c r="H102" s="31">
        <v>3816504884.9105802</v>
      </c>
      <c r="I102" s="31">
        <v>4878733884.9105797</v>
      </c>
      <c r="J102" s="32">
        <v>12.6499996185303</v>
      </c>
      <c r="K102" s="33">
        <v>45700</v>
      </c>
      <c r="L102" s="31"/>
      <c r="M102" s="32"/>
      <c r="N102" s="31"/>
      <c r="O102" s="33">
        <v>45699</v>
      </c>
      <c r="P102" s="34">
        <v>180387.734375</v>
      </c>
      <c r="Q102" s="34">
        <v>145095.953125</v>
      </c>
      <c r="R102" s="34">
        <v>133586.515625</v>
      </c>
      <c r="S102" s="29"/>
      <c r="T102" s="33"/>
      <c r="U102" s="35" t="b">
        <v>0</v>
      </c>
      <c r="V102" s="35" t="b">
        <v>0</v>
      </c>
      <c r="W102" s="35" t="b">
        <v>0</v>
      </c>
      <c r="Y102" s="31" cm="1">
        <f t="array" ref="Y102">IF(LEFT(_xll.BDP($C102, VOLUME_AVG_10D), 4) = "#N/A", "",  _xll.BDP($C102, VOLUME_AVG_10D))</f>
        <v>255810.90625</v>
      </c>
      <c r="Z102" s="31" cm="1">
        <f t="array" ref="Z102">IF(LEFT(_xll.BDP($C102, VOLUME_AVG_30D), 4) = "#N/A", "",  _xll.BDP($C102, VOLUME_AVG_30D))</f>
        <v>180387.734375</v>
      </c>
      <c r="AA102" s="31" cm="1">
        <f t="array" ref="AA102">IF(LEFT(_xll.BDP($C102, VOLUME_AVG_3M), 4) = "#N/A", "",  _xll.BDP($C102, VOLUME_AVG_3M))</f>
        <v>145095.953125</v>
      </c>
      <c r="AB102" s="31" cm="1">
        <f t="array" ref="AB102">IF(LEFT(_xll.BDP($C102, VOLUME_AVG_6M), 4) = "#N/A", "",  _xll.BDP($C102, VOLUME_AVG_6M))</f>
        <v>133586.515625</v>
      </c>
      <c r="AC102" s="31" cm="1">
        <f t="array" ref="AC102">IF(LEFT(_xll.BDP($C102, VOLUME_AVG_12M), 4) = "#N/A", "",  _xll.BDP($C102, VOLUME_AVG_12M))</f>
        <v>160490.734375</v>
      </c>
      <c r="AD102" s="41" cm="1">
        <f t="array" ref="AD102">IF(LEFT(_xll.BDP($C102, LAST_PRICE), 4) = "#N/A", "",  _xll.BDP($C102, LAST_PRICE))</f>
        <v>12.65</v>
      </c>
    </row>
    <row r="103" spans="1:30" x14ac:dyDescent="0.35">
      <c r="A103" s="1">
        <f t="shared" si="1"/>
        <v>100</v>
      </c>
      <c r="B103" s="28">
        <v>45700</v>
      </c>
      <c r="C103" s="29" t="s">
        <v>244</v>
      </c>
      <c r="D103" s="29" t="s">
        <v>244</v>
      </c>
      <c r="E103" s="29" t="s">
        <v>245</v>
      </c>
      <c r="F103" s="29" t="s">
        <v>33</v>
      </c>
      <c r="G103" s="30" t="s">
        <v>34</v>
      </c>
      <c r="H103" s="31">
        <v>56435124.046485901</v>
      </c>
      <c r="I103" s="31">
        <v>-82303875.953514099</v>
      </c>
      <c r="J103" s="32">
        <v>1.0700000524520901</v>
      </c>
      <c r="K103" s="33">
        <v>45700</v>
      </c>
      <c r="L103" s="31">
        <v>3884900</v>
      </c>
      <c r="M103" s="32">
        <v>3.7</v>
      </c>
      <c r="N103" s="31" t="s">
        <v>35</v>
      </c>
      <c r="O103" s="33">
        <v>45699</v>
      </c>
      <c r="P103" s="34">
        <v>1084436.25</v>
      </c>
      <c r="Q103" s="34">
        <v>1151352.75</v>
      </c>
      <c r="R103" s="34">
        <v>922519.0625</v>
      </c>
      <c r="S103" s="29" t="s">
        <v>46</v>
      </c>
      <c r="T103" s="33">
        <v>45446</v>
      </c>
      <c r="U103" s="35" t="b">
        <v>0</v>
      </c>
      <c r="V103" s="35" t="b">
        <v>0</v>
      </c>
      <c r="W103" s="35" t="b">
        <v>1</v>
      </c>
      <c r="Y103" s="31" cm="1">
        <f t="array" ref="Y103">IF(LEFT(_xll.BDP($C103, VOLUME_AVG_10D), 4) = "#N/A", "",  _xll.BDP($C103, VOLUME_AVG_10D))</f>
        <v>933670.375</v>
      </c>
      <c r="Z103" s="31" cm="1">
        <f t="array" ref="Z103">IF(LEFT(_xll.BDP($C103, VOLUME_AVG_30D), 4) = "#N/A", "",  _xll.BDP($C103, VOLUME_AVG_30D))</f>
        <v>1084436.25</v>
      </c>
      <c r="AA103" s="31" cm="1">
        <f t="array" ref="AA103">IF(LEFT(_xll.BDP($C103, VOLUME_AVG_3M), 4) = "#N/A", "",  _xll.BDP($C103, VOLUME_AVG_3M))</f>
        <v>1151352.75</v>
      </c>
      <c r="AB103" s="31" cm="1">
        <f t="array" ref="AB103">IF(LEFT(_xll.BDP($C103, VOLUME_AVG_6M), 4) = "#N/A", "",  _xll.BDP($C103, VOLUME_AVG_6M))</f>
        <v>922519.0625</v>
      </c>
      <c r="AC103" s="31" cm="1">
        <f t="array" ref="AC103">IF(LEFT(_xll.BDP($C103, VOLUME_AVG_12M), 4) = "#N/A", "",  _xll.BDP($C103, VOLUME_AVG_12M))</f>
        <v>920854.3125</v>
      </c>
      <c r="AD103" s="41" cm="1">
        <f t="array" ref="AD103">IF(LEFT(_xll.BDP($C103, LAST_PRICE), 4) = "#N/A", "",  _xll.BDP($C103, LAST_PRICE))</f>
        <v>1.07</v>
      </c>
    </row>
    <row r="104" spans="1:30" x14ac:dyDescent="0.35">
      <c r="A104" s="1">
        <f t="shared" si="1"/>
        <v>101</v>
      </c>
      <c r="B104" s="28">
        <v>45700</v>
      </c>
      <c r="C104" s="29" t="s">
        <v>246</v>
      </c>
      <c r="D104" s="29" t="s">
        <v>246</v>
      </c>
      <c r="E104" s="29" t="s">
        <v>247</v>
      </c>
      <c r="F104" s="29" t="s">
        <v>33</v>
      </c>
      <c r="G104" s="30" t="s">
        <v>34</v>
      </c>
      <c r="H104" s="31">
        <v>5921748.9113391601</v>
      </c>
      <c r="I104" s="31">
        <v>5545700.9113391601</v>
      </c>
      <c r="J104" s="32">
        <v>1.0900000333786</v>
      </c>
      <c r="K104" s="33">
        <v>45700</v>
      </c>
      <c r="L104" s="31">
        <v>236400</v>
      </c>
      <c r="M104" s="32">
        <v>-34.1</v>
      </c>
      <c r="N104" s="31" t="s">
        <v>35</v>
      </c>
      <c r="O104" s="33">
        <v>45699</v>
      </c>
      <c r="P104" s="34">
        <v>96413.8359375</v>
      </c>
      <c r="Q104" s="34">
        <v>126574.2890625</v>
      </c>
      <c r="R104" s="34">
        <v>955978.25</v>
      </c>
      <c r="S104" s="29"/>
      <c r="T104" s="33"/>
      <c r="U104" s="35" t="b">
        <v>1</v>
      </c>
      <c r="V104" s="35" t="b">
        <v>0</v>
      </c>
      <c r="W104" s="35" t="b">
        <v>0</v>
      </c>
      <c r="Y104" s="31" cm="1">
        <f t="array" ref="Y104">IF(LEFT(_xll.BDP($C104, VOLUME_AVG_10D), 4) = "#N/A", "",  _xll.BDP($C104, VOLUME_AVG_10D))</f>
        <v>62580.19921875</v>
      </c>
      <c r="Z104" s="31" cm="1">
        <f t="array" ref="Z104">IF(LEFT(_xll.BDP($C104, VOLUME_AVG_30D), 4) = "#N/A", "",  _xll.BDP($C104, VOLUME_AVG_30D))</f>
        <v>96413.8359375</v>
      </c>
      <c r="AA104" s="31" cm="1">
        <f t="array" ref="AA104">IF(LEFT(_xll.BDP($C104, VOLUME_AVG_3M), 4) = "#N/A", "",  _xll.BDP($C104, VOLUME_AVG_3M))</f>
        <v>126574.2890625</v>
      </c>
      <c r="AB104" s="31" cm="1">
        <f t="array" ref="AB104">IF(LEFT(_xll.BDP($C104, VOLUME_AVG_6M), 4) = "#N/A", "",  _xll.BDP($C104, VOLUME_AVG_6M))</f>
        <v>955978.25</v>
      </c>
      <c r="AC104" s="31" cm="1">
        <f t="array" ref="AC104">IF(LEFT(_xll.BDP($C104, VOLUME_AVG_12M), 4) = "#N/A", "",  _xll.BDP($C104, VOLUME_AVG_12M))</f>
        <v>486161.4375</v>
      </c>
      <c r="AD104" s="41" cm="1">
        <f t="array" ref="AD104">IF(LEFT(_xll.BDP($C104, LAST_PRICE), 4) = "#N/A", "",  _xll.BDP($C104, LAST_PRICE))</f>
        <v>1.0900000000000001</v>
      </c>
    </row>
    <row r="105" spans="1:30" x14ac:dyDescent="0.35">
      <c r="A105" s="1">
        <f t="shared" si="1"/>
        <v>102</v>
      </c>
      <c r="B105" s="28">
        <v>45700</v>
      </c>
      <c r="C105" s="29" t="s">
        <v>248</v>
      </c>
      <c r="D105" s="29" t="s">
        <v>248</v>
      </c>
      <c r="E105" s="29" t="s">
        <v>249</v>
      </c>
      <c r="F105" s="29" t="s">
        <v>33</v>
      </c>
      <c r="G105" s="30" t="s">
        <v>34</v>
      </c>
      <c r="H105" s="31"/>
      <c r="I105" s="31"/>
      <c r="J105" s="32"/>
      <c r="K105" s="33">
        <v>45700</v>
      </c>
      <c r="L105" s="31"/>
      <c r="M105" s="32"/>
      <c r="N105" s="31"/>
      <c r="O105" s="33">
        <v>45699</v>
      </c>
      <c r="P105" s="34"/>
      <c r="Q105" s="34"/>
      <c r="R105" s="34">
        <v>28.571428298950199</v>
      </c>
      <c r="S105" s="29"/>
      <c r="T105" s="33"/>
      <c r="U105" s="35" t="b">
        <v>1</v>
      </c>
      <c r="V105" s="35" t="b">
        <v>1</v>
      </c>
      <c r="W105" s="35" t="b">
        <v>1</v>
      </c>
      <c r="Y105" s="31" cm="1">
        <f t="array" ref="Y105">IF(LEFT(_xll.BDP($C105, VOLUME_AVG_10D), 4) = "#N/A", "",  _xll.BDP($C105, VOLUME_AVG_10D))</f>
        <v>0</v>
      </c>
      <c r="Z105" s="31" cm="1">
        <f t="array" ref="Z105">IF(LEFT(_xll.BDP($C105, VOLUME_AVG_30D), 4) = "#N/A", "",  _xll.BDP($C105, VOLUME_AVG_30D))</f>
        <v>0</v>
      </c>
      <c r="AA105" s="31" cm="1">
        <f t="array" ref="AA105">IF(LEFT(_xll.BDP($C105, VOLUME_AVG_3M), 4) = "#N/A", "",  _xll.BDP($C105, VOLUME_AVG_3M))</f>
        <v>0</v>
      </c>
      <c r="AB105" s="31" cm="1">
        <f t="array" ref="AB105">IF(LEFT(_xll.BDP($C105, VOLUME_AVG_6M), 4) = "#N/A", "",  _xll.BDP($C105, VOLUME_AVG_6M))</f>
        <v>28.571428298950195</v>
      </c>
      <c r="AC105" s="31" cm="1">
        <f t="array" ref="AC105">IF(LEFT(_xll.BDP($C105, VOLUME_AVG_12M), 4) = "#N/A", "",  _xll.BDP($C105, VOLUME_AVG_12M))</f>
        <v>2445.02001953125</v>
      </c>
      <c r="AD105" s="41" t="str" cm="1">
        <f t="array" ref="AD105">IF(LEFT(_xll.BDP($C105, LAST_PRICE), 4) = "#N/A", "",  _xll.BDP($C105, LAST_PRICE))</f>
        <v/>
      </c>
    </row>
    <row r="106" spans="1:30" x14ac:dyDescent="0.35">
      <c r="A106" s="1">
        <f t="shared" si="1"/>
        <v>103</v>
      </c>
      <c r="B106" s="28">
        <v>45700</v>
      </c>
      <c r="C106" s="29" t="s">
        <v>250</v>
      </c>
      <c r="D106" s="29" t="s">
        <v>250</v>
      </c>
      <c r="E106" s="29" t="s">
        <v>251</v>
      </c>
      <c r="F106" s="29" t="s">
        <v>33</v>
      </c>
      <c r="G106" s="30" t="s">
        <v>34</v>
      </c>
      <c r="H106" s="31"/>
      <c r="I106" s="31"/>
      <c r="J106" s="32"/>
      <c r="K106" s="33">
        <v>45700</v>
      </c>
      <c r="L106" s="31"/>
      <c r="M106" s="32"/>
      <c r="N106" s="31"/>
      <c r="O106" s="33">
        <v>45699</v>
      </c>
      <c r="P106" s="34">
        <v>160.73333740234401</v>
      </c>
      <c r="Q106" s="34">
        <v>81.967742919921903</v>
      </c>
      <c r="R106" s="34">
        <v>16775.119140625</v>
      </c>
      <c r="S106" s="29"/>
      <c r="T106" s="33"/>
      <c r="U106" s="35" t="b">
        <v>1</v>
      </c>
      <c r="V106" s="35" t="b">
        <v>1</v>
      </c>
      <c r="W106" s="35" t="b">
        <v>1</v>
      </c>
      <c r="Y106" s="31" cm="1">
        <f t="array" ref="Y106">IF(LEFT(_xll.BDP($C106, VOLUME_AVG_10D), 4) = "#N/A", "",  _xll.BDP($C106, VOLUME_AVG_10D))</f>
        <v>0</v>
      </c>
      <c r="Z106" s="31" cm="1">
        <f t="array" ref="Z106">IF(LEFT(_xll.BDP($C106, VOLUME_AVG_30D), 4) = "#N/A", "",  _xll.BDP($C106, VOLUME_AVG_30D))</f>
        <v>160.73333740234375</v>
      </c>
      <c r="AA106" s="31" cm="1">
        <f t="array" ref="AA106">IF(LEFT(_xll.BDP($C106, VOLUME_AVG_3M), 4) = "#N/A", "",  _xll.BDP($C106, VOLUME_AVG_3M))</f>
        <v>81.967742919921875</v>
      </c>
      <c r="AB106" s="31" cm="1">
        <f t="array" ref="AB106">IF(LEFT(_xll.BDP($C106, VOLUME_AVG_6M), 4) = "#N/A", "",  _xll.BDP($C106, VOLUME_AVG_6M))</f>
        <v>16775.119140625</v>
      </c>
      <c r="AC106" s="31" cm="1">
        <f t="array" ref="AC106">IF(LEFT(_xll.BDP($C106, VOLUME_AVG_12M), 4) = "#N/A", "",  _xll.BDP($C106, VOLUME_AVG_12M))</f>
        <v>42356.0390625</v>
      </c>
      <c r="AD106" s="41" cm="1">
        <f t="array" ref="AD106">IF(LEFT(_xll.BDP($C106, LAST_PRICE), 4) = "#N/A", "",  _xll.BDP($C106, LAST_PRICE))</f>
        <v>9.9999999999999995E-7</v>
      </c>
    </row>
    <row r="107" spans="1:30" x14ac:dyDescent="0.35">
      <c r="A107" s="1">
        <f t="shared" si="1"/>
        <v>104</v>
      </c>
      <c r="B107" s="28">
        <v>45700</v>
      </c>
      <c r="C107" s="29" t="s">
        <v>252</v>
      </c>
      <c r="D107" s="29" t="s">
        <v>252</v>
      </c>
      <c r="E107" s="29" t="s">
        <v>253</v>
      </c>
      <c r="F107" s="29" t="s">
        <v>33</v>
      </c>
      <c r="G107" s="30" t="s">
        <v>34</v>
      </c>
      <c r="H107" s="31">
        <v>225442479.55546799</v>
      </c>
      <c r="I107" s="31">
        <v>-70136520.444531798</v>
      </c>
      <c r="J107" s="32">
        <v>0.56010001897811901</v>
      </c>
      <c r="K107" s="33">
        <v>45700</v>
      </c>
      <c r="L107" s="31">
        <v>9406300</v>
      </c>
      <c r="M107" s="32">
        <v>3.88</v>
      </c>
      <c r="N107" s="31" t="s">
        <v>35</v>
      </c>
      <c r="O107" s="33">
        <v>45699</v>
      </c>
      <c r="P107" s="34">
        <v>1353781.25</v>
      </c>
      <c r="Q107" s="34">
        <v>1535862.75</v>
      </c>
      <c r="R107" s="34">
        <v>1180281.625</v>
      </c>
      <c r="S107" s="29" t="s">
        <v>254</v>
      </c>
      <c r="T107" s="33">
        <v>45446</v>
      </c>
      <c r="U107" s="35" t="b">
        <v>0</v>
      </c>
      <c r="V107" s="35" t="b">
        <v>0</v>
      </c>
      <c r="W107" s="35" t="b">
        <v>1</v>
      </c>
      <c r="Y107" s="31" cm="1">
        <f t="array" ref="Y107">IF(LEFT(_xll.BDP($C107, VOLUME_AVG_10D), 4) = "#N/A", "",  _xll.BDP($C107, VOLUME_AVG_10D))</f>
        <v>985929.125</v>
      </c>
      <c r="Z107" s="31" cm="1">
        <f t="array" ref="Z107">IF(LEFT(_xll.BDP($C107, VOLUME_AVG_30D), 4) = "#N/A", "",  _xll.BDP($C107, VOLUME_AVG_30D))</f>
        <v>1353781.25</v>
      </c>
      <c r="AA107" s="31" cm="1">
        <f t="array" ref="AA107">IF(LEFT(_xll.BDP($C107, VOLUME_AVG_3M), 4) = "#N/A", "",  _xll.BDP($C107, VOLUME_AVG_3M))</f>
        <v>1535862.75</v>
      </c>
      <c r="AB107" s="31" cm="1">
        <f t="array" ref="AB107">IF(LEFT(_xll.BDP($C107, VOLUME_AVG_6M), 4) = "#N/A", "",  _xll.BDP($C107, VOLUME_AVG_6M))</f>
        <v>1180281.625</v>
      </c>
      <c r="AC107" s="31" cm="1">
        <f t="array" ref="AC107">IF(LEFT(_xll.BDP($C107, VOLUME_AVG_12M), 4) = "#N/A", "",  _xll.BDP($C107, VOLUME_AVG_12M))</f>
        <v>1407089.125</v>
      </c>
      <c r="AD107" s="41" cm="1">
        <f t="array" ref="AD107">IF(LEFT(_xll.BDP($C107, LAST_PRICE), 4) = "#N/A", "",  _xll.BDP($C107, LAST_PRICE))</f>
        <v>0.56010000000000004</v>
      </c>
    </row>
    <row r="108" spans="1:30" x14ac:dyDescent="0.35">
      <c r="A108" s="1">
        <f t="shared" si="1"/>
        <v>105</v>
      </c>
      <c r="B108" s="28">
        <v>45700</v>
      </c>
      <c r="C108" s="29" t="s">
        <v>255</v>
      </c>
      <c r="D108" s="29" t="s">
        <v>255</v>
      </c>
      <c r="E108" s="29" t="s">
        <v>256</v>
      </c>
      <c r="F108" s="29" t="s">
        <v>33</v>
      </c>
      <c r="G108" s="30" t="s">
        <v>34</v>
      </c>
      <c r="H108" s="31">
        <v>3035028661.5304298</v>
      </c>
      <c r="I108" s="31">
        <v>3309923661.5304298</v>
      </c>
      <c r="J108" s="32">
        <v>92.660003662109403</v>
      </c>
      <c r="K108" s="33">
        <v>45700</v>
      </c>
      <c r="L108" s="31">
        <v>8907200</v>
      </c>
      <c r="M108" s="32">
        <v>3.88</v>
      </c>
      <c r="N108" s="31" t="s">
        <v>35</v>
      </c>
      <c r="O108" s="33">
        <v>45699</v>
      </c>
      <c r="P108" s="34">
        <v>347459.84375</v>
      </c>
      <c r="Q108" s="34">
        <v>520953.1875</v>
      </c>
      <c r="R108" s="34">
        <v>443071.84375</v>
      </c>
      <c r="S108" s="29"/>
      <c r="T108" s="33"/>
      <c r="U108" s="35" t="b">
        <v>0</v>
      </c>
      <c r="V108" s="35" t="b">
        <v>0</v>
      </c>
      <c r="W108" s="35" t="b">
        <v>0</v>
      </c>
      <c r="Y108" s="31" cm="1">
        <f t="array" ref="Y108">IF(LEFT(_xll.BDP($C108, VOLUME_AVG_10D), 4) = "#N/A", "",  _xll.BDP($C108, VOLUME_AVG_10D))</f>
        <v>181210.59375</v>
      </c>
      <c r="Z108" s="31" cm="1">
        <f t="array" ref="Z108">IF(LEFT(_xll.BDP($C108, VOLUME_AVG_30D), 4) = "#N/A", "",  _xll.BDP($C108, VOLUME_AVG_30D))</f>
        <v>347459.84375</v>
      </c>
      <c r="AA108" s="31" cm="1">
        <f t="array" ref="AA108">IF(LEFT(_xll.BDP($C108, VOLUME_AVG_3M), 4) = "#N/A", "",  _xll.BDP($C108, VOLUME_AVG_3M))</f>
        <v>520953.1875</v>
      </c>
      <c r="AB108" s="31" cm="1">
        <f t="array" ref="AB108">IF(LEFT(_xll.BDP($C108, VOLUME_AVG_6M), 4) = "#N/A", "",  _xll.BDP($C108, VOLUME_AVG_6M))</f>
        <v>443071.84375</v>
      </c>
      <c r="AC108" s="31" cm="1">
        <f t="array" ref="AC108">IF(LEFT(_xll.BDP($C108, VOLUME_AVG_12M), 4) = "#N/A", "",  _xll.BDP($C108, VOLUME_AVG_12M))</f>
        <v>392536.84375</v>
      </c>
      <c r="AD108" s="41" cm="1">
        <f t="array" ref="AD108">IF(LEFT(_xll.BDP($C108, LAST_PRICE), 4) = "#N/A", "",  _xll.BDP($C108, LAST_PRICE))</f>
        <v>92.66</v>
      </c>
    </row>
    <row r="109" spans="1:30" x14ac:dyDescent="0.35">
      <c r="A109" s="1">
        <f t="shared" si="1"/>
        <v>106</v>
      </c>
      <c r="B109" s="28">
        <v>45700</v>
      </c>
      <c r="C109" s="29" t="s">
        <v>257</v>
      </c>
      <c r="D109" s="29" t="s">
        <v>257</v>
      </c>
      <c r="E109" s="29" t="s">
        <v>258</v>
      </c>
      <c r="F109" s="29" t="s">
        <v>33</v>
      </c>
      <c r="G109" s="30" t="s">
        <v>34</v>
      </c>
      <c r="H109" s="31"/>
      <c r="I109" s="31"/>
      <c r="J109" s="32"/>
      <c r="K109" s="33">
        <v>45700</v>
      </c>
      <c r="L109" s="31"/>
      <c r="M109" s="32"/>
      <c r="N109" s="31"/>
      <c r="O109" s="33">
        <v>45699</v>
      </c>
      <c r="P109" s="34">
        <v>834.70001220703102</v>
      </c>
      <c r="Q109" s="34">
        <v>10740.5810546875</v>
      </c>
      <c r="R109" s="34">
        <v>8003.619140625</v>
      </c>
      <c r="S109" s="29"/>
      <c r="T109" s="33"/>
      <c r="U109" s="35" t="b">
        <v>1</v>
      </c>
      <c r="V109" s="35" t="b">
        <v>1</v>
      </c>
      <c r="W109" s="35" t="b">
        <v>1</v>
      </c>
      <c r="Y109" s="31" cm="1">
        <f t="array" ref="Y109">IF(LEFT(_xll.BDP($C109, VOLUME_AVG_10D), 4) = "#N/A", "",  _xll.BDP($C109, VOLUME_AVG_10D))</f>
        <v>0</v>
      </c>
      <c r="Z109" s="31" cm="1">
        <f t="array" ref="Z109">IF(LEFT(_xll.BDP($C109, VOLUME_AVG_30D), 4) = "#N/A", "",  _xll.BDP($C109, VOLUME_AVG_30D))</f>
        <v>834.70001220703125</v>
      </c>
      <c r="AA109" s="31" cm="1">
        <f t="array" ref="AA109">IF(LEFT(_xll.BDP($C109, VOLUME_AVG_3M), 4) = "#N/A", "",  _xll.BDP($C109, VOLUME_AVG_3M))</f>
        <v>10740.5810546875</v>
      </c>
      <c r="AB109" s="31" cm="1">
        <f t="array" ref="AB109">IF(LEFT(_xll.BDP($C109, VOLUME_AVG_6M), 4) = "#N/A", "",  _xll.BDP($C109, VOLUME_AVG_6M))</f>
        <v>8003.619140625</v>
      </c>
      <c r="AC109" s="31" cm="1">
        <f t="array" ref="AC109">IF(LEFT(_xll.BDP($C109, VOLUME_AVG_12M), 4) = "#N/A", "",  _xll.BDP($C109, VOLUME_AVG_12M))</f>
        <v>5892.37451171875</v>
      </c>
      <c r="AD109" s="41" cm="1">
        <f t="array" ref="AD109">IF(LEFT(_xll.BDP($C109, LAST_PRICE), 4) = "#N/A", "",  _xll.BDP($C109, LAST_PRICE))</f>
        <v>9.9999999999999995E-7</v>
      </c>
    </row>
    <row r="110" spans="1:30" x14ac:dyDescent="0.35">
      <c r="A110" s="1">
        <f t="shared" si="1"/>
        <v>107</v>
      </c>
      <c r="B110" s="28">
        <v>45700</v>
      </c>
      <c r="C110" s="29" t="s">
        <v>259</v>
      </c>
      <c r="D110" s="29" t="s">
        <v>259</v>
      </c>
      <c r="E110" s="29" t="s">
        <v>260</v>
      </c>
      <c r="F110" s="29" t="s">
        <v>33</v>
      </c>
      <c r="G110" s="30" t="s">
        <v>34</v>
      </c>
      <c r="H110" s="31">
        <v>487793.84552080999</v>
      </c>
      <c r="I110" s="31"/>
      <c r="J110" s="32">
        <v>8.9999998454004504E-4</v>
      </c>
      <c r="K110" s="33">
        <v>45700</v>
      </c>
      <c r="L110" s="31"/>
      <c r="M110" s="32"/>
      <c r="N110" s="31"/>
      <c r="O110" s="33">
        <v>45699</v>
      </c>
      <c r="P110" s="34">
        <v>8227285</v>
      </c>
      <c r="Q110" s="34">
        <v>8654499</v>
      </c>
      <c r="R110" s="34">
        <v>12761040</v>
      </c>
      <c r="S110" s="29"/>
      <c r="T110" s="33"/>
      <c r="U110" s="35" t="b">
        <v>1</v>
      </c>
      <c r="V110" s="35" t="b">
        <v>1</v>
      </c>
      <c r="W110" s="35" t="b">
        <v>1</v>
      </c>
      <c r="Y110" s="31" cm="1">
        <f t="array" ref="Y110">IF(LEFT(_xll.BDP($C110, VOLUME_AVG_10D), 4) = "#N/A", "",  _xll.BDP($C110, VOLUME_AVG_10D))</f>
        <v>9423904</v>
      </c>
      <c r="Z110" s="31" cm="1">
        <f t="array" ref="Z110">IF(LEFT(_xll.BDP($C110, VOLUME_AVG_30D), 4) = "#N/A", "",  _xll.BDP($C110, VOLUME_AVG_30D))</f>
        <v>8227285</v>
      </c>
      <c r="AA110" s="31" cm="1">
        <f t="array" ref="AA110">IF(LEFT(_xll.BDP($C110, VOLUME_AVG_3M), 4) = "#N/A", "",  _xll.BDP($C110, VOLUME_AVG_3M))</f>
        <v>8654499</v>
      </c>
      <c r="AB110" s="31" cm="1">
        <f t="array" ref="AB110">IF(LEFT(_xll.BDP($C110, VOLUME_AVG_6M), 4) = "#N/A", "",  _xll.BDP($C110, VOLUME_AVG_6M))</f>
        <v>12761040</v>
      </c>
      <c r="AC110" s="31" cm="1">
        <f t="array" ref="AC110">IF(LEFT(_xll.BDP($C110, VOLUME_AVG_12M), 4) = "#N/A", "",  _xll.BDP($C110, VOLUME_AVG_12M))</f>
        <v>8916995</v>
      </c>
      <c r="AD110" s="41" cm="1">
        <f t="array" ref="AD110">IF(LEFT(_xll.BDP($C110, LAST_PRICE), 4) = "#N/A", "",  _xll.BDP($C110, LAST_PRICE))</f>
        <v>8.9999999999999998E-4</v>
      </c>
    </row>
    <row r="111" spans="1:30" x14ac:dyDescent="0.35">
      <c r="A111" s="1">
        <f t="shared" si="1"/>
        <v>108</v>
      </c>
      <c r="B111" s="28">
        <v>45700</v>
      </c>
      <c r="C111" s="29" t="s">
        <v>261</v>
      </c>
      <c r="D111" s="29" t="s">
        <v>261</v>
      </c>
      <c r="E111" s="29" t="s">
        <v>262</v>
      </c>
      <c r="F111" s="29" t="s">
        <v>33</v>
      </c>
      <c r="G111" s="30" t="s">
        <v>34</v>
      </c>
      <c r="H111" s="31">
        <v>1959.9999504862401</v>
      </c>
      <c r="I111" s="31"/>
      <c r="J111" s="32">
        <v>3.9999998989515001E-4</v>
      </c>
      <c r="K111" s="33">
        <v>45700</v>
      </c>
      <c r="L111" s="31"/>
      <c r="M111" s="32"/>
      <c r="N111" s="31"/>
      <c r="O111" s="33">
        <v>45699</v>
      </c>
      <c r="P111" s="34">
        <v>4489942</v>
      </c>
      <c r="Q111" s="34">
        <v>5178244.5</v>
      </c>
      <c r="R111" s="34">
        <v>3751733.25</v>
      </c>
      <c r="S111" s="29"/>
      <c r="T111" s="33"/>
      <c r="U111" s="35" t="b">
        <v>1</v>
      </c>
      <c r="V111" s="35" t="b">
        <v>1</v>
      </c>
      <c r="W111" s="35" t="b">
        <v>1</v>
      </c>
      <c r="Y111" s="31" cm="1">
        <f t="array" ref="Y111">IF(LEFT(_xll.BDP($C111, VOLUME_AVG_10D), 4) = "#N/A", "",  _xll.BDP($C111, VOLUME_AVG_10D))</f>
        <v>2044670.75</v>
      </c>
      <c r="Z111" s="31" cm="1">
        <f t="array" ref="Z111">IF(LEFT(_xll.BDP($C111, VOLUME_AVG_30D), 4) = "#N/A", "",  _xll.BDP($C111, VOLUME_AVG_30D))</f>
        <v>4489942</v>
      </c>
      <c r="AA111" s="31" cm="1">
        <f t="array" ref="AA111">IF(LEFT(_xll.BDP($C111, VOLUME_AVG_3M), 4) = "#N/A", "",  _xll.BDP($C111, VOLUME_AVG_3M))</f>
        <v>5178244.5</v>
      </c>
      <c r="AB111" s="31" cm="1">
        <f t="array" ref="AB111">IF(LEFT(_xll.BDP($C111, VOLUME_AVG_6M), 4) = "#N/A", "",  _xll.BDP($C111, VOLUME_AVG_6M))</f>
        <v>3751733.25</v>
      </c>
      <c r="AC111" s="31" cm="1">
        <f t="array" ref="AC111">IF(LEFT(_xll.BDP($C111, VOLUME_AVG_12M), 4) = "#N/A", "",  _xll.BDP($C111, VOLUME_AVG_12M))</f>
        <v>4270104.5</v>
      </c>
      <c r="AD111" s="41" cm="1">
        <f t="array" ref="AD111">IF(LEFT(_xll.BDP($C111, LAST_PRICE), 4) = "#N/A", "",  _xll.BDP($C111, LAST_PRICE))</f>
        <v>4.0000000000000002E-4</v>
      </c>
    </row>
    <row r="112" spans="1:30" x14ac:dyDescent="0.35">
      <c r="A112" s="1">
        <f t="shared" si="1"/>
        <v>109</v>
      </c>
      <c r="B112" s="28">
        <v>45700</v>
      </c>
      <c r="C112" s="29" t="s">
        <v>263</v>
      </c>
      <c r="D112" s="29" t="s">
        <v>263</v>
      </c>
      <c r="E112" s="29" t="s">
        <v>264</v>
      </c>
      <c r="F112" s="29" t="s">
        <v>33</v>
      </c>
      <c r="G112" s="30" t="s">
        <v>34</v>
      </c>
      <c r="H112" s="31"/>
      <c r="I112" s="31"/>
      <c r="J112" s="32">
        <v>9.9999999747524292E-7</v>
      </c>
      <c r="K112" s="33">
        <v>45700</v>
      </c>
      <c r="L112" s="31"/>
      <c r="M112" s="32"/>
      <c r="N112" s="31"/>
      <c r="O112" s="33">
        <v>45699</v>
      </c>
      <c r="P112" s="34">
        <v>3160.63330078125</v>
      </c>
      <c r="Q112" s="34">
        <v>1529.33874511719</v>
      </c>
      <c r="R112" s="34">
        <v>752.53173828125</v>
      </c>
      <c r="S112" s="29"/>
      <c r="T112" s="33"/>
      <c r="U112" s="35" t="b">
        <v>1</v>
      </c>
      <c r="V112" s="35" t="b">
        <v>1</v>
      </c>
      <c r="W112" s="35" t="b">
        <v>1</v>
      </c>
      <c r="Y112" s="31" cm="1">
        <f t="array" ref="Y112">IF(LEFT(_xll.BDP($C112, VOLUME_AVG_10D), 4) = "#N/A", "",  _xll.BDP($C112, VOLUME_AVG_10D))</f>
        <v>9481.900390625</v>
      </c>
      <c r="Z112" s="31" cm="1">
        <f t="array" ref="Z112">IF(LEFT(_xll.BDP($C112, VOLUME_AVG_30D), 4) = "#N/A", "",  _xll.BDP($C112, VOLUME_AVG_30D))</f>
        <v>3160.63330078125</v>
      </c>
      <c r="AA112" s="31" cm="1">
        <f t="array" ref="AA112">IF(LEFT(_xll.BDP($C112, VOLUME_AVG_3M), 4) = "#N/A", "",  _xll.BDP($C112, VOLUME_AVG_3M))</f>
        <v>1529.3387451171875</v>
      </c>
      <c r="AB112" s="31" cm="1">
        <f t="array" ref="AB112">IF(LEFT(_xll.BDP($C112, VOLUME_AVG_6M), 4) = "#N/A", "",  _xll.BDP($C112, VOLUME_AVG_6M))</f>
        <v>752.53173828125</v>
      </c>
      <c r="AC112" s="31" cm="1">
        <f t="array" ref="AC112">IF(LEFT(_xll.BDP($C112, VOLUME_AVG_12M), 4) = "#N/A", "",  _xll.BDP($C112, VOLUME_AVG_12M))</f>
        <v>379.45816040039063</v>
      </c>
      <c r="AD112" s="41" cm="1">
        <f t="array" ref="AD112">IF(LEFT(_xll.BDP($C112, LAST_PRICE), 4) = "#N/A", "",  _xll.BDP($C112, LAST_PRICE))</f>
        <v>9.9999999999999995E-7</v>
      </c>
    </row>
    <row r="113" spans="1:30" x14ac:dyDescent="0.35">
      <c r="A113" s="1">
        <f t="shared" si="1"/>
        <v>110</v>
      </c>
      <c r="B113" s="28">
        <v>45700</v>
      </c>
      <c r="C113" s="29" t="s">
        <v>265</v>
      </c>
      <c r="D113" s="29" t="s">
        <v>265</v>
      </c>
      <c r="E113" s="29" t="s">
        <v>266</v>
      </c>
      <c r="F113" s="29" t="s">
        <v>33</v>
      </c>
      <c r="G113" s="30" t="s">
        <v>34</v>
      </c>
      <c r="H113" s="31"/>
      <c r="I113" s="31"/>
      <c r="J113" s="32"/>
      <c r="K113" s="33">
        <v>45700</v>
      </c>
      <c r="L113" s="31"/>
      <c r="M113" s="32"/>
      <c r="N113" s="31"/>
      <c r="O113" s="33">
        <v>45699</v>
      </c>
      <c r="P113" s="34"/>
      <c r="Q113" s="34"/>
      <c r="R113" s="34"/>
      <c r="S113" s="29"/>
      <c r="T113" s="33"/>
      <c r="U113" s="35" t="b">
        <v>1</v>
      </c>
      <c r="V113" s="35" t="b">
        <v>1</v>
      </c>
      <c r="W113" s="35" t="b">
        <v>1</v>
      </c>
      <c r="Y113" s="31" t="str" cm="1">
        <f t="array" ref="Y113">IF(LEFT(_xll.BDP($C113, VOLUME_AVG_10D), 4) = "#N/A", "",  _xll.BDP($C113, VOLUME_AVG_10D))</f>
        <v/>
      </c>
      <c r="Z113" s="31" t="str" cm="1">
        <f t="array" ref="Z113">IF(LEFT(_xll.BDP($C113, VOLUME_AVG_30D), 4) = "#N/A", "",  _xll.BDP($C113, VOLUME_AVG_30D))</f>
        <v/>
      </c>
      <c r="AA113" s="31" t="str" cm="1">
        <f t="array" ref="AA113">IF(LEFT(_xll.BDP($C113, VOLUME_AVG_3M), 4) = "#N/A", "",  _xll.BDP($C113, VOLUME_AVG_3M))</f>
        <v/>
      </c>
      <c r="AB113" s="31" t="str" cm="1">
        <f t="array" ref="AB113">IF(LEFT(_xll.BDP($C113, VOLUME_AVG_6M), 4) = "#N/A", "",  _xll.BDP($C113, VOLUME_AVG_6M))</f>
        <v/>
      </c>
      <c r="AC113" s="31" t="str" cm="1">
        <f t="array" ref="AC113">IF(LEFT(_xll.BDP($C113, VOLUME_AVG_12M), 4) = "#N/A", "",  _xll.BDP($C113, VOLUME_AVG_12M))</f>
        <v/>
      </c>
      <c r="AD113" s="41" t="str" cm="1">
        <f t="array" ref="AD113">IF(LEFT(_xll.BDP($C113, LAST_PRICE), 4) = "#N/A", "",  _xll.BDP($C113, LAST_PRICE))</f>
        <v/>
      </c>
    </row>
    <row r="114" spans="1:30" x14ac:dyDescent="0.35">
      <c r="A114" s="1">
        <f t="shared" si="1"/>
        <v>111</v>
      </c>
      <c r="B114" s="28">
        <v>45700</v>
      </c>
      <c r="C114" s="29" t="s">
        <v>267</v>
      </c>
      <c r="D114" s="29" t="s">
        <v>267</v>
      </c>
      <c r="E114" s="29" t="s">
        <v>268</v>
      </c>
      <c r="F114" s="29" t="s">
        <v>33</v>
      </c>
      <c r="G114" s="30" t="s">
        <v>34</v>
      </c>
      <c r="H114" s="31">
        <v>134657442</v>
      </c>
      <c r="I114" s="31">
        <v>418951840</v>
      </c>
      <c r="J114" s="32">
        <v>4.5</v>
      </c>
      <c r="K114" s="33">
        <v>45700</v>
      </c>
      <c r="L114" s="31">
        <v>300</v>
      </c>
      <c r="M114" s="32">
        <v>-229.65</v>
      </c>
      <c r="N114" s="31" t="s">
        <v>35</v>
      </c>
      <c r="O114" s="33">
        <v>45699</v>
      </c>
      <c r="P114" s="34">
        <v>1777.23327636719</v>
      </c>
      <c r="Q114" s="34">
        <v>2973.16137695313</v>
      </c>
      <c r="R114" s="34">
        <v>4699.21435546875</v>
      </c>
      <c r="S114" s="29"/>
      <c r="T114" s="33"/>
      <c r="U114" s="35" t="b">
        <v>0</v>
      </c>
      <c r="V114" s="35" t="b">
        <v>0</v>
      </c>
      <c r="W114" s="35" t="b">
        <v>0</v>
      </c>
      <c r="Y114" s="31" cm="1">
        <f t="array" ref="Y114">IF(LEFT(_xll.BDP($C114, VOLUME_AVG_10D), 4) = "#N/A", "",  _xll.BDP($C114, VOLUME_AVG_10D))</f>
        <v>890.5999755859375</v>
      </c>
      <c r="Z114" s="31" cm="1">
        <f t="array" ref="Z114">IF(LEFT(_xll.BDP($C114, VOLUME_AVG_30D), 4) = "#N/A", "",  _xll.BDP($C114, VOLUME_AVG_30D))</f>
        <v>1777.2332763671875</v>
      </c>
      <c r="AA114" s="31" cm="1">
        <f t="array" ref="AA114">IF(LEFT(_xll.BDP($C114, VOLUME_AVG_3M), 4) = "#N/A", "",  _xll.BDP($C114, VOLUME_AVG_3M))</f>
        <v>2973.161376953125</v>
      </c>
      <c r="AB114" s="31" cm="1">
        <f t="array" ref="AB114">IF(LEFT(_xll.BDP($C114, VOLUME_AVG_6M), 4) = "#N/A", "",  _xll.BDP($C114, VOLUME_AVG_6M))</f>
        <v>4699.21435546875</v>
      </c>
      <c r="AC114" s="31" cm="1">
        <f t="array" ref="AC114">IF(LEFT(_xll.BDP($C114, VOLUME_AVG_12M), 4) = "#N/A", "",  _xll.BDP($C114, VOLUME_AVG_12M))</f>
        <v>47180.82421875</v>
      </c>
      <c r="AD114" s="41" cm="1">
        <f t="array" ref="AD114">IF(LEFT(_xll.BDP($C114, LAST_PRICE), 4) = "#N/A", "",  _xll.BDP($C114, LAST_PRICE))</f>
        <v>4.5</v>
      </c>
    </row>
    <row r="115" spans="1:30" x14ac:dyDescent="0.35">
      <c r="A115" s="1">
        <f t="shared" si="1"/>
        <v>112</v>
      </c>
      <c r="B115" s="28">
        <v>45700</v>
      </c>
      <c r="C115" s="29" t="s">
        <v>269</v>
      </c>
      <c r="D115" s="29" t="s">
        <v>269</v>
      </c>
      <c r="E115" s="29" t="s">
        <v>270</v>
      </c>
      <c r="F115" s="29" t="s">
        <v>33</v>
      </c>
      <c r="G115" s="30" t="s">
        <v>34</v>
      </c>
      <c r="H115" s="31">
        <v>19452599.816322301</v>
      </c>
      <c r="I115" s="31">
        <v>31642599.816322301</v>
      </c>
      <c r="J115" s="32">
        <v>3.0299999713897701</v>
      </c>
      <c r="K115" s="33">
        <v>45700</v>
      </c>
      <c r="L115" s="31">
        <v>709400</v>
      </c>
      <c r="M115" s="32">
        <v>3.8</v>
      </c>
      <c r="N115" s="31" t="s">
        <v>35</v>
      </c>
      <c r="O115" s="33">
        <v>45699</v>
      </c>
      <c r="P115" s="34">
        <v>9025.93359375</v>
      </c>
      <c r="Q115" s="34">
        <v>16034.0966796875</v>
      </c>
      <c r="R115" s="34">
        <v>73439.3828125</v>
      </c>
      <c r="S115" s="29"/>
      <c r="T115" s="33"/>
      <c r="U115" s="35" t="b">
        <v>1</v>
      </c>
      <c r="V115" s="35" t="b">
        <v>0</v>
      </c>
      <c r="W115" s="35" t="b">
        <v>0</v>
      </c>
      <c r="Y115" s="31" cm="1">
        <f t="array" ref="Y115">IF(LEFT(_xll.BDP($C115, VOLUME_AVG_10D), 4) = "#N/A", "",  _xll.BDP($C115, VOLUME_AVG_10D))</f>
        <v>4603.39990234375</v>
      </c>
      <c r="Z115" s="31" cm="1">
        <f t="array" ref="Z115">IF(LEFT(_xll.BDP($C115, VOLUME_AVG_30D), 4) = "#N/A", "",  _xll.BDP($C115, VOLUME_AVG_30D))</f>
        <v>9025.93359375</v>
      </c>
      <c r="AA115" s="31" cm="1">
        <f t="array" ref="AA115">IF(LEFT(_xll.BDP($C115, VOLUME_AVG_3M), 4) = "#N/A", "",  _xll.BDP($C115, VOLUME_AVG_3M))</f>
        <v>16034.0966796875</v>
      </c>
      <c r="AB115" s="31" cm="1">
        <f t="array" ref="AB115">IF(LEFT(_xll.BDP($C115, VOLUME_AVG_6M), 4) = "#N/A", "",  _xll.BDP($C115, VOLUME_AVG_6M))</f>
        <v>73439.3828125</v>
      </c>
      <c r="AC115" s="31" cm="1">
        <f t="array" ref="AC115">IF(LEFT(_xll.BDP($C115, VOLUME_AVG_12M), 4) = "#N/A", "",  _xll.BDP($C115, VOLUME_AVG_12M))</f>
        <v>41674.5234375</v>
      </c>
      <c r="AD115" s="41" cm="1">
        <f t="array" ref="AD115">IF(LEFT(_xll.BDP($C115, LAST_PRICE), 4) = "#N/A", "",  _xll.BDP($C115, LAST_PRICE))</f>
        <v>3.03</v>
      </c>
    </row>
    <row r="116" spans="1:30" x14ac:dyDescent="0.35">
      <c r="A116" s="1">
        <f t="shared" si="1"/>
        <v>113</v>
      </c>
      <c r="B116" s="28">
        <v>45700</v>
      </c>
      <c r="C116" s="29" t="s">
        <v>271</v>
      </c>
      <c r="D116" s="29" t="s">
        <v>271</v>
      </c>
      <c r="E116" s="29" t="s">
        <v>272</v>
      </c>
      <c r="F116" s="29" t="s">
        <v>33</v>
      </c>
      <c r="G116" s="30" t="s">
        <v>34</v>
      </c>
      <c r="H116" s="31">
        <v>189199926.10405201</v>
      </c>
      <c r="I116" s="31"/>
      <c r="J116" s="32">
        <v>12.3500003814697</v>
      </c>
      <c r="K116" s="33">
        <v>45700</v>
      </c>
      <c r="L116" s="31">
        <v>2495300</v>
      </c>
      <c r="M116" s="32">
        <v>3.88</v>
      </c>
      <c r="N116" s="31" t="s">
        <v>35</v>
      </c>
      <c r="O116" s="33">
        <v>45699</v>
      </c>
      <c r="P116" s="34">
        <v>60640.30078125</v>
      </c>
      <c r="Q116" s="34">
        <v>59458.953125</v>
      </c>
      <c r="R116" s="34">
        <v>56419.6015625</v>
      </c>
      <c r="S116" s="29"/>
      <c r="T116" s="33"/>
      <c r="U116" s="35" t="b">
        <v>0</v>
      </c>
      <c r="V116" s="35" t="b">
        <v>0</v>
      </c>
      <c r="W116" s="35" t="b">
        <v>1</v>
      </c>
      <c r="Y116" s="31" cm="1">
        <f t="array" ref="Y116">IF(LEFT(_xll.BDP($C116, VOLUME_AVG_10D), 4) = "#N/A", "",  _xll.BDP($C116, VOLUME_AVG_10D))</f>
        <v>60808.5</v>
      </c>
      <c r="Z116" s="31" cm="1">
        <f t="array" ref="Z116">IF(LEFT(_xll.BDP($C116, VOLUME_AVG_30D), 4) = "#N/A", "",  _xll.BDP($C116, VOLUME_AVG_30D))</f>
        <v>60640.30078125</v>
      </c>
      <c r="AA116" s="31" cm="1">
        <f t="array" ref="AA116">IF(LEFT(_xll.BDP($C116, VOLUME_AVG_3M), 4) = "#N/A", "",  _xll.BDP($C116, VOLUME_AVG_3M))</f>
        <v>59458.953125</v>
      </c>
      <c r="AB116" s="31" cm="1">
        <f t="array" ref="AB116">IF(LEFT(_xll.BDP($C116, VOLUME_AVG_6M), 4) = "#N/A", "",  _xll.BDP($C116, VOLUME_AVG_6M))</f>
        <v>56419.6015625</v>
      </c>
      <c r="AC116" s="31" cm="1">
        <f t="array" ref="AC116">IF(LEFT(_xll.BDP($C116, VOLUME_AVG_12M), 4) = "#N/A", "",  _xll.BDP($C116, VOLUME_AVG_12M))</f>
        <v>103450.21875</v>
      </c>
      <c r="AD116" s="41" cm="1">
        <f t="array" ref="AD116">IF(LEFT(_xll.BDP($C116, LAST_PRICE), 4) = "#N/A", "",  _xll.BDP($C116, LAST_PRICE))</f>
        <v>12.35</v>
      </c>
    </row>
    <row r="117" spans="1:30" x14ac:dyDescent="0.35">
      <c r="A117" s="1">
        <f t="shared" si="1"/>
        <v>114</v>
      </c>
      <c r="B117" s="28">
        <v>45700</v>
      </c>
      <c r="C117" s="29" t="s">
        <v>273</v>
      </c>
      <c r="D117" s="29" t="s">
        <v>273</v>
      </c>
      <c r="E117" s="29" t="s">
        <v>274</v>
      </c>
      <c r="F117" s="29" t="s">
        <v>33</v>
      </c>
      <c r="G117" s="30" t="s">
        <v>34</v>
      </c>
      <c r="H117" s="31">
        <v>639069.382997785</v>
      </c>
      <c r="I117" s="31"/>
      <c r="J117" s="32">
        <v>2.62000001966953E-2</v>
      </c>
      <c r="K117" s="33">
        <v>45700</v>
      </c>
      <c r="L117" s="31"/>
      <c r="M117" s="32"/>
      <c r="N117" s="31"/>
      <c r="O117" s="33">
        <v>45699</v>
      </c>
      <c r="P117" s="34">
        <v>13351.56640625</v>
      </c>
      <c r="Q117" s="34">
        <v>40233.6953125</v>
      </c>
      <c r="R117" s="34">
        <v>27941.357421875</v>
      </c>
      <c r="S117" s="29"/>
      <c r="T117" s="33"/>
      <c r="U117" s="35" t="b">
        <v>1</v>
      </c>
      <c r="V117" s="35" t="b">
        <v>1</v>
      </c>
      <c r="W117" s="35" t="b">
        <v>1</v>
      </c>
      <c r="Y117" s="31" cm="1">
        <f t="array" ref="Y117">IF(LEFT(_xll.BDP($C117, VOLUME_AVG_10D), 4) = "#N/A", "",  _xll.BDP($C117, VOLUME_AVG_10D))</f>
        <v>13556</v>
      </c>
      <c r="Z117" s="31" cm="1">
        <f t="array" ref="Z117">IF(LEFT(_xll.BDP($C117, VOLUME_AVG_30D), 4) = "#N/A", "",  _xll.BDP($C117, VOLUME_AVG_30D))</f>
        <v>13351.56640625</v>
      </c>
      <c r="AA117" s="31" cm="1">
        <f t="array" ref="AA117">IF(LEFT(_xll.BDP($C117, VOLUME_AVG_3M), 4) = "#N/A", "",  _xll.BDP($C117, VOLUME_AVG_3M))</f>
        <v>40233.6953125</v>
      </c>
      <c r="AB117" s="31" cm="1">
        <f t="array" ref="AB117">IF(LEFT(_xll.BDP($C117, VOLUME_AVG_6M), 4) = "#N/A", "",  _xll.BDP($C117, VOLUME_AVG_6M))</f>
        <v>27941.357421875</v>
      </c>
      <c r="AC117" s="31" cm="1">
        <f t="array" ref="AC117">IF(LEFT(_xll.BDP($C117, VOLUME_AVG_12M), 4) = "#N/A", "",  _xll.BDP($C117, VOLUME_AVG_12M))</f>
        <v>21088.21875</v>
      </c>
      <c r="AD117" s="41" cm="1">
        <f t="array" ref="AD117">IF(LEFT(_xll.BDP($C117, LAST_PRICE), 4) = "#N/A", "",  _xll.BDP($C117, LAST_PRICE))</f>
        <v>2.6200000000000001E-2</v>
      </c>
    </row>
    <row r="118" spans="1:30" x14ac:dyDescent="0.35">
      <c r="A118" s="1">
        <f t="shared" si="1"/>
        <v>115</v>
      </c>
      <c r="B118" s="28">
        <v>45700</v>
      </c>
      <c r="C118" s="29" t="s">
        <v>275</v>
      </c>
      <c r="D118" s="29" t="s">
        <v>275</v>
      </c>
      <c r="E118" s="29" t="s">
        <v>276</v>
      </c>
      <c r="F118" s="29" t="s">
        <v>33</v>
      </c>
      <c r="G118" s="30" t="s">
        <v>34</v>
      </c>
      <c r="H118" s="31"/>
      <c r="I118" s="31"/>
      <c r="J118" s="32"/>
      <c r="K118" s="33">
        <v>45700</v>
      </c>
      <c r="L118" s="31"/>
      <c r="M118" s="32"/>
      <c r="N118" s="31"/>
      <c r="O118" s="33">
        <v>45699</v>
      </c>
      <c r="P118" s="34"/>
      <c r="Q118" s="34">
        <v>0.5</v>
      </c>
      <c r="R118" s="34">
        <v>3.1031746864318799</v>
      </c>
      <c r="S118" s="29"/>
      <c r="T118" s="33"/>
      <c r="U118" s="35" t="b">
        <v>1</v>
      </c>
      <c r="V118" s="35" t="b">
        <v>1</v>
      </c>
      <c r="W118" s="35" t="b">
        <v>1</v>
      </c>
      <c r="Y118" s="31" cm="1">
        <f t="array" ref="Y118">IF(LEFT(_xll.BDP($C118, VOLUME_AVG_10D), 4) = "#N/A", "",  _xll.BDP($C118, VOLUME_AVG_10D))</f>
        <v>0</v>
      </c>
      <c r="Z118" s="31" cm="1">
        <f t="array" ref="Z118">IF(LEFT(_xll.BDP($C118, VOLUME_AVG_30D), 4) = "#N/A", "",  _xll.BDP($C118, VOLUME_AVG_30D))</f>
        <v>0</v>
      </c>
      <c r="AA118" s="31" cm="1">
        <f t="array" ref="AA118">IF(LEFT(_xll.BDP($C118, VOLUME_AVG_3M), 4) = "#N/A", "",  _xll.BDP($C118, VOLUME_AVG_3M))</f>
        <v>0.5</v>
      </c>
      <c r="AB118" s="31" cm="1">
        <f t="array" ref="AB118">IF(LEFT(_xll.BDP($C118, VOLUME_AVG_6M), 4) = "#N/A", "",  _xll.BDP($C118, VOLUME_AVG_6M))</f>
        <v>3.1031746864318848</v>
      </c>
      <c r="AC118" s="31" cm="1">
        <f t="array" ref="AC118">IF(LEFT(_xll.BDP($C118, VOLUME_AVG_12M), 4) = "#N/A", "",  _xll.BDP($C118, VOLUME_AVG_12M))</f>
        <v>34.3187255859375</v>
      </c>
      <c r="AD118" s="41" t="str" cm="1">
        <f t="array" ref="AD118">IF(LEFT(_xll.BDP($C118, LAST_PRICE), 4) = "#N/A", "",  _xll.BDP($C118, LAST_PRICE))</f>
        <v/>
      </c>
    </row>
    <row r="119" spans="1:30" x14ac:dyDescent="0.35">
      <c r="A119" s="1">
        <f t="shared" si="1"/>
        <v>116</v>
      </c>
      <c r="B119" s="28">
        <v>45700</v>
      </c>
      <c r="C119" s="29" t="s">
        <v>277</v>
      </c>
      <c r="D119" s="29" t="s">
        <v>277</v>
      </c>
      <c r="E119" s="29" t="s">
        <v>278</v>
      </c>
      <c r="F119" s="29" t="s">
        <v>33</v>
      </c>
      <c r="G119" s="30" t="s">
        <v>34</v>
      </c>
      <c r="H119" s="31">
        <v>158604403936.04401</v>
      </c>
      <c r="I119" s="31">
        <v>206730403936.04401</v>
      </c>
      <c r="J119" s="32">
        <v>295.05999755859398</v>
      </c>
      <c r="K119" s="33">
        <v>45700</v>
      </c>
      <c r="L119" s="31">
        <v>144365104</v>
      </c>
      <c r="M119" s="32">
        <v>3.88</v>
      </c>
      <c r="N119" s="31" t="s">
        <v>35</v>
      </c>
      <c r="O119" s="33">
        <v>45699</v>
      </c>
      <c r="P119" s="34">
        <v>3199203</v>
      </c>
      <c r="Q119" s="34">
        <v>3899690.5</v>
      </c>
      <c r="R119" s="34">
        <v>2856383</v>
      </c>
      <c r="S119" s="29" t="s">
        <v>63</v>
      </c>
      <c r="T119" s="33">
        <v>45215</v>
      </c>
      <c r="U119" s="35" t="b">
        <v>0</v>
      </c>
      <c r="V119" s="35" t="b">
        <v>0</v>
      </c>
      <c r="W119" s="35" t="b">
        <v>0</v>
      </c>
      <c r="Y119" s="31" cm="1">
        <f t="array" ref="Y119">IF(LEFT(_xll.BDP($C119, VOLUME_AVG_10D), 4) = "#N/A", "",  _xll.BDP($C119, VOLUME_AVG_10D))</f>
        <v>3633402</v>
      </c>
      <c r="Z119" s="31" cm="1">
        <f t="array" ref="Z119">IF(LEFT(_xll.BDP($C119, VOLUME_AVG_30D), 4) = "#N/A", "",  _xll.BDP($C119, VOLUME_AVG_30D))</f>
        <v>3199203</v>
      </c>
      <c r="AA119" s="31" cm="1">
        <f t="array" ref="AA119">IF(LEFT(_xll.BDP($C119, VOLUME_AVG_3M), 4) = "#N/A", "",  _xll.BDP($C119, VOLUME_AVG_3M))</f>
        <v>3899690.5</v>
      </c>
      <c r="AB119" s="31" cm="1">
        <f t="array" ref="AB119">IF(LEFT(_xll.BDP($C119, VOLUME_AVG_6M), 4) = "#N/A", "",  _xll.BDP($C119, VOLUME_AVG_6M))</f>
        <v>2856383</v>
      </c>
      <c r="AC119" s="31" cm="1">
        <f t="array" ref="AC119">IF(LEFT(_xll.BDP($C119, VOLUME_AVG_12M), 4) = "#N/A", "",  _xll.BDP($C119, VOLUME_AVG_12M))</f>
        <v>2708970.5</v>
      </c>
      <c r="AD119" s="41" cm="1">
        <f t="array" ref="AD119">IF(LEFT(_xll.BDP($C119, LAST_PRICE), 4) = "#N/A", "",  _xll.BDP($C119, LAST_PRICE))</f>
        <v>295.06</v>
      </c>
    </row>
    <row r="120" spans="1:30" x14ac:dyDescent="0.35">
      <c r="A120" s="1">
        <f t="shared" si="1"/>
        <v>117</v>
      </c>
      <c r="B120" s="28">
        <v>45700</v>
      </c>
      <c r="C120" s="29" t="s">
        <v>279</v>
      </c>
      <c r="D120" s="29" t="s">
        <v>279</v>
      </c>
      <c r="E120" s="29" t="s">
        <v>280</v>
      </c>
      <c r="F120" s="29" t="s">
        <v>33</v>
      </c>
      <c r="G120" s="30" t="s">
        <v>34</v>
      </c>
      <c r="H120" s="31">
        <v>2853595189.1426802</v>
      </c>
      <c r="I120" s="31">
        <v>3048496189.1426802</v>
      </c>
      <c r="J120" s="32">
        <v>9.5500001907348597</v>
      </c>
      <c r="K120" s="33">
        <v>45700</v>
      </c>
      <c r="L120" s="31">
        <v>111045504</v>
      </c>
      <c r="M120" s="32">
        <v>3.88</v>
      </c>
      <c r="N120" s="31" t="s">
        <v>35</v>
      </c>
      <c r="O120" s="33">
        <v>45699</v>
      </c>
      <c r="P120" s="34">
        <v>2086566.375</v>
      </c>
      <c r="Q120" s="34">
        <v>2319571.25</v>
      </c>
      <c r="R120" s="34">
        <v>2368424.5</v>
      </c>
      <c r="S120" s="29" t="s">
        <v>177</v>
      </c>
      <c r="T120" s="33">
        <v>45446</v>
      </c>
      <c r="U120" s="35" t="b">
        <v>0</v>
      </c>
      <c r="V120" s="35" t="b">
        <v>0</v>
      </c>
      <c r="W120" s="35" t="b">
        <v>0</v>
      </c>
      <c r="Y120" s="31" cm="1">
        <f t="array" ref="Y120">IF(LEFT(_xll.BDP($C120, VOLUME_AVG_10D), 4) = "#N/A", "",  _xll.BDP($C120, VOLUME_AVG_10D))</f>
        <v>1995405.625</v>
      </c>
      <c r="Z120" s="31" cm="1">
        <f t="array" ref="Z120">IF(LEFT(_xll.BDP($C120, VOLUME_AVG_30D), 4) = "#N/A", "",  _xll.BDP($C120, VOLUME_AVG_30D))</f>
        <v>2086566.375</v>
      </c>
      <c r="AA120" s="31" cm="1">
        <f t="array" ref="AA120">IF(LEFT(_xll.BDP($C120, VOLUME_AVG_3M), 4) = "#N/A", "",  _xll.BDP($C120, VOLUME_AVG_3M))</f>
        <v>2319571.25</v>
      </c>
      <c r="AB120" s="31" cm="1">
        <f t="array" ref="AB120">IF(LEFT(_xll.BDP($C120, VOLUME_AVG_6M), 4) = "#N/A", "",  _xll.BDP($C120, VOLUME_AVG_6M))</f>
        <v>2368424.5</v>
      </c>
      <c r="AC120" s="31" cm="1">
        <f t="array" ref="AC120">IF(LEFT(_xll.BDP($C120, VOLUME_AVG_12M), 4) = "#N/A", "",  _xll.BDP($C120, VOLUME_AVG_12M))</f>
        <v>2619902</v>
      </c>
      <c r="AD120" s="41" cm="1">
        <f t="array" ref="AD120">IF(LEFT(_xll.BDP($C120, LAST_PRICE), 4) = "#N/A", "",  _xll.BDP($C120, LAST_PRICE))</f>
        <v>9.5500000000000007</v>
      </c>
    </row>
    <row r="121" spans="1:30" x14ac:dyDescent="0.35">
      <c r="A121" s="1">
        <f t="shared" si="1"/>
        <v>118</v>
      </c>
      <c r="B121" s="28">
        <v>45700</v>
      </c>
      <c r="C121" s="29" t="s">
        <v>281</v>
      </c>
      <c r="D121" s="29" t="s">
        <v>281</v>
      </c>
      <c r="E121" s="29" t="s">
        <v>282</v>
      </c>
      <c r="F121" s="29" t="s">
        <v>33</v>
      </c>
      <c r="G121" s="30" t="s">
        <v>34</v>
      </c>
      <c r="H121" s="31">
        <v>911865670.947945</v>
      </c>
      <c r="I121" s="31">
        <v>2055731670.9479401</v>
      </c>
      <c r="J121" s="32">
        <v>23.950000762939499</v>
      </c>
      <c r="K121" s="33">
        <v>45700</v>
      </c>
      <c r="L121" s="31">
        <v>15708000</v>
      </c>
      <c r="M121" s="32">
        <v>3.88</v>
      </c>
      <c r="N121" s="31" t="s">
        <v>35</v>
      </c>
      <c r="O121" s="33">
        <v>45699</v>
      </c>
      <c r="P121" s="34">
        <v>655847.375</v>
      </c>
      <c r="Q121" s="34">
        <v>902277.25</v>
      </c>
      <c r="R121" s="34">
        <v>881477.25</v>
      </c>
      <c r="S121" s="29"/>
      <c r="T121" s="33"/>
      <c r="U121" s="35" t="b">
        <v>0</v>
      </c>
      <c r="V121" s="35" t="b">
        <v>0</v>
      </c>
      <c r="W121" s="35" t="b">
        <v>0</v>
      </c>
      <c r="Y121" s="31" cm="1">
        <f t="array" ref="Y121">IF(LEFT(_xll.BDP($C121, VOLUME_AVG_10D), 4) = "#N/A", "",  _xll.BDP($C121, VOLUME_AVG_10D))</f>
        <v>675319.375</v>
      </c>
      <c r="Z121" s="31" cm="1">
        <f t="array" ref="Z121">IF(LEFT(_xll.BDP($C121, VOLUME_AVG_30D), 4) = "#N/A", "",  _xll.BDP($C121, VOLUME_AVG_30D))</f>
        <v>655847.375</v>
      </c>
      <c r="AA121" s="31" cm="1">
        <f t="array" ref="AA121">IF(LEFT(_xll.BDP($C121, VOLUME_AVG_3M), 4) = "#N/A", "",  _xll.BDP($C121, VOLUME_AVG_3M))</f>
        <v>902277.25</v>
      </c>
      <c r="AB121" s="31" cm="1">
        <f t="array" ref="AB121">IF(LEFT(_xll.BDP($C121, VOLUME_AVG_6M), 4) = "#N/A", "",  _xll.BDP($C121, VOLUME_AVG_6M))</f>
        <v>881477.25</v>
      </c>
      <c r="AC121" s="31" cm="1">
        <f t="array" ref="AC121">IF(LEFT(_xll.BDP($C121, VOLUME_AVG_12M), 4) = "#N/A", "",  _xll.BDP($C121, VOLUME_AVG_12M))</f>
        <v>872906.25</v>
      </c>
      <c r="AD121" s="41" cm="1">
        <f t="array" ref="AD121">IF(LEFT(_xll.BDP($C121, LAST_PRICE), 4) = "#N/A", "",  _xll.BDP($C121, LAST_PRICE))</f>
        <v>23.95</v>
      </c>
    </row>
    <row r="122" spans="1:30" x14ac:dyDescent="0.35">
      <c r="A122" s="1">
        <f t="shared" si="1"/>
        <v>119</v>
      </c>
      <c r="B122" s="28">
        <v>45700</v>
      </c>
      <c r="C122" s="29" t="s">
        <v>283</v>
      </c>
      <c r="D122" s="29" t="s">
        <v>283</v>
      </c>
      <c r="E122" s="29" t="s">
        <v>284</v>
      </c>
      <c r="F122" s="29" t="s">
        <v>33</v>
      </c>
      <c r="G122" s="30" t="s">
        <v>34</v>
      </c>
      <c r="H122" s="31">
        <v>2422983495.7883201</v>
      </c>
      <c r="I122" s="31">
        <v>5053390495.7883196</v>
      </c>
      <c r="J122" s="32">
        <v>7.8200001716613796</v>
      </c>
      <c r="K122" s="33">
        <v>45700</v>
      </c>
      <c r="L122" s="31">
        <v>53574500</v>
      </c>
      <c r="M122" s="32">
        <v>3.88</v>
      </c>
      <c r="N122" s="31" t="s">
        <v>35</v>
      </c>
      <c r="O122" s="33">
        <v>45699</v>
      </c>
      <c r="P122" s="34">
        <v>1195458.75</v>
      </c>
      <c r="Q122" s="34">
        <v>1164695.625</v>
      </c>
      <c r="R122" s="34">
        <v>1167585.25</v>
      </c>
      <c r="S122" s="29" t="s">
        <v>285</v>
      </c>
      <c r="T122" s="33">
        <v>45446</v>
      </c>
      <c r="U122" s="35" t="b">
        <v>0</v>
      </c>
      <c r="V122" s="35" t="b">
        <v>0</v>
      </c>
      <c r="W122" s="35" t="b">
        <v>0</v>
      </c>
      <c r="Y122" s="31" cm="1">
        <f t="array" ref="Y122">IF(LEFT(_xll.BDP($C122, VOLUME_AVG_10D), 4) = "#N/A", "",  _xll.BDP($C122, VOLUME_AVG_10D))</f>
        <v>1268248.25</v>
      </c>
      <c r="Z122" s="31" cm="1">
        <f t="array" ref="Z122">IF(LEFT(_xll.BDP($C122, VOLUME_AVG_30D), 4) = "#N/A", "",  _xll.BDP($C122, VOLUME_AVG_30D))</f>
        <v>1195458.75</v>
      </c>
      <c r="AA122" s="31" cm="1">
        <f t="array" ref="AA122">IF(LEFT(_xll.BDP($C122, VOLUME_AVG_3M), 4) = "#N/A", "",  _xll.BDP($C122, VOLUME_AVG_3M))</f>
        <v>1164695.625</v>
      </c>
      <c r="AB122" s="31" cm="1">
        <f t="array" ref="AB122">IF(LEFT(_xll.BDP($C122, VOLUME_AVG_6M), 4) = "#N/A", "",  _xll.BDP($C122, VOLUME_AVG_6M))</f>
        <v>1167585.25</v>
      </c>
      <c r="AC122" s="31" cm="1">
        <f t="array" ref="AC122">IF(LEFT(_xll.BDP($C122, VOLUME_AVG_12M), 4) = "#N/A", "",  _xll.BDP($C122, VOLUME_AVG_12M))</f>
        <v>1354479.5</v>
      </c>
      <c r="AD122" s="41" cm="1">
        <f t="array" ref="AD122">IF(LEFT(_xll.BDP($C122, LAST_PRICE), 4) = "#N/A", "",  _xll.BDP($C122, LAST_PRICE))</f>
        <v>7.82</v>
      </c>
    </row>
    <row r="123" spans="1:30" x14ac:dyDescent="0.35">
      <c r="A123" s="1">
        <f t="shared" si="1"/>
        <v>120</v>
      </c>
      <c r="B123" s="28">
        <v>45700</v>
      </c>
      <c r="C123" s="29" t="s">
        <v>286</v>
      </c>
      <c r="D123" s="29" t="s">
        <v>286</v>
      </c>
      <c r="E123" s="29" t="s">
        <v>287</v>
      </c>
      <c r="F123" s="29" t="s">
        <v>33</v>
      </c>
      <c r="G123" s="30" t="s">
        <v>34</v>
      </c>
      <c r="H123" s="31">
        <v>1529951183.3867099</v>
      </c>
      <c r="I123" s="31">
        <v>1909308183.3867099</v>
      </c>
      <c r="J123" s="32">
        <v>31.819999694824201</v>
      </c>
      <c r="K123" s="33">
        <v>45700</v>
      </c>
      <c r="L123" s="31">
        <v>12859400</v>
      </c>
      <c r="M123" s="32">
        <v>3.88</v>
      </c>
      <c r="N123" s="31" t="s">
        <v>35</v>
      </c>
      <c r="O123" s="33">
        <v>45699</v>
      </c>
      <c r="P123" s="34">
        <v>523687.96875</v>
      </c>
      <c r="Q123" s="34">
        <v>530096.4375</v>
      </c>
      <c r="R123" s="34">
        <v>435803.90625</v>
      </c>
      <c r="S123" s="29" t="s">
        <v>285</v>
      </c>
      <c r="T123" s="33">
        <v>45446</v>
      </c>
      <c r="U123" s="35" t="b">
        <v>0</v>
      </c>
      <c r="V123" s="35" t="b">
        <v>0</v>
      </c>
      <c r="W123" s="35" t="b">
        <v>0</v>
      </c>
      <c r="Y123" s="31" cm="1">
        <f t="array" ref="Y123">IF(LEFT(_xll.BDP($C123, VOLUME_AVG_10D), 4) = "#N/A", "",  _xll.BDP($C123, VOLUME_AVG_10D))</f>
        <v>418982.09375</v>
      </c>
      <c r="Z123" s="31" cm="1">
        <f t="array" ref="Z123">IF(LEFT(_xll.BDP($C123, VOLUME_AVG_30D), 4) = "#N/A", "",  _xll.BDP($C123, VOLUME_AVG_30D))</f>
        <v>523687.96875</v>
      </c>
      <c r="AA123" s="31" cm="1">
        <f t="array" ref="AA123">IF(LEFT(_xll.BDP($C123, VOLUME_AVG_3M), 4) = "#N/A", "",  _xll.BDP($C123, VOLUME_AVG_3M))</f>
        <v>530096.4375</v>
      </c>
      <c r="AB123" s="31" cm="1">
        <f t="array" ref="AB123">IF(LEFT(_xll.BDP($C123, VOLUME_AVG_6M), 4) = "#N/A", "",  _xll.BDP($C123, VOLUME_AVG_6M))</f>
        <v>435803.90625</v>
      </c>
      <c r="AC123" s="31" cm="1">
        <f t="array" ref="AC123">IF(LEFT(_xll.BDP($C123, VOLUME_AVG_12M), 4) = "#N/A", "",  _xll.BDP($C123, VOLUME_AVG_12M))</f>
        <v>418694.84375</v>
      </c>
      <c r="AD123" s="41" cm="1">
        <f t="array" ref="AD123">IF(LEFT(_xll.BDP($C123, LAST_PRICE), 4) = "#N/A", "",  _xll.BDP($C123, LAST_PRICE))</f>
        <v>31.82</v>
      </c>
    </row>
    <row r="124" spans="1:30" x14ac:dyDescent="0.35">
      <c r="A124" s="1">
        <f t="shared" si="1"/>
        <v>121</v>
      </c>
      <c r="B124" s="28">
        <v>45700</v>
      </c>
      <c r="C124" s="29" t="s">
        <v>288</v>
      </c>
      <c r="D124" s="29" t="s">
        <v>288</v>
      </c>
      <c r="E124" s="29" t="s">
        <v>289</v>
      </c>
      <c r="F124" s="29" t="s">
        <v>33</v>
      </c>
      <c r="G124" s="30" t="s">
        <v>34</v>
      </c>
      <c r="H124" s="31">
        <v>11353.58</v>
      </c>
      <c r="I124" s="31">
        <v>-3803646.42</v>
      </c>
      <c r="J124" s="32">
        <v>0.01</v>
      </c>
      <c r="K124" s="33">
        <v>45700</v>
      </c>
      <c r="L124" s="31">
        <v>33800</v>
      </c>
      <c r="M124" s="32">
        <v>2.2999999999999998</v>
      </c>
      <c r="N124" s="31" t="s">
        <v>35</v>
      </c>
      <c r="O124" s="33">
        <v>45699</v>
      </c>
      <c r="P124" s="34">
        <v>555.70001220703102</v>
      </c>
      <c r="Q124" s="34">
        <v>1123.51611328125</v>
      </c>
      <c r="R124" s="34">
        <v>970.68255615234398</v>
      </c>
      <c r="S124" s="29"/>
      <c r="T124" s="33"/>
      <c r="U124" s="35" t="b">
        <v>1</v>
      </c>
      <c r="V124" s="35" t="b">
        <v>1</v>
      </c>
      <c r="W124" s="35" t="b">
        <v>1</v>
      </c>
      <c r="Y124" s="31" cm="1">
        <f t="array" ref="Y124">IF(LEFT(_xll.BDP($C124, VOLUME_AVG_10D), 4) = "#N/A", "",  _xll.BDP($C124, VOLUME_AVG_10D))</f>
        <v>205.10000610351563</v>
      </c>
      <c r="Z124" s="31" cm="1">
        <f t="array" ref="Z124">IF(LEFT(_xll.BDP($C124, VOLUME_AVG_30D), 4) = "#N/A", "",  _xll.BDP($C124, VOLUME_AVG_30D))</f>
        <v>555.70001220703125</v>
      </c>
      <c r="AA124" s="31" cm="1">
        <f t="array" ref="AA124">IF(LEFT(_xll.BDP($C124, VOLUME_AVG_3M), 4) = "#N/A", "",  _xll.BDP($C124, VOLUME_AVG_3M))</f>
        <v>1123.51611328125</v>
      </c>
      <c r="AB124" s="31" cm="1">
        <f t="array" ref="AB124">IF(LEFT(_xll.BDP($C124, VOLUME_AVG_6M), 4) = "#N/A", "",  _xll.BDP($C124, VOLUME_AVG_6M))</f>
        <v>970.68255615234375</v>
      </c>
      <c r="AC124" s="31" cm="1">
        <f t="array" ref="AC124">IF(LEFT(_xll.BDP($C124, VOLUME_AVG_12M), 4) = "#N/A", "",  _xll.BDP($C124, VOLUME_AVG_12M))</f>
        <v>15542.2548828125</v>
      </c>
      <c r="AD124" s="41" cm="1">
        <f t="array" ref="AD124">IF(LEFT(_xll.BDP($C124, LAST_PRICE), 4) = "#N/A", "",  _xll.BDP($C124, LAST_PRICE))</f>
        <v>0.01</v>
      </c>
    </row>
    <row r="125" spans="1:30" x14ac:dyDescent="0.35">
      <c r="A125" s="1">
        <f t="shared" si="1"/>
        <v>122</v>
      </c>
      <c r="B125" s="28">
        <v>45700</v>
      </c>
      <c r="C125" s="29" t="s">
        <v>290</v>
      </c>
      <c r="D125" s="29" t="s">
        <v>290</v>
      </c>
      <c r="E125" s="29" t="s">
        <v>291</v>
      </c>
      <c r="F125" s="29" t="s">
        <v>33</v>
      </c>
      <c r="G125" s="30" t="s">
        <v>34</v>
      </c>
      <c r="H125" s="31">
        <v>302479925.99843597</v>
      </c>
      <c r="I125" s="31">
        <v>-64645074.001563802</v>
      </c>
      <c r="J125" s="32">
        <v>3.5299999713897701</v>
      </c>
      <c r="K125" s="33">
        <v>45700</v>
      </c>
      <c r="L125" s="31">
        <v>8153500</v>
      </c>
      <c r="M125" s="32">
        <v>3.88</v>
      </c>
      <c r="N125" s="31" t="s">
        <v>35</v>
      </c>
      <c r="O125" s="33">
        <v>45699</v>
      </c>
      <c r="P125" s="34">
        <v>920009.25</v>
      </c>
      <c r="Q125" s="34">
        <v>1007270.5</v>
      </c>
      <c r="R125" s="34">
        <v>1171243.875</v>
      </c>
      <c r="S125" s="29" t="s">
        <v>82</v>
      </c>
      <c r="T125" s="33">
        <v>45446</v>
      </c>
      <c r="U125" s="35" t="b">
        <v>0</v>
      </c>
      <c r="V125" s="35" t="b">
        <v>0</v>
      </c>
      <c r="W125" s="35" t="b">
        <v>1</v>
      </c>
      <c r="Y125" s="31" cm="1">
        <f t="array" ref="Y125">IF(LEFT(_xll.BDP($C125, VOLUME_AVG_10D), 4) = "#N/A", "",  _xll.BDP($C125, VOLUME_AVG_10D))</f>
        <v>870908.375</v>
      </c>
      <c r="Z125" s="31" cm="1">
        <f t="array" ref="Z125">IF(LEFT(_xll.BDP($C125, VOLUME_AVG_30D), 4) = "#N/A", "",  _xll.BDP($C125, VOLUME_AVG_30D))</f>
        <v>920009.25</v>
      </c>
      <c r="AA125" s="31" cm="1">
        <f t="array" ref="AA125">IF(LEFT(_xll.BDP($C125, VOLUME_AVG_3M), 4) = "#N/A", "",  _xll.BDP($C125, VOLUME_AVG_3M))</f>
        <v>1007270.5</v>
      </c>
      <c r="AB125" s="31" cm="1">
        <f t="array" ref="AB125">IF(LEFT(_xll.BDP($C125, VOLUME_AVG_6M), 4) = "#N/A", "",  _xll.BDP($C125, VOLUME_AVG_6M))</f>
        <v>1171243.875</v>
      </c>
      <c r="AC125" s="31" cm="1">
        <f t="array" ref="AC125">IF(LEFT(_xll.BDP($C125, VOLUME_AVG_12M), 4) = "#N/A", "",  _xll.BDP($C125, VOLUME_AVG_12M))</f>
        <v>1884114.5</v>
      </c>
      <c r="AD125" s="41" cm="1">
        <f t="array" ref="AD125">IF(LEFT(_xll.BDP($C125, LAST_PRICE), 4) = "#N/A", "",  _xll.BDP($C125, LAST_PRICE))</f>
        <v>3.53</v>
      </c>
    </row>
    <row r="126" spans="1:30" x14ac:dyDescent="0.35">
      <c r="A126" s="1">
        <f t="shared" si="1"/>
        <v>123</v>
      </c>
      <c r="B126" s="28">
        <v>45700</v>
      </c>
      <c r="C126" s="29" t="s">
        <v>292</v>
      </c>
      <c r="D126" s="29" t="s">
        <v>292</v>
      </c>
      <c r="E126" s="29" t="s">
        <v>293</v>
      </c>
      <c r="F126" s="29" t="s">
        <v>33</v>
      </c>
      <c r="G126" s="30" t="s">
        <v>34</v>
      </c>
      <c r="H126" s="31">
        <v>32567991.097315501</v>
      </c>
      <c r="I126" s="31">
        <v>-60858008.902684398</v>
      </c>
      <c r="J126" s="32">
        <v>1.0900000333786</v>
      </c>
      <c r="K126" s="33">
        <v>45700</v>
      </c>
      <c r="L126" s="31">
        <v>2348400</v>
      </c>
      <c r="M126" s="32">
        <v>1.85</v>
      </c>
      <c r="N126" s="31" t="s">
        <v>35</v>
      </c>
      <c r="O126" s="33">
        <v>45699</v>
      </c>
      <c r="P126" s="34">
        <v>125536.8359375</v>
      </c>
      <c r="Q126" s="34">
        <v>471783.96875</v>
      </c>
      <c r="R126" s="34">
        <v>452098.71875</v>
      </c>
      <c r="S126" s="29"/>
      <c r="T126" s="33"/>
      <c r="U126" s="35" t="b">
        <v>0</v>
      </c>
      <c r="V126" s="35" t="b">
        <v>0</v>
      </c>
      <c r="W126" s="35" t="b">
        <v>1</v>
      </c>
      <c r="Y126" s="31" cm="1">
        <f t="array" ref="Y126">IF(LEFT(_xll.BDP($C126, VOLUME_AVG_10D), 4) = "#N/A", "",  _xll.BDP($C126, VOLUME_AVG_10D))</f>
        <v>131475.5</v>
      </c>
      <c r="Z126" s="31" cm="1">
        <f t="array" ref="Z126">IF(LEFT(_xll.BDP($C126, VOLUME_AVG_30D), 4) = "#N/A", "",  _xll.BDP($C126, VOLUME_AVG_30D))</f>
        <v>125536.8359375</v>
      </c>
      <c r="AA126" s="31" cm="1">
        <f t="array" ref="AA126">IF(LEFT(_xll.BDP($C126, VOLUME_AVG_3M), 4) = "#N/A", "",  _xll.BDP($C126, VOLUME_AVG_3M))</f>
        <v>471783.96875</v>
      </c>
      <c r="AB126" s="31" cm="1">
        <f t="array" ref="AB126">IF(LEFT(_xll.BDP($C126, VOLUME_AVG_6M), 4) = "#N/A", "",  _xll.BDP($C126, VOLUME_AVG_6M))</f>
        <v>452098.71875</v>
      </c>
      <c r="AC126" s="31" cm="1">
        <f t="array" ref="AC126">IF(LEFT(_xll.BDP($C126, VOLUME_AVG_12M), 4) = "#N/A", "",  _xll.BDP($C126, VOLUME_AVG_12M))</f>
        <v>432557.96875</v>
      </c>
      <c r="AD126" s="41" cm="1">
        <f t="array" ref="AD126">IF(LEFT(_xll.BDP($C126, LAST_PRICE), 4) = "#N/A", "",  _xll.BDP($C126, LAST_PRICE))</f>
        <v>1.0900000000000001</v>
      </c>
    </row>
    <row r="127" spans="1:30" x14ac:dyDescent="0.35">
      <c r="A127" s="1">
        <f t="shared" si="1"/>
        <v>124</v>
      </c>
      <c r="B127" s="28">
        <v>45700</v>
      </c>
      <c r="C127" s="29" t="s">
        <v>294</v>
      </c>
      <c r="D127" s="29" t="s">
        <v>294</v>
      </c>
      <c r="E127" s="29" t="s">
        <v>295</v>
      </c>
      <c r="F127" s="29" t="s">
        <v>33</v>
      </c>
      <c r="G127" s="30" t="s">
        <v>34</v>
      </c>
      <c r="H127" s="31">
        <v>491423202.692379</v>
      </c>
      <c r="I127" s="31">
        <v>77800202.692379102</v>
      </c>
      <c r="J127" s="32">
        <v>16.149999618530298</v>
      </c>
      <c r="K127" s="33">
        <v>45700</v>
      </c>
      <c r="L127" s="31">
        <v>6644300</v>
      </c>
      <c r="M127" s="32">
        <v>3.88</v>
      </c>
      <c r="N127" s="31" t="s">
        <v>35</v>
      </c>
      <c r="O127" s="33">
        <v>45699</v>
      </c>
      <c r="P127" s="34">
        <v>668319.625</v>
      </c>
      <c r="Q127" s="34">
        <v>668674.8125</v>
      </c>
      <c r="R127" s="34">
        <v>531728.5</v>
      </c>
      <c r="S127" s="29" t="s">
        <v>73</v>
      </c>
      <c r="T127" s="33">
        <v>45446</v>
      </c>
      <c r="U127" s="35" t="b">
        <v>0</v>
      </c>
      <c r="V127" s="35" t="b">
        <v>0</v>
      </c>
      <c r="W127" s="35" t="b">
        <v>0</v>
      </c>
      <c r="Y127" s="31" cm="1">
        <f t="array" ref="Y127">IF(LEFT(_xll.BDP($C127, VOLUME_AVG_10D), 4) = "#N/A", "",  _xll.BDP($C127, VOLUME_AVG_10D))</f>
        <v>589051.625</v>
      </c>
      <c r="Z127" s="31" cm="1">
        <f t="array" ref="Z127">IF(LEFT(_xll.BDP($C127, VOLUME_AVG_30D), 4) = "#N/A", "",  _xll.BDP($C127, VOLUME_AVG_30D))</f>
        <v>668319.625</v>
      </c>
      <c r="AA127" s="31" cm="1">
        <f t="array" ref="AA127">IF(LEFT(_xll.BDP($C127, VOLUME_AVG_3M), 4) = "#N/A", "",  _xll.BDP($C127, VOLUME_AVG_3M))</f>
        <v>668674.8125</v>
      </c>
      <c r="AB127" s="31" cm="1">
        <f t="array" ref="AB127">IF(LEFT(_xll.BDP($C127, VOLUME_AVG_6M), 4) = "#N/A", "",  _xll.BDP($C127, VOLUME_AVG_6M))</f>
        <v>531728.5</v>
      </c>
      <c r="AC127" s="31" cm="1">
        <f t="array" ref="AC127">IF(LEFT(_xll.BDP($C127, VOLUME_AVG_12M), 4) = "#N/A", "",  _xll.BDP($C127, VOLUME_AVG_12M))</f>
        <v>436456.53125</v>
      </c>
      <c r="AD127" s="41" cm="1">
        <f t="array" ref="AD127">IF(LEFT(_xll.BDP($C127, LAST_PRICE), 4) = "#N/A", "",  _xll.BDP($C127, LAST_PRICE))</f>
        <v>16.149999999999999</v>
      </c>
    </row>
    <row r="128" spans="1:30" x14ac:dyDescent="0.35">
      <c r="A128" s="1">
        <f t="shared" si="1"/>
        <v>125</v>
      </c>
      <c r="B128" s="28">
        <v>45700</v>
      </c>
      <c r="C128" s="29" t="s">
        <v>296</v>
      </c>
      <c r="D128" s="29" t="s">
        <v>296</v>
      </c>
      <c r="E128" s="29" t="s">
        <v>297</v>
      </c>
      <c r="F128" s="29" t="s">
        <v>33</v>
      </c>
      <c r="G128" s="30" t="s">
        <v>34</v>
      </c>
      <c r="H128" s="31">
        <v>740058515.07529199</v>
      </c>
      <c r="I128" s="31">
        <v>619283515.07529199</v>
      </c>
      <c r="J128" s="32">
        <v>8.6999998092651403</v>
      </c>
      <c r="K128" s="33">
        <v>45700</v>
      </c>
      <c r="L128" s="31">
        <v>242000</v>
      </c>
      <c r="M128" s="32">
        <v>-3.75</v>
      </c>
      <c r="N128" s="31" t="s">
        <v>35</v>
      </c>
      <c r="O128" s="33">
        <v>45699</v>
      </c>
      <c r="P128" s="34">
        <v>1738041.375</v>
      </c>
      <c r="Q128" s="34">
        <v>1818029.75</v>
      </c>
      <c r="R128" s="34">
        <v>1319004.875</v>
      </c>
      <c r="S128" s="29" t="s">
        <v>82</v>
      </c>
      <c r="T128" s="33">
        <v>45446</v>
      </c>
      <c r="U128" s="35" t="b">
        <v>0</v>
      </c>
      <c r="V128" s="35" t="b">
        <v>0</v>
      </c>
      <c r="W128" s="35" t="b">
        <v>0</v>
      </c>
      <c r="Y128" s="31" cm="1">
        <f t="array" ref="Y128">IF(LEFT(_xll.BDP($C128, VOLUME_AVG_10D), 4) = "#N/A", "",  _xll.BDP($C128, VOLUME_AVG_10D))</f>
        <v>1004621.8125</v>
      </c>
      <c r="Z128" s="31" cm="1">
        <f t="array" ref="Z128">IF(LEFT(_xll.BDP($C128, VOLUME_AVG_30D), 4) = "#N/A", "",  _xll.BDP($C128, VOLUME_AVG_30D))</f>
        <v>1738041.375</v>
      </c>
      <c r="AA128" s="31" cm="1">
        <f t="array" ref="AA128">IF(LEFT(_xll.BDP($C128, VOLUME_AVG_3M), 4) = "#N/A", "",  _xll.BDP($C128, VOLUME_AVG_3M))</f>
        <v>1818029.75</v>
      </c>
      <c r="AB128" s="31" cm="1">
        <f t="array" ref="AB128">IF(LEFT(_xll.BDP($C128, VOLUME_AVG_6M), 4) = "#N/A", "",  _xll.BDP($C128, VOLUME_AVG_6M))</f>
        <v>1319004.875</v>
      </c>
      <c r="AC128" s="31" cm="1">
        <f t="array" ref="AC128">IF(LEFT(_xll.BDP($C128, VOLUME_AVG_12M), 4) = "#N/A", "",  _xll.BDP($C128, VOLUME_AVG_12M))</f>
        <v>1284888.75</v>
      </c>
      <c r="AD128" s="41" cm="1">
        <f t="array" ref="AD128">IF(LEFT(_xll.BDP($C128, LAST_PRICE), 4) = "#N/A", "",  _xll.BDP($C128, LAST_PRICE))</f>
        <v>8.6999999999999993</v>
      </c>
    </row>
    <row r="129" spans="1:30" x14ac:dyDescent="0.35">
      <c r="A129" s="1">
        <f t="shared" si="1"/>
        <v>126</v>
      </c>
      <c r="B129" s="28">
        <v>45700</v>
      </c>
      <c r="C129" s="29" t="s">
        <v>298</v>
      </c>
      <c r="D129" s="29" t="s">
        <v>298</v>
      </c>
      <c r="E129" s="29" t="s">
        <v>299</v>
      </c>
      <c r="F129" s="29" t="s">
        <v>33</v>
      </c>
      <c r="G129" s="30" t="s">
        <v>34</v>
      </c>
      <c r="H129" s="31"/>
      <c r="I129" s="31"/>
      <c r="J129" s="32"/>
      <c r="K129" s="33">
        <v>45700</v>
      </c>
      <c r="L129" s="31"/>
      <c r="M129" s="32"/>
      <c r="N129" s="31"/>
      <c r="O129" s="33">
        <v>45699</v>
      </c>
      <c r="P129" s="34"/>
      <c r="Q129" s="34"/>
      <c r="R129" s="34"/>
      <c r="S129" s="29"/>
      <c r="T129" s="33"/>
      <c r="U129" s="35" t="b">
        <v>1</v>
      </c>
      <c r="V129" s="35" t="b">
        <v>1</v>
      </c>
      <c r="W129" s="35" t="b">
        <v>1</v>
      </c>
      <c r="Y129" s="31" t="str" cm="1">
        <f t="array" ref="Y129">IF(LEFT(_xll.BDP($C129, VOLUME_AVG_10D), 4) = "#N/A", "",  _xll.BDP($C129, VOLUME_AVG_10D))</f>
        <v/>
      </c>
      <c r="Z129" s="31" t="str" cm="1">
        <f t="array" ref="Z129">IF(LEFT(_xll.BDP($C129, VOLUME_AVG_30D), 4) = "#N/A", "",  _xll.BDP($C129, VOLUME_AVG_30D))</f>
        <v/>
      </c>
      <c r="AA129" s="31" t="str" cm="1">
        <f t="array" ref="AA129">IF(LEFT(_xll.BDP($C129, VOLUME_AVG_3M), 4) = "#N/A", "",  _xll.BDP($C129, VOLUME_AVG_3M))</f>
        <v/>
      </c>
      <c r="AB129" s="31" t="str" cm="1">
        <f t="array" ref="AB129">IF(LEFT(_xll.BDP($C129, VOLUME_AVG_6M), 4) = "#N/A", "",  _xll.BDP($C129, VOLUME_AVG_6M))</f>
        <v/>
      </c>
      <c r="AC129" s="31" t="str" cm="1">
        <f t="array" ref="AC129">IF(LEFT(_xll.BDP($C129, VOLUME_AVG_12M), 4) = "#N/A", "",  _xll.BDP($C129, VOLUME_AVG_12M))</f>
        <v/>
      </c>
      <c r="AD129" s="41" t="str" cm="1">
        <f t="array" ref="AD129">IF(LEFT(_xll.BDP($C129, LAST_PRICE), 4) = "#N/A", "",  _xll.BDP($C129, LAST_PRICE))</f>
        <v/>
      </c>
    </row>
    <row r="130" spans="1:30" x14ac:dyDescent="0.35">
      <c r="A130" s="1">
        <f t="shared" si="1"/>
        <v>127</v>
      </c>
      <c r="B130" s="28">
        <v>45700</v>
      </c>
      <c r="C130" s="29" t="s">
        <v>300</v>
      </c>
      <c r="D130" s="29" t="s">
        <v>300</v>
      </c>
      <c r="E130" s="29" t="s">
        <v>301</v>
      </c>
      <c r="F130" s="29" t="s">
        <v>40</v>
      </c>
      <c r="G130" s="30" t="s">
        <v>41</v>
      </c>
      <c r="H130" s="31">
        <v>1696553186</v>
      </c>
      <c r="I130" s="31">
        <v>1764695186</v>
      </c>
      <c r="J130" s="32">
        <v>46</v>
      </c>
      <c r="K130" s="33">
        <v>45700</v>
      </c>
      <c r="L130" s="31">
        <v>5927900</v>
      </c>
      <c r="M130" s="32">
        <v>1.55</v>
      </c>
      <c r="N130" s="31" t="s">
        <v>35</v>
      </c>
      <c r="O130" s="33">
        <v>45699</v>
      </c>
      <c r="P130" s="34">
        <v>55637.73</v>
      </c>
      <c r="Q130" s="34">
        <v>52581.78</v>
      </c>
      <c r="R130" s="34">
        <v>46094.28</v>
      </c>
      <c r="S130" s="29"/>
      <c r="T130" s="33"/>
      <c r="U130" s="35" t="b">
        <v>0</v>
      </c>
      <c r="V130" s="35" t="b">
        <v>0</v>
      </c>
      <c r="W130" s="35" t="b">
        <v>0</v>
      </c>
      <c r="Y130" s="31" cm="1">
        <f t="array" ref="Y130">IF(LEFT(_xll.BDP($C130, VOLUME_AVG_10D), 4) = "#N/A", "",  _xll.BDP($C130, VOLUME_AVG_10D))</f>
        <v>76608.800000000003</v>
      </c>
      <c r="Z130" s="31" cm="1">
        <f t="array" ref="Z130">IF(LEFT(_xll.BDP($C130, VOLUME_AVG_30D), 4) = "#N/A", "",  _xll.BDP($C130, VOLUME_AVG_30D))</f>
        <v>55637.73</v>
      </c>
      <c r="AA130" s="31" cm="1">
        <f t="array" ref="AA130">IF(LEFT(_xll.BDP($C130, VOLUME_AVG_3M), 4) = "#N/A", "",  _xll.BDP($C130, VOLUME_AVG_3M))</f>
        <v>52581.78</v>
      </c>
      <c r="AB130" s="31" cm="1">
        <f t="array" ref="AB130">IF(LEFT(_xll.BDP($C130, VOLUME_AVG_6M), 4) = "#N/A", "",  _xll.BDP($C130, VOLUME_AVG_6M))</f>
        <v>46094.28</v>
      </c>
      <c r="AC130" s="31" cm="1">
        <f t="array" ref="AC130">IF(LEFT(_xll.BDP($C130, VOLUME_AVG_12M), 4) = "#N/A", "",  _xll.BDP($C130, VOLUME_AVG_12M))</f>
        <v>59819.8</v>
      </c>
      <c r="AD130" s="41" cm="1">
        <f t="array" ref="AD130">IF(LEFT(_xll.BDP($C130, LAST_PRICE), 4) = "#N/A", "",  _xll.BDP($C130, LAST_PRICE))</f>
        <v>46</v>
      </c>
    </row>
    <row r="131" spans="1:30" x14ac:dyDescent="0.35">
      <c r="A131" s="1">
        <f t="shared" si="1"/>
        <v>128</v>
      </c>
      <c r="B131" s="28">
        <v>45700</v>
      </c>
      <c r="C131" s="29" t="s">
        <v>302</v>
      </c>
      <c r="D131" s="29" t="s">
        <v>302</v>
      </c>
      <c r="E131" s="29" t="s">
        <v>303</v>
      </c>
      <c r="F131" s="29" t="s">
        <v>33</v>
      </c>
      <c r="G131" s="30" t="s">
        <v>34</v>
      </c>
      <c r="H131" s="31">
        <v>59162014.990887202</v>
      </c>
      <c r="I131" s="31">
        <v>57757803.990887202</v>
      </c>
      <c r="J131" s="32">
        <v>1.4400000572204601</v>
      </c>
      <c r="K131" s="33">
        <v>45700</v>
      </c>
      <c r="L131" s="31">
        <v>445000</v>
      </c>
      <c r="M131" s="32">
        <v>-6.75</v>
      </c>
      <c r="N131" s="31" t="s">
        <v>35</v>
      </c>
      <c r="O131" s="33">
        <v>45699</v>
      </c>
      <c r="P131" s="34">
        <v>23212.333984375</v>
      </c>
      <c r="Q131" s="34">
        <v>29174.791015625</v>
      </c>
      <c r="R131" s="34">
        <v>18689.4609375</v>
      </c>
      <c r="S131" s="29"/>
      <c r="T131" s="33"/>
      <c r="U131" s="35" t="b">
        <v>0</v>
      </c>
      <c r="V131" s="35" t="b">
        <v>0</v>
      </c>
      <c r="W131" s="35" t="b">
        <v>0</v>
      </c>
      <c r="Y131" s="31" cm="1">
        <f t="array" ref="Y131">IF(LEFT(_xll.BDP($C131, VOLUME_AVG_10D), 4) = "#N/A", "",  _xll.BDP($C131, VOLUME_AVG_10D))</f>
        <v>13048.2001953125</v>
      </c>
      <c r="Z131" s="31" cm="1">
        <f t="array" ref="Z131">IF(LEFT(_xll.BDP($C131, VOLUME_AVG_30D), 4) = "#N/A", "",  _xll.BDP($C131, VOLUME_AVG_30D))</f>
        <v>23212.333984375</v>
      </c>
      <c r="AA131" s="31" cm="1">
        <f t="array" ref="AA131">IF(LEFT(_xll.BDP($C131, VOLUME_AVG_3M), 4) = "#N/A", "",  _xll.BDP($C131, VOLUME_AVG_3M))</f>
        <v>29174.791015625</v>
      </c>
      <c r="AB131" s="31" cm="1">
        <f t="array" ref="AB131">IF(LEFT(_xll.BDP($C131, VOLUME_AVG_6M), 4) = "#N/A", "",  _xll.BDP($C131, VOLUME_AVG_6M))</f>
        <v>18689.4609375</v>
      </c>
      <c r="AC131" s="31" cm="1">
        <f t="array" ref="AC131">IF(LEFT(_xll.BDP($C131, VOLUME_AVG_12M), 4) = "#N/A", "",  _xll.BDP($C131, VOLUME_AVG_12M))</f>
        <v>12384.6298828125</v>
      </c>
      <c r="AD131" s="41" cm="1">
        <f t="array" ref="AD131">IF(LEFT(_xll.BDP($C131, LAST_PRICE), 4) = "#N/A", "",  _xll.BDP($C131, LAST_PRICE))</f>
        <v>1.44</v>
      </c>
    </row>
    <row r="132" spans="1:30" x14ac:dyDescent="0.35">
      <c r="A132" s="1">
        <f t="shared" si="1"/>
        <v>129</v>
      </c>
      <c r="B132" s="28">
        <v>45700</v>
      </c>
      <c r="C132" s="29" t="s">
        <v>304</v>
      </c>
      <c r="D132" s="29" t="s">
        <v>304</v>
      </c>
      <c r="E132" s="29" t="s">
        <v>305</v>
      </c>
      <c r="F132" s="29" t="s">
        <v>33</v>
      </c>
      <c r="G132" s="30" t="s">
        <v>34</v>
      </c>
      <c r="H132" s="31">
        <v>423068984.50771099</v>
      </c>
      <c r="I132" s="31">
        <v>378847984.50771099</v>
      </c>
      <c r="J132" s="32">
        <v>10.454999923706101</v>
      </c>
      <c r="K132" s="33">
        <v>45700</v>
      </c>
      <c r="L132" s="31">
        <v>12378200</v>
      </c>
      <c r="M132" s="32">
        <v>3.88</v>
      </c>
      <c r="N132" s="31" t="s">
        <v>35</v>
      </c>
      <c r="O132" s="33">
        <v>45699</v>
      </c>
      <c r="P132" s="34">
        <v>865816.4375</v>
      </c>
      <c r="Q132" s="34">
        <v>690712.6875</v>
      </c>
      <c r="R132" s="34">
        <v>583577.625</v>
      </c>
      <c r="S132" s="29"/>
      <c r="T132" s="33"/>
      <c r="U132" s="35" t="b">
        <v>0</v>
      </c>
      <c r="V132" s="35" t="b">
        <v>0</v>
      </c>
      <c r="W132" s="35" t="b">
        <v>0</v>
      </c>
      <c r="Y132" s="31" cm="1">
        <f t="array" ref="Y132">IF(LEFT(_xll.BDP($C132, VOLUME_AVG_10D), 4) = "#N/A", "",  _xll.BDP($C132, VOLUME_AVG_10D))</f>
        <v>692714.875</v>
      </c>
      <c r="Z132" s="31" cm="1">
        <f t="array" ref="Z132">IF(LEFT(_xll.BDP($C132, VOLUME_AVG_30D), 4) = "#N/A", "",  _xll.BDP($C132, VOLUME_AVG_30D))</f>
        <v>865816.4375</v>
      </c>
      <c r="AA132" s="31" cm="1">
        <f t="array" ref="AA132">IF(LEFT(_xll.BDP($C132, VOLUME_AVG_3M), 4) = "#N/A", "",  _xll.BDP($C132, VOLUME_AVG_3M))</f>
        <v>690712.6875</v>
      </c>
      <c r="AB132" s="31" cm="1">
        <f t="array" ref="AB132">IF(LEFT(_xll.BDP($C132, VOLUME_AVG_6M), 4) = "#N/A", "",  _xll.BDP($C132, VOLUME_AVG_6M))</f>
        <v>583577.625</v>
      </c>
      <c r="AC132" s="31" cm="1">
        <f t="array" ref="AC132">IF(LEFT(_xll.BDP($C132, VOLUME_AVG_12M), 4) = "#N/A", "",  _xll.BDP($C132, VOLUME_AVG_12M))</f>
        <v>563217.625</v>
      </c>
      <c r="AD132" s="41" cm="1">
        <f t="array" ref="AD132">IF(LEFT(_xll.BDP($C132, LAST_PRICE), 4) = "#N/A", "",  _xll.BDP($C132, LAST_PRICE))</f>
        <v>10.455</v>
      </c>
    </row>
    <row r="133" spans="1:30" x14ac:dyDescent="0.35">
      <c r="A133" s="1">
        <f t="shared" si="1"/>
        <v>130</v>
      </c>
      <c r="B133" s="28">
        <v>45700</v>
      </c>
      <c r="C133" s="29" t="s">
        <v>306</v>
      </c>
      <c r="D133" s="29" t="s">
        <v>306</v>
      </c>
      <c r="E133" s="29" t="s">
        <v>307</v>
      </c>
      <c r="F133" s="29" t="s">
        <v>33</v>
      </c>
      <c r="G133" s="30" t="s">
        <v>34</v>
      </c>
      <c r="H133" s="31">
        <v>1254989181.9374299</v>
      </c>
      <c r="I133" s="31">
        <v>1446629181.9374299</v>
      </c>
      <c r="J133" s="32">
        <v>59.680000305175803</v>
      </c>
      <c r="K133" s="33">
        <v>45700</v>
      </c>
      <c r="L133" s="31">
        <v>5593200</v>
      </c>
      <c r="M133" s="32">
        <v>3.88</v>
      </c>
      <c r="N133" s="31" t="s">
        <v>35</v>
      </c>
      <c r="O133" s="33">
        <v>45699</v>
      </c>
      <c r="P133" s="34">
        <v>193300</v>
      </c>
      <c r="Q133" s="34">
        <v>242258.5</v>
      </c>
      <c r="R133" s="34">
        <v>276779.5625</v>
      </c>
      <c r="S133" s="29" t="s">
        <v>285</v>
      </c>
      <c r="T133" s="33">
        <v>45446</v>
      </c>
      <c r="U133" s="35" t="b">
        <v>0</v>
      </c>
      <c r="V133" s="35" t="b">
        <v>0</v>
      </c>
      <c r="W133" s="35" t="b">
        <v>0</v>
      </c>
      <c r="Y133" s="31" cm="1">
        <f t="array" ref="Y133">IF(LEFT(_xll.BDP($C133, VOLUME_AVG_10D), 4) = "#N/A", "",  _xll.BDP($C133, VOLUME_AVG_10D))</f>
        <v>205730.59375</v>
      </c>
      <c r="Z133" s="31" cm="1">
        <f t="array" ref="Z133">IF(LEFT(_xll.BDP($C133, VOLUME_AVG_30D), 4) = "#N/A", "",  _xll.BDP($C133, VOLUME_AVG_30D))</f>
        <v>193300</v>
      </c>
      <c r="AA133" s="31" cm="1">
        <f t="array" ref="AA133">IF(LEFT(_xll.BDP($C133, VOLUME_AVG_3M), 4) = "#N/A", "",  _xll.BDP($C133, VOLUME_AVG_3M))</f>
        <v>242258.5</v>
      </c>
      <c r="AB133" s="31" cm="1">
        <f t="array" ref="AB133">IF(LEFT(_xll.BDP($C133, VOLUME_AVG_6M), 4) = "#N/A", "",  _xll.BDP($C133, VOLUME_AVG_6M))</f>
        <v>276779.5625</v>
      </c>
      <c r="AC133" s="31" cm="1">
        <f t="array" ref="AC133">IF(LEFT(_xll.BDP($C133, VOLUME_AVG_12M), 4) = "#N/A", "",  _xll.BDP($C133, VOLUME_AVG_12M))</f>
        <v>235245.859375</v>
      </c>
      <c r="AD133" s="41" cm="1">
        <f t="array" ref="AD133">IF(LEFT(_xll.BDP($C133, LAST_PRICE), 4) = "#N/A", "",  _xll.BDP($C133, LAST_PRICE))</f>
        <v>59.68</v>
      </c>
    </row>
    <row r="134" spans="1:30" x14ac:dyDescent="0.35">
      <c r="A134" s="1">
        <f t="shared" ref="A134:A197" si="2">IF(B134="","", A133+1)</f>
        <v>131</v>
      </c>
      <c r="B134" s="28">
        <v>45700</v>
      </c>
      <c r="C134" s="29" t="s">
        <v>308</v>
      </c>
      <c r="D134" s="29" t="s">
        <v>308</v>
      </c>
      <c r="E134" s="29" t="s">
        <v>309</v>
      </c>
      <c r="F134" s="29" t="s">
        <v>33</v>
      </c>
      <c r="G134" s="30" t="s">
        <v>34</v>
      </c>
      <c r="H134" s="31">
        <v>257908954.49896199</v>
      </c>
      <c r="I134" s="31">
        <v>223074954.49896199</v>
      </c>
      <c r="J134" s="32">
        <v>17.610000610351602</v>
      </c>
      <c r="K134" s="33">
        <v>45700</v>
      </c>
      <c r="L134" s="31">
        <v>3261500</v>
      </c>
      <c r="M134" s="32">
        <v>3.88</v>
      </c>
      <c r="N134" s="31" t="s">
        <v>35</v>
      </c>
      <c r="O134" s="33">
        <v>45699</v>
      </c>
      <c r="P134" s="34">
        <v>63706.43359375</v>
      </c>
      <c r="Q134" s="34">
        <v>83872.3515625</v>
      </c>
      <c r="R134" s="34">
        <v>77397.6328125</v>
      </c>
      <c r="S134" s="29" t="s">
        <v>310</v>
      </c>
      <c r="T134" s="33">
        <v>45446</v>
      </c>
      <c r="U134" s="35" t="b">
        <v>0</v>
      </c>
      <c r="V134" s="35" t="b">
        <v>0</v>
      </c>
      <c r="W134" s="35" t="b">
        <v>0</v>
      </c>
      <c r="Y134" s="31" cm="1">
        <f t="array" ref="Y134">IF(LEFT(_xll.BDP($C134, VOLUME_AVG_10D), 4) = "#N/A", "",  _xll.BDP($C134, VOLUME_AVG_10D))</f>
        <v>63390.5</v>
      </c>
      <c r="Z134" s="31" cm="1">
        <f t="array" ref="Z134">IF(LEFT(_xll.BDP($C134, VOLUME_AVG_30D), 4) = "#N/A", "",  _xll.BDP($C134, VOLUME_AVG_30D))</f>
        <v>63706.43359375</v>
      </c>
      <c r="AA134" s="31" cm="1">
        <f t="array" ref="AA134">IF(LEFT(_xll.BDP($C134, VOLUME_AVG_3M), 4) = "#N/A", "",  _xll.BDP($C134, VOLUME_AVG_3M))</f>
        <v>83872.3515625</v>
      </c>
      <c r="AB134" s="31" cm="1">
        <f t="array" ref="AB134">IF(LEFT(_xll.BDP($C134, VOLUME_AVG_6M), 4) = "#N/A", "",  _xll.BDP($C134, VOLUME_AVG_6M))</f>
        <v>77397.6328125</v>
      </c>
      <c r="AC134" s="31" cm="1">
        <f t="array" ref="AC134">IF(LEFT(_xll.BDP($C134, VOLUME_AVG_12M), 4) = "#N/A", "",  _xll.BDP($C134, VOLUME_AVG_12M))</f>
        <v>71568</v>
      </c>
      <c r="AD134" s="41" cm="1">
        <f t="array" ref="AD134">IF(LEFT(_xll.BDP($C134, LAST_PRICE), 4) = "#N/A", "",  _xll.BDP($C134, LAST_PRICE))</f>
        <v>17.61</v>
      </c>
    </row>
    <row r="135" spans="1:30" x14ac:dyDescent="0.35">
      <c r="A135" s="1">
        <f t="shared" si="2"/>
        <v>132</v>
      </c>
      <c r="B135" s="28">
        <v>45700</v>
      </c>
      <c r="C135" s="29" t="s">
        <v>311</v>
      </c>
      <c r="D135" s="29" t="s">
        <v>311</v>
      </c>
      <c r="E135" s="29" t="s">
        <v>312</v>
      </c>
      <c r="F135" s="29" t="s">
        <v>33</v>
      </c>
      <c r="G135" s="30" t="s">
        <v>34</v>
      </c>
      <c r="H135" s="31">
        <v>101098150.057585</v>
      </c>
      <c r="I135" s="31">
        <v>80296150.057585195</v>
      </c>
      <c r="J135" s="32">
        <v>3.1400001049041699</v>
      </c>
      <c r="K135" s="33">
        <v>45700</v>
      </c>
      <c r="L135" s="31">
        <v>2393900</v>
      </c>
      <c r="M135" s="32">
        <v>3.88</v>
      </c>
      <c r="N135" s="31" t="s">
        <v>35</v>
      </c>
      <c r="O135" s="33">
        <v>45699</v>
      </c>
      <c r="P135" s="34">
        <v>136423.0625</v>
      </c>
      <c r="Q135" s="34">
        <v>117313.2734375</v>
      </c>
      <c r="R135" s="34">
        <v>95529.515625</v>
      </c>
      <c r="S135" s="29" t="s">
        <v>46</v>
      </c>
      <c r="T135" s="33">
        <v>45215</v>
      </c>
      <c r="U135" s="35" t="b">
        <v>0</v>
      </c>
      <c r="V135" s="35" t="b">
        <v>0</v>
      </c>
      <c r="W135" s="35" t="b">
        <v>0</v>
      </c>
      <c r="Y135" s="31" cm="1">
        <f t="array" ref="Y135">IF(LEFT(_xll.BDP($C135, VOLUME_AVG_10D), 4) = "#N/A", "",  _xll.BDP($C135, VOLUME_AVG_10D))</f>
        <v>114056.6015625</v>
      </c>
      <c r="Z135" s="31" cm="1">
        <f t="array" ref="Z135">IF(LEFT(_xll.BDP($C135, VOLUME_AVG_30D), 4) = "#N/A", "",  _xll.BDP($C135, VOLUME_AVG_30D))</f>
        <v>136423.0625</v>
      </c>
      <c r="AA135" s="31" cm="1">
        <f t="array" ref="AA135">IF(LEFT(_xll.BDP($C135, VOLUME_AVG_3M), 4) = "#N/A", "",  _xll.BDP($C135, VOLUME_AVG_3M))</f>
        <v>117313.2734375</v>
      </c>
      <c r="AB135" s="31" cm="1">
        <f t="array" ref="AB135">IF(LEFT(_xll.BDP($C135, VOLUME_AVG_6M), 4) = "#N/A", "",  _xll.BDP($C135, VOLUME_AVG_6M))</f>
        <v>95529.515625</v>
      </c>
      <c r="AC135" s="31" cm="1">
        <f t="array" ref="AC135">IF(LEFT(_xll.BDP($C135, VOLUME_AVG_12M), 4) = "#N/A", "",  _xll.BDP($C135, VOLUME_AVG_12M))</f>
        <v>104172.6171875</v>
      </c>
      <c r="AD135" s="41" cm="1">
        <f t="array" ref="AD135">IF(LEFT(_xll.BDP($C135, LAST_PRICE), 4) = "#N/A", "",  _xll.BDP($C135, LAST_PRICE))</f>
        <v>3.14</v>
      </c>
    </row>
    <row r="136" spans="1:30" x14ac:dyDescent="0.35">
      <c r="A136" s="1">
        <f t="shared" si="2"/>
        <v>133</v>
      </c>
      <c r="B136" s="28">
        <v>45700</v>
      </c>
      <c r="C136" s="29" t="s">
        <v>313</v>
      </c>
      <c r="D136" s="29" t="s">
        <v>313</v>
      </c>
      <c r="E136" s="29" t="s">
        <v>314</v>
      </c>
      <c r="F136" s="29" t="s">
        <v>33</v>
      </c>
      <c r="G136" s="30" t="s">
        <v>34</v>
      </c>
      <c r="H136" s="31">
        <v>319780515</v>
      </c>
      <c r="I136" s="31">
        <v>9271515</v>
      </c>
      <c r="J136" s="32">
        <v>3</v>
      </c>
      <c r="K136" s="33">
        <v>45700</v>
      </c>
      <c r="L136" s="31">
        <v>21000000</v>
      </c>
      <c r="M136" s="32">
        <v>3.88</v>
      </c>
      <c r="N136" s="31" t="s">
        <v>35</v>
      </c>
      <c r="O136" s="33">
        <v>45699</v>
      </c>
      <c r="P136" s="34">
        <v>1389118.125</v>
      </c>
      <c r="Q136" s="34">
        <v>1432919.625</v>
      </c>
      <c r="R136" s="34">
        <v>1355708.625</v>
      </c>
      <c r="S136" s="29" t="s">
        <v>73</v>
      </c>
      <c r="T136" s="33">
        <v>45446</v>
      </c>
      <c r="U136" s="35" t="b">
        <v>0</v>
      </c>
      <c r="V136" s="35" t="b">
        <v>0</v>
      </c>
      <c r="W136" s="35" t="b">
        <v>0</v>
      </c>
      <c r="Y136" s="31" cm="1">
        <f t="array" ref="Y136">IF(LEFT(_xll.BDP($C136, VOLUME_AVG_10D), 4) = "#N/A", "",  _xll.BDP($C136, VOLUME_AVG_10D))</f>
        <v>1272033</v>
      </c>
      <c r="Z136" s="31" cm="1">
        <f t="array" ref="Z136">IF(LEFT(_xll.BDP($C136, VOLUME_AVG_30D), 4) = "#N/A", "",  _xll.BDP($C136, VOLUME_AVG_30D))</f>
        <v>1389118.125</v>
      </c>
      <c r="AA136" s="31" cm="1">
        <f t="array" ref="AA136">IF(LEFT(_xll.BDP($C136, VOLUME_AVG_3M), 4) = "#N/A", "",  _xll.BDP($C136, VOLUME_AVG_3M))</f>
        <v>1432919.625</v>
      </c>
      <c r="AB136" s="31" cm="1">
        <f t="array" ref="AB136">IF(LEFT(_xll.BDP($C136, VOLUME_AVG_6M), 4) = "#N/A", "",  _xll.BDP($C136, VOLUME_AVG_6M))</f>
        <v>1355708.625</v>
      </c>
      <c r="AC136" s="31" cm="1">
        <f t="array" ref="AC136">IF(LEFT(_xll.BDP($C136, VOLUME_AVG_12M), 4) = "#N/A", "",  _xll.BDP($C136, VOLUME_AVG_12M))</f>
        <v>1828877.125</v>
      </c>
      <c r="AD136" s="41" cm="1">
        <f t="array" ref="AD136">IF(LEFT(_xll.BDP($C136, LAST_PRICE), 4) = "#N/A", "",  _xll.BDP($C136, LAST_PRICE))</f>
        <v>3</v>
      </c>
    </row>
    <row r="137" spans="1:30" x14ac:dyDescent="0.35">
      <c r="A137" s="1">
        <f t="shared" si="2"/>
        <v>134</v>
      </c>
      <c r="B137" s="28">
        <v>45700</v>
      </c>
      <c r="C137" s="29" t="s">
        <v>315</v>
      </c>
      <c r="D137" s="29" t="s">
        <v>315</v>
      </c>
      <c r="E137" s="29" t="s">
        <v>316</v>
      </c>
      <c r="F137" s="29" t="s">
        <v>33</v>
      </c>
      <c r="G137" s="30" t="s">
        <v>34</v>
      </c>
      <c r="H137" s="31">
        <v>50274474.493318602</v>
      </c>
      <c r="I137" s="31">
        <v>37637844.493318602</v>
      </c>
      <c r="J137" s="32">
        <v>2.5799999237060498</v>
      </c>
      <c r="K137" s="33">
        <v>45700</v>
      </c>
      <c r="L137" s="31">
        <v>90800</v>
      </c>
      <c r="M137" s="32">
        <v>-12.8</v>
      </c>
      <c r="N137" s="31" t="s">
        <v>35</v>
      </c>
      <c r="O137" s="33">
        <v>45699</v>
      </c>
      <c r="P137" s="34">
        <v>625161.875</v>
      </c>
      <c r="Q137" s="34">
        <v>454052.84375</v>
      </c>
      <c r="R137" s="34">
        <v>342746.8125</v>
      </c>
      <c r="S137" s="29"/>
      <c r="T137" s="33"/>
      <c r="U137" s="35" t="b">
        <v>0</v>
      </c>
      <c r="V137" s="35" t="b">
        <v>0</v>
      </c>
      <c r="W137" s="35" t="b">
        <v>0</v>
      </c>
      <c r="Y137" s="31" cm="1">
        <f t="array" ref="Y137">IF(LEFT(_xll.BDP($C137, VOLUME_AVG_10D), 4) = "#N/A", "",  _xll.BDP($C137, VOLUME_AVG_10D))</f>
        <v>959604.6875</v>
      </c>
      <c r="Z137" s="31" cm="1">
        <f t="array" ref="Z137">IF(LEFT(_xll.BDP($C137, VOLUME_AVG_30D), 4) = "#N/A", "",  _xll.BDP($C137, VOLUME_AVG_30D))</f>
        <v>625161.875</v>
      </c>
      <c r="AA137" s="31" cm="1">
        <f t="array" ref="AA137">IF(LEFT(_xll.BDP($C137, VOLUME_AVG_3M), 4) = "#N/A", "",  _xll.BDP($C137, VOLUME_AVG_3M))</f>
        <v>454052.84375</v>
      </c>
      <c r="AB137" s="31" cm="1">
        <f t="array" ref="AB137">IF(LEFT(_xll.BDP($C137, VOLUME_AVG_6M), 4) = "#N/A", "",  _xll.BDP($C137, VOLUME_AVG_6M))</f>
        <v>342746.8125</v>
      </c>
      <c r="AC137" s="31" cm="1">
        <f t="array" ref="AC137">IF(LEFT(_xll.BDP($C137, VOLUME_AVG_12M), 4) = "#N/A", "",  _xll.BDP($C137, VOLUME_AVG_12M))</f>
        <v>745095.5625</v>
      </c>
      <c r="AD137" s="41" cm="1">
        <f t="array" ref="AD137">IF(LEFT(_xll.BDP($C137, LAST_PRICE), 4) = "#N/A", "",  _xll.BDP($C137, LAST_PRICE))</f>
        <v>2.58</v>
      </c>
    </row>
    <row r="138" spans="1:30" x14ac:dyDescent="0.35">
      <c r="A138" s="1">
        <f t="shared" si="2"/>
        <v>135</v>
      </c>
      <c r="B138" s="28">
        <v>45700</v>
      </c>
      <c r="C138" s="29" t="s">
        <v>317</v>
      </c>
      <c r="D138" s="29" t="s">
        <v>317</v>
      </c>
      <c r="E138" s="29" t="s">
        <v>318</v>
      </c>
      <c r="F138" s="29" t="s">
        <v>33</v>
      </c>
      <c r="G138" s="30" t="s">
        <v>34</v>
      </c>
      <c r="H138" s="31">
        <v>293628299.46199</v>
      </c>
      <c r="I138" s="31">
        <v>287586664.29899001</v>
      </c>
      <c r="J138" s="32">
        <v>8.1700000762939506</v>
      </c>
      <c r="K138" s="33">
        <v>45700</v>
      </c>
      <c r="L138" s="31">
        <v>1808000</v>
      </c>
      <c r="M138" s="32">
        <v>3.88</v>
      </c>
      <c r="N138" s="31" t="s">
        <v>35</v>
      </c>
      <c r="O138" s="33">
        <v>45699</v>
      </c>
      <c r="P138" s="34">
        <v>140373.703125</v>
      </c>
      <c r="Q138" s="34"/>
      <c r="R138" s="34"/>
      <c r="S138" s="29"/>
      <c r="T138" s="33"/>
      <c r="U138" s="35" t="b">
        <v>0</v>
      </c>
      <c r="V138" s="35" t="b">
        <v>0</v>
      </c>
      <c r="W138" s="35" t="b">
        <v>0</v>
      </c>
      <c r="Y138" s="31" cm="1">
        <f t="array" ref="Y138">IF(LEFT(_xll.BDP($C138, VOLUME_AVG_10D), 4) = "#N/A", "",  _xll.BDP($C138, VOLUME_AVG_10D))</f>
        <v>112652.6015625</v>
      </c>
      <c r="Z138" s="31" cm="1">
        <f t="array" ref="Z138">IF(LEFT(_xll.BDP($C138, VOLUME_AVG_30D), 4) = "#N/A", "",  _xll.BDP($C138, VOLUME_AVG_30D))</f>
        <v>140373.703125</v>
      </c>
      <c r="AA138" s="31" t="str" cm="1">
        <f t="array" ref="AA138">IF(LEFT(_xll.BDP($C138, VOLUME_AVG_3M), 4) = "#N/A", "",  _xll.BDP($C138, VOLUME_AVG_3M))</f>
        <v/>
      </c>
      <c r="AB138" s="31" t="str" cm="1">
        <f t="array" ref="AB138">IF(LEFT(_xll.BDP($C138, VOLUME_AVG_6M), 4) = "#N/A", "",  _xll.BDP($C138, VOLUME_AVG_6M))</f>
        <v/>
      </c>
      <c r="AC138" s="31" t="str" cm="1">
        <f t="array" ref="AC138">IF(LEFT(_xll.BDP($C138, VOLUME_AVG_12M), 4) = "#N/A", "",  _xll.BDP($C138, VOLUME_AVG_12M))</f>
        <v/>
      </c>
      <c r="AD138" s="41" cm="1">
        <f t="array" ref="AD138">IF(LEFT(_xll.BDP($C138, LAST_PRICE), 4) = "#N/A", "",  _xll.BDP($C138, LAST_PRICE))</f>
        <v>8.17</v>
      </c>
    </row>
    <row r="139" spans="1:30" x14ac:dyDescent="0.35">
      <c r="A139" s="1">
        <f t="shared" si="2"/>
        <v>136</v>
      </c>
      <c r="B139" s="28">
        <v>45700</v>
      </c>
      <c r="C139" s="29" t="s">
        <v>319</v>
      </c>
      <c r="D139" s="29" t="s">
        <v>319</v>
      </c>
      <c r="E139" s="29" t="s">
        <v>320</v>
      </c>
      <c r="F139" s="29" t="s">
        <v>33</v>
      </c>
      <c r="G139" s="30" t="s">
        <v>34</v>
      </c>
      <c r="H139" s="31"/>
      <c r="I139" s="31"/>
      <c r="J139" s="32">
        <v>9.9999999747524292E-7</v>
      </c>
      <c r="K139" s="33">
        <v>45700</v>
      </c>
      <c r="L139" s="31"/>
      <c r="M139" s="32"/>
      <c r="N139" s="31"/>
      <c r="O139" s="33">
        <v>45699</v>
      </c>
      <c r="P139" s="34">
        <v>1709</v>
      </c>
      <c r="Q139" s="34">
        <v>4262.75830078125</v>
      </c>
      <c r="R139" s="34">
        <v>4125.619140625</v>
      </c>
      <c r="S139" s="29"/>
      <c r="T139" s="33"/>
      <c r="U139" s="35" t="b">
        <v>1</v>
      </c>
      <c r="V139" s="35" t="b">
        <v>1</v>
      </c>
      <c r="W139" s="35" t="b">
        <v>1</v>
      </c>
      <c r="Y139" s="31" cm="1">
        <f t="array" ref="Y139">IF(LEFT(_xll.BDP($C139, VOLUME_AVG_10D), 4) = "#N/A", "",  _xll.BDP($C139, VOLUME_AVG_10D))</f>
        <v>356.20001220703125</v>
      </c>
      <c r="Z139" s="31" cm="1">
        <f t="array" ref="Z139">IF(LEFT(_xll.BDP($C139, VOLUME_AVG_30D), 4) = "#N/A", "",  _xll.BDP($C139, VOLUME_AVG_30D))</f>
        <v>1709</v>
      </c>
      <c r="AA139" s="31" cm="1">
        <f t="array" ref="AA139">IF(LEFT(_xll.BDP($C139, VOLUME_AVG_3M), 4) = "#N/A", "",  _xll.BDP($C139, VOLUME_AVG_3M))</f>
        <v>4262.75830078125</v>
      </c>
      <c r="AB139" s="31" cm="1">
        <f t="array" ref="AB139">IF(LEFT(_xll.BDP($C139, VOLUME_AVG_6M), 4) = "#N/A", "",  _xll.BDP($C139, VOLUME_AVG_6M))</f>
        <v>4125.619140625</v>
      </c>
      <c r="AC139" s="31" cm="1">
        <f t="array" ref="AC139">IF(LEFT(_xll.BDP($C139, VOLUME_AVG_12M), 4) = "#N/A", "",  _xll.BDP($C139, VOLUME_AVG_12M))</f>
        <v>2209.701171875</v>
      </c>
      <c r="AD139" s="41" cm="1">
        <f t="array" ref="AD139">IF(LEFT(_xll.BDP($C139, LAST_PRICE), 4) = "#N/A", "",  _xll.BDP($C139, LAST_PRICE))</f>
        <v>9.9999999999999995E-7</v>
      </c>
    </row>
    <row r="140" spans="1:30" x14ac:dyDescent="0.35">
      <c r="A140" s="1">
        <f t="shared" si="2"/>
        <v>137</v>
      </c>
      <c r="B140" s="28">
        <v>45700</v>
      </c>
      <c r="C140" s="29" t="s">
        <v>321</v>
      </c>
      <c r="D140" s="29" t="s">
        <v>321</v>
      </c>
      <c r="E140" s="29" t="s">
        <v>322</v>
      </c>
      <c r="F140" s="29" t="s">
        <v>33</v>
      </c>
      <c r="G140" s="30" t="s">
        <v>34</v>
      </c>
      <c r="H140" s="31">
        <v>571568.94972443802</v>
      </c>
      <c r="I140" s="31">
        <v>20193114.949724399</v>
      </c>
      <c r="J140" s="32">
        <v>7.49999983236194E-3</v>
      </c>
      <c r="K140" s="33">
        <v>45700</v>
      </c>
      <c r="L140" s="31">
        <v>382700</v>
      </c>
      <c r="M140" s="32">
        <v>-7.1</v>
      </c>
      <c r="N140" s="31" t="s">
        <v>35</v>
      </c>
      <c r="O140" s="33">
        <v>45699</v>
      </c>
      <c r="P140" s="34">
        <v>39885.16796875</v>
      </c>
      <c r="Q140" s="34">
        <v>32887.7109375</v>
      </c>
      <c r="R140" s="34">
        <v>25343.919921875</v>
      </c>
      <c r="S140" s="29"/>
      <c r="T140" s="33"/>
      <c r="U140" s="35" t="b">
        <v>1</v>
      </c>
      <c r="V140" s="35" t="b">
        <v>1</v>
      </c>
      <c r="W140" s="35" t="b">
        <v>0</v>
      </c>
      <c r="Y140" s="31" cm="1">
        <f t="array" ref="Y140">IF(LEFT(_xll.BDP($C140, VOLUME_AVG_10D), 4) = "#N/A", "",  _xll.BDP($C140, VOLUME_AVG_10D))</f>
        <v>21727.099609375</v>
      </c>
      <c r="Z140" s="31" cm="1">
        <f t="array" ref="Z140">IF(LEFT(_xll.BDP($C140, VOLUME_AVG_30D), 4) = "#N/A", "",  _xll.BDP($C140, VOLUME_AVG_30D))</f>
        <v>39885.16796875</v>
      </c>
      <c r="AA140" s="31" cm="1">
        <f t="array" ref="AA140">IF(LEFT(_xll.BDP($C140, VOLUME_AVG_3M), 4) = "#N/A", "",  _xll.BDP($C140, VOLUME_AVG_3M))</f>
        <v>32887.7109375</v>
      </c>
      <c r="AB140" s="31" cm="1">
        <f t="array" ref="AB140">IF(LEFT(_xll.BDP($C140, VOLUME_AVG_6M), 4) = "#N/A", "",  _xll.BDP($C140, VOLUME_AVG_6M))</f>
        <v>25343.919921875</v>
      </c>
      <c r="AC140" s="31" cm="1">
        <f t="array" ref="AC140">IF(LEFT(_xll.BDP($C140, VOLUME_AVG_12M), 4) = "#N/A", "",  _xll.BDP($C140, VOLUME_AVG_12M))</f>
        <v>17489.064453125</v>
      </c>
      <c r="AD140" s="41" cm="1">
        <f t="array" ref="AD140">IF(LEFT(_xll.BDP($C140, LAST_PRICE), 4) = "#N/A", "",  _xll.BDP($C140, LAST_PRICE))</f>
        <v>7.4999999999999997E-3</v>
      </c>
    </row>
    <row r="141" spans="1:30" x14ac:dyDescent="0.35">
      <c r="A141" s="1">
        <f t="shared" si="2"/>
        <v>138</v>
      </c>
      <c r="B141" s="28">
        <v>45700</v>
      </c>
      <c r="C141" s="29" t="s">
        <v>323</v>
      </c>
      <c r="D141" s="29" t="s">
        <v>323</v>
      </c>
      <c r="E141" s="29" t="s">
        <v>324</v>
      </c>
      <c r="F141" s="29" t="s">
        <v>33</v>
      </c>
      <c r="G141" s="30" t="s">
        <v>34</v>
      </c>
      <c r="H141" s="31">
        <v>3546444943.1413002</v>
      </c>
      <c r="I141" s="31">
        <v>3620028943.1413002</v>
      </c>
      <c r="J141" s="32">
        <v>28.5100002288818</v>
      </c>
      <c r="K141" s="33">
        <v>45700</v>
      </c>
      <c r="L141" s="31">
        <v>39568400</v>
      </c>
      <c r="M141" s="32">
        <v>3.88</v>
      </c>
      <c r="N141" s="31" t="s">
        <v>35</v>
      </c>
      <c r="O141" s="33">
        <v>45699</v>
      </c>
      <c r="P141" s="34">
        <v>1811191.125</v>
      </c>
      <c r="Q141" s="34">
        <v>2599860</v>
      </c>
      <c r="R141" s="34">
        <v>2501041.75</v>
      </c>
      <c r="S141" s="29" t="s">
        <v>49</v>
      </c>
      <c r="T141" s="33">
        <v>45446</v>
      </c>
      <c r="U141" s="35" t="b">
        <v>0</v>
      </c>
      <c r="V141" s="35" t="b">
        <v>0</v>
      </c>
      <c r="W141" s="35" t="b">
        <v>0</v>
      </c>
      <c r="Y141" s="31" cm="1">
        <f t="array" ref="Y141">IF(LEFT(_xll.BDP($C141, VOLUME_AVG_10D), 4) = "#N/A", "",  _xll.BDP($C141, VOLUME_AVG_10D))</f>
        <v>1362584.375</v>
      </c>
      <c r="Z141" s="31" cm="1">
        <f t="array" ref="Z141">IF(LEFT(_xll.BDP($C141, VOLUME_AVG_30D), 4) = "#N/A", "",  _xll.BDP($C141, VOLUME_AVG_30D))</f>
        <v>1811191.125</v>
      </c>
      <c r="AA141" s="31" cm="1">
        <f t="array" ref="AA141">IF(LEFT(_xll.BDP($C141, VOLUME_AVG_3M), 4) = "#N/A", "",  _xll.BDP($C141, VOLUME_AVG_3M))</f>
        <v>2599860</v>
      </c>
      <c r="AB141" s="31" cm="1">
        <f t="array" ref="AB141">IF(LEFT(_xll.BDP($C141, VOLUME_AVG_6M), 4) = "#N/A", "",  _xll.BDP($C141, VOLUME_AVG_6M))</f>
        <v>2501041.75</v>
      </c>
      <c r="AC141" s="31" cm="1">
        <f t="array" ref="AC141">IF(LEFT(_xll.BDP($C141, VOLUME_AVG_12M), 4) = "#N/A", "",  _xll.BDP($C141, VOLUME_AVG_12M))</f>
        <v>1987448.25</v>
      </c>
      <c r="AD141" s="41" cm="1">
        <f t="array" ref="AD141">IF(LEFT(_xll.BDP($C141, LAST_PRICE), 4) = "#N/A", "",  _xll.BDP($C141, LAST_PRICE))</f>
        <v>28.51</v>
      </c>
    </row>
    <row r="142" spans="1:30" x14ac:dyDescent="0.35">
      <c r="A142" s="1">
        <f t="shared" si="2"/>
        <v>139</v>
      </c>
      <c r="B142" s="28">
        <v>45700</v>
      </c>
      <c r="C142" s="29" t="s">
        <v>325</v>
      </c>
      <c r="D142" s="29" t="s">
        <v>325</v>
      </c>
      <c r="E142" s="29" t="s">
        <v>326</v>
      </c>
      <c r="F142" s="29" t="s">
        <v>33</v>
      </c>
      <c r="G142" s="30" t="s">
        <v>34</v>
      </c>
      <c r="H142" s="31">
        <v>2077218529</v>
      </c>
      <c r="I142" s="31">
        <v>1335563529</v>
      </c>
      <c r="J142" s="32">
        <v>35.5</v>
      </c>
      <c r="K142" s="33">
        <v>45700</v>
      </c>
      <c r="L142" s="31">
        <v>10863500</v>
      </c>
      <c r="M142" s="32">
        <v>3.88</v>
      </c>
      <c r="N142" s="31" t="s">
        <v>35</v>
      </c>
      <c r="O142" s="33">
        <v>45699</v>
      </c>
      <c r="P142" s="34">
        <v>515292.09375</v>
      </c>
      <c r="Q142" s="34">
        <v>523012.875</v>
      </c>
      <c r="R142" s="34">
        <v>457964.0625</v>
      </c>
      <c r="S142" s="29" t="s">
        <v>73</v>
      </c>
      <c r="T142" s="33">
        <v>45446</v>
      </c>
      <c r="U142" s="35" t="b">
        <v>0</v>
      </c>
      <c r="V142" s="35" t="b">
        <v>0</v>
      </c>
      <c r="W142" s="35" t="b">
        <v>0</v>
      </c>
      <c r="Y142" s="31" cm="1">
        <f t="array" ref="Y142">IF(LEFT(_xll.BDP($C142, VOLUME_AVG_10D), 4) = "#N/A", "",  _xll.BDP($C142, VOLUME_AVG_10D))</f>
        <v>502164.90625</v>
      </c>
      <c r="Z142" s="31" cm="1">
        <f t="array" ref="Z142">IF(LEFT(_xll.BDP($C142, VOLUME_AVG_30D), 4) = "#N/A", "",  _xll.BDP($C142, VOLUME_AVG_30D))</f>
        <v>515292.09375</v>
      </c>
      <c r="AA142" s="31" cm="1">
        <f t="array" ref="AA142">IF(LEFT(_xll.BDP($C142, VOLUME_AVG_3M), 4) = "#N/A", "",  _xll.BDP($C142, VOLUME_AVG_3M))</f>
        <v>523012.875</v>
      </c>
      <c r="AB142" s="31" cm="1">
        <f t="array" ref="AB142">IF(LEFT(_xll.BDP($C142, VOLUME_AVG_6M), 4) = "#N/A", "",  _xll.BDP($C142, VOLUME_AVG_6M))</f>
        <v>457964.0625</v>
      </c>
      <c r="AC142" s="31" cm="1">
        <f t="array" ref="AC142">IF(LEFT(_xll.BDP($C142, VOLUME_AVG_12M), 4) = "#N/A", "",  _xll.BDP($C142, VOLUME_AVG_12M))</f>
        <v>521422.21875</v>
      </c>
      <c r="AD142" s="41" cm="1">
        <f t="array" ref="AD142">IF(LEFT(_xll.BDP($C142, LAST_PRICE), 4) = "#N/A", "",  _xll.BDP($C142, LAST_PRICE))</f>
        <v>35.5</v>
      </c>
    </row>
    <row r="143" spans="1:30" x14ac:dyDescent="0.35">
      <c r="A143" s="1">
        <f t="shared" si="2"/>
        <v>140</v>
      </c>
      <c r="B143" s="28">
        <v>45700</v>
      </c>
      <c r="C143" s="29" t="s">
        <v>327</v>
      </c>
      <c r="D143" s="29" t="s">
        <v>327</v>
      </c>
      <c r="E143" s="29" t="s">
        <v>328</v>
      </c>
      <c r="F143" s="29" t="s">
        <v>33</v>
      </c>
      <c r="G143" s="30" t="s">
        <v>34</v>
      </c>
      <c r="H143" s="31">
        <v>7454017.47758005</v>
      </c>
      <c r="I143" s="31">
        <v>-19742982.5224199</v>
      </c>
      <c r="J143" s="32">
        <v>6.7600002288818404</v>
      </c>
      <c r="K143" s="33">
        <v>45700</v>
      </c>
      <c r="L143" s="31"/>
      <c r="M143" s="32"/>
      <c r="N143" s="31"/>
      <c r="O143" s="33">
        <v>45699</v>
      </c>
      <c r="P143" s="34">
        <v>15868.1669921875</v>
      </c>
      <c r="Q143" s="34">
        <v>323474.75</v>
      </c>
      <c r="R143" s="34">
        <v>178135.984375</v>
      </c>
      <c r="S143" s="29"/>
      <c r="T143" s="33"/>
      <c r="U143" s="35" t="b">
        <v>1</v>
      </c>
      <c r="V143" s="35" t="b">
        <v>0</v>
      </c>
      <c r="W143" s="35" t="b">
        <v>1</v>
      </c>
      <c r="Y143" s="31" cm="1">
        <f t="array" ref="Y143">IF(LEFT(_xll.BDP($C143, VOLUME_AVG_10D), 4) = "#N/A", "",  _xll.BDP($C143, VOLUME_AVG_10D))</f>
        <v>7764.60009765625</v>
      </c>
      <c r="Z143" s="31" cm="1">
        <f t="array" ref="Z143">IF(LEFT(_xll.BDP($C143, VOLUME_AVG_30D), 4) = "#N/A", "",  _xll.BDP($C143, VOLUME_AVG_30D))</f>
        <v>15868.1669921875</v>
      </c>
      <c r="AA143" s="31" cm="1">
        <f t="array" ref="AA143">IF(LEFT(_xll.BDP($C143, VOLUME_AVG_3M), 4) = "#N/A", "",  _xll.BDP($C143, VOLUME_AVG_3M))</f>
        <v>323474.75</v>
      </c>
      <c r="AB143" s="31" cm="1">
        <f t="array" ref="AB143">IF(LEFT(_xll.BDP($C143, VOLUME_AVG_6M), 4) = "#N/A", "",  _xll.BDP($C143, VOLUME_AVG_6M))</f>
        <v>178135.984375</v>
      </c>
      <c r="AC143" s="31" cm="1">
        <f t="array" ref="AC143">IF(LEFT(_xll.BDP($C143, VOLUME_AVG_12M), 4) = "#N/A", "",  _xll.BDP($C143, VOLUME_AVG_12M))</f>
        <v>92666</v>
      </c>
      <c r="AD143" s="41" cm="1">
        <f t="array" ref="AD143">IF(LEFT(_xll.BDP($C143, LAST_PRICE), 4) = "#N/A", "",  _xll.BDP($C143, LAST_PRICE))</f>
        <v>6.76</v>
      </c>
    </row>
    <row r="144" spans="1:30" x14ac:dyDescent="0.35">
      <c r="A144" s="1">
        <f t="shared" si="2"/>
        <v>141</v>
      </c>
      <c r="B144" s="28">
        <v>45700</v>
      </c>
      <c r="C144" s="29" t="s">
        <v>329</v>
      </c>
      <c r="D144" s="29" t="s">
        <v>329</v>
      </c>
      <c r="E144" s="29" t="s">
        <v>330</v>
      </c>
      <c r="F144" s="29" t="s">
        <v>40</v>
      </c>
      <c r="G144" s="30" t="s">
        <v>41</v>
      </c>
      <c r="H144" s="31">
        <v>4244314.21807006</v>
      </c>
      <c r="I144" s="31">
        <v>12732727.9790649</v>
      </c>
      <c r="J144" s="32">
        <v>3.5000000149011598E-2</v>
      </c>
      <c r="K144" s="33">
        <v>45700</v>
      </c>
      <c r="L144" s="31">
        <v>90600</v>
      </c>
      <c r="M144" s="32">
        <v>-11.35</v>
      </c>
      <c r="N144" s="31" t="s">
        <v>35</v>
      </c>
      <c r="O144" s="33">
        <v>45699</v>
      </c>
      <c r="P144" s="34">
        <v>92492.1</v>
      </c>
      <c r="Q144" s="34">
        <v>165063.70000000001</v>
      </c>
      <c r="R144" s="34">
        <v>147745.4</v>
      </c>
      <c r="S144" s="29"/>
      <c r="T144" s="33"/>
      <c r="U144" s="35" t="b">
        <v>1</v>
      </c>
      <c r="V144" s="35" t="b">
        <v>1</v>
      </c>
      <c r="W144" s="35" t="b">
        <v>0</v>
      </c>
      <c r="Y144" s="31" cm="1">
        <f t="array" ref="Y144">IF(LEFT(_xll.BDP($C144, VOLUME_AVG_10D), 4) = "#N/A", "",  _xll.BDP($C144, VOLUME_AVG_10D))</f>
        <v>101525.9</v>
      </c>
      <c r="Z144" s="31" cm="1">
        <f t="array" ref="Z144">IF(LEFT(_xll.BDP($C144, VOLUME_AVG_30D), 4) = "#N/A", "",  _xll.BDP($C144, VOLUME_AVG_30D))</f>
        <v>92492.1</v>
      </c>
      <c r="AA144" s="31" cm="1">
        <f t="array" ref="AA144">IF(LEFT(_xll.BDP($C144, VOLUME_AVG_3M), 4) = "#N/A", "",  _xll.BDP($C144, VOLUME_AVG_3M))</f>
        <v>165063.70000000001</v>
      </c>
      <c r="AB144" s="31" cm="1">
        <f t="array" ref="AB144">IF(LEFT(_xll.BDP($C144, VOLUME_AVG_6M), 4) = "#N/A", "",  _xll.BDP($C144, VOLUME_AVG_6M))</f>
        <v>147745.4</v>
      </c>
      <c r="AC144" s="31" cm="1">
        <f t="array" ref="AC144">IF(LEFT(_xll.BDP($C144, VOLUME_AVG_12M), 4) = "#N/A", "",  _xll.BDP($C144, VOLUME_AVG_12M))</f>
        <v>214505.4</v>
      </c>
      <c r="AD144" s="41" cm="1">
        <f t="array" ref="AD144">IF(LEFT(_xll.BDP($C144, LAST_PRICE), 4) = "#N/A", "",  _xll.BDP($C144, LAST_PRICE))</f>
        <v>3.5000000000000003E-2</v>
      </c>
    </row>
    <row r="145" spans="1:30" x14ac:dyDescent="0.35">
      <c r="A145" s="1">
        <f t="shared" si="2"/>
        <v>142</v>
      </c>
      <c r="B145" s="28">
        <v>45700</v>
      </c>
      <c r="C145" s="29" t="s">
        <v>331</v>
      </c>
      <c r="D145" s="29" t="s">
        <v>331</v>
      </c>
      <c r="E145" s="29" t="s">
        <v>332</v>
      </c>
      <c r="F145" s="29" t="s">
        <v>33</v>
      </c>
      <c r="G145" s="30" t="s">
        <v>34</v>
      </c>
      <c r="H145" s="31"/>
      <c r="I145" s="31"/>
      <c r="J145" s="32"/>
      <c r="K145" s="33">
        <v>45700</v>
      </c>
      <c r="L145" s="31"/>
      <c r="M145" s="32"/>
      <c r="N145" s="31"/>
      <c r="O145" s="33">
        <v>45699</v>
      </c>
      <c r="P145" s="34"/>
      <c r="Q145" s="34"/>
      <c r="R145" s="34">
        <v>2.3809523582458501</v>
      </c>
      <c r="S145" s="29"/>
      <c r="T145" s="33"/>
      <c r="U145" s="35" t="b">
        <v>1</v>
      </c>
      <c r="V145" s="35" t="b">
        <v>1</v>
      </c>
      <c r="W145" s="35" t="b">
        <v>1</v>
      </c>
      <c r="Y145" s="31" cm="1">
        <f t="array" ref="Y145">IF(LEFT(_xll.BDP($C145, VOLUME_AVG_10D), 4) = "#N/A", "",  _xll.BDP($C145, VOLUME_AVG_10D))</f>
        <v>0</v>
      </c>
      <c r="Z145" s="31" cm="1">
        <f t="array" ref="Z145">IF(LEFT(_xll.BDP($C145, VOLUME_AVG_30D), 4) = "#N/A", "",  _xll.BDP($C145, VOLUME_AVG_30D))</f>
        <v>0</v>
      </c>
      <c r="AA145" s="31" cm="1">
        <f t="array" ref="AA145">IF(LEFT(_xll.BDP($C145, VOLUME_AVG_3M), 4) = "#N/A", "",  _xll.BDP($C145, VOLUME_AVG_3M))</f>
        <v>0</v>
      </c>
      <c r="AB145" s="31" cm="1">
        <f t="array" ref="AB145">IF(LEFT(_xll.BDP($C145, VOLUME_AVG_6M), 4) = "#N/A", "",  _xll.BDP($C145, VOLUME_AVG_6M))</f>
        <v>2.3809523582458496</v>
      </c>
      <c r="AC145" s="31" cm="1">
        <f t="array" ref="AC145">IF(LEFT(_xll.BDP($C145, VOLUME_AVG_12M), 4) = "#N/A", "",  _xll.BDP($C145, VOLUME_AVG_12M))</f>
        <v>1.1952191591262817</v>
      </c>
      <c r="AD145" s="41" t="str" cm="1">
        <f t="array" ref="AD145">IF(LEFT(_xll.BDP($C145, LAST_PRICE), 4) = "#N/A", "",  _xll.BDP($C145, LAST_PRICE))</f>
        <v/>
      </c>
    </row>
    <row r="146" spans="1:30" x14ac:dyDescent="0.35">
      <c r="A146" s="1">
        <f t="shared" si="2"/>
        <v>143</v>
      </c>
      <c r="B146" s="28">
        <v>45700</v>
      </c>
      <c r="C146" s="29" t="s">
        <v>333</v>
      </c>
      <c r="D146" s="29" t="s">
        <v>333</v>
      </c>
      <c r="E146" s="29" t="s">
        <v>334</v>
      </c>
      <c r="F146" s="29" t="s">
        <v>33</v>
      </c>
      <c r="G146" s="30" t="s">
        <v>34</v>
      </c>
      <c r="H146" s="31">
        <v>10474781.3469771</v>
      </c>
      <c r="I146" s="31">
        <v>4608315.3469771398</v>
      </c>
      <c r="J146" s="32">
        <v>0.18979999423027</v>
      </c>
      <c r="K146" s="33">
        <v>45700</v>
      </c>
      <c r="L146" s="31">
        <v>3774700</v>
      </c>
      <c r="M146" s="32">
        <v>-22.35</v>
      </c>
      <c r="N146" s="31" t="s">
        <v>35</v>
      </c>
      <c r="O146" s="33">
        <v>45699</v>
      </c>
      <c r="P146" s="34">
        <v>3312989.75</v>
      </c>
      <c r="Q146" s="34">
        <v>5328265.5</v>
      </c>
      <c r="R146" s="34">
        <v>8564541</v>
      </c>
      <c r="S146" s="29"/>
      <c r="T146" s="33"/>
      <c r="U146" s="35" t="b">
        <v>1</v>
      </c>
      <c r="V146" s="35" t="b">
        <v>0</v>
      </c>
      <c r="W146" s="35" t="b">
        <v>0</v>
      </c>
      <c r="Y146" s="31" cm="1">
        <f t="array" ref="Y146">IF(LEFT(_xll.BDP($C146, VOLUME_AVG_10D), 4) = "#N/A", "",  _xll.BDP($C146, VOLUME_AVG_10D))</f>
        <v>1564276.25</v>
      </c>
      <c r="Z146" s="31" cm="1">
        <f t="array" ref="Z146">IF(LEFT(_xll.BDP($C146, VOLUME_AVG_30D), 4) = "#N/A", "",  _xll.BDP($C146, VOLUME_AVG_30D))</f>
        <v>3312989.75</v>
      </c>
      <c r="AA146" s="31" cm="1">
        <f t="array" ref="AA146">IF(LEFT(_xll.BDP($C146, VOLUME_AVG_3M), 4) = "#N/A", "",  _xll.BDP($C146, VOLUME_AVG_3M))</f>
        <v>5328265.5</v>
      </c>
      <c r="AB146" s="31" cm="1">
        <f t="array" ref="AB146">IF(LEFT(_xll.BDP($C146, VOLUME_AVG_6M), 4) = "#N/A", "",  _xll.BDP($C146, VOLUME_AVG_6M))</f>
        <v>8564541</v>
      </c>
      <c r="AC146" s="31" cm="1">
        <f t="array" ref="AC146">IF(LEFT(_xll.BDP($C146, VOLUME_AVG_12M), 4) = "#N/A", "",  _xll.BDP($C146, VOLUME_AVG_12M))</f>
        <v>4599230.5</v>
      </c>
      <c r="AD146" s="41" cm="1">
        <f t="array" ref="AD146">IF(LEFT(_xll.BDP($C146, LAST_PRICE), 4) = "#N/A", "",  _xll.BDP($C146, LAST_PRICE))</f>
        <v>0.1898</v>
      </c>
    </row>
    <row r="147" spans="1:30" x14ac:dyDescent="0.35">
      <c r="A147" s="1">
        <f t="shared" si="2"/>
        <v>144</v>
      </c>
      <c r="B147" s="28">
        <v>45700</v>
      </c>
      <c r="C147" s="29" t="s">
        <v>335</v>
      </c>
      <c r="D147" s="29" t="s">
        <v>335</v>
      </c>
      <c r="E147" s="29" t="s">
        <v>336</v>
      </c>
      <c r="F147" s="29" t="s">
        <v>33</v>
      </c>
      <c r="G147" s="30" t="s">
        <v>34</v>
      </c>
      <c r="H147" s="31">
        <v>62983759.231944002</v>
      </c>
      <c r="I147" s="31">
        <v>-33912240.768055998</v>
      </c>
      <c r="J147" s="32">
        <v>0.54129999876022294</v>
      </c>
      <c r="K147" s="33">
        <v>45700</v>
      </c>
      <c r="L147" s="31">
        <v>14680600</v>
      </c>
      <c r="M147" s="32">
        <v>3.8</v>
      </c>
      <c r="N147" s="31" t="s">
        <v>35</v>
      </c>
      <c r="O147" s="33">
        <v>45699</v>
      </c>
      <c r="P147" s="34">
        <v>5164228.5</v>
      </c>
      <c r="Q147" s="34">
        <v>6964253.5</v>
      </c>
      <c r="R147" s="34">
        <v>4750763.5</v>
      </c>
      <c r="S147" s="29" t="s">
        <v>177</v>
      </c>
      <c r="T147" s="33">
        <v>45446</v>
      </c>
      <c r="U147" s="35" t="b">
        <v>0</v>
      </c>
      <c r="V147" s="35" t="b">
        <v>0</v>
      </c>
      <c r="W147" s="35" t="b">
        <v>1</v>
      </c>
      <c r="Y147" s="31" cm="1">
        <f t="array" ref="Y147">IF(LEFT(_xll.BDP($C147, VOLUME_AVG_10D), 4) = "#N/A", "",  _xll.BDP($C147, VOLUME_AVG_10D))</f>
        <v>2478081.5</v>
      </c>
      <c r="Z147" s="31" cm="1">
        <f t="array" ref="Z147">IF(LEFT(_xll.BDP($C147, VOLUME_AVG_30D), 4) = "#N/A", "",  _xll.BDP($C147, VOLUME_AVG_30D))</f>
        <v>5164228.5</v>
      </c>
      <c r="AA147" s="31" cm="1">
        <f t="array" ref="AA147">IF(LEFT(_xll.BDP($C147, VOLUME_AVG_3M), 4) = "#N/A", "",  _xll.BDP($C147, VOLUME_AVG_3M))</f>
        <v>6964253.5</v>
      </c>
      <c r="AB147" s="31" cm="1">
        <f t="array" ref="AB147">IF(LEFT(_xll.BDP($C147, VOLUME_AVG_6M), 4) = "#N/A", "",  _xll.BDP($C147, VOLUME_AVG_6M))</f>
        <v>4750763.5</v>
      </c>
      <c r="AC147" s="31" cm="1">
        <f t="array" ref="AC147">IF(LEFT(_xll.BDP($C147, VOLUME_AVG_12M), 4) = "#N/A", "",  _xll.BDP($C147, VOLUME_AVG_12M))</f>
        <v>3107305.5</v>
      </c>
      <c r="AD147" s="41" cm="1">
        <f t="array" ref="AD147">IF(LEFT(_xll.BDP($C147, LAST_PRICE), 4) = "#N/A", "",  _xll.BDP($C147, LAST_PRICE))</f>
        <v>0.5413</v>
      </c>
    </row>
    <row r="148" spans="1:30" x14ac:dyDescent="0.35">
      <c r="A148" s="1">
        <f t="shared" si="2"/>
        <v>145</v>
      </c>
      <c r="B148" s="28">
        <v>45700</v>
      </c>
      <c r="C148" s="29" t="s">
        <v>337</v>
      </c>
      <c r="D148" s="29" t="s">
        <v>337</v>
      </c>
      <c r="E148" s="29" t="s">
        <v>338</v>
      </c>
      <c r="F148" s="29" t="s">
        <v>33</v>
      </c>
      <c r="G148" s="30" t="s">
        <v>34</v>
      </c>
      <c r="H148" s="31">
        <v>18641717.6528189</v>
      </c>
      <c r="I148" s="31">
        <v>-6296844.3471810902</v>
      </c>
      <c r="J148" s="32">
        <v>3.4300000667571999</v>
      </c>
      <c r="K148" s="33">
        <v>45700</v>
      </c>
      <c r="L148" s="31">
        <v>529100</v>
      </c>
      <c r="M148" s="32">
        <v>-1.2</v>
      </c>
      <c r="N148" s="31" t="s">
        <v>35</v>
      </c>
      <c r="O148" s="33">
        <v>45699</v>
      </c>
      <c r="P148" s="34">
        <v>37896.265625</v>
      </c>
      <c r="Q148" s="34">
        <v>28481.208984375</v>
      </c>
      <c r="R148" s="34">
        <v>25243.357421875</v>
      </c>
      <c r="S148" s="29"/>
      <c r="T148" s="33"/>
      <c r="U148" s="35" t="b">
        <v>1</v>
      </c>
      <c r="V148" s="35" t="b">
        <v>0</v>
      </c>
      <c r="W148" s="35" t="b">
        <v>1</v>
      </c>
      <c r="Y148" s="31" cm="1">
        <f t="array" ref="Y148">IF(LEFT(_xll.BDP($C148, VOLUME_AVG_10D), 4) = "#N/A", "",  _xll.BDP($C148, VOLUME_AVG_10D))</f>
        <v>40788.3984375</v>
      </c>
      <c r="Z148" s="31" cm="1">
        <f t="array" ref="Z148">IF(LEFT(_xll.BDP($C148, VOLUME_AVG_30D), 4) = "#N/A", "",  _xll.BDP($C148, VOLUME_AVG_30D))</f>
        <v>37896.265625</v>
      </c>
      <c r="AA148" s="31" cm="1">
        <f t="array" ref="AA148">IF(LEFT(_xll.BDP($C148, VOLUME_AVG_3M), 4) = "#N/A", "",  _xll.BDP($C148, VOLUME_AVG_3M))</f>
        <v>28481.208984375</v>
      </c>
      <c r="AB148" s="31" cm="1">
        <f t="array" ref="AB148">IF(LEFT(_xll.BDP($C148, VOLUME_AVG_6M), 4) = "#N/A", "",  _xll.BDP($C148, VOLUME_AVG_6M))</f>
        <v>25243.357421875</v>
      </c>
      <c r="AC148" s="31" cm="1">
        <f t="array" ref="AC148">IF(LEFT(_xll.BDP($C148, VOLUME_AVG_12M), 4) = "#N/A", "",  _xll.BDP($C148, VOLUME_AVG_12M))</f>
        <v>22809.712890625</v>
      </c>
      <c r="AD148" s="41" cm="1">
        <f t="array" ref="AD148">IF(LEFT(_xll.BDP($C148, LAST_PRICE), 4) = "#N/A", "",  _xll.BDP($C148, LAST_PRICE))</f>
        <v>3.43</v>
      </c>
    </row>
    <row r="149" spans="1:30" x14ac:dyDescent="0.35">
      <c r="A149" s="1">
        <f t="shared" si="2"/>
        <v>146</v>
      </c>
      <c r="B149" s="28">
        <v>45700</v>
      </c>
      <c r="C149" s="29" t="s">
        <v>339</v>
      </c>
      <c r="D149" s="29" t="s">
        <v>339</v>
      </c>
      <c r="E149" s="29" t="s">
        <v>340</v>
      </c>
      <c r="F149" s="29" t="s">
        <v>33</v>
      </c>
      <c r="G149" s="30" t="s">
        <v>34</v>
      </c>
      <c r="H149" s="31">
        <v>5469161.25</v>
      </c>
      <c r="I149" s="31">
        <v>2560161.25</v>
      </c>
      <c r="J149" s="32">
        <v>3.75</v>
      </c>
      <c r="K149" s="33">
        <v>45700</v>
      </c>
      <c r="L149" s="31">
        <v>71600</v>
      </c>
      <c r="M149" s="32">
        <v>-37.700000000000003</v>
      </c>
      <c r="N149" s="31" t="s">
        <v>35</v>
      </c>
      <c r="O149" s="33">
        <v>45699</v>
      </c>
      <c r="P149" s="34">
        <v>57412.1328125</v>
      </c>
      <c r="Q149" s="34">
        <v>202853.65625</v>
      </c>
      <c r="R149" s="34">
        <v>187282.6875</v>
      </c>
      <c r="S149" s="29"/>
      <c r="T149" s="33"/>
      <c r="U149" s="35" t="b">
        <v>1</v>
      </c>
      <c r="V149" s="35" t="b">
        <v>0</v>
      </c>
      <c r="W149" s="35" t="b">
        <v>0</v>
      </c>
      <c r="Y149" s="31" cm="1">
        <f t="array" ref="Y149">IF(LEFT(_xll.BDP($C149, VOLUME_AVG_10D), 4) = "#N/A", "",  _xll.BDP($C149, VOLUME_AVG_10D))</f>
        <v>27145.099609375</v>
      </c>
      <c r="Z149" s="31" cm="1">
        <f t="array" ref="Z149">IF(LEFT(_xll.BDP($C149, VOLUME_AVG_30D), 4) = "#N/A", "",  _xll.BDP($C149, VOLUME_AVG_30D))</f>
        <v>57412.1328125</v>
      </c>
      <c r="AA149" s="31" cm="1">
        <f t="array" ref="AA149">IF(LEFT(_xll.BDP($C149, VOLUME_AVG_3M), 4) = "#N/A", "",  _xll.BDP($C149, VOLUME_AVG_3M))</f>
        <v>202853.65625</v>
      </c>
      <c r="AB149" s="31" cm="1">
        <f t="array" ref="AB149">IF(LEFT(_xll.BDP($C149, VOLUME_AVG_6M), 4) = "#N/A", "",  _xll.BDP($C149, VOLUME_AVG_6M))</f>
        <v>187282.6875</v>
      </c>
      <c r="AC149" s="31" cm="1">
        <f t="array" ref="AC149">IF(LEFT(_xll.BDP($C149, VOLUME_AVG_12M), 4) = "#N/A", "",  _xll.BDP($C149, VOLUME_AVG_12M))</f>
        <v>139834.984375</v>
      </c>
      <c r="AD149" s="41" cm="1">
        <f t="array" ref="AD149">IF(LEFT(_xll.BDP($C149, LAST_PRICE), 4) = "#N/A", "",  _xll.BDP($C149, LAST_PRICE))</f>
        <v>3.75</v>
      </c>
    </row>
    <row r="150" spans="1:30" x14ac:dyDescent="0.35">
      <c r="A150" s="1">
        <f t="shared" si="2"/>
        <v>147</v>
      </c>
      <c r="B150" s="28">
        <v>45700</v>
      </c>
      <c r="C150" s="29" t="s">
        <v>341</v>
      </c>
      <c r="D150" s="29" t="s">
        <v>341</v>
      </c>
      <c r="E150" s="29" t="s">
        <v>342</v>
      </c>
      <c r="F150" s="29" t="s">
        <v>33</v>
      </c>
      <c r="G150" s="30" t="s">
        <v>34</v>
      </c>
      <c r="H150" s="31">
        <v>9640060.58522081</v>
      </c>
      <c r="I150" s="31">
        <v>-5089815.41477919</v>
      </c>
      <c r="J150" s="32">
        <v>1.2699999809265099</v>
      </c>
      <c r="K150" s="33">
        <v>45700</v>
      </c>
      <c r="L150" s="31"/>
      <c r="M150" s="32"/>
      <c r="N150" s="31"/>
      <c r="O150" s="33">
        <v>45699</v>
      </c>
      <c r="P150" s="34">
        <v>4800277</v>
      </c>
      <c r="Q150" s="34">
        <v>2354901.25</v>
      </c>
      <c r="R150" s="34">
        <v>1168390.5</v>
      </c>
      <c r="S150" s="29"/>
      <c r="T150" s="33"/>
      <c r="U150" s="35" t="b">
        <v>1</v>
      </c>
      <c r="V150" s="35" t="b">
        <v>0</v>
      </c>
      <c r="W150" s="35" t="b">
        <v>1</v>
      </c>
      <c r="Y150" s="31" cm="1">
        <f t="array" ref="Y150">IF(LEFT(_xll.BDP($C150, VOLUME_AVG_10D), 4) = "#N/A", "",  _xll.BDP($C150, VOLUME_AVG_10D))</f>
        <v>203755.796875</v>
      </c>
      <c r="Z150" s="31" cm="1">
        <f t="array" ref="Z150">IF(LEFT(_xll.BDP($C150, VOLUME_AVG_30D), 4) = "#N/A", "",  _xll.BDP($C150, VOLUME_AVG_30D))</f>
        <v>4800277</v>
      </c>
      <c r="AA150" s="31" cm="1">
        <f t="array" ref="AA150">IF(LEFT(_xll.BDP($C150, VOLUME_AVG_3M), 4) = "#N/A", "",  _xll.BDP($C150, VOLUME_AVG_3M))</f>
        <v>2354901.25</v>
      </c>
      <c r="AB150" s="31" cm="1">
        <f t="array" ref="AB150">IF(LEFT(_xll.BDP($C150, VOLUME_AVG_6M), 4) = "#N/A", "",  _xll.BDP($C150, VOLUME_AVG_6M))</f>
        <v>1168390.5</v>
      </c>
      <c r="AC150" s="31" cm="1">
        <f t="array" ref="AC150">IF(LEFT(_xll.BDP($C150, VOLUME_AVG_12M), 4) = "#N/A", "",  _xll.BDP($C150, VOLUME_AVG_12M))</f>
        <v>1195918</v>
      </c>
      <c r="AD150" s="41" cm="1">
        <f t="array" ref="AD150">IF(LEFT(_xll.BDP($C150, LAST_PRICE), 4) = "#N/A", "",  _xll.BDP($C150, LAST_PRICE))</f>
        <v>1.27</v>
      </c>
    </row>
    <row r="151" spans="1:30" x14ac:dyDescent="0.35">
      <c r="A151" s="1">
        <f t="shared" si="2"/>
        <v>148</v>
      </c>
      <c r="B151" s="28">
        <v>45700</v>
      </c>
      <c r="C151" s="29" t="s">
        <v>343</v>
      </c>
      <c r="D151" s="29" t="s">
        <v>343</v>
      </c>
      <c r="E151" s="29" t="s">
        <v>344</v>
      </c>
      <c r="F151" s="29" t="s">
        <v>40</v>
      </c>
      <c r="G151" s="30" t="s">
        <v>41</v>
      </c>
      <c r="H151" s="31">
        <v>18355261.245449401</v>
      </c>
      <c r="I151" s="31">
        <v>5629046.8592019398</v>
      </c>
      <c r="J151" s="32">
        <v>0.30500000715255698</v>
      </c>
      <c r="K151" s="33">
        <v>45700</v>
      </c>
      <c r="L151" s="31">
        <v>679700</v>
      </c>
      <c r="M151" s="32">
        <v>-17.05</v>
      </c>
      <c r="N151" s="31" t="s">
        <v>35</v>
      </c>
      <c r="O151" s="33">
        <v>45699</v>
      </c>
      <c r="P151" s="34">
        <v>29652.63</v>
      </c>
      <c r="Q151" s="34">
        <v>53587.56</v>
      </c>
      <c r="R151" s="34">
        <v>31449.79</v>
      </c>
      <c r="S151" s="29"/>
      <c r="T151" s="33"/>
      <c r="U151" s="35" t="b">
        <v>1</v>
      </c>
      <c r="V151" s="35" t="b">
        <v>0</v>
      </c>
      <c r="W151" s="35" t="b">
        <v>0</v>
      </c>
      <c r="Y151" s="31" cm="1">
        <f t="array" ref="Y151">IF(LEFT(_xll.BDP($C151, VOLUME_AVG_10D), 4) = "#N/A", "",  _xll.BDP($C151, VOLUME_AVG_10D))</f>
        <v>32351.599999999999</v>
      </c>
      <c r="Z151" s="31" cm="1">
        <f t="array" ref="Z151">IF(LEFT(_xll.BDP($C151, VOLUME_AVG_30D), 4) = "#N/A", "",  _xll.BDP($C151, VOLUME_AVG_30D))</f>
        <v>29652.63</v>
      </c>
      <c r="AA151" s="31" cm="1">
        <f t="array" ref="AA151">IF(LEFT(_xll.BDP($C151, VOLUME_AVG_3M), 4) = "#N/A", "",  _xll.BDP($C151, VOLUME_AVG_3M))</f>
        <v>53587.56</v>
      </c>
      <c r="AB151" s="31" cm="1">
        <f t="array" ref="AB151">IF(LEFT(_xll.BDP($C151, VOLUME_AVG_6M), 4) = "#N/A", "",  _xll.BDP($C151, VOLUME_AVG_6M))</f>
        <v>31449.79</v>
      </c>
      <c r="AC151" s="31" cm="1">
        <f t="array" ref="AC151">IF(LEFT(_xll.BDP($C151, VOLUME_AVG_12M), 4) = "#N/A", "",  _xll.BDP($C151, VOLUME_AVG_12M))</f>
        <v>21946.05</v>
      </c>
      <c r="AD151" s="41" cm="1">
        <f t="array" ref="AD151">IF(LEFT(_xll.BDP($C151, LAST_PRICE), 4) = "#N/A", "",  _xll.BDP($C151, LAST_PRICE))</f>
        <v>0.30499999999999999</v>
      </c>
    </row>
    <row r="152" spans="1:30" x14ac:dyDescent="0.35">
      <c r="A152" s="1">
        <f t="shared" si="2"/>
        <v>149</v>
      </c>
      <c r="B152" s="28">
        <v>45700</v>
      </c>
      <c r="C152" s="29" t="s">
        <v>345</v>
      </c>
      <c r="D152" s="29" t="s">
        <v>345</v>
      </c>
      <c r="E152" s="29" t="s">
        <v>346</v>
      </c>
      <c r="F152" s="29" t="s">
        <v>33</v>
      </c>
      <c r="G152" s="30" t="s">
        <v>34</v>
      </c>
      <c r="H152" s="31">
        <v>47115685.455584802</v>
      </c>
      <c r="I152" s="31">
        <v>58105685.455584802</v>
      </c>
      <c r="J152" s="32">
        <v>1.3600000143051101</v>
      </c>
      <c r="K152" s="33">
        <v>45700</v>
      </c>
      <c r="L152" s="31">
        <v>4883200</v>
      </c>
      <c r="M152" s="32">
        <v>3.88</v>
      </c>
      <c r="N152" s="31" t="s">
        <v>35</v>
      </c>
      <c r="O152" s="33">
        <v>45699</v>
      </c>
      <c r="P152" s="34">
        <v>34820.234375</v>
      </c>
      <c r="Q152" s="34">
        <v>49303.2421875</v>
      </c>
      <c r="R152" s="34">
        <v>44277.9375</v>
      </c>
      <c r="S152" s="29"/>
      <c r="T152" s="33"/>
      <c r="U152" s="35" t="b">
        <v>0</v>
      </c>
      <c r="V152" s="35" t="b">
        <v>0</v>
      </c>
      <c r="W152" s="35" t="b">
        <v>0</v>
      </c>
      <c r="Y152" s="31" cm="1">
        <f t="array" ref="Y152">IF(LEFT(_xll.BDP($C152, VOLUME_AVG_10D), 4) = "#N/A", "",  _xll.BDP($C152, VOLUME_AVG_10D))</f>
        <v>15221.2001953125</v>
      </c>
      <c r="Z152" s="31" cm="1">
        <f t="array" ref="Z152">IF(LEFT(_xll.BDP($C152, VOLUME_AVG_30D), 4) = "#N/A", "",  _xll.BDP($C152, VOLUME_AVG_30D))</f>
        <v>34820.234375</v>
      </c>
      <c r="AA152" s="31" cm="1">
        <f t="array" ref="AA152">IF(LEFT(_xll.BDP($C152, VOLUME_AVG_3M), 4) = "#N/A", "",  _xll.BDP($C152, VOLUME_AVG_3M))</f>
        <v>49303.2421875</v>
      </c>
      <c r="AB152" s="31" cm="1">
        <f t="array" ref="AB152">IF(LEFT(_xll.BDP($C152, VOLUME_AVG_6M), 4) = "#N/A", "",  _xll.BDP($C152, VOLUME_AVG_6M))</f>
        <v>44277.9375</v>
      </c>
      <c r="AC152" s="31" cm="1">
        <f t="array" ref="AC152">IF(LEFT(_xll.BDP($C152, VOLUME_AVG_12M), 4) = "#N/A", "",  _xll.BDP($C152, VOLUME_AVG_12M))</f>
        <v>73082.640625</v>
      </c>
      <c r="AD152" s="41" cm="1">
        <f t="array" ref="AD152">IF(LEFT(_xll.BDP($C152, LAST_PRICE), 4) = "#N/A", "",  _xll.BDP($C152, LAST_PRICE))</f>
        <v>1.36</v>
      </c>
    </row>
    <row r="153" spans="1:30" x14ac:dyDescent="0.35">
      <c r="A153" s="1">
        <f t="shared" si="2"/>
        <v>150</v>
      </c>
      <c r="B153" s="28">
        <v>45700</v>
      </c>
      <c r="C153" s="29" t="s">
        <v>347</v>
      </c>
      <c r="D153" s="29" t="s">
        <v>347</v>
      </c>
      <c r="E153" s="29" t="s">
        <v>348</v>
      </c>
      <c r="F153" s="29" t="s">
        <v>33</v>
      </c>
      <c r="G153" s="30" t="s">
        <v>34</v>
      </c>
      <c r="H153" s="31">
        <v>2937991.2431330699</v>
      </c>
      <c r="I153" s="31">
        <v>8085816.2431330699</v>
      </c>
      <c r="J153" s="32">
        <v>0.75999999046325695</v>
      </c>
      <c r="K153" s="33">
        <v>45700</v>
      </c>
      <c r="L153" s="31">
        <v>140900</v>
      </c>
      <c r="M153" s="32">
        <v>0.7</v>
      </c>
      <c r="N153" s="31" t="s">
        <v>35</v>
      </c>
      <c r="O153" s="33">
        <v>45699</v>
      </c>
      <c r="P153" s="34">
        <v>242634.765625</v>
      </c>
      <c r="Q153" s="34">
        <v>500931.9375</v>
      </c>
      <c r="R153" s="34">
        <v>259957.390625</v>
      </c>
      <c r="S153" s="29"/>
      <c r="T153" s="33"/>
      <c r="U153" s="35" t="b">
        <v>1</v>
      </c>
      <c r="V153" s="35" t="b">
        <v>0</v>
      </c>
      <c r="W153" s="35" t="b">
        <v>0</v>
      </c>
      <c r="Y153" s="31" cm="1">
        <f t="array" ref="Y153">IF(LEFT(_xll.BDP($C153, VOLUME_AVG_10D), 4) = "#N/A", "",  _xll.BDP($C153, VOLUME_AVG_10D))</f>
        <v>69849.796875</v>
      </c>
      <c r="Z153" s="31" cm="1">
        <f t="array" ref="Z153">IF(LEFT(_xll.BDP($C153, VOLUME_AVG_30D), 4) = "#N/A", "",  _xll.BDP($C153, VOLUME_AVG_30D))</f>
        <v>242634.765625</v>
      </c>
      <c r="AA153" s="31" cm="1">
        <f t="array" ref="AA153">IF(LEFT(_xll.BDP($C153, VOLUME_AVG_3M), 4) = "#N/A", "",  _xll.BDP($C153, VOLUME_AVG_3M))</f>
        <v>500931.9375</v>
      </c>
      <c r="AB153" s="31" cm="1">
        <f t="array" ref="AB153">IF(LEFT(_xll.BDP($C153, VOLUME_AVG_6M), 4) = "#N/A", "",  _xll.BDP($C153, VOLUME_AVG_6M))</f>
        <v>259957.390625</v>
      </c>
      <c r="AC153" s="31" cm="1">
        <f t="array" ref="AC153">IF(LEFT(_xll.BDP($C153, VOLUME_AVG_12M), 4) = "#N/A", "",  _xll.BDP($C153, VOLUME_AVG_12M))</f>
        <v>140170.1875</v>
      </c>
      <c r="AD153" s="41" cm="1">
        <f t="array" ref="AD153">IF(LEFT(_xll.BDP($C153, LAST_PRICE), 4) = "#N/A", "",  _xll.BDP($C153, LAST_PRICE))</f>
        <v>0.76</v>
      </c>
    </row>
    <row r="154" spans="1:30" x14ac:dyDescent="0.35">
      <c r="A154" s="1">
        <f t="shared" si="2"/>
        <v>151</v>
      </c>
      <c r="B154" s="28">
        <v>45700</v>
      </c>
      <c r="C154" s="29" t="s">
        <v>349</v>
      </c>
      <c r="D154" s="29" t="s">
        <v>349</v>
      </c>
      <c r="E154" s="29" t="s">
        <v>350</v>
      </c>
      <c r="F154" s="29" t="s">
        <v>33</v>
      </c>
      <c r="G154" s="30" t="s">
        <v>34</v>
      </c>
      <c r="H154" s="31">
        <v>309094083.83497298</v>
      </c>
      <c r="I154" s="31">
        <v>268070083.83497301</v>
      </c>
      <c r="J154" s="32">
        <v>3.3900001049041699</v>
      </c>
      <c r="K154" s="33">
        <v>45700</v>
      </c>
      <c r="L154" s="31">
        <v>9490900</v>
      </c>
      <c r="M154" s="32">
        <v>3.7</v>
      </c>
      <c r="N154" s="31" t="s">
        <v>35</v>
      </c>
      <c r="O154" s="33">
        <v>45699</v>
      </c>
      <c r="P154" s="34">
        <v>1368375.375</v>
      </c>
      <c r="Q154" s="34">
        <v>1465607</v>
      </c>
      <c r="R154" s="34">
        <v>1390517.625</v>
      </c>
      <c r="S154" s="29" t="s">
        <v>285</v>
      </c>
      <c r="T154" s="33">
        <v>45446</v>
      </c>
      <c r="U154" s="35" t="b">
        <v>0</v>
      </c>
      <c r="V154" s="35" t="b">
        <v>0</v>
      </c>
      <c r="W154" s="35" t="b">
        <v>0</v>
      </c>
      <c r="Y154" s="31" cm="1">
        <f t="array" ref="Y154">IF(LEFT(_xll.BDP($C154, VOLUME_AVG_10D), 4) = "#N/A", "",  _xll.BDP($C154, VOLUME_AVG_10D))</f>
        <v>1091848</v>
      </c>
      <c r="Z154" s="31" cm="1">
        <f t="array" ref="Z154">IF(LEFT(_xll.BDP($C154, VOLUME_AVG_30D), 4) = "#N/A", "",  _xll.BDP($C154, VOLUME_AVG_30D))</f>
        <v>1368375.375</v>
      </c>
      <c r="AA154" s="31" cm="1">
        <f t="array" ref="AA154">IF(LEFT(_xll.BDP($C154, VOLUME_AVG_3M), 4) = "#N/A", "",  _xll.BDP($C154, VOLUME_AVG_3M))</f>
        <v>1465607</v>
      </c>
      <c r="AB154" s="31" cm="1">
        <f t="array" ref="AB154">IF(LEFT(_xll.BDP($C154, VOLUME_AVG_6M), 4) = "#N/A", "",  _xll.BDP($C154, VOLUME_AVG_6M))</f>
        <v>1390517.625</v>
      </c>
      <c r="AC154" s="31" cm="1">
        <f t="array" ref="AC154">IF(LEFT(_xll.BDP($C154, VOLUME_AVG_12M), 4) = "#N/A", "",  _xll.BDP($C154, VOLUME_AVG_12M))</f>
        <v>1791937.375</v>
      </c>
      <c r="AD154" s="41" cm="1">
        <f t="array" ref="AD154">IF(LEFT(_xll.BDP($C154, LAST_PRICE), 4) = "#N/A", "",  _xll.BDP($C154, LAST_PRICE))</f>
        <v>3.39</v>
      </c>
    </row>
    <row r="155" spans="1:30" x14ac:dyDescent="0.35">
      <c r="A155" s="1">
        <f t="shared" si="2"/>
        <v>152</v>
      </c>
      <c r="B155" s="28">
        <v>45700</v>
      </c>
      <c r="C155" s="29" t="s">
        <v>351</v>
      </c>
      <c r="D155" s="29" t="s">
        <v>351</v>
      </c>
      <c r="E155" s="29" t="s">
        <v>352</v>
      </c>
      <c r="F155" s="29" t="s">
        <v>33</v>
      </c>
      <c r="G155" s="30" t="s">
        <v>34</v>
      </c>
      <c r="H155" s="31">
        <v>627217466.50719905</v>
      </c>
      <c r="I155" s="31">
        <v>497905466.50719899</v>
      </c>
      <c r="J155" s="32">
        <v>3.3099999427795401</v>
      </c>
      <c r="K155" s="33">
        <v>45700</v>
      </c>
      <c r="L155" s="31"/>
      <c r="M155" s="32"/>
      <c r="N155" s="31"/>
      <c r="O155" s="33">
        <v>45699</v>
      </c>
      <c r="P155" s="34">
        <v>735526.3125</v>
      </c>
      <c r="Q155" s="34">
        <v>818248.3125</v>
      </c>
      <c r="R155" s="34">
        <v>964515.125</v>
      </c>
      <c r="S155" s="29" t="s">
        <v>353</v>
      </c>
      <c r="T155" s="33">
        <v>45446</v>
      </c>
      <c r="U155" s="35" t="b">
        <v>0</v>
      </c>
      <c r="V155" s="35" t="b">
        <v>0</v>
      </c>
      <c r="W155" s="35" t="b">
        <v>0</v>
      </c>
      <c r="Y155" s="31" cm="1">
        <f t="array" ref="Y155">IF(LEFT(_xll.BDP($C155, VOLUME_AVG_10D), 4) = "#N/A", "",  _xll.BDP($C155, VOLUME_AVG_10D))</f>
        <v>680950.375</v>
      </c>
      <c r="Z155" s="31" cm="1">
        <f t="array" ref="Z155">IF(LEFT(_xll.BDP($C155, VOLUME_AVG_30D), 4) = "#N/A", "",  _xll.BDP($C155, VOLUME_AVG_30D))</f>
        <v>735526.3125</v>
      </c>
      <c r="AA155" s="31" cm="1">
        <f t="array" ref="AA155">IF(LEFT(_xll.BDP($C155, VOLUME_AVG_3M), 4) = "#N/A", "",  _xll.BDP($C155, VOLUME_AVG_3M))</f>
        <v>818248.3125</v>
      </c>
      <c r="AB155" s="31" cm="1">
        <f t="array" ref="AB155">IF(LEFT(_xll.BDP($C155, VOLUME_AVG_6M), 4) = "#N/A", "",  _xll.BDP($C155, VOLUME_AVG_6M))</f>
        <v>964515.125</v>
      </c>
      <c r="AC155" s="31" cm="1">
        <f t="array" ref="AC155">IF(LEFT(_xll.BDP($C155, VOLUME_AVG_12M), 4) = "#N/A", "",  _xll.BDP($C155, VOLUME_AVG_12M))</f>
        <v>1047497.5625</v>
      </c>
      <c r="AD155" s="41" cm="1">
        <f t="array" ref="AD155">IF(LEFT(_xll.BDP($C155, LAST_PRICE), 4) = "#N/A", "",  _xll.BDP($C155, LAST_PRICE))</f>
        <v>3.31</v>
      </c>
    </row>
    <row r="156" spans="1:30" x14ac:dyDescent="0.35">
      <c r="A156" s="1">
        <f t="shared" si="2"/>
        <v>153</v>
      </c>
      <c r="B156" s="28">
        <v>45700</v>
      </c>
      <c r="C156" s="29" t="s">
        <v>354</v>
      </c>
      <c r="D156" s="29" t="s">
        <v>354</v>
      </c>
      <c r="E156" s="29" t="s">
        <v>355</v>
      </c>
      <c r="F156" s="29" t="s">
        <v>33</v>
      </c>
      <c r="G156" s="30" t="s">
        <v>34</v>
      </c>
      <c r="H156" s="31">
        <v>3423737656.7897401</v>
      </c>
      <c r="I156" s="31">
        <v>2812387656.7897401</v>
      </c>
      <c r="J156" s="32">
        <v>63.314998626708999</v>
      </c>
      <c r="K156" s="33">
        <v>45700</v>
      </c>
      <c r="L156" s="31">
        <v>10814400</v>
      </c>
      <c r="M156" s="32">
        <v>3.88</v>
      </c>
      <c r="N156" s="31" t="s">
        <v>35</v>
      </c>
      <c r="O156" s="33">
        <v>45699</v>
      </c>
      <c r="P156" s="34">
        <v>650224.375</v>
      </c>
      <c r="Q156" s="34">
        <v>603359.375</v>
      </c>
      <c r="R156" s="34">
        <v>560079.875</v>
      </c>
      <c r="S156" s="29" t="s">
        <v>46</v>
      </c>
      <c r="T156" s="33">
        <v>45446</v>
      </c>
      <c r="U156" s="35" t="b">
        <v>0</v>
      </c>
      <c r="V156" s="35" t="b">
        <v>0</v>
      </c>
      <c r="W156" s="35" t="b">
        <v>0</v>
      </c>
      <c r="Y156" s="31" cm="1">
        <f t="array" ref="Y156">IF(LEFT(_xll.BDP($C156, VOLUME_AVG_10D), 4) = "#N/A", "",  _xll.BDP($C156, VOLUME_AVG_10D))</f>
        <v>565906.5</v>
      </c>
      <c r="Z156" s="31" cm="1">
        <f t="array" ref="Z156">IF(LEFT(_xll.BDP($C156, VOLUME_AVG_30D), 4) = "#N/A", "",  _xll.BDP($C156, VOLUME_AVG_30D))</f>
        <v>650224.375</v>
      </c>
      <c r="AA156" s="31" cm="1">
        <f t="array" ref="AA156">IF(LEFT(_xll.BDP($C156, VOLUME_AVG_3M), 4) = "#N/A", "",  _xll.BDP($C156, VOLUME_AVG_3M))</f>
        <v>603359.375</v>
      </c>
      <c r="AB156" s="31" cm="1">
        <f t="array" ref="AB156">IF(LEFT(_xll.BDP($C156, VOLUME_AVG_6M), 4) = "#N/A", "",  _xll.BDP($C156, VOLUME_AVG_6M))</f>
        <v>560079.875</v>
      </c>
      <c r="AC156" s="31" cm="1">
        <f t="array" ref="AC156">IF(LEFT(_xll.BDP($C156, VOLUME_AVG_12M), 4) = "#N/A", "",  _xll.BDP($C156, VOLUME_AVG_12M))</f>
        <v>514287.625</v>
      </c>
      <c r="AD156" s="41" cm="1">
        <f t="array" ref="AD156">IF(LEFT(_xll.BDP($C156, LAST_PRICE), 4) = "#N/A", "",  _xll.BDP($C156, LAST_PRICE))</f>
        <v>63.314999999999998</v>
      </c>
    </row>
    <row r="157" spans="1:30" x14ac:dyDescent="0.35">
      <c r="A157" s="1">
        <f t="shared" si="2"/>
        <v>154</v>
      </c>
      <c r="B157" s="28">
        <v>45700</v>
      </c>
      <c r="C157" s="29" t="s">
        <v>356</v>
      </c>
      <c r="D157" s="29" t="s">
        <v>356</v>
      </c>
      <c r="E157" s="29" t="s">
        <v>357</v>
      </c>
      <c r="F157" s="29" t="s">
        <v>40</v>
      </c>
      <c r="G157" s="30" t="s">
        <v>41</v>
      </c>
      <c r="H157" s="31">
        <v>121285118.54926901</v>
      </c>
      <c r="I157" s="31">
        <v>124095132.54926901</v>
      </c>
      <c r="J157" s="32">
        <v>1.87000000476837</v>
      </c>
      <c r="K157" s="33">
        <v>45700</v>
      </c>
      <c r="L157" s="31">
        <v>209200</v>
      </c>
      <c r="M157" s="32">
        <v>3.05</v>
      </c>
      <c r="N157" s="31" t="s">
        <v>35</v>
      </c>
      <c r="O157" s="33">
        <v>45699</v>
      </c>
      <c r="P157" s="34">
        <v>17509.3</v>
      </c>
      <c r="Q157" s="34">
        <v>19657.7</v>
      </c>
      <c r="R157" s="34">
        <v>19620.95</v>
      </c>
      <c r="S157" s="29"/>
      <c r="T157" s="33"/>
      <c r="U157" s="35" t="b">
        <v>0</v>
      </c>
      <c r="V157" s="35" t="b">
        <v>0</v>
      </c>
      <c r="W157" s="35" t="b">
        <v>0</v>
      </c>
      <c r="Y157" s="31" cm="1">
        <f t="array" ref="Y157">IF(LEFT(_xll.BDP($C157, VOLUME_AVG_10D), 4) = "#N/A", "",  _xll.BDP($C157, VOLUME_AVG_10D))</f>
        <v>20328.3</v>
      </c>
      <c r="Z157" s="31" cm="1">
        <f t="array" ref="Z157">IF(LEFT(_xll.BDP($C157, VOLUME_AVG_30D), 4) = "#N/A", "",  _xll.BDP($C157, VOLUME_AVG_30D))</f>
        <v>17509.3</v>
      </c>
      <c r="AA157" s="31" cm="1">
        <f t="array" ref="AA157">IF(LEFT(_xll.BDP($C157, VOLUME_AVG_3M), 4) = "#N/A", "",  _xll.BDP($C157, VOLUME_AVG_3M))</f>
        <v>19657.7</v>
      </c>
      <c r="AB157" s="31" cm="1">
        <f t="array" ref="AB157">IF(LEFT(_xll.BDP($C157, VOLUME_AVG_6M), 4) = "#N/A", "",  _xll.BDP($C157, VOLUME_AVG_6M))</f>
        <v>19620.95</v>
      </c>
      <c r="AC157" s="31" cm="1">
        <f t="array" ref="AC157">IF(LEFT(_xll.BDP($C157, VOLUME_AVG_12M), 4) = "#N/A", "",  _xll.BDP($C157, VOLUME_AVG_12M))</f>
        <v>27470.7</v>
      </c>
      <c r="AD157" s="41" cm="1">
        <f t="array" ref="AD157">IF(LEFT(_xll.BDP($C157, LAST_PRICE), 4) = "#N/A", "",  _xll.BDP($C157, LAST_PRICE))</f>
        <v>1.87</v>
      </c>
    </row>
    <row r="158" spans="1:30" x14ac:dyDescent="0.35">
      <c r="A158" s="1">
        <f t="shared" si="2"/>
        <v>155</v>
      </c>
      <c r="B158" s="28">
        <v>45700</v>
      </c>
      <c r="C158" s="29" t="s">
        <v>358</v>
      </c>
      <c r="D158" s="29" t="s">
        <v>358</v>
      </c>
      <c r="E158" s="29" t="s">
        <v>359</v>
      </c>
      <c r="F158" s="29" t="s">
        <v>33</v>
      </c>
      <c r="G158" s="30" t="s">
        <v>34</v>
      </c>
      <c r="H158" s="31">
        <v>1205311.5223100199</v>
      </c>
      <c r="I158" s="31">
        <v>10563502.52231</v>
      </c>
      <c r="J158" s="32">
        <v>0.271200001239777</v>
      </c>
      <c r="K158" s="33">
        <v>45700</v>
      </c>
      <c r="L158" s="31">
        <v>40700</v>
      </c>
      <c r="M158" s="32">
        <v>3.3</v>
      </c>
      <c r="N158" s="31" t="s">
        <v>35</v>
      </c>
      <c r="O158" s="33">
        <v>45699</v>
      </c>
      <c r="P158" s="34">
        <v>3977.2666015625</v>
      </c>
      <c r="Q158" s="34">
        <v>6749.3388671875</v>
      </c>
      <c r="R158" s="34">
        <v>7374.0478515625</v>
      </c>
      <c r="S158" s="29"/>
      <c r="T158" s="33"/>
      <c r="U158" s="35" t="b">
        <v>1</v>
      </c>
      <c r="V158" s="35" t="b">
        <v>0</v>
      </c>
      <c r="W158" s="35" t="b">
        <v>0</v>
      </c>
      <c r="Y158" s="31" cm="1">
        <f t="array" ref="Y158">IF(LEFT(_xll.BDP($C158, VOLUME_AVG_10D), 4) = "#N/A", "",  _xll.BDP($C158, VOLUME_AVG_10D))</f>
        <v>1396.0999755859375</v>
      </c>
      <c r="Z158" s="31" cm="1">
        <f t="array" ref="Z158">IF(LEFT(_xll.BDP($C158, VOLUME_AVG_30D), 4) = "#N/A", "",  _xll.BDP($C158, VOLUME_AVG_30D))</f>
        <v>3977.2666015625</v>
      </c>
      <c r="AA158" s="31" cm="1">
        <f t="array" ref="AA158">IF(LEFT(_xll.BDP($C158, VOLUME_AVG_3M), 4) = "#N/A", "",  _xll.BDP($C158, VOLUME_AVG_3M))</f>
        <v>6749.3388671875</v>
      </c>
      <c r="AB158" s="31" cm="1">
        <f t="array" ref="AB158">IF(LEFT(_xll.BDP($C158, VOLUME_AVG_6M), 4) = "#N/A", "",  _xll.BDP($C158, VOLUME_AVG_6M))</f>
        <v>7374.0478515625</v>
      </c>
      <c r="AC158" s="31" cm="1">
        <f t="array" ref="AC158">IF(LEFT(_xll.BDP($C158, VOLUME_AVG_12M), 4) = "#N/A", "",  _xll.BDP($C158, VOLUME_AVG_12M))</f>
        <v>5058.8525390625</v>
      </c>
      <c r="AD158" s="41" cm="1">
        <f t="array" ref="AD158">IF(LEFT(_xll.BDP($C158, LAST_PRICE), 4) = "#N/A", "",  _xll.BDP($C158, LAST_PRICE))</f>
        <v>0.2712</v>
      </c>
    </row>
    <row r="159" spans="1:30" x14ac:dyDescent="0.35">
      <c r="A159" s="1">
        <f t="shared" si="2"/>
        <v>156</v>
      </c>
      <c r="B159" s="28">
        <v>45700</v>
      </c>
      <c r="C159" s="29" t="s">
        <v>360</v>
      </c>
      <c r="D159" s="29" t="s">
        <v>360</v>
      </c>
      <c r="E159" s="29" t="s">
        <v>361</v>
      </c>
      <c r="F159" s="29" t="s">
        <v>40</v>
      </c>
      <c r="G159" s="30" t="s">
        <v>41</v>
      </c>
      <c r="H159" s="31">
        <v>5054821.74</v>
      </c>
      <c r="I159" s="31">
        <v>14800663.8707</v>
      </c>
      <c r="J159" s="32">
        <v>0.09</v>
      </c>
      <c r="K159" s="33">
        <v>45700</v>
      </c>
      <c r="L159" s="31"/>
      <c r="M159" s="32"/>
      <c r="N159" s="31"/>
      <c r="O159" s="33">
        <v>45699</v>
      </c>
      <c r="P159" s="34">
        <v>38039.699999999997</v>
      </c>
      <c r="Q159" s="34">
        <v>34805.480000000003</v>
      </c>
      <c r="R159" s="34">
        <v>34057.120000000003</v>
      </c>
      <c r="S159" s="29"/>
      <c r="T159" s="33"/>
      <c r="U159" s="35" t="b">
        <v>1</v>
      </c>
      <c r="V159" s="35" t="b">
        <v>1</v>
      </c>
      <c r="W159" s="35" t="b">
        <v>0</v>
      </c>
      <c r="Y159" s="31" cm="1">
        <f t="array" ref="Y159">IF(LEFT(_xll.BDP($C159, VOLUME_AVG_10D), 4) = "#N/A", "",  _xll.BDP($C159, VOLUME_AVG_10D))</f>
        <v>30549</v>
      </c>
      <c r="Z159" s="31" cm="1">
        <f t="array" ref="Z159">IF(LEFT(_xll.BDP($C159, VOLUME_AVG_30D), 4) = "#N/A", "",  _xll.BDP($C159, VOLUME_AVG_30D))</f>
        <v>38039.699999999997</v>
      </c>
      <c r="AA159" s="31" cm="1">
        <f t="array" ref="AA159">IF(LEFT(_xll.BDP($C159, VOLUME_AVG_3M), 4) = "#N/A", "",  _xll.BDP($C159, VOLUME_AVG_3M))</f>
        <v>34805.480000000003</v>
      </c>
      <c r="AB159" s="31" cm="1">
        <f t="array" ref="AB159">IF(LEFT(_xll.BDP($C159, VOLUME_AVG_6M), 4) = "#N/A", "",  _xll.BDP($C159, VOLUME_AVG_6M))</f>
        <v>34057.120000000003</v>
      </c>
      <c r="AC159" s="31" cm="1">
        <f t="array" ref="AC159">IF(LEFT(_xll.BDP($C159, VOLUME_AVG_12M), 4) = "#N/A", "",  _xll.BDP($C159, VOLUME_AVG_12M))</f>
        <v>47112.82</v>
      </c>
      <c r="AD159" s="41" cm="1">
        <f t="array" ref="AD159">IF(LEFT(_xll.BDP($C159, LAST_PRICE), 4) = "#N/A", "",  _xll.BDP($C159, LAST_PRICE))</f>
        <v>0.09</v>
      </c>
    </row>
    <row r="160" spans="1:30" x14ac:dyDescent="0.35">
      <c r="A160" s="1">
        <f t="shared" si="2"/>
        <v>157</v>
      </c>
      <c r="B160" s="28">
        <v>45700</v>
      </c>
      <c r="C160" s="29" t="s">
        <v>362</v>
      </c>
      <c r="D160" s="29" t="s">
        <v>362</v>
      </c>
      <c r="E160" s="29" t="s">
        <v>363</v>
      </c>
      <c r="F160" s="29" t="s">
        <v>33</v>
      </c>
      <c r="G160" s="30" t="s">
        <v>34</v>
      </c>
      <c r="H160" s="31">
        <v>429605504.44029301</v>
      </c>
      <c r="I160" s="31">
        <v>221849504.44029301</v>
      </c>
      <c r="J160" s="32">
        <v>15.8599996566772</v>
      </c>
      <c r="K160" s="33">
        <v>45700</v>
      </c>
      <c r="L160" s="31">
        <v>5475800</v>
      </c>
      <c r="M160" s="32">
        <v>3.88</v>
      </c>
      <c r="N160" s="31" t="s">
        <v>35</v>
      </c>
      <c r="O160" s="33">
        <v>45699</v>
      </c>
      <c r="P160" s="34">
        <v>389851.65625</v>
      </c>
      <c r="Q160" s="34">
        <v>424375.21875</v>
      </c>
      <c r="R160" s="34">
        <v>387655.5</v>
      </c>
      <c r="S160" s="29" t="s">
        <v>177</v>
      </c>
      <c r="T160" s="33">
        <v>45446</v>
      </c>
      <c r="U160" s="35" t="b">
        <v>0</v>
      </c>
      <c r="V160" s="35" t="b">
        <v>0</v>
      </c>
      <c r="W160" s="35" t="b">
        <v>0</v>
      </c>
      <c r="Y160" s="31" cm="1">
        <f t="array" ref="Y160">IF(LEFT(_xll.BDP($C160, VOLUME_AVG_10D), 4) = "#N/A", "",  _xll.BDP($C160, VOLUME_AVG_10D))</f>
        <v>430841</v>
      </c>
      <c r="Z160" s="31" cm="1">
        <f t="array" ref="Z160">IF(LEFT(_xll.BDP($C160, VOLUME_AVG_30D), 4) = "#N/A", "",  _xll.BDP($C160, VOLUME_AVG_30D))</f>
        <v>389851.65625</v>
      </c>
      <c r="AA160" s="31" cm="1">
        <f t="array" ref="AA160">IF(LEFT(_xll.BDP($C160, VOLUME_AVG_3M), 4) = "#N/A", "",  _xll.BDP($C160, VOLUME_AVG_3M))</f>
        <v>424375.21875</v>
      </c>
      <c r="AB160" s="31" cm="1">
        <f t="array" ref="AB160">IF(LEFT(_xll.BDP($C160, VOLUME_AVG_6M), 4) = "#N/A", "",  _xll.BDP($C160, VOLUME_AVG_6M))</f>
        <v>387655.5</v>
      </c>
      <c r="AC160" s="31" cm="1">
        <f t="array" ref="AC160">IF(LEFT(_xll.BDP($C160, VOLUME_AVG_12M), 4) = "#N/A", "",  _xll.BDP($C160, VOLUME_AVG_12M))</f>
        <v>469756.09375</v>
      </c>
      <c r="AD160" s="41" cm="1">
        <f t="array" ref="AD160">IF(LEFT(_xll.BDP($C160, LAST_PRICE), 4) = "#N/A", "",  _xll.BDP($C160, LAST_PRICE))</f>
        <v>15.86</v>
      </c>
    </row>
    <row r="161" spans="1:30" x14ac:dyDescent="0.35">
      <c r="A161" s="1">
        <f t="shared" si="2"/>
        <v>158</v>
      </c>
      <c r="B161" s="28">
        <v>45700</v>
      </c>
      <c r="C161" s="29" t="s">
        <v>364</v>
      </c>
      <c r="D161" s="29" t="s">
        <v>364</v>
      </c>
      <c r="E161" s="29" t="s">
        <v>365</v>
      </c>
      <c r="F161" s="29" t="s">
        <v>33</v>
      </c>
      <c r="G161" s="30" t="s">
        <v>34</v>
      </c>
      <c r="H161" s="31">
        <v>1098139308</v>
      </c>
      <c r="I161" s="31">
        <v>54139307.999999799</v>
      </c>
      <c r="J161" s="32">
        <v>12</v>
      </c>
      <c r="K161" s="33">
        <v>45700</v>
      </c>
      <c r="L161" s="31">
        <v>17759200</v>
      </c>
      <c r="M161" s="32">
        <v>3.88</v>
      </c>
      <c r="N161" s="31" t="s">
        <v>35</v>
      </c>
      <c r="O161" s="33">
        <v>45699</v>
      </c>
      <c r="P161" s="34">
        <v>613375.5625</v>
      </c>
      <c r="Q161" s="34">
        <v>652673.625</v>
      </c>
      <c r="R161" s="34">
        <v>681824.25</v>
      </c>
      <c r="S161" s="29" t="s">
        <v>46</v>
      </c>
      <c r="T161" s="33">
        <v>45446</v>
      </c>
      <c r="U161" s="35" t="b">
        <v>0</v>
      </c>
      <c r="V161" s="35" t="b">
        <v>0</v>
      </c>
      <c r="W161" s="35" t="b">
        <v>0</v>
      </c>
      <c r="Y161" s="31" cm="1">
        <f t="array" ref="Y161">IF(LEFT(_xll.BDP($C161, VOLUME_AVG_10D), 4) = "#N/A", "",  _xll.BDP($C161, VOLUME_AVG_10D))</f>
        <v>592629.3125</v>
      </c>
      <c r="Z161" s="31" cm="1">
        <f t="array" ref="Z161">IF(LEFT(_xll.BDP($C161, VOLUME_AVG_30D), 4) = "#N/A", "",  _xll.BDP($C161, VOLUME_AVG_30D))</f>
        <v>613375.5625</v>
      </c>
      <c r="AA161" s="31" cm="1">
        <f t="array" ref="AA161">IF(LEFT(_xll.BDP($C161, VOLUME_AVG_3M), 4) = "#N/A", "",  _xll.BDP($C161, VOLUME_AVG_3M))</f>
        <v>652673.625</v>
      </c>
      <c r="AB161" s="31" cm="1">
        <f t="array" ref="AB161">IF(LEFT(_xll.BDP($C161, VOLUME_AVG_6M), 4) = "#N/A", "",  _xll.BDP($C161, VOLUME_AVG_6M))</f>
        <v>681824.25</v>
      </c>
      <c r="AC161" s="31" cm="1">
        <f t="array" ref="AC161">IF(LEFT(_xll.BDP($C161, VOLUME_AVG_12M), 4) = "#N/A", "",  _xll.BDP($C161, VOLUME_AVG_12M))</f>
        <v>707048.3125</v>
      </c>
      <c r="AD161" s="41" cm="1">
        <f t="array" ref="AD161">IF(LEFT(_xll.BDP($C161, LAST_PRICE), 4) = "#N/A", "",  _xll.BDP($C161, LAST_PRICE))</f>
        <v>12</v>
      </c>
    </row>
    <row r="162" spans="1:30" x14ac:dyDescent="0.35">
      <c r="A162" s="1">
        <f t="shared" si="2"/>
        <v>159</v>
      </c>
      <c r="B162" s="28">
        <v>45700</v>
      </c>
      <c r="C162" s="29" t="s">
        <v>366</v>
      </c>
      <c r="D162" s="29" t="s">
        <v>366</v>
      </c>
      <c r="E162" s="29" t="s">
        <v>367</v>
      </c>
      <c r="F162" s="29" t="s">
        <v>33</v>
      </c>
      <c r="G162" s="30" t="s">
        <v>34</v>
      </c>
      <c r="H162" s="31">
        <v>1546159051.5748999</v>
      </c>
      <c r="I162" s="31">
        <v>1423776051.5748999</v>
      </c>
      <c r="J162" s="32">
        <v>13.210000038146999</v>
      </c>
      <c r="K162" s="33">
        <v>45700</v>
      </c>
      <c r="L162" s="31">
        <v>26865400</v>
      </c>
      <c r="M162" s="32">
        <v>3.88</v>
      </c>
      <c r="N162" s="31" t="s">
        <v>35</v>
      </c>
      <c r="O162" s="33">
        <v>45699</v>
      </c>
      <c r="P162" s="34">
        <v>1877494.625</v>
      </c>
      <c r="Q162" s="34">
        <v>2000595.5</v>
      </c>
      <c r="R162" s="34">
        <v>2065266.375</v>
      </c>
      <c r="S162" s="29" t="s">
        <v>73</v>
      </c>
      <c r="T162" s="33">
        <v>45446</v>
      </c>
      <c r="U162" s="35" t="b">
        <v>0</v>
      </c>
      <c r="V162" s="35" t="b">
        <v>0</v>
      </c>
      <c r="W162" s="35" t="b">
        <v>0</v>
      </c>
      <c r="Y162" s="31" cm="1">
        <f t="array" ref="Y162">IF(LEFT(_xll.BDP($C162, VOLUME_AVG_10D), 4) = "#N/A", "",  _xll.BDP($C162, VOLUME_AVG_10D))</f>
        <v>1846652.5</v>
      </c>
      <c r="Z162" s="31" cm="1">
        <f t="array" ref="Z162">IF(LEFT(_xll.BDP($C162, VOLUME_AVG_30D), 4) = "#N/A", "",  _xll.BDP($C162, VOLUME_AVG_30D))</f>
        <v>1877494.625</v>
      </c>
      <c r="AA162" s="31" cm="1">
        <f t="array" ref="AA162">IF(LEFT(_xll.BDP($C162, VOLUME_AVG_3M), 4) = "#N/A", "",  _xll.BDP($C162, VOLUME_AVG_3M))</f>
        <v>2000595.5</v>
      </c>
      <c r="AB162" s="31" cm="1">
        <f t="array" ref="AB162">IF(LEFT(_xll.BDP($C162, VOLUME_AVG_6M), 4) = "#N/A", "",  _xll.BDP($C162, VOLUME_AVG_6M))</f>
        <v>2065266.375</v>
      </c>
      <c r="AC162" s="31" cm="1">
        <f t="array" ref="AC162">IF(LEFT(_xll.BDP($C162, VOLUME_AVG_12M), 4) = "#N/A", "",  _xll.BDP($C162, VOLUME_AVG_12M))</f>
        <v>2689513.5</v>
      </c>
      <c r="AD162" s="41" cm="1">
        <f t="array" ref="AD162">IF(LEFT(_xll.BDP($C162, LAST_PRICE), 4) = "#N/A", "",  _xll.BDP($C162, LAST_PRICE))</f>
        <v>13.21</v>
      </c>
    </row>
    <row r="163" spans="1:30" x14ac:dyDescent="0.35">
      <c r="A163" s="1">
        <f t="shared" si="2"/>
        <v>160</v>
      </c>
      <c r="B163" s="28">
        <v>45700</v>
      </c>
      <c r="C163" s="29" t="s">
        <v>368</v>
      </c>
      <c r="D163" s="29" t="s">
        <v>368</v>
      </c>
      <c r="E163" s="29" t="s">
        <v>369</v>
      </c>
      <c r="F163" s="29" t="s">
        <v>33</v>
      </c>
      <c r="G163" s="30" t="s">
        <v>34</v>
      </c>
      <c r="H163" s="31">
        <v>1290855726.3236301</v>
      </c>
      <c r="I163" s="31">
        <v>1204945726.3236301</v>
      </c>
      <c r="J163" s="32">
        <v>5.4499998092651403</v>
      </c>
      <c r="K163" s="33">
        <v>45700</v>
      </c>
      <c r="L163" s="31">
        <v>52350500</v>
      </c>
      <c r="M163" s="32">
        <v>3.88</v>
      </c>
      <c r="N163" s="31" t="s">
        <v>35</v>
      </c>
      <c r="O163" s="33">
        <v>45699</v>
      </c>
      <c r="P163" s="34">
        <v>4464242</v>
      </c>
      <c r="Q163" s="34">
        <v>4534124.5</v>
      </c>
      <c r="R163" s="34">
        <v>3933402</v>
      </c>
      <c r="S163" s="29" t="s">
        <v>192</v>
      </c>
      <c r="T163" s="33">
        <v>45446</v>
      </c>
      <c r="U163" s="35" t="b">
        <v>0</v>
      </c>
      <c r="V163" s="35" t="b">
        <v>0</v>
      </c>
      <c r="W163" s="35" t="b">
        <v>0</v>
      </c>
      <c r="Y163" s="31" cm="1">
        <f t="array" ref="Y163">IF(LEFT(_xll.BDP($C163, VOLUME_AVG_10D), 4) = "#N/A", "",  _xll.BDP($C163, VOLUME_AVG_10D))</f>
        <v>3041602</v>
      </c>
      <c r="Z163" s="31" cm="1">
        <f t="array" ref="Z163">IF(LEFT(_xll.BDP($C163, VOLUME_AVG_30D), 4) = "#N/A", "",  _xll.BDP($C163, VOLUME_AVG_30D))</f>
        <v>4464242</v>
      </c>
      <c r="AA163" s="31" cm="1">
        <f t="array" ref="AA163">IF(LEFT(_xll.BDP($C163, VOLUME_AVG_3M), 4) = "#N/A", "",  _xll.BDP($C163, VOLUME_AVG_3M))</f>
        <v>4534124.5</v>
      </c>
      <c r="AB163" s="31" cm="1">
        <f t="array" ref="AB163">IF(LEFT(_xll.BDP($C163, VOLUME_AVG_6M), 4) = "#N/A", "",  _xll.BDP($C163, VOLUME_AVG_6M))</f>
        <v>3933402</v>
      </c>
      <c r="AC163" s="31" cm="1">
        <f t="array" ref="AC163">IF(LEFT(_xll.BDP($C163, VOLUME_AVG_12M), 4) = "#N/A", "",  _xll.BDP($C163, VOLUME_AVG_12M))</f>
        <v>4614720</v>
      </c>
      <c r="AD163" s="41" cm="1">
        <f t="array" ref="AD163">IF(LEFT(_xll.BDP($C163, LAST_PRICE), 4) = "#N/A", "",  _xll.BDP($C163, LAST_PRICE))</f>
        <v>5.45</v>
      </c>
    </row>
    <row r="164" spans="1:30" x14ac:dyDescent="0.35">
      <c r="A164" s="1">
        <f t="shared" si="2"/>
        <v>161</v>
      </c>
      <c r="B164" s="28">
        <v>45700</v>
      </c>
      <c r="C164" s="29" t="s">
        <v>370</v>
      </c>
      <c r="D164" s="29" t="s">
        <v>370</v>
      </c>
      <c r="E164" s="29" t="s">
        <v>371</v>
      </c>
      <c r="F164" s="29" t="s">
        <v>33</v>
      </c>
      <c r="G164" s="30" t="s">
        <v>34</v>
      </c>
      <c r="H164" s="31">
        <v>2071053178.3189499</v>
      </c>
      <c r="I164" s="31">
        <v>3218588178.3189502</v>
      </c>
      <c r="J164" s="32">
        <v>14.5100002288818</v>
      </c>
      <c r="K164" s="33">
        <v>45700</v>
      </c>
      <c r="L164" s="31">
        <v>1884000</v>
      </c>
      <c r="M164" s="32">
        <v>3.6</v>
      </c>
      <c r="N164" s="31" t="s">
        <v>35</v>
      </c>
      <c r="O164" s="33">
        <v>45699</v>
      </c>
      <c r="P164" s="34">
        <v>334789.8125</v>
      </c>
      <c r="Q164" s="34">
        <v>285041.125</v>
      </c>
      <c r="R164" s="34">
        <v>336073.3125</v>
      </c>
      <c r="S164" s="29"/>
      <c r="T164" s="33"/>
      <c r="U164" s="35" t="b">
        <v>0</v>
      </c>
      <c r="V164" s="35" t="b">
        <v>0</v>
      </c>
      <c r="W164" s="35" t="b">
        <v>0</v>
      </c>
      <c r="Y164" s="31" cm="1">
        <f t="array" ref="Y164">IF(LEFT(_xll.BDP($C164, VOLUME_AVG_10D), 4) = "#N/A", "",  _xll.BDP($C164, VOLUME_AVG_10D))</f>
        <v>214409.40625</v>
      </c>
      <c r="Z164" s="31" cm="1">
        <f t="array" ref="Z164">IF(LEFT(_xll.BDP($C164, VOLUME_AVG_30D), 4) = "#N/A", "",  _xll.BDP($C164, VOLUME_AVG_30D))</f>
        <v>334789.8125</v>
      </c>
      <c r="AA164" s="31" cm="1">
        <f t="array" ref="AA164">IF(LEFT(_xll.BDP($C164, VOLUME_AVG_3M), 4) = "#N/A", "",  _xll.BDP($C164, VOLUME_AVG_3M))</f>
        <v>285041.125</v>
      </c>
      <c r="AB164" s="31" cm="1">
        <f t="array" ref="AB164">IF(LEFT(_xll.BDP($C164, VOLUME_AVG_6M), 4) = "#N/A", "",  _xll.BDP($C164, VOLUME_AVG_6M))</f>
        <v>336073.3125</v>
      </c>
      <c r="AC164" s="31" t="str" cm="1">
        <f t="array" ref="AC164">IF(LEFT(_xll.BDP($C164, VOLUME_AVG_12M), 4) = "#N/A", "",  _xll.BDP($C164, VOLUME_AVG_12M))</f>
        <v/>
      </c>
      <c r="AD164" s="41" cm="1">
        <f t="array" ref="AD164">IF(LEFT(_xll.BDP($C164, LAST_PRICE), 4) = "#N/A", "",  _xll.BDP($C164, LAST_PRICE))</f>
        <v>14.51</v>
      </c>
    </row>
    <row r="165" spans="1:30" x14ac:dyDescent="0.35">
      <c r="A165" s="1">
        <f t="shared" si="2"/>
        <v>162</v>
      </c>
      <c r="B165" s="28">
        <v>45700</v>
      </c>
      <c r="C165" s="29" t="s">
        <v>372</v>
      </c>
      <c r="D165" s="29" t="s">
        <v>372</v>
      </c>
      <c r="E165" s="29" t="s">
        <v>373</v>
      </c>
      <c r="F165" s="29" t="s">
        <v>33</v>
      </c>
      <c r="G165" s="30" t="s">
        <v>34</v>
      </c>
      <c r="H165" s="31">
        <v>4457.4021000000002</v>
      </c>
      <c r="I165" s="31">
        <v>4809457.4020999996</v>
      </c>
      <c r="J165" s="32">
        <v>1E-4</v>
      </c>
      <c r="K165" s="33">
        <v>45700</v>
      </c>
      <c r="L165" s="31"/>
      <c r="M165" s="32"/>
      <c r="N165" s="31"/>
      <c r="O165" s="33">
        <v>45699</v>
      </c>
      <c r="P165" s="34">
        <v>9863.56640625</v>
      </c>
      <c r="Q165" s="34">
        <v>16198.2900390625</v>
      </c>
      <c r="R165" s="34">
        <v>11668.7939453125</v>
      </c>
      <c r="S165" s="29"/>
      <c r="T165" s="33"/>
      <c r="U165" s="35" t="b">
        <v>1</v>
      </c>
      <c r="V165" s="35" t="b">
        <v>1</v>
      </c>
      <c r="W165" s="35" t="b">
        <v>0</v>
      </c>
      <c r="Y165" s="31" cm="1">
        <f t="array" ref="Y165">IF(LEFT(_xll.BDP($C165, VOLUME_AVG_10D), 4) = "#N/A", "",  _xll.BDP($C165, VOLUME_AVG_10D))</f>
        <v>5127</v>
      </c>
      <c r="Z165" s="31" cm="1">
        <f t="array" ref="Z165">IF(LEFT(_xll.BDP($C165, VOLUME_AVG_30D), 4) = "#N/A", "",  _xll.BDP($C165, VOLUME_AVG_30D))</f>
        <v>9863.56640625</v>
      </c>
      <c r="AA165" s="31" cm="1">
        <f t="array" ref="AA165">IF(LEFT(_xll.BDP($C165, VOLUME_AVG_3M), 4) = "#N/A", "",  _xll.BDP($C165, VOLUME_AVG_3M))</f>
        <v>16198.2900390625</v>
      </c>
      <c r="AB165" s="31" cm="1">
        <f t="array" ref="AB165">IF(LEFT(_xll.BDP($C165, VOLUME_AVG_6M), 4) = "#N/A", "",  _xll.BDP($C165, VOLUME_AVG_6M))</f>
        <v>11668.7939453125</v>
      </c>
      <c r="AC165" s="31" cm="1">
        <f t="array" ref="AC165">IF(LEFT(_xll.BDP($C165, VOLUME_AVG_12M), 4) = "#N/A", "",  _xll.BDP($C165, VOLUME_AVG_12M))</f>
        <v>44227.65625</v>
      </c>
      <c r="AD165" s="41" cm="1">
        <f t="array" ref="AD165">IF(LEFT(_xll.BDP($C165, LAST_PRICE), 4) = "#N/A", "",  _xll.BDP($C165, LAST_PRICE))</f>
        <v>1E-4</v>
      </c>
    </row>
    <row r="166" spans="1:30" x14ac:dyDescent="0.35">
      <c r="A166" s="1">
        <f t="shared" si="2"/>
        <v>163</v>
      </c>
      <c r="B166" s="28">
        <v>45700</v>
      </c>
      <c r="C166" s="29" t="s">
        <v>374</v>
      </c>
      <c r="D166" s="29" t="s">
        <v>374</v>
      </c>
      <c r="E166" s="29" t="s">
        <v>375</v>
      </c>
      <c r="F166" s="29" t="s">
        <v>33</v>
      </c>
      <c r="G166" s="30" t="s">
        <v>34</v>
      </c>
      <c r="H166" s="31">
        <v>70556982.375343099</v>
      </c>
      <c r="I166" s="31">
        <v>193741982.37534299</v>
      </c>
      <c r="J166" s="32">
        <v>1.95000004768372</v>
      </c>
      <c r="K166" s="33">
        <v>45700</v>
      </c>
      <c r="L166" s="31">
        <v>424400</v>
      </c>
      <c r="M166" s="32">
        <v>-8.0500000000000007</v>
      </c>
      <c r="N166" s="31" t="s">
        <v>35</v>
      </c>
      <c r="O166" s="33">
        <v>45699</v>
      </c>
      <c r="P166" s="34">
        <v>10048.533203125</v>
      </c>
      <c r="Q166" s="34">
        <v>11408.564453125</v>
      </c>
      <c r="R166" s="34">
        <v>9203.904296875</v>
      </c>
      <c r="S166" s="29"/>
      <c r="T166" s="33"/>
      <c r="U166" s="35" t="b">
        <v>0</v>
      </c>
      <c r="V166" s="35" t="b">
        <v>0</v>
      </c>
      <c r="W166" s="35" t="b">
        <v>0</v>
      </c>
      <c r="Y166" s="31" cm="1">
        <f t="array" ref="Y166">IF(LEFT(_xll.BDP($C166, VOLUME_AVG_10D), 4) = "#N/A", "",  _xll.BDP($C166, VOLUME_AVG_10D))</f>
        <v>6192</v>
      </c>
      <c r="Z166" s="31" cm="1">
        <f t="array" ref="Z166">IF(LEFT(_xll.BDP($C166, VOLUME_AVG_30D), 4) = "#N/A", "",  _xll.BDP($C166, VOLUME_AVG_30D))</f>
        <v>10048.533203125</v>
      </c>
      <c r="AA166" s="31" cm="1">
        <f t="array" ref="AA166">IF(LEFT(_xll.BDP($C166, VOLUME_AVG_3M), 4) = "#N/A", "",  _xll.BDP($C166, VOLUME_AVG_3M))</f>
        <v>11408.564453125</v>
      </c>
      <c r="AB166" s="31" cm="1">
        <f t="array" ref="AB166">IF(LEFT(_xll.BDP($C166, VOLUME_AVG_6M), 4) = "#N/A", "",  _xll.BDP($C166, VOLUME_AVG_6M))</f>
        <v>9203.904296875</v>
      </c>
      <c r="AC166" s="31" cm="1">
        <f t="array" ref="AC166">IF(LEFT(_xll.BDP($C166, VOLUME_AVG_12M), 4) = "#N/A", "",  _xll.BDP($C166, VOLUME_AVG_12M))</f>
        <v>11340.697265625</v>
      </c>
      <c r="AD166" s="41" cm="1">
        <f t="array" ref="AD166">IF(LEFT(_xll.BDP($C166, LAST_PRICE), 4) = "#N/A", "",  _xll.BDP($C166, LAST_PRICE))</f>
        <v>1.95</v>
      </c>
    </row>
    <row r="167" spans="1:30" x14ac:dyDescent="0.35">
      <c r="A167" s="1">
        <f t="shared" si="2"/>
        <v>164</v>
      </c>
      <c r="B167" s="28">
        <v>45700</v>
      </c>
      <c r="C167" s="29" t="s">
        <v>376</v>
      </c>
      <c r="D167" s="29" t="s">
        <v>376</v>
      </c>
      <c r="E167" s="29" t="s">
        <v>377</v>
      </c>
      <c r="F167" s="29" t="s">
        <v>33</v>
      </c>
      <c r="G167" s="30" t="s">
        <v>34</v>
      </c>
      <c r="H167" s="31"/>
      <c r="I167" s="31"/>
      <c r="J167" s="32"/>
      <c r="K167" s="33">
        <v>45700</v>
      </c>
      <c r="L167" s="31"/>
      <c r="M167" s="32"/>
      <c r="N167" s="31"/>
      <c r="O167" s="33">
        <v>45699</v>
      </c>
      <c r="P167" s="34"/>
      <c r="Q167" s="34"/>
      <c r="R167" s="34">
        <v>237.82539367675801</v>
      </c>
      <c r="S167" s="29"/>
      <c r="T167" s="33"/>
      <c r="U167" s="35" t="b">
        <v>1</v>
      </c>
      <c r="V167" s="35" t="b">
        <v>1</v>
      </c>
      <c r="W167" s="35" t="b">
        <v>1</v>
      </c>
      <c r="Y167" s="31" cm="1">
        <f t="array" ref="Y167">IF(LEFT(_xll.BDP($C167, VOLUME_AVG_10D), 4) = "#N/A", "",  _xll.BDP($C167, VOLUME_AVG_10D))</f>
        <v>0</v>
      </c>
      <c r="Z167" s="31" cm="1">
        <f t="array" ref="Z167">IF(LEFT(_xll.BDP($C167, VOLUME_AVG_30D), 4) = "#N/A", "",  _xll.BDP($C167, VOLUME_AVG_30D))</f>
        <v>0</v>
      </c>
      <c r="AA167" s="31" cm="1">
        <f t="array" ref="AA167">IF(LEFT(_xll.BDP($C167, VOLUME_AVG_3M), 4) = "#N/A", "",  _xll.BDP($C167, VOLUME_AVG_3M))</f>
        <v>0</v>
      </c>
      <c r="AB167" s="31" cm="1">
        <f t="array" ref="AB167">IF(LEFT(_xll.BDP($C167, VOLUME_AVG_6M), 4) = "#N/A", "",  _xll.BDP($C167, VOLUME_AVG_6M))</f>
        <v>237.82539367675781</v>
      </c>
      <c r="AC167" s="31" cm="1">
        <f t="array" ref="AC167">IF(LEFT(_xll.BDP($C167, VOLUME_AVG_12M), 4) = "#N/A", "",  _xll.BDP($C167, VOLUME_AVG_12M))</f>
        <v>134.72509765625</v>
      </c>
      <c r="AD167" s="41" t="str" cm="1">
        <f t="array" ref="AD167">IF(LEFT(_xll.BDP($C167, LAST_PRICE), 4) = "#N/A", "",  _xll.BDP($C167, LAST_PRICE))</f>
        <v/>
      </c>
    </row>
    <row r="168" spans="1:30" x14ac:dyDescent="0.35">
      <c r="A168" s="1">
        <f t="shared" si="2"/>
        <v>165</v>
      </c>
      <c r="B168" s="28">
        <v>45700</v>
      </c>
      <c r="C168" s="29" t="s">
        <v>378</v>
      </c>
      <c r="D168" s="29" t="s">
        <v>378</v>
      </c>
      <c r="E168" s="29" t="s">
        <v>379</v>
      </c>
      <c r="F168" s="29" t="s">
        <v>33</v>
      </c>
      <c r="G168" s="30" t="s">
        <v>34</v>
      </c>
      <c r="H168" s="31"/>
      <c r="I168" s="31"/>
      <c r="J168" s="32">
        <v>9.9999999747524292E-7</v>
      </c>
      <c r="K168" s="33">
        <v>45700</v>
      </c>
      <c r="L168" s="31"/>
      <c r="M168" s="32"/>
      <c r="N168" s="31"/>
      <c r="O168" s="33">
        <v>45699</v>
      </c>
      <c r="P168" s="34">
        <v>129790.5703125</v>
      </c>
      <c r="Q168" s="34">
        <v>62801.88671875</v>
      </c>
      <c r="R168" s="34">
        <v>47302.15234375</v>
      </c>
      <c r="S168" s="29"/>
      <c r="T168" s="33"/>
      <c r="U168" s="35" t="b">
        <v>1</v>
      </c>
      <c r="V168" s="35" t="b">
        <v>1</v>
      </c>
      <c r="W168" s="35" t="b">
        <v>1</v>
      </c>
      <c r="Y168" s="31" cm="1">
        <f t="array" ref="Y168">IF(LEFT(_xll.BDP($C168, VOLUME_AVG_10D), 4) = "#N/A", "",  _xll.BDP($C168, VOLUME_AVG_10D))</f>
        <v>0</v>
      </c>
      <c r="Z168" s="31" cm="1">
        <f t="array" ref="Z168">IF(LEFT(_xll.BDP($C168, VOLUME_AVG_30D), 4) = "#N/A", "",  _xll.BDP($C168, VOLUME_AVG_30D))</f>
        <v>129790.5703125</v>
      </c>
      <c r="AA168" s="31" cm="1">
        <f t="array" ref="AA168">IF(LEFT(_xll.BDP($C168, VOLUME_AVG_3M), 4) = "#N/A", "",  _xll.BDP($C168, VOLUME_AVG_3M))</f>
        <v>62801.88671875</v>
      </c>
      <c r="AB168" s="31" cm="1">
        <f t="array" ref="AB168">IF(LEFT(_xll.BDP($C168, VOLUME_AVG_6M), 4) = "#N/A", "",  _xll.BDP($C168, VOLUME_AVG_6M))</f>
        <v>47302.15234375</v>
      </c>
      <c r="AC168" s="31" cm="1">
        <f t="array" ref="AC168">IF(LEFT(_xll.BDP($C168, VOLUME_AVG_12M), 4) = "#N/A", "",  _xll.BDP($C168, VOLUME_AVG_12M))</f>
        <v>50061.35546875</v>
      </c>
      <c r="AD168" s="41" cm="1">
        <f t="array" ref="AD168">IF(LEFT(_xll.BDP($C168, LAST_PRICE), 4) = "#N/A", "",  _xll.BDP($C168, LAST_PRICE))</f>
        <v>9.9999999999999995E-7</v>
      </c>
    </row>
    <row r="169" spans="1:30" x14ac:dyDescent="0.35">
      <c r="A169" s="1">
        <f t="shared" si="2"/>
        <v>166</v>
      </c>
      <c r="B169" s="28">
        <v>45700</v>
      </c>
      <c r="C169" s="29" t="s">
        <v>380</v>
      </c>
      <c r="D169" s="29" t="s">
        <v>380</v>
      </c>
      <c r="E169" s="29" t="s">
        <v>381</v>
      </c>
      <c r="F169" s="29" t="s">
        <v>33</v>
      </c>
      <c r="G169" s="30" t="s">
        <v>34</v>
      </c>
      <c r="H169" s="31">
        <v>906453618.04555297</v>
      </c>
      <c r="I169" s="31">
        <v>623811618.04555297</v>
      </c>
      <c r="J169" s="32">
        <v>26.899999618530298</v>
      </c>
      <c r="K169" s="33">
        <v>45700</v>
      </c>
      <c r="L169" s="31">
        <v>2390700</v>
      </c>
      <c r="M169" s="32">
        <v>3.65</v>
      </c>
      <c r="N169" s="31" t="s">
        <v>35</v>
      </c>
      <c r="O169" s="33">
        <v>45699</v>
      </c>
      <c r="P169" s="34">
        <v>149788.734375</v>
      </c>
      <c r="Q169" s="34">
        <v>157164.3125</v>
      </c>
      <c r="R169" s="34">
        <v>218599.078125</v>
      </c>
      <c r="S169" s="29"/>
      <c r="T169" s="33"/>
      <c r="U169" s="35" t="b">
        <v>0</v>
      </c>
      <c r="V169" s="35" t="b">
        <v>0</v>
      </c>
      <c r="W169" s="35" t="b">
        <v>0</v>
      </c>
      <c r="Y169" s="31" cm="1">
        <f t="array" ref="Y169">IF(LEFT(_xll.BDP($C169, VOLUME_AVG_10D), 4) = "#N/A", "",  _xll.BDP($C169, VOLUME_AVG_10D))</f>
        <v>163701.59375</v>
      </c>
      <c r="Z169" s="31" cm="1">
        <f t="array" ref="Z169">IF(LEFT(_xll.BDP($C169, VOLUME_AVG_30D), 4) = "#N/A", "",  _xll.BDP($C169, VOLUME_AVG_30D))</f>
        <v>149788.734375</v>
      </c>
      <c r="AA169" s="31" cm="1">
        <f t="array" ref="AA169">IF(LEFT(_xll.BDP($C169, VOLUME_AVG_3M), 4) = "#N/A", "",  _xll.BDP($C169, VOLUME_AVG_3M))</f>
        <v>157164.3125</v>
      </c>
      <c r="AB169" s="31" cm="1">
        <f t="array" ref="AB169">IF(LEFT(_xll.BDP($C169, VOLUME_AVG_6M), 4) = "#N/A", "",  _xll.BDP($C169, VOLUME_AVG_6M))</f>
        <v>218599.078125</v>
      </c>
      <c r="AC169" s="31" cm="1">
        <f t="array" ref="AC169">IF(LEFT(_xll.BDP($C169, VOLUME_AVG_12M), 4) = "#N/A", "",  _xll.BDP($C169, VOLUME_AVG_12M))</f>
        <v>168981.9375</v>
      </c>
      <c r="AD169" s="41" cm="1">
        <f t="array" ref="AD169">IF(LEFT(_xll.BDP($C169, LAST_PRICE), 4) = "#N/A", "",  _xll.BDP($C169, LAST_PRICE))</f>
        <v>26.9</v>
      </c>
    </row>
    <row r="170" spans="1:30" x14ac:dyDescent="0.35">
      <c r="A170" s="1">
        <f t="shared" si="2"/>
        <v>167</v>
      </c>
      <c r="B170" s="28">
        <v>45700</v>
      </c>
      <c r="C170" s="29" t="s">
        <v>382</v>
      </c>
      <c r="D170" s="29" t="s">
        <v>382</v>
      </c>
      <c r="E170" s="29" t="s">
        <v>383</v>
      </c>
      <c r="F170" s="29" t="s">
        <v>33</v>
      </c>
      <c r="G170" s="30" t="s">
        <v>34</v>
      </c>
      <c r="H170" s="31">
        <v>2341641882.78791</v>
      </c>
      <c r="I170" s="31">
        <v>1908048882.78791</v>
      </c>
      <c r="J170" s="32">
        <v>18.569999694824201</v>
      </c>
      <c r="K170" s="33">
        <v>45700</v>
      </c>
      <c r="L170" s="31">
        <v>39018800</v>
      </c>
      <c r="M170" s="32">
        <v>3.88</v>
      </c>
      <c r="N170" s="31" t="s">
        <v>35</v>
      </c>
      <c r="O170" s="33">
        <v>45699</v>
      </c>
      <c r="P170" s="34">
        <v>2257952.5</v>
      </c>
      <c r="Q170" s="34">
        <v>2029093.5</v>
      </c>
      <c r="R170" s="34">
        <v>1520311.625</v>
      </c>
      <c r="S170" s="29" t="s">
        <v>177</v>
      </c>
      <c r="T170" s="33">
        <v>45446</v>
      </c>
      <c r="U170" s="35" t="b">
        <v>0</v>
      </c>
      <c r="V170" s="35" t="b">
        <v>0</v>
      </c>
      <c r="W170" s="35" t="b">
        <v>0</v>
      </c>
      <c r="Y170" s="31" cm="1">
        <f t="array" ref="Y170">IF(LEFT(_xll.BDP($C170, VOLUME_AVG_10D), 4) = "#N/A", "",  _xll.BDP($C170, VOLUME_AVG_10D))</f>
        <v>1397942.375</v>
      </c>
      <c r="Z170" s="31" cm="1">
        <f t="array" ref="Z170">IF(LEFT(_xll.BDP($C170, VOLUME_AVG_30D), 4) = "#N/A", "",  _xll.BDP($C170, VOLUME_AVG_30D))</f>
        <v>2257952.5</v>
      </c>
      <c r="AA170" s="31" cm="1">
        <f t="array" ref="AA170">IF(LEFT(_xll.BDP($C170, VOLUME_AVG_3M), 4) = "#N/A", "",  _xll.BDP($C170, VOLUME_AVG_3M))</f>
        <v>2029093.5</v>
      </c>
      <c r="AB170" s="31" cm="1">
        <f t="array" ref="AB170">IF(LEFT(_xll.BDP($C170, VOLUME_AVG_6M), 4) = "#N/A", "",  _xll.BDP($C170, VOLUME_AVG_6M))</f>
        <v>1520311.625</v>
      </c>
      <c r="AC170" s="31" cm="1">
        <f t="array" ref="AC170">IF(LEFT(_xll.BDP($C170, VOLUME_AVG_12M), 4) = "#N/A", "",  _xll.BDP($C170, VOLUME_AVG_12M))</f>
        <v>1338872.25</v>
      </c>
      <c r="AD170" s="41" cm="1">
        <f t="array" ref="AD170">IF(LEFT(_xll.BDP($C170, LAST_PRICE), 4) = "#N/A", "",  _xll.BDP($C170, LAST_PRICE))</f>
        <v>18.57</v>
      </c>
    </row>
    <row r="171" spans="1:30" x14ac:dyDescent="0.35">
      <c r="A171" s="1">
        <f t="shared" si="2"/>
        <v>168</v>
      </c>
      <c r="B171" s="28">
        <v>45700</v>
      </c>
      <c r="C171" s="29" t="s">
        <v>384</v>
      </c>
      <c r="D171" s="29" t="s">
        <v>384</v>
      </c>
      <c r="E171" s="29" t="s">
        <v>385</v>
      </c>
      <c r="F171" s="29" t="s">
        <v>33</v>
      </c>
      <c r="G171" s="30" t="s">
        <v>34</v>
      </c>
      <c r="H171" s="31">
        <v>1130267085.37199</v>
      </c>
      <c r="I171" s="31">
        <v>925745085.37199497</v>
      </c>
      <c r="J171" s="32">
        <v>11.6300001144409</v>
      </c>
      <c r="K171" s="33">
        <v>45700</v>
      </c>
      <c r="L171" s="31">
        <v>9837200</v>
      </c>
      <c r="M171" s="32">
        <v>3.7</v>
      </c>
      <c r="N171" s="31" t="s">
        <v>35</v>
      </c>
      <c r="O171" s="33">
        <v>45699</v>
      </c>
      <c r="P171" s="34">
        <v>1390316.375</v>
      </c>
      <c r="Q171" s="34">
        <v>1348605.875</v>
      </c>
      <c r="R171" s="34">
        <v>1253615.375</v>
      </c>
      <c r="S171" s="29" t="s">
        <v>285</v>
      </c>
      <c r="T171" s="33">
        <v>45446</v>
      </c>
      <c r="U171" s="35" t="b">
        <v>0</v>
      </c>
      <c r="V171" s="35" t="b">
        <v>0</v>
      </c>
      <c r="W171" s="35" t="b">
        <v>0</v>
      </c>
      <c r="Y171" s="31" cm="1">
        <f t="array" ref="Y171">IF(LEFT(_xll.BDP($C171, VOLUME_AVG_10D), 4) = "#N/A", "",  _xll.BDP($C171, VOLUME_AVG_10D))</f>
        <v>1241730.25</v>
      </c>
      <c r="Z171" s="31" cm="1">
        <f t="array" ref="Z171">IF(LEFT(_xll.BDP($C171, VOLUME_AVG_30D), 4) = "#N/A", "",  _xll.BDP($C171, VOLUME_AVG_30D))</f>
        <v>1390316.375</v>
      </c>
      <c r="AA171" s="31" cm="1">
        <f t="array" ref="AA171">IF(LEFT(_xll.BDP($C171, VOLUME_AVG_3M), 4) = "#N/A", "",  _xll.BDP($C171, VOLUME_AVG_3M))</f>
        <v>1348605.875</v>
      </c>
      <c r="AB171" s="31" cm="1">
        <f t="array" ref="AB171">IF(LEFT(_xll.BDP($C171, VOLUME_AVG_6M), 4) = "#N/A", "",  _xll.BDP($C171, VOLUME_AVG_6M))</f>
        <v>1253615.375</v>
      </c>
      <c r="AC171" s="31" cm="1">
        <f t="array" ref="AC171">IF(LEFT(_xll.BDP($C171, VOLUME_AVG_12M), 4) = "#N/A", "",  _xll.BDP($C171, VOLUME_AVG_12M))</f>
        <v>970311.75</v>
      </c>
      <c r="AD171" s="41" cm="1">
        <f t="array" ref="AD171">IF(LEFT(_xll.BDP($C171, LAST_PRICE), 4) = "#N/A", "",  _xll.BDP($C171, LAST_PRICE))</f>
        <v>11.63</v>
      </c>
    </row>
    <row r="172" spans="1:30" x14ac:dyDescent="0.35">
      <c r="A172" s="1">
        <f t="shared" si="2"/>
        <v>169</v>
      </c>
      <c r="B172" s="28">
        <v>45700</v>
      </c>
      <c r="C172" s="29" t="s">
        <v>386</v>
      </c>
      <c r="D172" s="29" t="s">
        <v>386</v>
      </c>
      <c r="E172" s="29" t="s">
        <v>387</v>
      </c>
      <c r="F172" s="29" t="s">
        <v>33</v>
      </c>
      <c r="G172" s="30" t="s">
        <v>34</v>
      </c>
      <c r="H172" s="31">
        <v>4421949.0153908702</v>
      </c>
      <c r="I172" s="31">
        <v>-323050.98460912699</v>
      </c>
      <c r="J172" s="32">
        <v>1.37000000476837</v>
      </c>
      <c r="K172" s="33">
        <v>45700</v>
      </c>
      <c r="L172" s="31">
        <v>122400</v>
      </c>
      <c r="M172" s="32">
        <v>-0.7</v>
      </c>
      <c r="N172" s="31" t="s">
        <v>35</v>
      </c>
      <c r="O172" s="33">
        <v>45699</v>
      </c>
      <c r="P172" s="34">
        <v>28995.267578125</v>
      </c>
      <c r="Q172" s="34">
        <v>35762.46875</v>
      </c>
      <c r="R172" s="34">
        <v>23245.78515625</v>
      </c>
      <c r="S172" s="29"/>
      <c r="T172" s="33"/>
      <c r="U172" s="35" t="b">
        <v>1</v>
      </c>
      <c r="V172" s="35" t="b">
        <v>0</v>
      </c>
      <c r="W172" s="35" t="b">
        <v>1</v>
      </c>
      <c r="Y172" s="31" cm="1">
        <f t="array" ref="Y172">IF(LEFT(_xll.BDP($C172, VOLUME_AVG_10D), 4) = "#N/A", "",  _xll.BDP($C172, VOLUME_AVG_10D))</f>
        <v>40160</v>
      </c>
      <c r="Z172" s="31" cm="1">
        <f t="array" ref="Z172">IF(LEFT(_xll.BDP($C172, VOLUME_AVG_30D), 4) = "#N/A", "",  _xll.BDP($C172, VOLUME_AVG_30D))</f>
        <v>28995.267578125</v>
      </c>
      <c r="AA172" s="31" cm="1">
        <f t="array" ref="AA172">IF(LEFT(_xll.BDP($C172, VOLUME_AVG_3M), 4) = "#N/A", "",  _xll.BDP($C172, VOLUME_AVG_3M))</f>
        <v>35762.46875</v>
      </c>
      <c r="AB172" s="31" cm="1">
        <f t="array" ref="AB172">IF(LEFT(_xll.BDP($C172, VOLUME_AVG_6M), 4) = "#N/A", "",  _xll.BDP($C172, VOLUME_AVG_6M))</f>
        <v>23245.78515625</v>
      </c>
      <c r="AC172" s="31" cm="1">
        <f t="array" ref="AC172">IF(LEFT(_xll.BDP($C172, VOLUME_AVG_12M), 4) = "#N/A", "",  _xll.BDP($C172, VOLUME_AVG_12M))</f>
        <v>36473.26953125</v>
      </c>
      <c r="AD172" s="41" cm="1">
        <f t="array" ref="AD172">IF(LEFT(_xll.BDP($C172, LAST_PRICE), 4) = "#N/A", "",  _xll.BDP($C172, LAST_PRICE))</f>
        <v>1.37</v>
      </c>
    </row>
    <row r="173" spans="1:30" x14ac:dyDescent="0.35">
      <c r="A173" s="1">
        <f t="shared" si="2"/>
        <v>170</v>
      </c>
      <c r="B173" s="28">
        <v>45700</v>
      </c>
      <c r="C173" s="29" t="s">
        <v>388</v>
      </c>
      <c r="D173" s="29" t="s">
        <v>388</v>
      </c>
      <c r="E173" s="29" t="s">
        <v>389</v>
      </c>
      <c r="F173" s="29" t="s">
        <v>33</v>
      </c>
      <c r="G173" s="30" t="s">
        <v>34</v>
      </c>
      <c r="H173" s="31">
        <v>89384728.661487594</v>
      </c>
      <c r="I173" s="31">
        <v>229877728.661488</v>
      </c>
      <c r="J173" s="32">
        <v>3.6800000667571999</v>
      </c>
      <c r="K173" s="33">
        <v>45700</v>
      </c>
      <c r="L173" s="31">
        <v>1189100</v>
      </c>
      <c r="M173" s="32">
        <v>-9.85</v>
      </c>
      <c r="N173" s="31" t="s">
        <v>35</v>
      </c>
      <c r="O173" s="33">
        <v>45699</v>
      </c>
      <c r="P173" s="34">
        <v>78796.5</v>
      </c>
      <c r="Q173" s="34">
        <v>68577</v>
      </c>
      <c r="R173" s="34">
        <v>108425.515625</v>
      </c>
      <c r="S173" s="29"/>
      <c r="T173" s="33"/>
      <c r="U173" s="35" t="b">
        <v>0</v>
      </c>
      <c r="V173" s="35" t="b">
        <v>0</v>
      </c>
      <c r="W173" s="35" t="b">
        <v>0</v>
      </c>
      <c r="Y173" s="31" cm="1">
        <f t="array" ref="Y173">IF(LEFT(_xll.BDP($C173, VOLUME_AVG_10D), 4) = "#N/A", "",  _xll.BDP($C173, VOLUME_AVG_10D))</f>
        <v>101013.3984375</v>
      </c>
      <c r="Z173" s="31" cm="1">
        <f t="array" ref="Z173">IF(LEFT(_xll.BDP($C173, VOLUME_AVG_30D), 4) = "#N/A", "",  _xll.BDP($C173, VOLUME_AVG_30D))</f>
        <v>78796.5</v>
      </c>
      <c r="AA173" s="31" cm="1">
        <f t="array" ref="AA173">IF(LEFT(_xll.BDP($C173, VOLUME_AVG_3M), 4) = "#N/A", "",  _xll.BDP($C173, VOLUME_AVG_3M))</f>
        <v>68577</v>
      </c>
      <c r="AB173" s="31" cm="1">
        <f t="array" ref="AB173">IF(LEFT(_xll.BDP($C173, VOLUME_AVG_6M), 4) = "#N/A", "",  _xll.BDP($C173, VOLUME_AVG_6M))</f>
        <v>108425.515625</v>
      </c>
      <c r="AC173" s="31" t="str" cm="1">
        <f t="array" ref="AC173">IF(LEFT(_xll.BDP($C173, VOLUME_AVG_12M), 4) = "#N/A", "",  _xll.BDP($C173, VOLUME_AVG_12M))</f>
        <v/>
      </c>
      <c r="AD173" s="41" cm="1">
        <f t="array" ref="AD173">IF(LEFT(_xll.BDP($C173, LAST_PRICE), 4) = "#N/A", "",  _xll.BDP($C173, LAST_PRICE))</f>
        <v>3.68</v>
      </c>
    </row>
    <row r="174" spans="1:30" x14ac:dyDescent="0.35">
      <c r="A174" s="1">
        <f t="shared" si="2"/>
        <v>171</v>
      </c>
      <c r="B174" s="28">
        <v>45700</v>
      </c>
      <c r="C174" s="29" t="s">
        <v>390</v>
      </c>
      <c r="D174" s="29" t="s">
        <v>390</v>
      </c>
      <c r="E174" s="29" t="s">
        <v>391</v>
      </c>
      <c r="F174" s="29" t="s">
        <v>33</v>
      </c>
      <c r="G174" s="30" t="s">
        <v>34</v>
      </c>
      <c r="H174" s="31">
        <v>1251308911.5911701</v>
      </c>
      <c r="I174" s="31">
        <v>1558900911.5911701</v>
      </c>
      <c r="J174" s="32">
        <v>29.850000381469702</v>
      </c>
      <c r="K174" s="33">
        <v>45700</v>
      </c>
      <c r="L174" s="31">
        <v>7606900</v>
      </c>
      <c r="M174" s="32">
        <v>3.88</v>
      </c>
      <c r="N174" s="31" t="s">
        <v>35</v>
      </c>
      <c r="O174" s="33">
        <v>45699</v>
      </c>
      <c r="P174" s="34">
        <v>334618.5</v>
      </c>
      <c r="Q174" s="34">
        <v>293780.59375</v>
      </c>
      <c r="R174" s="34">
        <v>255224.96875</v>
      </c>
      <c r="S174" s="29"/>
      <c r="T174" s="33"/>
      <c r="U174" s="35" t="b">
        <v>0</v>
      </c>
      <c r="V174" s="35" t="b">
        <v>0</v>
      </c>
      <c r="W174" s="35" t="b">
        <v>0</v>
      </c>
      <c r="Y174" s="31" cm="1">
        <f t="array" ref="Y174">IF(LEFT(_xll.BDP($C174, VOLUME_AVG_10D), 4) = "#N/A", "",  _xll.BDP($C174, VOLUME_AVG_10D))</f>
        <v>334985.5</v>
      </c>
      <c r="Z174" s="31" cm="1">
        <f t="array" ref="Z174">IF(LEFT(_xll.BDP($C174, VOLUME_AVG_30D), 4) = "#N/A", "",  _xll.BDP($C174, VOLUME_AVG_30D))</f>
        <v>334618.5</v>
      </c>
      <c r="AA174" s="31" cm="1">
        <f t="array" ref="AA174">IF(LEFT(_xll.BDP($C174, VOLUME_AVG_3M), 4) = "#N/A", "",  _xll.BDP($C174, VOLUME_AVG_3M))</f>
        <v>293780.59375</v>
      </c>
      <c r="AB174" s="31" cm="1">
        <f t="array" ref="AB174">IF(LEFT(_xll.BDP($C174, VOLUME_AVG_6M), 4) = "#N/A", "",  _xll.BDP($C174, VOLUME_AVG_6M))</f>
        <v>255224.96875</v>
      </c>
      <c r="AC174" s="31" cm="1">
        <f t="array" ref="AC174">IF(LEFT(_xll.BDP($C174, VOLUME_AVG_12M), 4) = "#N/A", "",  _xll.BDP($C174, VOLUME_AVG_12M))</f>
        <v>242963.46875</v>
      </c>
      <c r="AD174" s="41" cm="1">
        <f t="array" ref="AD174">IF(LEFT(_xll.BDP($C174, LAST_PRICE), 4) = "#N/A", "",  _xll.BDP($C174, LAST_PRICE))</f>
        <v>29.85</v>
      </c>
    </row>
    <row r="175" spans="1:30" x14ac:dyDescent="0.35">
      <c r="A175" s="1">
        <f t="shared" si="2"/>
        <v>172</v>
      </c>
      <c r="B175" s="28">
        <v>45700</v>
      </c>
      <c r="C175" s="29" t="s">
        <v>392</v>
      </c>
      <c r="D175" s="29" t="s">
        <v>392</v>
      </c>
      <c r="E175" s="29" t="s">
        <v>393</v>
      </c>
      <c r="F175" s="29" t="s">
        <v>33</v>
      </c>
      <c r="G175" s="30" t="s">
        <v>34</v>
      </c>
      <c r="H175" s="31">
        <v>1234455065.1187699</v>
      </c>
      <c r="I175" s="31">
        <v>204755065.11877099</v>
      </c>
      <c r="J175" s="32">
        <v>17.950000762939499</v>
      </c>
      <c r="K175" s="33">
        <v>45700</v>
      </c>
      <c r="L175" s="31">
        <v>19770200</v>
      </c>
      <c r="M175" s="32">
        <v>3.88</v>
      </c>
      <c r="N175" s="31" t="s">
        <v>35</v>
      </c>
      <c r="O175" s="33">
        <v>45699</v>
      </c>
      <c r="P175" s="34">
        <v>907888.0625</v>
      </c>
      <c r="Q175" s="34">
        <v>896767.75</v>
      </c>
      <c r="R175" s="34">
        <v>717014.875</v>
      </c>
      <c r="S175" s="29" t="s">
        <v>46</v>
      </c>
      <c r="T175" s="33">
        <v>45446</v>
      </c>
      <c r="U175" s="35" t="b">
        <v>0</v>
      </c>
      <c r="V175" s="35" t="b">
        <v>0</v>
      </c>
      <c r="W175" s="35" t="b">
        <v>0</v>
      </c>
      <c r="Y175" s="31" cm="1">
        <f t="array" ref="Y175">IF(LEFT(_xll.BDP($C175, VOLUME_AVG_10D), 4) = "#N/A", "",  _xll.BDP($C175, VOLUME_AVG_10D))</f>
        <v>1050180.25</v>
      </c>
      <c r="Z175" s="31" cm="1">
        <f t="array" ref="Z175">IF(LEFT(_xll.BDP($C175, VOLUME_AVG_30D), 4) = "#N/A", "",  _xll.BDP($C175, VOLUME_AVG_30D))</f>
        <v>907888.0625</v>
      </c>
      <c r="AA175" s="31" cm="1">
        <f t="array" ref="AA175">IF(LEFT(_xll.BDP($C175, VOLUME_AVG_3M), 4) = "#N/A", "",  _xll.BDP($C175, VOLUME_AVG_3M))</f>
        <v>896767.75</v>
      </c>
      <c r="AB175" s="31" cm="1">
        <f t="array" ref="AB175">IF(LEFT(_xll.BDP($C175, VOLUME_AVG_6M), 4) = "#N/A", "",  _xll.BDP($C175, VOLUME_AVG_6M))</f>
        <v>717014.875</v>
      </c>
      <c r="AC175" s="31" cm="1">
        <f t="array" ref="AC175">IF(LEFT(_xll.BDP($C175, VOLUME_AVG_12M), 4) = "#N/A", "",  _xll.BDP($C175, VOLUME_AVG_12M))</f>
        <v>763309.8125</v>
      </c>
      <c r="AD175" s="41" cm="1">
        <f t="array" ref="AD175">IF(LEFT(_xll.BDP($C175, LAST_PRICE), 4) = "#N/A", "",  _xll.BDP($C175, LAST_PRICE))</f>
        <v>17.95</v>
      </c>
    </row>
    <row r="176" spans="1:30" x14ac:dyDescent="0.35">
      <c r="A176" s="1">
        <f t="shared" si="2"/>
        <v>173</v>
      </c>
      <c r="B176" s="28">
        <v>45700</v>
      </c>
      <c r="C176" s="29" t="s">
        <v>394</v>
      </c>
      <c r="D176" s="29" t="s">
        <v>394</v>
      </c>
      <c r="E176" s="29" t="s">
        <v>395</v>
      </c>
      <c r="F176" s="29" t="s">
        <v>33</v>
      </c>
      <c r="G176" s="30" t="s">
        <v>34</v>
      </c>
      <c r="H176" s="31"/>
      <c r="I176" s="31"/>
      <c r="J176" s="32"/>
      <c r="K176" s="33">
        <v>45700</v>
      </c>
      <c r="L176" s="31"/>
      <c r="M176" s="32"/>
      <c r="N176" s="31"/>
      <c r="O176" s="33">
        <v>45699</v>
      </c>
      <c r="P176" s="34"/>
      <c r="Q176" s="34">
        <v>4663.5322265625</v>
      </c>
      <c r="R176" s="34">
        <v>2294.75390625</v>
      </c>
      <c r="S176" s="29"/>
      <c r="T176" s="33"/>
      <c r="U176" s="35" t="b">
        <v>1</v>
      </c>
      <c r="V176" s="35" t="b">
        <v>1</v>
      </c>
      <c r="W176" s="35" t="b">
        <v>1</v>
      </c>
      <c r="Y176" s="31" cm="1">
        <f t="array" ref="Y176">IF(LEFT(_xll.BDP($C176, VOLUME_AVG_10D), 4) = "#N/A", "",  _xll.BDP($C176, VOLUME_AVG_10D))</f>
        <v>0</v>
      </c>
      <c r="Z176" s="31" cm="1">
        <f t="array" ref="Z176">IF(LEFT(_xll.BDP($C176, VOLUME_AVG_30D), 4) = "#N/A", "",  _xll.BDP($C176, VOLUME_AVG_30D))</f>
        <v>0</v>
      </c>
      <c r="AA176" s="31" cm="1">
        <f t="array" ref="AA176">IF(LEFT(_xll.BDP($C176, VOLUME_AVG_3M), 4) = "#N/A", "",  _xll.BDP($C176, VOLUME_AVG_3M))</f>
        <v>4663.5322265625</v>
      </c>
      <c r="AB176" s="31" cm="1">
        <f t="array" ref="AB176">IF(LEFT(_xll.BDP($C176, VOLUME_AVG_6M), 4) = "#N/A", "",  _xll.BDP($C176, VOLUME_AVG_6M))</f>
        <v>2294.75390625</v>
      </c>
      <c r="AC176" s="31" cm="1">
        <f t="array" ref="AC176">IF(LEFT(_xll.BDP($C176, VOLUME_AVG_12M), 4) = "#N/A", "",  _xll.BDP($C176, VOLUME_AVG_12M))</f>
        <v>1167.884521484375</v>
      </c>
      <c r="AD176" s="41" t="str" cm="1">
        <f t="array" ref="AD176">IF(LEFT(_xll.BDP($C176, LAST_PRICE), 4) = "#N/A", "",  _xll.BDP($C176, LAST_PRICE))</f>
        <v/>
      </c>
    </row>
    <row r="177" spans="1:30" x14ac:dyDescent="0.35">
      <c r="A177" s="1">
        <f t="shared" si="2"/>
        <v>174</v>
      </c>
      <c r="B177" s="28">
        <v>45700</v>
      </c>
      <c r="C177" s="29" t="s">
        <v>396</v>
      </c>
      <c r="D177" s="29" t="s">
        <v>396</v>
      </c>
      <c r="E177" s="29" t="s">
        <v>397</v>
      </c>
      <c r="F177" s="29" t="s">
        <v>33</v>
      </c>
      <c r="G177" s="30" t="s">
        <v>34</v>
      </c>
      <c r="H177" s="31">
        <v>7649400007.1469698</v>
      </c>
      <c r="I177" s="31"/>
      <c r="J177" s="32">
        <v>126.139999389648</v>
      </c>
      <c r="K177" s="33">
        <v>45700</v>
      </c>
      <c r="L177" s="31">
        <v>7801900</v>
      </c>
      <c r="M177" s="32">
        <v>3.88</v>
      </c>
      <c r="N177" s="31" t="s">
        <v>35</v>
      </c>
      <c r="O177" s="33">
        <v>45699</v>
      </c>
      <c r="P177" s="34">
        <v>417924.53125</v>
      </c>
      <c r="Q177" s="34">
        <v>447865.1875</v>
      </c>
      <c r="R177" s="34">
        <v>545132.375</v>
      </c>
      <c r="S177" s="29" t="s">
        <v>177</v>
      </c>
      <c r="T177" s="33">
        <v>45446</v>
      </c>
      <c r="U177" s="35" t="b">
        <v>0</v>
      </c>
      <c r="V177" s="35" t="b">
        <v>0</v>
      </c>
      <c r="W177" s="35" t="b">
        <v>1</v>
      </c>
      <c r="Y177" s="31" cm="1">
        <f t="array" ref="Y177">IF(LEFT(_xll.BDP($C177, VOLUME_AVG_10D), 4) = "#N/A", "",  _xll.BDP($C177, VOLUME_AVG_10D))</f>
        <v>385609.6875</v>
      </c>
      <c r="Z177" s="31" cm="1">
        <f t="array" ref="Z177">IF(LEFT(_xll.BDP($C177, VOLUME_AVG_30D), 4) = "#N/A", "",  _xll.BDP($C177, VOLUME_AVG_30D))</f>
        <v>417924.53125</v>
      </c>
      <c r="AA177" s="31" cm="1">
        <f t="array" ref="AA177">IF(LEFT(_xll.BDP($C177, VOLUME_AVG_3M), 4) = "#N/A", "",  _xll.BDP($C177, VOLUME_AVG_3M))</f>
        <v>447865.1875</v>
      </c>
      <c r="AB177" s="31" cm="1">
        <f t="array" ref="AB177">IF(LEFT(_xll.BDP($C177, VOLUME_AVG_6M), 4) = "#N/A", "",  _xll.BDP($C177, VOLUME_AVG_6M))</f>
        <v>545132.375</v>
      </c>
      <c r="AC177" s="31" cm="1">
        <f t="array" ref="AC177">IF(LEFT(_xll.BDP($C177, VOLUME_AVG_12M), 4) = "#N/A", "",  _xll.BDP($C177, VOLUME_AVG_12M))</f>
        <v>444043.90625</v>
      </c>
      <c r="AD177" s="41" cm="1">
        <f t="array" ref="AD177">IF(LEFT(_xll.BDP($C177, LAST_PRICE), 4) = "#N/A", "",  _xll.BDP($C177, LAST_PRICE))</f>
        <v>126.14</v>
      </c>
    </row>
    <row r="178" spans="1:30" x14ac:dyDescent="0.35">
      <c r="A178" s="1">
        <f t="shared" si="2"/>
        <v>175</v>
      </c>
      <c r="B178" s="28">
        <v>45700</v>
      </c>
      <c r="C178" s="29" t="s">
        <v>398</v>
      </c>
      <c r="D178" s="29" t="s">
        <v>398</v>
      </c>
      <c r="E178" s="29" t="s">
        <v>399</v>
      </c>
      <c r="F178" s="29" t="s">
        <v>33</v>
      </c>
      <c r="G178" s="30" t="s">
        <v>34</v>
      </c>
      <c r="H178" s="31">
        <v>5496931.6565816402</v>
      </c>
      <c r="I178" s="31">
        <v>5505931.6565816402</v>
      </c>
      <c r="J178" s="32">
        <v>0.31099998950958302</v>
      </c>
      <c r="K178" s="33">
        <v>45700</v>
      </c>
      <c r="L178" s="31">
        <v>619500</v>
      </c>
      <c r="M178" s="32">
        <v>-4.95</v>
      </c>
      <c r="N178" s="31" t="s">
        <v>35</v>
      </c>
      <c r="O178" s="33">
        <v>45699</v>
      </c>
      <c r="P178" s="34">
        <v>124278.1015625</v>
      </c>
      <c r="Q178" s="34">
        <v>100002.2734375</v>
      </c>
      <c r="R178" s="34">
        <v>100497.2578125</v>
      </c>
      <c r="S178" s="29"/>
      <c r="T178" s="33"/>
      <c r="U178" s="35" t="b">
        <v>1</v>
      </c>
      <c r="V178" s="35" t="b">
        <v>0</v>
      </c>
      <c r="W178" s="35" t="b">
        <v>0</v>
      </c>
      <c r="Y178" s="31" cm="1">
        <f t="array" ref="Y178">IF(LEFT(_xll.BDP($C178, VOLUME_AVG_10D), 4) = "#N/A", "",  _xll.BDP($C178, VOLUME_AVG_10D))</f>
        <v>186637.5</v>
      </c>
      <c r="Z178" s="31" cm="1">
        <f t="array" ref="Z178">IF(LEFT(_xll.BDP($C178, VOLUME_AVG_30D), 4) = "#N/A", "",  _xll.BDP($C178, VOLUME_AVG_30D))</f>
        <v>124278.1015625</v>
      </c>
      <c r="AA178" s="31" cm="1">
        <f t="array" ref="AA178">IF(LEFT(_xll.BDP($C178, VOLUME_AVG_3M), 4) = "#N/A", "",  _xll.BDP($C178, VOLUME_AVG_3M))</f>
        <v>100002.2734375</v>
      </c>
      <c r="AB178" s="31" cm="1">
        <f t="array" ref="AB178">IF(LEFT(_xll.BDP($C178, VOLUME_AVG_6M), 4) = "#N/A", "",  _xll.BDP($C178, VOLUME_AVG_6M))</f>
        <v>100497.2578125</v>
      </c>
      <c r="AC178" s="31" cm="1">
        <f t="array" ref="AC178">IF(LEFT(_xll.BDP($C178, VOLUME_AVG_12M), 4) = "#N/A", "",  _xll.BDP($C178, VOLUME_AVG_12M))</f>
        <v>85457.921875</v>
      </c>
      <c r="AD178" s="41" cm="1">
        <f t="array" ref="AD178">IF(LEFT(_xll.BDP($C178, LAST_PRICE), 4) = "#N/A", "",  _xll.BDP($C178, LAST_PRICE))</f>
        <v>0.311</v>
      </c>
    </row>
    <row r="179" spans="1:30" x14ac:dyDescent="0.35">
      <c r="A179" s="1">
        <f t="shared" si="2"/>
        <v>176</v>
      </c>
      <c r="B179" s="28">
        <v>45700</v>
      </c>
      <c r="C179" s="29" t="s">
        <v>400</v>
      </c>
      <c r="D179" s="29" t="s">
        <v>400</v>
      </c>
      <c r="E179" s="29" t="s">
        <v>401</v>
      </c>
      <c r="F179" s="29" t="s">
        <v>33</v>
      </c>
      <c r="G179" s="30" t="s">
        <v>34</v>
      </c>
      <c r="H179" s="31"/>
      <c r="I179" s="31"/>
      <c r="J179" s="32"/>
      <c r="K179" s="33">
        <v>45700</v>
      </c>
      <c r="L179" s="31"/>
      <c r="M179" s="32"/>
      <c r="N179" s="31"/>
      <c r="O179" s="33">
        <v>45699</v>
      </c>
      <c r="P179" s="34"/>
      <c r="Q179" s="34"/>
      <c r="R179" s="34"/>
      <c r="S179" s="29"/>
      <c r="T179" s="33"/>
      <c r="U179" s="35" t="b">
        <v>1</v>
      </c>
      <c r="V179" s="35" t="b">
        <v>1</v>
      </c>
      <c r="W179" s="35" t="b">
        <v>1</v>
      </c>
      <c r="Y179" s="31" t="str" cm="1">
        <f t="array" ref="Y179">IF(LEFT(_xll.BDP($C179, VOLUME_AVG_10D), 4) = "#N/A", "",  _xll.BDP($C179, VOLUME_AVG_10D))</f>
        <v/>
      </c>
      <c r="Z179" s="31" t="str" cm="1">
        <f t="array" ref="Z179">IF(LEFT(_xll.BDP($C179, VOLUME_AVG_30D), 4) = "#N/A", "",  _xll.BDP($C179, VOLUME_AVG_30D))</f>
        <v/>
      </c>
      <c r="AA179" s="31" t="str" cm="1">
        <f t="array" ref="AA179">IF(LEFT(_xll.BDP($C179, VOLUME_AVG_3M), 4) = "#N/A", "",  _xll.BDP($C179, VOLUME_AVG_3M))</f>
        <v/>
      </c>
      <c r="AB179" s="31" t="str" cm="1">
        <f t="array" ref="AB179">IF(LEFT(_xll.BDP($C179, VOLUME_AVG_6M), 4) = "#N/A", "",  _xll.BDP($C179, VOLUME_AVG_6M))</f>
        <v/>
      </c>
      <c r="AC179" s="31" t="str" cm="1">
        <f t="array" ref="AC179">IF(LEFT(_xll.BDP($C179, VOLUME_AVG_12M), 4) = "#N/A", "",  _xll.BDP($C179, VOLUME_AVG_12M))</f>
        <v/>
      </c>
      <c r="AD179" s="41" t="str" cm="1">
        <f t="array" ref="AD179">IF(LEFT(_xll.BDP($C179, LAST_PRICE), 4) = "#N/A", "",  _xll.BDP($C179, LAST_PRICE))</f>
        <v/>
      </c>
    </row>
    <row r="180" spans="1:30" x14ac:dyDescent="0.35">
      <c r="A180" s="1">
        <f t="shared" si="2"/>
        <v>177</v>
      </c>
      <c r="B180" s="28">
        <v>45700</v>
      </c>
      <c r="C180" s="29" t="s">
        <v>402</v>
      </c>
      <c r="D180" s="29" t="s">
        <v>402</v>
      </c>
      <c r="E180" s="29" t="s">
        <v>403</v>
      </c>
      <c r="F180" s="29" t="s">
        <v>33</v>
      </c>
      <c r="G180" s="30" t="s">
        <v>34</v>
      </c>
      <c r="H180" s="31">
        <v>79898513.080215499</v>
      </c>
      <c r="I180" s="31">
        <v>-13613486.919784499</v>
      </c>
      <c r="J180" s="32">
        <v>12.569999694824199</v>
      </c>
      <c r="K180" s="33">
        <v>45700</v>
      </c>
      <c r="L180" s="31">
        <v>511400</v>
      </c>
      <c r="M180" s="32">
        <v>3.88</v>
      </c>
      <c r="N180" s="31" t="s">
        <v>35</v>
      </c>
      <c r="O180" s="33">
        <v>45699</v>
      </c>
      <c r="P180" s="34">
        <v>27401.06640625</v>
      </c>
      <c r="Q180" s="34">
        <v>32236.7421875</v>
      </c>
      <c r="R180" s="34">
        <v>30052.357421875</v>
      </c>
      <c r="S180" s="29" t="s">
        <v>353</v>
      </c>
      <c r="T180" s="33">
        <v>45215</v>
      </c>
      <c r="U180" s="35" t="b">
        <v>0</v>
      </c>
      <c r="V180" s="35" t="b">
        <v>0</v>
      </c>
      <c r="W180" s="35" t="b">
        <v>1</v>
      </c>
      <c r="Y180" s="31" cm="1">
        <f t="array" ref="Y180">IF(LEFT(_xll.BDP($C180, VOLUME_AVG_10D), 4) = "#N/A", "",  _xll.BDP($C180, VOLUME_AVG_10D))</f>
        <v>18586.400390625</v>
      </c>
      <c r="Z180" s="31" cm="1">
        <f t="array" ref="Z180">IF(LEFT(_xll.BDP($C180, VOLUME_AVG_30D), 4) = "#N/A", "",  _xll.BDP($C180, VOLUME_AVG_30D))</f>
        <v>27401.06640625</v>
      </c>
      <c r="AA180" s="31" cm="1">
        <f t="array" ref="AA180">IF(LEFT(_xll.BDP($C180, VOLUME_AVG_3M), 4) = "#N/A", "",  _xll.BDP($C180, VOLUME_AVG_3M))</f>
        <v>32236.7421875</v>
      </c>
      <c r="AB180" s="31" cm="1">
        <f t="array" ref="AB180">IF(LEFT(_xll.BDP($C180, VOLUME_AVG_6M), 4) = "#N/A", "",  _xll.BDP($C180, VOLUME_AVG_6M))</f>
        <v>30052.357421875</v>
      </c>
      <c r="AC180" s="31" cm="1">
        <f t="array" ref="AC180">IF(LEFT(_xll.BDP($C180, VOLUME_AVG_12M), 4) = "#N/A", "",  _xll.BDP($C180, VOLUME_AVG_12M))</f>
        <v>23925.4296875</v>
      </c>
      <c r="AD180" s="41" cm="1">
        <f t="array" ref="AD180">IF(LEFT(_xll.BDP($C180, LAST_PRICE), 4) = "#N/A", "",  _xll.BDP($C180, LAST_PRICE))</f>
        <v>12.57</v>
      </c>
    </row>
    <row r="181" spans="1:30" x14ac:dyDescent="0.35">
      <c r="A181" s="1">
        <f t="shared" si="2"/>
        <v>178</v>
      </c>
      <c r="B181" s="28">
        <v>45700</v>
      </c>
      <c r="C181" s="29" t="s">
        <v>404</v>
      </c>
      <c r="D181" s="29" t="s">
        <v>404</v>
      </c>
      <c r="E181" s="29" t="s">
        <v>405</v>
      </c>
      <c r="F181" s="29" t="s">
        <v>33</v>
      </c>
      <c r="G181" s="30" t="s">
        <v>34</v>
      </c>
      <c r="H181" s="31">
        <v>82359153.002536297</v>
      </c>
      <c r="I181" s="31">
        <v>35005153.002536297</v>
      </c>
      <c r="J181" s="32">
        <v>0.86260002851486195</v>
      </c>
      <c r="K181" s="33">
        <v>45700</v>
      </c>
      <c r="L181" s="31">
        <v>8750100</v>
      </c>
      <c r="M181" s="32">
        <v>3.75</v>
      </c>
      <c r="N181" s="31" t="s">
        <v>35</v>
      </c>
      <c r="O181" s="33">
        <v>45699</v>
      </c>
      <c r="P181" s="34">
        <v>444748.09375</v>
      </c>
      <c r="Q181" s="34">
        <v>703063.9375</v>
      </c>
      <c r="R181" s="34">
        <v>616891.75</v>
      </c>
      <c r="S181" s="29" t="s">
        <v>285</v>
      </c>
      <c r="T181" s="33">
        <v>45446</v>
      </c>
      <c r="U181" s="35" t="b">
        <v>0</v>
      </c>
      <c r="V181" s="35" t="b">
        <v>0</v>
      </c>
      <c r="W181" s="35" t="b">
        <v>0</v>
      </c>
      <c r="Y181" s="31" cm="1">
        <f t="array" ref="Y181">IF(LEFT(_xll.BDP($C181, VOLUME_AVG_10D), 4) = "#N/A", "",  _xll.BDP($C181, VOLUME_AVG_10D))</f>
        <v>359977.6875</v>
      </c>
      <c r="Z181" s="31" cm="1">
        <f t="array" ref="Z181">IF(LEFT(_xll.BDP($C181, VOLUME_AVG_30D), 4) = "#N/A", "",  _xll.BDP($C181, VOLUME_AVG_30D))</f>
        <v>444748.09375</v>
      </c>
      <c r="AA181" s="31" cm="1">
        <f t="array" ref="AA181">IF(LEFT(_xll.BDP($C181, VOLUME_AVG_3M), 4) = "#N/A", "",  _xll.BDP($C181, VOLUME_AVG_3M))</f>
        <v>703063.9375</v>
      </c>
      <c r="AB181" s="31" cm="1">
        <f t="array" ref="AB181">IF(LEFT(_xll.BDP($C181, VOLUME_AVG_6M), 4) = "#N/A", "",  _xll.BDP($C181, VOLUME_AVG_6M))</f>
        <v>616891.75</v>
      </c>
      <c r="AC181" s="31" cm="1">
        <f t="array" ref="AC181">IF(LEFT(_xll.BDP($C181, VOLUME_AVG_12M), 4) = "#N/A", "",  _xll.BDP($C181, VOLUME_AVG_12M))</f>
        <v>849220.125</v>
      </c>
      <c r="AD181" s="41" cm="1">
        <f t="array" ref="AD181">IF(LEFT(_xll.BDP($C181, LAST_PRICE), 4) = "#N/A", "",  _xll.BDP($C181, LAST_PRICE))</f>
        <v>0.86260000000000003</v>
      </c>
    </row>
    <row r="182" spans="1:30" x14ac:dyDescent="0.35">
      <c r="A182" s="1">
        <f t="shared" si="2"/>
        <v>179</v>
      </c>
      <c r="B182" s="28">
        <v>45700</v>
      </c>
      <c r="C182" s="29" t="s">
        <v>406</v>
      </c>
      <c r="D182" s="29" t="s">
        <v>406</v>
      </c>
      <c r="E182" s="29" t="s">
        <v>407</v>
      </c>
      <c r="F182" s="29" t="s">
        <v>33</v>
      </c>
      <c r="G182" s="30" t="s">
        <v>34</v>
      </c>
      <c r="H182" s="31">
        <v>313.40539999999999</v>
      </c>
      <c r="I182" s="31">
        <v>17903856.178791601</v>
      </c>
      <c r="J182" s="32">
        <v>1E-4</v>
      </c>
      <c r="K182" s="33">
        <v>45700</v>
      </c>
      <c r="L182" s="31"/>
      <c r="M182" s="32"/>
      <c r="N182" s="31"/>
      <c r="O182" s="33">
        <v>45699</v>
      </c>
      <c r="P182" s="34">
        <v>4848.66650390625</v>
      </c>
      <c r="Q182" s="34">
        <v>3432.16137695313</v>
      </c>
      <c r="R182" s="34">
        <v>3301.619140625</v>
      </c>
      <c r="S182" s="29"/>
      <c r="T182" s="33"/>
      <c r="U182" s="35" t="b">
        <v>1</v>
      </c>
      <c r="V182" s="35" t="b">
        <v>1</v>
      </c>
      <c r="W182" s="35" t="b">
        <v>0</v>
      </c>
      <c r="Y182" s="31" cm="1">
        <f t="array" ref="Y182">IF(LEFT(_xll.BDP($C182, VOLUME_AVG_10D), 4) = "#N/A", "",  _xll.BDP($C182, VOLUME_AVG_10D))</f>
        <v>172.60000610351563</v>
      </c>
      <c r="Z182" s="31" cm="1">
        <f t="array" ref="Z182">IF(LEFT(_xll.BDP($C182, VOLUME_AVG_30D), 4) = "#N/A", "",  _xll.BDP($C182, VOLUME_AVG_30D))</f>
        <v>4848.66650390625</v>
      </c>
      <c r="AA182" s="31" cm="1">
        <f t="array" ref="AA182">IF(LEFT(_xll.BDP($C182, VOLUME_AVG_3M), 4) = "#N/A", "",  _xll.BDP($C182, VOLUME_AVG_3M))</f>
        <v>3432.161376953125</v>
      </c>
      <c r="AB182" s="31" cm="1">
        <f t="array" ref="AB182">IF(LEFT(_xll.BDP($C182, VOLUME_AVG_6M), 4) = "#N/A", "",  _xll.BDP($C182, VOLUME_AVG_6M))</f>
        <v>3301.619140625</v>
      </c>
      <c r="AC182" s="31" cm="1">
        <f t="array" ref="AC182">IF(LEFT(_xll.BDP($C182, VOLUME_AVG_12M), 4) = "#N/A", "",  _xll.BDP($C182, VOLUME_AVG_12M))</f>
        <v>75989.5625</v>
      </c>
      <c r="AD182" s="41" cm="1">
        <f t="array" ref="AD182">IF(LEFT(_xll.BDP($C182, LAST_PRICE), 4) = "#N/A", "",  _xll.BDP($C182, LAST_PRICE))</f>
        <v>1E-4</v>
      </c>
    </row>
    <row r="183" spans="1:30" x14ac:dyDescent="0.35">
      <c r="A183" s="1">
        <f t="shared" si="2"/>
        <v>180</v>
      </c>
      <c r="B183" s="28">
        <v>45700</v>
      </c>
      <c r="C183" s="29" t="s">
        <v>408</v>
      </c>
      <c r="D183" s="29" t="s">
        <v>408</v>
      </c>
      <c r="E183" s="29" t="s">
        <v>409</v>
      </c>
      <c r="F183" s="29" t="s">
        <v>33</v>
      </c>
      <c r="G183" s="30" t="s">
        <v>34</v>
      </c>
      <c r="H183" s="31">
        <v>2158979837.4843998</v>
      </c>
      <c r="I183" s="31">
        <v>2086941837.4844</v>
      </c>
      <c r="J183" s="32">
        <v>38.380001068115199</v>
      </c>
      <c r="K183" s="33">
        <v>45700</v>
      </c>
      <c r="L183" s="31">
        <v>12585000</v>
      </c>
      <c r="M183" s="32">
        <v>3.88</v>
      </c>
      <c r="N183" s="31" t="s">
        <v>35</v>
      </c>
      <c r="O183" s="33">
        <v>45699</v>
      </c>
      <c r="P183" s="34">
        <v>342190.1875</v>
      </c>
      <c r="Q183" s="34">
        <v>340359.90625</v>
      </c>
      <c r="R183" s="34">
        <v>301327.96875</v>
      </c>
      <c r="S183" s="29"/>
      <c r="T183" s="33"/>
      <c r="U183" s="35" t="b">
        <v>0</v>
      </c>
      <c r="V183" s="35" t="b">
        <v>0</v>
      </c>
      <c r="W183" s="35" t="b">
        <v>0</v>
      </c>
      <c r="Y183" s="31" cm="1">
        <f t="array" ref="Y183">IF(LEFT(_xll.BDP($C183, VOLUME_AVG_10D), 4) = "#N/A", "",  _xll.BDP($C183, VOLUME_AVG_10D))</f>
        <v>249373.796875</v>
      </c>
      <c r="Z183" s="31" cm="1">
        <f t="array" ref="Z183">IF(LEFT(_xll.BDP($C183, VOLUME_AVG_30D), 4) = "#N/A", "",  _xll.BDP($C183, VOLUME_AVG_30D))</f>
        <v>342190.1875</v>
      </c>
      <c r="AA183" s="31" cm="1">
        <f t="array" ref="AA183">IF(LEFT(_xll.BDP($C183, VOLUME_AVG_3M), 4) = "#N/A", "",  _xll.BDP($C183, VOLUME_AVG_3M))</f>
        <v>340359.90625</v>
      </c>
      <c r="AB183" s="31" cm="1">
        <f t="array" ref="AB183">IF(LEFT(_xll.BDP($C183, VOLUME_AVG_6M), 4) = "#N/A", "",  _xll.BDP($C183, VOLUME_AVG_6M))</f>
        <v>301327.96875</v>
      </c>
      <c r="AC183" s="31" cm="1">
        <f t="array" ref="AC183">IF(LEFT(_xll.BDP($C183, VOLUME_AVG_12M), 4) = "#N/A", "",  _xll.BDP($C183, VOLUME_AVG_12M))</f>
        <v>240370.640625</v>
      </c>
      <c r="AD183" s="41" cm="1">
        <f t="array" ref="AD183">IF(LEFT(_xll.BDP($C183, LAST_PRICE), 4) = "#N/A", "",  _xll.BDP($C183, LAST_PRICE))</f>
        <v>38.380000000000003</v>
      </c>
    </row>
    <row r="184" spans="1:30" x14ac:dyDescent="0.35">
      <c r="A184" s="1">
        <f t="shared" si="2"/>
        <v>181</v>
      </c>
      <c r="B184" s="28">
        <v>45700</v>
      </c>
      <c r="C184" s="29" t="s">
        <v>410</v>
      </c>
      <c r="D184" s="29" t="s">
        <v>410</v>
      </c>
      <c r="E184" s="29" t="s">
        <v>411</v>
      </c>
      <c r="F184" s="29" t="s">
        <v>33</v>
      </c>
      <c r="G184" s="30" t="s">
        <v>34</v>
      </c>
      <c r="H184" s="31">
        <v>394475177.89323199</v>
      </c>
      <c r="I184" s="31">
        <v>151154177.89323199</v>
      </c>
      <c r="J184" s="32">
        <v>6.9899997711181596</v>
      </c>
      <c r="K184" s="33">
        <v>45700</v>
      </c>
      <c r="L184" s="31">
        <v>9129700</v>
      </c>
      <c r="M184" s="32">
        <v>3.88</v>
      </c>
      <c r="N184" s="31" t="s">
        <v>35</v>
      </c>
      <c r="O184" s="33">
        <v>45699</v>
      </c>
      <c r="P184" s="34">
        <v>292602.65625</v>
      </c>
      <c r="Q184" s="34">
        <v>323515.78125</v>
      </c>
      <c r="R184" s="34">
        <v>323458.5</v>
      </c>
      <c r="S184" s="29" t="s">
        <v>73</v>
      </c>
      <c r="T184" s="33">
        <v>45446</v>
      </c>
      <c r="U184" s="35" t="b">
        <v>0</v>
      </c>
      <c r="V184" s="35" t="b">
        <v>0</v>
      </c>
      <c r="W184" s="35" t="b">
        <v>0</v>
      </c>
      <c r="Y184" s="31" cm="1">
        <f t="array" ref="Y184">IF(LEFT(_xll.BDP($C184, VOLUME_AVG_10D), 4) = "#N/A", "",  _xll.BDP($C184, VOLUME_AVG_10D))</f>
        <v>258953.703125</v>
      </c>
      <c r="Z184" s="31" cm="1">
        <f t="array" ref="Z184">IF(LEFT(_xll.BDP($C184, VOLUME_AVG_30D), 4) = "#N/A", "",  _xll.BDP($C184, VOLUME_AVG_30D))</f>
        <v>292602.65625</v>
      </c>
      <c r="AA184" s="31" cm="1">
        <f t="array" ref="AA184">IF(LEFT(_xll.BDP($C184, VOLUME_AVG_3M), 4) = "#N/A", "",  _xll.BDP($C184, VOLUME_AVG_3M))</f>
        <v>323515.78125</v>
      </c>
      <c r="AB184" s="31" cm="1">
        <f t="array" ref="AB184">IF(LEFT(_xll.BDP($C184, VOLUME_AVG_6M), 4) = "#N/A", "",  _xll.BDP($C184, VOLUME_AVG_6M))</f>
        <v>323458.5</v>
      </c>
      <c r="AC184" s="31" cm="1">
        <f t="array" ref="AC184">IF(LEFT(_xll.BDP($C184, VOLUME_AVG_12M), 4) = "#N/A", "",  _xll.BDP($C184, VOLUME_AVG_12M))</f>
        <v>524694.3125</v>
      </c>
      <c r="AD184" s="41" cm="1">
        <f t="array" ref="AD184">IF(LEFT(_xll.BDP($C184, LAST_PRICE), 4) = "#N/A", "",  _xll.BDP($C184, LAST_PRICE))</f>
        <v>6.99</v>
      </c>
    </row>
    <row r="185" spans="1:30" x14ac:dyDescent="0.35">
      <c r="A185" s="1">
        <f t="shared" si="2"/>
        <v>182</v>
      </c>
      <c r="B185" s="28">
        <v>45700</v>
      </c>
      <c r="C185" s="29" t="s">
        <v>412</v>
      </c>
      <c r="D185" s="29" t="s">
        <v>412</v>
      </c>
      <c r="E185" s="29" t="s">
        <v>413</v>
      </c>
      <c r="F185" s="29" t="s">
        <v>33</v>
      </c>
      <c r="G185" s="30" t="s">
        <v>34</v>
      </c>
      <c r="H185" s="31">
        <v>427896101.798558</v>
      </c>
      <c r="I185" s="31">
        <v>328637101.798558</v>
      </c>
      <c r="J185" s="32">
        <v>2.5499999523162802</v>
      </c>
      <c r="K185" s="33">
        <v>45700</v>
      </c>
      <c r="L185" s="31"/>
      <c r="M185" s="32"/>
      <c r="N185" s="31"/>
      <c r="O185" s="33">
        <v>45699</v>
      </c>
      <c r="P185" s="34">
        <v>2804189.25</v>
      </c>
      <c r="Q185" s="34">
        <v>2307912.25</v>
      </c>
      <c r="R185" s="34">
        <v>1503644.375</v>
      </c>
      <c r="S185" s="29" t="s">
        <v>82</v>
      </c>
      <c r="T185" s="33">
        <v>45446</v>
      </c>
      <c r="U185" s="35" t="b">
        <v>0</v>
      </c>
      <c r="V185" s="35" t="b">
        <v>0</v>
      </c>
      <c r="W185" s="35" t="b">
        <v>0</v>
      </c>
      <c r="Y185" s="31" cm="1">
        <f t="array" ref="Y185">IF(LEFT(_xll.BDP($C185, VOLUME_AVG_10D), 4) = "#N/A", "",  _xll.BDP($C185, VOLUME_AVG_10D))</f>
        <v>4872554.5</v>
      </c>
      <c r="Z185" s="31" cm="1">
        <f t="array" ref="Z185">IF(LEFT(_xll.BDP($C185, VOLUME_AVG_30D), 4) = "#N/A", "",  _xll.BDP($C185, VOLUME_AVG_30D))</f>
        <v>2804189.25</v>
      </c>
      <c r="AA185" s="31" cm="1">
        <f t="array" ref="AA185">IF(LEFT(_xll.BDP($C185, VOLUME_AVG_3M), 4) = "#N/A", "",  _xll.BDP($C185, VOLUME_AVG_3M))</f>
        <v>2307912.25</v>
      </c>
      <c r="AB185" s="31" cm="1">
        <f t="array" ref="AB185">IF(LEFT(_xll.BDP($C185, VOLUME_AVG_6M), 4) = "#N/A", "",  _xll.BDP($C185, VOLUME_AVG_6M))</f>
        <v>1503644.375</v>
      </c>
      <c r="AC185" s="31" cm="1">
        <f t="array" ref="AC185">IF(LEFT(_xll.BDP($C185, VOLUME_AVG_12M), 4) = "#N/A", "",  _xll.BDP($C185, VOLUME_AVG_12M))</f>
        <v>1358353.625</v>
      </c>
      <c r="AD185" s="41" cm="1">
        <f t="array" ref="AD185">IF(LEFT(_xll.BDP($C185, LAST_PRICE), 4) = "#N/A", "",  _xll.BDP($C185, LAST_PRICE))</f>
        <v>2.5499999999999998</v>
      </c>
    </row>
    <row r="186" spans="1:30" x14ac:dyDescent="0.35">
      <c r="A186" s="1">
        <f t="shared" si="2"/>
        <v>183</v>
      </c>
      <c r="B186" s="28">
        <v>45700</v>
      </c>
      <c r="C186" s="29" t="s">
        <v>414</v>
      </c>
      <c r="D186" s="29" t="s">
        <v>414</v>
      </c>
      <c r="E186" s="29" t="s">
        <v>415</v>
      </c>
      <c r="F186" s="29" t="s">
        <v>33</v>
      </c>
      <c r="G186" s="30" t="s">
        <v>34</v>
      </c>
      <c r="H186" s="31">
        <v>49533852.197170302</v>
      </c>
      <c r="I186" s="31">
        <v>31239852.197170299</v>
      </c>
      <c r="J186" s="32">
        <v>8.6000003814697301</v>
      </c>
      <c r="K186" s="33">
        <v>45700</v>
      </c>
      <c r="L186" s="31">
        <v>138100</v>
      </c>
      <c r="M186" s="32">
        <v>3.45</v>
      </c>
      <c r="N186" s="31" t="s">
        <v>35</v>
      </c>
      <c r="O186" s="33">
        <v>45699</v>
      </c>
      <c r="P186" s="34">
        <v>345253.78125</v>
      </c>
      <c r="Q186" s="34">
        <v>219025.5625</v>
      </c>
      <c r="R186" s="34">
        <v>177246.171875</v>
      </c>
      <c r="S186" s="29" t="s">
        <v>73</v>
      </c>
      <c r="T186" s="33">
        <v>45446</v>
      </c>
      <c r="U186" s="35" t="b">
        <v>0</v>
      </c>
      <c r="V186" s="35" t="b">
        <v>0</v>
      </c>
      <c r="W186" s="35" t="b">
        <v>0</v>
      </c>
      <c r="Y186" s="31" cm="1">
        <f t="array" ref="Y186">IF(LEFT(_xll.BDP($C186, VOLUME_AVG_10D), 4) = "#N/A", "",  _xll.BDP($C186, VOLUME_AVG_10D))</f>
        <v>172282.5</v>
      </c>
      <c r="Z186" s="31" cm="1">
        <f t="array" ref="Z186">IF(LEFT(_xll.BDP($C186, VOLUME_AVG_30D), 4) = "#N/A", "",  _xll.BDP($C186, VOLUME_AVG_30D))</f>
        <v>345253.78125</v>
      </c>
      <c r="AA186" s="31" cm="1">
        <f t="array" ref="AA186">IF(LEFT(_xll.BDP($C186, VOLUME_AVG_3M), 4) = "#N/A", "",  _xll.BDP($C186, VOLUME_AVG_3M))</f>
        <v>219025.5625</v>
      </c>
      <c r="AB186" s="31" cm="1">
        <f t="array" ref="AB186">IF(LEFT(_xll.BDP($C186, VOLUME_AVG_6M), 4) = "#N/A", "",  _xll.BDP($C186, VOLUME_AVG_6M))</f>
        <v>177246.171875</v>
      </c>
      <c r="AC186" s="31" cm="1">
        <f t="array" ref="AC186">IF(LEFT(_xll.BDP($C186, VOLUME_AVG_12M), 4) = "#N/A", "",  _xll.BDP($C186, VOLUME_AVG_12M))</f>
        <v>125913.375</v>
      </c>
      <c r="AD186" s="41" cm="1">
        <f t="array" ref="AD186">IF(LEFT(_xll.BDP($C186, LAST_PRICE), 4) = "#N/A", "",  _xll.BDP($C186, LAST_PRICE))</f>
        <v>8.6</v>
      </c>
    </row>
    <row r="187" spans="1:30" x14ac:dyDescent="0.35">
      <c r="A187" s="1">
        <f t="shared" si="2"/>
        <v>184</v>
      </c>
      <c r="B187" s="28">
        <v>45700</v>
      </c>
      <c r="C187" s="29" t="s">
        <v>416</v>
      </c>
      <c r="D187" s="29" t="s">
        <v>416</v>
      </c>
      <c r="E187" s="29" t="s">
        <v>417</v>
      </c>
      <c r="F187" s="29" t="s">
        <v>33</v>
      </c>
      <c r="G187" s="30" t="s">
        <v>34</v>
      </c>
      <c r="H187" s="31">
        <v>262680104.629473</v>
      </c>
      <c r="I187" s="31">
        <v>-217507895.370527</v>
      </c>
      <c r="J187" s="32">
        <v>3.1099998950958301</v>
      </c>
      <c r="K187" s="33">
        <v>45700</v>
      </c>
      <c r="L187" s="31">
        <v>17527900</v>
      </c>
      <c r="M187" s="32">
        <v>3.88</v>
      </c>
      <c r="N187" s="31" t="s">
        <v>35</v>
      </c>
      <c r="O187" s="33">
        <v>45699</v>
      </c>
      <c r="P187" s="34">
        <v>420996.34375</v>
      </c>
      <c r="Q187" s="34">
        <v>405707.78125</v>
      </c>
      <c r="R187" s="34">
        <v>299788.28125</v>
      </c>
      <c r="S187" s="29"/>
      <c r="T187" s="33">
        <v>45446</v>
      </c>
      <c r="U187" s="35" t="b">
        <v>0</v>
      </c>
      <c r="V187" s="35" t="b">
        <v>0</v>
      </c>
      <c r="W187" s="35" t="b">
        <v>1</v>
      </c>
      <c r="Y187" s="31" cm="1">
        <f t="array" ref="Y187">IF(LEFT(_xll.BDP($C187, VOLUME_AVG_10D), 4) = "#N/A", "",  _xll.BDP($C187, VOLUME_AVG_10D))</f>
        <v>372828.40625</v>
      </c>
      <c r="Z187" s="31" cm="1">
        <f t="array" ref="Z187">IF(LEFT(_xll.BDP($C187, VOLUME_AVG_30D), 4) = "#N/A", "",  _xll.BDP($C187, VOLUME_AVG_30D))</f>
        <v>420996.34375</v>
      </c>
      <c r="AA187" s="31" cm="1">
        <f t="array" ref="AA187">IF(LEFT(_xll.BDP($C187, VOLUME_AVG_3M), 4) = "#N/A", "",  _xll.BDP($C187, VOLUME_AVG_3M))</f>
        <v>405707.78125</v>
      </c>
      <c r="AB187" s="31" cm="1">
        <f t="array" ref="AB187">IF(LEFT(_xll.BDP($C187, VOLUME_AVG_6M), 4) = "#N/A", "",  _xll.BDP($C187, VOLUME_AVG_6M))</f>
        <v>299788.28125</v>
      </c>
      <c r="AC187" s="31" cm="1">
        <f t="array" ref="AC187">IF(LEFT(_xll.BDP($C187, VOLUME_AVG_12M), 4) = "#N/A", "",  _xll.BDP($C187, VOLUME_AVG_12M))</f>
        <v>296597.6875</v>
      </c>
      <c r="AD187" s="41" cm="1">
        <f t="array" ref="AD187">IF(LEFT(_xll.BDP($C187, LAST_PRICE), 4) = "#N/A", "",  _xll.BDP($C187, LAST_PRICE))</f>
        <v>3.11</v>
      </c>
    </row>
    <row r="188" spans="1:30" x14ac:dyDescent="0.35">
      <c r="A188" s="1">
        <f t="shared" si="2"/>
        <v>185</v>
      </c>
      <c r="B188" s="28">
        <v>45700</v>
      </c>
      <c r="C188" s="29" t="s">
        <v>418</v>
      </c>
      <c r="D188" s="29" t="s">
        <v>418</v>
      </c>
      <c r="E188" s="29" t="s">
        <v>419</v>
      </c>
      <c r="F188" s="29" t="s">
        <v>33</v>
      </c>
      <c r="G188" s="30" t="s">
        <v>34</v>
      </c>
      <c r="H188" s="31">
        <v>17362413.813877702</v>
      </c>
      <c r="I188" s="31">
        <v>-50179586.186122298</v>
      </c>
      <c r="J188" s="32">
        <v>0.44900000095367398</v>
      </c>
      <c r="K188" s="33">
        <v>45700</v>
      </c>
      <c r="L188" s="31">
        <v>1516400</v>
      </c>
      <c r="M188" s="32">
        <v>3</v>
      </c>
      <c r="N188" s="31" t="s">
        <v>35</v>
      </c>
      <c r="O188" s="33">
        <v>45699</v>
      </c>
      <c r="P188" s="34">
        <v>219048.828125</v>
      </c>
      <c r="Q188" s="34">
        <v>367669</v>
      </c>
      <c r="R188" s="34">
        <v>2780440.75</v>
      </c>
      <c r="S188" s="29" t="s">
        <v>97</v>
      </c>
      <c r="T188" s="33">
        <v>45215</v>
      </c>
      <c r="U188" s="35" t="b">
        <v>1</v>
      </c>
      <c r="V188" s="35" t="b">
        <v>0</v>
      </c>
      <c r="W188" s="35" t="b">
        <v>1</v>
      </c>
      <c r="Y188" s="31" cm="1">
        <f t="array" ref="Y188">IF(LEFT(_xll.BDP($C188, VOLUME_AVG_10D), 4) = "#N/A", "",  _xll.BDP($C188, VOLUME_AVG_10D))</f>
        <v>248985.296875</v>
      </c>
      <c r="Z188" s="31" cm="1">
        <f t="array" ref="Z188">IF(LEFT(_xll.BDP($C188, VOLUME_AVG_30D), 4) = "#N/A", "",  _xll.BDP($C188, VOLUME_AVG_30D))</f>
        <v>219048.828125</v>
      </c>
      <c r="AA188" s="31" cm="1">
        <f t="array" ref="AA188">IF(LEFT(_xll.BDP($C188, VOLUME_AVG_3M), 4) = "#N/A", "",  _xll.BDP($C188, VOLUME_AVG_3M))</f>
        <v>367669</v>
      </c>
      <c r="AB188" s="31" cm="1">
        <f t="array" ref="AB188">IF(LEFT(_xll.BDP($C188, VOLUME_AVG_6M), 4) = "#N/A", "",  _xll.BDP($C188, VOLUME_AVG_6M))</f>
        <v>2780440.75</v>
      </c>
      <c r="AC188" s="31" cm="1">
        <f t="array" ref="AC188">IF(LEFT(_xll.BDP($C188, VOLUME_AVG_12M), 4) = "#N/A", "",  _xll.BDP($C188, VOLUME_AVG_12M))</f>
        <v>1515102.625</v>
      </c>
      <c r="AD188" s="41" cm="1">
        <f t="array" ref="AD188">IF(LEFT(_xll.BDP($C188, LAST_PRICE), 4) = "#N/A", "",  _xll.BDP($C188, LAST_PRICE))</f>
        <v>0.44900000000000001</v>
      </c>
    </row>
    <row r="189" spans="1:30" x14ac:dyDescent="0.35">
      <c r="A189" s="1">
        <f t="shared" si="2"/>
        <v>186</v>
      </c>
      <c r="B189" s="28">
        <v>45700</v>
      </c>
      <c r="C189" s="29" t="s">
        <v>420</v>
      </c>
      <c r="D189" s="29" t="s">
        <v>420</v>
      </c>
      <c r="E189" s="29" t="s">
        <v>421</v>
      </c>
      <c r="F189" s="29" t="s">
        <v>33</v>
      </c>
      <c r="G189" s="30" t="s">
        <v>34</v>
      </c>
      <c r="H189" s="31">
        <v>4499669.7358584404</v>
      </c>
      <c r="I189" s="31">
        <v>863945669.73585796</v>
      </c>
      <c r="J189" s="32">
        <v>1.0199999809265099</v>
      </c>
      <c r="K189" s="33">
        <v>45700</v>
      </c>
      <c r="L189" s="31">
        <v>116500</v>
      </c>
      <c r="M189" s="32">
        <v>-18.55</v>
      </c>
      <c r="N189" s="31" t="s">
        <v>35</v>
      </c>
      <c r="O189" s="33">
        <v>45699</v>
      </c>
      <c r="P189" s="34">
        <v>19270.833984375</v>
      </c>
      <c r="Q189" s="34">
        <v>114843.484375</v>
      </c>
      <c r="R189" s="34">
        <v>65856.8203125</v>
      </c>
      <c r="S189" s="29"/>
      <c r="T189" s="33"/>
      <c r="U189" s="35" t="b">
        <v>1</v>
      </c>
      <c r="V189" s="35" t="b">
        <v>0</v>
      </c>
      <c r="W189" s="35" t="b">
        <v>0</v>
      </c>
      <c r="Y189" s="31" cm="1">
        <f t="array" ref="Y189">IF(LEFT(_xll.BDP($C189, VOLUME_AVG_10D), 4) = "#N/A", "",  _xll.BDP($C189, VOLUME_AVG_10D))</f>
        <v>6357.5</v>
      </c>
      <c r="Z189" s="31" cm="1">
        <f t="array" ref="Z189">IF(LEFT(_xll.BDP($C189, VOLUME_AVG_30D), 4) = "#N/A", "",  _xll.BDP($C189, VOLUME_AVG_30D))</f>
        <v>19270.833984375</v>
      </c>
      <c r="AA189" s="31" cm="1">
        <f t="array" ref="AA189">IF(LEFT(_xll.BDP($C189, VOLUME_AVG_3M), 4) = "#N/A", "",  _xll.BDP($C189, VOLUME_AVG_3M))</f>
        <v>114843.484375</v>
      </c>
      <c r="AB189" s="31" cm="1">
        <f t="array" ref="AB189">IF(LEFT(_xll.BDP($C189, VOLUME_AVG_6M), 4) = "#N/A", "",  _xll.BDP($C189, VOLUME_AVG_6M))</f>
        <v>65856.8203125</v>
      </c>
      <c r="AC189" s="31" cm="1">
        <f t="array" ref="AC189">IF(LEFT(_xll.BDP($C189, VOLUME_AVG_12M), 4) = "#N/A", "",  _xll.BDP($C189, VOLUME_AVG_12M))</f>
        <v>35499.21875</v>
      </c>
      <c r="AD189" s="41" cm="1">
        <f t="array" ref="AD189">IF(LEFT(_xll.BDP($C189, LAST_PRICE), 4) = "#N/A", "",  _xll.BDP($C189, LAST_PRICE))</f>
        <v>1.02</v>
      </c>
    </row>
    <row r="190" spans="1:30" x14ac:dyDescent="0.35">
      <c r="A190" s="1">
        <f t="shared" si="2"/>
        <v>187</v>
      </c>
      <c r="B190" s="28">
        <v>45700</v>
      </c>
      <c r="C190" s="29" t="s">
        <v>422</v>
      </c>
      <c r="D190" s="29" t="s">
        <v>422</v>
      </c>
      <c r="E190" s="29" t="s">
        <v>423</v>
      </c>
      <c r="F190" s="29" t="s">
        <v>33</v>
      </c>
      <c r="G190" s="30" t="s">
        <v>34</v>
      </c>
      <c r="H190" s="31">
        <v>156959295.678839</v>
      </c>
      <c r="I190" s="31">
        <v>157195791.678839</v>
      </c>
      <c r="J190" s="32">
        <v>3.1300001144409202</v>
      </c>
      <c r="K190" s="33">
        <v>45700</v>
      </c>
      <c r="L190" s="31">
        <v>7900</v>
      </c>
      <c r="M190" s="32">
        <v>-404.2</v>
      </c>
      <c r="N190" s="31" t="s">
        <v>35</v>
      </c>
      <c r="O190" s="33">
        <v>45699</v>
      </c>
      <c r="P190" s="34">
        <v>31451.666015625</v>
      </c>
      <c r="Q190" s="34">
        <v>16670.208984375</v>
      </c>
      <c r="R190" s="34">
        <v>9362.0556640625</v>
      </c>
      <c r="S190" s="29"/>
      <c r="T190" s="33"/>
      <c r="U190" s="35" t="b">
        <v>0</v>
      </c>
      <c r="V190" s="35" t="b">
        <v>0</v>
      </c>
      <c r="W190" s="35" t="b">
        <v>0</v>
      </c>
      <c r="Y190" s="31" cm="1">
        <f t="array" ref="Y190">IF(LEFT(_xll.BDP($C190, VOLUME_AVG_10D), 4) = "#N/A", "",  _xll.BDP($C190, VOLUME_AVG_10D))</f>
        <v>10332.7001953125</v>
      </c>
      <c r="Z190" s="31" cm="1">
        <f t="array" ref="Z190">IF(LEFT(_xll.BDP($C190, VOLUME_AVG_30D), 4) = "#N/A", "",  _xll.BDP($C190, VOLUME_AVG_30D))</f>
        <v>31451.666015625</v>
      </c>
      <c r="AA190" s="31" cm="1">
        <f t="array" ref="AA190">IF(LEFT(_xll.BDP($C190, VOLUME_AVG_3M), 4) = "#N/A", "",  _xll.BDP($C190, VOLUME_AVG_3M))</f>
        <v>16670.208984375</v>
      </c>
      <c r="AB190" s="31" cm="1">
        <f t="array" ref="AB190">IF(LEFT(_xll.BDP($C190, VOLUME_AVG_6M), 4) = "#N/A", "",  _xll.BDP($C190, VOLUME_AVG_6M))</f>
        <v>9362.0556640625</v>
      </c>
      <c r="AC190" s="31" cm="1">
        <f t="array" ref="AC190">IF(LEFT(_xll.BDP($C190, VOLUME_AVG_12M), 4) = "#N/A", "",  _xll.BDP($C190, VOLUME_AVG_12M))</f>
        <v>5097.27490234375</v>
      </c>
      <c r="AD190" s="41" cm="1">
        <f t="array" ref="AD190">IF(LEFT(_xll.BDP($C190, LAST_PRICE), 4) = "#N/A", "",  _xll.BDP($C190, LAST_PRICE))</f>
        <v>3.13</v>
      </c>
    </row>
    <row r="191" spans="1:30" x14ac:dyDescent="0.35">
      <c r="A191" s="1">
        <f t="shared" si="2"/>
        <v>188</v>
      </c>
      <c r="B191" s="28">
        <v>45700</v>
      </c>
      <c r="C191" s="29" t="s">
        <v>424</v>
      </c>
      <c r="D191" s="29" t="s">
        <v>424</v>
      </c>
      <c r="E191" s="29" t="s">
        <v>425</v>
      </c>
      <c r="F191" s="29" t="s">
        <v>33</v>
      </c>
      <c r="G191" s="30" t="s">
        <v>34</v>
      </c>
      <c r="H191" s="31">
        <v>96690842.192761406</v>
      </c>
      <c r="I191" s="31">
        <v>21924842.192761399</v>
      </c>
      <c r="J191" s="32">
        <v>0.76859998703002896</v>
      </c>
      <c r="K191" s="33">
        <v>45700</v>
      </c>
      <c r="L191" s="31">
        <v>10514800</v>
      </c>
      <c r="M191" s="32">
        <v>3.88</v>
      </c>
      <c r="N191" s="31" t="s">
        <v>35</v>
      </c>
      <c r="O191" s="33">
        <v>45699</v>
      </c>
      <c r="P191" s="34">
        <v>799255.75</v>
      </c>
      <c r="Q191" s="34">
        <v>881915.375</v>
      </c>
      <c r="R191" s="34">
        <v>694976.4375</v>
      </c>
      <c r="S191" s="29" t="s">
        <v>46</v>
      </c>
      <c r="T191" s="33">
        <v>45446</v>
      </c>
      <c r="U191" s="35" t="b">
        <v>0</v>
      </c>
      <c r="V191" s="35" t="b">
        <v>0</v>
      </c>
      <c r="W191" s="35" t="b">
        <v>0</v>
      </c>
      <c r="Y191" s="31" cm="1">
        <f t="array" ref="Y191">IF(LEFT(_xll.BDP($C191, VOLUME_AVG_10D), 4) = "#N/A", "",  _xll.BDP($C191, VOLUME_AVG_10D))</f>
        <v>760255.625</v>
      </c>
      <c r="Z191" s="31" cm="1">
        <f t="array" ref="Z191">IF(LEFT(_xll.BDP($C191, VOLUME_AVG_30D), 4) = "#N/A", "",  _xll.BDP($C191, VOLUME_AVG_30D))</f>
        <v>799255.75</v>
      </c>
      <c r="AA191" s="31" cm="1">
        <f t="array" ref="AA191">IF(LEFT(_xll.BDP($C191, VOLUME_AVG_3M), 4) = "#N/A", "",  _xll.BDP($C191, VOLUME_AVG_3M))</f>
        <v>881915.375</v>
      </c>
      <c r="AB191" s="31" cm="1">
        <f t="array" ref="AB191">IF(LEFT(_xll.BDP($C191, VOLUME_AVG_6M), 4) = "#N/A", "",  _xll.BDP($C191, VOLUME_AVG_6M))</f>
        <v>694976.4375</v>
      </c>
      <c r="AC191" s="31" cm="1">
        <f t="array" ref="AC191">IF(LEFT(_xll.BDP($C191, VOLUME_AVG_12M), 4) = "#N/A", "",  _xll.BDP($C191, VOLUME_AVG_12M))</f>
        <v>1107225.125</v>
      </c>
      <c r="AD191" s="41" cm="1">
        <f t="array" ref="AD191">IF(LEFT(_xll.BDP($C191, LAST_PRICE), 4) = "#N/A", "",  _xll.BDP($C191, LAST_PRICE))</f>
        <v>0.76859999999999995</v>
      </c>
    </row>
    <row r="192" spans="1:30" x14ac:dyDescent="0.35">
      <c r="A192" s="1">
        <f t="shared" si="2"/>
        <v>189</v>
      </c>
      <c r="B192" s="28">
        <v>45700</v>
      </c>
      <c r="C192" s="29" t="s">
        <v>426</v>
      </c>
      <c r="D192" s="29" t="s">
        <v>426</v>
      </c>
      <c r="E192" s="29" t="s">
        <v>427</v>
      </c>
      <c r="F192" s="29" t="s">
        <v>33</v>
      </c>
      <c r="G192" s="30" t="s">
        <v>34</v>
      </c>
      <c r="H192" s="31">
        <v>2065187742.1166201</v>
      </c>
      <c r="I192" s="31"/>
      <c r="J192" s="32">
        <v>42.360000610351598</v>
      </c>
      <c r="K192" s="33">
        <v>45700</v>
      </c>
      <c r="L192" s="31">
        <v>17497900</v>
      </c>
      <c r="M192" s="32">
        <v>3.88</v>
      </c>
      <c r="N192" s="31" t="s">
        <v>35</v>
      </c>
      <c r="O192" s="33">
        <v>45699</v>
      </c>
      <c r="P192" s="34">
        <v>553417.4375</v>
      </c>
      <c r="Q192" s="34">
        <v>478401.40625</v>
      </c>
      <c r="R192" s="34">
        <v>535807.5</v>
      </c>
      <c r="S192" s="29"/>
      <c r="T192" s="33"/>
      <c r="U192" s="35" t="b">
        <v>0</v>
      </c>
      <c r="V192" s="35" t="b">
        <v>0</v>
      </c>
      <c r="W192" s="35" t="b">
        <v>1</v>
      </c>
      <c r="Y192" s="31" cm="1">
        <f t="array" ref="Y192">IF(LEFT(_xll.BDP($C192, VOLUME_AVG_10D), 4) = "#N/A", "",  _xll.BDP($C192, VOLUME_AVG_10D))</f>
        <v>497289.1875</v>
      </c>
      <c r="Z192" s="31" cm="1">
        <f t="array" ref="Z192">IF(LEFT(_xll.BDP($C192, VOLUME_AVG_30D), 4) = "#N/A", "",  _xll.BDP($C192, VOLUME_AVG_30D))</f>
        <v>553417.4375</v>
      </c>
      <c r="AA192" s="31" cm="1">
        <f t="array" ref="AA192">IF(LEFT(_xll.BDP($C192, VOLUME_AVG_3M), 4) = "#N/A", "",  _xll.BDP($C192, VOLUME_AVG_3M))</f>
        <v>478401.40625</v>
      </c>
      <c r="AB192" s="31" cm="1">
        <f t="array" ref="AB192">IF(LEFT(_xll.BDP($C192, VOLUME_AVG_6M), 4) = "#N/A", "",  _xll.BDP($C192, VOLUME_AVG_6M))</f>
        <v>535807.5</v>
      </c>
      <c r="AC192" s="31" cm="1">
        <f t="array" ref="AC192">IF(LEFT(_xll.BDP($C192, VOLUME_AVG_12M), 4) = "#N/A", "",  _xll.BDP($C192, VOLUME_AVG_12M))</f>
        <v>692785.8125</v>
      </c>
      <c r="AD192" s="41" cm="1">
        <f t="array" ref="AD192">IF(LEFT(_xll.BDP($C192, LAST_PRICE), 4) = "#N/A", "",  _xll.BDP($C192, LAST_PRICE))</f>
        <v>42.36</v>
      </c>
    </row>
    <row r="193" spans="1:30" x14ac:dyDescent="0.35">
      <c r="A193" s="1">
        <f t="shared" si="2"/>
        <v>190</v>
      </c>
      <c r="B193" s="28">
        <v>45700</v>
      </c>
      <c r="C193" s="29" t="s">
        <v>428</v>
      </c>
      <c r="D193" s="29" t="s">
        <v>428</v>
      </c>
      <c r="E193" s="29" t="s">
        <v>429</v>
      </c>
      <c r="F193" s="29" t="s">
        <v>33</v>
      </c>
      <c r="G193" s="30" t="s">
        <v>34</v>
      </c>
      <c r="H193" s="31">
        <v>302192657.194628</v>
      </c>
      <c r="I193" s="31">
        <v>249589657.194628</v>
      </c>
      <c r="J193" s="32">
        <v>3.5999999046325701</v>
      </c>
      <c r="K193" s="33">
        <v>45700</v>
      </c>
      <c r="L193" s="31">
        <v>13414900</v>
      </c>
      <c r="M193" s="32">
        <v>3.88</v>
      </c>
      <c r="N193" s="31" t="s">
        <v>35</v>
      </c>
      <c r="O193" s="33">
        <v>45699</v>
      </c>
      <c r="P193" s="34">
        <v>808857.875</v>
      </c>
      <c r="Q193" s="34">
        <v>830150.25</v>
      </c>
      <c r="R193" s="34">
        <v>795890.25</v>
      </c>
      <c r="S193" s="29"/>
      <c r="T193" s="33"/>
      <c r="U193" s="35" t="b">
        <v>0</v>
      </c>
      <c r="V193" s="35" t="b">
        <v>0</v>
      </c>
      <c r="W193" s="35" t="b">
        <v>0</v>
      </c>
      <c r="Y193" s="31" cm="1">
        <f t="array" ref="Y193">IF(LEFT(_xll.BDP($C193, VOLUME_AVG_10D), 4) = "#N/A", "",  _xll.BDP($C193, VOLUME_AVG_10D))</f>
        <v>719408.125</v>
      </c>
      <c r="Z193" s="31" cm="1">
        <f t="array" ref="Z193">IF(LEFT(_xll.BDP($C193, VOLUME_AVG_30D), 4) = "#N/A", "",  _xll.BDP($C193, VOLUME_AVG_30D))</f>
        <v>808857.875</v>
      </c>
      <c r="AA193" s="31" cm="1">
        <f t="array" ref="AA193">IF(LEFT(_xll.BDP($C193, VOLUME_AVG_3M), 4) = "#N/A", "",  _xll.BDP($C193, VOLUME_AVG_3M))</f>
        <v>830150.25</v>
      </c>
      <c r="AB193" s="31" cm="1">
        <f t="array" ref="AB193">IF(LEFT(_xll.BDP($C193, VOLUME_AVG_6M), 4) = "#N/A", "",  _xll.BDP($C193, VOLUME_AVG_6M))</f>
        <v>795890.25</v>
      </c>
      <c r="AC193" s="31" cm="1">
        <f t="array" ref="AC193">IF(LEFT(_xll.BDP($C193, VOLUME_AVG_12M), 4) = "#N/A", "",  _xll.BDP($C193, VOLUME_AVG_12M))</f>
        <v>653768.5625</v>
      </c>
      <c r="AD193" s="41" cm="1">
        <f t="array" ref="AD193">IF(LEFT(_xll.BDP($C193, LAST_PRICE), 4) = "#N/A", "",  _xll.BDP($C193, LAST_PRICE))</f>
        <v>3.6</v>
      </c>
    </row>
    <row r="194" spans="1:30" x14ac:dyDescent="0.35">
      <c r="A194" s="1">
        <f t="shared" si="2"/>
        <v>191</v>
      </c>
      <c r="B194" s="28">
        <v>45700</v>
      </c>
      <c r="C194" s="29" t="s">
        <v>430</v>
      </c>
      <c r="D194" s="29" t="s">
        <v>430</v>
      </c>
      <c r="E194" s="29" t="s">
        <v>431</v>
      </c>
      <c r="F194" s="29" t="s">
        <v>33</v>
      </c>
      <c r="G194" s="30" t="s">
        <v>34</v>
      </c>
      <c r="H194" s="31">
        <v>629777789.87678194</v>
      </c>
      <c r="I194" s="31">
        <v>6234567128.5188904</v>
      </c>
      <c r="J194" s="32">
        <v>8.5200004577636701</v>
      </c>
      <c r="K194" s="33">
        <v>45700</v>
      </c>
      <c r="L194" s="31"/>
      <c r="M194" s="32"/>
      <c r="N194" s="31"/>
      <c r="O194" s="33">
        <v>45699</v>
      </c>
      <c r="P194" s="34">
        <v>61520.06640625</v>
      </c>
      <c r="Q194" s="34">
        <v>49382.2734375</v>
      </c>
      <c r="R194" s="34">
        <v>52497.84765625</v>
      </c>
      <c r="S194" s="29"/>
      <c r="T194" s="33"/>
      <c r="U194" s="35" t="b">
        <v>0</v>
      </c>
      <c r="V194" s="35" t="b">
        <v>0</v>
      </c>
      <c r="W194" s="35" t="b">
        <v>0</v>
      </c>
      <c r="Y194" s="31" cm="1">
        <f t="array" ref="Y194">IF(LEFT(_xll.BDP($C194, VOLUME_AVG_10D), 4) = "#N/A", "",  _xll.BDP($C194, VOLUME_AVG_10D))</f>
        <v>29725.80078125</v>
      </c>
      <c r="Z194" s="31" cm="1">
        <f t="array" ref="Z194">IF(LEFT(_xll.BDP($C194, VOLUME_AVG_30D), 4) = "#N/A", "",  _xll.BDP($C194, VOLUME_AVG_30D))</f>
        <v>61520.06640625</v>
      </c>
      <c r="AA194" s="31" cm="1">
        <f t="array" ref="AA194">IF(LEFT(_xll.BDP($C194, VOLUME_AVG_3M), 4) = "#N/A", "",  _xll.BDP($C194, VOLUME_AVG_3M))</f>
        <v>49382.2734375</v>
      </c>
      <c r="AB194" s="31" cm="1">
        <f t="array" ref="AB194">IF(LEFT(_xll.BDP($C194, VOLUME_AVG_6M), 4) = "#N/A", "",  _xll.BDP($C194, VOLUME_AVG_6M))</f>
        <v>52497.84765625</v>
      </c>
      <c r="AC194" s="31" t="str" cm="1">
        <f t="array" ref="AC194">IF(LEFT(_xll.BDP($C194, VOLUME_AVG_12M), 4) = "#N/A", "",  _xll.BDP($C194, VOLUME_AVG_12M))</f>
        <v/>
      </c>
      <c r="AD194" s="41" cm="1">
        <f t="array" ref="AD194">IF(LEFT(_xll.BDP($C194, LAST_PRICE), 4) = "#N/A", "",  _xll.BDP($C194, LAST_PRICE))</f>
        <v>8.52</v>
      </c>
    </row>
    <row r="195" spans="1:30" x14ac:dyDescent="0.35">
      <c r="A195" s="1">
        <f t="shared" si="2"/>
        <v>192</v>
      </c>
      <c r="B195" s="28">
        <v>45700</v>
      </c>
      <c r="C195" s="29" t="s">
        <v>432</v>
      </c>
      <c r="D195" s="29" t="s">
        <v>432</v>
      </c>
      <c r="E195" s="29" t="s">
        <v>433</v>
      </c>
      <c r="F195" s="29" t="s">
        <v>33</v>
      </c>
      <c r="G195" s="30" t="s">
        <v>34</v>
      </c>
      <c r="H195" s="31">
        <v>395615614.530994</v>
      </c>
      <c r="I195" s="31">
        <v>189022614.530994</v>
      </c>
      <c r="J195" s="32">
        <v>7.9200000762939498</v>
      </c>
      <c r="K195" s="33">
        <v>45700</v>
      </c>
      <c r="L195" s="31">
        <v>7468700</v>
      </c>
      <c r="M195" s="32">
        <v>3.88</v>
      </c>
      <c r="N195" s="31" t="s">
        <v>35</v>
      </c>
      <c r="O195" s="33">
        <v>45699</v>
      </c>
      <c r="P195" s="34">
        <v>129790.46875</v>
      </c>
      <c r="Q195" s="34">
        <v>177352.484375</v>
      </c>
      <c r="R195" s="34">
        <v>170239.703125</v>
      </c>
      <c r="S195" s="29" t="s">
        <v>46</v>
      </c>
      <c r="T195" s="33">
        <v>45446</v>
      </c>
      <c r="U195" s="35" t="b">
        <v>0</v>
      </c>
      <c r="V195" s="35" t="b">
        <v>0</v>
      </c>
      <c r="W195" s="35" t="b">
        <v>0</v>
      </c>
      <c r="Y195" s="31" cm="1">
        <f t="array" ref="Y195">IF(LEFT(_xll.BDP($C195, VOLUME_AVG_10D), 4) = "#N/A", "",  _xll.BDP($C195, VOLUME_AVG_10D))</f>
        <v>122786.703125</v>
      </c>
      <c r="Z195" s="31" cm="1">
        <f t="array" ref="Z195">IF(LEFT(_xll.BDP($C195, VOLUME_AVG_30D), 4) = "#N/A", "",  _xll.BDP($C195, VOLUME_AVG_30D))</f>
        <v>129790.46875</v>
      </c>
      <c r="AA195" s="31" cm="1">
        <f t="array" ref="AA195">IF(LEFT(_xll.BDP($C195, VOLUME_AVG_3M), 4) = "#N/A", "",  _xll.BDP($C195, VOLUME_AVG_3M))</f>
        <v>177352.484375</v>
      </c>
      <c r="AB195" s="31" cm="1">
        <f t="array" ref="AB195">IF(LEFT(_xll.BDP($C195, VOLUME_AVG_6M), 4) = "#N/A", "",  _xll.BDP($C195, VOLUME_AVG_6M))</f>
        <v>170239.703125</v>
      </c>
      <c r="AC195" s="31" cm="1">
        <f t="array" ref="AC195">IF(LEFT(_xll.BDP($C195, VOLUME_AVG_12M), 4) = "#N/A", "",  _xll.BDP($C195, VOLUME_AVG_12M))</f>
        <v>182844.078125</v>
      </c>
      <c r="AD195" s="41" cm="1">
        <f t="array" ref="AD195">IF(LEFT(_xll.BDP($C195, LAST_PRICE), 4) = "#N/A", "",  _xll.BDP($C195, LAST_PRICE))</f>
        <v>7.92</v>
      </c>
    </row>
    <row r="196" spans="1:30" x14ac:dyDescent="0.35">
      <c r="A196" s="1">
        <f t="shared" si="2"/>
        <v>193</v>
      </c>
      <c r="B196" s="28">
        <v>45700</v>
      </c>
      <c r="C196" s="29" t="s">
        <v>434</v>
      </c>
      <c r="D196" s="29" t="s">
        <v>434</v>
      </c>
      <c r="E196" s="29" t="s">
        <v>435</v>
      </c>
      <c r="F196" s="29" t="s">
        <v>33</v>
      </c>
      <c r="G196" s="30" t="s">
        <v>34</v>
      </c>
      <c r="H196" s="31">
        <v>1118230082.6972201</v>
      </c>
      <c r="I196" s="31">
        <v>857334082.69721699</v>
      </c>
      <c r="J196" s="32">
        <v>7.8099999427795401</v>
      </c>
      <c r="K196" s="33">
        <v>45700</v>
      </c>
      <c r="L196" s="31"/>
      <c r="M196" s="32"/>
      <c r="N196" s="31"/>
      <c r="O196" s="33">
        <v>45699</v>
      </c>
      <c r="P196" s="34">
        <v>1272640.75</v>
      </c>
      <c r="Q196" s="34">
        <v>1368874.875</v>
      </c>
      <c r="R196" s="34">
        <v>1300661.625</v>
      </c>
      <c r="S196" s="29" t="s">
        <v>192</v>
      </c>
      <c r="T196" s="33">
        <v>45446</v>
      </c>
      <c r="U196" s="35" t="b">
        <v>0</v>
      </c>
      <c r="V196" s="35" t="b">
        <v>0</v>
      </c>
      <c r="W196" s="35" t="b">
        <v>0</v>
      </c>
      <c r="Y196" s="31" cm="1">
        <f t="array" ref="Y196">IF(LEFT(_xll.BDP($C196, VOLUME_AVG_10D), 4) = "#N/A", "",  _xll.BDP($C196, VOLUME_AVG_10D))</f>
        <v>1022530.625</v>
      </c>
      <c r="Z196" s="31" cm="1">
        <f t="array" ref="Z196">IF(LEFT(_xll.BDP($C196, VOLUME_AVG_30D), 4) = "#N/A", "",  _xll.BDP($C196, VOLUME_AVG_30D))</f>
        <v>1272640.75</v>
      </c>
      <c r="AA196" s="31" cm="1">
        <f t="array" ref="AA196">IF(LEFT(_xll.BDP($C196, VOLUME_AVG_3M), 4) = "#N/A", "",  _xll.BDP($C196, VOLUME_AVG_3M))</f>
        <v>1368874.875</v>
      </c>
      <c r="AB196" s="31" cm="1">
        <f t="array" ref="AB196">IF(LEFT(_xll.BDP($C196, VOLUME_AVG_6M), 4) = "#N/A", "",  _xll.BDP($C196, VOLUME_AVG_6M))</f>
        <v>1300661.625</v>
      </c>
      <c r="AC196" s="31" cm="1">
        <f t="array" ref="AC196">IF(LEFT(_xll.BDP($C196, VOLUME_AVG_12M), 4) = "#N/A", "",  _xll.BDP($C196, VOLUME_AVG_12M))</f>
        <v>1503053.5</v>
      </c>
      <c r="AD196" s="41" cm="1">
        <f t="array" ref="AD196">IF(LEFT(_xll.BDP($C196, LAST_PRICE), 4) = "#N/A", "",  _xll.BDP($C196, LAST_PRICE))</f>
        <v>7.81</v>
      </c>
    </row>
    <row r="197" spans="1:30" x14ac:dyDescent="0.35">
      <c r="A197" s="1">
        <f t="shared" si="2"/>
        <v>194</v>
      </c>
      <c r="B197" s="28">
        <v>45700</v>
      </c>
      <c r="C197" s="29" t="s">
        <v>436</v>
      </c>
      <c r="D197" s="29" t="s">
        <v>436</v>
      </c>
      <c r="E197" s="29" t="s">
        <v>437</v>
      </c>
      <c r="F197" s="29" t="s">
        <v>40</v>
      </c>
      <c r="G197" s="30" t="s">
        <v>41</v>
      </c>
      <c r="H197" s="31">
        <v>497009770.29916</v>
      </c>
      <c r="I197" s="31">
        <v>538512770.29916</v>
      </c>
      <c r="J197" s="32">
        <v>9.0600004196166992</v>
      </c>
      <c r="K197" s="33">
        <v>45700</v>
      </c>
      <c r="L197" s="31">
        <v>1209700</v>
      </c>
      <c r="M197" s="32">
        <v>-1.4</v>
      </c>
      <c r="N197" s="31" t="s">
        <v>35</v>
      </c>
      <c r="O197" s="33">
        <v>45699</v>
      </c>
      <c r="P197" s="34">
        <v>1231884</v>
      </c>
      <c r="Q197" s="34">
        <v>946761.3</v>
      </c>
      <c r="R197" s="34">
        <v>964960.6</v>
      </c>
      <c r="S197" s="29"/>
      <c r="T197" s="33"/>
      <c r="U197" s="35" t="b">
        <v>0</v>
      </c>
      <c r="V197" s="35" t="b">
        <v>0</v>
      </c>
      <c r="W197" s="35" t="b">
        <v>0</v>
      </c>
      <c r="Y197" s="31" cm="1">
        <f t="array" ref="Y197">IF(LEFT(_xll.BDP($C197, VOLUME_AVG_10D), 4) = "#N/A", "",  _xll.BDP($C197, VOLUME_AVG_10D))</f>
        <v>2454922</v>
      </c>
      <c r="Z197" s="31" cm="1">
        <f t="array" ref="Z197">IF(LEFT(_xll.BDP($C197, VOLUME_AVG_30D), 4) = "#N/A", "",  _xll.BDP($C197, VOLUME_AVG_30D))</f>
        <v>1231884</v>
      </c>
      <c r="AA197" s="31" cm="1">
        <f t="array" ref="AA197">IF(LEFT(_xll.BDP($C197, VOLUME_AVG_3M), 4) = "#N/A", "",  _xll.BDP($C197, VOLUME_AVG_3M))</f>
        <v>946761.3</v>
      </c>
      <c r="AB197" s="31" cm="1">
        <f t="array" ref="AB197">IF(LEFT(_xll.BDP($C197, VOLUME_AVG_6M), 4) = "#N/A", "",  _xll.BDP($C197, VOLUME_AVG_6M))</f>
        <v>964960.6</v>
      </c>
      <c r="AC197" s="31" cm="1">
        <f t="array" ref="AC197">IF(LEFT(_xll.BDP($C197, VOLUME_AVG_12M), 4) = "#N/A", "",  _xll.BDP($C197, VOLUME_AVG_12M))</f>
        <v>1796630</v>
      </c>
      <c r="AD197" s="41" cm="1">
        <f t="array" ref="AD197">IF(LEFT(_xll.BDP($C197, LAST_PRICE), 4) = "#N/A", "",  _xll.BDP($C197, LAST_PRICE))</f>
        <v>9.06</v>
      </c>
    </row>
    <row r="198" spans="1:30" x14ac:dyDescent="0.35">
      <c r="A198" s="1">
        <f t="shared" ref="A198:A261" si="3">IF(B198="","", A197+1)</f>
        <v>195</v>
      </c>
      <c r="B198" s="28">
        <v>45700</v>
      </c>
      <c r="C198" s="29" t="s">
        <v>438</v>
      </c>
      <c r="D198" s="29" t="s">
        <v>438</v>
      </c>
      <c r="E198" s="29" t="s">
        <v>439</v>
      </c>
      <c r="F198" s="29" t="s">
        <v>40</v>
      </c>
      <c r="G198" s="30" t="s">
        <v>41</v>
      </c>
      <c r="H198" s="31">
        <v>28571320.448212601</v>
      </c>
      <c r="I198" s="31">
        <v>28773079.910012599</v>
      </c>
      <c r="J198" s="32">
        <v>0.37000000476837203</v>
      </c>
      <c r="K198" s="33">
        <v>45700</v>
      </c>
      <c r="L198" s="31"/>
      <c r="M198" s="32"/>
      <c r="N198" s="31"/>
      <c r="O198" s="33">
        <v>45699</v>
      </c>
      <c r="P198" s="34">
        <v>60482.87</v>
      </c>
      <c r="Q198" s="34">
        <v>66057.23</v>
      </c>
      <c r="R198" s="34">
        <v>54564.160000000003</v>
      </c>
      <c r="S198" s="29"/>
      <c r="T198" s="33"/>
      <c r="U198" s="35" t="b">
        <v>0</v>
      </c>
      <c r="V198" s="35" t="b">
        <v>0</v>
      </c>
      <c r="W198" s="35" t="b">
        <v>0</v>
      </c>
      <c r="Y198" s="31" cm="1">
        <f t="array" ref="Y198">IF(LEFT(_xll.BDP($C198, VOLUME_AVG_10D), 4) = "#N/A", "",  _xll.BDP($C198, VOLUME_AVG_10D))</f>
        <v>54934.5</v>
      </c>
      <c r="Z198" s="31" cm="1">
        <f t="array" ref="Z198">IF(LEFT(_xll.BDP($C198, VOLUME_AVG_30D), 4) = "#N/A", "",  _xll.BDP($C198, VOLUME_AVG_30D))</f>
        <v>60482.87</v>
      </c>
      <c r="AA198" s="31" cm="1">
        <f t="array" ref="AA198">IF(LEFT(_xll.BDP($C198, VOLUME_AVG_3M), 4) = "#N/A", "",  _xll.BDP($C198, VOLUME_AVG_3M))</f>
        <v>66057.23</v>
      </c>
      <c r="AB198" s="31" cm="1">
        <f t="array" ref="AB198">IF(LEFT(_xll.BDP($C198, VOLUME_AVG_6M), 4) = "#N/A", "",  _xll.BDP($C198, VOLUME_AVG_6M))</f>
        <v>54564.160000000003</v>
      </c>
      <c r="AC198" s="31" cm="1">
        <f t="array" ref="AC198">IF(LEFT(_xll.BDP($C198, VOLUME_AVG_12M), 4) = "#N/A", "",  _xll.BDP($C198, VOLUME_AVG_12M))</f>
        <v>38328.400000000001</v>
      </c>
      <c r="AD198" s="41" cm="1">
        <f t="array" ref="AD198">IF(LEFT(_xll.BDP($C198, LAST_PRICE), 4) = "#N/A", "",  _xll.BDP($C198, LAST_PRICE))</f>
        <v>0.37</v>
      </c>
    </row>
    <row r="199" spans="1:30" x14ac:dyDescent="0.35">
      <c r="A199" s="1">
        <f t="shared" si="3"/>
        <v>196</v>
      </c>
      <c r="B199" s="28">
        <v>45700</v>
      </c>
      <c r="C199" s="29" t="s">
        <v>440</v>
      </c>
      <c r="D199" s="29" t="s">
        <v>440</v>
      </c>
      <c r="E199" s="29" t="s">
        <v>441</v>
      </c>
      <c r="F199" s="29" t="s">
        <v>40</v>
      </c>
      <c r="G199" s="30" t="s">
        <v>41</v>
      </c>
      <c r="H199" s="31"/>
      <c r="I199" s="31"/>
      <c r="J199" s="32"/>
      <c r="K199" s="33">
        <v>45700</v>
      </c>
      <c r="L199" s="31"/>
      <c r="M199" s="32"/>
      <c r="N199" s="31"/>
      <c r="O199" s="33">
        <v>45699</v>
      </c>
      <c r="P199" s="34"/>
      <c r="Q199" s="34"/>
      <c r="R199" s="34"/>
      <c r="S199" s="29"/>
      <c r="T199" s="33"/>
      <c r="U199" s="35" t="b">
        <v>1</v>
      </c>
      <c r="V199" s="35" t="b">
        <v>1</v>
      </c>
      <c r="W199" s="35" t="b">
        <v>1</v>
      </c>
      <c r="Y199" s="31" t="str" cm="1">
        <f t="array" ref="Y199">IF(LEFT(_xll.BDP($C199, VOLUME_AVG_10D), 4) = "#N/A", "",  _xll.BDP($C199, VOLUME_AVG_10D))</f>
        <v/>
      </c>
      <c r="Z199" s="31" t="str" cm="1">
        <f t="array" ref="Z199">IF(LEFT(_xll.BDP($C199, VOLUME_AVG_30D), 4) = "#N/A", "",  _xll.BDP($C199, VOLUME_AVG_30D))</f>
        <v/>
      </c>
      <c r="AA199" s="31" t="str" cm="1">
        <f t="array" ref="AA199">IF(LEFT(_xll.BDP($C199, VOLUME_AVG_3M), 4) = "#N/A", "",  _xll.BDP($C199, VOLUME_AVG_3M))</f>
        <v/>
      </c>
      <c r="AB199" s="31" t="str" cm="1">
        <f t="array" ref="AB199">IF(LEFT(_xll.BDP($C199, VOLUME_AVG_6M), 4) = "#N/A", "",  _xll.BDP($C199, VOLUME_AVG_6M))</f>
        <v/>
      </c>
      <c r="AC199" s="31" t="str" cm="1">
        <f t="array" ref="AC199">IF(LEFT(_xll.BDP($C199, VOLUME_AVG_12M), 4) = "#N/A", "",  _xll.BDP($C199, VOLUME_AVG_12M))</f>
        <v/>
      </c>
      <c r="AD199" s="41" t="str" cm="1">
        <f t="array" ref="AD199">IF(LEFT(_xll.BDP($C199, LAST_PRICE), 4) = "#N/A", "",  _xll.BDP($C199, LAST_PRICE))</f>
        <v/>
      </c>
    </row>
    <row r="200" spans="1:30" x14ac:dyDescent="0.35">
      <c r="A200" s="1">
        <f t="shared" si="3"/>
        <v>197</v>
      </c>
      <c r="B200" s="28">
        <v>45700</v>
      </c>
      <c r="C200" s="29" t="s">
        <v>442</v>
      </c>
      <c r="D200" s="29" t="s">
        <v>442</v>
      </c>
      <c r="E200" s="29" t="s">
        <v>443</v>
      </c>
      <c r="F200" s="29" t="s">
        <v>33</v>
      </c>
      <c r="G200" s="30" t="s">
        <v>34</v>
      </c>
      <c r="H200" s="31">
        <v>521598520.59173697</v>
      </c>
      <c r="I200" s="31">
        <v>-83239479.408263206</v>
      </c>
      <c r="J200" s="32">
        <v>1.96000003814697</v>
      </c>
      <c r="K200" s="33">
        <v>45700</v>
      </c>
      <c r="L200" s="31">
        <v>29348200</v>
      </c>
      <c r="M200" s="32">
        <v>3.88</v>
      </c>
      <c r="N200" s="31" t="s">
        <v>35</v>
      </c>
      <c r="O200" s="33">
        <v>45699</v>
      </c>
      <c r="P200" s="34">
        <v>1153091</v>
      </c>
      <c r="Q200" s="34">
        <v>1633336.25</v>
      </c>
      <c r="R200" s="34">
        <v>1344725.875</v>
      </c>
      <c r="S200" s="29" t="s">
        <v>46</v>
      </c>
      <c r="T200" s="33">
        <v>45215</v>
      </c>
      <c r="U200" s="35" t="b">
        <v>0</v>
      </c>
      <c r="V200" s="35" t="b">
        <v>0</v>
      </c>
      <c r="W200" s="35" t="b">
        <v>1</v>
      </c>
      <c r="Y200" s="31" cm="1">
        <f t="array" ref="Y200">IF(LEFT(_xll.BDP($C200, VOLUME_AVG_10D), 4) = "#N/A", "",  _xll.BDP($C200, VOLUME_AVG_10D))</f>
        <v>1189384</v>
      </c>
      <c r="Z200" s="31" cm="1">
        <f t="array" ref="Z200">IF(LEFT(_xll.BDP($C200, VOLUME_AVG_30D), 4) = "#N/A", "",  _xll.BDP($C200, VOLUME_AVG_30D))</f>
        <v>1153091</v>
      </c>
      <c r="AA200" s="31" cm="1">
        <f t="array" ref="AA200">IF(LEFT(_xll.BDP($C200, VOLUME_AVG_3M), 4) = "#N/A", "",  _xll.BDP($C200, VOLUME_AVG_3M))</f>
        <v>1633336.25</v>
      </c>
      <c r="AB200" s="31" cm="1">
        <f t="array" ref="AB200">IF(LEFT(_xll.BDP($C200, VOLUME_AVG_6M), 4) = "#N/A", "",  _xll.BDP($C200, VOLUME_AVG_6M))</f>
        <v>1344725.875</v>
      </c>
      <c r="AC200" s="31" cm="1">
        <f t="array" ref="AC200">IF(LEFT(_xll.BDP($C200, VOLUME_AVG_12M), 4) = "#N/A", "",  _xll.BDP($C200, VOLUME_AVG_12M))</f>
        <v>1422446.25</v>
      </c>
      <c r="AD200" s="41" cm="1">
        <f t="array" ref="AD200">IF(LEFT(_xll.BDP($C200, LAST_PRICE), 4) = "#N/A", "",  _xll.BDP($C200, LAST_PRICE))</f>
        <v>1.96</v>
      </c>
    </row>
    <row r="201" spans="1:30" x14ac:dyDescent="0.35">
      <c r="A201" s="1">
        <f t="shared" si="3"/>
        <v>198</v>
      </c>
      <c r="B201" s="28">
        <v>45700</v>
      </c>
      <c r="C201" s="29" t="s">
        <v>444</v>
      </c>
      <c r="D201" s="29" t="s">
        <v>444</v>
      </c>
      <c r="E201" s="29" t="s">
        <v>445</v>
      </c>
      <c r="F201" s="29" t="s">
        <v>33</v>
      </c>
      <c r="G201" s="30" t="s">
        <v>34</v>
      </c>
      <c r="H201" s="31">
        <v>8043287.6046030503</v>
      </c>
      <c r="I201" s="31">
        <v>3974287.6046030498</v>
      </c>
      <c r="J201" s="32">
        <v>2.7200000286102299</v>
      </c>
      <c r="K201" s="33">
        <v>45700</v>
      </c>
      <c r="L201" s="31">
        <v>106000</v>
      </c>
      <c r="M201" s="32">
        <v>-173.2</v>
      </c>
      <c r="N201" s="31" t="s">
        <v>35</v>
      </c>
      <c r="O201" s="33">
        <v>45699</v>
      </c>
      <c r="P201" s="34">
        <v>669983.3125</v>
      </c>
      <c r="Q201" s="34">
        <v>403280.28125</v>
      </c>
      <c r="R201" s="34">
        <v>441706.25</v>
      </c>
      <c r="S201" s="29"/>
      <c r="T201" s="33"/>
      <c r="U201" s="35" t="b">
        <v>1</v>
      </c>
      <c r="V201" s="35" t="b">
        <v>0</v>
      </c>
      <c r="W201" s="35" t="b">
        <v>0</v>
      </c>
      <c r="Y201" s="31" cm="1">
        <f t="array" ref="Y201">IF(LEFT(_xll.BDP($C201, VOLUME_AVG_10D), 4) = "#N/A", "",  _xll.BDP($C201, VOLUME_AVG_10D))</f>
        <v>76258.1015625</v>
      </c>
      <c r="Z201" s="31" cm="1">
        <f t="array" ref="Z201">IF(LEFT(_xll.BDP($C201, VOLUME_AVG_30D), 4) = "#N/A", "",  _xll.BDP($C201, VOLUME_AVG_30D))</f>
        <v>669983.3125</v>
      </c>
      <c r="AA201" s="31" cm="1">
        <f t="array" ref="AA201">IF(LEFT(_xll.BDP($C201, VOLUME_AVG_3M), 4) = "#N/A", "",  _xll.BDP($C201, VOLUME_AVG_3M))</f>
        <v>403280.28125</v>
      </c>
      <c r="AB201" s="31" cm="1">
        <f t="array" ref="AB201">IF(LEFT(_xll.BDP($C201, VOLUME_AVG_6M), 4) = "#N/A", "",  _xll.BDP($C201, VOLUME_AVG_6M))</f>
        <v>441706.25</v>
      </c>
      <c r="AC201" s="31" cm="1">
        <f t="array" ref="AC201">IF(LEFT(_xll.BDP($C201, VOLUME_AVG_12M), 4) = "#N/A", "",  _xll.BDP($C201, VOLUME_AVG_12M))</f>
        <v>280506.71875</v>
      </c>
      <c r="AD201" s="41" cm="1">
        <f t="array" ref="AD201">IF(LEFT(_xll.BDP($C201, LAST_PRICE), 4) = "#N/A", "",  _xll.BDP($C201, LAST_PRICE))</f>
        <v>2.72</v>
      </c>
    </row>
    <row r="202" spans="1:30" x14ac:dyDescent="0.35">
      <c r="A202" s="1">
        <f t="shared" si="3"/>
        <v>199</v>
      </c>
      <c r="B202" s="28">
        <v>45700</v>
      </c>
      <c r="C202" s="29" t="s">
        <v>446</v>
      </c>
      <c r="D202" s="29" t="s">
        <v>446</v>
      </c>
      <c r="E202" s="29" t="s">
        <v>447</v>
      </c>
      <c r="F202" s="29" t="s">
        <v>40</v>
      </c>
      <c r="G202" s="30" t="s">
        <v>41</v>
      </c>
      <c r="H202" s="31">
        <v>71954075.925109401</v>
      </c>
      <c r="I202" s="31">
        <v>124499075.925109</v>
      </c>
      <c r="J202" s="32">
        <v>5.4999999701976797E-2</v>
      </c>
      <c r="K202" s="33">
        <v>45700</v>
      </c>
      <c r="L202" s="31">
        <v>2586300</v>
      </c>
      <c r="M202" s="32">
        <v>3.88</v>
      </c>
      <c r="N202" s="31" t="s">
        <v>35</v>
      </c>
      <c r="O202" s="33">
        <v>45699</v>
      </c>
      <c r="P202" s="34">
        <v>1853720</v>
      </c>
      <c r="Q202" s="34">
        <v>1514907</v>
      </c>
      <c r="R202" s="34">
        <v>1163993</v>
      </c>
      <c r="S202" s="29"/>
      <c r="T202" s="33"/>
      <c r="U202" s="35" t="b">
        <v>0</v>
      </c>
      <c r="V202" s="35" t="b">
        <v>1</v>
      </c>
      <c r="W202" s="35" t="b">
        <v>0</v>
      </c>
      <c r="Y202" s="31" cm="1">
        <f t="array" ref="Y202">IF(LEFT(_xll.BDP($C202, VOLUME_AVG_10D), 4) = "#N/A", "",  _xll.BDP($C202, VOLUME_AVG_10D))</f>
        <v>2839688</v>
      </c>
      <c r="Z202" s="31" cm="1">
        <f t="array" ref="Z202">IF(LEFT(_xll.BDP($C202, VOLUME_AVG_30D), 4) = "#N/A", "",  _xll.BDP($C202, VOLUME_AVG_30D))</f>
        <v>1853720</v>
      </c>
      <c r="AA202" s="31" cm="1">
        <f t="array" ref="AA202">IF(LEFT(_xll.BDP($C202, VOLUME_AVG_3M), 4) = "#N/A", "",  _xll.BDP($C202, VOLUME_AVG_3M))</f>
        <v>1514907</v>
      </c>
      <c r="AB202" s="31" cm="1">
        <f t="array" ref="AB202">IF(LEFT(_xll.BDP($C202, VOLUME_AVG_6M), 4) = "#N/A", "",  _xll.BDP($C202, VOLUME_AVG_6M))</f>
        <v>1163993</v>
      </c>
      <c r="AC202" s="31" cm="1">
        <f t="array" ref="AC202">IF(LEFT(_xll.BDP($C202, VOLUME_AVG_12M), 4) = "#N/A", "",  _xll.BDP($C202, VOLUME_AVG_12M))</f>
        <v>1426983</v>
      </c>
      <c r="AD202" s="41" cm="1">
        <f t="array" ref="AD202">IF(LEFT(_xll.BDP($C202, LAST_PRICE), 4) = "#N/A", "",  _xll.BDP($C202, LAST_PRICE))</f>
        <v>5.5E-2</v>
      </c>
    </row>
    <row r="203" spans="1:30" x14ac:dyDescent="0.35">
      <c r="A203" s="1">
        <f t="shared" si="3"/>
        <v>200</v>
      </c>
      <c r="B203" s="28">
        <v>45700</v>
      </c>
      <c r="C203" s="29" t="s">
        <v>448</v>
      </c>
      <c r="D203" s="29" t="s">
        <v>448</v>
      </c>
      <c r="E203" s="29" t="s">
        <v>449</v>
      </c>
      <c r="F203" s="29" t="s">
        <v>33</v>
      </c>
      <c r="G203" s="30" t="s">
        <v>34</v>
      </c>
      <c r="H203" s="31">
        <v>858581199.77639794</v>
      </c>
      <c r="I203" s="31">
        <v>794715199.77639794</v>
      </c>
      <c r="J203" s="32">
        <v>8.9099998474121094</v>
      </c>
      <c r="K203" s="33">
        <v>45700</v>
      </c>
      <c r="L203" s="31"/>
      <c r="M203" s="32"/>
      <c r="N203" s="31"/>
      <c r="O203" s="33">
        <v>45699</v>
      </c>
      <c r="P203" s="34">
        <v>1628605.125</v>
      </c>
      <c r="Q203" s="34">
        <v>1551816.5</v>
      </c>
      <c r="R203" s="34">
        <v>1232515.5</v>
      </c>
      <c r="S203" s="29" t="s">
        <v>82</v>
      </c>
      <c r="T203" s="33">
        <v>45446</v>
      </c>
      <c r="U203" s="35" t="b">
        <v>0</v>
      </c>
      <c r="V203" s="35" t="b">
        <v>0</v>
      </c>
      <c r="W203" s="35" t="b">
        <v>0</v>
      </c>
      <c r="Y203" s="31" cm="1">
        <f t="array" ref="Y203">IF(LEFT(_xll.BDP($C203, VOLUME_AVG_10D), 4) = "#N/A", "",  _xll.BDP($C203, VOLUME_AVG_10D))</f>
        <v>1457620.875</v>
      </c>
      <c r="Z203" s="31" cm="1">
        <f t="array" ref="Z203">IF(LEFT(_xll.BDP($C203, VOLUME_AVG_30D), 4) = "#N/A", "",  _xll.BDP($C203, VOLUME_AVG_30D))</f>
        <v>1628605.125</v>
      </c>
      <c r="AA203" s="31" cm="1">
        <f t="array" ref="AA203">IF(LEFT(_xll.BDP($C203, VOLUME_AVG_3M), 4) = "#N/A", "",  _xll.BDP($C203, VOLUME_AVG_3M))</f>
        <v>1551816.5</v>
      </c>
      <c r="AB203" s="31" cm="1">
        <f t="array" ref="AB203">IF(LEFT(_xll.BDP($C203, VOLUME_AVG_6M), 4) = "#N/A", "",  _xll.BDP($C203, VOLUME_AVG_6M))</f>
        <v>1232515.5</v>
      </c>
      <c r="AC203" s="31" cm="1">
        <f t="array" ref="AC203">IF(LEFT(_xll.BDP($C203, VOLUME_AVG_12M), 4) = "#N/A", "",  _xll.BDP($C203, VOLUME_AVG_12M))</f>
        <v>1243445.125</v>
      </c>
      <c r="AD203" s="41" cm="1">
        <f t="array" ref="AD203">IF(LEFT(_xll.BDP($C203, LAST_PRICE), 4) = "#N/A", "",  _xll.BDP($C203, LAST_PRICE))</f>
        <v>8.91</v>
      </c>
    </row>
    <row r="204" spans="1:30" x14ac:dyDescent="0.35">
      <c r="A204" s="1">
        <f t="shared" si="3"/>
        <v>201</v>
      </c>
      <c r="B204" s="28">
        <v>45700</v>
      </c>
      <c r="C204" s="29" t="s">
        <v>450</v>
      </c>
      <c r="D204" s="29" t="s">
        <v>450</v>
      </c>
      <c r="E204" s="29" t="s">
        <v>451</v>
      </c>
      <c r="F204" s="29" t="s">
        <v>33</v>
      </c>
      <c r="G204" s="30" t="s">
        <v>34</v>
      </c>
      <c r="H204" s="31">
        <v>80360699.643798396</v>
      </c>
      <c r="I204" s="31">
        <v>1793699.6437983401</v>
      </c>
      <c r="J204" s="32">
        <v>7.6799998283386204</v>
      </c>
      <c r="K204" s="33">
        <v>45700</v>
      </c>
      <c r="L204" s="31">
        <v>371100</v>
      </c>
      <c r="M204" s="32">
        <v>-8.6</v>
      </c>
      <c r="N204" s="31" t="s">
        <v>35</v>
      </c>
      <c r="O204" s="33">
        <v>45699</v>
      </c>
      <c r="P204" s="34">
        <v>68113.265625</v>
      </c>
      <c r="Q204" s="34">
        <v>97259</v>
      </c>
      <c r="R204" s="34">
        <v>60923.0546875</v>
      </c>
      <c r="S204" s="29" t="s">
        <v>73</v>
      </c>
      <c r="T204" s="33">
        <v>45446</v>
      </c>
      <c r="U204" s="35" t="b">
        <v>0</v>
      </c>
      <c r="V204" s="35" t="b">
        <v>0</v>
      </c>
      <c r="W204" s="35" t="b">
        <v>0</v>
      </c>
      <c r="Y204" s="31" cm="1">
        <f t="array" ref="Y204">IF(LEFT(_xll.BDP($C204, VOLUME_AVG_10D), 4) = "#N/A", "",  _xll.BDP($C204, VOLUME_AVG_10D))</f>
        <v>33037.8984375</v>
      </c>
      <c r="Z204" s="31" cm="1">
        <f t="array" ref="Z204">IF(LEFT(_xll.BDP($C204, VOLUME_AVG_30D), 4) = "#N/A", "",  _xll.BDP($C204, VOLUME_AVG_30D))</f>
        <v>68113.265625</v>
      </c>
      <c r="AA204" s="31" cm="1">
        <f t="array" ref="AA204">IF(LEFT(_xll.BDP($C204, VOLUME_AVG_3M), 4) = "#N/A", "",  _xll.BDP($C204, VOLUME_AVG_3M))</f>
        <v>97259</v>
      </c>
      <c r="AB204" s="31" cm="1">
        <f t="array" ref="AB204">IF(LEFT(_xll.BDP($C204, VOLUME_AVG_6M), 4) = "#N/A", "",  _xll.BDP($C204, VOLUME_AVG_6M))</f>
        <v>60923.0546875</v>
      </c>
      <c r="AC204" s="31" cm="1">
        <f t="array" ref="AC204">IF(LEFT(_xll.BDP($C204, VOLUME_AVG_12M), 4) = "#N/A", "",  _xll.BDP($C204, VOLUME_AVG_12M))</f>
        <v>204272.046875</v>
      </c>
      <c r="AD204" s="41" cm="1">
        <f t="array" ref="AD204">IF(LEFT(_xll.BDP($C204, LAST_PRICE), 4) = "#N/A", "",  _xll.BDP($C204, LAST_PRICE))</f>
        <v>7.68</v>
      </c>
    </row>
    <row r="205" spans="1:30" x14ac:dyDescent="0.35">
      <c r="A205" s="1">
        <f t="shared" si="3"/>
        <v>202</v>
      </c>
      <c r="B205" s="28">
        <v>45700</v>
      </c>
      <c r="C205" s="29" t="s">
        <v>452</v>
      </c>
      <c r="D205" s="29" t="s">
        <v>452</v>
      </c>
      <c r="E205" s="29" t="s">
        <v>453</v>
      </c>
      <c r="F205" s="29" t="s">
        <v>33</v>
      </c>
      <c r="G205" s="30" t="s">
        <v>34</v>
      </c>
      <c r="H205" s="31">
        <v>757371289.52255595</v>
      </c>
      <c r="I205" s="31">
        <v>870571289.52255595</v>
      </c>
      <c r="J205" s="32">
        <v>16.4799995422363</v>
      </c>
      <c r="K205" s="33">
        <v>45700</v>
      </c>
      <c r="L205" s="31">
        <v>22140400</v>
      </c>
      <c r="M205" s="32">
        <v>3.88</v>
      </c>
      <c r="N205" s="31" t="s">
        <v>35</v>
      </c>
      <c r="O205" s="33">
        <v>45699</v>
      </c>
      <c r="P205" s="34">
        <v>566769.5625</v>
      </c>
      <c r="Q205" s="34">
        <v>451015.4375</v>
      </c>
      <c r="R205" s="34">
        <v>334909.34375</v>
      </c>
      <c r="S205" s="29"/>
      <c r="T205" s="33"/>
      <c r="U205" s="35" t="b">
        <v>0</v>
      </c>
      <c r="V205" s="35" t="b">
        <v>0</v>
      </c>
      <c r="W205" s="35" t="b">
        <v>0</v>
      </c>
      <c r="Y205" s="31" cm="1">
        <f t="array" ref="Y205">IF(LEFT(_xll.BDP($C205, VOLUME_AVG_10D), 4) = "#N/A", "",  _xll.BDP($C205, VOLUME_AVG_10D))</f>
        <v>364149</v>
      </c>
      <c r="Z205" s="31" cm="1">
        <f t="array" ref="Z205">IF(LEFT(_xll.BDP($C205, VOLUME_AVG_30D), 4) = "#N/A", "",  _xll.BDP($C205, VOLUME_AVG_30D))</f>
        <v>566769.5625</v>
      </c>
      <c r="AA205" s="31" cm="1">
        <f t="array" ref="AA205">IF(LEFT(_xll.BDP($C205, VOLUME_AVG_3M), 4) = "#N/A", "",  _xll.BDP($C205, VOLUME_AVG_3M))</f>
        <v>451015.4375</v>
      </c>
      <c r="AB205" s="31" cm="1">
        <f t="array" ref="AB205">IF(LEFT(_xll.BDP($C205, VOLUME_AVG_6M), 4) = "#N/A", "",  _xll.BDP($C205, VOLUME_AVG_6M))</f>
        <v>334909.34375</v>
      </c>
      <c r="AC205" s="31" cm="1">
        <f t="array" ref="AC205">IF(LEFT(_xll.BDP($C205, VOLUME_AVG_12M), 4) = "#N/A", "",  _xll.BDP($C205, VOLUME_AVG_12M))</f>
        <v>278765.9375</v>
      </c>
      <c r="AD205" s="41" cm="1">
        <f t="array" ref="AD205">IF(LEFT(_xll.BDP($C205, LAST_PRICE), 4) = "#N/A", "",  _xll.BDP($C205, LAST_PRICE))</f>
        <v>16.48</v>
      </c>
    </row>
    <row r="206" spans="1:30" x14ac:dyDescent="0.35">
      <c r="A206" s="1">
        <f t="shared" si="3"/>
        <v>203</v>
      </c>
      <c r="B206" s="28">
        <v>45700</v>
      </c>
      <c r="C206" s="29" t="s">
        <v>454</v>
      </c>
      <c r="D206" s="29" t="s">
        <v>454</v>
      </c>
      <c r="E206" s="29" t="s">
        <v>455</v>
      </c>
      <c r="F206" s="29" t="s">
        <v>40</v>
      </c>
      <c r="G206" s="30" t="s">
        <v>41</v>
      </c>
      <c r="H206" s="31">
        <v>13500987.527235501</v>
      </c>
      <c r="I206" s="31">
        <v>20152987.527235501</v>
      </c>
      <c r="J206" s="32">
        <v>1.2699999809265099</v>
      </c>
      <c r="K206" s="33">
        <v>45700</v>
      </c>
      <c r="L206" s="31">
        <v>122600</v>
      </c>
      <c r="M206" s="32">
        <v>-0.85</v>
      </c>
      <c r="N206" s="31" t="s">
        <v>35</v>
      </c>
      <c r="O206" s="33">
        <v>45699</v>
      </c>
      <c r="P206" s="34">
        <v>27380.2</v>
      </c>
      <c r="Q206" s="34">
        <v>25438.23</v>
      </c>
      <c r="R206" s="34">
        <v>19461.57</v>
      </c>
      <c r="S206" s="29"/>
      <c r="T206" s="33"/>
      <c r="U206" s="35" t="b">
        <v>1</v>
      </c>
      <c r="V206" s="35" t="b">
        <v>0</v>
      </c>
      <c r="W206" s="35" t="b">
        <v>0</v>
      </c>
      <c r="Y206" s="31" cm="1">
        <f t="array" ref="Y206">IF(LEFT(_xll.BDP($C206, VOLUME_AVG_10D), 4) = "#N/A", "",  _xll.BDP($C206, VOLUME_AVG_10D))</f>
        <v>20272</v>
      </c>
      <c r="Z206" s="31" cm="1">
        <f t="array" ref="Z206">IF(LEFT(_xll.BDP($C206, VOLUME_AVG_30D), 4) = "#N/A", "",  _xll.BDP($C206, VOLUME_AVG_30D))</f>
        <v>27380.2</v>
      </c>
      <c r="AA206" s="31" cm="1">
        <f t="array" ref="AA206">IF(LEFT(_xll.BDP($C206, VOLUME_AVG_3M), 4) = "#N/A", "",  _xll.BDP($C206, VOLUME_AVG_3M))</f>
        <v>25438.23</v>
      </c>
      <c r="AB206" s="31" cm="1">
        <f t="array" ref="AB206">IF(LEFT(_xll.BDP($C206, VOLUME_AVG_6M), 4) = "#N/A", "",  _xll.BDP($C206, VOLUME_AVG_6M))</f>
        <v>19461.57</v>
      </c>
      <c r="AC206" s="31" cm="1">
        <f t="array" ref="AC206">IF(LEFT(_xll.BDP($C206, VOLUME_AVG_12M), 4) = "#N/A", "",  _xll.BDP($C206, VOLUME_AVG_12M))</f>
        <v>16337.39</v>
      </c>
      <c r="AD206" s="41" cm="1">
        <f t="array" ref="AD206">IF(LEFT(_xll.BDP($C206, LAST_PRICE), 4) = "#N/A", "",  _xll.BDP($C206, LAST_PRICE))</f>
        <v>1.27</v>
      </c>
    </row>
    <row r="207" spans="1:30" x14ac:dyDescent="0.35">
      <c r="A207" s="1">
        <f t="shared" si="3"/>
        <v>204</v>
      </c>
      <c r="B207" s="28">
        <v>45700</v>
      </c>
      <c r="C207" s="29" t="s">
        <v>456</v>
      </c>
      <c r="D207" s="29" t="s">
        <v>456</v>
      </c>
      <c r="E207" s="29" t="s">
        <v>457</v>
      </c>
      <c r="F207" s="29" t="s">
        <v>33</v>
      </c>
      <c r="G207" s="30" t="s">
        <v>34</v>
      </c>
      <c r="H207" s="31">
        <v>12290290905.1126</v>
      </c>
      <c r="I207" s="31">
        <v>16272190905.1126</v>
      </c>
      <c r="J207" s="32">
        <v>18.049999237060501</v>
      </c>
      <c r="K207" s="33">
        <v>45700</v>
      </c>
      <c r="L207" s="31">
        <v>184173104</v>
      </c>
      <c r="M207" s="32">
        <v>3.88</v>
      </c>
      <c r="N207" s="31" t="s">
        <v>35</v>
      </c>
      <c r="O207" s="33">
        <v>45699</v>
      </c>
      <c r="P207" s="34">
        <v>5129993</v>
      </c>
      <c r="Q207" s="34">
        <v>5783866</v>
      </c>
      <c r="R207" s="34">
        <v>5287616</v>
      </c>
      <c r="S207" s="29"/>
      <c r="T207" s="33"/>
      <c r="U207" s="35" t="b">
        <v>0</v>
      </c>
      <c r="V207" s="35" t="b">
        <v>0</v>
      </c>
      <c r="W207" s="35" t="b">
        <v>0</v>
      </c>
      <c r="Y207" s="31" cm="1">
        <f t="array" ref="Y207">IF(LEFT(_xll.BDP($C207, VOLUME_AVG_10D), 4) = "#N/A", "",  _xll.BDP($C207, VOLUME_AVG_10D))</f>
        <v>6545399.5</v>
      </c>
      <c r="Z207" s="31" cm="1">
        <f t="array" ref="Z207">IF(LEFT(_xll.BDP($C207, VOLUME_AVG_30D), 4) = "#N/A", "",  _xll.BDP($C207, VOLUME_AVG_30D))</f>
        <v>5129993</v>
      </c>
      <c r="AA207" s="31" cm="1">
        <f t="array" ref="AA207">IF(LEFT(_xll.BDP($C207, VOLUME_AVG_3M), 4) = "#N/A", "",  _xll.BDP($C207, VOLUME_AVG_3M))</f>
        <v>5783866</v>
      </c>
      <c r="AB207" s="31" cm="1">
        <f t="array" ref="AB207">IF(LEFT(_xll.BDP($C207, VOLUME_AVG_6M), 4) = "#N/A", "",  _xll.BDP($C207, VOLUME_AVG_6M))</f>
        <v>5287616</v>
      </c>
      <c r="AC207" s="31" cm="1">
        <f t="array" ref="AC207">IF(LEFT(_xll.BDP($C207, VOLUME_AVG_12M), 4) = "#N/A", "",  _xll.BDP($C207, VOLUME_AVG_12M))</f>
        <v>6208655</v>
      </c>
      <c r="AD207" s="41" cm="1">
        <f t="array" ref="AD207">IF(LEFT(_xll.BDP($C207, LAST_PRICE), 4) = "#N/A", "",  _xll.BDP($C207, LAST_PRICE))</f>
        <v>18.05</v>
      </c>
    </row>
    <row r="208" spans="1:30" x14ac:dyDescent="0.35">
      <c r="A208" s="1">
        <f t="shared" si="3"/>
        <v>205</v>
      </c>
      <c r="B208" s="28">
        <v>45700</v>
      </c>
      <c r="C208" s="29" t="s">
        <v>458</v>
      </c>
      <c r="D208" s="29" t="s">
        <v>458</v>
      </c>
      <c r="E208" s="29" t="s">
        <v>459</v>
      </c>
      <c r="F208" s="29" t="s">
        <v>33</v>
      </c>
      <c r="G208" s="30" t="s">
        <v>34</v>
      </c>
      <c r="H208" s="31">
        <v>1426.0574939747601</v>
      </c>
      <c r="I208" s="31">
        <v>-343184.93951604801</v>
      </c>
      <c r="J208" s="32"/>
      <c r="K208" s="33">
        <v>45700</v>
      </c>
      <c r="L208" s="31"/>
      <c r="M208" s="32"/>
      <c r="N208" s="31"/>
      <c r="O208" s="33">
        <v>45699</v>
      </c>
      <c r="P208" s="34">
        <v>1696.26672363281</v>
      </c>
      <c r="Q208" s="34">
        <v>1094.9677734375</v>
      </c>
      <c r="R208" s="34">
        <v>1751.27783203125</v>
      </c>
      <c r="S208" s="29"/>
      <c r="T208" s="33"/>
      <c r="U208" s="35" t="b">
        <v>1</v>
      </c>
      <c r="V208" s="35" t="b">
        <v>1</v>
      </c>
      <c r="W208" s="35" t="b">
        <v>1</v>
      </c>
      <c r="Y208" s="31" cm="1">
        <f t="array" ref="Y208">IF(LEFT(_xll.BDP($C208, VOLUME_AVG_10D), 4) = "#N/A", "",  _xll.BDP($C208, VOLUME_AVG_10D))</f>
        <v>0</v>
      </c>
      <c r="Z208" s="31" cm="1">
        <f t="array" ref="Z208">IF(LEFT(_xll.BDP($C208, VOLUME_AVG_30D), 4) = "#N/A", "",  _xll.BDP($C208, VOLUME_AVG_30D))</f>
        <v>1696.2667236328125</v>
      </c>
      <c r="AA208" s="31" cm="1">
        <f t="array" ref="AA208">IF(LEFT(_xll.BDP($C208, VOLUME_AVG_3M), 4) = "#N/A", "",  _xll.BDP($C208, VOLUME_AVG_3M))</f>
        <v>1094.9677734375</v>
      </c>
      <c r="AB208" s="31" cm="1">
        <f t="array" ref="AB208">IF(LEFT(_xll.BDP($C208, VOLUME_AVG_6M), 4) = "#N/A", "",  _xll.BDP($C208, VOLUME_AVG_6M))</f>
        <v>1751.27783203125</v>
      </c>
      <c r="AC208" s="31" cm="1">
        <f t="array" ref="AC208">IF(LEFT(_xll.BDP($C208, VOLUME_AVG_12M), 4) = "#N/A", "",  _xll.BDP($C208, VOLUME_AVG_12M))</f>
        <v>943.70916748046875</v>
      </c>
      <c r="AD208" s="41" cm="1">
        <f t="array" ref="AD208">IF(LEFT(_xll.BDP($C208, LAST_PRICE), 4) = "#N/A", "",  _xll.BDP($C208, LAST_PRICE))</f>
        <v>1.0000000000000001E-5</v>
      </c>
    </row>
    <row r="209" spans="1:30" x14ac:dyDescent="0.35">
      <c r="A209" s="1">
        <f t="shared" si="3"/>
        <v>206</v>
      </c>
      <c r="B209" s="28">
        <v>45700</v>
      </c>
      <c r="C209" s="29" t="s">
        <v>460</v>
      </c>
      <c r="D209" s="29" t="s">
        <v>460</v>
      </c>
      <c r="E209" s="29" t="s">
        <v>461</v>
      </c>
      <c r="F209" s="29" t="s">
        <v>33</v>
      </c>
      <c r="G209" s="30" t="s">
        <v>34</v>
      </c>
      <c r="H209" s="31">
        <v>904293795.19070005</v>
      </c>
      <c r="I209" s="31">
        <v>2158902795.1907001</v>
      </c>
      <c r="J209" s="32">
        <v>4.6799998283386204</v>
      </c>
      <c r="K209" s="33">
        <v>45700</v>
      </c>
      <c r="L209" s="31">
        <v>8890500</v>
      </c>
      <c r="M209" s="32">
        <v>3.88</v>
      </c>
      <c r="N209" s="31" t="s">
        <v>35</v>
      </c>
      <c r="O209" s="33">
        <v>45699</v>
      </c>
      <c r="P209" s="34">
        <v>198885.03125</v>
      </c>
      <c r="Q209" s="34">
        <v>222938.234375</v>
      </c>
      <c r="R209" s="34">
        <v>276392.75</v>
      </c>
      <c r="S209" s="29"/>
      <c r="T209" s="33"/>
      <c r="U209" s="35" t="b">
        <v>0</v>
      </c>
      <c r="V209" s="35" t="b">
        <v>0</v>
      </c>
      <c r="W209" s="35" t="b">
        <v>0</v>
      </c>
      <c r="Y209" s="31" cm="1">
        <f t="array" ref="Y209">IF(LEFT(_xll.BDP($C209, VOLUME_AVG_10D), 4) = "#N/A", "",  _xll.BDP($C209, VOLUME_AVG_10D))</f>
        <v>156252.703125</v>
      </c>
      <c r="Z209" s="31" cm="1">
        <f t="array" ref="Z209">IF(LEFT(_xll.BDP($C209, VOLUME_AVG_30D), 4) = "#N/A", "",  _xll.BDP($C209, VOLUME_AVG_30D))</f>
        <v>198885.03125</v>
      </c>
      <c r="AA209" s="31" cm="1">
        <f t="array" ref="AA209">IF(LEFT(_xll.BDP($C209, VOLUME_AVG_3M), 4) = "#N/A", "",  _xll.BDP($C209, VOLUME_AVG_3M))</f>
        <v>222938.234375</v>
      </c>
      <c r="AB209" s="31" cm="1">
        <f t="array" ref="AB209">IF(LEFT(_xll.BDP($C209, VOLUME_AVG_6M), 4) = "#N/A", "",  _xll.BDP($C209, VOLUME_AVG_6M))</f>
        <v>276392.75</v>
      </c>
      <c r="AC209" s="31" cm="1">
        <f t="array" ref="AC209">IF(LEFT(_xll.BDP($C209, VOLUME_AVG_12M), 4) = "#N/A", "",  _xll.BDP($C209, VOLUME_AVG_12M))</f>
        <v>213479.0625</v>
      </c>
      <c r="AD209" s="41" cm="1">
        <f t="array" ref="AD209">IF(LEFT(_xll.BDP($C209, LAST_PRICE), 4) = "#N/A", "",  _xll.BDP($C209, LAST_PRICE))</f>
        <v>4.68</v>
      </c>
    </row>
    <row r="210" spans="1:30" x14ac:dyDescent="0.35">
      <c r="A210" s="1">
        <f t="shared" si="3"/>
        <v>207</v>
      </c>
      <c r="B210" s="28">
        <v>45700</v>
      </c>
      <c r="C210" s="29" t="s">
        <v>462</v>
      </c>
      <c r="D210" s="29" t="s">
        <v>462</v>
      </c>
      <c r="E210" s="29" t="s">
        <v>463</v>
      </c>
      <c r="F210" s="29" t="s">
        <v>33</v>
      </c>
      <c r="G210" s="30" t="s">
        <v>34</v>
      </c>
      <c r="H210" s="31">
        <v>2375647.4904692802</v>
      </c>
      <c r="I210" s="31">
        <v>2471647.4904692802</v>
      </c>
      <c r="J210" s="32">
        <v>3.0099999159574502E-2</v>
      </c>
      <c r="K210" s="33">
        <v>45700</v>
      </c>
      <c r="L210" s="31"/>
      <c r="M210" s="32"/>
      <c r="N210" s="31"/>
      <c r="O210" s="33">
        <v>45699</v>
      </c>
      <c r="P210" s="34">
        <v>32633.3671875</v>
      </c>
      <c r="Q210" s="34">
        <v>62448.7109375</v>
      </c>
      <c r="R210" s="34">
        <v>42520.72265625</v>
      </c>
      <c r="S210" s="29"/>
      <c r="T210" s="33"/>
      <c r="U210" s="35" t="b">
        <v>1</v>
      </c>
      <c r="V210" s="35" t="b">
        <v>1</v>
      </c>
      <c r="W210" s="35" t="b">
        <v>0</v>
      </c>
      <c r="Y210" s="31" cm="1">
        <f t="array" ref="Y210">IF(LEFT(_xll.BDP($C210, VOLUME_AVG_10D), 4) = "#N/A", "",  _xll.BDP($C210, VOLUME_AVG_10D))</f>
        <v>13285.5</v>
      </c>
      <c r="Z210" s="31" cm="1">
        <f t="array" ref="Z210">IF(LEFT(_xll.BDP($C210, VOLUME_AVG_30D), 4) = "#N/A", "",  _xll.BDP($C210, VOLUME_AVG_30D))</f>
        <v>32633.3671875</v>
      </c>
      <c r="AA210" s="31" cm="1">
        <f t="array" ref="AA210">IF(LEFT(_xll.BDP($C210, VOLUME_AVG_3M), 4) = "#N/A", "",  _xll.BDP($C210, VOLUME_AVG_3M))</f>
        <v>62448.7109375</v>
      </c>
      <c r="AB210" s="31" cm="1">
        <f t="array" ref="AB210">IF(LEFT(_xll.BDP($C210, VOLUME_AVG_6M), 4) = "#N/A", "",  _xll.BDP($C210, VOLUME_AVG_6M))</f>
        <v>42520.72265625</v>
      </c>
      <c r="AC210" s="31" cm="1">
        <f t="array" ref="AC210">IF(LEFT(_xll.BDP($C210, VOLUME_AVG_12M), 4) = "#N/A", "",  _xll.BDP($C210, VOLUME_AVG_12M))</f>
        <v>33984.12109375</v>
      </c>
      <c r="AD210" s="41" cm="1">
        <f t="array" ref="AD210">IF(LEFT(_xll.BDP($C210, LAST_PRICE), 4) = "#N/A", "",  _xll.BDP($C210, LAST_PRICE))</f>
        <v>3.0099999999999998E-2</v>
      </c>
    </row>
    <row r="211" spans="1:30" x14ac:dyDescent="0.35">
      <c r="A211" s="1">
        <f t="shared" si="3"/>
        <v>208</v>
      </c>
      <c r="B211" s="28">
        <v>45700</v>
      </c>
      <c r="C211" s="29" t="s">
        <v>464</v>
      </c>
      <c r="D211" s="29" t="s">
        <v>464</v>
      </c>
      <c r="E211" s="29" t="s">
        <v>465</v>
      </c>
      <c r="F211" s="29" t="s">
        <v>33</v>
      </c>
      <c r="G211" s="30" t="s">
        <v>34</v>
      </c>
      <c r="H211" s="31">
        <v>1948584.07742977</v>
      </c>
      <c r="I211" s="31">
        <v>-1606415.92257023</v>
      </c>
      <c r="J211" s="32">
        <v>1.3200000524520901</v>
      </c>
      <c r="K211" s="33">
        <v>45700</v>
      </c>
      <c r="L211" s="31">
        <v>39100</v>
      </c>
      <c r="M211" s="32">
        <v>-45.9</v>
      </c>
      <c r="N211" s="31" t="s">
        <v>35</v>
      </c>
      <c r="O211" s="33">
        <v>45699</v>
      </c>
      <c r="P211" s="34">
        <v>761615.5</v>
      </c>
      <c r="Q211" s="34">
        <v>383729.96875</v>
      </c>
      <c r="R211" s="34">
        <v>211272.03125</v>
      </c>
      <c r="S211" s="29"/>
      <c r="T211" s="33"/>
      <c r="U211" s="35" t="b">
        <v>1</v>
      </c>
      <c r="V211" s="35" t="b">
        <v>0</v>
      </c>
      <c r="W211" s="35" t="b">
        <v>1</v>
      </c>
      <c r="Y211" s="31" cm="1">
        <f t="array" ref="Y211">IF(LEFT(_xll.BDP($C211, VOLUME_AVG_10D), 4) = "#N/A", "",  _xll.BDP($C211, VOLUME_AVG_10D))</f>
        <v>103293.8984375</v>
      </c>
      <c r="Z211" s="31" cm="1">
        <f t="array" ref="Z211">IF(LEFT(_xll.BDP($C211, VOLUME_AVG_30D), 4) = "#N/A", "",  _xll.BDP($C211, VOLUME_AVG_30D))</f>
        <v>761615.5</v>
      </c>
      <c r="AA211" s="31" cm="1">
        <f t="array" ref="AA211">IF(LEFT(_xll.BDP($C211, VOLUME_AVG_3M), 4) = "#N/A", "",  _xll.BDP($C211, VOLUME_AVG_3M))</f>
        <v>383729.96875</v>
      </c>
      <c r="AB211" s="31" cm="1">
        <f t="array" ref="AB211">IF(LEFT(_xll.BDP($C211, VOLUME_AVG_6M), 4) = "#N/A", "",  _xll.BDP($C211, VOLUME_AVG_6M))</f>
        <v>211272.03125</v>
      </c>
      <c r="AC211" s="31" cm="1">
        <f t="array" ref="AC211">IF(LEFT(_xll.BDP($C211, VOLUME_AVG_12M), 4) = "#N/A", "",  _xll.BDP($C211, VOLUME_AVG_12M))</f>
        <v>132780.71875</v>
      </c>
      <c r="AD211" s="41" cm="1">
        <f t="array" ref="AD211">IF(LEFT(_xll.BDP($C211, LAST_PRICE), 4) = "#N/A", "",  _xll.BDP($C211, LAST_PRICE))</f>
        <v>1.32</v>
      </c>
    </row>
    <row r="212" spans="1:30" x14ac:dyDescent="0.35">
      <c r="A212" s="1">
        <f t="shared" si="3"/>
        <v>209</v>
      </c>
      <c r="B212" s="28">
        <v>45700</v>
      </c>
      <c r="C212" s="29" t="s">
        <v>466</v>
      </c>
      <c r="D212" s="29" t="s">
        <v>466</v>
      </c>
      <c r="E212" s="29" t="s">
        <v>467</v>
      </c>
      <c r="F212" s="29" t="s">
        <v>40</v>
      </c>
      <c r="G212" s="30" t="s">
        <v>41</v>
      </c>
      <c r="H212" s="31">
        <v>27553872.5</v>
      </c>
      <c r="I212" s="31">
        <v>34444801.5</v>
      </c>
      <c r="J212" s="32">
        <v>0.25</v>
      </c>
      <c r="K212" s="33">
        <v>45700</v>
      </c>
      <c r="L212" s="31">
        <v>89800</v>
      </c>
      <c r="M212" s="32">
        <v>-4.2</v>
      </c>
      <c r="N212" s="31" t="s">
        <v>35</v>
      </c>
      <c r="O212" s="33">
        <v>45699</v>
      </c>
      <c r="P212" s="34">
        <v>263325.59999999998</v>
      </c>
      <c r="Q212" s="34">
        <v>232463.9</v>
      </c>
      <c r="R212" s="34">
        <v>257987.20000000001</v>
      </c>
      <c r="S212" s="29"/>
      <c r="T212" s="33"/>
      <c r="U212" s="35" t="b">
        <v>0</v>
      </c>
      <c r="V212" s="35" t="b">
        <v>0</v>
      </c>
      <c r="W212" s="35" t="b">
        <v>0</v>
      </c>
      <c r="Y212" s="31" cm="1">
        <f t="array" ref="Y212">IF(LEFT(_xll.BDP($C212, VOLUME_AVG_10D), 4) = "#N/A", "",  _xll.BDP($C212, VOLUME_AVG_10D))</f>
        <v>201824.7</v>
      </c>
      <c r="Z212" s="31" cm="1">
        <f t="array" ref="Z212">IF(LEFT(_xll.BDP($C212, VOLUME_AVG_30D), 4) = "#N/A", "",  _xll.BDP($C212, VOLUME_AVG_30D))</f>
        <v>263325.59999999998</v>
      </c>
      <c r="AA212" s="31" cm="1">
        <f t="array" ref="AA212">IF(LEFT(_xll.BDP($C212, VOLUME_AVG_3M), 4) = "#N/A", "",  _xll.BDP($C212, VOLUME_AVG_3M))</f>
        <v>232463.9</v>
      </c>
      <c r="AB212" s="31" cm="1">
        <f t="array" ref="AB212">IF(LEFT(_xll.BDP($C212, VOLUME_AVG_6M), 4) = "#N/A", "",  _xll.BDP($C212, VOLUME_AVG_6M))</f>
        <v>257987.20000000001</v>
      </c>
      <c r="AC212" s="31" cm="1">
        <f t="array" ref="AC212">IF(LEFT(_xll.BDP($C212, VOLUME_AVG_12M), 4) = "#N/A", "",  _xll.BDP($C212, VOLUME_AVG_12M))</f>
        <v>243498.3</v>
      </c>
      <c r="AD212" s="41" cm="1">
        <f t="array" ref="AD212">IF(LEFT(_xll.BDP($C212, LAST_PRICE), 4) = "#N/A", "",  _xll.BDP($C212, LAST_PRICE))</f>
        <v>0.25</v>
      </c>
    </row>
    <row r="213" spans="1:30" x14ac:dyDescent="0.35">
      <c r="A213" s="1">
        <f t="shared" si="3"/>
        <v>210</v>
      </c>
      <c r="B213" s="28">
        <v>45700</v>
      </c>
      <c r="C213" s="29" t="s">
        <v>469</v>
      </c>
      <c r="D213" s="29" t="s">
        <v>469</v>
      </c>
      <c r="E213" s="29" t="s">
        <v>470</v>
      </c>
      <c r="F213" s="29" t="s">
        <v>33</v>
      </c>
      <c r="G213" s="30" t="s">
        <v>34</v>
      </c>
      <c r="H213" s="31">
        <v>3797615551.0074201</v>
      </c>
      <c r="I213" s="31">
        <v>2220427551.0074201</v>
      </c>
      <c r="J213" s="32">
        <v>31.829999923706101</v>
      </c>
      <c r="K213" s="33">
        <v>45700</v>
      </c>
      <c r="L213" s="31">
        <v>34224200</v>
      </c>
      <c r="M213" s="32">
        <v>3.88</v>
      </c>
      <c r="N213" s="31" t="s">
        <v>35</v>
      </c>
      <c r="O213" s="33">
        <v>45699</v>
      </c>
      <c r="P213" s="34">
        <v>1370664.875</v>
      </c>
      <c r="Q213" s="34">
        <v>1342244.5</v>
      </c>
      <c r="R213" s="34">
        <v>1311102.625</v>
      </c>
      <c r="S213" s="29" t="s">
        <v>353</v>
      </c>
      <c r="T213" s="33">
        <v>45446</v>
      </c>
      <c r="U213" s="35" t="b">
        <v>0</v>
      </c>
      <c r="V213" s="35" t="b">
        <v>0</v>
      </c>
      <c r="W213" s="35" t="b">
        <v>0</v>
      </c>
      <c r="Y213" s="31" cm="1">
        <f t="array" ref="Y213">IF(LEFT(_xll.BDP($C213, VOLUME_AVG_10D), 4) = "#N/A", "",  _xll.BDP($C213, VOLUME_AVG_10D))</f>
        <v>1426844</v>
      </c>
      <c r="Z213" s="31" cm="1">
        <f t="array" ref="Z213">IF(LEFT(_xll.BDP($C213, VOLUME_AVG_30D), 4) = "#N/A", "",  _xll.BDP($C213, VOLUME_AVG_30D))</f>
        <v>1370664.875</v>
      </c>
      <c r="AA213" s="31" cm="1">
        <f t="array" ref="AA213">IF(LEFT(_xll.BDP($C213, VOLUME_AVG_3M), 4) = "#N/A", "",  _xll.BDP($C213, VOLUME_AVG_3M))</f>
        <v>1342244.5</v>
      </c>
      <c r="AB213" s="31" cm="1">
        <f t="array" ref="AB213">IF(LEFT(_xll.BDP($C213, VOLUME_AVG_6M), 4) = "#N/A", "",  _xll.BDP($C213, VOLUME_AVG_6M))</f>
        <v>1311102.625</v>
      </c>
      <c r="AC213" s="31" cm="1">
        <f t="array" ref="AC213">IF(LEFT(_xll.BDP($C213, VOLUME_AVG_12M), 4) = "#N/A", "",  _xll.BDP($C213, VOLUME_AVG_12M))</f>
        <v>1346551.875</v>
      </c>
      <c r="AD213" s="41" cm="1">
        <f t="array" ref="AD213">IF(LEFT(_xll.BDP($C213, LAST_PRICE), 4) = "#N/A", "",  _xll.BDP($C213, LAST_PRICE))</f>
        <v>31.83</v>
      </c>
    </row>
    <row r="214" spans="1:30" x14ac:dyDescent="0.35">
      <c r="A214" s="1">
        <f t="shared" si="3"/>
        <v>211</v>
      </c>
      <c r="B214" s="28">
        <v>45700</v>
      </c>
      <c r="C214" s="29" t="s">
        <v>471</v>
      </c>
      <c r="D214" s="29" t="s">
        <v>471</v>
      </c>
      <c r="E214" s="29" t="s">
        <v>472</v>
      </c>
      <c r="F214" s="29" t="s">
        <v>33</v>
      </c>
      <c r="G214" s="30" t="s">
        <v>34</v>
      </c>
      <c r="H214" s="31">
        <v>1522337.8276160399</v>
      </c>
      <c r="I214" s="31">
        <v>1234675.8276160399</v>
      </c>
      <c r="J214" s="32">
        <v>0.46000000834464999</v>
      </c>
      <c r="K214" s="33">
        <v>45700</v>
      </c>
      <c r="L214" s="31">
        <v>57500</v>
      </c>
      <c r="M214" s="32">
        <v>-22.75</v>
      </c>
      <c r="N214" s="31" t="s">
        <v>35</v>
      </c>
      <c r="O214" s="33">
        <v>45699</v>
      </c>
      <c r="P214" s="34">
        <v>964325.6875</v>
      </c>
      <c r="Q214" s="34">
        <v>2402584.5</v>
      </c>
      <c r="R214" s="34">
        <v>1303973.125</v>
      </c>
      <c r="S214" s="29"/>
      <c r="T214" s="33"/>
      <c r="U214" s="35" t="b">
        <v>1</v>
      </c>
      <c r="V214" s="35" t="b">
        <v>0</v>
      </c>
      <c r="W214" s="35" t="b">
        <v>0</v>
      </c>
      <c r="Y214" s="31" cm="1">
        <f t="array" ref="Y214">IF(LEFT(_xll.BDP($C214, VOLUME_AVG_10D), 4) = "#N/A", "",  _xll.BDP($C214, VOLUME_AVG_10D))</f>
        <v>876187.3125</v>
      </c>
      <c r="Z214" s="31" cm="1">
        <f t="array" ref="Z214">IF(LEFT(_xll.BDP($C214, VOLUME_AVG_30D), 4) = "#N/A", "",  _xll.BDP($C214, VOLUME_AVG_30D))</f>
        <v>964325.6875</v>
      </c>
      <c r="AA214" s="31" cm="1">
        <f t="array" ref="AA214">IF(LEFT(_xll.BDP($C214, VOLUME_AVG_3M), 4) = "#N/A", "",  _xll.BDP($C214, VOLUME_AVG_3M))</f>
        <v>2402584.5</v>
      </c>
      <c r="AB214" s="31" cm="1">
        <f t="array" ref="AB214">IF(LEFT(_xll.BDP($C214, VOLUME_AVG_6M), 4) = "#N/A", "",  _xll.BDP($C214, VOLUME_AVG_6M))</f>
        <v>1303973.125</v>
      </c>
      <c r="AC214" s="31" cm="1">
        <f t="array" ref="AC214">IF(LEFT(_xll.BDP($C214, VOLUME_AVG_12M), 4) = "#N/A", "",  _xll.BDP($C214, VOLUME_AVG_12M))</f>
        <v>677888.625</v>
      </c>
      <c r="AD214" s="41" cm="1">
        <f t="array" ref="AD214">IF(LEFT(_xll.BDP($C214, LAST_PRICE), 4) = "#N/A", "",  _xll.BDP($C214, LAST_PRICE))</f>
        <v>0.46</v>
      </c>
    </row>
    <row r="215" spans="1:30" x14ac:dyDescent="0.35">
      <c r="A215" s="1">
        <f t="shared" si="3"/>
        <v>212</v>
      </c>
      <c r="B215" s="28">
        <v>45700</v>
      </c>
      <c r="C215" s="29" t="s">
        <v>473</v>
      </c>
      <c r="D215" s="29" t="s">
        <v>473</v>
      </c>
      <c r="E215" s="29" t="s">
        <v>474</v>
      </c>
      <c r="F215" s="29" t="s">
        <v>33</v>
      </c>
      <c r="G215" s="30" t="s">
        <v>34</v>
      </c>
      <c r="H215" s="31">
        <v>226865449.21376601</v>
      </c>
      <c r="I215" s="31">
        <v>179322449.21376601</v>
      </c>
      <c r="J215" s="32">
        <v>8.6099996566772496</v>
      </c>
      <c r="K215" s="33">
        <v>45700</v>
      </c>
      <c r="L215" s="31">
        <v>1985200</v>
      </c>
      <c r="M215" s="32">
        <v>3.65</v>
      </c>
      <c r="N215" s="31" t="s">
        <v>35</v>
      </c>
      <c r="O215" s="33">
        <v>45699</v>
      </c>
      <c r="P215" s="34">
        <v>210401.765625</v>
      </c>
      <c r="Q215" s="34">
        <v>160498.03125</v>
      </c>
      <c r="R215" s="34">
        <v>132251.421875</v>
      </c>
      <c r="S215" s="29"/>
      <c r="T215" s="33"/>
      <c r="U215" s="35" t="b">
        <v>0</v>
      </c>
      <c r="V215" s="35" t="b">
        <v>0</v>
      </c>
      <c r="W215" s="35" t="b">
        <v>0</v>
      </c>
      <c r="Y215" s="31" cm="1">
        <f t="array" ref="Y215">IF(LEFT(_xll.BDP($C215, VOLUME_AVG_10D), 4) = "#N/A", "",  _xll.BDP($C215, VOLUME_AVG_10D))</f>
        <v>111517.296875</v>
      </c>
      <c r="Z215" s="31" cm="1">
        <f t="array" ref="Z215">IF(LEFT(_xll.BDP($C215, VOLUME_AVG_30D), 4) = "#N/A", "",  _xll.BDP($C215, VOLUME_AVG_30D))</f>
        <v>210401.765625</v>
      </c>
      <c r="AA215" s="31" cm="1">
        <f t="array" ref="AA215">IF(LEFT(_xll.BDP($C215, VOLUME_AVG_3M), 4) = "#N/A", "",  _xll.BDP($C215, VOLUME_AVG_3M))</f>
        <v>160498.03125</v>
      </c>
      <c r="AB215" s="31" cm="1">
        <f t="array" ref="AB215">IF(LEFT(_xll.BDP($C215, VOLUME_AVG_6M), 4) = "#N/A", "",  _xll.BDP($C215, VOLUME_AVG_6M))</f>
        <v>132251.421875</v>
      </c>
      <c r="AC215" s="31" cm="1">
        <f t="array" ref="AC215">IF(LEFT(_xll.BDP($C215, VOLUME_AVG_12M), 4) = "#N/A", "",  _xll.BDP($C215, VOLUME_AVG_12M))</f>
        <v>183540.203125</v>
      </c>
      <c r="AD215" s="41" cm="1">
        <f t="array" ref="AD215">IF(LEFT(_xll.BDP($C215, LAST_PRICE), 4) = "#N/A", "",  _xll.BDP($C215, LAST_PRICE))</f>
        <v>8.61</v>
      </c>
    </row>
    <row r="216" spans="1:30" x14ac:dyDescent="0.35">
      <c r="A216" s="1">
        <f t="shared" si="3"/>
        <v>213</v>
      </c>
      <c r="B216" s="28">
        <v>45700</v>
      </c>
      <c r="C216" s="29" t="s">
        <v>475</v>
      </c>
      <c r="D216" s="29" t="s">
        <v>475</v>
      </c>
      <c r="E216" s="29" t="s">
        <v>476</v>
      </c>
      <c r="F216" s="29" t="s">
        <v>33</v>
      </c>
      <c r="G216" s="30" t="s">
        <v>34</v>
      </c>
      <c r="H216" s="31"/>
      <c r="I216" s="31"/>
      <c r="J216" s="32">
        <v>9.9999999747524292E-7</v>
      </c>
      <c r="K216" s="33">
        <v>45700</v>
      </c>
      <c r="L216" s="31"/>
      <c r="M216" s="32"/>
      <c r="N216" s="31"/>
      <c r="O216" s="33">
        <v>45699</v>
      </c>
      <c r="P216" s="34">
        <v>172357.328125</v>
      </c>
      <c r="Q216" s="34">
        <v>101931.3359375</v>
      </c>
      <c r="R216" s="34">
        <v>58908.0703125</v>
      </c>
      <c r="S216" s="29"/>
      <c r="T216" s="33"/>
      <c r="U216" s="35" t="b">
        <v>1</v>
      </c>
      <c r="V216" s="35" t="b">
        <v>1</v>
      </c>
      <c r="W216" s="35" t="b">
        <v>1</v>
      </c>
      <c r="Y216" s="31" cm="1">
        <f t="array" ref="Y216">IF(LEFT(_xll.BDP($C216, VOLUME_AVG_10D), 4) = "#N/A", "",  _xll.BDP($C216, VOLUME_AVG_10D))</f>
        <v>435139.90625</v>
      </c>
      <c r="Z216" s="31" cm="1">
        <f t="array" ref="Z216">IF(LEFT(_xll.BDP($C216, VOLUME_AVG_30D), 4) = "#N/A", "",  _xll.BDP($C216, VOLUME_AVG_30D))</f>
        <v>172357.328125</v>
      </c>
      <c r="AA216" s="31" cm="1">
        <f t="array" ref="AA216">IF(LEFT(_xll.BDP($C216, VOLUME_AVG_3M), 4) = "#N/A", "",  _xll.BDP($C216, VOLUME_AVG_3M))</f>
        <v>101931.3359375</v>
      </c>
      <c r="AB216" s="31" cm="1">
        <f t="array" ref="AB216">IF(LEFT(_xll.BDP($C216, VOLUME_AVG_6M), 4) = "#N/A", "",  _xll.BDP($C216, VOLUME_AVG_6M))</f>
        <v>58908.0703125</v>
      </c>
      <c r="AC216" s="31" cm="1">
        <f t="array" ref="AC216">IF(LEFT(_xll.BDP($C216, VOLUME_AVG_12M), 4) = "#N/A", "",  _xll.BDP($C216, VOLUME_AVG_12M))</f>
        <v>41240.6875</v>
      </c>
      <c r="AD216" s="41" cm="1">
        <f t="array" ref="AD216">IF(LEFT(_xll.BDP($C216, LAST_PRICE), 4) = "#N/A", "",  _xll.BDP($C216, LAST_PRICE))</f>
        <v>9.9999999999999995E-7</v>
      </c>
    </row>
    <row r="217" spans="1:30" x14ac:dyDescent="0.35">
      <c r="A217" s="1">
        <f t="shared" si="3"/>
        <v>214</v>
      </c>
      <c r="B217" s="28">
        <v>45700</v>
      </c>
      <c r="C217" s="29" t="s">
        <v>477</v>
      </c>
      <c r="D217" s="29" t="s">
        <v>477</v>
      </c>
      <c r="E217" s="29" t="s">
        <v>478</v>
      </c>
      <c r="F217" s="29" t="s">
        <v>40</v>
      </c>
      <c r="G217" s="30" t="s">
        <v>41</v>
      </c>
      <c r="H217" s="31">
        <v>5570931.4898133297</v>
      </c>
      <c r="I217" s="31">
        <v>4780416.4898133297</v>
      </c>
      <c r="J217" s="32">
        <v>5.4999999701976797E-2</v>
      </c>
      <c r="K217" s="33">
        <v>45700</v>
      </c>
      <c r="L217" s="31"/>
      <c r="M217" s="32"/>
      <c r="N217" s="31"/>
      <c r="O217" s="33">
        <v>45699</v>
      </c>
      <c r="P217" s="34">
        <v>210724</v>
      </c>
      <c r="Q217" s="34">
        <v>356993.5</v>
      </c>
      <c r="R217" s="34">
        <v>345644</v>
      </c>
      <c r="S217" s="29"/>
      <c r="T217" s="33"/>
      <c r="U217" s="35" t="b">
        <v>1</v>
      </c>
      <c r="V217" s="35" t="b">
        <v>1</v>
      </c>
      <c r="W217" s="35" t="b">
        <v>0</v>
      </c>
      <c r="Y217" s="31" cm="1">
        <f t="array" ref="Y217">IF(LEFT(_xll.BDP($C217, VOLUME_AVG_10D), 4) = "#N/A", "",  _xll.BDP($C217, VOLUME_AVG_10D))</f>
        <v>277379.3</v>
      </c>
      <c r="Z217" s="31" cm="1">
        <f t="array" ref="Z217">IF(LEFT(_xll.BDP($C217, VOLUME_AVG_30D), 4) = "#N/A", "",  _xll.BDP($C217, VOLUME_AVG_30D))</f>
        <v>210724</v>
      </c>
      <c r="AA217" s="31" cm="1">
        <f t="array" ref="AA217">IF(LEFT(_xll.BDP($C217, VOLUME_AVG_3M), 4) = "#N/A", "",  _xll.BDP($C217, VOLUME_AVG_3M))</f>
        <v>356993.5</v>
      </c>
      <c r="AB217" s="31" cm="1">
        <f t="array" ref="AB217">IF(LEFT(_xll.BDP($C217, VOLUME_AVG_6M), 4) = "#N/A", "",  _xll.BDP($C217, VOLUME_AVG_6M))</f>
        <v>345644</v>
      </c>
      <c r="AC217" s="31" cm="1">
        <f t="array" ref="AC217">IF(LEFT(_xll.BDP($C217, VOLUME_AVG_12M), 4) = "#N/A", "",  _xll.BDP($C217, VOLUME_AVG_12M))</f>
        <v>250683.2</v>
      </c>
      <c r="AD217" s="41" cm="1">
        <f t="array" ref="AD217">IF(LEFT(_xll.BDP($C217, LAST_PRICE), 4) = "#N/A", "",  _xll.BDP($C217, LAST_PRICE))</f>
        <v>5.5E-2</v>
      </c>
    </row>
    <row r="218" spans="1:30" x14ac:dyDescent="0.35">
      <c r="A218" s="1">
        <f t="shared" si="3"/>
        <v>215</v>
      </c>
      <c r="B218" s="28">
        <v>45700</v>
      </c>
      <c r="C218" s="29" t="s">
        <v>479</v>
      </c>
      <c r="D218" s="29" t="s">
        <v>479</v>
      </c>
      <c r="E218" s="29" t="s">
        <v>480</v>
      </c>
      <c r="F218" s="29" t="s">
        <v>40</v>
      </c>
      <c r="G218" s="30" t="s">
        <v>41</v>
      </c>
      <c r="H218" s="31">
        <v>3957949.1850000001</v>
      </c>
      <c r="I218" s="31">
        <v>3550648.1850000001</v>
      </c>
      <c r="J218" s="32"/>
      <c r="K218" s="33">
        <v>45700</v>
      </c>
      <c r="L218" s="31">
        <v>187900</v>
      </c>
      <c r="M218" s="32">
        <v>-1.1499999999999999</v>
      </c>
      <c r="N218" s="31" t="s">
        <v>35</v>
      </c>
      <c r="O218" s="33">
        <v>45699</v>
      </c>
      <c r="P218" s="34"/>
      <c r="Q218" s="34">
        <v>8255.3439999999991</v>
      </c>
      <c r="R218" s="34">
        <v>12270.01</v>
      </c>
      <c r="S218" s="29"/>
      <c r="T218" s="33"/>
      <c r="U218" s="35" t="b">
        <v>1</v>
      </c>
      <c r="V218" s="35" t="b">
        <v>1</v>
      </c>
      <c r="W218" s="35" t="b">
        <v>0</v>
      </c>
      <c r="Y218" s="31" cm="1">
        <f t="array" ref="Y218">IF(LEFT(_xll.BDP($C218, VOLUME_AVG_10D), 4) = "#N/A", "",  _xll.BDP($C218, VOLUME_AVG_10D))</f>
        <v>0</v>
      </c>
      <c r="Z218" s="31" cm="1">
        <f t="array" ref="Z218">IF(LEFT(_xll.BDP($C218, VOLUME_AVG_30D), 4) = "#N/A", "",  _xll.BDP($C218, VOLUME_AVG_30D))</f>
        <v>0</v>
      </c>
      <c r="AA218" s="31" cm="1">
        <f t="array" ref="AA218">IF(LEFT(_xll.BDP($C218, VOLUME_AVG_3M), 4) = "#N/A", "",  _xll.BDP($C218, VOLUME_AVG_3M))</f>
        <v>8255.3439999999991</v>
      </c>
      <c r="AB218" s="31" cm="1">
        <f t="array" ref="AB218">IF(LEFT(_xll.BDP($C218, VOLUME_AVG_6M), 4) = "#N/A", "",  _xll.BDP($C218, VOLUME_AVG_6M))</f>
        <v>12270.01</v>
      </c>
      <c r="AC218" s="31" cm="1">
        <f t="array" ref="AC218">IF(LEFT(_xll.BDP($C218, VOLUME_AVG_12M), 4) = "#N/A", "",  _xll.BDP($C218, VOLUME_AVG_12M))</f>
        <v>13824.51</v>
      </c>
      <c r="AD218" s="41" t="str" cm="1">
        <f t="array" ref="AD218">IF(LEFT(_xll.BDP($C218, LAST_PRICE), 4) = "#N/A", "",  _xll.BDP($C218, LAST_PRICE))</f>
        <v/>
      </c>
    </row>
    <row r="219" spans="1:30" x14ac:dyDescent="0.35">
      <c r="A219" s="1">
        <f t="shared" si="3"/>
        <v>216</v>
      </c>
      <c r="B219" s="28">
        <v>45700</v>
      </c>
      <c r="C219" s="29" t="s">
        <v>481</v>
      </c>
      <c r="D219" s="29" t="s">
        <v>481</v>
      </c>
      <c r="E219" s="29" t="s">
        <v>482</v>
      </c>
      <c r="F219" s="29" t="s">
        <v>33</v>
      </c>
      <c r="G219" s="30" t="s">
        <v>34</v>
      </c>
      <c r="H219" s="31">
        <v>845484.67705310101</v>
      </c>
      <c r="I219" s="31">
        <v>7622249.6770531004</v>
      </c>
      <c r="J219" s="32">
        <v>2.79999990016222E-3</v>
      </c>
      <c r="K219" s="33">
        <v>45700</v>
      </c>
      <c r="L219" s="31"/>
      <c r="M219" s="32"/>
      <c r="N219" s="31"/>
      <c r="O219" s="33">
        <v>45699</v>
      </c>
      <c r="P219" s="34">
        <v>798485.6875</v>
      </c>
      <c r="Q219" s="34">
        <v>920354.875</v>
      </c>
      <c r="R219" s="34">
        <v>809175.5</v>
      </c>
      <c r="S219" s="29"/>
      <c r="T219" s="33"/>
      <c r="U219" s="35" t="b">
        <v>1</v>
      </c>
      <c r="V219" s="35" t="b">
        <v>1</v>
      </c>
      <c r="W219" s="35" t="b">
        <v>0</v>
      </c>
      <c r="Y219" s="31" cm="1">
        <f t="array" ref="Y219">IF(LEFT(_xll.BDP($C219, VOLUME_AVG_10D), 4) = "#N/A", "",  _xll.BDP($C219, VOLUME_AVG_10D))</f>
        <v>458609.8125</v>
      </c>
      <c r="Z219" s="31" cm="1">
        <f t="array" ref="Z219">IF(LEFT(_xll.BDP($C219, VOLUME_AVG_30D), 4) = "#N/A", "",  _xll.BDP($C219, VOLUME_AVG_30D))</f>
        <v>798485.6875</v>
      </c>
      <c r="AA219" s="31" cm="1">
        <f t="array" ref="AA219">IF(LEFT(_xll.BDP($C219, VOLUME_AVG_3M), 4) = "#N/A", "",  _xll.BDP($C219, VOLUME_AVG_3M))</f>
        <v>920354.875</v>
      </c>
      <c r="AB219" s="31" cm="1">
        <f t="array" ref="AB219">IF(LEFT(_xll.BDP($C219, VOLUME_AVG_6M), 4) = "#N/A", "",  _xll.BDP($C219, VOLUME_AVG_6M))</f>
        <v>809175.5</v>
      </c>
      <c r="AC219" s="31" cm="1">
        <f t="array" ref="AC219">IF(LEFT(_xll.BDP($C219, VOLUME_AVG_12M), 4) = "#N/A", "",  _xll.BDP($C219, VOLUME_AVG_12M))</f>
        <v>610837.4375</v>
      </c>
      <c r="AD219" s="41" cm="1">
        <f t="array" ref="AD219">IF(LEFT(_xll.BDP($C219, LAST_PRICE), 4) = "#N/A", "",  _xll.BDP($C219, LAST_PRICE))</f>
        <v>2.8E-3</v>
      </c>
    </row>
    <row r="220" spans="1:30" x14ac:dyDescent="0.35">
      <c r="A220" s="1">
        <f t="shared" si="3"/>
        <v>217</v>
      </c>
      <c r="B220" s="28">
        <v>45700</v>
      </c>
      <c r="C220" s="29" t="s">
        <v>483</v>
      </c>
      <c r="D220" s="29" t="s">
        <v>483</v>
      </c>
      <c r="E220" s="29" t="s">
        <v>484</v>
      </c>
      <c r="F220" s="29" t="s">
        <v>33</v>
      </c>
      <c r="G220" s="30" t="s">
        <v>34</v>
      </c>
      <c r="H220" s="31"/>
      <c r="I220" s="31"/>
      <c r="J220" s="32"/>
      <c r="K220" s="33">
        <v>45700</v>
      </c>
      <c r="L220" s="31"/>
      <c r="M220" s="32"/>
      <c r="N220" s="31"/>
      <c r="O220" s="33">
        <v>45699</v>
      </c>
      <c r="P220" s="34"/>
      <c r="Q220" s="34">
        <v>195.96774291992199</v>
      </c>
      <c r="R220" s="34">
        <v>104.36508178710901</v>
      </c>
      <c r="S220" s="29"/>
      <c r="T220" s="33"/>
      <c r="U220" s="35" t="b">
        <v>1</v>
      </c>
      <c r="V220" s="35" t="b">
        <v>1</v>
      </c>
      <c r="W220" s="35" t="b">
        <v>1</v>
      </c>
      <c r="Y220" s="31" cm="1">
        <f t="array" ref="Y220">IF(LEFT(_xll.BDP($C220, VOLUME_AVG_10D), 4) = "#N/A", "",  _xll.BDP($C220, VOLUME_AVG_10D))</f>
        <v>0</v>
      </c>
      <c r="Z220" s="31" cm="1">
        <f t="array" ref="Z220">IF(LEFT(_xll.BDP($C220, VOLUME_AVG_30D), 4) = "#N/A", "",  _xll.BDP($C220, VOLUME_AVG_30D))</f>
        <v>0</v>
      </c>
      <c r="AA220" s="31" cm="1">
        <f t="array" ref="AA220">IF(LEFT(_xll.BDP($C220, VOLUME_AVG_3M), 4) = "#N/A", "",  _xll.BDP($C220, VOLUME_AVG_3M))</f>
        <v>195.96774291992188</v>
      </c>
      <c r="AB220" s="31" cm="1">
        <f t="array" ref="AB220">IF(LEFT(_xll.BDP($C220, VOLUME_AVG_6M), 4) = "#N/A", "",  _xll.BDP($C220, VOLUME_AVG_6M))</f>
        <v>104.36508178710938</v>
      </c>
      <c r="AC220" s="31" cm="1">
        <f t="array" ref="AC220">IF(LEFT(_xll.BDP($C220, VOLUME_AVG_12M), 4) = "#N/A", "",  _xll.BDP($C220, VOLUME_AVG_12M))</f>
        <v>69.52191162109375</v>
      </c>
      <c r="AD220" s="41" t="str" cm="1">
        <f t="array" ref="AD220">IF(LEFT(_xll.BDP($C220, LAST_PRICE), 4) = "#N/A", "",  _xll.BDP($C220, LAST_PRICE))</f>
        <v/>
      </c>
    </row>
    <row r="221" spans="1:30" x14ac:dyDescent="0.35">
      <c r="A221" s="1">
        <f t="shared" si="3"/>
        <v>218</v>
      </c>
      <c r="B221" s="28">
        <v>45700</v>
      </c>
      <c r="C221" s="29" t="s">
        <v>485</v>
      </c>
      <c r="D221" s="29" t="s">
        <v>485</v>
      </c>
      <c r="E221" s="29" t="s">
        <v>486</v>
      </c>
      <c r="F221" s="29" t="s">
        <v>33</v>
      </c>
      <c r="G221" s="30" t="s">
        <v>34</v>
      </c>
      <c r="H221" s="31">
        <v>782906967.90076399</v>
      </c>
      <c r="I221" s="31">
        <v>827238967.90076399</v>
      </c>
      <c r="J221" s="32">
        <v>17.790000915527301</v>
      </c>
      <c r="K221" s="33">
        <v>45700</v>
      </c>
      <c r="L221" s="31">
        <v>11250200</v>
      </c>
      <c r="M221" s="32">
        <v>3.88</v>
      </c>
      <c r="N221" s="31" t="s">
        <v>35</v>
      </c>
      <c r="O221" s="33">
        <v>45699</v>
      </c>
      <c r="P221" s="34">
        <v>492653.875</v>
      </c>
      <c r="Q221" s="34">
        <v>396326</v>
      </c>
      <c r="R221" s="34">
        <v>412120.46875</v>
      </c>
      <c r="S221" s="29"/>
      <c r="T221" s="33"/>
      <c r="U221" s="35" t="b">
        <v>0</v>
      </c>
      <c r="V221" s="35" t="b">
        <v>0</v>
      </c>
      <c r="W221" s="35" t="b">
        <v>0</v>
      </c>
      <c r="Y221" s="31" cm="1">
        <f t="array" ref="Y221">IF(LEFT(_xll.BDP($C221, VOLUME_AVG_10D), 4) = "#N/A", "",  _xll.BDP($C221, VOLUME_AVG_10D))</f>
        <v>288345.59375</v>
      </c>
      <c r="Z221" s="31" cm="1">
        <f t="array" ref="Z221">IF(LEFT(_xll.BDP($C221, VOLUME_AVG_30D), 4) = "#N/A", "",  _xll.BDP($C221, VOLUME_AVG_30D))</f>
        <v>492653.875</v>
      </c>
      <c r="AA221" s="31" cm="1">
        <f t="array" ref="AA221">IF(LEFT(_xll.BDP($C221, VOLUME_AVG_3M), 4) = "#N/A", "",  _xll.BDP($C221, VOLUME_AVG_3M))</f>
        <v>396326</v>
      </c>
      <c r="AB221" s="31" cm="1">
        <f t="array" ref="AB221">IF(LEFT(_xll.BDP($C221, VOLUME_AVG_6M), 4) = "#N/A", "",  _xll.BDP($C221, VOLUME_AVG_6M))</f>
        <v>412120.46875</v>
      </c>
      <c r="AC221" s="31" cm="1">
        <f t="array" ref="AC221">IF(LEFT(_xll.BDP($C221, VOLUME_AVG_12M), 4) = "#N/A", "",  _xll.BDP($C221, VOLUME_AVG_12M))</f>
        <v>394315.125</v>
      </c>
      <c r="AD221" s="41" cm="1">
        <f t="array" ref="AD221">IF(LEFT(_xll.BDP($C221, LAST_PRICE), 4) = "#N/A", "",  _xll.BDP($C221, LAST_PRICE))</f>
        <v>17.79</v>
      </c>
    </row>
    <row r="222" spans="1:30" x14ac:dyDescent="0.35">
      <c r="A222" s="1">
        <f t="shared" si="3"/>
        <v>219</v>
      </c>
      <c r="B222" s="28">
        <v>45700</v>
      </c>
      <c r="C222" s="29" t="s">
        <v>487</v>
      </c>
      <c r="D222" s="29" t="s">
        <v>487</v>
      </c>
      <c r="E222" s="29" t="s">
        <v>488</v>
      </c>
      <c r="F222" s="29" t="s">
        <v>33</v>
      </c>
      <c r="G222" s="30" t="s">
        <v>34</v>
      </c>
      <c r="H222" s="31">
        <v>6375225710.6954298</v>
      </c>
      <c r="I222" s="31">
        <v>6235953710.6954298</v>
      </c>
      <c r="J222" s="32">
        <v>131.55000305175801</v>
      </c>
      <c r="K222" s="33">
        <v>45700</v>
      </c>
      <c r="L222" s="31">
        <v>10141100</v>
      </c>
      <c r="M222" s="32">
        <v>3.88</v>
      </c>
      <c r="N222" s="31" t="s">
        <v>35</v>
      </c>
      <c r="O222" s="33">
        <v>45699</v>
      </c>
      <c r="P222" s="34">
        <v>1176508.625</v>
      </c>
      <c r="Q222" s="34">
        <v>871313.8125</v>
      </c>
      <c r="R222" s="34">
        <v>635217.75</v>
      </c>
      <c r="S222" s="29" t="s">
        <v>82</v>
      </c>
      <c r="T222" s="33">
        <v>45446</v>
      </c>
      <c r="U222" s="35" t="b">
        <v>0</v>
      </c>
      <c r="V222" s="35" t="b">
        <v>0</v>
      </c>
      <c r="W222" s="35" t="b">
        <v>0</v>
      </c>
      <c r="Y222" s="31" cm="1">
        <f t="array" ref="Y222">IF(LEFT(_xll.BDP($C222, VOLUME_AVG_10D), 4) = "#N/A", "",  _xll.BDP($C222, VOLUME_AVG_10D))</f>
        <v>1318897.25</v>
      </c>
      <c r="Z222" s="31" cm="1">
        <f t="array" ref="Z222">IF(LEFT(_xll.BDP($C222, VOLUME_AVG_30D), 4) = "#N/A", "",  _xll.BDP($C222, VOLUME_AVG_30D))</f>
        <v>1176508.625</v>
      </c>
      <c r="AA222" s="31" cm="1">
        <f t="array" ref="AA222">IF(LEFT(_xll.BDP($C222, VOLUME_AVG_3M), 4) = "#N/A", "",  _xll.BDP($C222, VOLUME_AVG_3M))</f>
        <v>871313.8125</v>
      </c>
      <c r="AB222" s="31" cm="1">
        <f t="array" ref="AB222">IF(LEFT(_xll.BDP($C222, VOLUME_AVG_6M), 4) = "#N/A", "",  _xll.BDP($C222, VOLUME_AVG_6M))</f>
        <v>635217.75</v>
      </c>
      <c r="AC222" s="31" cm="1">
        <f t="array" ref="AC222">IF(LEFT(_xll.BDP($C222, VOLUME_AVG_12M), 4) = "#N/A", "",  _xll.BDP($C222, VOLUME_AVG_12M))</f>
        <v>674000.0625</v>
      </c>
      <c r="AD222" s="41" cm="1">
        <f t="array" ref="AD222">IF(LEFT(_xll.BDP($C222, LAST_PRICE), 4) = "#N/A", "",  _xll.BDP($C222, LAST_PRICE))</f>
        <v>131.55000000000001</v>
      </c>
    </row>
    <row r="223" spans="1:30" x14ac:dyDescent="0.35">
      <c r="A223" s="1">
        <f t="shared" si="3"/>
        <v>220</v>
      </c>
      <c r="B223" s="28">
        <v>45700</v>
      </c>
      <c r="C223" s="29" t="s">
        <v>489</v>
      </c>
      <c r="D223" s="29" t="s">
        <v>489</v>
      </c>
      <c r="E223" s="29" t="s">
        <v>490</v>
      </c>
      <c r="F223" s="29" t="s">
        <v>33</v>
      </c>
      <c r="G223" s="30" t="s">
        <v>34</v>
      </c>
      <c r="H223" s="31">
        <v>1257685.3076234499</v>
      </c>
      <c r="I223" s="31">
        <v>4691685.3076234497</v>
      </c>
      <c r="J223" s="32">
        <v>2.95000001788139E-2</v>
      </c>
      <c r="K223" s="33">
        <v>45700</v>
      </c>
      <c r="L223" s="31">
        <v>65800</v>
      </c>
      <c r="M223" s="32">
        <v>-23.65</v>
      </c>
      <c r="N223" s="31" t="s">
        <v>35</v>
      </c>
      <c r="O223" s="33">
        <v>45699</v>
      </c>
      <c r="P223" s="34">
        <v>1894.36669921875</v>
      </c>
      <c r="Q223" s="34">
        <v>2243.74194335938</v>
      </c>
      <c r="R223" s="34">
        <v>1706.88891601563</v>
      </c>
      <c r="S223" s="29"/>
      <c r="T223" s="33"/>
      <c r="U223" s="35" t="b">
        <v>1</v>
      </c>
      <c r="V223" s="35" t="b">
        <v>1</v>
      </c>
      <c r="W223" s="35" t="b">
        <v>0</v>
      </c>
      <c r="Y223" s="31" cm="1">
        <f t="array" ref="Y223">IF(LEFT(_xll.BDP($C223, VOLUME_AVG_10D), 4) = "#N/A", "",  _xll.BDP($C223, VOLUME_AVG_10D))</f>
        <v>1299.4000244140625</v>
      </c>
      <c r="Z223" s="31" cm="1">
        <f t="array" ref="Z223">IF(LEFT(_xll.BDP($C223, VOLUME_AVG_30D), 4) = "#N/A", "",  _xll.BDP($C223, VOLUME_AVG_30D))</f>
        <v>1894.36669921875</v>
      </c>
      <c r="AA223" s="31" cm="1">
        <f t="array" ref="AA223">IF(LEFT(_xll.BDP($C223, VOLUME_AVG_3M), 4) = "#N/A", "",  _xll.BDP($C223, VOLUME_AVG_3M))</f>
        <v>2243.741943359375</v>
      </c>
      <c r="AB223" s="31" cm="1">
        <f t="array" ref="AB223">IF(LEFT(_xll.BDP($C223, VOLUME_AVG_6M), 4) = "#N/A", "",  _xll.BDP($C223, VOLUME_AVG_6M))</f>
        <v>1706.888916015625</v>
      </c>
      <c r="AC223" s="31" cm="1">
        <f t="array" ref="AC223">IF(LEFT(_xll.BDP($C223, VOLUME_AVG_12M), 4) = "#N/A", "",  _xll.BDP($C223, VOLUME_AVG_12M))</f>
        <v>6371.58154296875</v>
      </c>
      <c r="AD223" s="41" cm="1">
        <f t="array" ref="AD223">IF(LEFT(_xll.BDP($C223, LAST_PRICE), 4) = "#N/A", "",  _xll.BDP($C223, LAST_PRICE))</f>
        <v>2.9499999999999998E-2</v>
      </c>
    </row>
    <row r="224" spans="1:30" x14ac:dyDescent="0.35">
      <c r="A224" s="1">
        <f t="shared" si="3"/>
        <v>221</v>
      </c>
      <c r="B224" s="28">
        <v>45700</v>
      </c>
      <c r="C224" s="29" t="s">
        <v>491</v>
      </c>
      <c r="D224" s="29" t="s">
        <v>491</v>
      </c>
      <c r="E224" s="29" t="s">
        <v>492</v>
      </c>
      <c r="F224" s="29" t="s">
        <v>33</v>
      </c>
      <c r="G224" s="30" t="s">
        <v>34</v>
      </c>
      <c r="H224" s="31">
        <v>8547622.8220325708</v>
      </c>
      <c r="I224" s="31">
        <v>4959622.8220325699</v>
      </c>
      <c r="J224" s="32">
        <v>1.3899999856948899</v>
      </c>
      <c r="K224" s="33">
        <v>45700</v>
      </c>
      <c r="L224" s="31">
        <v>464900</v>
      </c>
      <c r="M224" s="32">
        <v>-7.5</v>
      </c>
      <c r="N224" s="31" t="s">
        <v>35</v>
      </c>
      <c r="O224" s="33">
        <v>45699</v>
      </c>
      <c r="P224" s="34">
        <v>24164</v>
      </c>
      <c r="Q224" s="34">
        <v>34442.40234375</v>
      </c>
      <c r="R224" s="34">
        <v>28834.166015625</v>
      </c>
      <c r="S224" s="29"/>
      <c r="T224" s="33"/>
      <c r="U224" s="35" t="b">
        <v>1</v>
      </c>
      <c r="V224" s="35" t="b">
        <v>0</v>
      </c>
      <c r="W224" s="35" t="b">
        <v>0</v>
      </c>
      <c r="Y224" s="31" cm="1">
        <f t="array" ref="Y224">IF(LEFT(_xll.BDP($C224, VOLUME_AVG_10D), 4) = "#N/A", "",  _xll.BDP($C224, VOLUME_AVG_10D))</f>
        <v>21979.400390625</v>
      </c>
      <c r="Z224" s="31" cm="1">
        <f t="array" ref="Z224">IF(LEFT(_xll.BDP($C224, VOLUME_AVG_30D), 4) = "#N/A", "",  _xll.BDP($C224, VOLUME_AVG_30D))</f>
        <v>24164</v>
      </c>
      <c r="AA224" s="31" cm="1">
        <f t="array" ref="AA224">IF(LEFT(_xll.BDP($C224, VOLUME_AVG_3M), 4) = "#N/A", "",  _xll.BDP($C224, VOLUME_AVG_3M))</f>
        <v>34442.40234375</v>
      </c>
      <c r="AB224" s="31" cm="1">
        <f t="array" ref="AB224">IF(LEFT(_xll.BDP($C224, VOLUME_AVG_6M), 4) = "#N/A", "",  _xll.BDP($C224, VOLUME_AVG_6M))</f>
        <v>28834.166015625</v>
      </c>
      <c r="AC224" s="31" cm="1">
        <f t="array" ref="AC224">IF(LEFT(_xll.BDP($C224, VOLUME_AVG_12M), 4) = "#N/A", "",  _xll.BDP($C224, VOLUME_AVG_12M))</f>
        <v>25357.314453125</v>
      </c>
      <c r="AD224" s="41" cm="1">
        <f t="array" ref="AD224">IF(LEFT(_xll.BDP($C224, LAST_PRICE), 4) = "#N/A", "",  _xll.BDP($C224, LAST_PRICE))</f>
        <v>1.39</v>
      </c>
    </row>
    <row r="225" spans="1:30" x14ac:dyDescent="0.35">
      <c r="A225" s="1">
        <f t="shared" si="3"/>
        <v>222</v>
      </c>
      <c r="B225" s="28">
        <v>45700</v>
      </c>
      <c r="C225" s="29" t="s">
        <v>493</v>
      </c>
      <c r="D225" s="29" t="s">
        <v>493</v>
      </c>
      <c r="E225" s="29" t="s">
        <v>494</v>
      </c>
      <c r="F225" s="29" t="s">
        <v>33</v>
      </c>
      <c r="G225" s="30" t="s">
        <v>34</v>
      </c>
      <c r="H225" s="31">
        <v>659916.6</v>
      </c>
      <c r="I225" s="31"/>
      <c r="J225" s="32">
        <v>1.4E-2</v>
      </c>
      <c r="K225" s="33">
        <v>45700</v>
      </c>
      <c r="L225" s="31"/>
      <c r="M225" s="32"/>
      <c r="N225" s="31"/>
      <c r="O225" s="33">
        <v>45699</v>
      </c>
      <c r="P225" s="34">
        <v>1291.30004882813</v>
      </c>
      <c r="Q225" s="34">
        <v>8281.2744140625</v>
      </c>
      <c r="R225" s="34">
        <v>5044.9521484375</v>
      </c>
      <c r="S225" s="29"/>
      <c r="T225" s="33"/>
      <c r="U225" s="35" t="b">
        <v>1</v>
      </c>
      <c r="V225" s="35" t="b">
        <v>1</v>
      </c>
      <c r="W225" s="35" t="b">
        <v>1</v>
      </c>
      <c r="Y225" s="31" cm="1">
        <f t="array" ref="Y225">IF(LEFT(_xll.BDP($C225, VOLUME_AVG_10D), 4) = "#N/A", "",  _xll.BDP($C225, VOLUME_AVG_10D))</f>
        <v>3571.39990234375</v>
      </c>
      <c r="Z225" s="31" cm="1">
        <f t="array" ref="Z225">IF(LEFT(_xll.BDP($C225, VOLUME_AVG_30D), 4) = "#N/A", "",  _xll.BDP($C225, VOLUME_AVG_30D))</f>
        <v>1291.300048828125</v>
      </c>
      <c r="AA225" s="31" cm="1">
        <f t="array" ref="AA225">IF(LEFT(_xll.BDP($C225, VOLUME_AVG_3M), 4) = "#N/A", "",  _xll.BDP($C225, VOLUME_AVG_3M))</f>
        <v>8281.2744140625</v>
      </c>
      <c r="AB225" s="31" cm="1">
        <f t="array" ref="AB225">IF(LEFT(_xll.BDP($C225, VOLUME_AVG_6M), 4) = "#N/A", "",  _xll.BDP($C225, VOLUME_AVG_6M))</f>
        <v>5044.9521484375</v>
      </c>
      <c r="AC225" s="31" cm="1">
        <f t="array" ref="AC225">IF(LEFT(_xll.BDP($C225, VOLUME_AVG_12M), 4) = "#N/A", "",  _xll.BDP($C225, VOLUME_AVG_12M))</f>
        <v>12275.6015625</v>
      </c>
      <c r="AD225" s="41" cm="1">
        <f t="array" ref="AD225">IF(LEFT(_xll.BDP($C225, LAST_PRICE), 4) = "#N/A", "",  _xll.BDP($C225, LAST_PRICE))</f>
        <v>1.4E-2</v>
      </c>
    </row>
    <row r="226" spans="1:30" x14ac:dyDescent="0.35">
      <c r="A226" s="1">
        <f t="shared" si="3"/>
        <v>223</v>
      </c>
      <c r="B226" s="28">
        <v>45700</v>
      </c>
      <c r="C226" s="29" t="s">
        <v>495</v>
      </c>
      <c r="D226" s="29" t="s">
        <v>495</v>
      </c>
      <c r="E226" s="29" t="s">
        <v>496</v>
      </c>
      <c r="F226" s="29" t="s">
        <v>33</v>
      </c>
      <c r="G226" s="30" t="s">
        <v>34</v>
      </c>
      <c r="H226" s="31">
        <v>2070924170.1748099</v>
      </c>
      <c r="I226" s="31">
        <v>1634387170.1748099</v>
      </c>
      <c r="J226" s="32">
        <v>45.319999694824197</v>
      </c>
      <c r="K226" s="33">
        <v>45700</v>
      </c>
      <c r="L226" s="31">
        <v>14548900</v>
      </c>
      <c r="M226" s="32">
        <v>3.88</v>
      </c>
      <c r="N226" s="31" t="s">
        <v>35</v>
      </c>
      <c r="O226" s="33">
        <v>45699</v>
      </c>
      <c r="P226" s="34">
        <v>474901.375</v>
      </c>
      <c r="Q226" s="34">
        <v>800275.375</v>
      </c>
      <c r="R226" s="34">
        <v>673902.25</v>
      </c>
      <c r="S226" s="29"/>
      <c r="T226" s="33"/>
      <c r="U226" s="35" t="b">
        <v>0</v>
      </c>
      <c r="V226" s="35" t="b">
        <v>0</v>
      </c>
      <c r="W226" s="35" t="b">
        <v>0</v>
      </c>
      <c r="Y226" s="31" cm="1">
        <f t="array" ref="Y226">IF(LEFT(_xll.BDP($C226, VOLUME_AVG_10D), 4) = "#N/A", "",  _xll.BDP($C226, VOLUME_AVG_10D))</f>
        <v>662423.1875</v>
      </c>
      <c r="Z226" s="31" cm="1">
        <f t="array" ref="Z226">IF(LEFT(_xll.BDP($C226, VOLUME_AVG_30D), 4) = "#N/A", "",  _xll.BDP($C226, VOLUME_AVG_30D))</f>
        <v>474901.375</v>
      </c>
      <c r="AA226" s="31" cm="1">
        <f t="array" ref="AA226">IF(LEFT(_xll.BDP($C226, VOLUME_AVG_3M), 4) = "#N/A", "",  _xll.BDP($C226, VOLUME_AVG_3M))</f>
        <v>800275.375</v>
      </c>
      <c r="AB226" s="31" cm="1">
        <f t="array" ref="AB226">IF(LEFT(_xll.BDP($C226, VOLUME_AVG_6M), 4) = "#N/A", "",  _xll.BDP($C226, VOLUME_AVG_6M))</f>
        <v>673902.25</v>
      </c>
      <c r="AC226" s="31" cm="1">
        <f t="array" ref="AC226">IF(LEFT(_xll.BDP($C226, VOLUME_AVG_12M), 4) = "#N/A", "",  _xll.BDP($C226, VOLUME_AVG_12M))</f>
        <v>582342.3125</v>
      </c>
      <c r="AD226" s="41" cm="1">
        <f t="array" ref="AD226">IF(LEFT(_xll.BDP($C226, LAST_PRICE), 4) = "#N/A", "",  _xll.BDP($C226, LAST_PRICE))</f>
        <v>45.32</v>
      </c>
    </row>
    <row r="227" spans="1:30" x14ac:dyDescent="0.35">
      <c r="A227" s="1">
        <f t="shared" si="3"/>
        <v>224</v>
      </c>
      <c r="B227" s="28">
        <v>45700</v>
      </c>
      <c r="C227" s="29" t="s">
        <v>497</v>
      </c>
      <c r="D227" s="29" t="s">
        <v>497</v>
      </c>
      <c r="E227" s="29" t="s">
        <v>498</v>
      </c>
      <c r="F227" s="29" t="s">
        <v>33</v>
      </c>
      <c r="G227" s="30" t="s">
        <v>34</v>
      </c>
      <c r="H227" s="31">
        <v>5079226.81067371</v>
      </c>
      <c r="I227" s="31">
        <v>4169184.81067371</v>
      </c>
      <c r="J227" s="32">
        <v>0.32100000977516202</v>
      </c>
      <c r="K227" s="33">
        <v>45700</v>
      </c>
      <c r="L227" s="31">
        <v>409400</v>
      </c>
      <c r="M227" s="32">
        <v>-75.599999999999994</v>
      </c>
      <c r="N227" s="31" t="s">
        <v>35</v>
      </c>
      <c r="O227" s="33">
        <v>45699</v>
      </c>
      <c r="P227" s="34">
        <v>12740431</v>
      </c>
      <c r="Q227" s="34">
        <v>6249283.5</v>
      </c>
      <c r="R227" s="34">
        <v>3415154.25</v>
      </c>
      <c r="S227" s="29"/>
      <c r="T227" s="33"/>
      <c r="U227" s="35" t="b">
        <v>1</v>
      </c>
      <c r="V227" s="35" t="b">
        <v>0</v>
      </c>
      <c r="W227" s="35" t="b">
        <v>0</v>
      </c>
      <c r="Y227" s="31" cm="1">
        <f t="array" ref="Y227">IF(LEFT(_xll.BDP($C227, VOLUME_AVG_10D), 4) = "#N/A", "",  _xll.BDP($C227, VOLUME_AVG_10D))</f>
        <v>29715346</v>
      </c>
      <c r="Z227" s="31" cm="1">
        <f t="array" ref="Z227">IF(LEFT(_xll.BDP($C227, VOLUME_AVG_30D), 4) = "#N/A", "",  _xll.BDP($C227, VOLUME_AVG_30D))</f>
        <v>12740431</v>
      </c>
      <c r="AA227" s="31" cm="1">
        <f t="array" ref="AA227">IF(LEFT(_xll.BDP($C227, VOLUME_AVG_3M), 4) = "#N/A", "",  _xll.BDP($C227, VOLUME_AVG_3M))</f>
        <v>6249283.5</v>
      </c>
      <c r="AB227" s="31" cm="1">
        <f t="array" ref="AB227">IF(LEFT(_xll.BDP($C227, VOLUME_AVG_6M), 4) = "#N/A", "",  _xll.BDP($C227, VOLUME_AVG_6M))</f>
        <v>3415154.25</v>
      </c>
      <c r="AC227" s="31" cm="1">
        <f t="array" ref="AC227">IF(LEFT(_xll.BDP($C227, VOLUME_AVG_12M), 4) = "#N/A", "",  _xll.BDP($C227, VOLUME_AVG_12M))</f>
        <v>2322501</v>
      </c>
      <c r="AD227" s="41" cm="1">
        <f t="array" ref="AD227">IF(LEFT(_xll.BDP($C227, LAST_PRICE), 4) = "#N/A", "",  _xll.BDP($C227, LAST_PRICE))</f>
        <v>0.32100000000000001</v>
      </c>
    </row>
    <row r="228" spans="1:30" x14ac:dyDescent="0.35">
      <c r="A228" s="1">
        <f t="shared" si="3"/>
        <v>225</v>
      </c>
      <c r="B228" s="28">
        <v>45700</v>
      </c>
      <c r="C228" s="29" t="s">
        <v>499</v>
      </c>
      <c r="D228" s="29" t="s">
        <v>499</v>
      </c>
      <c r="E228" s="29" t="s">
        <v>500</v>
      </c>
      <c r="F228" s="29" t="s">
        <v>33</v>
      </c>
      <c r="G228" s="30" t="s">
        <v>34</v>
      </c>
      <c r="H228" s="31">
        <v>216614224.54732499</v>
      </c>
      <c r="I228" s="31">
        <v>216569005.54732499</v>
      </c>
      <c r="J228" s="32">
        <v>5.9099998474121103</v>
      </c>
      <c r="K228" s="33">
        <v>45700</v>
      </c>
      <c r="L228" s="31"/>
      <c r="M228" s="32"/>
      <c r="N228" s="31"/>
      <c r="O228" s="33">
        <v>45699</v>
      </c>
      <c r="P228" s="34">
        <v>4169572.5</v>
      </c>
      <c r="Q228" s="34">
        <v>2052785.375</v>
      </c>
      <c r="R228" s="34">
        <v>1027023.0625</v>
      </c>
      <c r="S228" s="29"/>
      <c r="T228" s="33"/>
      <c r="U228" s="35" t="b">
        <v>0</v>
      </c>
      <c r="V228" s="35" t="b">
        <v>0</v>
      </c>
      <c r="W228" s="35" t="b">
        <v>0</v>
      </c>
      <c r="Y228" s="31" cm="1">
        <f t="array" ref="Y228">IF(LEFT(_xll.BDP($C228, VOLUME_AVG_10D), 4) = "#N/A", "",  _xll.BDP($C228, VOLUME_AVG_10D))</f>
        <v>205631.703125</v>
      </c>
      <c r="Z228" s="31" cm="1">
        <f t="array" ref="Z228">IF(LEFT(_xll.BDP($C228, VOLUME_AVG_30D), 4) = "#N/A", "",  _xll.BDP($C228, VOLUME_AVG_30D))</f>
        <v>4169572.5</v>
      </c>
      <c r="AA228" s="31" cm="1">
        <f t="array" ref="AA228">IF(LEFT(_xll.BDP($C228, VOLUME_AVG_3M), 4) = "#N/A", "",  _xll.BDP($C228, VOLUME_AVG_3M))</f>
        <v>2052785.375</v>
      </c>
      <c r="AB228" s="31" cm="1">
        <f t="array" ref="AB228">IF(LEFT(_xll.BDP($C228, VOLUME_AVG_6M), 4) = "#N/A", "",  _xll.BDP($C228, VOLUME_AVG_6M))</f>
        <v>1027023.0625</v>
      </c>
      <c r="AC228" s="31" cm="1">
        <f t="array" ref="AC228">IF(LEFT(_xll.BDP($C228, VOLUME_AVG_12M), 4) = "#N/A", "",  _xll.BDP($C228, VOLUME_AVG_12M))</f>
        <v>518483.15625</v>
      </c>
      <c r="AD228" s="41" cm="1">
        <f t="array" ref="AD228">IF(LEFT(_xll.BDP($C228, LAST_PRICE), 4) = "#N/A", "",  _xll.BDP($C228, LAST_PRICE))</f>
        <v>5.91</v>
      </c>
    </row>
    <row r="229" spans="1:30" x14ac:dyDescent="0.35">
      <c r="A229" s="1">
        <f t="shared" si="3"/>
        <v>226</v>
      </c>
      <c r="B229" s="28">
        <v>45700</v>
      </c>
      <c r="C229" s="29" t="s">
        <v>501</v>
      </c>
      <c r="D229" s="29" t="s">
        <v>501</v>
      </c>
      <c r="E229" s="29" t="s">
        <v>502</v>
      </c>
      <c r="F229" s="29" t="s">
        <v>33</v>
      </c>
      <c r="G229" s="30" t="s">
        <v>34</v>
      </c>
      <c r="H229" s="31"/>
      <c r="I229" s="31"/>
      <c r="J229" s="32"/>
      <c r="K229" s="33">
        <v>45700</v>
      </c>
      <c r="L229" s="31"/>
      <c r="M229" s="32"/>
      <c r="N229" s="31"/>
      <c r="O229" s="33">
        <v>45699</v>
      </c>
      <c r="P229" s="34"/>
      <c r="Q229" s="34">
        <v>1.61290323734283</v>
      </c>
      <c r="R229" s="34">
        <v>496.57937622070301</v>
      </c>
      <c r="S229" s="29"/>
      <c r="T229" s="33"/>
      <c r="U229" s="35" t="b">
        <v>1</v>
      </c>
      <c r="V229" s="35" t="b">
        <v>1</v>
      </c>
      <c r="W229" s="35" t="b">
        <v>1</v>
      </c>
      <c r="Y229" s="31" cm="1">
        <f t="array" ref="Y229">IF(LEFT(_xll.BDP($C229, VOLUME_AVG_10D), 4) = "#N/A", "",  _xll.BDP($C229, VOLUME_AVG_10D))</f>
        <v>0</v>
      </c>
      <c r="Z229" s="31" cm="1">
        <f t="array" ref="Z229">IF(LEFT(_xll.BDP($C229, VOLUME_AVG_30D), 4) = "#N/A", "",  _xll.BDP($C229, VOLUME_AVG_30D))</f>
        <v>0</v>
      </c>
      <c r="AA229" s="31" cm="1">
        <f t="array" ref="AA229">IF(LEFT(_xll.BDP($C229, VOLUME_AVG_3M), 4) = "#N/A", "",  _xll.BDP($C229, VOLUME_AVG_3M))</f>
        <v>1.6129032373428345</v>
      </c>
      <c r="AB229" s="31" cm="1">
        <f t="array" ref="AB229">IF(LEFT(_xll.BDP($C229, VOLUME_AVG_6M), 4) = "#N/A", "",  _xll.BDP($C229, VOLUME_AVG_6M))</f>
        <v>496.57937622070313</v>
      </c>
      <c r="AC229" s="31" cm="1">
        <f t="array" ref="AC229">IF(LEFT(_xll.BDP($C229, VOLUME_AVG_12M), 4) = "#N/A", "",  _xll.BDP($C229, VOLUME_AVG_12M))</f>
        <v>2438.17138671875</v>
      </c>
      <c r="AD229" s="41" t="str" cm="1">
        <f t="array" ref="AD229">IF(LEFT(_xll.BDP($C229, LAST_PRICE), 4) = "#N/A", "",  _xll.BDP($C229, LAST_PRICE))</f>
        <v/>
      </c>
    </row>
    <row r="230" spans="1:30" x14ac:dyDescent="0.35">
      <c r="A230" s="1">
        <f t="shared" si="3"/>
        <v>227</v>
      </c>
      <c r="B230" s="28">
        <v>45700</v>
      </c>
      <c r="C230" s="29" t="s">
        <v>503</v>
      </c>
      <c r="D230" s="29" t="s">
        <v>503</v>
      </c>
      <c r="E230" s="29" t="s">
        <v>504</v>
      </c>
      <c r="F230" s="29" t="s">
        <v>33</v>
      </c>
      <c r="G230" s="30" t="s">
        <v>34</v>
      </c>
      <c r="H230" s="31"/>
      <c r="I230" s="31"/>
      <c r="J230" s="32"/>
      <c r="K230" s="33">
        <v>45700</v>
      </c>
      <c r="L230" s="31"/>
      <c r="M230" s="32"/>
      <c r="N230" s="31"/>
      <c r="O230" s="33">
        <v>45699</v>
      </c>
      <c r="P230" s="34"/>
      <c r="Q230" s="34"/>
      <c r="R230" s="34"/>
      <c r="S230" s="29"/>
      <c r="T230" s="33"/>
      <c r="U230" s="35" t="b">
        <v>1</v>
      </c>
      <c r="V230" s="35" t="b">
        <v>1</v>
      </c>
      <c r="W230" s="35" t="b">
        <v>1</v>
      </c>
      <c r="Y230" s="31" t="str" cm="1">
        <f t="array" ref="Y230">IF(LEFT(_xll.BDP($C230, VOLUME_AVG_10D), 4) = "#N/A", "",  _xll.BDP($C230, VOLUME_AVG_10D))</f>
        <v/>
      </c>
      <c r="Z230" s="31" t="str" cm="1">
        <f t="array" ref="Z230">IF(LEFT(_xll.BDP($C230, VOLUME_AVG_30D), 4) = "#N/A", "",  _xll.BDP($C230, VOLUME_AVG_30D))</f>
        <v/>
      </c>
      <c r="AA230" s="31" t="str" cm="1">
        <f t="array" ref="AA230">IF(LEFT(_xll.BDP($C230, VOLUME_AVG_3M), 4) = "#N/A", "",  _xll.BDP($C230, VOLUME_AVG_3M))</f>
        <v/>
      </c>
      <c r="AB230" s="31" t="str" cm="1">
        <f t="array" ref="AB230">IF(LEFT(_xll.BDP($C230, VOLUME_AVG_6M), 4) = "#N/A", "",  _xll.BDP($C230, VOLUME_AVG_6M))</f>
        <v/>
      </c>
      <c r="AC230" s="31" t="str" cm="1">
        <f t="array" ref="AC230">IF(LEFT(_xll.BDP($C230, VOLUME_AVG_12M), 4) = "#N/A", "",  _xll.BDP($C230, VOLUME_AVG_12M))</f>
        <v/>
      </c>
      <c r="AD230" s="41" t="str" cm="1">
        <f t="array" ref="AD230">IF(LEFT(_xll.BDP($C230, LAST_PRICE), 4) = "#N/A", "",  _xll.BDP($C230, LAST_PRICE))</f>
        <v/>
      </c>
    </row>
    <row r="231" spans="1:30" x14ac:dyDescent="0.35">
      <c r="A231" s="1">
        <f t="shared" si="3"/>
        <v>228</v>
      </c>
      <c r="B231" s="28">
        <v>45700</v>
      </c>
      <c r="C231" s="29" t="s">
        <v>505</v>
      </c>
      <c r="D231" s="29" t="s">
        <v>505</v>
      </c>
      <c r="E231" s="29" t="s">
        <v>506</v>
      </c>
      <c r="F231" s="29" t="s">
        <v>33</v>
      </c>
      <c r="G231" s="30" t="s">
        <v>34</v>
      </c>
      <c r="H231" s="31"/>
      <c r="I231" s="31"/>
      <c r="J231" s="32">
        <v>9.9999999747524292E-7</v>
      </c>
      <c r="K231" s="33">
        <v>45700</v>
      </c>
      <c r="L231" s="31"/>
      <c r="M231" s="32"/>
      <c r="N231" s="31"/>
      <c r="O231" s="33">
        <v>45699</v>
      </c>
      <c r="P231" s="34"/>
      <c r="Q231" s="34">
        <v>2489.17749023438</v>
      </c>
      <c r="R231" s="34">
        <v>9161.3408203125</v>
      </c>
      <c r="S231" s="29"/>
      <c r="T231" s="33"/>
      <c r="U231" s="35" t="b">
        <v>1</v>
      </c>
      <c r="V231" s="35" t="b">
        <v>1</v>
      </c>
      <c r="W231" s="35" t="b">
        <v>1</v>
      </c>
      <c r="Y231" s="31" cm="1">
        <f t="array" ref="Y231">IF(LEFT(_xll.BDP($C231, VOLUME_AVG_10D), 4) = "#N/A", "",  _xll.BDP($C231, VOLUME_AVG_10D))</f>
        <v>0</v>
      </c>
      <c r="Z231" s="31" cm="1">
        <f t="array" ref="Z231">IF(LEFT(_xll.BDP($C231, VOLUME_AVG_30D), 4) = "#N/A", "",  _xll.BDP($C231, VOLUME_AVG_30D))</f>
        <v>0</v>
      </c>
      <c r="AA231" s="31" cm="1">
        <f t="array" ref="AA231">IF(LEFT(_xll.BDP($C231, VOLUME_AVG_3M), 4) = "#N/A", "",  _xll.BDP($C231, VOLUME_AVG_3M))</f>
        <v>2489.177490234375</v>
      </c>
      <c r="AB231" s="31" cm="1">
        <f t="array" ref="AB231">IF(LEFT(_xll.BDP($C231, VOLUME_AVG_6M), 4) = "#N/A", "",  _xll.BDP($C231, VOLUME_AVG_6M))</f>
        <v>9161.3408203125</v>
      </c>
      <c r="AC231" s="31" cm="1">
        <f t="array" ref="AC231">IF(LEFT(_xll.BDP($C231, VOLUME_AVG_12M), 4) = "#N/A", "",  _xll.BDP($C231, VOLUME_AVG_12M))</f>
        <v>80502.7734375</v>
      </c>
      <c r="AD231" s="41" cm="1">
        <f t="array" ref="AD231">IF(LEFT(_xll.BDP($C231, LAST_PRICE), 4) = "#N/A", "",  _xll.BDP($C231, LAST_PRICE))</f>
        <v>9.9999999999999995E-7</v>
      </c>
    </row>
    <row r="232" spans="1:30" x14ac:dyDescent="0.35">
      <c r="A232" s="1">
        <f t="shared" si="3"/>
        <v>229</v>
      </c>
      <c r="B232" s="28">
        <v>45700</v>
      </c>
      <c r="C232" s="29" t="s">
        <v>507</v>
      </c>
      <c r="D232" s="29" t="s">
        <v>507</v>
      </c>
      <c r="E232" s="29" t="s">
        <v>508</v>
      </c>
      <c r="F232" s="29" t="s">
        <v>33</v>
      </c>
      <c r="G232" s="30" t="s">
        <v>34</v>
      </c>
      <c r="H232" s="31">
        <v>42642161.058109298</v>
      </c>
      <c r="I232" s="31">
        <v>-86260838.941890702</v>
      </c>
      <c r="J232" s="32">
        <v>1.0599999427795399</v>
      </c>
      <c r="K232" s="33">
        <v>45700</v>
      </c>
      <c r="L232" s="31">
        <v>32300</v>
      </c>
      <c r="M232" s="32">
        <v>-52.6</v>
      </c>
      <c r="N232" s="31" t="s">
        <v>35</v>
      </c>
      <c r="O232" s="33">
        <v>45699</v>
      </c>
      <c r="P232" s="34">
        <v>46821.3671875</v>
      </c>
      <c r="Q232" s="34">
        <v>57783.14453125</v>
      </c>
      <c r="R232" s="34">
        <v>43513.390625</v>
      </c>
      <c r="S232" s="29"/>
      <c r="T232" s="33"/>
      <c r="U232" s="35" t="b">
        <v>0</v>
      </c>
      <c r="V232" s="35" t="b">
        <v>0</v>
      </c>
      <c r="W232" s="35" t="b">
        <v>1</v>
      </c>
      <c r="Y232" s="31" cm="1">
        <f t="array" ref="Y232">IF(LEFT(_xll.BDP($C232, VOLUME_AVG_10D), 4) = "#N/A", "",  _xll.BDP($C232, VOLUME_AVG_10D))</f>
        <v>50133.19921875</v>
      </c>
      <c r="Z232" s="31" cm="1">
        <f t="array" ref="Z232">IF(LEFT(_xll.BDP($C232, VOLUME_AVG_30D), 4) = "#N/A", "",  _xll.BDP($C232, VOLUME_AVG_30D))</f>
        <v>46821.3671875</v>
      </c>
      <c r="AA232" s="31" cm="1">
        <f t="array" ref="AA232">IF(LEFT(_xll.BDP($C232, VOLUME_AVG_3M), 4) = "#N/A", "",  _xll.BDP($C232, VOLUME_AVG_3M))</f>
        <v>57783.14453125</v>
      </c>
      <c r="AB232" s="31" cm="1">
        <f t="array" ref="AB232">IF(LEFT(_xll.BDP($C232, VOLUME_AVG_6M), 4) = "#N/A", "",  _xll.BDP($C232, VOLUME_AVG_6M))</f>
        <v>43513.390625</v>
      </c>
      <c r="AC232" s="31" cm="1">
        <f t="array" ref="AC232">IF(LEFT(_xll.BDP($C232, VOLUME_AVG_12M), 4) = "#N/A", "",  _xll.BDP($C232, VOLUME_AVG_12M))</f>
        <v>33689.33984375</v>
      </c>
      <c r="AD232" s="41" cm="1">
        <f t="array" ref="AD232">IF(LEFT(_xll.BDP($C232, LAST_PRICE), 4) = "#N/A", "",  _xll.BDP($C232, LAST_PRICE))</f>
        <v>1.06</v>
      </c>
    </row>
    <row r="233" spans="1:30" x14ac:dyDescent="0.35">
      <c r="A233" s="1">
        <f t="shared" si="3"/>
        <v>230</v>
      </c>
      <c r="B233" s="28">
        <v>45700</v>
      </c>
      <c r="C233" s="29" t="s">
        <v>509</v>
      </c>
      <c r="D233" s="29" t="s">
        <v>509</v>
      </c>
      <c r="E233" s="29" t="s">
        <v>510</v>
      </c>
      <c r="F233" s="29" t="s">
        <v>40</v>
      </c>
      <c r="G233" s="30" t="s">
        <v>41</v>
      </c>
      <c r="H233" s="31">
        <v>8373080486.8985004</v>
      </c>
      <c r="I233" s="31">
        <v>10242901905.5215</v>
      </c>
      <c r="J233" s="32">
        <v>23.7600002288818</v>
      </c>
      <c r="K233" s="33">
        <v>45700</v>
      </c>
      <c r="L233" s="31">
        <v>3176500</v>
      </c>
      <c r="M233" s="32">
        <v>1.1000000000000001</v>
      </c>
      <c r="N233" s="31" t="s">
        <v>35</v>
      </c>
      <c r="O233" s="33">
        <v>45699</v>
      </c>
      <c r="P233" s="34">
        <v>4479.433</v>
      </c>
      <c r="Q233" s="34">
        <v>4682.9690000000001</v>
      </c>
      <c r="R233" s="34">
        <v>6573.8109999999997</v>
      </c>
      <c r="S233" s="29"/>
      <c r="T233" s="33"/>
      <c r="U233" s="35" t="b">
        <v>0</v>
      </c>
      <c r="V233" s="35" t="b">
        <v>0</v>
      </c>
      <c r="W233" s="35" t="b">
        <v>0</v>
      </c>
      <c r="Y233" s="31" cm="1">
        <f t="array" ref="Y233">IF(LEFT(_xll.BDP($C233, VOLUME_AVG_10D), 4) = "#N/A", "",  _xll.BDP($C233, VOLUME_AVG_10D))</f>
        <v>5882.8</v>
      </c>
      <c r="Z233" s="31" cm="1">
        <f t="array" ref="Z233">IF(LEFT(_xll.BDP($C233, VOLUME_AVG_30D), 4) = "#N/A", "",  _xll.BDP($C233, VOLUME_AVG_30D))</f>
        <v>4479.433</v>
      </c>
      <c r="AA233" s="31" cm="1">
        <f t="array" ref="AA233">IF(LEFT(_xll.BDP($C233, VOLUME_AVG_3M), 4) = "#N/A", "",  _xll.BDP($C233, VOLUME_AVG_3M))</f>
        <v>4682.9690000000001</v>
      </c>
      <c r="AB233" s="31" cm="1">
        <f t="array" ref="AB233">IF(LEFT(_xll.BDP($C233, VOLUME_AVG_6M), 4) = "#N/A", "",  _xll.BDP($C233, VOLUME_AVG_6M))</f>
        <v>6573.8109999999997</v>
      </c>
      <c r="AC233" s="31" cm="1">
        <f t="array" ref="AC233">IF(LEFT(_xll.BDP($C233, VOLUME_AVG_12M), 4) = "#N/A", "",  _xll.BDP($C233, VOLUME_AVG_12M))</f>
        <v>6686.1229999999996</v>
      </c>
      <c r="AD233" s="41" cm="1">
        <f t="array" ref="AD233">IF(LEFT(_xll.BDP($C233, LAST_PRICE), 4) = "#N/A", "",  _xll.BDP($C233, LAST_PRICE))</f>
        <v>23.76</v>
      </c>
    </row>
    <row r="234" spans="1:30" x14ac:dyDescent="0.35">
      <c r="A234" s="1">
        <f t="shared" si="3"/>
        <v>231</v>
      </c>
      <c r="B234" s="28">
        <v>45700</v>
      </c>
      <c r="C234" s="29" t="s">
        <v>511</v>
      </c>
      <c r="D234" s="29" t="s">
        <v>511</v>
      </c>
      <c r="E234" s="29" t="s">
        <v>512</v>
      </c>
      <c r="F234" s="29" t="s">
        <v>40</v>
      </c>
      <c r="G234" s="30" t="s">
        <v>41</v>
      </c>
      <c r="H234" s="31">
        <v>3279992261.4790001</v>
      </c>
      <c r="I234" s="31">
        <v>24019812219.426701</v>
      </c>
      <c r="J234" s="32">
        <v>9.0699996948242205</v>
      </c>
      <c r="K234" s="33">
        <v>45700</v>
      </c>
      <c r="L234" s="31">
        <v>18712900</v>
      </c>
      <c r="M234" s="32">
        <v>3.88</v>
      </c>
      <c r="N234" s="31" t="s">
        <v>35</v>
      </c>
      <c r="O234" s="33">
        <v>45699</v>
      </c>
      <c r="P234" s="34">
        <v>442750.2</v>
      </c>
      <c r="Q234" s="34">
        <v>452623.6</v>
      </c>
      <c r="R234" s="34">
        <v>484261.7</v>
      </c>
      <c r="S234" s="29" t="s">
        <v>49</v>
      </c>
      <c r="T234" s="33">
        <v>45446</v>
      </c>
      <c r="U234" s="35" t="b">
        <v>0</v>
      </c>
      <c r="V234" s="35" t="b">
        <v>0</v>
      </c>
      <c r="W234" s="35" t="b">
        <v>0</v>
      </c>
      <c r="Y234" s="31" cm="1">
        <f t="array" ref="Y234">IF(LEFT(_xll.BDP($C234, VOLUME_AVG_10D), 4) = "#N/A", "",  _xll.BDP($C234, VOLUME_AVG_10D))</f>
        <v>566516.69999999995</v>
      </c>
      <c r="Z234" s="31" cm="1">
        <f t="array" ref="Z234">IF(LEFT(_xll.BDP($C234, VOLUME_AVG_30D), 4) = "#N/A", "",  _xll.BDP($C234, VOLUME_AVG_30D))</f>
        <v>442750.2</v>
      </c>
      <c r="AA234" s="31" cm="1">
        <f t="array" ref="AA234">IF(LEFT(_xll.BDP($C234, VOLUME_AVG_3M), 4) = "#N/A", "",  _xll.BDP($C234, VOLUME_AVG_3M))</f>
        <v>452623.6</v>
      </c>
      <c r="AB234" s="31" cm="1">
        <f t="array" ref="AB234">IF(LEFT(_xll.BDP($C234, VOLUME_AVG_6M), 4) = "#N/A", "",  _xll.BDP($C234, VOLUME_AVG_6M))</f>
        <v>484261.7</v>
      </c>
      <c r="AC234" s="31" cm="1">
        <f t="array" ref="AC234">IF(LEFT(_xll.BDP($C234, VOLUME_AVG_12M), 4) = "#N/A", "",  _xll.BDP($C234, VOLUME_AVG_12M))</f>
        <v>564537.80000000005</v>
      </c>
      <c r="AD234" s="41" cm="1">
        <f t="array" ref="AD234">IF(LEFT(_xll.BDP($C234, LAST_PRICE), 4) = "#N/A", "",  _xll.BDP($C234, LAST_PRICE))</f>
        <v>9.07</v>
      </c>
    </row>
    <row r="235" spans="1:30" x14ac:dyDescent="0.35">
      <c r="A235" s="1">
        <f t="shared" si="3"/>
        <v>232</v>
      </c>
      <c r="B235" s="28">
        <v>45700</v>
      </c>
      <c r="C235" s="29" t="s">
        <v>513</v>
      </c>
      <c r="D235" s="29" t="s">
        <v>513</v>
      </c>
      <c r="E235" s="29" t="s">
        <v>514</v>
      </c>
      <c r="F235" s="29" t="s">
        <v>33</v>
      </c>
      <c r="G235" s="30" t="s">
        <v>34</v>
      </c>
      <c r="H235" s="31">
        <v>15465698295.946899</v>
      </c>
      <c r="I235" s="31">
        <v>27309698295.946899</v>
      </c>
      <c r="J235" s="32">
        <v>30.290000915527301</v>
      </c>
      <c r="K235" s="33">
        <v>45700</v>
      </c>
      <c r="L235" s="31">
        <v>135852400</v>
      </c>
      <c r="M235" s="32">
        <v>3.88</v>
      </c>
      <c r="N235" s="31" t="s">
        <v>35</v>
      </c>
      <c r="O235" s="33">
        <v>45699</v>
      </c>
      <c r="P235" s="34">
        <v>4492280.5</v>
      </c>
      <c r="Q235" s="34">
        <v>4716741</v>
      </c>
      <c r="R235" s="34">
        <v>4115248.75</v>
      </c>
      <c r="S235" s="29"/>
      <c r="T235" s="33"/>
      <c r="U235" s="35" t="b">
        <v>0</v>
      </c>
      <c r="V235" s="35" t="b">
        <v>0</v>
      </c>
      <c r="W235" s="35" t="b">
        <v>0</v>
      </c>
      <c r="Y235" s="31" cm="1">
        <f t="array" ref="Y235">IF(LEFT(_xll.BDP($C235, VOLUME_AVG_10D), 4) = "#N/A", "",  _xll.BDP($C235, VOLUME_AVG_10D))</f>
        <v>4135453.75</v>
      </c>
      <c r="Z235" s="31" cm="1">
        <f t="array" ref="Z235">IF(LEFT(_xll.BDP($C235, VOLUME_AVG_30D), 4) = "#N/A", "",  _xll.BDP($C235, VOLUME_AVG_30D))</f>
        <v>4492280.5</v>
      </c>
      <c r="AA235" s="31" cm="1">
        <f t="array" ref="AA235">IF(LEFT(_xll.BDP($C235, VOLUME_AVG_3M), 4) = "#N/A", "",  _xll.BDP($C235, VOLUME_AVG_3M))</f>
        <v>4716741</v>
      </c>
      <c r="AB235" s="31" cm="1">
        <f t="array" ref="AB235">IF(LEFT(_xll.BDP($C235, VOLUME_AVG_6M), 4) = "#N/A", "",  _xll.BDP($C235, VOLUME_AVG_6M))</f>
        <v>4115248.75</v>
      </c>
      <c r="AC235" s="31" cm="1">
        <f t="array" ref="AC235">IF(LEFT(_xll.BDP($C235, VOLUME_AVG_12M), 4) = "#N/A", "",  _xll.BDP($C235, VOLUME_AVG_12M))</f>
        <v>4242225.5</v>
      </c>
      <c r="AD235" s="41" cm="1">
        <f t="array" ref="AD235">IF(LEFT(_xll.BDP($C235, LAST_PRICE), 4) = "#N/A", "",  _xll.BDP($C235, LAST_PRICE))</f>
        <v>30.29</v>
      </c>
    </row>
    <row r="236" spans="1:30" x14ac:dyDescent="0.35">
      <c r="A236" s="1">
        <f t="shared" si="3"/>
        <v>233</v>
      </c>
      <c r="B236" s="28">
        <v>45700</v>
      </c>
      <c r="C236" s="29" t="s">
        <v>515</v>
      </c>
      <c r="D236" s="29" t="s">
        <v>515</v>
      </c>
      <c r="E236" s="29" t="s">
        <v>516</v>
      </c>
      <c r="F236" s="29" t="s">
        <v>33</v>
      </c>
      <c r="G236" s="30" t="s">
        <v>34</v>
      </c>
      <c r="H236" s="31">
        <v>2365756738.11973</v>
      </c>
      <c r="I236" s="31">
        <v>1602064738.11973</v>
      </c>
      <c r="J236" s="32">
        <v>28.569999694824201</v>
      </c>
      <c r="K236" s="33">
        <v>45700</v>
      </c>
      <c r="L236" s="31">
        <v>17385300</v>
      </c>
      <c r="M236" s="32">
        <v>3.88</v>
      </c>
      <c r="N236" s="31" t="s">
        <v>35</v>
      </c>
      <c r="O236" s="33">
        <v>45699</v>
      </c>
      <c r="P236" s="34">
        <v>1097729.75</v>
      </c>
      <c r="Q236" s="34">
        <v>1141885.875</v>
      </c>
      <c r="R236" s="34">
        <v>1007225</v>
      </c>
      <c r="S236" s="29" t="s">
        <v>517</v>
      </c>
      <c r="T236" s="33">
        <v>45446</v>
      </c>
      <c r="U236" s="35" t="b">
        <v>0</v>
      </c>
      <c r="V236" s="35" t="b">
        <v>0</v>
      </c>
      <c r="W236" s="35" t="b">
        <v>0</v>
      </c>
      <c r="Y236" s="31" cm="1">
        <f t="array" ref="Y236">IF(LEFT(_xll.BDP($C236, VOLUME_AVG_10D), 4) = "#N/A", "",  _xll.BDP($C236, VOLUME_AVG_10D))</f>
        <v>979716.5</v>
      </c>
      <c r="Z236" s="31" cm="1">
        <f t="array" ref="Z236">IF(LEFT(_xll.BDP($C236, VOLUME_AVG_30D), 4) = "#N/A", "",  _xll.BDP($C236, VOLUME_AVG_30D))</f>
        <v>1097729.75</v>
      </c>
      <c r="AA236" s="31" cm="1">
        <f t="array" ref="AA236">IF(LEFT(_xll.BDP($C236, VOLUME_AVG_3M), 4) = "#N/A", "",  _xll.BDP($C236, VOLUME_AVG_3M))</f>
        <v>1141885.875</v>
      </c>
      <c r="AB236" s="31" cm="1">
        <f t="array" ref="AB236">IF(LEFT(_xll.BDP($C236, VOLUME_AVG_6M), 4) = "#N/A", "",  _xll.BDP($C236, VOLUME_AVG_6M))</f>
        <v>1007225</v>
      </c>
      <c r="AC236" s="31" cm="1">
        <f t="array" ref="AC236">IF(LEFT(_xll.BDP($C236, VOLUME_AVG_12M), 4) = "#N/A", "",  _xll.BDP($C236, VOLUME_AVG_12M))</f>
        <v>1215048.375</v>
      </c>
      <c r="AD236" s="41" cm="1">
        <f t="array" ref="AD236">IF(LEFT(_xll.BDP($C236, LAST_PRICE), 4) = "#N/A", "",  _xll.BDP($C236, LAST_PRICE))</f>
        <v>28.57</v>
      </c>
    </row>
    <row r="237" spans="1:30" x14ac:dyDescent="0.35">
      <c r="A237" s="1">
        <f t="shared" si="3"/>
        <v>234</v>
      </c>
      <c r="B237" s="28">
        <v>45700</v>
      </c>
      <c r="C237" s="29" t="s">
        <v>518</v>
      </c>
      <c r="D237" s="29" t="s">
        <v>518</v>
      </c>
      <c r="E237" s="29" t="s">
        <v>519</v>
      </c>
      <c r="F237" s="29" t="s">
        <v>33</v>
      </c>
      <c r="G237" s="30" t="s">
        <v>34</v>
      </c>
      <c r="H237" s="31">
        <v>64849536585.385498</v>
      </c>
      <c r="I237" s="31">
        <v>82879536585.385498</v>
      </c>
      <c r="J237" s="32">
        <v>225.85000610351599</v>
      </c>
      <c r="K237" s="33">
        <v>45700</v>
      </c>
      <c r="L237" s="31">
        <v>80428496</v>
      </c>
      <c r="M237" s="32">
        <v>3.88</v>
      </c>
      <c r="N237" s="31" t="s">
        <v>35</v>
      </c>
      <c r="O237" s="33">
        <v>45699</v>
      </c>
      <c r="P237" s="34">
        <v>2193691.75</v>
      </c>
      <c r="Q237" s="34">
        <v>2118722.25</v>
      </c>
      <c r="R237" s="34">
        <v>1696998.25</v>
      </c>
      <c r="S237" s="29"/>
      <c r="T237" s="33"/>
      <c r="U237" s="35" t="b">
        <v>0</v>
      </c>
      <c r="V237" s="35" t="b">
        <v>0</v>
      </c>
      <c r="W237" s="35" t="b">
        <v>0</v>
      </c>
      <c r="Y237" s="31" cm="1">
        <f t="array" ref="Y237">IF(LEFT(_xll.BDP($C237, VOLUME_AVG_10D), 4) = "#N/A", "",  _xll.BDP($C237, VOLUME_AVG_10D))</f>
        <v>2761314</v>
      </c>
      <c r="Z237" s="31" cm="1">
        <f t="array" ref="Z237">IF(LEFT(_xll.BDP($C237, VOLUME_AVG_30D), 4) = "#N/A", "",  _xll.BDP($C237, VOLUME_AVG_30D))</f>
        <v>2193691.75</v>
      </c>
      <c r="AA237" s="31" cm="1">
        <f t="array" ref="AA237">IF(LEFT(_xll.BDP($C237, VOLUME_AVG_3M), 4) = "#N/A", "",  _xll.BDP($C237, VOLUME_AVG_3M))</f>
        <v>2118722.25</v>
      </c>
      <c r="AB237" s="31" cm="1">
        <f t="array" ref="AB237">IF(LEFT(_xll.BDP($C237, VOLUME_AVG_6M), 4) = "#N/A", "",  _xll.BDP($C237, VOLUME_AVG_6M))</f>
        <v>1696998.25</v>
      </c>
      <c r="AC237" s="31" cm="1">
        <f t="array" ref="AC237">IF(LEFT(_xll.BDP($C237, VOLUME_AVG_12M), 4) = "#N/A", "",  _xll.BDP($C237, VOLUME_AVG_12M))</f>
        <v>1558731.25</v>
      </c>
      <c r="AD237" s="41" cm="1">
        <f t="array" ref="AD237">IF(LEFT(_xll.BDP($C237, LAST_PRICE), 4) = "#N/A", "",  _xll.BDP($C237, LAST_PRICE))</f>
        <v>225.85</v>
      </c>
    </row>
    <row r="238" spans="1:30" x14ac:dyDescent="0.35">
      <c r="A238" s="1">
        <f t="shared" si="3"/>
        <v>235</v>
      </c>
      <c r="B238" s="28">
        <v>45700</v>
      </c>
      <c r="C238" s="29" t="s">
        <v>3292</v>
      </c>
      <c r="D238" s="29" t="s">
        <v>3292</v>
      </c>
      <c r="E238" s="29" t="s">
        <v>520</v>
      </c>
      <c r="F238" s="29" t="s">
        <v>33</v>
      </c>
      <c r="G238" s="30" t="s">
        <v>34</v>
      </c>
      <c r="H238" s="31">
        <v>24865631897.6605</v>
      </c>
      <c r="I238" s="31">
        <v>23265175897.6605</v>
      </c>
      <c r="J238" s="32">
        <v>223.30999755859401</v>
      </c>
      <c r="K238" s="33">
        <v>45700</v>
      </c>
      <c r="L238" s="31">
        <v>11772000</v>
      </c>
      <c r="M238" s="32">
        <v>3.88</v>
      </c>
      <c r="N238" s="31" t="s">
        <v>35</v>
      </c>
      <c r="O238" s="33">
        <v>45699</v>
      </c>
      <c r="P238" s="34">
        <v>320942.40625</v>
      </c>
      <c r="Q238" s="34">
        <v>369097.0625</v>
      </c>
      <c r="R238" s="34">
        <v>343898.4375</v>
      </c>
      <c r="S238" s="29"/>
      <c r="T238" s="33"/>
      <c r="U238" s="35" t="b">
        <v>0</v>
      </c>
      <c r="V238" s="35" t="b">
        <v>0</v>
      </c>
      <c r="W238" s="35" t="b">
        <v>0</v>
      </c>
      <c r="Y238" s="31" cm="1">
        <f t="array" ref="Y238">IF(LEFT(_xll.BDP($C238, VOLUME_AVG_10D), 4) = "#N/A", "",  _xll.BDP($C238, VOLUME_AVG_10D))</f>
        <v>294891.3125</v>
      </c>
      <c r="Z238" s="31" cm="1">
        <f t="array" ref="Z238">IF(LEFT(_xll.BDP($C238, VOLUME_AVG_30D), 4) = "#N/A", "",  _xll.BDP($C238, VOLUME_AVG_30D))</f>
        <v>320942.40625</v>
      </c>
      <c r="AA238" s="31" cm="1">
        <f t="array" ref="AA238">IF(LEFT(_xll.BDP($C238, VOLUME_AVG_3M), 4) = "#N/A", "",  _xll.BDP($C238, VOLUME_AVG_3M))</f>
        <v>369097.0625</v>
      </c>
      <c r="AB238" s="31" cm="1">
        <f t="array" ref="AB238">IF(LEFT(_xll.BDP($C238, VOLUME_AVG_6M), 4) = "#N/A", "",  _xll.BDP($C238, VOLUME_AVG_6M))</f>
        <v>343898.4375</v>
      </c>
      <c r="AC238" s="31" cm="1">
        <f t="array" ref="AC238">IF(LEFT(_xll.BDP($C238, VOLUME_AVG_12M), 4) = "#N/A", "",  _xll.BDP($C238, VOLUME_AVG_12M))</f>
        <v>282276.90625</v>
      </c>
      <c r="AD238" s="41" cm="1">
        <f t="array" ref="AD238">IF(LEFT(_xll.BDP($C238, LAST_PRICE), 4) = "#N/A", "",  _xll.BDP($C238, LAST_PRICE))</f>
        <v>223.31</v>
      </c>
    </row>
    <row r="239" spans="1:30" x14ac:dyDescent="0.35">
      <c r="A239" s="1">
        <f t="shared" si="3"/>
        <v>236</v>
      </c>
      <c r="B239" s="28">
        <v>45700</v>
      </c>
      <c r="C239" s="29" t="s">
        <v>521</v>
      </c>
      <c r="D239" s="29" t="s">
        <v>521</v>
      </c>
      <c r="E239" s="29" t="s">
        <v>522</v>
      </c>
      <c r="F239" s="29" t="s">
        <v>33</v>
      </c>
      <c r="G239" s="30" t="s">
        <v>34</v>
      </c>
      <c r="H239" s="31">
        <v>1599721517.85497</v>
      </c>
      <c r="I239" s="31">
        <v>1512450517.85497</v>
      </c>
      <c r="J239" s="32">
        <v>54.880001068115199</v>
      </c>
      <c r="K239" s="33">
        <v>45700</v>
      </c>
      <c r="L239" s="31">
        <v>116600</v>
      </c>
      <c r="M239" s="32">
        <v>-47.1</v>
      </c>
      <c r="N239" s="31" t="s">
        <v>35</v>
      </c>
      <c r="O239" s="33">
        <v>45699</v>
      </c>
      <c r="P239" s="34">
        <v>38312.234375</v>
      </c>
      <c r="Q239" s="34">
        <v>54080.16015625</v>
      </c>
      <c r="R239" s="34">
        <v>52752.03125</v>
      </c>
      <c r="S239" s="29"/>
      <c r="T239" s="33"/>
      <c r="U239" s="35" t="b">
        <v>0</v>
      </c>
      <c r="V239" s="35" t="b">
        <v>0</v>
      </c>
      <c r="W239" s="35" t="b">
        <v>0</v>
      </c>
      <c r="Y239" s="31" cm="1">
        <f t="array" ref="Y239">IF(LEFT(_xll.BDP($C239, VOLUME_AVG_10D), 4) = "#N/A", "",  _xll.BDP($C239, VOLUME_AVG_10D))</f>
        <v>31274.400390625</v>
      </c>
      <c r="Z239" s="31" cm="1">
        <f t="array" ref="Z239">IF(LEFT(_xll.BDP($C239, VOLUME_AVG_30D), 4) = "#N/A", "",  _xll.BDP($C239, VOLUME_AVG_30D))</f>
        <v>38312.234375</v>
      </c>
      <c r="AA239" s="31" cm="1">
        <f t="array" ref="AA239">IF(LEFT(_xll.BDP($C239, VOLUME_AVG_3M), 4) = "#N/A", "",  _xll.BDP($C239, VOLUME_AVG_3M))</f>
        <v>54080.16015625</v>
      </c>
      <c r="AB239" s="31" cm="1">
        <f t="array" ref="AB239">IF(LEFT(_xll.BDP($C239, VOLUME_AVG_6M), 4) = "#N/A", "",  _xll.BDP($C239, VOLUME_AVG_6M))</f>
        <v>52752.03125</v>
      </c>
      <c r="AC239" s="31" cm="1">
        <f t="array" ref="AC239">IF(LEFT(_xll.BDP($C239, VOLUME_AVG_12M), 4) = "#N/A", "",  _xll.BDP($C239, VOLUME_AVG_12M))</f>
        <v>50142.2734375</v>
      </c>
      <c r="AD239" s="41" cm="1">
        <f t="array" ref="AD239">IF(LEFT(_xll.BDP($C239, LAST_PRICE), 4) = "#N/A", "",  _xll.BDP($C239, LAST_PRICE))</f>
        <v>54.88</v>
      </c>
    </row>
    <row r="240" spans="1:30" x14ac:dyDescent="0.35">
      <c r="A240" s="1">
        <f t="shared" si="3"/>
        <v>237</v>
      </c>
      <c r="B240" s="28">
        <v>45700</v>
      </c>
      <c r="C240" s="29" t="s">
        <v>523</v>
      </c>
      <c r="D240" s="29" t="s">
        <v>523</v>
      </c>
      <c r="E240" s="29" t="s">
        <v>524</v>
      </c>
      <c r="F240" s="29" t="s">
        <v>33</v>
      </c>
      <c r="G240" s="30" t="s">
        <v>34</v>
      </c>
      <c r="H240" s="31">
        <v>236807530.57181799</v>
      </c>
      <c r="I240" s="31">
        <v>299914014.84733498</v>
      </c>
      <c r="J240" s="32">
        <v>10.199999809265099</v>
      </c>
      <c r="K240" s="33">
        <v>45700</v>
      </c>
      <c r="L240" s="31">
        <v>3358300</v>
      </c>
      <c r="M240" s="32">
        <v>2.2000000000000002</v>
      </c>
      <c r="N240" s="31" t="s">
        <v>35</v>
      </c>
      <c r="O240" s="33">
        <v>45699</v>
      </c>
      <c r="P240" s="34">
        <v>36341.43359375</v>
      </c>
      <c r="Q240" s="34">
        <v>53398.11328125</v>
      </c>
      <c r="R240" s="34">
        <v>40927.32421875</v>
      </c>
      <c r="S240" s="29"/>
      <c r="T240" s="33"/>
      <c r="U240" s="35" t="b">
        <v>0</v>
      </c>
      <c r="V240" s="35" t="b">
        <v>0</v>
      </c>
      <c r="W240" s="35" t="b">
        <v>0</v>
      </c>
      <c r="Y240" s="31" cm="1">
        <f t="array" ref="Y240">IF(LEFT(_xll.BDP($C240, VOLUME_AVG_10D), 4) = "#N/A", "",  _xll.BDP($C240, VOLUME_AVG_10D))</f>
        <v>28646.80078125</v>
      </c>
      <c r="Z240" s="31" cm="1">
        <f t="array" ref="Z240">IF(LEFT(_xll.BDP($C240, VOLUME_AVG_30D), 4) = "#N/A", "",  _xll.BDP($C240, VOLUME_AVG_30D))</f>
        <v>36341.43359375</v>
      </c>
      <c r="AA240" s="31" cm="1">
        <f t="array" ref="AA240">IF(LEFT(_xll.BDP($C240, VOLUME_AVG_3M), 4) = "#N/A", "",  _xll.BDP($C240, VOLUME_AVG_3M))</f>
        <v>53398.11328125</v>
      </c>
      <c r="AB240" s="31" cm="1">
        <f t="array" ref="AB240">IF(LEFT(_xll.BDP($C240, VOLUME_AVG_6M), 4) = "#N/A", "",  _xll.BDP($C240, VOLUME_AVG_6M))</f>
        <v>40927.32421875</v>
      </c>
      <c r="AC240" s="31" cm="1">
        <f t="array" ref="AC240">IF(LEFT(_xll.BDP($C240, VOLUME_AVG_12M), 4) = "#N/A", "",  _xll.BDP($C240, VOLUME_AVG_12M))</f>
        <v>51716.01953125</v>
      </c>
      <c r="AD240" s="41" cm="1">
        <f t="array" ref="AD240">IF(LEFT(_xll.BDP($C240, LAST_PRICE), 4) = "#N/A", "",  _xll.BDP($C240, LAST_PRICE))</f>
        <v>10.199999999999999</v>
      </c>
    </row>
    <row r="241" spans="1:30" x14ac:dyDescent="0.35">
      <c r="A241" s="1">
        <f t="shared" si="3"/>
        <v>238</v>
      </c>
      <c r="B241" s="28">
        <v>45700</v>
      </c>
      <c r="C241" s="29" t="s">
        <v>525</v>
      </c>
      <c r="D241" s="29" t="s">
        <v>525</v>
      </c>
      <c r="E241" s="29" t="s">
        <v>526</v>
      </c>
      <c r="F241" s="29" t="s">
        <v>33</v>
      </c>
      <c r="G241" s="30" t="s">
        <v>34</v>
      </c>
      <c r="H241" s="31">
        <v>1128762.4391999999</v>
      </c>
      <c r="I241" s="31">
        <v>1416372.4391999999</v>
      </c>
      <c r="J241" s="32">
        <v>0.101475</v>
      </c>
      <c r="K241" s="33">
        <v>45700</v>
      </c>
      <c r="L241" s="31"/>
      <c r="M241" s="32"/>
      <c r="N241" s="31"/>
      <c r="O241" s="33">
        <v>45699</v>
      </c>
      <c r="P241" s="34">
        <v>1547.93334960938</v>
      </c>
      <c r="Q241" s="34">
        <v>1767.04833984375</v>
      </c>
      <c r="R241" s="34">
        <v>1157.57934570313</v>
      </c>
      <c r="S241" s="29"/>
      <c r="T241" s="33"/>
      <c r="U241" s="35" t="b">
        <v>1</v>
      </c>
      <c r="V241" s="35" t="b">
        <v>0</v>
      </c>
      <c r="W241" s="35" t="b">
        <v>0</v>
      </c>
      <c r="Y241" s="31" cm="1">
        <f t="array" ref="Y241">IF(LEFT(_xll.BDP($C241, VOLUME_AVG_10D), 4) = "#N/A", "",  _xll.BDP($C241, VOLUME_AVG_10D))</f>
        <v>596.9000244140625</v>
      </c>
      <c r="Z241" s="31" cm="1">
        <f t="array" ref="Z241">IF(LEFT(_xll.BDP($C241, VOLUME_AVG_30D), 4) = "#N/A", "",  _xll.BDP($C241, VOLUME_AVG_30D))</f>
        <v>1547.933349609375</v>
      </c>
      <c r="AA241" s="31" cm="1">
        <f t="array" ref="AA241">IF(LEFT(_xll.BDP($C241, VOLUME_AVG_3M), 4) = "#N/A", "",  _xll.BDP($C241, VOLUME_AVG_3M))</f>
        <v>1767.04833984375</v>
      </c>
      <c r="AB241" s="31" cm="1">
        <f t="array" ref="AB241">IF(LEFT(_xll.BDP($C241, VOLUME_AVG_6M), 4) = "#N/A", "",  _xll.BDP($C241, VOLUME_AVG_6M))</f>
        <v>1157.579345703125</v>
      </c>
      <c r="AC241" s="31" cm="1">
        <f t="array" ref="AC241">IF(LEFT(_xll.BDP($C241, VOLUME_AVG_12M), 4) = "#N/A", "",  _xll.BDP($C241, VOLUME_AVG_12M))</f>
        <v>2603.1474609375</v>
      </c>
      <c r="AD241" s="41" cm="1">
        <f t="array" ref="AD241">IF(LEFT(_xll.BDP($C241, LAST_PRICE), 4) = "#N/A", "",  _xll.BDP($C241, LAST_PRICE))</f>
        <v>0.101475</v>
      </c>
    </row>
    <row r="242" spans="1:30" x14ac:dyDescent="0.35">
      <c r="A242" s="1">
        <f t="shared" si="3"/>
        <v>239</v>
      </c>
      <c r="B242" s="28">
        <v>45700</v>
      </c>
      <c r="C242" s="29" t="s">
        <v>3309</v>
      </c>
      <c r="D242" s="29" t="s">
        <v>3309</v>
      </c>
      <c r="E242" s="29" t="s">
        <v>3310</v>
      </c>
      <c r="F242" s="29" t="s">
        <v>33</v>
      </c>
      <c r="G242" s="30" t="s">
        <v>34</v>
      </c>
      <c r="H242" s="31">
        <v>943140600.95336699</v>
      </c>
      <c r="I242" s="31">
        <v>1183353600.9533701</v>
      </c>
      <c r="J242" s="32">
        <v>21.9899997711182</v>
      </c>
      <c r="K242" s="33">
        <v>45700</v>
      </c>
      <c r="L242" s="31">
        <v>1638400</v>
      </c>
      <c r="M242" s="32">
        <v>-6.1</v>
      </c>
      <c r="N242" s="31" t="s">
        <v>35</v>
      </c>
      <c r="O242" s="33">
        <v>45699</v>
      </c>
      <c r="P242" s="34"/>
      <c r="Q242" s="34"/>
      <c r="R242" s="34"/>
      <c r="S242" s="29"/>
      <c r="T242" s="33"/>
      <c r="U242" s="35" t="b">
        <v>0</v>
      </c>
      <c r="V242" s="35" t="b">
        <v>0</v>
      </c>
      <c r="W242" s="35" t="b">
        <v>0</v>
      </c>
      <c r="Y242" s="31" t="str" cm="1">
        <f t="array" ref="Y242">IF(LEFT(_xll.BDP($C242, VOLUME_AVG_10D), 4) = "#N/A", "",  _xll.BDP($C242, VOLUME_AVG_10D))</f>
        <v/>
      </c>
      <c r="Z242" s="31" t="str" cm="1">
        <f t="array" ref="Z242">IF(LEFT(_xll.BDP($C242, VOLUME_AVG_30D), 4) = "#N/A", "",  _xll.BDP($C242, VOLUME_AVG_30D))</f>
        <v/>
      </c>
      <c r="AA242" s="31" t="str" cm="1">
        <f t="array" ref="AA242">IF(LEFT(_xll.BDP($C242, VOLUME_AVG_3M), 4) = "#N/A", "",  _xll.BDP($C242, VOLUME_AVG_3M))</f>
        <v/>
      </c>
      <c r="AB242" s="31" t="str" cm="1">
        <f t="array" ref="AB242">IF(LEFT(_xll.BDP($C242, VOLUME_AVG_6M), 4) = "#N/A", "",  _xll.BDP($C242, VOLUME_AVG_6M))</f>
        <v/>
      </c>
      <c r="AC242" s="31" t="str" cm="1">
        <f t="array" ref="AC242">IF(LEFT(_xll.BDP($C242, VOLUME_AVG_12M), 4) = "#N/A", "",  _xll.BDP($C242, VOLUME_AVG_12M))</f>
        <v/>
      </c>
      <c r="AD242" s="41" cm="1">
        <f t="array" ref="AD242">IF(LEFT(_xll.BDP($C242, LAST_PRICE), 4) = "#N/A", "",  _xll.BDP($C242, LAST_PRICE))</f>
        <v>21.99</v>
      </c>
    </row>
    <row r="243" spans="1:30" x14ac:dyDescent="0.35">
      <c r="A243" s="1">
        <f t="shared" si="3"/>
        <v>240</v>
      </c>
      <c r="B243" s="28">
        <v>45700</v>
      </c>
      <c r="C243" s="29" t="s">
        <v>527</v>
      </c>
      <c r="D243" s="29" t="s">
        <v>527</v>
      </c>
      <c r="E243" s="29" t="s">
        <v>528</v>
      </c>
      <c r="F243" s="29" t="s">
        <v>33</v>
      </c>
      <c r="G243" s="30" t="s">
        <v>34</v>
      </c>
      <c r="H243" s="31">
        <v>4740.3397999999997</v>
      </c>
      <c r="I243" s="31">
        <v>-5387259.6601999998</v>
      </c>
      <c r="J243" s="32">
        <v>1E-4</v>
      </c>
      <c r="K243" s="33">
        <v>45700</v>
      </c>
      <c r="L243" s="31">
        <v>1109000</v>
      </c>
      <c r="M243" s="32">
        <v>-2</v>
      </c>
      <c r="N243" s="31" t="s">
        <v>35</v>
      </c>
      <c r="O243" s="33">
        <v>45699</v>
      </c>
      <c r="P243" s="34">
        <v>12499.3662109375</v>
      </c>
      <c r="Q243" s="34">
        <v>34643.2734375</v>
      </c>
      <c r="R243" s="34">
        <v>25924.26171875</v>
      </c>
      <c r="S243" s="29"/>
      <c r="T243" s="33"/>
      <c r="U243" s="35" t="b">
        <v>1</v>
      </c>
      <c r="V243" s="35" t="b">
        <v>1</v>
      </c>
      <c r="W243" s="35" t="b">
        <v>1</v>
      </c>
      <c r="Y243" s="31" cm="1">
        <f t="array" ref="Y243">IF(LEFT(_xll.BDP($C243, VOLUME_AVG_10D), 4) = "#N/A", "",  _xll.BDP($C243, VOLUME_AVG_10D))</f>
        <v>10695.099609375</v>
      </c>
      <c r="Z243" s="31" cm="1">
        <f t="array" ref="Z243">IF(LEFT(_xll.BDP($C243, VOLUME_AVG_30D), 4) = "#N/A", "",  _xll.BDP($C243, VOLUME_AVG_30D))</f>
        <v>12499.3662109375</v>
      </c>
      <c r="AA243" s="31" cm="1">
        <f t="array" ref="AA243">IF(LEFT(_xll.BDP($C243, VOLUME_AVG_3M), 4) = "#N/A", "",  _xll.BDP($C243, VOLUME_AVG_3M))</f>
        <v>34643.2734375</v>
      </c>
      <c r="AB243" s="31" cm="1">
        <f t="array" ref="AB243">IF(LEFT(_xll.BDP($C243, VOLUME_AVG_6M), 4) = "#N/A", "",  _xll.BDP($C243, VOLUME_AVG_6M))</f>
        <v>25924.26171875</v>
      </c>
      <c r="AC243" s="31" cm="1">
        <f t="array" ref="AC243">IF(LEFT(_xll.BDP($C243, VOLUME_AVG_12M), 4) = "#N/A", "",  _xll.BDP($C243, VOLUME_AVG_12M))</f>
        <v>1462703.375</v>
      </c>
      <c r="AD243" s="41" cm="1">
        <f t="array" ref="AD243">IF(LEFT(_xll.BDP($C243, LAST_PRICE), 4) = "#N/A", "",  _xll.BDP($C243, LAST_PRICE))</f>
        <v>1E-4</v>
      </c>
    </row>
    <row r="244" spans="1:30" x14ac:dyDescent="0.35">
      <c r="A244" s="1">
        <f t="shared" si="3"/>
        <v>241</v>
      </c>
      <c r="B244" s="28">
        <v>45700</v>
      </c>
      <c r="C244" s="29" t="s">
        <v>529</v>
      </c>
      <c r="D244" s="29" t="s">
        <v>529</v>
      </c>
      <c r="E244" s="29" t="s">
        <v>530</v>
      </c>
      <c r="F244" s="29" t="s">
        <v>40</v>
      </c>
      <c r="G244" s="30" t="s">
        <v>41</v>
      </c>
      <c r="H244" s="31">
        <v>14240940.482834</v>
      </c>
      <c r="I244" s="31">
        <v>17568853.482834</v>
      </c>
      <c r="J244" s="32">
        <v>0.109999999403954</v>
      </c>
      <c r="K244" s="33">
        <v>45700</v>
      </c>
      <c r="L244" s="31"/>
      <c r="M244" s="32"/>
      <c r="N244" s="31"/>
      <c r="O244" s="33">
        <v>45699</v>
      </c>
      <c r="P244" s="34">
        <v>119632.6</v>
      </c>
      <c r="Q244" s="34">
        <v>74354.31</v>
      </c>
      <c r="R244" s="34">
        <v>75618.62</v>
      </c>
      <c r="S244" s="29"/>
      <c r="T244" s="33"/>
      <c r="U244" s="35" t="b">
        <v>1</v>
      </c>
      <c r="V244" s="35" t="b">
        <v>0</v>
      </c>
      <c r="W244" s="35" t="b">
        <v>0</v>
      </c>
      <c r="Y244" s="31" cm="1">
        <f t="array" ref="Y244">IF(LEFT(_xll.BDP($C244, VOLUME_AVG_10D), 4) = "#N/A", "",  _xll.BDP($C244, VOLUME_AVG_10D))</f>
        <v>96731.5</v>
      </c>
      <c r="Z244" s="31" cm="1">
        <f t="array" ref="Z244">IF(LEFT(_xll.BDP($C244, VOLUME_AVG_30D), 4) = "#N/A", "",  _xll.BDP($C244, VOLUME_AVG_30D))</f>
        <v>119632.6</v>
      </c>
      <c r="AA244" s="31" cm="1">
        <f t="array" ref="AA244">IF(LEFT(_xll.BDP($C244, VOLUME_AVG_3M), 4) = "#N/A", "",  _xll.BDP($C244, VOLUME_AVG_3M))</f>
        <v>74354.31</v>
      </c>
      <c r="AB244" s="31" cm="1">
        <f t="array" ref="AB244">IF(LEFT(_xll.BDP($C244, VOLUME_AVG_6M), 4) = "#N/A", "",  _xll.BDP($C244, VOLUME_AVG_6M))</f>
        <v>75618.62</v>
      </c>
      <c r="AC244" s="31" cm="1">
        <f t="array" ref="AC244">IF(LEFT(_xll.BDP($C244, VOLUME_AVG_12M), 4) = "#N/A", "",  _xll.BDP($C244, VOLUME_AVG_12M))</f>
        <v>91244.87</v>
      </c>
      <c r="AD244" s="41" cm="1">
        <f t="array" ref="AD244">IF(LEFT(_xll.BDP($C244, LAST_PRICE), 4) = "#N/A", "",  _xll.BDP($C244, LAST_PRICE))</f>
        <v>0.11</v>
      </c>
    </row>
    <row r="245" spans="1:30" x14ac:dyDescent="0.35">
      <c r="A245" s="1">
        <f t="shared" si="3"/>
        <v>242</v>
      </c>
      <c r="B245" s="28">
        <v>45700</v>
      </c>
      <c r="C245" s="29" t="s">
        <v>531</v>
      </c>
      <c r="D245" s="29" t="s">
        <v>531</v>
      </c>
      <c r="E245" s="29" t="s">
        <v>532</v>
      </c>
      <c r="F245" s="29" t="s">
        <v>33</v>
      </c>
      <c r="G245" s="30" t="s">
        <v>34</v>
      </c>
      <c r="H245" s="31">
        <v>32627787.754402898</v>
      </c>
      <c r="I245" s="31">
        <v>24423787.754402898</v>
      </c>
      <c r="J245" s="32">
        <v>0.36959999799728399</v>
      </c>
      <c r="K245" s="33">
        <v>45700</v>
      </c>
      <c r="L245" s="31">
        <v>4540500</v>
      </c>
      <c r="M245" s="32">
        <v>0.55000000000000004</v>
      </c>
      <c r="N245" s="31" t="s">
        <v>35</v>
      </c>
      <c r="O245" s="33">
        <v>45699</v>
      </c>
      <c r="P245" s="34">
        <v>2271723.75</v>
      </c>
      <c r="Q245" s="34">
        <v>1459090.875</v>
      </c>
      <c r="R245" s="34">
        <v>1013054.875</v>
      </c>
      <c r="S245" s="29" t="s">
        <v>533</v>
      </c>
      <c r="T245" s="33">
        <v>45215</v>
      </c>
      <c r="U245" s="35" t="b">
        <v>0</v>
      </c>
      <c r="V245" s="35" t="b">
        <v>0</v>
      </c>
      <c r="W245" s="35" t="b">
        <v>0</v>
      </c>
      <c r="Y245" s="31" cm="1">
        <f t="array" ref="Y245">IF(LEFT(_xll.BDP($C245, VOLUME_AVG_10D), 4) = "#N/A", "",  _xll.BDP($C245, VOLUME_AVG_10D))</f>
        <v>1786764.875</v>
      </c>
      <c r="Z245" s="31" cm="1">
        <f t="array" ref="Z245">IF(LEFT(_xll.BDP($C245, VOLUME_AVG_30D), 4) = "#N/A", "",  _xll.BDP($C245, VOLUME_AVG_30D))</f>
        <v>2271723.75</v>
      </c>
      <c r="AA245" s="31" cm="1">
        <f t="array" ref="AA245">IF(LEFT(_xll.BDP($C245, VOLUME_AVG_3M), 4) = "#N/A", "",  _xll.BDP($C245, VOLUME_AVG_3M))</f>
        <v>1459090.875</v>
      </c>
      <c r="AB245" s="31" cm="1">
        <f t="array" ref="AB245">IF(LEFT(_xll.BDP($C245, VOLUME_AVG_6M), 4) = "#N/A", "",  _xll.BDP($C245, VOLUME_AVG_6M))</f>
        <v>1013054.875</v>
      </c>
      <c r="AC245" s="31" cm="1">
        <f t="array" ref="AC245">IF(LEFT(_xll.BDP($C245, VOLUME_AVG_12M), 4) = "#N/A", "",  _xll.BDP($C245, VOLUME_AVG_12M))</f>
        <v>788762.6875</v>
      </c>
      <c r="AD245" s="41" cm="1">
        <f t="array" ref="AD245">IF(LEFT(_xll.BDP($C245, LAST_PRICE), 4) = "#N/A", "",  _xll.BDP($C245, LAST_PRICE))</f>
        <v>0.36959999999999998</v>
      </c>
    </row>
    <row r="246" spans="1:30" x14ac:dyDescent="0.35">
      <c r="A246" s="1">
        <f t="shared" si="3"/>
        <v>243</v>
      </c>
      <c r="B246" s="28">
        <v>45700</v>
      </c>
      <c r="C246" s="29" t="s">
        <v>534</v>
      </c>
      <c r="D246" s="29" t="s">
        <v>534</v>
      </c>
      <c r="E246" s="29" t="s">
        <v>535</v>
      </c>
      <c r="F246" s="29" t="s">
        <v>33</v>
      </c>
      <c r="G246" s="30" t="s">
        <v>34</v>
      </c>
      <c r="H246" s="31">
        <v>66349578.961055502</v>
      </c>
      <c r="I246" s="31">
        <v>-2750421.0389444702</v>
      </c>
      <c r="J246" s="32">
        <v>1.70000004768372</v>
      </c>
      <c r="K246" s="33">
        <v>45700</v>
      </c>
      <c r="L246" s="31"/>
      <c r="M246" s="32"/>
      <c r="N246" s="31"/>
      <c r="O246" s="33">
        <v>45699</v>
      </c>
      <c r="P246" s="34">
        <v>15359.599609375</v>
      </c>
      <c r="Q246" s="34">
        <v>23610.177734375</v>
      </c>
      <c r="R246" s="34">
        <v>23295.9765625</v>
      </c>
      <c r="S246" s="29"/>
      <c r="T246" s="33"/>
      <c r="U246" s="35" t="b">
        <v>0</v>
      </c>
      <c r="V246" s="35" t="b">
        <v>0</v>
      </c>
      <c r="W246" s="35" t="b">
        <v>1</v>
      </c>
      <c r="Y246" s="31" cm="1">
        <f t="array" ref="Y246">IF(LEFT(_xll.BDP($C246, VOLUME_AVG_10D), 4) = "#N/A", "",  _xll.BDP($C246, VOLUME_AVG_10D))</f>
        <v>11103.599609375</v>
      </c>
      <c r="Z246" s="31" cm="1">
        <f t="array" ref="Z246">IF(LEFT(_xll.BDP($C246, VOLUME_AVG_30D), 4) = "#N/A", "",  _xll.BDP($C246, VOLUME_AVG_30D))</f>
        <v>15359.599609375</v>
      </c>
      <c r="AA246" s="31" cm="1">
        <f t="array" ref="AA246">IF(LEFT(_xll.BDP($C246, VOLUME_AVG_3M), 4) = "#N/A", "",  _xll.BDP($C246, VOLUME_AVG_3M))</f>
        <v>23610.177734375</v>
      </c>
      <c r="AB246" s="31" cm="1">
        <f t="array" ref="AB246">IF(LEFT(_xll.BDP($C246, VOLUME_AVG_6M), 4) = "#N/A", "",  _xll.BDP($C246, VOLUME_AVG_6M))</f>
        <v>23295.9765625</v>
      </c>
      <c r="AC246" s="31" cm="1">
        <f t="array" ref="AC246">IF(LEFT(_xll.BDP($C246, VOLUME_AVG_12M), 4) = "#N/A", "",  _xll.BDP($C246, VOLUME_AVG_12M))</f>
        <v>78181.3984375</v>
      </c>
      <c r="AD246" s="41" cm="1">
        <f t="array" ref="AD246">IF(LEFT(_xll.BDP($C246, LAST_PRICE), 4) = "#N/A", "",  _xll.BDP($C246, LAST_PRICE))</f>
        <v>1.7</v>
      </c>
    </row>
    <row r="247" spans="1:30" x14ac:dyDescent="0.35">
      <c r="A247" s="1">
        <f t="shared" si="3"/>
        <v>244</v>
      </c>
      <c r="B247" s="28">
        <v>45700</v>
      </c>
      <c r="C247" s="29" t="s">
        <v>536</v>
      </c>
      <c r="D247" s="29" t="s">
        <v>536</v>
      </c>
      <c r="E247" s="29" t="s">
        <v>537</v>
      </c>
      <c r="F247" s="29" t="s">
        <v>33</v>
      </c>
      <c r="G247" s="30" t="s">
        <v>34</v>
      </c>
      <c r="H247" s="31"/>
      <c r="I247" s="31"/>
      <c r="J247" s="32">
        <v>9.9999999747524292E-7</v>
      </c>
      <c r="K247" s="33">
        <v>45700</v>
      </c>
      <c r="L247" s="31"/>
      <c r="M247" s="32"/>
      <c r="N247" s="31"/>
      <c r="O247" s="33">
        <v>45699</v>
      </c>
      <c r="P247" s="34">
        <v>3309.16674804688</v>
      </c>
      <c r="Q247" s="34">
        <v>4839.91943359375</v>
      </c>
      <c r="R247" s="34">
        <v>2405.08740234375</v>
      </c>
      <c r="S247" s="29"/>
      <c r="T247" s="33"/>
      <c r="U247" s="35" t="b">
        <v>1</v>
      </c>
      <c r="V247" s="35" t="b">
        <v>1</v>
      </c>
      <c r="W247" s="35" t="b">
        <v>1</v>
      </c>
      <c r="Y247" s="31" cm="1">
        <f t="array" ref="Y247">IF(LEFT(_xll.BDP($C247, VOLUME_AVG_10D), 4) = "#N/A", "",  _xll.BDP($C247, VOLUME_AVG_10D))</f>
        <v>57.5</v>
      </c>
      <c r="Z247" s="31" cm="1">
        <f t="array" ref="Z247">IF(LEFT(_xll.BDP($C247, VOLUME_AVG_30D), 4) = "#N/A", "",  _xll.BDP($C247, VOLUME_AVG_30D))</f>
        <v>3309.166748046875</v>
      </c>
      <c r="AA247" s="31" cm="1">
        <f t="array" ref="AA247">IF(LEFT(_xll.BDP($C247, VOLUME_AVG_3M), 4) = "#N/A", "",  _xll.BDP($C247, VOLUME_AVG_3M))</f>
        <v>4839.91943359375</v>
      </c>
      <c r="AB247" s="31" cm="1">
        <f t="array" ref="AB247">IF(LEFT(_xll.BDP($C247, VOLUME_AVG_6M), 4) = "#N/A", "",  _xll.BDP($C247, VOLUME_AVG_6M))</f>
        <v>2405.08740234375</v>
      </c>
      <c r="AC247" s="31" cm="1">
        <f t="array" ref="AC247">IF(LEFT(_xll.BDP($C247, VOLUME_AVG_12M), 4) = "#N/A", "",  _xll.BDP($C247, VOLUME_AVG_12M))</f>
        <v>1227.5697021484375</v>
      </c>
      <c r="AD247" s="41" cm="1">
        <f t="array" ref="AD247">IF(LEFT(_xll.BDP($C247, LAST_PRICE), 4) = "#N/A", "",  _xll.BDP($C247, LAST_PRICE))</f>
        <v>9.9999999999999995E-7</v>
      </c>
    </row>
    <row r="248" spans="1:30" x14ac:dyDescent="0.35">
      <c r="A248" s="1">
        <f t="shared" si="3"/>
        <v>245</v>
      </c>
      <c r="B248" s="28">
        <v>45700</v>
      </c>
      <c r="C248" s="29" t="s">
        <v>538</v>
      </c>
      <c r="D248" s="29" t="s">
        <v>538</v>
      </c>
      <c r="E248" s="29" t="s">
        <v>539</v>
      </c>
      <c r="F248" s="29" t="s">
        <v>33</v>
      </c>
      <c r="G248" s="30" t="s">
        <v>34</v>
      </c>
      <c r="H248" s="31">
        <v>1028775561.01808</v>
      </c>
      <c r="I248" s="31">
        <v>1026706129.01808</v>
      </c>
      <c r="J248" s="32">
        <v>10.5817003250122</v>
      </c>
      <c r="K248" s="33">
        <v>45700</v>
      </c>
      <c r="L248" s="31"/>
      <c r="M248" s="32"/>
      <c r="N248" s="31"/>
      <c r="O248" s="33">
        <v>45699</v>
      </c>
      <c r="P248" s="34">
        <v>47250.265625</v>
      </c>
      <c r="Q248" s="34">
        <v>40015.046875</v>
      </c>
      <c r="R248" s="34">
        <v>29056.349609375</v>
      </c>
      <c r="S248" s="29"/>
      <c r="T248" s="33"/>
      <c r="U248" s="35" t="b">
        <v>0</v>
      </c>
      <c r="V248" s="35" t="b">
        <v>0</v>
      </c>
      <c r="W248" s="35" t="b">
        <v>0</v>
      </c>
      <c r="Y248" s="31" cm="1">
        <f t="array" ref="Y248">IF(LEFT(_xll.BDP($C248, VOLUME_AVG_10D), 4) = "#N/A", "",  _xll.BDP($C248, VOLUME_AVG_10D))</f>
        <v>15527.599609375</v>
      </c>
      <c r="Z248" s="31" cm="1">
        <f t="array" ref="Z248">IF(LEFT(_xll.BDP($C248, VOLUME_AVG_30D), 4) = "#N/A", "",  _xll.BDP($C248, VOLUME_AVG_30D))</f>
        <v>47250.265625</v>
      </c>
      <c r="AA248" s="31" cm="1">
        <f t="array" ref="AA248">IF(LEFT(_xll.BDP($C248, VOLUME_AVG_3M), 4) = "#N/A", "",  _xll.BDP($C248, VOLUME_AVG_3M))</f>
        <v>40015.046875</v>
      </c>
      <c r="AB248" s="31" cm="1">
        <f t="array" ref="AB248">IF(LEFT(_xll.BDP($C248, VOLUME_AVG_6M), 4) = "#N/A", "",  _xll.BDP($C248, VOLUME_AVG_6M))</f>
        <v>29056.349609375</v>
      </c>
      <c r="AC248" s="31" cm="1">
        <f t="array" ref="AC248">IF(LEFT(_xll.BDP($C248, VOLUME_AVG_12M), 4) = "#N/A", "",  _xll.BDP($C248, VOLUME_AVG_12M))</f>
        <v>29401.947265625</v>
      </c>
      <c r="AD248" s="41" cm="1">
        <f t="array" ref="AD248">IF(LEFT(_xll.BDP($C248, LAST_PRICE), 4) = "#N/A", "",  _xll.BDP($C248, LAST_PRICE))</f>
        <v>10.5817</v>
      </c>
    </row>
    <row r="249" spans="1:30" x14ac:dyDescent="0.35">
      <c r="A249" s="1">
        <f t="shared" si="3"/>
        <v>246</v>
      </c>
      <c r="B249" s="28">
        <v>45700</v>
      </c>
      <c r="C249" s="29" t="s">
        <v>540</v>
      </c>
      <c r="D249" s="29" t="s">
        <v>540</v>
      </c>
      <c r="E249" s="29" t="s">
        <v>541</v>
      </c>
      <c r="F249" s="29" t="s">
        <v>33</v>
      </c>
      <c r="G249" s="30" t="s">
        <v>34</v>
      </c>
      <c r="H249" s="31">
        <v>719374497.71053803</v>
      </c>
      <c r="I249" s="31">
        <v>856868497.71053803</v>
      </c>
      <c r="J249" s="32">
        <v>13.2200002670288</v>
      </c>
      <c r="K249" s="33">
        <v>45700</v>
      </c>
      <c r="L249" s="31">
        <v>806700</v>
      </c>
      <c r="M249" s="32">
        <v>0.15</v>
      </c>
      <c r="N249" s="31" t="s">
        <v>35</v>
      </c>
      <c r="O249" s="33">
        <v>45699</v>
      </c>
      <c r="P249" s="34">
        <v>361101.375</v>
      </c>
      <c r="Q249" s="34">
        <v>429920.15625</v>
      </c>
      <c r="R249" s="34"/>
      <c r="S249" s="29"/>
      <c r="T249" s="33"/>
      <c r="U249" s="35" t="b">
        <v>0</v>
      </c>
      <c r="V249" s="35" t="b">
        <v>0</v>
      </c>
      <c r="W249" s="35" t="b">
        <v>0</v>
      </c>
      <c r="Y249" s="31" cm="1">
        <f t="array" ref="Y249">IF(LEFT(_xll.BDP($C249, VOLUME_AVG_10D), 4) = "#N/A", "",  _xll.BDP($C249, VOLUME_AVG_10D))</f>
        <v>331063</v>
      </c>
      <c r="Z249" s="31" cm="1">
        <f t="array" ref="Z249">IF(LEFT(_xll.BDP($C249, VOLUME_AVG_30D), 4) = "#N/A", "",  _xll.BDP($C249, VOLUME_AVG_30D))</f>
        <v>361101.375</v>
      </c>
      <c r="AA249" s="31" cm="1">
        <f t="array" ref="AA249">IF(LEFT(_xll.BDP($C249, VOLUME_AVG_3M), 4) = "#N/A", "",  _xll.BDP($C249, VOLUME_AVG_3M))</f>
        <v>429920.15625</v>
      </c>
      <c r="AB249" s="31" t="str" cm="1">
        <f t="array" ref="AB249">IF(LEFT(_xll.BDP($C249, VOLUME_AVG_6M), 4) = "#N/A", "",  _xll.BDP($C249, VOLUME_AVG_6M))</f>
        <v/>
      </c>
      <c r="AC249" s="31" t="str" cm="1">
        <f t="array" ref="AC249">IF(LEFT(_xll.BDP($C249, VOLUME_AVG_12M), 4) = "#N/A", "",  _xll.BDP($C249, VOLUME_AVG_12M))</f>
        <v/>
      </c>
      <c r="AD249" s="41" cm="1">
        <f t="array" ref="AD249">IF(LEFT(_xll.BDP($C249, LAST_PRICE), 4) = "#N/A", "",  _xll.BDP($C249, LAST_PRICE))</f>
        <v>13.22</v>
      </c>
    </row>
    <row r="250" spans="1:30" x14ac:dyDescent="0.35">
      <c r="A250" s="1">
        <f t="shared" si="3"/>
        <v>247</v>
      </c>
      <c r="B250" s="28">
        <v>45700</v>
      </c>
      <c r="C250" s="29" t="s">
        <v>542</v>
      </c>
      <c r="D250" s="29" t="s">
        <v>542</v>
      </c>
      <c r="E250" s="29" t="s">
        <v>543</v>
      </c>
      <c r="F250" s="29" t="s">
        <v>33</v>
      </c>
      <c r="G250" s="30" t="s">
        <v>34</v>
      </c>
      <c r="H250" s="31">
        <v>585864304.52769494</v>
      </c>
      <c r="I250" s="31">
        <v>104397304.527695</v>
      </c>
      <c r="J250" s="32">
        <v>12.319999694824199</v>
      </c>
      <c r="K250" s="33">
        <v>45700</v>
      </c>
      <c r="L250" s="31">
        <v>1881900</v>
      </c>
      <c r="M250" s="32">
        <v>3.75</v>
      </c>
      <c r="N250" s="31" t="s">
        <v>35</v>
      </c>
      <c r="O250" s="33">
        <v>45699</v>
      </c>
      <c r="P250" s="34">
        <v>361663.28125</v>
      </c>
      <c r="Q250" s="34">
        <v>548896.9375</v>
      </c>
      <c r="R250" s="34">
        <v>477035.21875</v>
      </c>
      <c r="S250" s="29" t="s">
        <v>46</v>
      </c>
      <c r="T250" s="33">
        <v>45446</v>
      </c>
      <c r="U250" s="35" t="b">
        <v>0</v>
      </c>
      <c r="V250" s="35" t="b">
        <v>0</v>
      </c>
      <c r="W250" s="35" t="b">
        <v>0</v>
      </c>
      <c r="Y250" s="31" cm="1">
        <f t="array" ref="Y250">IF(LEFT(_xll.BDP($C250, VOLUME_AVG_10D), 4) = "#N/A", "",  _xll.BDP($C250, VOLUME_AVG_10D))</f>
        <v>368459.09375</v>
      </c>
      <c r="Z250" s="31" cm="1">
        <f t="array" ref="Z250">IF(LEFT(_xll.BDP($C250, VOLUME_AVG_30D), 4) = "#N/A", "",  _xll.BDP($C250, VOLUME_AVG_30D))</f>
        <v>361663.28125</v>
      </c>
      <c r="AA250" s="31" cm="1">
        <f t="array" ref="AA250">IF(LEFT(_xll.BDP($C250, VOLUME_AVG_3M), 4) = "#N/A", "",  _xll.BDP($C250, VOLUME_AVG_3M))</f>
        <v>548896.9375</v>
      </c>
      <c r="AB250" s="31" cm="1">
        <f t="array" ref="AB250">IF(LEFT(_xll.BDP($C250, VOLUME_AVG_6M), 4) = "#N/A", "",  _xll.BDP($C250, VOLUME_AVG_6M))</f>
        <v>477035.21875</v>
      </c>
      <c r="AC250" s="31" cm="1">
        <f t="array" ref="AC250">IF(LEFT(_xll.BDP($C250, VOLUME_AVG_12M), 4) = "#N/A", "",  _xll.BDP($C250, VOLUME_AVG_12M))</f>
        <v>411253.8125</v>
      </c>
      <c r="AD250" s="41" cm="1">
        <f t="array" ref="AD250">IF(LEFT(_xll.BDP($C250, LAST_PRICE), 4) = "#N/A", "",  _xll.BDP($C250, LAST_PRICE))</f>
        <v>12.32</v>
      </c>
    </row>
    <row r="251" spans="1:30" x14ac:dyDescent="0.35">
      <c r="A251" s="1">
        <f t="shared" si="3"/>
        <v>248</v>
      </c>
      <c r="B251" s="28">
        <v>45700</v>
      </c>
      <c r="C251" s="29" t="s">
        <v>544</v>
      </c>
      <c r="D251" s="29" t="s">
        <v>544</v>
      </c>
      <c r="E251" s="29" t="s">
        <v>545</v>
      </c>
      <c r="F251" s="29" t="s">
        <v>33</v>
      </c>
      <c r="G251" s="30" t="s">
        <v>34</v>
      </c>
      <c r="H251" s="31">
        <v>1158.95687072229</v>
      </c>
      <c r="I251" s="31">
        <v>4911886.9568707198</v>
      </c>
      <c r="J251" s="32">
        <v>9.9999997473787503E-5</v>
      </c>
      <c r="K251" s="33">
        <v>45700</v>
      </c>
      <c r="L251" s="31">
        <v>16200</v>
      </c>
      <c r="M251" s="32">
        <v>-6.3</v>
      </c>
      <c r="N251" s="31" t="s">
        <v>35</v>
      </c>
      <c r="O251" s="33">
        <v>45699</v>
      </c>
      <c r="P251" s="34">
        <v>1736.59997558594</v>
      </c>
      <c r="Q251" s="34">
        <v>1991.62902832031</v>
      </c>
      <c r="R251" s="34">
        <v>35341.0078125</v>
      </c>
      <c r="S251" s="29"/>
      <c r="T251" s="33"/>
      <c r="U251" s="35" t="b">
        <v>1</v>
      </c>
      <c r="V251" s="35" t="b">
        <v>1</v>
      </c>
      <c r="W251" s="35" t="b">
        <v>0</v>
      </c>
      <c r="Y251" s="31" cm="1">
        <f t="array" ref="Y251">IF(LEFT(_xll.BDP($C251, VOLUME_AVG_10D), 4) = "#N/A", "",  _xll.BDP($C251, VOLUME_AVG_10D))</f>
        <v>225.69999694824219</v>
      </c>
      <c r="Z251" s="31" cm="1">
        <f t="array" ref="Z251">IF(LEFT(_xll.BDP($C251, VOLUME_AVG_30D), 4) = "#N/A", "",  _xll.BDP($C251, VOLUME_AVG_30D))</f>
        <v>1736.5999755859375</v>
      </c>
      <c r="AA251" s="31" cm="1">
        <f t="array" ref="AA251">IF(LEFT(_xll.BDP($C251, VOLUME_AVG_3M), 4) = "#N/A", "",  _xll.BDP($C251, VOLUME_AVG_3M))</f>
        <v>1991.6290283203125</v>
      </c>
      <c r="AB251" s="31" cm="1">
        <f t="array" ref="AB251">IF(LEFT(_xll.BDP($C251, VOLUME_AVG_6M), 4) = "#N/A", "",  _xll.BDP($C251, VOLUME_AVG_6M))</f>
        <v>35341.0078125</v>
      </c>
      <c r="AC251" s="31" cm="1">
        <f t="array" ref="AC251">IF(LEFT(_xll.BDP($C251, VOLUME_AVG_12M), 4) = "#N/A", "",  _xll.BDP($C251, VOLUME_AVG_12M))</f>
        <v>131055.3046875</v>
      </c>
      <c r="AD251" s="41" cm="1">
        <f t="array" ref="AD251">IF(LEFT(_xll.BDP($C251, LAST_PRICE), 4) = "#N/A", "",  _xll.BDP($C251, LAST_PRICE))</f>
        <v>1E-4</v>
      </c>
    </row>
    <row r="252" spans="1:30" x14ac:dyDescent="0.35">
      <c r="A252" s="1">
        <f t="shared" si="3"/>
        <v>249</v>
      </c>
      <c r="B252" s="28">
        <v>45700</v>
      </c>
      <c r="C252" s="29" t="s">
        <v>546</v>
      </c>
      <c r="D252" s="29" t="s">
        <v>546</v>
      </c>
      <c r="E252" s="29" t="s">
        <v>547</v>
      </c>
      <c r="F252" s="29" t="s">
        <v>33</v>
      </c>
      <c r="G252" s="30" t="s">
        <v>34</v>
      </c>
      <c r="H252" s="31">
        <v>4152882.4050207101</v>
      </c>
      <c r="I252" s="31">
        <v>3616882.4050207101</v>
      </c>
      <c r="J252" s="32">
        <v>0.72000002861022905</v>
      </c>
      <c r="K252" s="33">
        <v>45700</v>
      </c>
      <c r="L252" s="31">
        <v>875600</v>
      </c>
      <c r="M252" s="32">
        <v>-51</v>
      </c>
      <c r="N252" s="31" t="s">
        <v>35</v>
      </c>
      <c r="O252" s="33">
        <v>45699</v>
      </c>
      <c r="P252" s="34">
        <v>184059.671875</v>
      </c>
      <c r="Q252" s="34">
        <v>2091164.5</v>
      </c>
      <c r="R252" s="34">
        <v>1755746.75</v>
      </c>
      <c r="S252" s="29"/>
      <c r="T252" s="33"/>
      <c r="U252" s="35" t="b">
        <v>1</v>
      </c>
      <c r="V252" s="35" t="b">
        <v>0</v>
      </c>
      <c r="W252" s="35" t="b">
        <v>0</v>
      </c>
      <c r="Y252" s="31" cm="1">
        <f t="array" ref="Y252">IF(LEFT(_xll.BDP($C252, VOLUME_AVG_10D), 4) = "#N/A", "",  _xll.BDP($C252, VOLUME_AVG_10D))</f>
        <v>74433.5</v>
      </c>
      <c r="Z252" s="31" cm="1">
        <f t="array" ref="Z252">IF(LEFT(_xll.BDP($C252, VOLUME_AVG_30D), 4) = "#N/A", "",  _xll.BDP($C252, VOLUME_AVG_30D))</f>
        <v>184059.671875</v>
      </c>
      <c r="AA252" s="31" cm="1">
        <f t="array" ref="AA252">IF(LEFT(_xll.BDP($C252, VOLUME_AVG_3M), 4) = "#N/A", "",  _xll.BDP($C252, VOLUME_AVG_3M))</f>
        <v>2091164.5</v>
      </c>
      <c r="AB252" s="31" cm="1">
        <f t="array" ref="AB252">IF(LEFT(_xll.BDP($C252, VOLUME_AVG_6M), 4) = "#N/A", "",  _xll.BDP($C252, VOLUME_AVG_6M))</f>
        <v>1755746.75</v>
      </c>
      <c r="AC252" s="31" cm="1">
        <f t="array" ref="AC252">IF(LEFT(_xll.BDP($C252, VOLUME_AVG_12M), 4) = "#N/A", "",  _xll.BDP($C252, VOLUME_AVG_12M))</f>
        <v>1523151.125</v>
      </c>
      <c r="AD252" s="41" cm="1">
        <f t="array" ref="AD252">IF(LEFT(_xll.BDP($C252, LAST_PRICE), 4) = "#N/A", "",  _xll.BDP($C252, LAST_PRICE))</f>
        <v>0.72</v>
      </c>
    </row>
    <row r="253" spans="1:30" x14ac:dyDescent="0.35">
      <c r="A253" s="1">
        <f t="shared" si="3"/>
        <v>250</v>
      </c>
      <c r="B253" s="28">
        <v>45700</v>
      </c>
      <c r="C253" s="29" t="s">
        <v>548</v>
      </c>
      <c r="D253" s="29" t="s">
        <v>548</v>
      </c>
      <c r="E253" s="29" t="s">
        <v>549</v>
      </c>
      <c r="F253" s="29" t="s">
        <v>33</v>
      </c>
      <c r="G253" s="30" t="s">
        <v>34</v>
      </c>
      <c r="H253" s="31">
        <v>8781984343.4403095</v>
      </c>
      <c r="I253" s="31">
        <v>8548103343.4403095</v>
      </c>
      <c r="J253" s="32">
        <v>312.35998535156301</v>
      </c>
      <c r="K253" s="33">
        <v>45700</v>
      </c>
      <c r="L253" s="31">
        <v>6432200</v>
      </c>
      <c r="M253" s="32">
        <v>3.88</v>
      </c>
      <c r="N253" s="31" t="s">
        <v>35</v>
      </c>
      <c r="O253" s="33">
        <v>45699</v>
      </c>
      <c r="P253" s="34">
        <v>153408.203125</v>
      </c>
      <c r="Q253" s="34">
        <v>174888.515625</v>
      </c>
      <c r="R253" s="34">
        <v>235251.234375</v>
      </c>
      <c r="S253" s="29" t="s">
        <v>550</v>
      </c>
      <c r="T253" s="33">
        <v>45215</v>
      </c>
      <c r="U253" s="35" t="b">
        <v>0</v>
      </c>
      <c r="V253" s="35" t="b">
        <v>0</v>
      </c>
      <c r="W253" s="35" t="b">
        <v>0</v>
      </c>
      <c r="Y253" s="31" cm="1">
        <f t="array" ref="Y253">IF(LEFT(_xll.BDP($C253, VOLUME_AVG_10D), 4) = "#N/A", "",  _xll.BDP($C253, VOLUME_AVG_10D))</f>
        <v>169829.703125</v>
      </c>
      <c r="Z253" s="31" cm="1">
        <f t="array" ref="Z253">IF(LEFT(_xll.BDP($C253, VOLUME_AVG_30D), 4) = "#N/A", "",  _xll.BDP($C253, VOLUME_AVG_30D))</f>
        <v>153408.203125</v>
      </c>
      <c r="AA253" s="31" cm="1">
        <f t="array" ref="AA253">IF(LEFT(_xll.BDP($C253, VOLUME_AVG_3M), 4) = "#N/A", "",  _xll.BDP($C253, VOLUME_AVG_3M))</f>
        <v>174888.515625</v>
      </c>
      <c r="AB253" s="31" cm="1">
        <f t="array" ref="AB253">IF(LEFT(_xll.BDP($C253, VOLUME_AVG_6M), 4) = "#N/A", "",  _xll.BDP($C253, VOLUME_AVG_6M))</f>
        <v>235251.234375</v>
      </c>
      <c r="AC253" s="31" cm="1">
        <f t="array" ref="AC253">IF(LEFT(_xll.BDP($C253, VOLUME_AVG_12M), 4) = "#N/A", "",  _xll.BDP($C253, VOLUME_AVG_12M))</f>
        <v>236808.140625</v>
      </c>
      <c r="AD253" s="41" cm="1">
        <f t="array" ref="AD253">IF(LEFT(_xll.BDP($C253, LAST_PRICE), 4) = "#N/A", "",  _xll.BDP($C253, LAST_PRICE))</f>
        <v>312.36</v>
      </c>
    </row>
    <row r="254" spans="1:30" x14ac:dyDescent="0.35">
      <c r="A254" s="1">
        <f t="shared" si="3"/>
        <v>251</v>
      </c>
      <c r="B254" s="28">
        <v>45700</v>
      </c>
      <c r="C254" s="29" t="s">
        <v>551</v>
      </c>
      <c r="D254" s="29" t="s">
        <v>551</v>
      </c>
      <c r="E254" s="29" t="s">
        <v>552</v>
      </c>
      <c r="F254" s="29" t="s">
        <v>33</v>
      </c>
      <c r="G254" s="30" t="s">
        <v>34</v>
      </c>
      <c r="H254" s="31">
        <v>10661433727.476299</v>
      </c>
      <c r="I254" s="31">
        <v>10879011727.476299</v>
      </c>
      <c r="J254" s="32">
        <v>67.440002441406307</v>
      </c>
      <c r="K254" s="33">
        <v>45700</v>
      </c>
      <c r="L254" s="31">
        <v>42352500</v>
      </c>
      <c r="M254" s="32">
        <v>3.88</v>
      </c>
      <c r="N254" s="31" t="s">
        <v>35</v>
      </c>
      <c r="O254" s="33">
        <v>45699</v>
      </c>
      <c r="P254" s="34">
        <v>1172196.375</v>
      </c>
      <c r="Q254" s="34">
        <v>1051525.375</v>
      </c>
      <c r="R254" s="34">
        <v>948843.9375</v>
      </c>
      <c r="S254" s="29"/>
      <c r="T254" s="33"/>
      <c r="U254" s="35" t="b">
        <v>0</v>
      </c>
      <c r="V254" s="35" t="b">
        <v>0</v>
      </c>
      <c r="W254" s="35" t="b">
        <v>0</v>
      </c>
      <c r="Y254" s="31" cm="1">
        <f t="array" ref="Y254">IF(LEFT(_xll.BDP($C254, VOLUME_AVG_10D), 4) = "#N/A", "",  _xll.BDP($C254, VOLUME_AVG_10D))</f>
        <v>1796454.25</v>
      </c>
      <c r="Z254" s="31" cm="1">
        <f t="array" ref="Z254">IF(LEFT(_xll.BDP($C254, VOLUME_AVG_30D), 4) = "#N/A", "",  _xll.BDP($C254, VOLUME_AVG_30D))</f>
        <v>1172196.375</v>
      </c>
      <c r="AA254" s="31" cm="1">
        <f t="array" ref="AA254">IF(LEFT(_xll.BDP($C254, VOLUME_AVG_3M), 4) = "#N/A", "",  _xll.BDP($C254, VOLUME_AVG_3M))</f>
        <v>1051525.375</v>
      </c>
      <c r="AB254" s="31" cm="1">
        <f t="array" ref="AB254">IF(LEFT(_xll.BDP($C254, VOLUME_AVG_6M), 4) = "#N/A", "",  _xll.BDP($C254, VOLUME_AVG_6M))</f>
        <v>948843.9375</v>
      </c>
      <c r="AC254" s="31" cm="1">
        <f t="array" ref="AC254">IF(LEFT(_xll.BDP($C254, VOLUME_AVG_12M), 4) = "#N/A", "",  _xll.BDP($C254, VOLUME_AVG_12M))</f>
        <v>1012243.375</v>
      </c>
      <c r="AD254" s="41" cm="1">
        <f t="array" ref="AD254">IF(LEFT(_xll.BDP($C254, LAST_PRICE), 4) = "#N/A", "",  _xll.BDP($C254, LAST_PRICE))</f>
        <v>67.44</v>
      </c>
    </row>
    <row r="255" spans="1:30" x14ac:dyDescent="0.35">
      <c r="A255" s="1">
        <f t="shared" si="3"/>
        <v>252</v>
      </c>
      <c r="B255" s="28">
        <v>45700</v>
      </c>
      <c r="C255" s="29" t="s">
        <v>553</v>
      </c>
      <c r="D255" s="29" t="s">
        <v>553</v>
      </c>
      <c r="E255" s="29" t="s">
        <v>554</v>
      </c>
      <c r="F255" s="29" t="s">
        <v>33</v>
      </c>
      <c r="G255" s="30" t="s">
        <v>34</v>
      </c>
      <c r="H255" s="31">
        <v>12311861.984409999</v>
      </c>
      <c r="I255" s="31">
        <v>11068930.984409999</v>
      </c>
      <c r="J255" s="32">
        <v>0.79000002145767201</v>
      </c>
      <c r="K255" s="33">
        <v>45700</v>
      </c>
      <c r="L255" s="31">
        <v>320100</v>
      </c>
      <c r="M255" s="32">
        <v>-8.65</v>
      </c>
      <c r="N255" s="31" t="s">
        <v>35</v>
      </c>
      <c r="O255" s="33">
        <v>45699</v>
      </c>
      <c r="P255" s="34">
        <v>226997.765625</v>
      </c>
      <c r="Q255" s="34">
        <v>177997.84375</v>
      </c>
      <c r="R255" s="34">
        <v>146410.9375</v>
      </c>
      <c r="S255" s="29"/>
      <c r="T255" s="33"/>
      <c r="U255" s="35" t="b">
        <v>1</v>
      </c>
      <c r="V255" s="35" t="b">
        <v>0</v>
      </c>
      <c r="W255" s="35" t="b">
        <v>0</v>
      </c>
      <c r="Y255" s="31" cm="1">
        <f t="array" ref="Y255">IF(LEFT(_xll.BDP($C255, VOLUME_AVG_10D), 4) = "#N/A", "",  _xll.BDP($C255, VOLUME_AVG_10D))</f>
        <v>56233.80078125</v>
      </c>
      <c r="Z255" s="31" cm="1">
        <f t="array" ref="Z255">IF(LEFT(_xll.BDP($C255, VOLUME_AVG_30D), 4) = "#N/A", "",  _xll.BDP($C255, VOLUME_AVG_30D))</f>
        <v>226997.765625</v>
      </c>
      <c r="AA255" s="31" cm="1">
        <f t="array" ref="AA255">IF(LEFT(_xll.BDP($C255, VOLUME_AVG_3M), 4) = "#N/A", "",  _xll.BDP($C255, VOLUME_AVG_3M))</f>
        <v>177997.84375</v>
      </c>
      <c r="AB255" s="31" cm="1">
        <f t="array" ref="AB255">IF(LEFT(_xll.BDP($C255, VOLUME_AVG_6M), 4) = "#N/A", "",  _xll.BDP($C255, VOLUME_AVG_6M))</f>
        <v>146410.9375</v>
      </c>
      <c r="AC255" s="31" cm="1">
        <f t="array" ref="AC255">IF(LEFT(_xll.BDP($C255, VOLUME_AVG_12M), 4) = "#N/A", "",  _xll.BDP($C255, VOLUME_AVG_12M))</f>
        <v>164805.296875</v>
      </c>
      <c r="AD255" s="41" cm="1">
        <f t="array" ref="AD255">IF(LEFT(_xll.BDP($C255, LAST_PRICE), 4) = "#N/A", "",  _xll.BDP($C255, LAST_PRICE))</f>
        <v>0.79</v>
      </c>
    </row>
    <row r="256" spans="1:30" x14ac:dyDescent="0.35">
      <c r="A256" s="1">
        <f t="shared" si="3"/>
        <v>253</v>
      </c>
      <c r="B256" s="28">
        <v>45700</v>
      </c>
      <c r="C256" s="29" t="s">
        <v>555</v>
      </c>
      <c r="D256" s="29" t="s">
        <v>555</v>
      </c>
      <c r="E256" s="29" t="s">
        <v>556</v>
      </c>
      <c r="F256" s="29" t="s">
        <v>33</v>
      </c>
      <c r="G256" s="30" t="s">
        <v>34</v>
      </c>
      <c r="H256" s="31">
        <v>158451424.69504201</v>
      </c>
      <c r="I256" s="31">
        <v>316587424.69504201</v>
      </c>
      <c r="J256" s="32">
        <v>4.4200000762939498</v>
      </c>
      <c r="K256" s="33">
        <v>45700</v>
      </c>
      <c r="L256" s="31">
        <v>220900</v>
      </c>
      <c r="M256" s="32">
        <v>-14.45</v>
      </c>
      <c r="N256" s="31" t="s">
        <v>35</v>
      </c>
      <c r="O256" s="33">
        <v>45699</v>
      </c>
      <c r="P256" s="34">
        <v>339768.84375</v>
      </c>
      <c r="Q256" s="34">
        <v>750559.75</v>
      </c>
      <c r="R256" s="34"/>
      <c r="S256" s="29"/>
      <c r="T256" s="33"/>
      <c r="U256" s="35" t="b">
        <v>0</v>
      </c>
      <c r="V256" s="35" t="b">
        <v>0</v>
      </c>
      <c r="W256" s="35" t="b">
        <v>0</v>
      </c>
      <c r="Y256" s="31" cm="1">
        <f t="array" ref="Y256">IF(LEFT(_xll.BDP($C256, VOLUME_AVG_10D), 4) = "#N/A", "",  _xll.BDP($C256, VOLUME_AVG_10D))</f>
        <v>256088.40625</v>
      </c>
      <c r="Z256" s="31" cm="1">
        <f t="array" ref="Z256">IF(LEFT(_xll.BDP($C256, VOLUME_AVG_30D), 4) = "#N/A", "",  _xll.BDP($C256, VOLUME_AVG_30D))</f>
        <v>339768.84375</v>
      </c>
      <c r="AA256" s="31" cm="1">
        <f t="array" ref="AA256">IF(LEFT(_xll.BDP($C256, VOLUME_AVG_3M), 4) = "#N/A", "",  _xll.BDP($C256, VOLUME_AVG_3M))</f>
        <v>750559.75</v>
      </c>
      <c r="AB256" s="31" t="str" cm="1">
        <f t="array" ref="AB256">IF(LEFT(_xll.BDP($C256, VOLUME_AVG_6M), 4) = "#N/A", "",  _xll.BDP($C256, VOLUME_AVG_6M))</f>
        <v/>
      </c>
      <c r="AC256" s="31" t="str" cm="1">
        <f t="array" ref="AC256">IF(LEFT(_xll.BDP($C256, VOLUME_AVG_12M), 4) = "#N/A", "",  _xll.BDP($C256, VOLUME_AVG_12M))</f>
        <v/>
      </c>
      <c r="AD256" s="41" cm="1">
        <f t="array" ref="AD256">IF(LEFT(_xll.BDP($C256, LAST_PRICE), 4) = "#N/A", "",  _xll.BDP($C256, LAST_PRICE))</f>
        <v>4.42</v>
      </c>
    </row>
    <row r="257" spans="1:30" x14ac:dyDescent="0.35">
      <c r="A257" s="1">
        <f t="shared" si="3"/>
        <v>254</v>
      </c>
      <c r="B257" s="28">
        <v>45700</v>
      </c>
      <c r="C257" s="29" t="s">
        <v>557</v>
      </c>
      <c r="D257" s="29" t="s">
        <v>557</v>
      </c>
      <c r="E257" s="29" t="s">
        <v>558</v>
      </c>
      <c r="F257" s="29" t="s">
        <v>33</v>
      </c>
      <c r="G257" s="30" t="s">
        <v>34</v>
      </c>
      <c r="H257" s="31">
        <v>24358766.053746399</v>
      </c>
      <c r="I257" s="31">
        <v>-84652233.946253598</v>
      </c>
      <c r="J257" s="32">
        <v>0.41980001330375699</v>
      </c>
      <c r="K257" s="33">
        <v>45700</v>
      </c>
      <c r="L257" s="31">
        <v>3295200</v>
      </c>
      <c r="M257" s="32">
        <v>3.88</v>
      </c>
      <c r="N257" s="31" t="s">
        <v>35</v>
      </c>
      <c r="O257" s="33">
        <v>45699</v>
      </c>
      <c r="P257" s="34">
        <v>1040281.6875</v>
      </c>
      <c r="Q257" s="34">
        <v>1108822.5</v>
      </c>
      <c r="R257" s="34">
        <v>1153093.875</v>
      </c>
      <c r="S257" s="29" t="s">
        <v>46</v>
      </c>
      <c r="T257" s="33">
        <v>45446</v>
      </c>
      <c r="U257" s="35" t="b">
        <v>0</v>
      </c>
      <c r="V257" s="35" t="b">
        <v>0</v>
      </c>
      <c r="W257" s="35" t="b">
        <v>1</v>
      </c>
      <c r="Y257" s="31" cm="1">
        <f t="array" ref="Y257">IF(LEFT(_xll.BDP($C257, VOLUME_AVG_10D), 4) = "#N/A", "",  _xll.BDP($C257, VOLUME_AVG_10D))</f>
        <v>805879.625</v>
      </c>
      <c r="Z257" s="31" cm="1">
        <f t="array" ref="Z257">IF(LEFT(_xll.BDP($C257, VOLUME_AVG_30D), 4) = "#N/A", "",  _xll.BDP($C257, VOLUME_AVG_30D))</f>
        <v>1040281.6875</v>
      </c>
      <c r="AA257" s="31" cm="1">
        <f t="array" ref="AA257">IF(LEFT(_xll.BDP($C257, VOLUME_AVG_3M), 4) = "#N/A", "",  _xll.BDP($C257, VOLUME_AVG_3M))</f>
        <v>1108822.5</v>
      </c>
      <c r="AB257" s="31" cm="1">
        <f t="array" ref="AB257">IF(LEFT(_xll.BDP($C257, VOLUME_AVG_6M), 4) = "#N/A", "",  _xll.BDP($C257, VOLUME_AVG_6M))</f>
        <v>1153093.875</v>
      </c>
      <c r="AC257" s="31" cm="1">
        <f t="array" ref="AC257">IF(LEFT(_xll.BDP($C257, VOLUME_AVG_12M), 4) = "#N/A", "",  _xll.BDP($C257, VOLUME_AVG_12M))</f>
        <v>944015.1875</v>
      </c>
      <c r="AD257" s="41" cm="1">
        <f t="array" ref="AD257">IF(LEFT(_xll.BDP($C257, LAST_PRICE), 4) = "#N/A", "",  _xll.BDP($C257, LAST_PRICE))</f>
        <v>0.41980000000000001</v>
      </c>
    </row>
    <row r="258" spans="1:30" x14ac:dyDescent="0.35">
      <c r="A258" s="1">
        <f t="shared" si="3"/>
        <v>255</v>
      </c>
      <c r="B258" s="28">
        <v>45700</v>
      </c>
      <c r="C258" s="29" t="s">
        <v>559</v>
      </c>
      <c r="D258" s="29" t="s">
        <v>559</v>
      </c>
      <c r="E258" s="29" t="s">
        <v>560</v>
      </c>
      <c r="F258" s="29" t="s">
        <v>33</v>
      </c>
      <c r="G258" s="30" t="s">
        <v>34</v>
      </c>
      <c r="H258" s="31">
        <v>12056670.0746298</v>
      </c>
      <c r="I258" s="31">
        <v>8171670.0746297799</v>
      </c>
      <c r="J258" s="32">
        <v>2.6300001144409202</v>
      </c>
      <c r="K258" s="33">
        <v>45700</v>
      </c>
      <c r="L258" s="31">
        <v>199800</v>
      </c>
      <c r="M258" s="32">
        <v>-1.6</v>
      </c>
      <c r="N258" s="31" t="s">
        <v>35</v>
      </c>
      <c r="O258" s="33">
        <v>45699</v>
      </c>
      <c r="P258" s="34">
        <v>51799.33203125</v>
      </c>
      <c r="Q258" s="34">
        <v>49951.03125</v>
      </c>
      <c r="R258" s="34">
        <v>452576.375</v>
      </c>
      <c r="S258" s="29"/>
      <c r="T258" s="33"/>
      <c r="U258" s="35" t="b">
        <v>1</v>
      </c>
      <c r="V258" s="35" t="b">
        <v>0</v>
      </c>
      <c r="W258" s="35" t="b">
        <v>0</v>
      </c>
      <c r="Y258" s="31" cm="1">
        <f t="array" ref="Y258">IF(LEFT(_xll.BDP($C258, VOLUME_AVG_10D), 4) = "#N/A", "",  _xll.BDP($C258, VOLUME_AVG_10D))</f>
        <v>52445</v>
      </c>
      <c r="Z258" s="31" cm="1">
        <f t="array" ref="Z258">IF(LEFT(_xll.BDP($C258, VOLUME_AVG_30D), 4) = "#N/A", "",  _xll.BDP($C258, VOLUME_AVG_30D))</f>
        <v>51799.33203125</v>
      </c>
      <c r="AA258" s="31" cm="1">
        <f t="array" ref="AA258">IF(LEFT(_xll.BDP($C258, VOLUME_AVG_3M), 4) = "#N/A", "",  _xll.BDP($C258, VOLUME_AVG_3M))</f>
        <v>49951.03125</v>
      </c>
      <c r="AB258" s="31" cm="1">
        <f t="array" ref="AB258">IF(LEFT(_xll.BDP($C258, VOLUME_AVG_6M), 4) = "#N/A", "",  _xll.BDP($C258, VOLUME_AVG_6M))</f>
        <v>452576.375</v>
      </c>
      <c r="AC258" s="31" cm="1">
        <f t="array" ref="AC258">IF(LEFT(_xll.BDP($C258, VOLUME_AVG_12M), 4) = "#N/A", "",  _xll.BDP($C258, VOLUME_AVG_12M))</f>
        <v>271813.5</v>
      </c>
      <c r="AD258" s="41" cm="1">
        <f t="array" ref="AD258">IF(LEFT(_xll.BDP($C258, LAST_PRICE), 4) = "#N/A", "",  _xll.BDP($C258, LAST_PRICE))</f>
        <v>2.63</v>
      </c>
    </row>
    <row r="259" spans="1:30" x14ac:dyDescent="0.35">
      <c r="A259" s="1">
        <f t="shared" si="3"/>
        <v>256</v>
      </c>
      <c r="B259" s="28">
        <v>45700</v>
      </c>
      <c r="C259" s="29" t="s">
        <v>561</v>
      </c>
      <c r="D259" s="29" t="s">
        <v>561</v>
      </c>
      <c r="E259" s="29" t="s">
        <v>562</v>
      </c>
      <c r="F259" s="29" t="s">
        <v>33</v>
      </c>
      <c r="G259" s="30" t="s">
        <v>34</v>
      </c>
      <c r="H259" s="31">
        <v>5271668.4960000003</v>
      </c>
      <c r="I259" s="31">
        <v>7904774.4960000003</v>
      </c>
      <c r="J259" s="32">
        <v>0.41349999999999998</v>
      </c>
      <c r="K259" s="33">
        <v>45700</v>
      </c>
      <c r="L259" s="31">
        <v>23800</v>
      </c>
      <c r="M259" s="32">
        <v>3.88</v>
      </c>
      <c r="N259" s="31" t="s">
        <v>35</v>
      </c>
      <c r="O259" s="33">
        <v>45699</v>
      </c>
      <c r="P259" s="34">
        <v>9686.2666015625</v>
      </c>
      <c r="Q259" s="34">
        <v>5753.67724609375</v>
      </c>
      <c r="R259" s="34">
        <v>3367.5556640625</v>
      </c>
      <c r="S259" s="29"/>
      <c r="T259" s="33"/>
      <c r="U259" s="35" t="b">
        <v>1</v>
      </c>
      <c r="V259" s="35" t="b">
        <v>0</v>
      </c>
      <c r="W259" s="35" t="b">
        <v>0</v>
      </c>
      <c r="Y259" s="31" cm="1">
        <f t="array" ref="Y259">IF(LEFT(_xll.BDP($C259, VOLUME_AVG_10D), 4) = "#N/A", "",  _xll.BDP($C259, VOLUME_AVG_10D))</f>
        <v>9402.7001953125</v>
      </c>
      <c r="Z259" s="31" cm="1">
        <f t="array" ref="Z259">IF(LEFT(_xll.BDP($C259, VOLUME_AVG_30D), 4) = "#N/A", "",  _xll.BDP($C259, VOLUME_AVG_30D))</f>
        <v>9686.2666015625</v>
      </c>
      <c r="AA259" s="31" cm="1">
        <f t="array" ref="AA259">IF(LEFT(_xll.BDP($C259, VOLUME_AVG_3M), 4) = "#N/A", "",  _xll.BDP($C259, VOLUME_AVG_3M))</f>
        <v>5753.67724609375</v>
      </c>
      <c r="AB259" s="31" cm="1">
        <f t="array" ref="AB259">IF(LEFT(_xll.BDP($C259, VOLUME_AVG_6M), 4) = "#N/A", "",  _xll.BDP($C259, VOLUME_AVG_6M))</f>
        <v>3367.5556640625</v>
      </c>
      <c r="AC259" s="31" cm="1">
        <f t="array" ref="AC259">IF(LEFT(_xll.BDP($C259, VOLUME_AVG_12M), 4) = "#N/A", "",  _xll.BDP($C259, VOLUME_AVG_12M))</f>
        <v>2153.900390625</v>
      </c>
      <c r="AD259" s="41" cm="1">
        <f t="array" ref="AD259">IF(LEFT(_xll.BDP($C259, LAST_PRICE), 4) = "#N/A", "",  _xll.BDP($C259, LAST_PRICE))</f>
        <v>0.41349999999999998</v>
      </c>
    </row>
    <row r="260" spans="1:30" x14ac:dyDescent="0.35">
      <c r="A260" s="1">
        <f t="shared" si="3"/>
        <v>257</v>
      </c>
      <c r="B260" s="28">
        <v>45700</v>
      </c>
      <c r="C260" s="29" t="s">
        <v>563</v>
      </c>
      <c r="D260" s="29" t="s">
        <v>563</v>
      </c>
      <c r="E260" s="29" t="s">
        <v>564</v>
      </c>
      <c r="F260" s="29" t="s">
        <v>33</v>
      </c>
      <c r="G260" s="30" t="s">
        <v>34</v>
      </c>
      <c r="H260" s="31">
        <v>1818623918.0696399</v>
      </c>
      <c r="I260" s="31">
        <v>1534640918.0696399</v>
      </c>
      <c r="J260" s="32">
        <v>8.7799997329711896</v>
      </c>
      <c r="K260" s="33">
        <v>45700</v>
      </c>
      <c r="L260" s="31">
        <v>62470000</v>
      </c>
      <c r="M260" s="32">
        <v>3.88</v>
      </c>
      <c r="N260" s="31" t="s">
        <v>35</v>
      </c>
      <c r="O260" s="33">
        <v>45699</v>
      </c>
      <c r="P260" s="34">
        <v>2406703.25</v>
      </c>
      <c r="Q260" s="34">
        <v>2131337.25</v>
      </c>
      <c r="R260" s="34">
        <v>2038921.75</v>
      </c>
      <c r="S260" s="29" t="s">
        <v>177</v>
      </c>
      <c r="T260" s="33">
        <v>45446</v>
      </c>
      <c r="U260" s="35" t="b">
        <v>0</v>
      </c>
      <c r="V260" s="35" t="b">
        <v>0</v>
      </c>
      <c r="W260" s="35" t="b">
        <v>0</v>
      </c>
      <c r="Y260" s="31" cm="1">
        <f t="array" ref="Y260">IF(LEFT(_xll.BDP($C260, VOLUME_AVG_10D), 4) = "#N/A", "",  _xll.BDP($C260, VOLUME_AVG_10D))</f>
        <v>2466113.5</v>
      </c>
      <c r="Z260" s="31" cm="1">
        <f t="array" ref="Z260">IF(LEFT(_xll.BDP($C260, VOLUME_AVG_30D), 4) = "#N/A", "",  _xll.BDP($C260, VOLUME_AVG_30D))</f>
        <v>2406703.25</v>
      </c>
      <c r="AA260" s="31" cm="1">
        <f t="array" ref="AA260">IF(LEFT(_xll.BDP($C260, VOLUME_AVG_3M), 4) = "#N/A", "",  _xll.BDP($C260, VOLUME_AVG_3M))</f>
        <v>2131337.25</v>
      </c>
      <c r="AB260" s="31" cm="1">
        <f t="array" ref="AB260">IF(LEFT(_xll.BDP($C260, VOLUME_AVG_6M), 4) = "#N/A", "",  _xll.BDP($C260, VOLUME_AVG_6M))</f>
        <v>2038921.75</v>
      </c>
      <c r="AC260" s="31" cm="1">
        <f t="array" ref="AC260">IF(LEFT(_xll.BDP($C260, VOLUME_AVG_12M), 4) = "#N/A", "",  _xll.BDP($C260, VOLUME_AVG_12M))</f>
        <v>2727086.25</v>
      </c>
      <c r="AD260" s="41" cm="1">
        <f t="array" ref="AD260">IF(LEFT(_xll.BDP($C260, LAST_PRICE), 4) = "#N/A", "",  _xll.BDP($C260, LAST_PRICE))</f>
        <v>8.7799999999999994</v>
      </c>
    </row>
    <row r="261" spans="1:30" x14ac:dyDescent="0.35">
      <c r="A261" s="1">
        <f t="shared" si="3"/>
        <v>258</v>
      </c>
      <c r="B261" s="28">
        <v>45700</v>
      </c>
      <c r="C261" s="29" t="s">
        <v>565</v>
      </c>
      <c r="D261" s="29" t="s">
        <v>565</v>
      </c>
      <c r="E261" s="29" t="s">
        <v>566</v>
      </c>
      <c r="F261" s="29" t="s">
        <v>33</v>
      </c>
      <c r="G261" s="30" t="s">
        <v>34</v>
      </c>
      <c r="H261" s="31">
        <v>136739256.953179</v>
      </c>
      <c r="I261" s="31">
        <v>167289256.953179</v>
      </c>
      <c r="J261" s="32">
        <v>0.93999999761581399</v>
      </c>
      <c r="K261" s="33">
        <v>45700</v>
      </c>
      <c r="L261" s="31">
        <v>5235400</v>
      </c>
      <c r="M261" s="32">
        <v>3.65</v>
      </c>
      <c r="N261" s="31" t="s">
        <v>35</v>
      </c>
      <c r="O261" s="33">
        <v>45699</v>
      </c>
      <c r="P261" s="34">
        <v>446044.1875</v>
      </c>
      <c r="Q261" s="34">
        <v>497867.84375</v>
      </c>
      <c r="R261" s="34">
        <v>354125.1875</v>
      </c>
      <c r="S261" s="29"/>
      <c r="T261" s="33"/>
      <c r="U261" s="35" t="b">
        <v>0</v>
      </c>
      <c r="V261" s="35" t="b">
        <v>0</v>
      </c>
      <c r="W261" s="35" t="b">
        <v>0</v>
      </c>
      <c r="Y261" s="31" cm="1">
        <f t="array" ref="Y261">IF(LEFT(_xll.BDP($C261, VOLUME_AVG_10D), 4) = "#N/A", "",  _xll.BDP($C261, VOLUME_AVG_10D))</f>
        <v>446567.09375</v>
      </c>
      <c r="Z261" s="31" cm="1">
        <f t="array" ref="Z261">IF(LEFT(_xll.BDP($C261, VOLUME_AVG_30D), 4) = "#N/A", "",  _xll.BDP($C261, VOLUME_AVG_30D))</f>
        <v>446044.1875</v>
      </c>
      <c r="AA261" s="31" cm="1">
        <f t="array" ref="AA261">IF(LEFT(_xll.BDP($C261, VOLUME_AVG_3M), 4) = "#N/A", "",  _xll.BDP($C261, VOLUME_AVG_3M))</f>
        <v>497867.84375</v>
      </c>
      <c r="AB261" s="31" cm="1">
        <f t="array" ref="AB261">IF(LEFT(_xll.BDP($C261, VOLUME_AVG_6M), 4) = "#N/A", "",  _xll.BDP($C261, VOLUME_AVG_6M))</f>
        <v>354125.1875</v>
      </c>
      <c r="AC261" s="31" cm="1">
        <f t="array" ref="AC261">IF(LEFT(_xll.BDP($C261, VOLUME_AVG_12M), 4) = "#N/A", "",  _xll.BDP($C261, VOLUME_AVG_12M))</f>
        <v>248989.296875</v>
      </c>
      <c r="AD261" s="41" cm="1">
        <f t="array" ref="AD261">IF(LEFT(_xll.BDP($C261, LAST_PRICE), 4) = "#N/A", "",  _xll.BDP($C261, LAST_PRICE))</f>
        <v>0.94</v>
      </c>
    </row>
    <row r="262" spans="1:30" x14ac:dyDescent="0.35">
      <c r="A262" s="1">
        <f t="shared" ref="A262:A325" si="4">IF(B262="","", A261+1)</f>
        <v>259</v>
      </c>
      <c r="B262" s="28">
        <v>45700</v>
      </c>
      <c r="C262" s="29" t="s">
        <v>567</v>
      </c>
      <c r="D262" s="29" t="s">
        <v>567</v>
      </c>
      <c r="E262" s="29" t="s">
        <v>568</v>
      </c>
      <c r="F262" s="29" t="s">
        <v>33</v>
      </c>
      <c r="G262" s="30" t="s">
        <v>34</v>
      </c>
      <c r="H262" s="31">
        <v>9761325.4115710296</v>
      </c>
      <c r="I262" s="31">
        <v>13739325.411571</v>
      </c>
      <c r="J262" s="32">
        <v>1.1000000238418599</v>
      </c>
      <c r="K262" s="33">
        <v>45700</v>
      </c>
      <c r="L262" s="31">
        <v>142300</v>
      </c>
      <c r="M262" s="32">
        <v>-41.15</v>
      </c>
      <c r="N262" s="31" t="s">
        <v>35</v>
      </c>
      <c r="O262" s="33">
        <v>45699</v>
      </c>
      <c r="P262" s="34">
        <v>694154.4375</v>
      </c>
      <c r="Q262" s="34">
        <v>871138.125</v>
      </c>
      <c r="R262" s="34">
        <v>1742682.375</v>
      </c>
      <c r="S262" s="29"/>
      <c r="T262" s="33"/>
      <c r="U262" s="35" t="b">
        <v>1</v>
      </c>
      <c r="V262" s="35" t="b">
        <v>0</v>
      </c>
      <c r="W262" s="35" t="b">
        <v>0</v>
      </c>
      <c r="Y262" s="31" cm="1">
        <f t="array" ref="Y262">IF(LEFT(_xll.BDP($C262, VOLUME_AVG_10D), 4) = "#N/A", "",  _xll.BDP($C262, VOLUME_AVG_10D))</f>
        <v>216654.203125</v>
      </c>
      <c r="Z262" s="31" cm="1">
        <f t="array" ref="Z262">IF(LEFT(_xll.BDP($C262, VOLUME_AVG_30D), 4) = "#N/A", "",  _xll.BDP($C262, VOLUME_AVG_30D))</f>
        <v>694154.4375</v>
      </c>
      <c r="AA262" s="31" cm="1">
        <f t="array" ref="AA262">IF(LEFT(_xll.BDP($C262, VOLUME_AVG_3M), 4) = "#N/A", "",  _xll.BDP($C262, VOLUME_AVG_3M))</f>
        <v>871138.125</v>
      </c>
      <c r="AB262" s="31" cm="1">
        <f t="array" ref="AB262">IF(LEFT(_xll.BDP($C262, VOLUME_AVG_6M), 4) = "#N/A", "",  _xll.BDP($C262, VOLUME_AVG_6M))</f>
        <v>1742682.375</v>
      </c>
      <c r="AC262" s="31" cm="1">
        <f t="array" ref="AC262">IF(LEFT(_xll.BDP($C262, VOLUME_AVG_12M), 4) = "#N/A", "",  _xll.BDP($C262, VOLUME_AVG_12M))</f>
        <v>1043309.125</v>
      </c>
      <c r="AD262" s="41" cm="1">
        <f t="array" ref="AD262">IF(LEFT(_xll.BDP($C262, LAST_PRICE), 4) = "#N/A", "",  _xll.BDP($C262, LAST_PRICE))</f>
        <v>1.1000000000000001</v>
      </c>
    </row>
    <row r="263" spans="1:30" x14ac:dyDescent="0.35">
      <c r="A263" s="1">
        <f t="shared" si="4"/>
        <v>260</v>
      </c>
      <c r="B263" s="28">
        <v>45700</v>
      </c>
      <c r="C263" s="29" t="s">
        <v>569</v>
      </c>
      <c r="D263" s="29" t="s">
        <v>569</v>
      </c>
      <c r="E263" s="29" t="s">
        <v>570</v>
      </c>
      <c r="F263" s="29" t="s">
        <v>33</v>
      </c>
      <c r="G263" s="30" t="s">
        <v>34</v>
      </c>
      <c r="H263" s="31">
        <v>19443330468.919701</v>
      </c>
      <c r="I263" s="31">
        <v>23698630468.919701</v>
      </c>
      <c r="J263" s="32">
        <v>133.42999267578099</v>
      </c>
      <c r="K263" s="33">
        <v>45700</v>
      </c>
      <c r="L263" s="31">
        <v>65076200</v>
      </c>
      <c r="M263" s="32">
        <v>3.88</v>
      </c>
      <c r="N263" s="31" t="s">
        <v>35</v>
      </c>
      <c r="O263" s="33">
        <v>45699</v>
      </c>
      <c r="P263" s="34">
        <v>1282256.625</v>
      </c>
      <c r="Q263" s="34">
        <v>1459221.5</v>
      </c>
      <c r="R263" s="34">
        <v>1310376.125</v>
      </c>
      <c r="S263" s="29" t="s">
        <v>97</v>
      </c>
      <c r="T263" s="33">
        <v>45215</v>
      </c>
      <c r="U263" s="35" t="b">
        <v>0</v>
      </c>
      <c r="V263" s="35" t="b">
        <v>0</v>
      </c>
      <c r="W263" s="35" t="b">
        <v>0</v>
      </c>
      <c r="Y263" s="31" cm="1">
        <f t="array" ref="Y263">IF(LEFT(_xll.BDP($C263, VOLUME_AVG_10D), 4) = "#N/A", "",  _xll.BDP($C263, VOLUME_AVG_10D))</f>
        <v>1325520.875</v>
      </c>
      <c r="Z263" s="31" cm="1">
        <f t="array" ref="Z263">IF(LEFT(_xll.BDP($C263, VOLUME_AVG_30D), 4) = "#N/A", "",  _xll.BDP($C263, VOLUME_AVG_30D))</f>
        <v>1282256.625</v>
      </c>
      <c r="AA263" s="31" cm="1">
        <f t="array" ref="AA263">IF(LEFT(_xll.BDP($C263, VOLUME_AVG_3M), 4) = "#N/A", "",  _xll.BDP($C263, VOLUME_AVG_3M))</f>
        <v>1459221.5</v>
      </c>
      <c r="AB263" s="31" cm="1">
        <f t="array" ref="AB263">IF(LEFT(_xll.BDP($C263, VOLUME_AVG_6M), 4) = "#N/A", "",  _xll.BDP($C263, VOLUME_AVG_6M))</f>
        <v>1310376.125</v>
      </c>
      <c r="AC263" s="31" cm="1">
        <f t="array" ref="AC263">IF(LEFT(_xll.BDP($C263, VOLUME_AVG_12M), 4) = "#N/A", "",  _xll.BDP($C263, VOLUME_AVG_12M))</f>
        <v>1252275.375</v>
      </c>
      <c r="AD263" s="41" cm="1">
        <f t="array" ref="AD263">IF(LEFT(_xll.BDP($C263, LAST_PRICE), 4) = "#N/A", "",  _xll.BDP($C263, LAST_PRICE))</f>
        <v>133.43</v>
      </c>
    </row>
    <row r="264" spans="1:30" x14ac:dyDescent="0.35">
      <c r="A264" s="1">
        <f t="shared" si="4"/>
        <v>261</v>
      </c>
      <c r="B264" s="28">
        <v>45700</v>
      </c>
      <c r="C264" s="29" t="s">
        <v>571</v>
      </c>
      <c r="D264" s="29" t="s">
        <v>571</v>
      </c>
      <c r="E264" s="29" t="s">
        <v>572</v>
      </c>
      <c r="F264" s="29" t="s">
        <v>33</v>
      </c>
      <c r="G264" s="30" t="s">
        <v>34</v>
      </c>
      <c r="H264" s="31">
        <v>4259268893.5097899</v>
      </c>
      <c r="I264" s="31">
        <v>3909440893.5097899</v>
      </c>
      <c r="J264" s="32">
        <v>42.119998931884801</v>
      </c>
      <c r="K264" s="33">
        <v>45700</v>
      </c>
      <c r="L264" s="31"/>
      <c r="M264" s="32"/>
      <c r="N264" s="31"/>
      <c r="O264" s="33">
        <v>45699</v>
      </c>
      <c r="P264" s="34">
        <v>959248.125</v>
      </c>
      <c r="Q264" s="34">
        <v>983879.0625</v>
      </c>
      <c r="R264" s="34">
        <v>975092.5</v>
      </c>
      <c r="S264" s="29" t="s">
        <v>82</v>
      </c>
      <c r="T264" s="33">
        <v>45446</v>
      </c>
      <c r="U264" s="35" t="b">
        <v>0</v>
      </c>
      <c r="V264" s="35" t="b">
        <v>0</v>
      </c>
      <c r="W264" s="35" t="b">
        <v>0</v>
      </c>
      <c r="Y264" s="31" cm="1">
        <f t="array" ref="Y264">IF(LEFT(_xll.BDP($C264, VOLUME_AVG_10D), 4) = "#N/A", "",  _xll.BDP($C264, VOLUME_AVG_10D))</f>
        <v>811770.625</v>
      </c>
      <c r="Z264" s="31" cm="1">
        <f t="array" ref="Z264">IF(LEFT(_xll.BDP($C264, VOLUME_AVG_30D), 4) = "#N/A", "",  _xll.BDP($C264, VOLUME_AVG_30D))</f>
        <v>959248.125</v>
      </c>
      <c r="AA264" s="31" cm="1">
        <f t="array" ref="AA264">IF(LEFT(_xll.BDP($C264, VOLUME_AVG_3M), 4) = "#N/A", "",  _xll.BDP($C264, VOLUME_AVG_3M))</f>
        <v>983879.0625</v>
      </c>
      <c r="AB264" s="31" cm="1">
        <f t="array" ref="AB264">IF(LEFT(_xll.BDP($C264, VOLUME_AVG_6M), 4) = "#N/A", "",  _xll.BDP($C264, VOLUME_AVG_6M))</f>
        <v>975092.5</v>
      </c>
      <c r="AC264" s="31" cm="1">
        <f t="array" ref="AC264">IF(LEFT(_xll.BDP($C264, VOLUME_AVG_12M), 4) = "#N/A", "",  _xll.BDP($C264, VOLUME_AVG_12M))</f>
        <v>1124234.875</v>
      </c>
      <c r="AD264" s="41" cm="1">
        <f t="array" ref="AD264">IF(LEFT(_xll.BDP($C264, LAST_PRICE), 4) = "#N/A", "",  _xll.BDP($C264, LAST_PRICE))</f>
        <v>42.12</v>
      </c>
    </row>
    <row r="265" spans="1:30" x14ac:dyDescent="0.35">
      <c r="A265" s="1">
        <f t="shared" si="4"/>
        <v>262</v>
      </c>
      <c r="B265" s="28">
        <v>45700</v>
      </c>
      <c r="C265" s="29" t="s">
        <v>573</v>
      </c>
      <c r="D265" s="29" t="s">
        <v>573</v>
      </c>
      <c r="E265" s="29" t="s">
        <v>574</v>
      </c>
      <c r="F265" s="29" t="s">
        <v>33</v>
      </c>
      <c r="G265" s="30" t="s">
        <v>34</v>
      </c>
      <c r="H265" s="31"/>
      <c r="I265" s="31"/>
      <c r="J265" s="32">
        <v>9.9999999747524292E-7</v>
      </c>
      <c r="K265" s="33">
        <v>45700</v>
      </c>
      <c r="L265" s="31"/>
      <c r="M265" s="32"/>
      <c r="N265" s="31"/>
      <c r="O265" s="33">
        <v>45699</v>
      </c>
      <c r="P265" s="34">
        <v>120989.8984375</v>
      </c>
      <c r="Q265" s="34">
        <v>459520.09375</v>
      </c>
      <c r="R265" s="34">
        <v>268866.03125</v>
      </c>
      <c r="S265" s="29"/>
      <c r="T265" s="33"/>
      <c r="U265" s="35" t="b">
        <v>1</v>
      </c>
      <c r="V265" s="35" t="b">
        <v>1</v>
      </c>
      <c r="W265" s="35" t="b">
        <v>1</v>
      </c>
      <c r="Y265" s="31" cm="1">
        <f t="array" ref="Y265">IF(LEFT(_xll.BDP($C265, VOLUME_AVG_10D), 4) = "#N/A", "",  _xll.BDP($C265, VOLUME_AVG_10D))</f>
        <v>4022.199951171875</v>
      </c>
      <c r="Z265" s="31" cm="1">
        <f t="array" ref="Z265">IF(LEFT(_xll.BDP($C265, VOLUME_AVG_30D), 4) = "#N/A", "",  _xll.BDP($C265, VOLUME_AVG_30D))</f>
        <v>120989.8984375</v>
      </c>
      <c r="AA265" s="31" cm="1">
        <f t="array" ref="AA265">IF(LEFT(_xll.BDP($C265, VOLUME_AVG_3M), 4) = "#N/A", "",  _xll.BDP($C265, VOLUME_AVG_3M))</f>
        <v>459520.09375</v>
      </c>
      <c r="AB265" s="31" cm="1">
        <f t="array" ref="AB265">IF(LEFT(_xll.BDP($C265, VOLUME_AVG_6M), 4) = "#N/A", "",  _xll.BDP($C265, VOLUME_AVG_6M))</f>
        <v>268866.03125</v>
      </c>
      <c r="AC265" s="31" cm="1">
        <f t="array" ref="AC265">IF(LEFT(_xll.BDP($C265, VOLUME_AVG_12M), 4) = "#N/A", "",  _xll.BDP($C265, VOLUME_AVG_12M))</f>
        <v>1220018.875</v>
      </c>
      <c r="AD265" s="41" cm="1">
        <f t="array" ref="AD265">IF(LEFT(_xll.BDP($C265, LAST_PRICE), 4) = "#N/A", "",  _xll.BDP($C265, LAST_PRICE))</f>
        <v>9.9999999999999995E-7</v>
      </c>
    </row>
    <row r="266" spans="1:30" x14ac:dyDescent="0.35">
      <c r="A266" s="1">
        <f t="shared" si="4"/>
        <v>263</v>
      </c>
      <c r="B266" s="28">
        <v>45700</v>
      </c>
      <c r="C266" s="29" t="s">
        <v>575</v>
      </c>
      <c r="D266" s="29" t="s">
        <v>575</v>
      </c>
      <c r="E266" s="29" t="s">
        <v>576</v>
      </c>
      <c r="F266" s="29" t="s">
        <v>33</v>
      </c>
      <c r="G266" s="30" t="s">
        <v>34</v>
      </c>
      <c r="H266" s="31">
        <v>1221839223.83813</v>
      </c>
      <c r="I266" s="31">
        <v>1226918223.83813</v>
      </c>
      <c r="J266" s="32">
        <v>26.340000152587901</v>
      </c>
      <c r="K266" s="33">
        <v>45700</v>
      </c>
      <c r="L266" s="31">
        <v>13788100</v>
      </c>
      <c r="M266" s="32">
        <v>3.88</v>
      </c>
      <c r="N266" s="31" t="s">
        <v>35</v>
      </c>
      <c r="O266" s="33">
        <v>45699</v>
      </c>
      <c r="P266" s="34">
        <v>224945.46875</v>
      </c>
      <c r="Q266" s="34">
        <v>372495.4375</v>
      </c>
      <c r="R266" s="34">
        <v>335205</v>
      </c>
      <c r="S266" s="29"/>
      <c r="T266" s="33"/>
      <c r="U266" s="35" t="b">
        <v>0</v>
      </c>
      <c r="V266" s="35" t="b">
        <v>0</v>
      </c>
      <c r="W266" s="35" t="b">
        <v>0</v>
      </c>
      <c r="Y266" s="31" cm="1">
        <f t="array" ref="Y266">IF(LEFT(_xll.BDP($C266, VOLUME_AVG_10D), 4) = "#N/A", "",  _xll.BDP($C266, VOLUME_AVG_10D))</f>
        <v>240133.40625</v>
      </c>
      <c r="Z266" s="31" cm="1">
        <f t="array" ref="Z266">IF(LEFT(_xll.BDP($C266, VOLUME_AVG_30D), 4) = "#N/A", "",  _xll.BDP($C266, VOLUME_AVG_30D))</f>
        <v>224945.46875</v>
      </c>
      <c r="AA266" s="31" cm="1">
        <f t="array" ref="AA266">IF(LEFT(_xll.BDP($C266, VOLUME_AVG_3M), 4) = "#N/A", "",  _xll.BDP($C266, VOLUME_AVG_3M))</f>
        <v>372495.4375</v>
      </c>
      <c r="AB266" s="31" cm="1">
        <f t="array" ref="AB266">IF(LEFT(_xll.BDP($C266, VOLUME_AVG_6M), 4) = "#N/A", "",  _xll.BDP($C266, VOLUME_AVG_6M))</f>
        <v>335205</v>
      </c>
      <c r="AC266" s="31" cm="1">
        <f t="array" ref="AC266">IF(LEFT(_xll.BDP($C266, VOLUME_AVG_12M), 4) = "#N/A", "",  _xll.BDP($C266, VOLUME_AVG_12M))</f>
        <v>360497.25</v>
      </c>
      <c r="AD266" s="41" cm="1">
        <f t="array" ref="AD266">IF(LEFT(_xll.BDP($C266, LAST_PRICE), 4) = "#N/A", "",  _xll.BDP($C266, LAST_PRICE))</f>
        <v>26.34</v>
      </c>
    </row>
    <row r="267" spans="1:30" x14ac:dyDescent="0.35">
      <c r="A267" s="1">
        <f t="shared" si="4"/>
        <v>264</v>
      </c>
      <c r="B267" s="28">
        <v>45700</v>
      </c>
      <c r="C267" s="29" t="s">
        <v>577</v>
      </c>
      <c r="D267" s="29" t="s">
        <v>577</v>
      </c>
      <c r="E267" s="29" t="s">
        <v>578</v>
      </c>
      <c r="F267" s="29" t="s">
        <v>33</v>
      </c>
      <c r="G267" s="30" t="s">
        <v>34</v>
      </c>
      <c r="H267" s="31"/>
      <c r="I267" s="31"/>
      <c r="J267" s="32">
        <v>9.9999999747524292E-7</v>
      </c>
      <c r="K267" s="33">
        <v>45700</v>
      </c>
      <c r="L267" s="31"/>
      <c r="M267" s="32"/>
      <c r="N267" s="31"/>
      <c r="O267" s="33">
        <v>45699</v>
      </c>
      <c r="P267" s="34">
        <v>48979.19921875</v>
      </c>
      <c r="Q267" s="34">
        <v>30534.2578125</v>
      </c>
      <c r="R267" s="34">
        <v>18215.28515625</v>
      </c>
      <c r="S267" s="29"/>
      <c r="T267" s="33"/>
      <c r="U267" s="35" t="b">
        <v>1</v>
      </c>
      <c r="V267" s="35" t="b">
        <v>1</v>
      </c>
      <c r="W267" s="35" t="b">
        <v>1</v>
      </c>
      <c r="Y267" s="31" cm="1">
        <f t="array" ref="Y267">IF(LEFT(_xll.BDP($C267, VOLUME_AVG_10D), 4) = "#N/A", "",  _xll.BDP($C267, VOLUME_AVG_10D))</f>
        <v>102543.8984375</v>
      </c>
      <c r="Z267" s="31" cm="1">
        <f t="array" ref="Z267">IF(LEFT(_xll.BDP($C267, VOLUME_AVG_30D), 4) = "#N/A", "",  _xll.BDP($C267, VOLUME_AVG_30D))</f>
        <v>48979.19921875</v>
      </c>
      <c r="AA267" s="31" cm="1">
        <f t="array" ref="AA267">IF(LEFT(_xll.BDP($C267, VOLUME_AVG_3M), 4) = "#N/A", "",  _xll.BDP($C267, VOLUME_AVG_3M))</f>
        <v>30534.2578125</v>
      </c>
      <c r="AB267" s="31" cm="1">
        <f t="array" ref="AB267">IF(LEFT(_xll.BDP($C267, VOLUME_AVG_6M), 4) = "#N/A", "",  _xll.BDP($C267, VOLUME_AVG_6M))</f>
        <v>18215.28515625</v>
      </c>
      <c r="AC267" s="31" cm="1">
        <f t="array" ref="AC267">IF(LEFT(_xll.BDP($C267, VOLUME_AVG_12M), 4) = "#N/A", "",  _xll.BDP($C267, VOLUME_AVG_12M))</f>
        <v>9187.7529296875</v>
      </c>
      <c r="AD267" s="41" cm="1">
        <f t="array" ref="AD267">IF(LEFT(_xll.BDP($C267, LAST_PRICE), 4) = "#N/A", "",  _xll.BDP($C267, LAST_PRICE))</f>
        <v>9.9999999999999995E-7</v>
      </c>
    </row>
    <row r="268" spans="1:30" x14ac:dyDescent="0.35">
      <c r="A268" s="1">
        <f t="shared" si="4"/>
        <v>265</v>
      </c>
      <c r="B268" s="28">
        <v>45700</v>
      </c>
      <c r="C268" s="29" t="s">
        <v>579</v>
      </c>
      <c r="D268" s="29" t="s">
        <v>579</v>
      </c>
      <c r="E268" s="29" t="s">
        <v>580</v>
      </c>
      <c r="F268" s="29" t="s">
        <v>33</v>
      </c>
      <c r="G268" s="30" t="s">
        <v>34</v>
      </c>
      <c r="H268" s="31">
        <v>12551797550.0826</v>
      </c>
      <c r="I268" s="31">
        <v>12224040550.0826</v>
      </c>
      <c r="J268" s="32">
        <v>65.860000610351605</v>
      </c>
      <c r="K268" s="33">
        <v>45700</v>
      </c>
      <c r="L268" s="31">
        <v>77531696</v>
      </c>
      <c r="M268" s="32">
        <v>3.88</v>
      </c>
      <c r="N268" s="31" t="s">
        <v>35</v>
      </c>
      <c r="O268" s="33">
        <v>45699</v>
      </c>
      <c r="P268" s="34">
        <v>1477380.375</v>
      </c>
      <c r="Q268" s="34">
        <v>1483879</v>
      </c>
      <c r="R268" s="34">
        <v>1625839.75</v>
      </c>
      <c r="S268" s="29" t="s">
        <v>177</v>
      </c>
      <c r="T268" s="33">
        <v>45446</v>
      </c>
      <c r="U268" s="35" t="b">
        <v>0</v>
      </c>
      <c r="V268" s="35" t="b">
        <v>0</v>
      </c>
      <c r="W268" s="35" t="b">
        <v>0</v>
      </c>
      <c r="Y268" s="31" cm="1">
        <f t="array" ref="Y268">IF(LEFT(_xll.BDP($C268, VOLUME_AVG_10D), 4) = "#N/A", "",  _xll.BDP($C268, VOLUME_AVG_10D))</f>
        <v>1009667.125</v>
      </c>
      <c r="Z268" s="31" cm="1">
        <f t="array" ref="Z268">IF(LEFT(_xll.BDP($C268, VOLUME_AVG_30D), 4) = "#N/A", "",  _xll.BDP($C268, VOLUME_AVG_30D))</f>
        <v>1477380.375</v>
      </c>
      <c r="AA268" s="31" cm="1">
        <f t="array" ref="AA268">IF(LEFT(_xll.BDP($C268, VOLUME_AVG_3M), 4) = "#N/A", "",  _xll.BDP($C268, VOLUME_AVG_3M))</f>
        <v>1483879</v>
      </c>
      <c r="AB268" s="31" cm="1">
        <f t="array" ref="AB268">IF(LEFT(_xll.BDP($C268, VOLUME_AVG_6M), 4) = "#N/A", "",  _xll.BDP($C268, VOLUME_AVG_6M))</f>
        <v>1625839.75</v>
      </c>
      <c r="AC268" s="31" cm="1">
        <f t="array" ref="AC268">IF(LEFT(_xll.BDP($C268, VOLUME_AVG_12M), 4) = "#N/A", "",  _xll.BDP($C268, VOLUME_AVG_12M))</f>
        <v>1818992.5</v>
      </c>
      <c r="AD268" s="41" cm="1">
        <f t="array" ref="AD268">IF(LEFT(_xll.BDP($C268, LAST_PRICE), 4) = "#N/A", "",  _xll.BDP($C268, LAST_PRICE))</f>
        <v>65.86</v>
      </c>
    </row>
    <row r="269" spans="1:30" x14ac:dyDescent="0.35">
      <c r="A269" s="1">
        <f t="shared" si="4"/>
        <v>266</v>
      </c>
      <c r="B269" s="28">
        <v>45700</v>
      </c>
      <c r="C269" s="29" t="s">
        <v>581</v>
      </c>
      <c r="D269" s="29" t="s">
        <v>581</v>
      </c>
      <c r="E269" s="29" t="s">
        <v>582</v>
      </c>
      <c r="F269" s="29" t="s">
        <v>40</v>
      </c>
      <c r="G269" s="30" t="s">
        <v>41</v>
      </c>
      <c r="H269" s="31"/>
      <c r="I269" s="31"/>
      <c r="J269" s="32"/>
      <c r="K269" s="33">
        <v>45700</v>
      </c>
      <c r="L269" s="31"/>
      <c r="M269" s="32"/>
      <c r="N269" s="31"/>
      <c r="O269" s="33">
        <v>45699</v>
      </c>
      <c r="P269" s="34"/>
      <c r="Q269" s="34"/>
      <c r="R269" s="34"/>
      <c r="S269" s="29"/>
      <c r="T269" s="33"/>
      <c r="U269" s="35" t="b">
        <v>1</v>
      </c>
      <c r="V269" s="35" t="b">
        <v>1</v>
      </c>
      <c r="W269" s="35" t="b">
        <v>1</v>
      </c>
      <c r="Y269" s="31" t="str" cm="1">
        <f t="array" ref="Y269">IF(LEFT(_xll.BDP($C269, VOLUME_AVG_10D), 4) = "#N/A", "",  _xll.BDP($C269, VOLUME_AVG_10D))</f>
        <v/>
      </c>
      <c r="Z269" s="31" t="str" cm="1">
        <f t="array" ref="Z269">IF(LEFT(_xll.BDP($C269, VOLUME_AVG_30D), 4) = "#N/A", "",  _xll.BDP($C269, VOLUME_AVG_30D))</f>
        <v/>
      </c>
      <c r="AA269" s="31" t="str" cm="1">
        <f t="array" ref="AA269">IF(LEFT(_xll.BDP($C269, VOLUME_AVG_3M), 4) = "#N/A", "",  _xll.BDP($C269, VOLUME_AVG_3M))</f>
        <v/>
      </c>
      <c r="AB269" s="31" t="str" cm="1">
        <f t="array" ref="AB269">IF(LEFT(_xll.BDP($C269, VOLUME_AVG_6M), 4) = "#N/A", "",  _xll.BDP($C269, VOLUME_AVG_6M))</f>
        <v/>
      </c>
      <c r="AC269" s="31" t="str" cm="1">
        <f t="array" ref="AC269">IF(LEFT(_xll.BDP($C269, VOLUME_AVG_12M), 4) = "#N/A", "",  _xll.BDP($C269, VOLUME_AVG_12M))</f>
        <v/>
      </c>
      <c r="AD269" s="41" t="str" cm="1">
        <f t="array" ref="AD269">IF(LEFT(_xll.BDP($C269, LAST_PRICE), 4) = "#N/A", "",  _xll.BDP($C269, LAST_PRICE))</f>
        <v/>
      </c>
    </row>
    <row r="270" spans="1:30" x14ac:dyDescent="0.35">
      <c r="A270" s="1">
        <f t="shared" si="4"/>
        <v>267</v>
      </c>
      <c r="B270" s="28">
        <v>45700</v>
      </c>
      <c r="C270" s="29" t="s">
        <v>583</v>
      </c>
      <c r="D270" s="29" t="s">
        <v>583</v>
      </c>
      <c r="E270" s="29" t="s">
        <v>584</v>
      </c>
      <c r="F270" s="29" t="s">
        <v>33</v>
      </c>
      <c r="G270" s="30" t="s">
        <v>34</v>
      </c>
      <c r="H270" s="31">
        <v>126110631.451198</v>
      </c>
      <c r="I270" s="31">
        <v>-40459368.548801899</v>
      </c>
      <c r="J270" s="32">
        <v>3.4800000190734899</v>
      </c>
      <c r="K270" s="33">
        <v>45700</v>
      </c>
      <c r="L270" s="31">
        <v>116500</v>
      </c>
      <c r="M270" s="32">
        <v>2.5</v>
      </c>
      <c r="N270" s="31" t="s">
        <v>35</v>
      </c>
      <c r="O270" s="33">
        <v>45699</v>
      </c>
      <c r="P270" s="34">
        <v>691758.0625</v>
      </c>
      <c r="Q270" s="34">
        <v>802667.4375</v>
      </c>
      <c r="R270" s="34">
        <v>788721.3125</v>
      </c>
      <c r="S270" s="29" t="s">
        <v>585</v>
      </c>
      <c r="T270" s="33">
        <v>45215</v>
      </c>
      <c r="U270" s="35" t="b">
        <v>0</v>
      </c>
      <c r="V270" s="35" t="b">
        <v>0</v>
      </c>
      <c r="W270" s="35" t="b">
        <v>1</v>
      </c>
      <c r="Y270" s="31" cm="1">
        <f t="array" ref="Y270">IF(LEFT(_xll.BDP($C270, VOLUME_AVG_10D), 4) = "#N/A", "",  _xll.BDP($C270, VOLUME_AVG_10D))</f>
        <v>482948.8125</v>
      </c>
      <c r="Z270" s="31" cm="1">
        <f t="array" ref="Z270">IF(LEFT(_xll.BDP($C270, VOLUME_AVG_30D), 4) = "#N/A", "",  _xll.BDP($C270, VOLUME_AVG_30D))</f>
        <v>691758.0625</v>
      </c>
      <c r="AA270" s="31" cm="1">
        <f t="array" ref="AA270">IF(LEFT(_xll.BDP($C270, VOLUME_AVG_3M), 4) = "#N/A", "",  _xll.BDP($C270, VOLUME_AVG_3M))</f>
        <v>802667.4375</v>
      </c>
      <c r="AB270" s="31" cm="1">
        <f t="array" ref="AB270">IF(LEFT(_xll.BDP($C270, VOLUME_AVG_6M), 4) = "#N/A", "",  _xll.BDP($C270, VOLUME_AVG_6M))</f>
        <v>788721.3125</v>
      </c>
      <c r="AC270" s="31" cm="1">
        <f t="array" ref="AC270">IF(LEFT(_xll.BDP($C270, VOLUME_AVG_12M), 4) = "#N/A", "",  _xll.BDP($C270, VOLUME_AVG_12M))</f>
        <v>989103.8125</v>
      </c>
      <c r="AD270" s="41" cm="1">
        <f t="array" ref="AD270">IF(LEFT(_xll.BDP($C270, LAST_PRICE), 4) = "#N/A", "",  _xll.BDP($C270, LAST_PRICE))</f>
        <v>3.48</v>
      </c>
    </row>
    <row r="271" spans="1:30" x14ac:dyDescent="0.35">
      <c r="A271" s="1">
        <f t="shared" si="4"/>
        <v>268</v>
      </c>
      <c r="B271" s="28">
        <v>45700</v>
      </c>
      <c r="C271" s="29" t="s">
        <v>586</v>
      </c>
      <c r="D271" s="29" t="s">
        <v>586</v>
      </c>
      <c r="E271" s="29" t="s">
        <v>587</v>
      </c>
      <c r="F271" s="29" t="s">
        <v>33</v>
      </c>
      <c r="G271" s="30" t="s">
        <v>34</v>
      </c>
      <c r="H271" s="31">
        <v>12762547.4567621</v>
      </c>
      <c r="I271" s="31">
        <v>11016547.4567621</v>
      </c>
      <c r="J271" s="32">
        <v>0.69599997997283902</v>
      </c>
      <c r="K271" s="33">
        <v>45700</v>
      </c>
      <c r="L271" s="31">
        <v>777300</v>
      </c>
      <c r="M271" s="32">
        <v>-69.25</v>
      </c>
      <c r="N271" s="31" t="s">
        <v>35</v>
      </c>
      <c r="O271" s="33">
        <v>45699</v>
      </c>
      <c r="P271" s="34">
        <v>14656567</v>
      </c>
      <c r="Q271" s="34">
        <v>7874219</v>
      </c>
      <c r="R271" s="34">
        <v>4104261</v>
      </c>
      <c r="S271" s="29"/>
      <c r="T271" s="33"/>
      <c r="U271" s="35" t="b">
        <v>1</v>
      </c>
      <c r="V271" s="35" t="b">
        <v>0</v>
      </c>
      <c r="W271" s="35" t="b">
        <v>0</v>
      </c>
      <c r="Y271" s="31" cm="1">
        <f t="array" ref="Y271">IF(LEFT(_xll.BDP($C271, VOLUME_AVG_10D), 4) = "#N/A", "",  _xll.BDP($C271, VOLUME_AVG_10D))</f>
        <v>1517969.625</v>
      </c>
      <c r="Z271" s="31" cm="1">
        <f t="array" ref="Z271">IF(LEFT(_xll.BDP($C271, VOLUME_AVG_30D), 4) = "#N/A", "",  _xll.BDP($C271, VOLUME_AVG_30D))</f>
        <v>14656567</v>
      </c>
      <c r="AA271" s="31" cm="1">
        <f t="array" ref="AA271">IF(LEFT(_xll.BDP($C271, VOLUME_AVG_3M), 4) = "#N/A", "",  _xll.BDP($C271, VOLUME_AVG_3M))</f>
        <v>7874219</v>
      </c>
      <c r="AB271" s="31" cm="1">
        <f t="array" ref="AB271">IF(LEFT(_xll.BDP($C271, VOLUME_AVG_6M), 4) = "#N/A", "",  _xll.BDP($C271, VOLUME_AVG_6M))</f>
        <v>4104261</v>
      </c>
      <c r="AC271" s="31" cm="1">
        <f t="array" ref="AC271">IF(LEFT(_xll.BDP($C271, VOLUME_AVG_12M), 4) = "#N/A", "",  _xll.BDP($C271, VOLUME_AVG_12M))</f>
        <v>2135478</v>
      </c>
      <c r="AD271" s="41" cm="1">
        <f t="array" ref="AD271">IF(LEFT(_xll.BDP($C271, LAST_PRICE), 4) = "#N/A", "",  _xll.BDP($C271, LAST_PRICE))</f>
        <v>0.69599999999999995</v>
      </c>
    </row>
    <row r="272" spans="1:30" x14ac:dyDescent="0.35">
      <c r="A272" s="1">
        <f t="shared" si="4"/>
        <v>269</v>
      </c>
      <c r="B272" s="28">
        <v>45700</v>
      </c>
      <c r="C272" s="29" t="s">
        <v>588</v>
      </c>
      <c r="D272" s="29" t="s">
        <v>588</v>
      </c>
      <c r="E272" s="29" t="s">
        <v>589</v>
      </c>
      <c r="F272" s="29" t="s">
        <v>40</v>
      </c>
      <c r="G272" s="30" t="s">
        <v>41</v>
      </c>
      <c r="H272" s="31">
        <v>29157121.600523099</v>
      </c>
      <c r="I272" s="31">
        <v>30336439.381723098</v>
      </c>
      <c r="J272" s="32">
        <v>0.38999998569488498</v>
      </c>
      <c r="K272" s="33">
        <v>45700</v>
      </c>
      <c r="L272" s="31"/>
      <c r="M272" s="32"/>
      <c r="N272" s="31"/>
      <c r="O272" s="33">
        <v>45699</v>
      </c>
      <c r="P272" s="34">
        <v>925</v>
      </c>
      <c r="Q272" s="34">
        <v>4223.8130000000001</v>
      </c>
      <c r="R272" s="34">
        <v>3206.1260000000002</v>
      </c>
      <c r="S272" s="29"/>
      <c r="T272" s="33"/>
      <c r="U272" s="35" t="b">
        <v>0</v>
      </c>
      <c r="V272" s="35" t="b">
        <v>0</v>
      </c>
      <c r="W272" s="35" t="b">
        <v>0</v>
      </c>
      <c r="Y272" s="31" cm="1">
        <f t="array" ref="Y272">IF(LEFT(_xll.BDP($C272, VOLUME_AVG_10D), 4) = "#N/A", "",  _xll.BDP($C272, VOLUME_AVG_10D))</f>
        <v>2309</v>
      </c>
      <c r="Z272" s="31" cm="1">
        <f t="array" ref="Z272">IF(LEFT(_xll.BDP($C272, VOLUME_AVG_30D), 4) = "#N/A", "",  _xll.BDP($C272, VOLUME_AVG_30D))</f>
        <v>925</v>
      </c>
      <c r="AA272" s="31" cm="1">
        <f t="array" ref="AA272">IF(LEFT(_xll.BDP($C272, VOLUME_AVG_3M), 4) = "#N/A", "",  _xll.BDP($C272, VOLUME_AVG_3M))</f>
        <v>4223.8130000000001</v>
      </c>
      <c r="AB272" s="31" cm="1">
        <f t="array" ref="AB272">IF(LEFT(_xll.BDP($C272, VOLUME_AVG_6M), 4) = "#N/A", "",  _xll.BDP($C272, VOLUME_AVG_6M))</f>
        <v>3206.1260000000002</v>
      </c>
      <c r="AC272" s="31" cm="1">
        <f t="array" ref="AC272">IF(LEFT(_xll.BDP($C272, VOLUME_AVG_12M), 4) = "#N/A", "",  _xll.BDP($C272, VOLUME_AVG_12M))</f>
        <v>2986.5120000000002</v>
      </c>
      <c r="AD272" s="41" cm="1">
        <f t="array" ref="AD272">IF(LEFT(_xll.BDP($C272, LAST_PRICE), 4) = "#N/A", "",  _xll.BDP($C272, LAST_PRICE))</f>
        <v>0.39</v>
      </c>
    </row>
    <row r="273" spans="1:30" x14ac:dyDescent="0.35">
      <c r="A273" s="1">
        <f t="shared" si="4"/>
        <v>270</v>
      </c>
      <c r="B273" s="28">
        <v>45700</v>
      </c>
      <c r="C273" s="29" t="s">
        <v>590</v>
      </c>
      <c r="D273" s="29" t="s">
        <v>590</v>
      </c>
      <c r="E273" s="29" t="s">
        <v>591</v>
      </c>
      <c r="F273" s="29" t="s">
        <v>33</v>
      </c>
      <c r="G273" s="30" t="s">
        <v>34</v>
      </c>
      <c r="H273" s="31">
        <v>12514269.8398064</v>
      </c>
      <c r="I273" s="31">
        <v>23013269.8398064</v>
      </c>
      <c r="J273" s="32">
        <v>5.3699998855590803</v>
      </c>
      <c r="K273" s="33">
        <v>45700</v>
      </c>
      <c r="L273" s="31">
        <v>9700</v>
      </c>
      <c r="M273" s="32">
        <v>-31.9</v>
      </c>
      <c r="N273" s="31" t="s">
        <v>35</v>
      </c>
      <c r="O273" s="33">
        <v>45699</v>
      </c>
      <c r="P273" s="34">
        <v>344328.46875</v>
      </c>
      <c r="Q273" s="34">
        <v>194607.0625</v>
      </c>
      <c r="R273" s="34">
        <v>112610.03125</v>
      </c>
      <c r="S273" s="29"/>
      <c r="T273" s="33"/>
      <c r="U273" s="35" t="b">
        <v>1</v>
      </c>
      <c r="V273" s="35" t="b">
        <v>0</v>
      </c>
      <c r="W273" s="35" t="b">
        <v>0</v>
      </c>
      <c r="Y273" s="31" cm="1">
        <f t="array" ref="Y273">IF(LEFT(_xll.BDP($C273, VOLUME_AVG_10D), 4) = "#N/A", "",  _xll.BDP($C273, VOLUME_AVG_10D))</f>
        <v>284793</v>
      </c>
      <c r="Z273" s="31" cm="1">
        <f t="array" ref="Z273">IF(LEFT(_xll.BDP($C273, VOLUME_AVG_30D), 4) = "#N/A", "",  _xll.BDP($C273, VOLUME_AVG_30D))</f>
        <v>344328.46875</v>
      </c>
      <c r="AA273" s="31" cm="1">
        <f t="array" ref="AA273">IF(LEFT(_xll.BDP($C273, VOLUME_AVG_3M), 4) = "#N/A", "",  _xll.BDP($C273, VOLUME_AVG_3M))</f>
        <v>194607.0625</v>
      </c>
      <c r="AB273" s="31" cm="1">
        <f t="array" ref="AB273">IF(LEFT(_xll.BDP($C273, VOLUME_AVG_6M), 4) = "#N/A", "",  _xll.BDP($C273, VOLUME_AVG_6M))</f>
        <v>112610.03125</v>
      </c>
      <c r="AC273" s="31" cm="1">
        <f t="array" ref="AC273">IF(LEFT(_xll.BDP($C273, VOLUME_AVG_12M), 4) = "#N/A", "",  _xll.BDP($C273, VOLUME_AVG_12M))</f>
        <v>69508.1796875</v>
      </c>
      <c r="AD273" s="41" cm="1">
        <f t="array" ref="AD273">IF(LEFT(_xll.BDP($C273, LAST_PRICE), 4) = "#N/A", "",  _xll.BDP($C273, LAST_PRICE))</f>
        <v>5.37</v>
      </c>
    </row>
    <row r="274" spans="1:30" x14ac:dyDescent="0.35">
      <c r="A274" s="1">
        <f t="shared" si="4"/>
        <v>271</v>
      </c>
      <c r="B274" s="28">
        <v>45700</v>
      </c>
      <c r="C274" s="29" t="s">
        <v>592</v>
      </c>
      <c r="D274" s="29" t="s">
        <v>592</v>
      </c>
      <c r="E274" s="29" t="s">
        <v>593</v>
      </c>
      <c r="F274" s="29" t="s">
        <v>33</v>
      </c>
      <c r="G274" s="30" t="s">
        <v>34</v>
      </c>
      <c r="H274" s="31"/>
      <c r="I274" s="31"/>
      <c r="J274" s="32">
        <v>9.9999999747524292E-7</v>
      </c>
      <c r="K274" s="33">
        <v>45700</v>
      </c>
      <c r="L274" s="31"/>
      <c r="M274" s="32"/>
      <c r="N274" s="31"/>
      <c r="O274" s="33">
        <v>45699</v>
      </c>
      <c r="P274" s="34">
        <v>200</v>
      </c>
      <c r="Q274" s="34">
        <v>225.22579956054699</v>
      </c>
      <c r="R274" s="34">
        <v>110.84920501709</v>
      </c>
      <c r="S274" s="29"/>
      <c r="T274" s="33"/>
      <c r="U274" s="35" t="b">
        <v>1</v>
      </c>
      <c r="V274" s="35" t="b">
        <v>1</v>
      </c>
      <c r="W274" s="35" t="b">
        <v>1</v>
      </c>
      <c r="Y274" s="31" cm="1">
        <f t="array" ref="Y274">IF(LEFT(_xll.BDP($C274, VOLUME_AVG_10D), 4) = "#N/A", "",  _xll.BDP($C274, VOLUME_AVG_10D))</f>
        <v>0</v>
      </c>
      <c r="Z274" s="31" cm="1">
        <f t="array" ref="Z274">IF(LEFT(_xll.BDP($C274, VOLUME_AVG_30D), 4) = "#N/A", "",  _xll.BDP($C274, VOLUME_AVG_30D))</f>
        <v>200</v>
      </c>
      <c r="AA274" s="31" cm="1">
        <f t="array" ref="AA274">IF(LEFT(_xll.BDP($C274, VOLUME_AVG_3M), 4) = "#N/A", "",  _xll.BDP($C274, VOLUME_AVG_3M))</f>
        <v>225.22579956054688</v>
      </c>
      <c r="AB274" s="31" cm="1">
        <f t="array" ref="AB274">IF(LEFT(_xll.BDP($C274, VOLUME_AVG_6M), 4) = "#N/A", "",  _xll.BDP($C274, VOLUME_AVG_6M))</f>
        <v>110.84920501708984</v>
      </c>
      <c r="AC274" s="31" cm="1">
        <f t="array" ref="AC274">IF(LEFT(_xll.BDP($C274, VOLUME_AVG_12M), 4) = "#N/A", "",  _xll.BDP($C274, VOLUME_AVG_12M))</f>
        <v>55.701194763183594</v>
      </c>
      <c r="AD274" s="41" cm="1">
        <f t="array" ref="AD274">IF(LEFT(_xll.BDP($C274, LAST_PRICE), 4) = "#N/A", "",  _xll.BDP($C274, LAST_PRICE))</f>
        <v>0</v>
      </c>
    </row>
    <row r="275" spans="1:30" x14ac:dyDescent="0.35">
      <c r="A275" s="1">
        <f t="shared" si="4"/>
        <v>272</v>
      </c>
      <c r="B275" s="28">
        <v>45700</v>
      </c>
      <c r="C275" s="29" t="s">
        <v>594</v>
      </c>
      <c r="D275" s="29" t="s">
        <v>594</v>
      </c>
      <c r="E275" s="29" t="s">
        <v>595</v>
      </c>
      <c r="F275" s="29" t="s">
        <v>33</v>
      </c>
      <c r="G275" s="30" t="s">
        <v>34</v>
      </c>
      <c r="H275" s="31"/>
      <c r="I275" s="31"/>
      <c r="J275" s="32">
        <v>9.9999999747524292E-7</v>
      </c>
      <c r="K275" s="33">
        <v>45700</v>
      </c>
      <c r="L275" s="31"/>
      <c r="M275" s="32"/>
      <c r="N275" s="31"/>
      <c r="O275" s="33">
        <v>45699</v>
      </c>
      <c r="P275" s="34">
        <v>57.033332824707003</v>
      </c>
      <c r="Q275" s="34">
        <v>144.43548583984401</v>
      </c>
      <c r="R275" s="34">
        <v>232.38095092773401</v>
      </c>
      <c r="S275" s="29"/>
      <c r="T275" s="33"/>
      <c r="U275" s="35" t="b">
        <v>1</v>
      </c>
      <c r="V275" s="35" t="b">
        <v>1</v>
      </c>
      <c r="W275" s="35" t="b">
        <v>1</v>
      </c>
      <c r="Y275" s="31" cm="1">
        <f t="array" ref="Y275">IF(LEFT(_xll.BDP($C275, VOLUME_AVG_10D), 4) = "#N/A", "",  _xll.BDP($C275, VOLUME_AVG_10D))</f>
        <v>0</v>
      </c>
      <c r="Z275" s="31" cm="1">
        <f t="array" ref="Z275">IF(LEFT(_xll.BDP($C275, VOLUME_AVG_30D), 4) = "#N/A", "",  _xll.BDP($C275, VOLUME_AVG_30D))</f>
        <v>57.033332824707031</v>
      </c>
      <c r="AA275" s="31" cm="1">
        <f t="array" ref="AA275">IF(LEFT(_xll.BDP($C275, VOLUME_AVG_3M), 4) = "#N/A", "",  _xll.BDP($C275, VOLUME_AVG_3M))</f>
        <v>144.43548583984375</v>
      </c>
      <c r="AB275" s="31" cm="1">
        <f t="array" ref="AB275">IF(LEFT(_xll.BDP($C275, VOLUME_AVG_6M), 4) = "#N/A", "",  _xll.BDP($C275, VOLUME_AVG_6M))</f>
        <v>232.38095092773438</v>
      </c>
      <c r="AC275" s="31" cm="1">
        <f t="array" ref="AC275">IF(LEFT(_xll.BDP($C275, VOLUME_AVG_12M), 4) = "#N/A", "",  _xll.BDP($C275, VOLUME_AVG_12M))</f>
        <v>172.8565673828125</v>
      </c>
      <c r="AD275" s="41" cm="1">
        <f t="array" ref="AD275">IF(LEFT(_xll.BDP($C275, LAST_PRICE), 4) = "#N/A", "",  _xll.BDP($C275, LAST_PRICE))</f>
        <v>9.9999999999999995E-7</v>
      </c>
    </row>
    <row r="276" spans="1:30" x14ac:dyDescent="0.35">
      <c r="A276" s="1">
        <f t="shared" si="4"/>
        <v>273</v>
      </c>
      <c r="B276" s="28">
        <v>45700</v>
      </c>
      <c r="C276" s="29" t="s">
        <v>596</v>
      </c>
      <c r="D276" s="29" t="s">
        <v>596</v>
      </c>
      <c r="E276" s="29" t="s">
        <v>597</v>
      </c>
      <c r="F276" s="29" t="s">
        <v>33</v>
      </c>
      <c r="G276" s="30" t="s">
        <v>34</v>
      </c>
      <c r="H276" s="31">
        <v>26599132344.053699</v>
      </c>
      <c r="I276" s="31">
        <v>9053407723.343399</v>
      </c>
      <c r="J276" s="32">
        <v>111.889999389648</v>
      </c>
      <c r="K276" s="33">
        <v>45700</v>
      </c>
      <c r="L276" s="31">
        <v>8529500</v>
      </c>
      <c r="M276" s="32">
        <v>3.88</v>
      </c>
      <c r="N276" s="31" t="s">
        <v>35</v>
      </c>
      <c r="O276" s="33">
        <v>45699</v>
      </c>
      <c r="P276" s="34">
        <v>687365.125</v>
      </c>
      <c r="Q276" s="34">
        <v>811554.5</v>
      </c>
      <c r="R276" s="34">
        <v>902873.125</v>
      </c>
      <c r="S276" s="29" t="s">
        <v>353</v>
      </c>
      <c r="T276" s="33">
        <v>45446</v>
      </c>
      <c r="U276" s="35" t="b">
        <v>0</v>
      </c>
      <c r="V276" s="35" t="b">
        <v>0</v>
      </c>
      <c r="W276" s="35" t="b">
        <v>0</v>
      </c>
      <c r="Y276" s="31" cm="1">
        <f t="array" ref="Y276">IF(LEFT(_xll.BDP($C276, VOLUME_AVG_10D), 4) = "#N/A", "",  _xll.BDP($C276, VOLUME_AVG_10D))</f>
        <v>670526.625</v>
      </c>
      <c r="Z276" s="31" cm="1">
        <f t="array" ref="Z276">IF(LEFT(_xll.BDP($C276, VOLUME_AVG_30D), 4) = "#N/A", "",  _xll.BDP($C276, VOLUME_AVG_30D))</f>
        <v>687365.125</v>
      </c>
      <c r="AA276" s="31" cm="1">
        <f t="array" ref="AA276">IF(LEFT(_xll.BDP($C276, VOLUME_AVG_3M), 4) = "#N/A", "",  _xll.BDP($C276, VOLUME_AVG_3M))</f>
        <v>811554.5</v>
      </c>
      <c r="AB276" s="31" cm="1">
        <f t="array" ref="AB276">IF(LEFT(_xll.BDP($C276, VOLUME_AVG_6M), 4) = "#N/A", "",  _xll.BDP($C276, VOLUME_AVG_6M))</f>
        <v>902873.125</v>
      </c>
      <c r="AC276" s="31" cm="1">
        <f t="array" ref="AC276">IF(LEFT(_xll.BDP($C276, VOLUME_AVG_12M), 4) = "#N/A", "",  _xll.BDP($C276, VOLUME_AVG_12M))</f>
        <v>794055.875</v>
      </c>
      <c r="AD276" s="41" cm="1">
        <f t="array" ref="AD276">IF(LEFT(_xll.BDP($C276, LAST_PRICE), 4) = "#N/A", "",  _xll.BDP($C276, LAST_PRICE))</f>
        <v>111.89</v>
      </c>
    </row>
    <row r="277" spans="1:30" x14ac:dyDescent="0.35">
      <c r="A277" s="1">
        <f t="shared" si="4"/>
        <v>274</v>
      </c>
      <c r="B277" s="28">
        <v>45700</v>
      </c>
      <c r="C277" s="29" t="s">
        <v>598</v>
      </c>
      <c r="D277" s="29" t="s">
        <v>598</v>
      </c>
      <c r="E277" s="29" t="s">
        <v>599</v>
      </c>
      <c r="F277" s="29" t="s">
        <v>40</v>
      </c>
      <c r="G277" s="30" t="s">
        <v>41</v>
      </c>
      <c r="H277" s="31">
        <v>49329915.945371702</v>
      </c>
      <c r="I277" s="31">
        <v>53860415.945371702</v>
      </c>
      <c r="J277" s="32">
        <v>0.43500000238418601</v>
      </c>
      <c r="K277" s="33">
        <v>45700</v>
      </c>
      <c r="L277" s="31"/>
      <c r="M277" s="32"/>
      <c r="N277" s="31"/>
      <c r="O277" s="33">
        <v>45699</v>
      </c>
      <c r="P277" s="34">
        <v>185175.9</v>
      </c>
      <c r="Q277" s="34">
        <v>191359.2</v>
      </c>
      <c r="R277" s="34">
        <v>135746.79999999999</v>
      </c>
      <c r="S277" s="29"/>
      <c r="T277" s="33"/>
      <c r="U277" s="35" t="b">
        <v>0</v>
      </c>
      <c r="V277" s="35" t="b">
        <v>0</v>
      </c>
      <c r="W277" s="35" t="b">
        <v>0</v>
      </c>
      <c r="Y277" s="31" cm="1">
        <f t="array" ref="Y277">IF(LEFT(_xll.BDP($C277, VOLUME_AVG_10D), 4) = "#N/A", "",  _xll.BDP($C277, VOLUME_AVG_10D))</f>
        <v>190045.4</v>
      </c>
      <c r="Z277" s="31" cm="1">
        <f t="array" ref="Z277">IF(LEFT(_xll.BDP($C277, VOLUME_AVG_30D), 4) = "#N/A", "",  _xll.BDP($C277, VOLUME_AVG_30D))</f>
        <v>185175.9</v>
      </c>
      <c r="AA277" s="31" cm="1">
        <f t="array" ref="AA277">IF(LEFT(_xll.BDP($C277, VOLUME_AVG_3M), 4) = "#N/A", "",  _xll.BDP($C277, VOLUME_AVG_3M))</f>
        <v>191359.2</v>
      </c>
      <c r="AB277" s="31" cm="1">
        <f t="array" ref="AB277">IF(LEFT(_xll.BDP($C277, VOLUME_AVG_6M), 4) = "#N/A", "",  _xll.BDP($C277, VOLUME_AVG_6M))</f>
        <v>135746.79999999999</v>
      </c>
      <c r="AC277" s="31" cm="1">
        <f t="array" ref="AC277">IF(LEFT(_xll.BDP($C277, VOLUME_AVG_12M), 4) = "#N/A", "",  _xll.BDP($C277, VOLUME_AVG_12M))</f>
        <v>80927.7</v>
      </c>
      <c r="AD277" s="41" cm="1">
        <f t="array" ref="AD277">IF(LEFT(_xll.BDP($C277, LAST_PRICE), 4) = "#N/A", "",  _xll.BDP($C277, LAST_PRICE))</f>
        <v>0.435</v>
      </c>
    </row>
    <row r="278" spans="1:30" x14ac:dyDescent="0.35">
      <c r="A278" s="1">
        <f t="shared" si="4"/>
        <v>275</v>
      </c>
      <c r="B278" s="28">
        <v>45700</v>
      </c>
      <c r="C278" s="29" t="s">
        <v>600</v>
      </c>
      <c r="D278" s="29" t="s">
        <v>600</v>
      </c>
      <c r="E278" s="29" t="s">
        <v>601</v>
      </c>
      <c r="F278" s="29" t="s">
        <v>33</v>
      </c>
      <c r="G278" s="30" t="s">
        <v>34</v>
      </c>
      <c r="H278" s="31">
        <v>11155662.479654999</v>
      </c>
      <c r="I278" s="31">
        <v>-4982928.5203449801</v>
      </c>
      <c r="J278" s="32">
        <v>2.3900001049041699</v>
      </c>
      <c r="K278" s="33">
        <v>45700</v>
      </c>
      <c r="L278" s="31">
        <v>175200</v>
      </c>
      <c r="M278" s="32">
        <v>-13.8</v>
      </c>
      <c r="N278" s="31" t="s">
        <v>35</v>
      </c>
      <c r="O278" s="33">
        <v>45699</v>
      </c>
      <c r="P278" s="34">
        <v>73121.6015625</v>
      </c>
      <c r="Q278" s="34">
        <v>74548.8046875</v>
      </c>
      <c r="R278" s="34">
        <v>49560.83203125</v>
      </c>
      <c r="S278" s="29"/>
      <c r="T278" s="33"/>
      <c r="U278" s="35" t="b">
        <v>1</v>
      </c>
      <c r="V278" s="35" t="b">
        <v>0</v>
      </c>
      <c r="W278" s="35" t="b">
        <v>1</v>
      </c>
      <c r="Y278" s="31" cm="1">
        <f t="array" ref="Y278">IF(LEFT(_xll.BDP($C278, VOLUME_AVG_10D), 4) = "#N/A", "",  _xll.BDP($C278, VOLUME_AVG_10D))</f>
        <v>80906.203125</v>
      </c>
      <c r="Z278" s="31" cm="1">
        <f t="array" ref="Z278">IF(LEFT(_xll.BDP($C278, VOLUME_AVG_30D), 4) = "#N/A", "",  _xll.BDP($C278, VOLUME_AVG_30D))</f>
        <v>73121.6015625</v>
      </c>
      <c r="AA278" s="31" cm="1">
        <f t="array" ref="AA278">IF(LEFT(_xll.BDP($C278, VOLUME_AVG_3M), 4) = "#N/A", "",  _xll.BDP($C278, VOLUME_AVG_3M))</f>
        <v>74548.8046875</v>
      </c>
      <c r="AB278" s="31" cm="1">
        <f t="array" ref="AB278">IF(LEFT(_xll.BDP($C278, VOLUME_AVG_6M), 4) = "#N/A", "",  _xll.BDP($C278, VOLUME_AVG_6M))</f>
        <v>49560.83203125</v>
      </c>
      <c r="AC278" s="31" cm="1">
        <f t="array" ref="AC278">IF(LEFT(_xll.BDP($C278, VOLUME_AVG_12M), 4) = "#N/A", "",  _xll.BDP($C278, VOLUME_AVG_12M))</f>
        <v>589950.4375</v>
      </c>
      <c r="AD278" s="41" cm="1">
        <f t="array" ref="AD278">IF(LEFT(_xll.BDP($C278, LAST_PRICE), 4) = "#N/A", "",  _xll.BDP($C278, LAST_PRICE))</f>
        <v>2.39</v>
      </c>
    </row>
    <row r="279" spans="1:30" x14ac:dyDescent="0.35">
      <c r="A279" s="1">
        <f t="shared" si="4"/>
        <v>276</v>
      </c>
      <c r="B279" s="28">
        <v>45700</v>
      </c>
      <c r="C279" s="29" t="s">
        <v>602</v>
      </c>
      <c r="D279" s="29" t="s">
        <v>602</v>
      </c>
      <c r="E279" s="29" t="s">
        <v>603</v>
      </c>
      <c r="F279" s="29" t="s">
        <v>33</v>
      </c>
      <c r="G279" s="30" t="s">
        <v>34</v>
      </c>
      <c r="H279" s="31">
        <v>14649690.0609127</v>
      </c>
      <c r="I279" s="31">
        <v>14301690.0609127</v>
      </c>
      <c r="J279" s="32">
        <v>0.85000002384185802</v>
      </c>
      <c r="K279" s="33">
        <v>45700</v>
      </c>
      <c r="L279" s="31">
        <v>349100</v>
      </c>
      <c r="M279" s="32">
        <v>-19.7</v>
      </c>
      <c r="N279" s="31" t="s">
        <v>35</v>
      </c>
      <c r="O279" s="33">
        <v>45699</v>
      </c>
      <c r="P279" s="34">
        <v>147227.203125</v>
      </c>
      <c r="Q279" s="34">
        <v>213526.671875</v>
      </c>
      <c r="R279" s="34">
        <v>199141.421875</v>
      </c>
      <c r="S279" s="29"/>
      <c r="T279" s="33"/>
      <c r="U279" s="35" t="b">
        <v>1</v>
      </c>
      <c r="V279" s="35" t="b">
        <v>0</v>
      </c>
      <c r="W279" s="35" t="b">
        <v>0</v>
      </c>
      <c r="Y279" s="31" cm="1">
        <f t="array" ref="Y279">IF(LEFT(_xll.BDP($C279, VOLUME_AVG_10D), 4) = "#N/A", "",  _xll.BDP($C279, VOLUME_AVG_10D))</f>
        <v>150867.09375</v>
      </c>
      <c r="Z279" s="31" cm="1">
        <f t="array" ref="Z279">IF(LEFT(_xll.BDP($C279, VOLUME_AVG_30D), 4) = "#N/A", "",  _xll.BDP($C279, VOLUME_AVG_30D))</f>
        <v>147227.203125</v>
      </c>
      <c r="AA279" s="31" cm="1">
        <f t="array" ref="AA279">IF(LEFT(_xll.BDP($C279, VOLUME_AVG_3M), 4) = "#N/A", "",  _xll.BDP($C279, VOLUME_AVG_3M))</f>
        <v>213526.671875</v>
      </c>
      <c r="AB279" s="31" cm="1">
        <f t="array" ref="AB279">IF(LEFT(_xll.BDP($C279, VOLUME_AVG_6M), 4) = "#N/A", "",  _xll.BDP($C279, VOLUME_AVG_6M))</f>
        <v>199141.421875</v>
      </c>
      <c r="AC279" s="31" cm="1">
        <f t="array" ref="AC279">IF(LEFT(_xll.BDP($C279, VOLUME_AVG_12M), 4) = "#N/A", "",  _xll.BDP($C279, VOLUME_AVG_12M))</f>
        <v>443055.75</v>
      </c>
      <c r="AD279" s="41" cm="1">
        <f t="array" ref="AD279">IF(LEFT(_xll.BDP($C279, LAST_PRICE), 4) = "#N/A", "",  _xll.BDP($C279, LAST_PRICE))</f>
        <v>0.85</v>
      </c>
    </row>
    <row r="280" spans="1:30" x14ac:dyDescent="0.35">
      <c r="A280" s="1">
        <f t="shared" si="4"/>
        <v>277</v>
      </c>
      <c r="B280" s="28">
        <v>45700</v>
      </c>
      <c r="C280" s="29" t="s">
        <v>604</v>
      </c>
      <c r="D280" s="29" t="s">
        <v>604</v>
      </c>
      <c r="E280" s="29" t="s">
        <v>605</v>
      </c>
      <c r="F280" s="29" t="s">
        <v>33</v>
      </c>
      <c r="G280" s="30" t="s">
        <v>34</v>
      </c>
      <c r="H280" s="31"/>
      <c r="I280" s="31"/>
      <c r="J280" s="32">
        <v>9.9999999747524292E-7</v>
      </c>
      <c r="K280" s="33">
        <v>45700</v>
      </c>
      <c r="L280" s="31"/>
      <c r="M280" s="32"/>
      <c r="N280" s="31"/>
      <c r="O280" s="33">
        <v>45699</v>
      </c>
      <c r="P280" s="34">
        <v>15.7666664123535</v>
      </c>
      <c r="Q280" s="34">
        <v>135.29032897949199</v>
      </c>
      <c r="R280" s="34">
        <v>66.619049072265597</v>
      </c>
      <c r="S280" s="29"/>
      <c r="T280" s="33"/>
      <c r="U280" s="35" t="b">
        <v>1</v>
      </c>
      <c r="V280" s="35" t="b">
        <v>1</v>
      </c>
      <c r="W280" s="35" t="b">
        <v>1</v>
      </c>
      <c r="Y280" s="31" cm="1">
        <f t="array" ref="Y280">IF(LEFT(_xll.BDP($C280, VOLUME_AVG_10D), 4) = "#N/A", "",  _xll.BDP($C280, VOLUME_AVG_10D))</f>
        <v>0</v>
      </c>
      <c r="Z280" s="31" cm="1">
        <f t="array" ref="Z280">IF(LEFT(_xll.BDP($C280, VOLUME_AVG_30D), 4) = "#N/A", "",  _xll.BDP($C280, VOLUME_AVG_30D))</f>
        <v>15.766666412353516</v>
      </c>
      <c r="AA280" s="31" cm="1">
        <f t="array" ref="AA280">IF(LEFT(_xll.BDP($C280, VOLUME_AVG_3M), 4) = "#N/A", "",  _xll.BDP($C280, VOLUME_AVG_3M))</f>
        <v>135.29032897949219</v>
      </c>
      <c r="AB280" s="31" cm="1">
        <f t="array" ref="AB280">IF(LEFT(_xll.BDP($C280, VOLUME_AVG_6M), 4) = "#N/A", "",  _xll.BDP($C280, VOLUME_AVG_6M))</f>
        <v>66.619049072265625</v>
      </c>
      <c r="AC280" s="31" cm="1">
        <f t="array" ref="AC280">IF(LEFT(_xll.BDP($C280, VOLUME_AVG_12M), 4) = "#N/A", "",  _xll.BDP($C280, VOLUME_AVG_12M))</f>
        <v>355.1195068359375</v>
      </c>
      <c r="AD280" s="41" cm="1">
        <f t="array" ref="AD280">IF(LEFT(_xll.BDP($C280, LAST_PRICE), 4) = "#N/A", "",  _xll.BDP($C280, LAST_PRICE))</f>
        <v>9.9999999999999995E-7</v>
      </c>
    </row>
    <row r="281" spans="1:30" x14ac:dyDescent="0.35">
      <c r="A281" s="1">
        <f t="shared" si="4"/>
        <v>278</v>
      </c>
      <c r="B281" s="28">
        <v>45700</v>
      </c>
      <c r="C281" s="29" t="s">
        <v>606</v>
      </c>
      <c r="D281" s="29" t="s">
        <v>606</v>
      </c>
      <c r="E281" s="29" t="s">
        <v>607</v>
      </c>
      <c r="F281" s="29" t="s">
        <v>33</v>
      </c>
      <c r="G281" s="30" t="s">
        <v>34</v>
      </c>
      <c r="H281" s="31">
        <v>837389.39</v>
      </c>
      <c r="I281" s="31">
        <v>2007732.39</v>
      </c>
      <c r="J281" s="32">
        <v>0.01</v>
      </c>
      <c r="K281" s="33">
        <v>45700</v>
      </c>
      <c r="L281" s="31"/>
      <c r="M281" s="32"/>
      <c r="N281" s="31"/>
      <c r="O281" s="33">
        <v>45699</v>
      </c>
      <c r="P281" s="34">
        <v>14221.43359375</v>
      </c>
      <c r="Q281" s="34">
        <v>9763.1611328125</v>
      </c>
      <c r="R281" s="34">
        <v>9700.76953125</v>
      </c>
      <c r="S281" s="29"/>
      <c r="T281" s="33"/>
      <c r="U281" s="35" t="b">
        <v>1</v>
      </c>
      <c r="V281" s="35" t="b">
        <v>1</v>
      </c>
      <c r="W281" s="35" t="b">
        <v>0</v>
      </c>
      <c r="Y281" s="31" cm="1">
        <f t="array" ref="Y281">IF(LEFT(_xll.BDP($C281, VOLUME_AVG_10D), 4) = "#N/A", "",  _xll.BDP($C281, VOLUME_AVG_10D))</f>
        <v>0</v>
      </c>
      <c r="Z281" s="31" cm="1">
        <f t="array" ref="Z281">IF(LEFT(_xll.BDP($C281, VOLUME_AVG_30D), 4) = "#N/A", "",  _xll.BDP($C281, VOLUME_AVG_30D))</f>
        <v>14221.43359375</v>
      </c>
      <c r="AA281" s="31" cm="1">
        <f t="array" ref="AA281">IF(LEFT(_xll.BDP($C281, VOLUME_AVG_3M), 4) = "#N/A", "",  _xll.BDP($C281, VOLUME_AVG_3M))</f>
        <v>9763.1611328125</v>
      </c>
      <c r="AB281" s="31" cm="1">
        <f t="array" ref="AB281">IF(LEFT(_xll.BDP($C281, VOLUME_AVG_6M), 4) = "#N/A", "",  _xll.BDP($C281, VOLUME_AVG_6M))</f>
        <v>9700.76953125</v>
      </c>
      <c r="AC281" s="31" cm="1">
        <f t="array" ref="AC281">IF(LEFT(_xll.BDP($C281, VOLUME_AVG_12M), 4) = "#N/A", "",  _xll.BDP($C281, VOLUME_AVG_12M))</f>
        <v>6418.18310546875</v>
      </c>
      <c r="AD281" s="41" cm="1">
        <f t="array" ref="AD281">IF(LEFT(_xll.BDP($C281, LAST_PRICE), 4) = "#N/A", "",  _xll.BDP($C281, LAST_PRICE))</f>
        <v>0.01</v>
      </c>
    </row>
    <row r="282" spans="1:30" x14ac:dyDescent="0.35">
      <c r="A282" s="1">
        <f t="shared" si="4"/>
        <v>279</v>
      </c>
      <c r="B282" s="28">
        <v>45700</v>
      </c>
      <c r="C282" s="29" t="s">
        <v>608</v>
      </c>
      <c r="D282" s="29" t="s">
        <v>608</v>
      </c>
      <c r="E282" s="29" t="s">
        <v>609</v>
      </c>
      <c r="F282" s="29" t="s">
        <v>33</v>
      </c>
      <c r="G282" s="30" t="s">
        <v>34</v>
      </c>
      <c r="H282" s="31">
        <v>254565919.90735099</v>
      </c>
      <c r="I282" s="31"/>
      <c r="J282" s="32">
        <v>15.699999809265099</v>
      </c>
      <c r="K282" s="33">
        <v>45700</v>
      </c>
      <c r="L282" s="31">
        <v>41600</v>
      </c>
      <c r="M282" s="32">
        <v>-7.95</v>
      </c>
      <c r="N282" s="31" t="s">
        <v>35</v>
      </c>
      <c r="O282" s="33">
        <v>45699</v>
      </c>
      <c r="P282" s="34">
        <v>70179.4296875</v>
      </c>
      <c r="Q282" s="34">
        <v>79262.8203125</v>
      </c>
      <c r="R282" s="34">
        <v>62323.33984375</v>
      </c>
      <c r="S282" s="29"/>
      <c r="T282" s="33"/>
      <c r="U282" s="35" t="b">
        <v>0</v>
      </c>
      <c r="V282" s="35" t="b">
        <v>0</v>
      </c>
      <c r="W282" s="35" t="b">
        <v>1</v>
      </c>
      <c r="Y282" s="31" cm="1">
        <f t="array" ref="Y282">IF(LEFT(_xll.BDP($C282, VOLUME_AVG_10D), 4) = "#N/A", "",  _xll.BDP($C282, VOLUME_AVG_10D))</f>
        <v>101803.8984375</v>
      </c>
      <c r="Z282" s="31" cm="1">
        <f t="array" ref="Z282">IF(LEFT(_xll.BDP($C282, VOLUME_AVG_30D), 4) = "#N/A", "",  _xll.BDP($C282, VOLUME_AVG_30D))</f>
        <v>70179.4296875</v>
      </c>
      <c r="AA282" s="31" cm="1">
        <f t="array" ref="AA282">IF(LEFT(_xll.BDP($C282, VOLUME_AVG_3M), 4) = "#N/A", "",  _xll.BDP($C282, VOLUME_AVG_3M))</f>
        <v>79262.8203125</v>
      </c>
      <c r="AB282" s="31" cm="1">
        <f t="array" ref="AB282">IF(LEFT(_xll.BDP($C282, VOLUME_AVG_6M), 4) = "#N/A", "",  _xll.BDP($C282, VOLUME_AVG_6M))</f>
        <v>62323.33984375</v>
      </c>
      <c r="AC282" s="31" cm="1">
        <f t="array" ref="AC282">IF(LEFT(_xll.BDP($C282, VOLUME_AVG_12M), 4) = "#N/A", "",  _xll.BDP($C282, VOLUME_AVG_12M))</f>
        <v>42682.84375</v>
      </c>
      <c r="AD282" s="41" cm="1">
        <f t="array" ref="AD282">IF(LEFT(_xll.BDP($C282, LAST_PRICE), 4) = "#N/A", "",  _xll.BDP($C282, LAST_PRICE))</f>
        <v>15.7</v>
      </c>
    </row>
    <row r="283" spans="1:30" x14ac:dyDescent="0.35">
      <c r="A283" s="1">
        <f t="shared" si="4"/>
        <v>280</v>
      </c>
      <c r="B283" s="28">
        <v>45700</v>
      </c>
      <c r="C283" s="29" t="s">
        <v>610</v>
      </c>
      <c r="D283" s="29" t="s">
        <v>610</v>
      </c>
      <c r="E283" s="29" t="s">
        <v>611</v>
      </c>
      <c r="F283" s="29" t="s">
        <v>33</v>
      </c>
      <c r="G283" s="30" t="s">
        <v>34</v>
      </c>
      <c r="H283" s="31"/>
      <c r="I283" s="31"/>
      <c r="J283" s="32"/>
      <c r="K283" s="33">
        <v>45700</v>
      </c>
      <c r="L283" s="31"/>
      <c r="M283" s="32"/>
      <c r="N283" s="31"/>
      <c r="O283" s="33">
        <v>45699</v>
      </c>
      <c r="P283" s="34"/>
      <c r="Q283" s="34"/>
      <c r="R283" s="34">
        <v>166.66667175293</v>
      </c>
      <c r="S283" s="29"/>
      <c r="T283" s="33"/>
      <c r="U283" s="35" t="b">
        <v>1</v>
      </c>
      <c r="V283" s="35" t="b">
        <v>1</v>
      </c>
      <c r="W283" s="35" t="b">
        <v>1</v>
      </c>
      <c r="Y283" s="31" cm="1">
        <f t="array" ref="Y283">IF(LEFT(_xll.BDP($C283, VOLUME_AVG_10D), 4) = "#N/A", "",  _xll.BDP($C283, VOLUME_AVG_10D))</f>
        <v>0</v>
      </c>
      <c r="Z283" s="31" cm="1">
        <f t="array" ref="Z283">IF(LEFT(_xll.BDP($C283, VOLUME_AVG_30D), 4) = "#N/A", "",  _xll.BDP($C283, VOLUME_AVG_30D))</f>
        <v>0</v>
      </c>
      <c r="AA283" s="31" cm="1">
        <f t="array" ref="AA283">IF(LEFT(_xll.BDP($C283, VOLUME_AVG_3M), 4) = "#N/A", "",  _xll.BDP($C283, VOLUME_AVG_3M))</f>
        <v>0</v>
      </c>
      <c r="AB283" s="31" cm="1">
        <f t="array" ref="AB283">IF(LEFT(_xll.BDP($C283, VOLUME_AVG_6M), 4) = "#N/A", "",  _xll.BDP($C283, VOLUME_AVG_6M))</f>
        <v>166.66667175292969</v>
      </c>
      <c r="AC283" s="31" cm="1">
        <f t="array" ref="AC283">IF(LEFT(_xll.BDP($C283, VOLUME_AVG_12M), 4) = "#N/A", "",  _xll.BDP($C283, VOLUME_AVG_12M))</f>
        <v>83.665336608886719</v>
      </c>
      <c r="AD283" s="41" t="str" cm="1">
        <f t="array" ref="AD283">IF(LEFT(_xll.BDP($C283, LAST_PRICE), 4) = "#N/A", "",  _xll.BDP($C283, LAST_PRICE))</f>
        <v/>
      </c>
    </row>
    <row r="284" spans="1:30" x14ac:dyDescent="0.35">
      <c r="A284" s="1">
        <f t="shared" si="4"/>
        <v>281</v>
      </c>
      <c r="B284" s="28">
        <v>45700</v>
      </c>
      <c r="C284" s="29" t="s">
        <v>612</v>
      </c>
      <c r="D284" s="29" t="s">
        <v>612</v>
      </c>
      <c r="E284" s="29" t="s">
        <v>613</v>
      </c>
      <c r="F284" s="29" t="s">
        <v>33</v>
      </c>
      <c r="G284" s="30" t="s">
        <v>34</v>
      </c>
      <c r="H284" s="31">
        <v>300178750.550892</v>
      </c>
      <c r="I284" s="31">
        <v>377777750.550892</v>
      </c>
      <c r="J284" s="32">
        <v>4.6599998474121103</v>
      </c>
      <c r="K284" s="33">
        <v>45700</v>
      </c>
      <c r="L284" s="31">
        <v>5699900</v>
      </c>
      <c r="M284" s="32">
        <v>3.75</v>
      </c>
      <c r="N284" s="31" t="s">
        <v>35</v>
      </c>
      <c r="O284" s="33">
        <v>45699</v>
      </c>
      <c r="P284" s="34">
        <v>127593.9296875</v>
      </c>
      <c r="Q284" s="34">
        <v>154236.234375</v>
      </c>
      <c r="R284" s="34">
        <v>155162.390625</v>
      </c>
      <c r="S284" s="29"/>
      <c r="T284" s="33"/>
      <c r="U284" s="35" t="b">
        <v>0</v>
      </c>
      <c r="V284" s="35" t="b">
        <v>0</v>
      </c>
      <c r="W284" s="35" t="b">
        <v>0</v>
      </c>
      <c r="Y284" s="31" cm="1">
        <f t="array" ref="Y284">IF(LEFT(_xll.BDP($C284, VOLUME_AVG_10D), 4) = "#N/A", "",  _xll.BDP($C284, VOLUME_AVG_10D))</f>
        <v>189288</v>
      </c>
      <c r="Z284" s="31" cm="1">
        <f t="array" ref="Z284">IF(LEFT(_xll.BDP($C284, VOLUME_AVG_30D), 4) = "#N/A", "",  _xll.BDP($C284, VOLUME_AVG_30D))</f>
        <v>127593.9296875</v>
      </c>
      <c r="AA284" s="31" cm="1">
        <f t="array" ref="AA284">IF(LEFT(_xll.BDP($C284, VOLUME_AVG_3M), 4) = "#N/A", "",  _xll.BDP($C284, VOLUME_AVG_3M))</f>
        <v>154236.234375</v>
      </c>
      <c r="AB284" s="31" cm="1">
        <f t="array" ref="AB284">IF(LEFT(_xll.BDP($C284, VOLUME_AVG_6M), 4) = "#N/A", "",  _xll.BDP($C284, VOLUME_AVG_6M))</f>
        <v>155162.390625</v>
      </c>
      <c r="AC284" s="31" cm="1">
        <f t="array" ref="AC284">IF(LEFT(_xll.BDP($C284, VOLUME_AVG_12M), 4) = "#N/A", "",  _xll.BDP($C284, VOLUME_AVG_12M))</f>
        <v>169265.578125</v>
      </c>
      <c r="AD284" s="41" cm="1">
        <f t="array" ref="AD284">IF(LEFT(_xll.BDP($C284, LAST_PRICE), 4) = "#N/A", "",  _xll.BDP($C284, LAST_PRICE))</f>
        <v>4.66</v>
      </c>
    </row>
    <row r="285" spans="1:30" x14ac:dyDescent="0.35">
      <c r="A285" s="1">
        <f t="shared" si="4"/>
        <v>282</v>
      </c>
      <c r="B285" s="28">
        <v>45700</v>
      </c>
      <c r="C285" s="29" t="s">
        <v>614</v>
      </c>
      <c r="D285" s="29" t="s">
        <v>614</v>
      </c>
      <c r="E285" s="29" t="s">
        <v>615</v>
      </c>
      <c r="F285" s="29" t="s">
        <v>33</v>
      </c>
      <c r="G285" s="30" t="s">
        <v>34</v>
      </c>
      <c r="H285" s="31">
        <v>8965072.0312423091</v>
      </c>
      <c r="I285" s="31">
        <v>31798329.0312423</v>
      </c>
      <c r="J285" s="32">
        <v>0.36509999632835399</v>
      </c>
      <c r="K285" s="33">
        <v>45700</v>
      </c>
      <c r="L285" s="31">
        <v>256400</v>
      </c>
      <c r="M285" s="32">
        <v>-3.8</v>
      </c>
      <c r="N285" s="31" t="s">
        <v>35</v>
      </c>
      <c r="O285" s="33">
        <v>45699</v>
      </c>
      <c r="P285" s="34">
        <v>47110.5</v>
      </c>
      <c r="Q285" s="34">
        <v>61471.7734375</v>
      </c>
      <c r="R285" s="34">
        <v>61356.62890625</v>
      </c>
      <c r="S285" s="29"/>
      <c r="T285" s="33"/>
      <c r="U285" s="35" t="b">
        <v>1</v>
      </c>
      <c r="V285" s="35" t="b">
        <v>0</v>
      </c>
      <c r="W285" s="35" t="b">
        <v>0</v>
      </c>
      <c r="Y285" s="31" cm="1">
        <f t="array" ref="Y285">IF(LEFT(_xll.BDP($C285, VOLUME_AVG_10D), 4) = "#N/A", "",  _xll.BDP($C285, VOLUME_AVG_10D))</f>
        <v>16354.2998046875</v>
      </c>
      <c r="Z285" s="31" cm="1">
        <f t="array" ref="Z285">IF(LEFT(_xll.BDP($C285, VOLUME_AVG_30D), 4) = "#N/A", "",  _xll.BDP($C285, VOLUME_AVG_30D))</f>
        <v>47110.5</v>
      </c>
      <c r="AA285" s="31" cm="1">
        <f t="array" ref="AA285">IF(LEFT(_xll.BDP($C285, VOLUME_AVG_3M), 4) = "#N/A", "",  _xll.BDP($C285, VOLUME_AVG_3M))</f>
        <v>61471.7734375</v>
      </c>
      <c r="AB285" s="31" cm="1">
        <f t="array" ref="AB285">IF(LEFT(_xll.BDP($C285, VOLUME_AVG_6M), 4) = "#N/A", "",  _xll.BDP($C285, VOLUME_AVG_6M))</f>
        <v>61356.62890625</v>
      </c>
      <c r="AC285" s="31" cm="1">
        <f t="array" ref="AC285">IF(LEFT(_xll.BDP($C285, VOLUME_AVG_12M), 4) = "#N/A", "",  _xll.BDP($C285, VOLUME_AVG_12M))</f>
        <v>79266.03125</v>
      </c>
      <c r="AD285" s="41" cm="1">
        <f t="array" ref="AD285">IF(LEFT(_xll.BDP($C285, LAST_PRICE), 4) = "#N/A", "",  _xll.BDP($C285, LAST_PRICE))</f>
        <v>0.36509999999999998</v>
      </c>
    </row>
    <row r="286" spans="1:30" x14ac:dyDescent="0.35">
      <c r="A286" s="1">
        <f t="shared" si="4"/>
        <v>283</v>
      </c>
      <c r="B286" s="28">
        <v>45700</v>
      </c>
      <c r="C286" s="29" t="s">
        <v>616</v>
      </c>
      <c r="D286" s="29" t="s">
        <v>616</v>
      </c>
      <c r="E286" s="29" t="s">
        <v>617</v>
      </c>
      <c r="F286" s="29" t="s">
        <v>33</v>
      </c>
      <c r="G286" s="30" t="s">
        <v>34</v>
      </c>
      <c r="H286" s="31">
        <v>833457440.23961306</v>
      </c>
      <c r="I286" s="31">
        <v>1222968440.23961</v>
      </c>
      <c r="J286" s="32">
        <v>10.2700004577637</v>
      </c>
      <c r="K286" s="33">
        <v>45700</v>
      </c>
      <c r="L286" s="31">
        <v>9398200</v>
      </c>
      <c r="M286" s="32">
        <v>3.88</v>
      </c>
      <c r="N286" s="31" t="s">
        <v>35</v>
      </c>
      <c r="O286" s="33">
        <v>45699</v>
      </c>
      <c r="P286" s="34">
        <v>275900.6875</v>
      </c>
      <c r="Q286" s="34">
        <v>301753.09375</v>
      </c>
      <c r="R286" s="34">
        <v>451967.03125</v>
      </c>
      <c r="S286" s="29"/>
      <c r="T286" s="33"/>
      <c r="U286" s="35" t="b">
        <v>0</v>
      </c>
      <c r="V286" s="35" t="b">
        <v>0</v>
      </c>
      <c r="W286" s="35" t="b">
        <v>0</v>
      </c>
      <c r="Y286" s="31" cm="1">
        <f t="array" ref="Y286">IF(LEFT(_xll.BDP($C286, VOLUME_AVG_10D), 4) = "#N/A", "",  _xll.BDP($C286, VOLUME_AVG_10D))</f>
        <v>207449.90625</v>
      </c>
      <c r="Z286" s="31" cm="1">
        <f t="array" ref="Z286">IF(LEFT(_xll.BDP($C286, VOLUME_AVG_30D), 4) = "#N/A", "",  _xll.BDP($C286, VOLUME_AVG_30D))</f>
        <v>275900.6875</v>
      </c>
      <c r="AA286" s="31" cm="1">
        <f t="array" ref="AA286">IF(LEFT(_xll.BDP($C286, VOLUME_AVG_3M), 4) = "#N/A", "",  _xll.BDP($C286, VOLUME_AVG_3M))</f>
        <v>301753.09375</v>
      </c>
      <c r="AB286" s="31" cm="1">
        <f t="array" ref="AB286">IF(LEFT(_xll.BDP($C286, VOLUME_AVG_6M), 4) = "#N/A", "",  _xll.BDP($C286, VOLUME_AVG_6M))</f>
        <v>451967.03125</v>
      </c>
      <c r="AC286" s="31" cm="1">
        <f t="array" ref="AC286">IF(LEFT(_xll.BDP($C286, VOLUME_AVG_12M), 4) = "#N/A", "",  _xll.BDP($C286, VOLUME_AVG_12M))</f>
        <v>405799.8125</v>
      </c>
      <c r="AD286" s="41" cm="1">
        <f t="array" ref="AD286">IF(LEFT(_xll.BDP($C286, LAST_PRICE), 4) = "#N/A", "",  _xll.BDP($C286, LAST_PRICE))</f>
        <v>10.27</v>
      </c>
    </row>
    <row r="287" spans="1:30" x14ac:dyDescent="0.35">
      <c r="A287" s="1">
        <f t="shared" si="4"/>
        <v>284</v>
      </c>
      <c r="B287" s="28">
        <v>45700</v>
      </c>
      <c r="C287" s="29" t="s">
        <v>618</v>
      </c>
      <c r="D287" s="29" t="s">
        <v>618</v>
      </c>
      <c r="E287" s="29" t="s">
        <v>619</v>
      </c>
      <c r="F287" s="29" t="s">
        <v>33</v>
      </c>
      <c r="G287" s="30" t="s">
        <v>34</v>
      </c>
      <c r="H287" s="31">
        <v>31921927.4819436</v>
      </c>
      <c r="I287" s="31">
        <v>7898436.4819436101</v>
      </c>
      <c r="J287" s="32">
        <v>1.7300000190734901</v>
      </c>
      <c r="K287" s="33">
        <v>45700</v>
      </c>
      <c r="L287" s="31">
        <v>471500</v>
      </c>
      <c r="M287" s="32">
        <v>-12.95</v>
      </c>
      <c r="N287" s="31" t="s">
        <v>35</v>
      </c>
      <c r="O287" s="33">
        <v>45699</v>
      </c>
      <c r="P287" s="34">
        <v>953211.0625</v>
      </c>
      <c r="Q287" s="34">
        <v>1471340.5</v>
      </c>
      <c r="R287" s="34">
        <v>3353546.25</v>
      </c>
      <c r="S287" s="29"/>
      <c r="T287" s="33"/>
      <c r="U287" s="35" t="b">
        <v>0</v>
      </c>
      <c r="V287" s="35" t="b">
        <v>0</v>
      </c>
      <c r="W287" s="35" t="b">
        <v>0</v>
      </c>
      <c r="Y287" s="31" cm="1">
        <f t="array" ref="Y287">IF(LEFT(_xll.BDP($C287, VOLUME_AVG_10D), 4) = "#N/A", "",  _xll.BDP($C287, VOLUME_AVG_10D))</f>
        <v>744358</v>
      </c>
      <c r="Z287" s="31" cm="1">
        <f t="array" ref="Z287">IF(LEFT(_xll.BDP($C287, VOLUME_AVG_30D), 4) = "#N/A", "",  _xll.BDP($C287, VOLUME_AVG_30D))</f>
        <v>953211.0625</v>
      </c>
      <c r="AA287" s="31" cm="1">
        <f t="array" ref="AA287">IF(LEFT(_xll.BDP($C287, VOLUME_AVG_3M), 4) = "#N/A", "",  _xll.BDP($C287, VOLUME_AVG_3M))</f>
        <v>1471340.5</v>
      </c>
      <c r="AB287" s="31" cm="1">
        <f t="array" ref="AB287">IF(LEFT(_xll.BDP($C287, VOLUME_AVG_6M), 4) = "#N/A", "",  _xll.BDP($C287, VOLUME_AVG_6M))</f>
        <v>3353546.25</v>
      </c>
      <c r="AC287" s="31" cm="1">
        <f t="array" ref="AC287">IF(LEFT(_xll.BDP($C287, VOLUME_AVG_12M), 4) = "#N/A", "",  _xll.BDP($C287, VOLUME_AVG_12M))</f>
        <v>1768486</v>
      </c>
      <c r="AD287" s="41" cm="1">
        <f t="array" ref="AD287">IF(LEFT(_xll.BDP($C287, LAST_PRICE), 4) = "#N/A", "",  _xll.BDP($C287, LAST_PRICE))</f>
        <v>1.73</v>
      </c>
    </row>
    <row r="288" spans="1:30" x14ac:dyDescent="0.35">
      <c r="A288" s="1">
        <f t="shared" si="4"/>
        <v>285</v>
      </c>
      <c r="B288" s="28">
        <v>45700</v>
      </c>
      <c r="C288" s="29" t="s">
        <v>620</v>
      </c>
      <c r="D288" s="29" t="s">
        <v>620</v>
      </c>
      <c r="E288" s="29" t="s">
        <v>621</v>
      </c>
      <c r="F288" s="29" t="s">
        <v>33</v>
      </c>
      <c r="G288" s="30" t="s">
        <v>34</v>
      </c>
      <c r="H288" s="31">
        <v>8716083.8150130492</v>
      </c>
      <c r="I288" s="31">
        <v>73298083.815013096</v>
      </c>
      <c r="J288" s="32">
        <v>2.8099999427795401</v>
      </c>
      <c r="K288" s="33">
        <v>45700</v>
      </c>
      <c r="L288" s="31">
        <v>63000</v>
      </c>
      <c r="M288" s="32">
        <v>-1.5</v>
      </c>
      <c r="N288" s="31" t="s">
        <v>35</v>
      </c>
      <c r="O288" s="33">
        <v>45699</v>
      </c>
      <c r="P288" s="34">
        <v>200970.5</v>
      </c>
      <c r="Q288" s="34">
        <v>124895.8671875</v>
      </c>
      <c r="R288" s="34">
        <v>76552.7265625</v>
      </c>
      <c r="S288" s="29" t="s">
        <v>97</v>
      </c>
      <c r="T288" s="33">
        <v>45215</v>
      </c>
      <c r="U288" s="35" t="b">
        <v>1</v>
      </c>
      <c r="V288" s="35" t="b">
        <v>0</v>
      </c>
      <c r="W288" s="35" t="b">
        <v>0</v>
      </c>
      <c r="Y288" s="31" cm="1">
        <f t="array" ref="Y288">IF(LEFT(_xll.BDP($C288, VOLUME_AVG_10D), 4) = "#N/A", "",  _xll.BDP($C288, VOLUME_AVG_10D))</f>
        <v>222259.4375</v>
      </c>
      <c r="Z288" s="31" cm="1">
        <f t="array" ref="Z288">IF(LEFT(_xll.BDP($C288, VOLUME_AVG_30D), 4) = "#N/A", "",  _xll.BDP($C288, VOLUME_AVG_30D))</f>
        <v>200970.5</v>
      </c>
      <c r="AA288" s="31" cm="1">
        <f t="array" ref="AA288">IF(LEFT(_xll.BDP($C288, VOLUME_AVG_3M), 4) = "#N/A", "",  _xll.BDP($C288, VOLUME_AVG_3M))</f>
        <v>124895.8671875</v>
      </c>
      <c r="AB288" s="31" cm="1">
        <f t="array" ref="AB288">IF(LEFT(_xll.BDP($C288, VOLUME_AVG_6M), 4) = "#N/A", "",  _xll.BDP($C288, VOLUME_AVG_6M))</f>
        <v>76552.7265625</v>
      </c>
      <c r="AC288" s="31" cm="1">
        <f t="array" ref="AC288">IF(LEFT(_xll.BDP($C288, VOLUME_AVG_12M), 4) = "#N/A", "",  _xll.BDP($C288, VOLUME_AVG_12M))</f>
        <v>68500.8203125</v>
      </c>
      <c r="AD288" s="41" cm="1">
        <f t="array" ref="AD288">IF(LEFT(_xll.BDP($C288, LAST_PRICE), 4) = "#N/A", "",  _xll.BDP($C288, LAST_PRICE))</f>
        <v>2.81</v>
      </c>
    </row>
    <row r="289" spans="1:30" x14ac:dyDescent="0.35">
      <c r="A289" s="1">
        <f t="shared" si="4"/>
        <v>286</v>
      </c>
      <c r="B289" s="28">
        <v>45700</v>
      </c>
      <c r="C289" s="29" t="s">
        <v>622</v>
      </c>
      <c r="D289" s="29" t="s">
        <v>622</v>
      </c>
      <c r="E289" s="29" t="s">
        <v>623</v>
      </c>
      <c r="F289" s="29" t="s">
        <v>33</v>
      </c>
      <c r="G289" s="30" t="s">
        <v>34</v>
      </c>
      <c r="H289" s="31">
        <v>7226812.6376165897</v>
      </c>
      <c r="I289" s="31">
        <v>8154622.6376165897</v>
      </c>
      <c r="J289" s="32">
        <v>8.2000002264976501E-2</v>
      </c>
      <c r="K289" s="33">
        <v>45700</v>
      </c>
      <c r="L289" s="31">
        <v>342100</v>
      </c>
      <c r="M289" s="32">
        <v>3.3</v>
      </c>
      <c r="N289" s="31" t="s">
        <v>35</v>
      </c>
      <c r="O289" s="33">
        <v>45699</v>
      </c>
      <c r="P289" s="34">
        <v>171987.796875</v>
      </c>
      <c r="Q289" s="34">
        <v>121795.484375</v>
      </c>
      <c r="R289" s="34">
        <v>93619.109375</v>
      </c>
      <c r="S289" s="29"/>
      <c r="T289" s="33"/>
      <c r="U289" s="35" t="b">
        <v>1</v>
      </c>
      <c r="V289" s="35" t="b">
        <v>1</v>
      </c>
      <c r="W289" s="35" t="b">
        <v>0</v>
      </c>
      <c r="Y289" s="31" cm="1">
        <f t="array" ref="Y289">IF(LEFT(_xll.BDP($C289, VOLUME_AVG_10D), 4) = "#N/A", "",  _xll.BDP($C289, VOLUME_AVG_10D))</f>
        <v>82385.703125</v>
      </c>
      <c r="Z289" s="31" cm="1">
        <f t="array" ref="Z289">IF(LEFT(_xll.BDP($C289, VOLUME_AVG_30D), 4) = "#N/A", "",  _xll.BDP($C289, VOLUME_AVG_30D))</f>
        <v>171987.796875</v>
      </c>
      <c r="AA289" s="31" cm="1">
        <f t="array" ref="AA289">IF(LEFT(_xll.BDP($C289, VOLUME_AVG_3M), 4) = "#N/A", "",  _xll.BDP($C289, VOLUME_AVG_3M))</f>
        <v>121795.484375</v>
      </c>
      <c r="AB289" s="31" cm="1">
        <f t="array" ref="AB289">IF(LEFT(_xll.BDP($C289, VOLUME_AVG_6M), 4) = "#N/A", "",  _xll.BDP($C289, VOLUME_AVG_6M))</f>
        <v>93619.109375</v>
      </c>
      <c r="AC289" s="31" cm="1">
        <f t="array" ref="AC289">IF(LEFT(_xll.BDP($C289, VOLUME_AVG_12M), 4) = "#N/A", "",  _xll.BDP($C289, VOLUME_AVG_12M))</f>
        <v>93770.3828125</v>
      </c>
      <c r="AD289" s="41" cm="1">
        <f t="array" ref="AD289">IF(LEFT(_xll.BDP($C289, LAST_PRICE), 4) = "#N/A", "",  _xll.BDP($C289, LAST_PRICE))</f>
        <v>8.2000000000000003E-2</v>
      </c>
    </row>
    <row r="290" spans="1:30" x14ac:dyDescent="0.35">
      <c r="A290" s="1">
        <f t="shared" si="4"/>
        <v>287</v>
      </c>
      <c r="B290" s="28">
        <v>45700</v>
      </c>
      <c r="C290" s="29" t="s">
        <v>624</v>
      </c>
      <c r="D290" s="29" t="s">
        <v>624</v>
      </c>
      <c r="E290" s="29" t="s">
        <v>625</v>
      </c>
      <c r="F290" s="29" t="s">
        <v>33</v>
      </c>
      <c r="G290" s="30" t="s">
        <v>34</v>
      </c>
      <c r="H290" s="31">
        <v>127882241.840363</v>
      </c>
      <c r="I290" s="31">
        <v>38199241.840362802</v>
      </c>
      <c r="J290" s="32">
        <v>2.2599999904632599</v>
      </c>
      <c r="K290" s="33">
        <v>45700</v>
      </c>
      <c r="L290" s="31">
        <v>7258500</v>
      </c>
      <c r="M290" s="32">
        <v>3.88</v>
      </c>
      <c r="N290" s="31" t="s">
        <v>35</v>
      </c>
      <c r="O290" s="33">
        <v>45699</v>
      </c>
      <c r="P290" s="34">
        <v>1093803.375</v>
      </c>
      <c r="Q290" s="34">
        <v>772601.9375</v>
      </c>
      <c r="R290" s="34">
        <v>1000385.625</v>
      </c>
      <c r="S290" s="29" t="s">
        <v>46</v>
      </c>
      <c r="T290" s="33">
        <v>45446</v>
      </c>
      <c r="U290" s="35" t="b">
        <v>0</v>
      </c>
      <c r="V290" s="35" t="b">
        <v>0</v>
      </c>
      <c r="W290" s="35" t="b">
        <v>0</v>
      </c>
      <c r="Y290" s="31" cm="1">
        <f t="array" ref="Y290">IF(LEFT(_xll.BDP($C290, VOLUME_AVG_10D), 4) = "#N/A", "",  _xll.BDP($C290, VOLUME_AVG_10D))</f>
        <v>657131.1875</v>
      </c>
      <c r="Z290" s="31" cm="1">
        <f t="array" ref="Z290">IF(LEFT(_xll.BDP($C290, VOLUME_AVG_30D), 4) = "#N/A", "",  _xll.BDP($C290, VOLUME_AVG_30D))</f>
        <v>1093803.375</v>
      </c>
      <c r="AA290" s="31" cm="1">
        <f t="array" ref="AA290">IF(LEFT(_xll.BDP($C290, VOLUME_AVG_3M), 4) = "#N/A", "",  _xll.BDP($C290, VOLUME_AVG_3M))</f>
        <v>772601.9375</v>
      </c>
      <c r="AB290" s="31" cm="1">
        <f t="array" ref="AB290">IF(LEFT(_xll.BDP($C290, VOLUME_AVG_6M), 4) = "#N/A", "",  _xll.BDP($C290, VOLUME_AVG_6M))</f>
        <v>1000385.625</v>
      </c>
      <c r="AC290" s="31" cm="1">
        <f t="array" ref="AC290">IF(LEFT(_xll.BDP($C290, VOLUME_AVG_12M), 4) = "#N/A", "",  _xll.BDP($C290, VOLUME_AVG_12M))</f>
        <v>835249.0625</v>
      </c>
      <c r="AD290" s="41" cm="1">
        <f t="array" ref="AD290">IF(LEFT(_xll.BDP($C290, LAST_PRICE), 4) = "#N/A", "",  _xll.BDP($C290, LAST_PRICE))</f>
        <v>2.2599999999999998</v>
      </c>
    </row>
    <row r="291" spans="1:30" x14ac:dyDescent="0.35">
      <c r="A291" s="1">
        <f t="shared" si="4"/>
        <v>288</v>
      </c>
      <c r="B291" s="28">
        <v>45700</v>
      </c>
      <c r="C291" s="29" t="s">
        <v>626</v>
      </c>
      <c r="D291" s="29" t="s">
        <v>626</v>
      </c>
      <c r="E291" s="29" t="s">
        <v>627</v>
      </c>
      <c r="F291" s="29" t="s">
        <v>40</v>
      </c>
      <c r="G291" s="30" t="s">
        <v>41</v>
      </c>
      <c r="H291" s="31">
        <v>3990251.4308109302</v>
      </c>
      <c r="I291" s="31">
        <v>3750652.4308109302</v>
      </c>
      <c r="J291" s="32">
        <v>9.9999997764825804E-3</v>
      </c>
      <c r="K291" s="33">
        <v>45700</v>
      </c>
      <c r="L291" s="31"/>
      <c r="M291" s="32"/>
      <c r="N291" s="31"/>
      <c r="O291" s="33">
        <v>45699</v>
      </c>
      <c r="P291" s="34">
        <v>9444.8330000000005</v>
      </c>
      <c r="Q291" s="34">
        <v>14495.81</v>
      </c>
      <c r="R291" s="34">
        <v>25092.85</v>
      </c>
      <c r="S291" s="29"/>
      <c r="T291" s="33"/>
      <c r="U291" s="35" t="b">
        <v>1</v>
      </c>
      <c r="V291" s="35" t="b">
        <v>1</v>
      </c>
      <c r="W291" s="35" t="b">
        <v>0</v>
      </c>
      <c r="Y291" s="31" cm="1">
        <f t="array" ref="Y291">IF(LEFT(_xll.BDP($C291, VOLUME_AVG_10D), 4) = "#N/A", "",  _xll.BDP($C291, VOLUME_AVG_10D))</f>
        <v>14028.8</v>
      </c>
      <c r="Z291" s="31" cm="1">
        <f t="array" ref="Z291">IF(LEFT(_xll.BDP($C291, VOLUME_AVG_30D), 4) = "#N/A", "",  _xll.BDP($C291, VOLUME_AVG_30D))</f>
        <v>9444.8330000000005</v>
      </c>
      <c r="AA291" s="31" cm="1">
        <f t="array" ref="AA291">IF(LEFT(_xll.BDP($C291, VOLUME_AVG_3M), 4) = "#N/A", "",  _xll.BDP($C291, VOLUME_AVG_3M))</f>
        <v>14495.81</v>
      </c>
      <c r="AB291" s="31" cm="1">
        <f t="array" ref="AB291">IF(LEFT(_xll.BDP($C291, VOLUME_AVG_6M), 4) = "#N/A", "",  _xll.BDP($C291, VOLUME_AVG_6M))</f>
        <v>25092.85</v>
      </c>
      <c r="AC291" s="31" cm="1">
        <f t="array" ref="AC291">IF(LEFT(_xll.BDP($C291, VOLUME_AVG_12M), 4) = "#N/A", "",  _xll.BDP($C291, VOLUME_AVG_12M))</f>
        <v>55283.33</v>
      </c>
      <c r="AD291" s="41" cm="1">
        <f t="array" ref="AD291">IF(LEFT(_xll.BDP($C291, LAST_PRICE), 4) = "#N/A", "",  _xll.BDP($C291, LAST_PRICE))</f>
        <v>0.01</v>
      </c>
    </row>
    <row r="292" spans="1:30" x14ac:dyDescent="0.35">
      <c r="A292" s="1">
        <f t="shared" si="4"/>
        <v>289</v>
      </c>
      <c r="B292" s="28">
        <v>45700</v>
      </c>
      <c r="C292" s="29" t="s">
        <v>628</v>
      </c>
      <c r="D292" s="29" t="s">
        <v>628</v>
      </c>
      <c r="E292" s="29" t="s">
        <v>629</v>
      </c>
      <c r="F292" s="29" t="s">
        <v>33</v>
      </c>
      <c r="G292" s="30" t="s">
        <v>34</v>
      </c>
      <c r="H292" s="31">
        <v>62124966.929444</v>
      </c>
      <c r="I292" s="31">
        <v>356496966.92944402</v>
      </c>
      <c r="J292" s="32">
        <v>6.3899998664856001</v>
      </c>
      <c r="K292" s="33">
        <v>45700</v>
      </c>
      <c r="L292" s="31">
        <v>127800</v>
      </c>
      <c r="M292" s="32">
        <v>-57.9</v>
      </c>
      <c r="N292" s="31" t="s">
        <v>35</v>
      </c>
      <c r="O292" s="33">
        <v>45699</v>
      </c>
      <c r="P292" s="34">
        <v>214319.265625</v>
      </c>
      <c r="Q292" s="34">
        <v>394490.09375</v>
      </c>
      <c r="R292" s="34">
        <v>386272.0625</v>
      </c>
      <c r="S292" s="29" t="s">
        <v>68</v>
      </c>
      <c r="T292" s="33">
        <v>45446</v>
      </c>
      <c r="U292" s="35" t="b">
        <v>0</v>
      </c>
      <c r="V292" s="35" t="b">
        <v>0</v>
      </c>
      <c r="W292" s="35" t="b">
        <v>0</v>
      </c>
      <c r="Y292" s="31" cm="1">
        <f t="array" ref="Y292">IF(LEFT(_xll.BDP($C292, VOLUME_AVG_10D), 4) = "#N/A", "",  _xll.BDP($C292, VOLUME_AVG_10D))</f>
        <v>210431.203125</v>
      </c>
      <c r="Z292" s="31" cm="1">
        <f t="array" ref="Z292">IF(LEFT(_xll.BDP($C292, VOLUME_AVG_30D), 4) = "#N/A", "",  _xll.BDP($C292, VOLUME_AVG_30D))</f>
        <v>214319.265625</v>
      </c>
      <c r="AA292" s="31" cm="1">
        <f t="array" ref="AA292">IF(LEFT(_xll.BDP($C292, VOLUME_AVG_3M), 4) = "#N/A", "",  _xll.BDP($C292, VOLUME_AVG_3M))</f>
        <v>394490.09375</v>
      </c>
      <c r="AB292" s="31" cm="1">
        <f t="array" ref="AB292">IF(LEFT(_xll.BDP($C292, VOLUME_AVG_6M), 4) = "#N/A", "",  _xll.BDP($C292, VOLUME_AVG_6M))</f>
        <v>386272.0625</v>
      </c>
      <c r="AC292" s="31" cm="1">
        <f t="array" ref="AC292">IF(LEFT(_xll.BDP($C292, VOLUME_AVG_12M), 4) = "#N/A", "",  _xll.BDP($C292, VOLUME_AVG_12M))</f>
        <v>365299.9375</v>
      </c>
      <c r="AD292" s="41" cm="1">
        <f t="array" ref="AD292">IF(LEFT(_xll.BDP($C292, LAST_PRICE), 4) = "#N/A", "",  _xll.BDP($C292, LAST_PRICE))</f>
        <v>6.39</v>
      </c>
    </row>
    <row r="293" spans="1:30" x14ac:dyDescent="0.35">
      <c r="A293" s="1">
        <f t="shared" si="4"/>
        <v>290</v>
      </c>
      <c r="B293" s="28">
        <v>45700</v>
      </c>
      <c r="C293" s="29" t="s">
        <v>630</v>
      </c>
      <c r="D293" s="29" t="s">
        <v>630</v>
      </c>
      <c r="E293" s="29" t="s">
        <v>631</v>
      </c>
      <c r="F293" s="29" t="s">
        <v>33</v>
      </c>
      <c r="G293" s="30" t="s">
        <v>34</v>
      </c>
      <c r="H293" s="31">
        <v>6578735628.1876202</v>
      </c>
      <c r="I293" s="31">
        <v>6369182628.1876202</v>
      </c>
      <c r="J293" s="32">
        <v>103.55999755859401</v>
      </c>
      <c r="K293" s="33">
        <v>45700</v>
      </c>
      <c r="L293" s="31">
        <v>24136200</v>
      </c>
      <c r="M293" s="32">
        <v>3.88</v>
      </c>
      <c r="N293" s="31" t="s">
        <v>35</v>
      </c>
      <c r="O293" s="33">
        <v>45699</v>
      </c>
      <c r="P293" s="34">
        <v>928004.9375</v>
      </c>
      <c r="Q293" s="34">
        <v>764720.125</v>
      </c>
      <c r="R293" s="34">
        <v>686209.1875</v>
      </c>
      <c r="S293" s="29" t="s">
        <v>73</v>
      </c>
      <c r="T293" s="33">
        <v>45446</v>
      </c>
      <c r="U293" s="35" t="b">
        <v>0</v>
      </c>
      <c r="V293" s="35" t="b">
        <v>0</v>
      </c>
      <c r="W293" s="35" t="b">
        <v>0</v>
      </c>
      <c r="Y293" s="31" cm="1">
        <f t="array" ref="Y293">IF(LEFT(_xll.BDP($C293, VOLUME_AVG_10D), 4) = "#N/A", "",  _xll.BDP($C293, VOLUME_AVG_10D))</f>
        <v>1037068.8125</v>
      </c>
      <c r="Z293" s="31" cm="1">
        <f t="array" ref="Z293">IF(LEFT(_xll.BDP($C293, VOLUME_AVG_30D), 4) = "#N/A", "",  _xll.BDP($C293, VOLUME_AVG_30D))</f>
        <v>928004.9375</v>
      </c>
      <c r="AA293" s="31" cm="1">
        <f t="array" ref="AA293">IF(LEFT(_xll.BDP($C293, VOLUME_AVG_3M), 4) = "#N/A", "",  _xll.BDP($C293, VOLUME_AVG_3M))</f>
        <v>764720.125</v>
      </c>
      <c r="AB293" s="31" cm="1">
        <f t="array" ref="AB293">IF(LEFT(_xll.BDP($C293, VOLUME_AVG_6M), 4) = "#N/A", "",  _xll.BDP($C293, VOLUME_AVG_6M))</f>
        <v>686209.1875</v>
      </c>
      <c r="AC293" s="31" cm="1">
        <f t="array" ref="AC293">IF(LEFT(_xll.BDP($C293, VOLUME_AVG_12M), 4) = "#N/A", "",  _xll.BDP($C293, VOLUME_AVG_12M))</f>
        <v>717449.5625</v>
      </c>
      <c r="AD293" s="41" cm="1">
        <f t="array" ref="AD293">IF(LEFT(_xll.BDP($C293, LAST_PRICE), 4) = "#N/A", "",  _xll.BDP($C293, LAST_PRICE))</f>
        <v>103.56</v>
      </c>
    </row>
    <row r="294" spans="1:30" x14ac:dyDescent="0.35">
      <c r="A294" s="1">
        <f t="shared" si="4"/>
        <v>291</v>
      </c>
      <c r="B294" s="28">
        <v>45700</v>
      </c>
      <c r="C294" s="29" t="s">
        <v>632</v>
      </c>
      <c r="D294" s="29" t="s">
        <v>632</v>
      </c>
      <c r="E294" s="29" t="s">
        <v>633</v>
      </c>
      <c r="F294" s="29" t="s">
        <v>33</v>
      </c>
      <c r="G294" s="30" t="s">
        <v>34</v>
      </c>
      <c r="H294" s="31">
        <v>1181491.2001178199</v>
      </c>
      <c r="I294" s="31">
        <v>14308288.2001178</v>
      </c>
      <c r="J294" s="32">
        <v>8.0000003799796104E-3</v>
      </c>
      <c r="K294" s="33">
        <v>45700</v>
      </c>
      <c r="L294" s="31"/>
      <c r="M294" s="32"/>
      <c r="N294" s="31"/>
      <c r="O294" s="33">
        <v>45699</v>
      </c>
      <c r="P294" s="34">
        <v>65015.06640625</v>
      </c>
      <c r="Q294" s="34">
        <v>67092.3359375</v>
      </c>
      <c r="R294" s="34">
        <v>51596.53125</v>
      </c>
      <c r="S294" s="29"/>
      <c r="T294" s="33"/>
      <c r="U294" s="35" t="b">
        <v>1</v>
      </c>
      <c r="V294" s="35" t="b">
        <v>1</v>
      </c>
      <c r="W294" s="35" t="b">
        <v>0</v>
      </c>
      <c r="Y294" s="31" cm="1">
        <f t="array" ref="Y294">IF(LEFT(_xll.BDP($C294, VOLUME_AVG_10D), 4) = "#N/A", "",  _xll.BDP($C294, VOLUME_AVG_10D))</f>
        <v>169268.90625</v>
      </c>
      <c r="Z294" s="31" cm="1">
        <f t="array" ref="Z294">IF(LEFT(_xll.BDP($C294, VOLUME_AVG_30D), 4) = "#N/A", "",  _xll.BDP($C294, VOLUME_AVG_30D))</f>
        <v>65015.06640625</v>
      </c>
      <c r="AA294" s="31" cm="1">
        <f t="array" ref="AA294">IF(LEFT(_xll.BDP($C294, VOLUME_AVG_3M), 4) = "#N/A", "",  _xll.BDP($C294, VOLUME_AVG_3M))</f>
        <v>67092.3359375</v>
      </c>
      <c r="AB294" s="31" cm="1">
        <f t="array" ref="AB294">IF(LEFT(_xll.BDP($C294, VOLUME_AVG_6M), 4) = "#N/A", "",  _xll.BDP($C294, VOLUME_AVG_6M))</f>
        <v>51596.53125</v>
      </c>
      <c r="AC294" s="31" cm="1">
        <f t="array" ref="AC294">IF(LEFT(_xll.BDP($C294, VOLUME_AVG_12M), 4) = "#N/A", "",  _xll.BDP($C294, VOLUME_AVG_12M))</f>
        <v>80090.5703125</v>
      </c>
      <c r="AD294" s="41" cm="1">
        <f t="array" ref="AD294">IF(LEFT(_xll.BDP($C294, LAST_PRICE), 4) = "#N/A", "",  _xll.BDP($C294, LAST_PRICE))</f>
        <v>8.0000000000000002E-3</v>
      </c>
    </row>
    <row r="295" spans="1:30" x14ac:dyDescent="0.35">
      <c r="A295" s="1">
        <f t="shared" si="4"/>
        <v>292</v>
      </c>
      <c r="B295" s="28">
        <v>45700</v>
      </c>
      <c r="C295" s="29" t="s">
        <v>634</v>
      </c>
      <c r="D295" s="29" t="s">
        <v>634</v>
      </c>
      <c r="E295" s="29" t="s">
        <v>635</v>
      </c>
      <c r="F295" s="29" t="s">
        <v>33</v>
      </c>
      <c r="G295" s="30" t="s">
        <v>34</v>
      </c>
      <c r="H295" s="31">
        <v>18413140.993925199</v>
      </c>
      <c r="I295" s="31">
        <v>-63556859.006074801</v>
      </c>
      <c r="J295" s="32">
        <v>0.481099992990494</v>
      </c>
      <c r="K295" s="33">
        <v>45700</v>
      </c>
      <c r="L295" s="31">
        <v>1861300</v>
      </c>
      <c r="M295" s="32">
        <v>3.88</v>
      </c>
      <c r="N295" s="31" t="s">
        <v>35</v>
      </c>
      <c r="O295" s="33">
        <v>45699</v>
      </c>
      <c r="P295" s="34">
        <v>154317.96875</v>
      </c>
      <c r="Q295" s="34">
        <v>160797.765625</v>
      </c>
      <c r="R295" s="34">
        <v>146407.09375</v>
      </c>
      <c r="S295" s="29" t="s">
        <v>46</v>
      </c>
      <c r="T295" s="33">
        <v>45215</v>
      </c>
      <c r="U295" s="35" t="b">
        <v>1</v>
      </c>
      <c r="V295" s="35" t="b">
        <v>0</v>
      </c>
      <c r="W295" s="35" t="b">
        <v>1</v>
      </c>
      <c r="Y295" s="31" cm="1">
        <f t="array" ref="Y295">IF(LEFT(_xll.BDP($C295, VOLUME_AVG_10D), 4) = "#N/A", "",  _xll.BDP($C295, VOLUME_AVG_10D))</f>
        <v>102944.3984375</v>
      </c>
      <c r="Z295" s="31" cm="1">
        <f t="array" ref="Z295">IF(LEFT(_xll.BDP($C295, VOLUME_AVG_30D), 4) = "#N/A", "",  _xll.BDP($C295, VOLUME_AVG_30D))</f>
        <v>154317.96875</v>
      </c>
      <c r="AA295" s="31" cm="1">
        <f t="array" ref="AA295">IF(LEFT(_xll.BDP($C295, VOLUME_AVG_3M), 4) = "#N/A", "",  _xll.BDP($C295, VOLUME_AVG_3M))</f>
        <v>160797.765625</v>
      </c>
      <c r="AB295" s="31" cm="1">
        <f t="array" ref="AB295">IF(LEFT(_xll.BDP($C295, VOLUME_AVG_6M), 4) = "#N/A", "",  _xll.BDP($C295, VOLUME_AVG_6M))</f>
        <v>146407.09375</v>
      </c>
      <c r="AC295" s="31" cm="1">
        <f t="array" ref="AC295">IF(LEFT(_xll.BDP($C295, VOLUME_AVG_12M), 4) = "#N/A", "",  _xll.BDP($C295, VOLUME_AVG_12M))</f>
        <v>175200.609375</v>
      </c>
      <c r="AD295" s="41" cm="1">
        <f t="array" ref="AD295">IF(LEFT(_xll.BDP($C295, LAST_PRICE), 4) = "#N/A", "",  _xll.BDP($C295, LAST_PRICE))</f>
        <v>0.48110000000000003</v>
      </c>
    </row>
    <row r="296" spans="1:30" x14ac:dyDescent="0.35">
      <c r="A296" s="1">
        <f t="shared" si="4"/>
        <v>293</v>
      </c>
      <c r="B296" s="28">
        <v>45700</v>
      </c>
      <c r="C296" s="29" t="s">
        <v>636</v>
      </c>
      <c r="D296" s="29" t="s">
        <v>636</v>
      </c>
      <c r="E296" s="29" t="s">
        <v>637</v>
      </c>
      <c r="F296" s="29" t="s">
        <v>33</v>
      </c>
      <c r="G296" s="30" t="s">
        <v>34</v>
      </c>
      <c r="H296" s="31">
        <v>2635981.5092175002</v>
      </c>
      <c r="I296" s="31">
        <v>-930444.49078250001</v>
      </c>
      <c r="J296" s="32">
        <v>1.0700000524520901</v>
      </c>
      <c r="K296" s="33">
        <v>45700</v>
      </c>
      <c r="L296" s="31">
        <v>105000</v>
      </c>
      <c r="M296" s="32">
        <v>-22.3</v>
      </c>
      <c r="N296" s="31" t="s">
        <v>35</v>
      </c>
      <c r="O296" s="33">
        <v>45699</v>
      </c>
      <c r="P296" s="34">
        <v>226417.5625</v>
      </c>
      <c r="Q296" s="34">
        <v>189413.28125</v>
      </c>
      <c r="R296" s="34">
        <v>1644613.375</v>
      </c>
      <c r="S296" s="29"/>
      <c r="T296" s="33"/>
      <c r="U296" s="35" t="b">
        <v>1</v>
      </c>
      <c r="V296" s="35" t="b">
        <v>0</v>
      </c>
      <c r="W296" s="35" t="b">
        <v>1</v>
      </c>
      <c r="Y296" s="31" cm="1">
        <f t="array" ref="Y296">IF(LEFT(_xll.BDP($C296, VOLUME_AVG_10D), 4) = "#N/A", "",  _xll.BDP($C296, VOLUME_AVG_10D))</f>
        <v>260188.90625</v>
      </c>
      <c r="Z296" s="31" cm="1">
        <f t="array" ref="Z296">IF(LEFT(_xll.BDP($C296, VOLUME_AVG_30D), 4) = "#N/A", "",  _xll.BDP($C296, VOLUME_AVG_30D))</f>
        <v>226417.5625</v>
      </c>
      <c r="AA296" s="31" cm="1">
        <f t="array" ref="AA296">IF(LEFT(_xll.BDP($C296, VOLUME_AVG_3M), 4) = "#N/A", "",  _xll.BDP($C296, VOLUME_AVG_3M))</f>
        <v>189413.28125</v>
      </c>
      <c r="AB296" s="31" cm="1">
        <f t="array" ref="AB296">IF(LEFT(_xll.BDP($C296, VOLUME_AVG_6M), 4) = "#N/A", "",  _xll.BDP($C296, VOLUME_AVG_6M))</f>
        <v>1644613.375</v>
      </c>
      <c r="AC296" s="31" cm="1">
        <f t="array" ref="AC296">IF(LEFT(_xll.BDP($C296, VOLUME_AVG_12M), 4) = "#N/A", "",  _xll.BDP($C296, VOLUME_AVG_12M))</f>
        <v>1379885.75</v>
      </c>
      <c r="AD296" s="41" cm="1">
        <f t="array" ref="AD296">IF(LEFT(_xll.BDP($C296, LAST_PRICE), 4) = "#N/A", "",  _xll.BDP($C296, LAST_PRICE))</f>
        <v>1.07</v>
      </c>
    </row>
    <row r="297" spans="1:30" x14ac:dyDescent="0.35">
      <c r="A297" s="1">
        <f t="shared" si="4"/>
        <v>294</v>
      </c>
      <c r="B297" s="28">
        <v>45700</v>
      </c>
      <c r="C297" s="29" t="s">
        <v>638</v>
      </c>
      <c r="D297" s="29" t="s">
        <v>638</v>
      </c>
      <c r="E297" s="29" t="s">
        <v>639</v>
      </c>
      <c r="F297" s="29" t="s">
        <v>33</v>
      </c>
      <c r="G297" s="30" t="s">
        <v>34</v>
      </c>
      <c r="H297" s="31">
        <v>8441686.9023000002</v>
      </c>
      <c r="I297" s="31"/>
      <c r="J297" s="32">
        <v>2.01E-2</v>
      </c>
      <c r="K297" s="33">
        <v>45700</v>
      </c>
      <c r="L297" s="31"/>
      <c r="M297" s="32"/>
      <c r="N297" s="31"/>
      <c r="O297" s="33">
        <v>45699</v>
      </c>
      <c r="P297" s="34">
        <v>173.80000305175801</v>
      </c>
      <c r="Q297" s="34">
        <v>91.274192810058594</v>
      </c>
      <c r="R297" s="34">
        <v>63.293651580810497</v>
      </c>
      <c r="S297" s="29"/>
      <c r="T297" s="33"/>
      <c r="U297" s="35" t="b">
        <v>1</v>
      </c>
      <c r="V297" s="35" t="b">
        <v>1</v>
      </c>
      <c r="W297" s="35" t="b">
        <v>1</v>
      </c>
      <c r="Y297" s="31" cm="1">
        <f t="array" ref="Y297">IF(LEFT(_xll.BDP($C297, VOLUME_AVG_10D), 4) = "#N/A", "",  _xll.BDP($C297, VOLUME_AVG_10D))</f>
        <v>254.19999694824219</v>
      </c>
      <c r="Z297" s="31" cm="1">
        <f t="array" ref="Z297">IF(LEFT(_xll.BDP($C297, VOLUME_AVG_30D), 4) = "#N/A", "",  _xll.BDP($C297, VOLUME_AVG_30D))</f>
        <v>173.80000305175781</v>
      </c>
      <c r="AA297" s="31" cm="1">
        <f t="array" ref="AA297">IF(LEFT(_xll.BDP($C297, VOLUME_AVG_3M), 4) = "#N/A", "",  _xll.BDP($C297, VOLUME_AVG_3M))</f>
        <v>91.274192810058594</v>
      </c>
      <c r="AB297" s="31" cm="1">
        <f t="array" ref="AB297">IF(LEFT(_xll.BDP($C297, VOLUME_AVG_6M), 4) = "#N/A", "",  _xll.BDP($C297, VOLUME_AVG_6M))</f>
        <v>63.293651580810547</v>
      </c>
      <c r="AC297" s="31" cm="1">
        <f t="array" ref="AC297">IF(LEFT(_xll.BDP($C297, VOLUME_AVG_12M), 4) = "#N/A", "",  _xll.BDP($C297, VOLUME_AVG_12M))</f>
        <v>47.900398254394531</v>
      </c>
      <c r="AD297" s="41" cm="1">
        <f t="array" ref="AD297">IF(LEFT(_xll.BDP($C297, LAST_PRICE), 4) = "#N/A", "",  _xll.BDP($C297, LAST_PRICE))</f>
        <v>2.01E-2</v>
      </c>
    </row>
    <row r="298" spans="1:30" x14ac:dyDescent="0.35">
      <c r="A298" s="1">
        <f t="shared" si="4"/>
        <v>295</v>
      </c>
      <c r="B298" s="28">
        <v>45700</v>
      </c>
      <c r="C298" s="29" t="s">
        <v>640</v>
      </c>
      <c r="D298" s="29" t="s">
        <v>640</v>
      </c>
      <c r="E298" s="29" t="s">
        <v>641</v>
      </c>
      <c r="F298" s="29" t="s">
        <v>33</v>
      </c>
      <c r="G298" s="30" t="s">
        <v>34</v>
      </c>
      <c r="H298" s="31">
        <v>155886728140.909</v>
      </c>
      <c r="I298" s="31"/>
      <c r="J298" s="32">
        <v>105.76999664306599</v>
      </c>
      <c r="K298" s="33">
        <v>45700</v>
      </c>
      <c r="L298" s="31">
        <v>502133312</v>
      </c>
      <c r="M298" s="32">
        <v>3.88</v>
      </c>
      <c r="N298" s="31" t="s">
        <v>35</v>
      </c>
      <c r="O298" s="33">
        <v>45699</v>
      </c>
      <c r="P298" s="34">
        <v>5924123.5</v>
      </c>
      <c r="Q298" s="34">
        <v>5487797</v>
      </c>
      <c r="R298" s="34">
        <v>5551140.5</v>
      </c>
      <c r="S298" s="29"/>
      <c r="T298" s="33"/>
      <c r="U298" s="35" t="b">
        <v>0</v>
      </c>
      <c r="V298" s="35" t="b">
        <v>0</v>
      </c>
      <c r="W298" s="35" t="b">
        <v>1</v>
      </c>
      <c r="Y298" s="31" cm="1">
        <f t="array" ref="Y298">IF(LEFT(_xll.BDP($C298, VOLUME_AVG_10D), 4) = "#N/A", "",  _xll.BDP($C298, VOLUME_AVG_10D))</f>
        <v>6638419.5</v>
      </c>
      <c r="Z298" s="31" cm="1">
        <f t="array" ref="Z298">IF(LEFT(_xll.BDP($C298, VOLUME_AVG_30D), 4) = "#N/A", "",  _xll.BDP($C298, VOLUME_AVG_30D))</f>
        <v>5924123.5</v>
      </c>
      <c r="AA298" s="31" cm="1">
        <f t="array" ref="AA298">IF(LEFT(_xll.BDP($C298, VOLUME_AVG_3M), 4) = "#N/A", "",  _xll.BDP($C298, VOLUME_AVG_3M))</f>
        <v>5487797</v>
      </c>
      <c r="AB298" s="31" cm="1">
        <f t="array" ref="AB298">IF(LEFT(_xll.BDP($C298, VOLUME_AVG_6M), 4) = "#N/A", "",  _xll.BDP($C298, VOLUME_AVG_6M))</f>
        <v>5551140.5</v>
      </c>
      <c r="AC298" s="31" cm="1">
        <f t="array" ref="AC298">IF(LEFT(_xll.BDP($C298, VOLUME_AVG_12M), 4) = "#N/A", "",  _xll.BDP($C298, VOLUME_AVG_12M))</f>
        <v>5816716.5</v>
      </c>
      <c r="AD298" s="41" cm="1">
        <f t="array" ref="AD298">IF(LEFT(_xll.BDP($C298, LAST_PRICE), 4) = "#N/A", "",  _xll.BDP($C298, LAST_PRICE))</f>
        <v>105.77</v>
      </c>
    </row>
    <row r="299" spans="1:30" x14ac:dyDescent="0.35">
      <c r="A299" s="1">
        <f t="shared" si="4"/>
        <v>296</v>
      </c>
      <c r="B299" s="28">
        <v>45700</v>
      </c>
      <c r="C299" s="29" t="s">
        <v>642</v>
      </c>
      <c r="D299" s="29" t="s">
        <v>642</v>
      </c>
      <c r="E299" s="29" t="s">
        <v>643</v>
      </c>
      <c r="F299" s="29" t="s">
        <v>33</v>
      </c>
      <c r="G299" s="30" t="s">
        <v>34</v>
      </c>
      <c r="H299" s="31">
        <v>49060095.663348898</v>
      </c>
      <c r="I299" s="31">
        <v>-117953904.336651</v>
      </c>
      <c r="J299" s="32">
        <v>2.2000000476837198</v>
      </c>
      <c r="K299" s="33">
        <v>45700</v>
      </c>
      <c r="L299" s="31">
        <v>527600</v>
      </c>
      <c r="M299" s="32">
        <v>-4.1500000000000004</v>
      </c>
      <c r="N299" s="31" t="s">
        <v>35</v>
      </c>
      <c r="O299" s="33">
        <v>45699</v>
      </c>
      <c r="P299" s="34">
        <v>58670.3984375</v>
      </c>
      <c r="Q299" s="34">
        <v>97031.1484375</v>
      </c>
      <c r="R299" s="34">
        <v>76722.9453125</v>
      </c>
      <c r="S299" s="29"/>
      <c r="T299" s="33"/>
      <c r="U299" s="35" t="b">
        <v>0</v>
      </c>
      <c r="V299" s="35" t="b">
        <v>0</v>
      </c>
      <c r="W299" s="35" t="b">
        <v>1</v>
      </c>
      <c r="Y299" s="31" cm="1">
        <f t="array" ref="Y299">IF(LEFT(_xll.BDP($C299, VOLUME_AVG_10D), 4) = "#N/A", "",  _xll.BDP($C299, VOLUME_AVG_10D))</f>
        <v>28574.19921875</v>
      </c>
      <c r="Z299" s="31" cm="1">
        <f t="array" ref="Z299">IF(LEFT(_xll.BDP($C299, VOLUME_AVG_30D), 4) = "#N/A", "",  _xll.BDP($C299, VOLUME_AVG_30D))</f>
        <v>58670.3984375</v>
      </c>
      <c r="AA299" s="31" cm="1">
        <f t="array" ref="AA299">IF(LEFT(_xll.BDP($C299, VOLUME_AVG_3M), 4) = "#N/A", "",  _xll.BDP($C299, VOLUME_AVG_3M))</f>
        <v>97031.1484375</v>
      </c>
      <c r="AB299" s="31" cm="1">
        <f t="array" ref="AB299">IF(LEFT(_xll.BDP($C299, VOLUME_AVG_6M), 4) = "#N/A", "",  _xll.BDP($C299, VOLUME_AVG_6M))</f>
        <v>76722.9453125</v>
      </c>
      <c r="AC299" s="31" t="str" cm="1">
        <f t="array" ref="AC299">IF(LEFT(_xll.BDP($C299, VOLUME_AVG_12M), 4) = "#N/A", "",  _xll.BDP($C299, VOLUME_AVG_12M))</f>
        <v/>
      </c>
      <c r="AD299" s="41" cm="1">
        <f t="array" ref="AD299">IF(LEFT(_xll.BDP($C299, LAST_PRICE), 4) = "#N/A", "",  _xll.BDP($C299, LAST_PRICE))</f>
        <v>2.2000000000000002</v>
      </c>
    </row>
    <row r="300" spans="1:30" x14ac:dyDescent="0.35">
      <c r="A300" s="1">
        <f t="shared" si="4"/>
        <v>297</v>
      </c>
      <c r="B300" s="28">
        <v>45700</v>
      </c>
      <c r="C300" s="29" t="s">
        <v>644</v>
      </c>
      <c r="D300" s="29" t="s">
        <v>644</v>
      </c>
      <c r="E300" s="29" t="s">
        <v>645</v>
      </c>
      <c r="F300" s="29" t="s">
        <v>33</v>
      </c>
      <c r="G300" s="30" t="s">
        <v>34</v>
      </c>
      <c r="H300" s="31"/>
      <c r="I300" s="31"/>
      <c r="J300" s="32"/>
      <c r="K300" s="33">
        <v>45700</v>
      </c>
      <c r="L300" s="31"/>
      <c r="M300" s="32"/>
      <c r="N300" s="31"/>
      <c r="O300" s="33">
        <v>45699</v>
      </c>
      <c r="P300" s="34"/>
      <c r="Q300" s="34"/>
      <c r="R300" s="34"/>
      <c r="S300" s="29"/>
      <c r="T300" s="33"/>
      <c r="U300" s="35" t="b">
        <v>1</v>
      </c>
      <c r="V300" s="35" t="b">
        <v>1</v>
      </c>
      <c r="W300" s="35" t="b">
        <v>1</v>
      </c>
      <c r="Y300" s="31" t="str" cm="1">
        <f t="array" ref="Y300">IF(LEFT(_xll.BDP($C300, VOLUME_AVG_10D), 4) = "#N/A", "",  _xll.BDP($C300, VOLUME_AVG_10D))</f>
        <v/>
      </c>
      <c r="Z300" s="31" t="str" cm="1">
        <f t="array" ref="Z300">IF(LEFT(_xll.BDP($C300, VOLUME_AVG_30D), 4) = "#N/A", "",  _xll.BDP($C300, VOLUME_AVG_30D))</f>
        <v/>
      </c>
      <c r="AA300" s="31" t="str" cm="1">
        <f t="array" ref="AA300">IF(LEFT(_xll.BDP($C300, VOLUME_AVG_3M), 4) = "#N/A", "",  _xll.BDP($C300, VOLUME_AVG_3M))</f>
        <v/>
      </c>
      <c r="AB300" s="31" t="str" cm="1">
        <f t="array" ref="AB300">IF(LEFT(_xll.BDP($C300, VOLUME_AVG_6M), 4) = "#N/A", "",  _xll.BDP($C300, VOLUME_AVG_6M))</f>
        <v/>
      </c>
      <c r="AC300" s="31" t="str" cm="1">
        <f t="array" ref="AC300">IF(LEFT(_xll.BDP($C300, VOLUME_AVG_12M), 4) = "#N/A", "",  _xll.BDP($C300, VOLUME_AVG_12M))</f>
        <v/>
      </c>
      <c r="AD300" s="41" t="str" cm="1">
        <f t="array" ref="AD300">IF(LEFT(_xll.BDP($C300, LAST_PRICE), 4) = "#N/A", "",  _xll.BDP($C300, LAST_PRICE))</f>
        <v/>
      </c>
    </row>
    <row r="301" spans="1:30" x14ac:dyDescent="0.35">
      <c r="A301" s="1">
        <f t="shared" si="4"/>
        <v>298</v>
      </c>
      <c r="B301" s="28">
        <v>45700</v>
      </c>
      <c r="C301" s="29" t="s">
        <v>646</v>
      </c>
      <c r="D301" s="29" t="s">
        <v>646</v>
      </c>
      <c r="E301" s="29" t="s">
        <v>647</v>
      </c>
      <c r="F301" s="29" t="s">
        <v>33</v>
      </c>
      <c r="G301" s="30" t="s">
        <v>34</v>
      </c>
      <c r="H301" s="31">
        <v>10152098.116823699</v>
      </c>
      <c r="I301" s="31">
        <v>10825098.116823699</v>
      </c>
      <c r="J301" s="32">
        <v>1.7799999713897701</v>
      </c>
      <c r="K301" s="33">
        <v>45700</v>
      </c>
      <c r="L301" s="31">
        <v>415600</v>
      </c>
      <c r="M301" s="32">
        <v>-17.55</v>
      </c>
      <c r="N301" s="31" t="s">
        <v>35</v>
      </c>
      <c r="O301" s="33">
        <v>45699</v>
      </c>
      <c r="P301" s="34">
        <v>59151.3984375</v>
      </c>
      <c r="Q301" s="34">
        <v>94618.921875</v>
      </c>
      <c r="R301" s="34">
        <v>77531.4375</v>
      </c>
      <c r="S301" s="29"/>
      <c r="T301" s="33"/>
      <c r="U301" s="35" t="b">
        <v>1</v>
      </c>
      <c r="V301" s="35" t="b">
        <v>0</v>
      </c>
      <c r="W301" s="35" t="b">
        <v>0</v>
      </c>
      <c r="Y301" s="31" cm="1">
        <f t="array" ref="Y301">IF(LEFT(_xll.BDP($C301, VOLUME_AVG_10D), 4) = "#N/A", "",  _xll.BDP($C301, VOLUME_AVG_10D))</f>
        <v>50418.19921875</v>
      </c>
      <c r="Z301" s="31" cm="1">
        <f t="array" ref="Z301">IF(LEFT(_xll.BDP($C301, VOLUME_AVG_30D), 4) = "#N/A", "",  _xll.BDP($C301, VOLUME_AVG_30D))</f>
        <v>59151.3984375</v>
      </c>
      <c r="AA301" s="31" cm="1">
        <f t="array" ref="AA301">IF(LEFT(_xll.BDP($C301, VOLUME_AVG_3M), 4) = "#N/A", "",  _xll.BDP($C301, VOLUME_AVG_3M))</f>
        <v>94618.921875</v>
      </c>
      <c r="AB301" s="31" cm="1">
        <f t="array" ref="AB301">IF(LEFT(_xll.BDP($C301, VOLUME_AVG_6M), 4) = "#N/A", "",  _xll.BDP($C301, VOLUME_AVG_6M))</f>
        <v>77531.4375</v>
      </c>
      <c r="AC301" s="31" cm="1">
        <f t="array" ref="AC301">IF(LEFT(_xll.BDP($C301, VOLUME_AVG_12M), 4) = "#N/A", "",  _xll.BDP($C301, VOLUME_AVG_12M))</f>
        <v>64867.296875</v>
      </c>
      <c r="AD301" s="41" cm="1">
        <f t="array" ref="AD301">IF(LEFT(_xll.BDP($C301, LAST_PRICE), 4) = "#N/A", "",  _xll.BDP($C301, LAST_PRICE))</f>
        <v>1.78</v>
      </c>
    </row>
    <row r="302" spans="1:30" x14ac:dyDescent="0.35">
      <c r="A302" s="1">
        <f t="shared" si="4"/>
        <v>299</v>
      </c>
      <c r="B302" s="28">
        <v>45700</v>
      </c>
      <c r="C302" s="29" t="s">
        <v>648</v>
      </c>
      <c r="D302" s="29" t="s">
        <v>648</v>
      </c>
      <c r="E302" s="29" t="s">
        <v>649</v>
      </c>
      <c r="F302" s="29" t="s">
        <v>40</v>
      </c>
      <c r="G302" s="30" t="s">
        <v>41</v>
      </c>
      <c r="H302" s="31">
        <v>20068069.833984401</v>
      </c>
      <c r="I302" s="31">
        <v>11544565.171584399</v>
      </c>
      <c r="J302" s="32">
        <v>5.4099998474121103</v>
      </c>
      <c r="K302" s="33">
        <v>45700</v>
      </c>
      <c r="L302" s="31">
        <v>29900</v>
      </c>
      <c r="M302" s="32">
        <v>-57.95</v>
      </c>
      <c r="N302" s="31" t="s">
        <v>35</v>
      </c>
      <c r="O302" s="33">
        <v>45699</v>
      </c>
      <c r="P302" s="34">
        <v>19449.61</v>
      </c>
      <c r="Q302" s="34">
        <v>13146.86</v>
      </c>
      <c r="R302" s="34">
        <v>9284.5660000000007</v>
      </c>
      <c r="S302" s="29"/>
      <c r="T302" s="33"/>
      <c r="U302" s="35" t="b">
        <v>0</v>
      </c>
      <c r="V302" s="35" t="b">
        <v>0</v>
      </c>
      <c r="W302" s="35" t="b">
        <v>0</v>
      </c>
      <c r="Y302" s="31" cm="1">
        <f t="array" ref="Y302">IF(LEFT(_xll.BDP($C302, VOLUME_AVG_10D), 4) = "#N/A", "",  _xll.BDP($C302, VOLUME_AVG_10D))</f>
        <v>43223</v>
      </c>
      <c r="Z302" s="31" cm="1">
        <f t="array" ref="Z302">IF(LEFT(_xll.BDP($C302, VOLUME_AVG_30D), 4) = "#N/A", "",  _xll.BDP($C302, VOLUME_AVG_30D))</f>
        <v>19449.61</v>
      </c>
      <c r="AA302" s="31" cm="1">
        <f t="array" ref="AA302">IF(LEFT(_xll.BDP($C302, VOLUME_AVG_3M), 4) = "#N/A", "",  _xll.BDP($C302, VOLUME_AVG_3M))</f>
        <v>13146.86</v>
      </c>
      <c r="AB302" s="31" cm="1">
        <f t="array" ref="AB302">IF(LEFT(_xll.BDP($C302, VOLUME_AVG_6M), 4) = "#N/A", "",  _xll.BDP($C302, VOLUME_AVG_6M))</f>
        <v>9284.5660000000007</v>
      </c>
      <c r="AC302" s="31" cm="1">
        <f t="array" ref="AC302">IF(LEFT(_xll.BDP($C302, VOLUME_AVG_12M), 4) = "#N/A", "",  _xll.BDP($C302, VOLUME_AVG_12M))</f>
        <v>5198.5379999999996</v>
      </c>
      <c r="AD302" s="41" cm="1">
        <f t="array" ref="AD302">IF(LEFT(_xll.BDP($C302, LAST_PRICE), 4) = "#N/A", "",  _xll.BDP($C302, LAST_PRICE))</f>
        <v>5.41</v>
      </c>
    </row>
    <row r="303" spans="1:30" x14ac:dyDescent="0.35">
      <c r="A303" s="1">
        <f t="shared" si="4"/>
        <v>300</v>
      </c>
      <c r="B303" s="28">
        <v>45700</v>
      </c>
      <c r="C303" s="29" t="s">
        <v>650</v>
      </c>
      <c r="D303" s="29" t="s">
        <v>650</v>
      </c>
      <c r="E303" s="29" t="s">
        <v>651</v>
      </c>
      <c r="F303" s="29" t="s">
        <v>33</v>
      </c>
      <c r="G303" s="30" t="s">
        <v>34</v>
      </c>
      <c r="H303" s="31">
        <v>6038224318.08778</v>
      </c>
      <c r="I303" s="31">
        <v>7513179318.08778</v>
      </c>
      <c r="J303" s="32">
        <v>31.950000762939499</v>
      </c>
      <c r="K303" s="33">
        <v>45700</v>
      </c>
      <c r="L303" s="31">
        <v>43510900</v>
      </c>
      <c r="M303" s="32">
        <v>3.88</v>
      </c>
      <c r="N303" s="31" t="s">
        <v>35</v>
      </c>
      <c r="O303" s="33">
        <v>45699</v>
      </c>
      <c r="P303" s="34">
        <v>2621239.75</v>
      </c>
      <c r="Q303" s="34">
        <v>2514427.75</v>
      </c>
      <c r="R303" s="34">
        <v>2226765</v>
      </c>
      <c r="S303" s="29" t="s">
        <v>254</v>
      </c>
      <c r="T303" s="33">
        <v>45446</v>
      </c>
      <c r="U303" s="35" t="b">
        <v>0</v>
      </c>
      <c r="V303" s="35" t="b">
        <v>0</v>
      </c>
      <c r="W303" s="35" t="b">
        <v>0</v>
      </c>
      <c r="Y303" s="31" cm="1">
        <f t="array" ref="Y303">IF(LEFT(_xll.BDP($C303, VOLUME_AVG_10D), 4) = "#N/A", "",  _xll.BDP($C303, VOLUME_AVG_10D))</f>
        <v>2560181.25</v>
      </c>
      <c r="Z303" s="31" cm="1">
        <f t="array" ref="Z303">IF(LEFT(_xll.BDP($C303, VOLUME_AVG_30D), 4) = "#N/A", "",  _xll.BDP($C303, VOLUME_AVG_30D))</f>
        <v>2621239.75</v>
      </c>
      <c r="AA303" s="31" cm="1">
        <f t="array" ref="AA303">IF(LEFT(_xll.BDP($C303, VOLUME_AVG_3M), 4) = "#N/A", "",  _xll.BDP($C303, VOLUME_AVG_3M))</f>
        <v>2514427.75</v>
      </c>
      <c r="AB303" s="31" cm="1">
        <f t="array" ref="AB303">IF(LEFT(_xll.BDP($C303, VOLUME_AVG_6M), 4) = "#N/A", "",  _xll.BDP($C303, VOLUME_AVG_6M))</f>
        <v>2226765</v>
      </c>
      <c r="AC303" s="31" cm="1">
        <f t="array" ref="AC303">IF(LEFT(_xll.BDP($C303, VOLUME_AVG_12M), 4) = "#N/A", "",  _xll.BDP($C303, VOLUME_AVG_12M))</f>
        <v>2010728.875</v>
      </c>
      <c r="AD303" s="41" cm="1">
        <f t="array" ref="AD303">IF(LEFT(_xll.BDP($C303, LAST_PRICE), 4) = "#N/A", "",  _xll.BDP($C303, LAST_PRICE))</f>
        <v>31.95</v>
      </c>
    </row>
    <row r="304" spans="1:30" x14ac:dyDescent="0.35">
      <c r="A304" s="1">
        <f t="shared" si="4"/>
        <v>301</v>
      </c>
      <c r="B304" s="28">
        <v>45700</v>
      </c>
      <c r="C304" s="29" t="s">
        <v>652</v>
      </c>
      <c r="D304" s="29" t="s">
        <v>652</v>
      </c>
      <c r="E304" s="29" t="s">
        <v>653</v>
      </c>
      <c r="F304" s="29" t="s">
        <v>33</v>
      </c>
      <c r="G304" s="30" t="s">
        <v>34</v>
      </c>
      <c r="H304" s="31">
        <v>6308488.4598168004</v>
      </c>
      <c r="I304" s="31">
        <v>6433122.4598168004</v>
      </c>
      <c r="J304" s="32">
        <v>3.29999998211861E-2</v>
      </c>
      <c r="K304" s="33">
        <v>45700</v>
      </c>
      <c r="L304" s="31"/>
      <c r="M304" s="32"/>
      <c r="N304" s="31"/>
      <c r="O304" s="33">
        <v>45699</v>
      </c>
      <c r="P304" s="34">
        <v>260335.296875</v>
      </c>
      <c r="Q304" s="34">
        <v>190864.03125</v>
      </c>
      <c r="R304" s="34">
        <v>468196.3125</v>
      </c>
      <c r="S304" s="29"/>
      <c r="T304" s="33"/>
      <c r="U304" s="35" t="b">
        <v>1</v>
      </c>
      <c r="V304" s="35" t="b">
        <v>1</v>
      </c>
      <c r="W304" s="35" t="b">
        <v>0</v>
      </c>
      <c r="Y304" s="31" cm="1">
        <f t="array" ref="Y304">IF(LEFT(_xll.BDP($C304, VOLUME_AVG_10D), 4) = "#N/A", "",  _xll.BDP($C304, VOLUME_AVG_10D))</f>
        <v>320088.1875</v>
      </c>
      <c r="Z304" s="31" cm="1">
        <f t="array" ref="Z304">IF(LEFT(_xll.BDP($C304, VOLUME_AVG_30D), 4) = "#N/A", "",  _xll.BDP($C304, VOLUME_AVG_30D))</f>
        <v>260335.296875</v>
      </c>
      <c r="AA304" s="31" cm="1">
        <f t="array" ref="AA304">IF(LEFT(_xll.BDP($C304, VOLUME_AVG_3M), 4) = "#N/A", "",  _xll.BDP($C304, VOLUME_AVG_3M))</f>
        <v>190864.03125</v>
      </c>
      <c r="AB304" s="31" cm="1">
        <f t="array" ref="AB304">IF(LEFT(_xll.BDP($C304, VOLUME_AVG_6M), 4) = "#N/A", "",  _xll.BDP($C304, VOLUME_AVG_6M))</f>
        <v>468196.3125</v>
      </c>
      <c r="AC304" s="31" cm="1">
        <f t="array" ref="AC304">IF(LEFT(_xll.BDP($C304, VOLUME_AVG_12M), 4) = "#N/A", "",  _xll.BDP($C304, VOLUME_AVG_12M))</f>
        <v>1162970.125</v>
      </c>
      <c r="AD304" s="41" cm="1">
        <f t="array" ref="AD304">IF(LEFT(_xll.BDP($C304, LAST_PRICE), 4) = "#N/A", "",  _xll.BDP($C304, LAST_PRICE))</f>
        <v>3.3000000000000002E-2</v>
      </c>
    </row>
    <row r="305" spans="1:30" x14ac:dyDescent="0.35">
      <c r="A305" s="1">
        <f t="shared" si="4"/>
        <v>302</v>
      </c>
      <c r="B305" s="28">
        <v>45700</v>
      </c>
      <c r="C305" s="29" t="s">
        <v>654</v>
      </c>
      <c r="D305" s="29" t="s">
        <v>654</v>
      </c>
      <c r="E305" s="29" t="s">
        <v>655</v>
      </c>
      <c r="F305" s="29" t="s">
        <v>40</v>
      </c>
      <c r="G305" s="30" t="s">
        <v>41</v>
      </c>
      <c r="H305" s="31">
        <v>453110961.32846802</v>
      </c>
      <c r="I305" s="31">
        <v>447470253.32846802</v>
      </c>
      <c r="J305" s="32">
        <v>65.209999084472699</v>
      </c>
      <c r="K305" s="33">
        <v>45700</v>
      </c>
      <c r="L305" s="31"/>
      <c r="M305" s="32"/>
      <c r="N305" s="31"/>
      <c r="O305" s="33">
        <v>45699</v>
      </c>
      <c r="P305" s="34">
        <v>2193.8670000000002</v>
      </c>
      <c r="Q305" s="34">
        <v>3825</v>
      </c>
      <c r="R305" s="34">
        <v>11178.21</v>
      </c>
      <c r="S305" s="29"/>
      <c r="T305" s="33"/>
      <c r="U305" s="35" t="b">
        <v>0</v>
      </c>
      <c r="V305" s="35" t="b">
        <v>0</v>
      </c>
      <c r="W305" s="35" t="b">
        <v>0</v>
      </c>
      <c r="Y305" s="31" cm="1">
        <f t="array" ref="Y305">IF(LEFT(_xll.BDP($C305, VOLUME_AVG_10D), 4) = "#N/A", "",  _xll.BDP($C305, VOLUME_AVG_10D))</f>
        <v>1471.4</v>
      </c>
      <c r="Z305" s="31" cm="1">
        <f t="array" ref="Z305">IF(LEFT(_xll.BDP($C305, VOLUME_AVG_30D), 4) = "#N/A", "",  _xll.BDP($C305, VOLUME_AVG_30D))</f>
        <v>2193.8670000000002</v>
      </c>
      <c r="AA305" s="31" cm="1">
        <f t="array" ref="AA305">IF(LEFT(_xll.BDP($C305, VOLUME_AVG_3M), 4) = "#N/A", "",  _xll.BDP($C305, VOLUME_AVG_3M))</f>
        <v>3825</v>
      </c>
      <c r="AB305" s="31" cm="1">
        <f t="array" ref="AB305">IF(LEFT(_xll.BDP($C305, VOLUME_AVG_6M), 4) = "#N/A", "",  _xll.BDP($C305, VOLUME_AVG_6M))</f>
        <v>11178.21</v>
      </c>
      <c r="AC305" s="31" cm="1">
        <f t="array" ref="AC305">IF(LEFT(_xll.BDP($C305, VOLUME_AVG_12M), 4) = "#N/A", "",  _xll.BDP($C305, VOLUME_AVG_12M))</f>
        <v>6129.9440000000004</v>
      </c>
      <c r="AD305" s="41" cm="1">
        <f t="array" ref="AD305">IF(LEFT(_xll.BDP($C305, LAST_PRICE), 4) = "#N/A", "",  _xll.BDP($C305, LAST_PRICE))</f>
        <v>65.209999999999994</v>
      </c>
    </row>
    <row r="306" spans="1:30" x14ac:dyDescent="0.35">
      <c r="A306" s="1">
        <f t="shared" si="4"/>
        <v>303</v>
      </c>
      <c r="B306" s="28">
        <v>45700</v>
      </c>
      <c r="C306" s="29" t="s">
        <v>656</v>
      </c>
      <c r="D306" s="29" t="s">
        <v>656</v>
      </c>
      <c r="E306" s="29" t="s">
        <v>657</v>
      </c>
      <c r="F306" s="29" t="s">
        <v>33</v>
      </c>
      <c r="G306" s="30" t="s">
        <v>34</v>
      </c>
      <c r="H306" s="31">
        <v>3773319686.3747902</v>
      </c>
      <c r="I306" s="31">
        <v>7458648686.3747902</v>
      </c>
      <c r="J306" s="32">
        <v>21.670000076293899</v>
      </c>
      <c r="K306" s="33">
        <v>45700</v>
      </c>
      <c r="L306" s="31">
        <v>11598400</v>
      </c>
      <c r="M306" s="32">
        <v>3.65</v>
      </c>
      <c r="N306" s="31" t="s">
        <v>35</v>
      </c>
      <c r="O306" s="33">
        <v>45699</v>
      </c>
      <c r="P306" s="34">
        <v>1476055.375</v>
      </c>
      <c r="Q306" s="34">
        <v>1383029.25</v>
      </c>
      <c r="R306" s="34">
        <v>1393216.5</v>
      </c>
      <c r="S306" s="29"/>
      <c r="T306" s="33"/>
      <c r="U306" s="35" t="b">
        <v>0</v>
      </c>
      <c r="V306" s="35" t="b">
        <v>0</v>
      </c>
      <c r="W306" s="35" t="b">
        <v>0</v>
      </c>
      <c r="Y306" s="31" cm="1">
        <f t="array" ref="Y306">IF(LEFT(_xll.BDP($C306, VOLUME_AVG_10D), 4) = "#N/A", "",  _xll.BDP($C306, VOLUME_AVG_10D))</f>
        <v>1297945.75</v>
      </c>
      <c r="Z306" s="31" cm="1">
        <f t="array" ref="Z306">IF(LEFT(_xll.BDP($C306, VOLUME_AVG_30D), 4) = "#N/A", "",  _xll.BDP($C306, VOLUME_AVG_30D))</f>
        <v>1476055.375</v>
      </c>
      <c r="AA306" s="31" cm="1">
        <f t="array" ref="AA306">IF(LEFT(_xll.BDP($C306, VOLUME_AVG_3M), 4) = "#N/A", "",  _xll.BDP($C306, VOLUME_AVG_3M))</f>
        <v>1383029.25</v>
      </c>
      <c r="AB306" s="31" cm="1">
        <f t="array" ref="AB306">IF(LEFT(_xll.BDP($C306, VOLUME_AVG_6M), 4) = "#N/A", "",  _xll.BDP($C306, VOLUME_AVG_6M))</f>
        <v>1393216.5</v>
      </c>
      <c r="AC306" s="31" cm="1">
        <f t="array" ref="AC306">IF(LEFT(_xll.BDP($C306, VOLUME_AVG_12M), 4) = "#N/A", "",  _xll.BDP($C306, VOLUME_AVG_12M))</f>
        <v>1392940.625</v>
      </c>
      <c r="AD306" s="41" cm="1">
        <f t="array" ref="AD306">IF(LEFT(_xll.BDP($C306, LAST_PRICE), 4) = "#N/A", "",  _xll.BDP($C306, LAST_PRICE))</f>
        <v>21.67</v>
      </c>
    </row>
    <row r="307" spans="1:30" x14ac:dyDescent="0.35">
      <c r="A307" s="1">
        <f t="shared" si="4"/>
        <v>304</v>
      </c>
      <c r="B307" s="28">
        <v>45700</v>
      </c>
      <c r="C307" s="29" t="s">
        <v>658</v>
      </c>
      <c r="D307" s="29" t="s">
        <v>658</v>
      </c>
      <c r="E307" s="29" t="s">
        <v>659</v>
      </c>
      <c r="F307" s="29" t="s">
        <v>33</v>
      </c>
      <c r="G307" s="30" t="s">
        <v>34</v>
      </c>
      <c r="H307" s="31">
        <v>113945873187.93401</v>
      </c>
      <c r="I307" s="31">
        <v>152473873187.93399</v>
      </c>
      <c r="J307" s="32">
        <v>56.150001525878899</v>
      </c>
      <c r="K307" s="33">
        <v>45700</v>
      </c>
      <c r="L307" s="31">
        <v>618233600</v>
      </c>
      <c r="M307" s="32">
        <v>3.88</v>
      </c>
      <c r="N307" s="31" t="s">
        <v>35</v>
      </c>
      <c r="O307" s="33">
        <v>45699</v>
      </c>
      <c r="P307" s="34">
        <v>10609459</v>
      </c>
      <c r="Q307" s="34">
        <v>11320311</v>
      </c>
      <c r="R307" s="34">
        <v>10973092</v>
      </c>
      <c r="S307" s="29" t="s">
        <v>660</v>
      </c>
      <c r="T307" s="33">
        <v>45446</v>
      </c>
      <c r="U307" s="35" t="b">
        <v>0</v>
      </c>
      <c r="V307" s="35" t="b">
        <v>0</v>
      </c>
      <c r="W307" s="35" t="b">
        <v>0</v>
      </c>
      <c r="Y307" s="31" cm="1">
        <f t="array" ref="Y307">IF(LEFT(_xll.BDP($C307, VOLUME_AVG_10D), 4) = "#N/A", "",  _xll.BDP($C307, VOLUME_AVG_10D))</f>
        <v>12934584</v>
      </c>
      <c r="Z307" s="31" cm="1">
        <f t="array" ref="Z307">IF(LEFT(_xll.BDP($C307, VOLUME_AVG_30D), 4) = "#N/A", "",  _xll.BDP($C307, VOLUME_AVG_30D))</f>
        <v>10609459</v>
      </c>
      <c r="AA307" s="31" cm="1">
        <f t="array" ref="AA307">IF(LEFT(_xll.BDP($C307, VOLUME_AVG_3M), 4) = "#N/A", "",  _xll.BDP($C307, VOLUME_AVG_3M))</f>
        <v>11320311</v>
      </c>
      <c r="AB307" s="31" cm="1">
        <f t="array" ref="AB307">IF(LEFT(_xll.BDP($C307, VOLUME_AVG_6M), 4) = "#N/A", "",  _xll.BDP($C307, VOLUME_AVG_6M))</f>
        <v>10973092</v>
      </c>
      <c r="AC307" s="31" cm="1">
        <f t="array" ref="AC307">IF(LEFT(_xll.BDP($C307, VOLUME_AVG_12M), 4) = "#N/A", "",  _xll.BDP($C307, VOLUME_AVG_12M))</f>
        <v>13426893</v>
      </c>
      <c r="AD307" s="41" cm="1">
        <f t="array" ref="AD307">IF(LEFT(_xll.BDP($C307, LAST_PRICE), 4) = "#N/A", "",  _xll.BDP($C307, LAST_PRICE))</f>
        <v>56.15</v>
      </c>
    </row>
    <row r="308" spans="1:30" x14ac:dyDescent="0.35">
      <c r="A308" s="1">
        <f t="shared" si="4"/>
        <v>305</v>
      </c>
      <c r="B308" s="28">
        <v>45700</v>
      </c>
      <c r="C308" s="29" t="s">
        <v>661</v>
      </c>
      <c r="D308" s="29" t="s">
        <v>661</v>
      </c>
      <c r="E308" s="29" t="s">
        <v>662</v>
      </c>
      <c r="F308" s="29" t="s">
        <v>40</v>
      </c>
      <c r="G308" s="30" t="s">
        <v>41</v>
      </c>
      <c r="H308" s="31">
        <v>10546531.648155499</v>
      </c>
      <c r="I308" s="31">
        <v>16781866.648155499</v>
      </c>
      <c r="J308" s="32">
        <v>6.4999997615814195E-2</v>
      </c>
      <c r="K308" s="33">
        <v>45700</v>
      </c>
      <c r="L308" s="31"/>
      <c r="M308" s="32"/>
      <c r="N308" s="31"/>
      <c r="O308" s="33">
        <v>45699</v>
      </c>
      <c r="P308" s="34">
        <v>103194.1</v>
      </c>
      <c r="Q308" s="34">
        <v>58144.36</v>
      </c>
      <c r="R308" s="34">
        <v>38770.22</v>
      </c>
      <c r="S308" s="29"/>
      <c r="T308" s="33"/>
      <c r="U308" s="35" t="b">
        <v>1</v>
      </c>
      <c r="V308" s="35" t="b">
        <v>1</v>
      </c>
      <c r="W308" s="35" t="b">
        <v>0</v>
      </c>
      <c r="Y308" s="31" cm="1">
        <f t="array" ref="Y308">IF(LEFT(_xll.BDP($C308, VOLUME_AVG_10D), 4) = "#N/A", "",  _xll.BDP($C308, VOLUME_AVG_10D))</f>
        <v>34532</v>
      </c>
      <c r="Z308" s="31" cm="1">
        <f t="array" ref="Z308">IF(LEFT(_xll.BDP($C308, VOLUME_AVG_30D), 4) = "#N/A", "",  _xll.BDP($C308, VOLUME_AVG_30D))</f>
        <v>103194.1</v>
      </c>
      <c r="AA308" s="31" cm="1">
        <f t="array" ref="AA308">IF(LEFT(_xll.BDP($C308, VOLUME_AVG_3M), 4) = "#N/A", "",  _xll.BDP($C308, VOLUME_AVG_3M))</f>
        <v>58144.36</v>
      </c>
      <c r="AB308" s="31" cm="1">
        <f t="array" ref="AB308">IF(LEFT(_xll.BDP($C308, VOLUME_AVG_6M), 4) = "#N/A", "",  _xll.BDP($C308, VOLUME_AVG_6M))</f>
        <v>38770.22</v>
      </c>
      <c r="AC308" s="31" cm="1">
        <f t="array" ref="AC308">IF(LEFT(_xll.BDP($C308, VOLUME_AVG_12M), 4) = "#N/A", "",  _xll.BDP($C308, VOLUME_AVG_12M))</f>
        <v>37668.449999999997</v>
      </c>
      <c r="AD308" s="41" cm="1">
        <f t="array" ref="AD308">IF(LEFT(_xll.BDP($C308, LAST_PRICE), 4) = "#N/A", "",  _xll.BDP($C308, LAST_PRICE))</f>
        <v>6.5000000000000002E-2</v>
      </c>
    </row>
    <row r="309" spans="1:30" x14ac:dyDescent="0.35">
      <c r="A309" s="1">
        <f t="shared" si="4"/>
        <v>306</v>
      </c>
      <c r="B309" s="28">
        <v>45700</v>
      </c>
      <c r="C309" s="29" t="s">
        <v>663</v>
      </c>
      <c r="D309" s="29" t="s">
        <v>663</v>
      </c>
      <c r="E309" s="29" t="s">
        <v>664</v>
      </c>
      <c r="F309" s="29" t="s">
        <v>33</v>
      </c>
      <c r="G309" s="30" t="s">
        <v>34</v>
      </c>
      <c r="H309" s="31">
        <v>982117733.77290297</v>
      </c>
      <c r="I309" s="31">
        <v>5890313733.7728996</v>
      </c>
      <c r="J309" s="32">
        <v>4.9299998283386204</v>
      </c>
      <c r="K309" s="33">
        <v>45700</v>
      </c>
      <c r="L309" s="31">
        <v>64115500</v>
      </c>
      <c r="M309" s="32">
        <v>3.88</v>
      </c>
      <c r="N309" s="31" t="s">
        <v>35</v>
      </c>
      <c r="O309" s="33">
        <v>45699</v>
      </c>
      <c r="P309" s="34">
        <v>2129332.25</v>
      </c>
      <c r="Q309" s="34">
        <v>1963024.25</v>
      </c>
      <c r="R309" s="34">
        <v>2114293</v>
      </c>
      <c r="S309" s="29"/>
      <c r="T309" s="33"/>
      <c r="U309" s="35" t="b">
        <v>0</v>
      </c>
      <c r="V309" s="35" t="b">
        <v>0</v>
      </c>
      <c r="W309" s="35" t="b">
        <v>0</v>
      </c>
      <c r="Y309" s="31" cm="1">
        <f t="array" ref="Y309">IF(LEFT(_xll.BDP($C309, VOLUME_AVG_10D), 4) = "#N/A", "",  _xll.BDP($C309, VOLUME_AVG_10D))</f>
        <v>2286517.5</v>
      </c>
      <c r="Z309" s="31" cm="1">
        <f t="array" ref="Z309">IF(LEFT(_xll.BDP($C309, VOLUME_AVG_30D), 4) = "#N/A", "",  _xll.BDP($C309, VOLUME_AVG_30D))</f>
        <v>2129332.25</v>
      </c>
      <c r="AA309" s="31" cm="1">
        <f t="array" ref="AA309">IF(LEFT(_xll.BDP($C309, VOLUME_AVG_3M), 4) = "#N/A", "",  _xll.BDP($C309, VOLUME_AVG_3M))</f>
        <v>1963024.25</v>
      </c>
      <c r="AB309" s="31" cm="1">
        <f t="array" ref="AB309">IF(LEFT(_xll.BDP($C309, VOLUME_AVG_6M), 4) = "#N/A", "",  _xll.BDP($C309, VOLUME_AVG_6M))</f>
        <v>2114293</v>
      </c>
      <c r="AC309" s="31" cm="1">
        <f t="array" ref="AC309">IF(LEFT(_xll.BDP($C309, VOLUME_AVG_12M), 4) = "#N/A", "",  _xll.BDP($C309, VOLUME_AVG_12M))</f>
        <v>2093587.75</v>
      </c>
      <c r="AD309" s="41" cm="1">
        <f t="array" ref="AD309">IF(LEFT(_xll.BDP($C309, LAST_PRICE), 4) = "#N/A", "",  _xll.BDP($C309, LAST_PRICE))</f>
        <v>4.93</v>
      </c>
    </row>
    <row r="310" spans="1:30" x14ac:dyDescent="0.35">
      <c r="A310" s="1">
        <f t="shared" si="4"/>
        <v>307</v>
      </c>
      <c r="B310" s="28">
        <v>45700</v>
      </c>
      <c r="C310" s="29" t="s">
        <v>665</v>
      </c>
      <c r="D310" s="29" t="s">
        <v>665</v>
      </c>
      <c r="E310" s="29" t="s">
        <v>666</v>
      </c>
      <c r="F310" s="29" t="s">
        <v>33</v>
      </c>
      <c r="G310" s="30" t="s">
        <v>34</v>
      </c>
      <c r="H310" s="31">
        <v>7830049327.3205605</v>
      </c>
      <c r="I310" s="31">
        <v>10135849327.320601</v>
      </c>
      <c r="J310" s="32">
        <v>51.650001525878899</v>
      </c>
      <c r="K310" s="33">
        <v>45700</v>
      </c>
      <c r="L310" s="31">
        <v>35238500</v>
      </c>
      <c r="M310" s="32">
        <v>3.88</v>
      </c>
      <c r="N310" s="31" t="s">
        <v>35</v>
      </c>
      <c r="O310" s="33">
        <v>45699</v>
      </c>
      <c r="P310" s="34">
        <v>1451838.125</v>
      </c>
      <c r="Q310" s="34">
        <v>1491887.375</v>
      </c>
      <c r="R310" s="34">
        <v>1326090.5</v>
      </c>
      <c r="S310" s="29" t="s">
        <v>198</v>
      </c>
      <c r="T310" s="33">
        <v>45215</v>
      </c>
      <c r="U310" s="35" t="b">
        <v>0</v>
      </c>
      <c r="V310" s="35" t="b">
        <v>0</v>
      </c>
      <c r="W310" s="35" t="b">
        <v>0</v>
      </c>
      <c r="Y310" s="31" cm="1">
        <f t="array" ref="Y310">IF(LEFT(_xll.BDP($C310, VOLUME_AVG_10D), 4) = "#N/A", "",  _xll.BDP($C310, VOLUME_AVG_10D))</f>
        <v>1553780.25</v>
      </c>
      <c r="Z310" s="31" cm="1">
        <f t="array" ref="Z310">IF(LEFT(_xll.BDP($C310, VOLUME_AVG_30D), 4) = "#N/A", "",  _xll.BDP($C310, VOLUME_AVG_30D))</f>
        <v>1451838.125</v>
      </c>
      <c r="AA310" s="31" cm="1">
        <f t="array" ref="AA310">IF(LEFT(_xll.BDP($C310, VOLUME_AVG_3M), 4) = "#N/A", "",  _xll.BDP($C310, VOLUME_AVG_3M))</f>
        <v>1491887.375</v>
      </c>
      <c r="AB310" s="31" cm="1">
        <f t="array" ref="AB310">IF(LEFT(_xll.BDP($C310, VOLUME_AVG_6M), 4) = "#N/A", "",  _xll.BDP($C310, VOLUME_AVG_6M))</f>
        <v>1326090.5</v>
      </c>
      <c r="AC310" s="31" cm="1">
        <f t="array" ref="AC310">IF(LEFT(_xll.BDP($C310, VOLUME_AVG_12M), 4) = "#N/A", "",  _xll.BDP($C310, VOLUME_AVG_12M))</f>
        <v>1219059.625</v>
      </c>
      <c r="AD310" s="41" cm="1">
        <f t="array" ref="AD310">IF(LEFT(_xll.BDP($C310, LAST_PRICE), 4) = "#N/A", "",  _xll.BDP($C310, LAST_PRICE))</f>
        <v>51.65</v>
      </c>
    </row>
    <row r="311" spans="1:30" x14ac:dyDescent="0.35">
      <c r="A311" s="1">
        <f t="shared" si="4"/>
        <v>308</v>
      </c>
      <c r="B311" s="28">
        <v>45700</v>
      </c>
      <c r="C311" s="29" t="s">
        <v>667</v>
      </c>
      <c r="D311" s="29" t="s">
        <v>667</v>
      </c>
      <c r="E311" s="29" t="s">
        <v>668</v>
      </c>
      <c r="F311" s="29" t="s">
        <v>33</v>
      </c>
      <c r="G311" s="30" t="s">
        <v>34</v>
      </c>
      <c r="H311" s="31">
        <v>28230612.5630951</v>
      </c>
      <c r="I311" s="31">
        <v>25605883.5630951</v>
      </c>
      <c r="J311" s="32">
        <v>3.2400000095367401</v>
      </c>
      <c r="K311" s="33">
        <v>45700</v>
      </c>
      <c r="L311" s="31"/>
      <c r="M311" s="32"/>
      <c r="N311" s="31"/>
      <c r="O311" s="33">
        <v>45699</v>
      </c>
      <c r="P311" s="34">
        <v>1162706.625</v>
      </c>
      <c r="Q311" s="34">
        <v>649941.8125</v>
      </c>
      <c r="R311" s="34">
        <v>359991.90625</v>
      </c>
      <c r="S311" s="29"/>
      <c r="T311" s="33"/>
      <c r="U311" s="35" t="b">
        <v>0</v>
      </c>
      <c r="V311" s="35" t="b">
        <v>0</v>
      </c>
      <c r="W311" s="35" t="b">
        <v>0</v>
      </c>
      <c r="Y311" s="31" cm="1">
        <f t="array" ref="Y311">IF(LEFT(_xll.BDP($C311, VOLUME_AVG_10D), 4) = "#N/A", "",  _xll.BDP($C311, VOLUME_AVG_10D))</f>
        <v>2538749.5</v>
      </c>
      <c r="Z311" s="31" cm="1">
        <f t="array" ref="Z311">IF(LEFT(_xll.BDP($C311, VOLUME_AVG_30D), 4) = "#N/A", "",  _xll.BDP($C311, VOLUME_AVG_30D))</f>
        <v>1162706.625</v>
      </c>
      <c r="AA311" s="31" cm="1">
        <f t="array" ref="AA311">IF(LEFT(_xll.BDP($C311, VOLUME_AVG_3M), 4) = "#N/A", "",  _xll.BDP($C311, VOLUME_AVG_3M))</f>
        <v>649941.8125</v>
      </c>
      <c r="AB311" s="31" cm="1">
        <f t="array" ref="AB311">IF(LEFT(_xll.BDP($C311, VOLUME_AVG_6M), 4) = "#N/A", "",  _xll.BDP($C311, VOLUME_AVG_6M))</f>
        <v>359991.90625</v>
      </c>
      <c r="AC311" s="31" cm="1">
        <f t="array" ref="AC311">IF(LEFT(_xll.BDP($C311, VOLUME_AVG_12M), 4) = "#N/A", "",  _xll.BDP($C311, VOLUME_AVG_12M))</f>
        <v>283877.34375</v>
      </c>
      <c r="AD311" s="41" cm="1">
        <f t="array" ref="AD311">IF(LEFT(_xll.BDP($C311, LAST_PRICE), 4) = "#N/A", "",  _xll.BDP($C311, LAST_PRICE))</f>
        <v>3.24</v>
      </c>
    </row>
    <row r="312" spans="1:30" x14ac:dyDescent="0.35">
      <c r="A312" s="1">
        <f t="shared" si="4"/>
        <v>309</v>
      </c>
      <c r="B312" s="28">
        <v>45700</v>
      </c>
      <c r="C312" s="29" t="s">
        <v>669</v>
      </c>
      <c r="D312" s="29" t="s">
        <v>669</v>
      </c>
      <c r="E312" s="29" t="s">
        <v>670</v>
      </c>
      <c r="F312" s="29" t="s">
        <v>33</v>
      </c>
      <c r="G312" s="30" t="s">
        <v>34</v>
      </c>
      <c r="H312" s="31">
        <v>66739004.799999997</v>
      </c>
      <c r="I312" s="31">
        <v>90583235.802490294</v>
      </c>
      <c r="J312" s="32">
        <v>6.5</v>
      </c>
      <c r="K312" s="33">
        <v>45700</v>
      </c>
      <c r="L312" s="31">
        <v>346500</v>
      </c>
      <c r="M312" s="32">
        <v>-2.0499999999999998</v>
      </c>
      <c r="N312" s="31" t="s">
        <v>35</v>
      </c>
      <c r="O312" s="33">
        <v>45699</v>
      </c>
      <c r="P312" s="34">
        <v>6404.13330078125</v>
      </c>
      <c r="Q312" s="34">
        <v>11114.5322265625</v>
      </c>
      <c r="R312" s="34">
        <v>20979.357421875</v>
      </c>
      <c r="S312" s="29" t="s">
        <v>671</v>
      </c>
      <c r="T312" s="33">
        <v>45215</v>
      </c>
      <c r="U312" s="35" t="b">
        <v>0</v>
      </c>
      <c r="V312" s="35" t="b">
        <v>0</v>
      </c>
      <c r="W312" s="35" t="b">
        <v>0</v>
      </c>
      <c r="Y312" s="31" cm="1">
        <f t="array" ref="Y312">IF(LEFT(_xll.BDP($C312, VOLUME_AVG_10D), 4) = "#N/A", "",  _xll.BDP($C312, VOLUME_AVG_10D))</f>
        <v>8769.5</v>
      </c>
      <c r="Z312" s="31" cm="1">
        <f t="array" ref="Z312">IF(LEFT(_xll.BDP($C312, VOLUME_AVG_30D), 4) = "#N/A", "",  _xll.BDP($C312, VOLUME_AVG_30D))</f>
        <v>6404.13330078125</v>
      </c>
      <c r="AA312" s="31" cm="1">
        <f t="array" ref="AA312">IF(LEFT(_xll.BDP($C312, VOLUME_AVG_3M), 4) = "#N/A", "",  _xll.BDP($C312, VOLUME_AVG_3M))</f>
        <v>11114.5322265625</v>
      </c>
      <c r="AB312" s="31" cm="1">
        <f t="array" ref="AB312">IF(LEFT(_xll.BDP($C312, VOLUME_AVG_6M), 4) = "#N/A", "",  _xll.BDP($C312, VOLUME_AVG_6M))</f>
        <v>20979.357421875</v>
      </c>
      <c r="AC312" s="31" cm="1">
        <f t="array" ref="AC312">IF(LEFT(_xll.BDP($C312, VOLUME_AVG_12M), 4) = "#N/A", "",  _xll.BDP($C312, VOLUME_AVG_12M))</f>
        <v>13147.4970703125</v>
      </c>
      <c r="AD312" s="41" cm="1">
        <f t="array" ref="AD312">IF(LEFT(_xll.BDP($C312, LAST_PRICE), 4) = "#N/A", "",  _xll.BDP($C312, LAST_PRICE))</f>
        <v>6.5</v>
      </c>
    </row>
    <row r="313" spans="1:30" x14ac:dyDescent="0.35">
      <c r="A313" s="1">
        <f t="shared" si="4"/>
        <v>310</v>
      </c>
      <c r="B313" s="28">
        <v>45700</v>
      </c>
      <c r="C313" s="29" t="s">
        <v>672</v>
      </c>
      <c r="D313" s="29" t="s">
        <v>672</v>
      </c>
      <c r="E313" s="29" t="s">
        <v>673</v>
      </c>
      <c r="F313" s="29" t="s">
        <v>33</v>
      </c>
      <c r="G313" s="30" t="s">
        <v>34</v>
      </c>
      <c r="H313" s="31">
        <v>6572422.2979367198</v>
      </c>
      <c r="I313" s="31">
        <v>6571809.2979367198</v>
      </c>
      <c r="J313" s="32">
        <v>5.0000000745058101E-2</v>
      </c>
      <c r="K313" s="33">
        <v>45700</v>
      </c>
      <c r="L313" s="31"/>
      <c r="M313" s="32"/>
      <c r="N313" s="31"/>
      <c r="O313" s="33">
        <v>45699</v>
      </c>
      <c r="P313" s="34">
        <v>1249.26672363281</v>
      </c>
      <c r="Q313" s="34">
        <v>2098.70971679688</v>
      </c>
      <c r="R313" s="34">
        <v>5605.28564453125</v>
      </c>
      <c r="S313" s="29"/>
      <c r="T313" s="33"/>
      <c r="U313" s="35" t="b">
        <v>1</v>
      </c>
      <c r="V313" s="35" t="b">
        <v>1</v>
      </c>
      <c r="W313" s="35" t="b">
        <v>0</v>
      </c>
      <c r="Y313" s="31" cm="1">
        <f t="array" ref="Y313">IF(LEFT(_xll.BDP($C313, VOLUME_AVG_10D), 4) = "#N/A", "",  _xll.BDP($C313, VOLUME_AVG_10D))</f>
        <v>1000</v>
      </c>
      <c r="Z313" s="31" cm="1">
        <f t="array" ref="Z313">IF(LEFT(_xll.BDP($C313, VOLUME_AVG_30D), 4) = "#N/A", "",  _xll.BDP($C313, VOLUME_AVG_30D))</f>
        <v>1249.2667236328125</v>
      </c>
      <c r="AA313" s="31" cm="1">
        <f t="array" ref="AA313">IF(LEFT(_xll.BDP($C313, VOLUME_AVG_3M), 4) = "#N/A", "",  _xll.BDP($C313, VOLUME_AVG_3M))</f>
        <v>2098.709716796875</v>
      </c>
      <c r="AB313" s="31" cm="1">
        <f t="array" ref="AB313">IF(LEFT(_xll.BDP($C313, VOLUME_AVG_6M), 4) = "#N/A", "",  _xll.BDP($C313, VOLUME_AVG_6M))</f>
        <v>5605.28564453125</v>
      </c>
      <c r="AC313" s="31" cm="1">
        <f t="array" ref="AC313">IF(LEFT(_xll.BDP($C313, VOLUME_AVG_12M), 4) = "#N/A", "",  _xll.BDP($C313, VOLUME_AVG_12M))</f>
        <v>3967</v>
      </c>
      <c r="AD313" s="41" cm="1">
        <f t="array" ref="AD313">IF(LEFT(_xll.BDP($C313, LAST_PRICE), 4) = "#N/A", "",  _xll.BDP($C313, LAST_PRICE))</f>
        <v>0.05</v>
      </c>
    </row>
    <row r="314" spans="1:30" x14ac:dyDescent="0.35">
      <c r="A314" s="1">
        <f t="shared" si="4"/>
        <v>311</v>
      </c>
      <c r="B314" s="28">
        <v>45700</v>
      </c>
      <c r="C314" s="29" t="s">
        <v>674</v>
      </c>
      <c r="D314" s="29" t="s">
        <v>674</v>
      </c>
      <c r="E314" s="29" t="s">
        <v>675</v>
      </c>
      <c r="F314" s="29" t="s">
        <v>33</v>
      </c>
      <c r="G314" s="30" t="s">
        <v>34</v>
      </c>
      <c r="H314" s="31">
        <v>1028512583.88096</v>
      </c>
      <c r="I314" s="31">
        <v>955784583.88095903</v>
      </c>
      <c r="J314" s="32">
        <v>4.3400001525878897</v>
      </c>
      <c r="K314" s="33">
        <v>45700</v>
      </c>
      <c r="L314" s="31">
        <v>25618800</v>
      </c>
      <c r="M314" s="32">
        <v>3.88</v>
      </c>
      <c r="N314" s="31" t="s">
        <v>35</v>
      </c>
      <c r="O314" s="33">
        <v>45699</v>
      </c>
      <c r="P314" s="34">
        <v>4728669.5</v>
      </c>
      <c r="Q314" s="34">
        <v>3983403</v>
      </c>
      <c r="R314" s="34">
        <v>3198395.5</v>
      </c>
      <c r="S314" s="29"/>
      <c r="T314" s="33"/>
      <c r="U314" s="35" t="b">
        <v>0</v>
      </c>
      <c r="V314" s="35" t="b">
        <v>0</v>
      </c>
      <c r="W314" s="35" t="b">
        <v>0</v>
      </c>
      <c r="Y314" s="31" cm="1">
        <f t="array" ref="Y314">IF(LEFT(_xll.BDP($C314, VOLUME_AVG_10D), 4) = "#N/A", "",  _xll.BDP($C314, VOLUME_AVG_10D))</f>
        <v>6161416</v>
      </c>
      <c r="Z314" s="31" cm="1">
        <f t="array" ref="Z314">IF(LEFT(_xll.BDP($C314, VOLUME_AVG_30D), 4) = "#N/A", "",  _xll.BDP($C314, VOLUME_AVG_30D))</f>
        <v>4728669.5</v>
      </c>
      <c r="AA314" s="31" cm="1">
        <f t="array" ref="AA314">IF(LEFT(_xll.BDP($C314, VOLUME_AVG_3M), 4) = "#N/A", "",  _xll.BDP($C314, VOLUME_AVG_3M))</f>
        <v>3983403</v>
      </c>
      <c r="AB314" s="31" cm="1">
        <f t="array" ref="AB314">IF(LEFT(_xll.BDP($C314, VOLUME_AVG_6M), 4) = "#N/A", "",  _xll.BDP($C314, VOLUME_AVG_6M))</f>
        <v>3198395.5</v>
      </c>
      <c r="AC314" s="31" cm="1">
        <f t="array" ref="AC314">IF(LEFT(_xll.BDP($C314, VOLUME_AVG_12M), 4) = "#N/A", "",  _xll.BDP($C314, VOLUME_AVG_12M))</f>
        <v>2504778</v>
      </c>
      <c r="AD314" s="41" cm="1">
        <f t="array" ref="AD314">IF(LEFT(_xll.BDP($C314, LAST_PRICE), 4) = "#N/A", "",  _xll.BDP($C314, LAST_PRICE))</f>
        <v>4.34</v>
      </c>
    </row>
    <row r="315" spans="1:30" x14ac:dyDescent="0.35">
      <c r="A315" s="1">
        <f t="shared" si="4"/>
        <v>312</v>
      </c>
      <c r="B315" s="28">
        <v>45700</v>
      </c>
      <c r="C315" s="29" t="s">
        <v>676</v>
      </c>
      <c r="D315" s="29" t="s">
        <v>676</v>
      </c>
      <c r="E315" s="29" t="s">
        <v>677</v>
      </c>
      <c r="F315" s="29" t="s">
        <v>40</v>
      </c>
      <c r="G315" s="30" t="s">
        <v>41</v>
      </c>
      <c r="H315" s="31">
        <v>29411715.0024326</v>
      </c>
      <c r="I315" s="31">
        <v>44476877.9734326</v>
      </c>
      <c r="J315" s="32">
        <v>0.245000004768372</v>
      </c>
      <c r="K315" s="33">
        <v>45700</v>
      </c>
      <c r="L315" s="31"/>
      <c r="M315" s="32"/>
      <c r="N315" s="31"/>
      <c r="O315" s="33">
        <v>45699</v>
      </c>
      <c r="P315" s="34">
        <v>44551.37</v>
      </c>
      <c r="Q315" s="34">
        <v>64702.16</v>
      </c>
      <c r="R315" s="34">
        <v>70996.69</v>
      </c>
      <c r="S315" s="29"/>
      <c r="T315" s="33"/>
      <c r="U315" s="35" t="b">
        <v>0</v>
      </c>
      <c r="V315" s="35" t="b">
        <v>0</v>
      </c>
      <c r="W315" s="35" t="b">
        <v>0</v>
      </c>
      <c r="Y315" s="31" cm="1">
        <f t="array" ref="Y315">IF(LEFT(_xll.BDP($C315, VOLUME_AVG_10D), 4) = "#N/A", "",  _xll.BDP($C315, VOLUME_AVG_10D))</f>
        <v>69422.3</v>
      </c>
      <c r="Z315" s="31" cm="1">
        <f t="array" ref="Z315">IF(LEFT(_xll.BDP($C315, VOLUME_AVG_30D), 4) = "#N/A", "",  _xll.BDP($C315, VOLUME_AVG_30D))</f>
        <v>44551.37</v>
      </c>
      <c r="AA315" s="31" cm="1">
        <f t="array" ref="AA315">IF(LEFT(_xll.BDP($C315, VOLUME_AVG_3M), 4) = "#N/A", "",  _xll.BDP($C315, VOLUME_AVG_3M))</f>
        <v>64702.16</v>
      </c>
      <c r="AB315" s="31" cm="1">
        <f t="array" ref="AB315">IF(LEFT(_xll.BDP($C315, VOLUME_AVG_6M), 4) = "#N/A", "",  _xll.BDP($C315, VOLUME_AVG_6M))</f>
        <v>70996.69</v>
      </c>
      <c r="AC315" s="31" cm="1">
        <f t="array" ref="AC315">IF(LEFT(_xll.BDP($C315, VOLUME_AVG_12M), 4) = "#N/A", "",  _xll.BDP($C315, VOLUME_AVG_12M))</f>
        <v>68082.67</v>
      </c>
      <c r="AD315" s="41" cm="1">
        <f t="array" ref="AD315">IF(LEFT(_xll.BDP($C315, LAST_PRICE), 4) = "#N/A", "",  _xll.BDP($C315, LAST_PRICE))</f>
        <v>0.245</v>
      </c>
    </row>
    <row r="316" spans="1:30" x14ac:dyDescent="0.35">
      <c r="A316" s="1">
        <f t="shared" si="4"/>
        <v>313</v>
      </c>
      <c r="B316" s="28">
        <v>45700</v>
      </c>
      <c r="C316" s="29" t="s">
        <v>678</v>
      </c>
      <c r="D316" s="29" t="s">
        <v>678</v>
      </c>
      <c r="E316" s="29" t="s">
        <v>679</v>
      </c>
      <c r="F316" s="29" t="s">
        <v>33</v>
      </c>
      <c r="G316" s="30" t="s">
        <v>34</v>
      </c>
      <c r="H316" s="31">
        <v>232943561.33405599</v>
      </c>
      <c r="I316" s="31">
        <v>15638561.3340562</v>
      </c>
      <c r="J316" s="32">
        <v>3.2999999523162802</v>
      </c>
      <c r="K316" s="33">
        <v>45700</v>
      </c>
      <c r="L316" s="31">
        <v>7491600</v>
      </c>
      <c r="M316" s="32">
        <v>3.7</v>
      </c>
      <c r="N316" s="31" t="s">
        <v>35</v>
      </c>
      <c r="O316" s="33">
        <v>45699</v>
      </c>
      <c r="P316" s="34">
        <v>1849711.125</v>
      </c>
      <c r="Q316" s="34">
        <v>1753603.125</v>
      </c>
      <c r="R316" s="34">
        <v>1359280.5</v>
      </c>
      <c r="S316" s="29" t="s">
        <v>46</v>
      </c>
      <c r="T316" s="33">
        <v>45446</v>
      </c>
      <c r="U316" s="35" t="b">
        <v>0</v>
      </c>
      <c r="V316" s="35" t="b">
        <v>0</v>
      </c>
      <c r="W316" s="35" t="b">
        <v>0</v>
      </c>
      <c r="Y316" s="31" cm="1">
        <f t="array" ref="Y316">IF(LEFT(_xll.BDP($C316, VOLUME_AVG_10D), 4) = "#N/A", "",  _xll.BDP($C316, VOLUME_AVG_10D))</f>
        <v>1749046</v>
      </c>
      <c r="Z316" s="31" cm="1">
        <f t="array" ref="Z316">IF(LEFT(_xll.BDP($C316, VOLUME_AVG_30D), 4) = "#N/A", "",  _xll.BDP($C316, VOLUME_AVG_30D))</f>
        <v>1849711.125</v>
      </c>
      <c r="AA316" s="31" cm="1">
        <f t="array" ref="AA316">IF(LEFT(_xll.BDP($C316, VOLUME_AVG_3M), 4) = "#N/A", "",  _xll.BDP($C316, VOLUME_AVG_3M))</f>
        <v>1753603.125</v>
      </c>
      <c r="AB316" s="31" cm="1">
        <f t="array" ref="AB316">IF(LEFT(_xll.BDP($C316, VOLUME_AVG_6M), 4) = "#N/A", "",  _xll.BDP($C316, VOLUME_AVG_6M))</f>
        <v>1359280.5</v>
      </c>
      <c r="AC316" s="31" cm="1">
        <f t="array" ref="AC316">IF(LEFT(_xll.BDP($C316, VOLUME_AVG_12M), 4) = "#N/A", "",  _xll.BDP($C316, VOLUME_AVG_12M))</f>
        <v>1647795.5</v>
      </c>
      <c r="AD316" s="41" cm="1">
        <f t="array" ref="AD316">IF(LEFT(_xll.BDP($C316, LAST_PRICE), 4) = "#N/A", "",  _xll.BDP($C316, LAST_PRICE))</f>
        <v>3.3</v>
      </c>
    </row>
    <row r="317" spans="1:30" x14ac:dyDescent="0.35">
      <c r="A317" s="1">
        <f t="shared" si="4"/>
        <v>314</v>
      </c>
      <c r="B317" s="28">
        <v>45700</v>
      </c>
      <c r="C317" s="29" t="s">
        <v>680</v>
      </c>
      <c r="D317" s="29" t="s">
        <v>680</v>
      </c>
      <c r="E317" s="29" t="s">
        <v>681</v>
      </c>
      <c r="F317" s="29" t="s">
        <v>33</v>
      </c>
      <c r="G317" s="30" t="s">
        <v>34</v>
      </c>
      <c r="H317" s="31">
        <v>124797219.279806</v>
      </c>
      <c r="I317" s="31">
        <v>-42990780.720194302</v>
      </c>
      <c r="J317" s="32">
        <v>2.4800000190734899</v>
      </c>
      <c r="K317" s="33">
        <v>45700</v>
      </c>
      <c r="L317" s="31">
        <v>7698400</v>
      </c>
      <c r="M317" s="32">
        <v>3.8</v>
      </c>
      <c r="N317" s="31" t="s">
        <v>35</v>
      </c>
      <c r="O317" s="33">
        <v>45699</v>
      </c>
      <c r="P317" s="34">
        <v>1304312.875</v>
      </c>
      <c r="Q317" s="34">
        <v>2576881.75</v>
      </c>
      <c r="R317" s="34">
        <v>1741485.25</v>
      </c>
      <c r="S317" s="29" t="s">
        <v>73</v>
      </c>
      <c r="T317" s="33">
        <v>45446</v>
      </c>
      <c r="U317" s="35" t="b">
        <v>0</v>
      </c>
      <c r="V317" s="35" t="b">
        <v>0</v>
      </c>
      <c r="W317" s="35" t="b">
        <v>1</v>
      </c>
      <c r="Y317" s="31" cm="1">
        <f t="array" ref="Y317">IF(LEFT(_xll.BDP($C317, VOLUME_AVG_10D), 4) = "#N/A", "",  _xll.BDP($C317, VOLUME_AVG_10D))</f>
        <v>1040228</v>
      </c>
      <c r="Z317" s="31" cm="1">
        <f t="array" ref="Z317">IF(LEFT(_xll.BDP($C317, VOLUME_AVG_30D), 4) = "#N/A", "",  _xll.BDP($C317, VOLUME_AVG_30D))</f>
        <v>1304312.875</v>
      </c>
      <c r="AA317" s="31" cm="1">
        <f t="array" ref="AA317">IF(LEFT(_xll.BDP($C317, VOLUME_AVG_3M), 4) = "#N/A", "",  _xll.BDP($C317, VOLUME_AVG_3M))</f>
        <v>2576881.75</v>
      </c>
      <c r="AB317" s="31" cm="1">
        <f t="array" ref="AB317">IF(LEFT(_xll.BDP($C317, VOLUME_AVG_6M), 4) = "#N/A", "",  _xll.BDP($C317, VOLUME_AVG_6M))</f>
        <v>1741485.25</v>
      </c>
      <c r="AC317" s="31" cm="1">
        <f t="array" ref="AC317">IF(LEFT(_xll.BDP($C317, VOLUME_AVG_12M), 4) = "#N/A", "",  _xll.BDP($C317, VOLUME_AVG_12M))</f>
        <v>1470243.75</v>
      </c>
      <c r="AD317" s="41" cm="1">
        <f t="array" ref="AD317">IF(LEFT(_xll.BDP($C317, LAST_PRICE), 4) = "#N/A", "",  _xll.BDP($C317, LAST_PRICE))</f>
        <v>2.48</v>
      </c>
    </row>
    <row r="318" spans="1:30" x14ac:dyDescent="0.35">
      <c r="A318" s="1">
        <f t="shared" si="4"/>
        <v>315</v>
      </c>
      <c r="B318" s="28">
        <v>45700</v>
      </c>
      <c r="C318" s="29" t="s">
        <v>682</v>
      </c>
      <c r="D318" s="29" t="s">
        <v>682</v>
      </c>
      <c r="E318" s="29" t="s">
        <v>683</v>
      </c>
      <c r="F318" s="29" t="s">
        <v>33</v>
      </c>
      <c r="G318" s="30" t="s">
        <v>34</v>
      </c>
      <c r="H318" s="31">
        <v>32146651.547025699</v>
      </c>
      <c r="I318" s="31">
        <v>23765501.547025699</v>
      </c>
      <c r="J318" s="32">
        <v>19.3798007965088</v>
      </c>
      <c r="K318" s="33">
        <v>45700</v>
      </c>
      <c r="L318" s="31">
        <v>13800</v>
      </c>
      <c r="M318" s="32">
        <v>-30.55</v>
      </c>
      <c r="N318" s="31" t="s">
        <v>35</v>
      </c>
      <c r="O318" s="33">
        <v>45699</v>
      </c>
      <c r="P318" s="34">
        <v>48470.6015625</v>
      </c>
      <c r="Q318" s="34">
        <v>61366.2578125</v>
      </c>
      <c r="R318" s="34">
        <v>58819.02734375</v>
      </c>
      <c r="S318" s="29"/>
      <c r="T318" s="33"/>
      <c r="U318" s="35" t="b">
        <v>0</v>
      </c>
      <c r="V318" s="35" t="b">
        <v>0</v>
      </c>
      <c r="W318" s="35" t="b">
        <v>0</v>
      </c>
      <c r="Y318" s="31" cm="1">
        <f t="array" ref="Y318">IF(LEFT(_xll.BDP($C318, VOLUME_AVG_10D), 4) = "#N/A", "",  _xll.BDP($C318, VOLUME_AVG_10D))</f>
        <v>34862.19921875</v>
      </c>
      <c r="Z318" s="31" cm="1">
        <f t="array" ref="Z318">IF(LEFT(_xll.BDP($C318, VOLUME_AVG_30D), 4) = "#N/A", "",  _xll.BDP($C318, VOLUME_AVG_30D))</f>
        <v>48470.6015625</v>
      </c>
      <c r="AA318" s="31" cm="1">
        <f t="array" ref="AA318">IF(LEFT(_xll.BDP($C318, VOLUME_AVG_3M), 4) = "#N/A", "",  _xll.BDP($C318, VOLUME_AVG_3M))</f>
        <v>61366.2578125</v>
      </c>
      <c r="AB318" s="31" cm="1">
        <f t="array" ref="AB318">IF(LEFT(_xll.BDP($C318, VOLUME_AVG_6M), 4) = "#N/A", "",  _xll.BDP($C318, VOLUME_AVG_6M))</f>
        <v>58819.02734375</v>
      </c>
      <c r="AC318" s="31" cm="1">
        <f t="array" ref="AC318">IF(LEFT(_xll.BDP($C318, VOLUME_AVG_12M), 4) = "#N/A", "",  _xll.BDP($C318, VOLUME_AVG_12M))</f>
        <v>35611.0078125</v>
      </c>
      <c r="AD318" s="41" cm="1">
        <f t="array" ref="AD318">IF(LEFT(_xll.BDP($C318, LAST_PRICE), 4) = "#N/A", "",  _xll.BDP($C318, LAST_PRICE))</f>
        <v>19.379799999999999</v>
      </c>
    </row>
    <row r="319" spans="1:30" x14ac:dyDescent="0.35">
      <c r="A319" s="1">
        <f t="shared" si="4"/>
        <v>316</v>
      </c>
      <c r="B319" s="28">
        <v>45700</v>
      </c>
      <c r="C319" s="29" t="s">
        <v>684</v>
      </c>
      <c r="D319" s="29" t="s">
        <v>684</v>
      </c>
      <c r="E319" s="29" t="s">
        <v>685</v>
      </c>
      <c r="F319" s="29" t="s">
        <v>33</v>
      </c>
      <c r="G319" s="30" t="s">
        <v>34</v>
      </c>
      <c r="H319" s="31">
        <v>1971487.5010307899</v>
      </c>
      <c r="I319" s="31">
        <v>1971487.5010307899</v>
      </c>
      <c r="J319" s="32">
        <v>7.1250000037252903E-3</v>
      </c>
      <c r="K319" s="33">
        <v>45700</v>
      </c>
      <c r="L319" s="31"/>
      <c r="M319" s="32"/>
      <c r="N319" s="31"/>
      <c r="O319" s="33">
        <v>45699</v>
      </c>
      <c r="P319" s="34">
        <v>90190.5703125</v>
      </c>
      <c r="Q319" s="34">
        <v>55676.8046875</v>
      </c>
      <c r="R319" s="34">
        <v>37816.0234375</v>
      </c>
      <c r="S319" s="29"/>
      <c r="T319" s="33"/>
      <c r="U319" s="35" t="b">
        <v>1</v>
      </c>
      <c r="V319" s="35" t="b">
        <v>1</v>
      </c>
      <c r="W319" s="35" t="b">
        <v>0</v>
      </c>
      <c r="Y319" s="31" cm="1">
        <f t="array" ref="Y319">IF(LEFT(_xll.BDP($C319, VOLUME_AVG_10D), 4) = "#N/A", "",  _xll.BDP($C319, VOLUME_AVG_10D))</f>
        <v>59088.5</v>
      </c>
      <c r="Z319" s="31" cm="1">
        <f t="array" ref="Z319">IF(LEFT(_xll.BDP($C319, VOLUME_AVG_30D), 4) = "#N/A", "",  _xll.BDP($C319, VOLUME_AVG_30D))</f>
        <v>90190.5703125</v>
      </c>
      <c r="AA319" s="31" cm="1">
        <f t="array" ref="AA319">IF(LEFT(_xll.BDP($C319, VOLUME_AVG_3M), 4) = "#N/A", "",  _xll.BDP($C319, VOLUME_AVG_3M))</f>
        <v>55676.8046875</v>
      </c>
      <c r="AB319" s="31" cm="1">
        <f t="array" ref="AB319">IF(LEFT(_xll.BDP($C319, VOLUME_AVG_6M), 4) = "#N/A", "",  _xll.BDP($C319, VOLUME_AVG_6M))</f>
        <v>37816.0234375</v>
      </c>
      <c r="AC319" s="31" cm="1">
        <f t="array" ref="AC319">IF(LEFT(_xll.BDP($C319, VOLUME_AVG_12M), 4) = "#N/A", "",  _xll.BDP($C319, VOLUME_AVG_12M))</f>
        <v>41890.765625</v>
      </c>
      <c r="AD319" s="41" cm="1">
        <f t="array" ref="AD319">IF(LEFT(_xll.BDP($C319, LAST_PRICE), 4) = "#N/A", "",  _xll.BDP($C319, LAST_PRICE))</f>
        <v>7.1250000000000003E-3</v>
      </c>
    </row>
    <row r="320" spans="1:30" x14ac:dyDescent="0.35">
      <c r="A320" s="1">
        <f t="shared" si="4"/>
        <v>317</v>
      </c>
      <c r="B320" s="28">
        <v>45700</v>
      </c>
      <c r="C320" s="29" t="s">
        <v>686</v>
      </c>
      <c r="D320" s="29" t="s">
        <v>686</v>
      </c>
      <c r="E320" s="29" t="s">
        <v>687</v>
      </c>
      <c r="F320" s="29" t="s">
        <v>33</v>
      </c>
      <c r="G320" s="30" t="s">
        <v>34</v>
      </c>
      <c r="H320" s="31">
        <v>33974430.582852803</v>
      </c>
      <c r="I320" s="31">
        <v>19371430.582852799</v>
      </c>
      <c r="J320" s="32">
        <v>2.5199999809265101</v>
      </c>
      <c r="K320" s="33">
        <v>45700</v>
      </c>
      <c r="L320" s="31">
        <v>467600</v>
      </c>
      <c r="M320" s="32">
        <v>-1.5</v>
      </c>
      <c r="N320" s="31" t="s">
        <v>35</v>
      </c>
      <c r="O320" s="33">
        <v>45699</v>
      </c>
      <c r="P320" s="34">
        <v>30845.599609375</v>
      </c>
      <c r="Q320" s="34">
        <v>46069.56640625</v>
      </c>
      <c r="R320" s="34">
        <v>49404.22265625</v>
      </c>
      <c r="S320" s="29"/>
      <c r="T320" s="33"/>
      <c r="U320" s="35" t="b">
        <v>0</v>
      </c>
      <c r="V320" s="35" t="b">
        <v>0</v>
      </c>
      <c r="W320" s="35" t="b">
        <v>0</v>
      </c>
      <c r="Y320" s="31" cm="1">
        <f t="array" ref="Y320">IF(LEFT(_xll.BDP($C320, VOLUME_AVG_10D), 4) = "#N/A", "",  _xll.BDP($C320, VOLUME_AVG_10D))</f>
        <v>41693.69921875</v>
      </c>
      <c r="Z320" s="31" cm="1">
        <f t="array" ref="Z320">IF(LEFT(_xll.BDP($C320, VOLUME_AVG_30D), 4) = "#N/A", "",  _xll.BDP($C320, VOLUME_AVG_30D))</f>
        <v>30845.599609375</v>
      </c>
      <c r="AA320" s="31" cm="1">
        <f t="array" ref="AA320">IF(LEFT(_xll.BDP($C320, VOLUME_AVG_3M), 4) = "#N/A", "",  _xll.BDP($C320, VOLUME_AVG_3M))</f>
        <v>46069.56640625</v>
      </c>
      <c r="AB320" s="31" cm="1">
        <f t="array" ref="AB320">IF(LEFT(_xll.BDP($C320, VOLUME_AVG_6M), 4) = "#N/A", "",  _xll.BDP($C320, VOLUME_AVG_6M))</f>
        <v>49404.22265625</v>
      </c>
      <c r="AC320" s="31" cm="1">
        <f t="array" ref="AC320">IF(LEFT(_xll.BDP($C320, VOLUME_AVG_12M), 4) = "#N/A", "",  _xll.BDP($C320, VOLUME_AVG_12M))</f>
        <v>40251.61328125</v>
      </c>
      <c r="AD320" s="41" cm="1">
        <f t="array" ref="AD320">IF(LEFT(_xll.BDP($C320, LAST_PRICE), 4) = "#N/A", "",  _xll.BDP($C320, LAST_PRICE))</f>
        <v>2.52</v>
      </c>
    </row>
    <row r="321" spans="1:30" x14ac:dyDescent="0.35">
      <c r="A321" s="1">
        <f t="shared" si="4"/>
        <v>318</v>
      </c>
      <c r="B321" s="28">
        <v>45700</v>
      </c>
      <c r="C321" s="29" t="s">
        <v>688</v>
      </c>
      <c r="D321" s="29" t="s">
        <v>688</v>
      </c>
      <c r="E321" s="29" t="s">
        <v>689</v>
      </c>
      <c r="F321" s="29" t="s">
        <v>33</v>
      </c>
      <c r="G321" s="30" t="s">
        <v>34</v>
      </c>
      <c r="H321" s="31">
        <v>850.73739999999998</v>
      </c>
      <c r="I321" s="31">
        <v>11661975.737400001</v>
      </c>
      <c r="J321" s="32">
        <v>1E-4</v>
      </c>
      <c r="K321" s="33">
        <v>45700</v>
      </c>
      <c r="L321" s="31"/>
      <c r="M321" s="32"/>
      <c r="N321" s="31"/>
      <c r="O321" s="33">
        <v>45699</v>
      </c>
      <c r="P321" s="34">
        <v>1629.03332519531</v>
      </c>
      <c r="Q321" s="34">
        <v>2150.54833984375</v>
      </c>
      <c r="R321" s="34">
        <v>1304.39685058594</v>
      </c>
      <c r="S321" s="29"/>
      <c r="T321" s="33"/>
      <c r="U321" s="35" t="b">
        <v>1</v>
      </c>
      <c r="V321" s="35" t="b">
        <v>1</v>
      </c>
      <c r="W321" s="35" t="b">
        <v>0</v>
      </c>
      <c r="Y321" s="31" cm="1">
        <f t="array" ref="Y321">IF(LEFT(_xll.BDP($C321, VOLUME_AVG_10D), 4) = "#N/A", "",  _xll.BDP($C321, VOLUME_AVG_10D))</f>
        <v>592.79998779296875</v>
      </c>
      <c r="Z321" s="31" cm="1">
        <f t="array" ref="Z321">IF(LEFT(_xll.BDP($C321, VOLUME_AVG_30D), 4) = "#N/A", "",  _xll.BDP($C321, VOLUME_AVG_30D))</f>
        <v>1629.0333251953125</v>
      </c>
      <c r="AA321" s="31" cm="1">
        <f t="array" ref="AA321">IF(LEFT(_xll.BDP($C321, VOLUME_AVG_3M), 4) = "#N/A", "",  _xll.BDP($C321, VOLUME_AVG_3M))</f>
        <v>2150.54833984375</v>
      </c>
      <c r="AB321" s="31" cm="1">
        <f t="array" ref="AB321">IF(LEFT(_xll.BDP($C321, VOLUME_AVG_6M), 4) = "#N/A", "",  _xll.BDP($C321, VOLUME_AVG_6M))</f>
        <v>1304.3968505859375</v>
      </c>
      <c r="AC321" s="31" cm="1">
        <f t="array" ref="AC321">IF(LEFT(_xll.BDP($C321, VOLUME_AVG_12M), 4) = "#N/A", "",  _xll.BDP($C321, VOLUME_AVG_12M))</f>
        <v>887.44622802734375</v>
      </c>
      <c r="AD321" s="41" cm="1">
        <f t="array" ref="AD321">IF(LEFT(_xll.BDP($C321, LAST_PRICE), 4) = "#N/A", "",  _xll.BDP($C321, LAST_PRICE))</f>
        <v>1E-4</v>
      </c>
    </row>
    <row r="322" spans="1:30" x14ac:dyDescent="0.35">
      <c r="A322" s="1">
        <f t="shared" si="4"/>
        <v>319</v>
      </c>
      <c r="B322" s="28">
        <v>45700</v>
      </c>
      <c r="C322" s="29" t="s">
        <v>690</v>
      </c>
      <c r="D322" s="29" t="s">
        <v>690</v>
      </c>
      <c r="E322" s="29" t="s">
        <v>691</v>
      </c>
      <c r="F322" s="29" t="s">
        <v>33</v>
      </c>
      <c r="G322" s="30" t="s">
        <v>34</v>
      </c>
      <c r="H322" s="31">
        <v>41573019</v>
      </c>
      <c r="I322" s="31">
        <v>46593019</v>
      </c>
      <c r="J322" s="32">
        <v>1.5</v>
      </c>
      <c r="K322" s="33">
        <v>45700</v>
      </c>
      <c r="L322" s="31">
        <v>2395900</v>
      </c>
      <c r="M322" s="32">
        <v>-71.5</v>
      </c>
      <c r="N322" s="31" t="s">
        <v>35</v>
      </c>
      <c r="O322" s="33">
        <v>45699</v>
      </c>
      <c r="P322" s="34">
        <v>2151154.75</v>
      </c>
      <c r="Q322" s="34">
        <v>2223619.75</v>
      </c>
      <c r="R322" s="34">
        <v>1347197.25</v>
      </c>
      <c r="S322" s="29"/>
      <c r="T322" s="33"/>
      <c r="U322" s="35" t="b">
        <v>0</v>
      </c>
      <c r="V322" s="35" t="b">
        <v>0</v>
      </c>
      <c r="W322" s="35" t="b">
        <v>0</v>
      </c>
      <c r="Y322" s="31" cm="1">
        <f t="array" ref="Y322">IF(LEFT(_xll.BDP($C322, VOLUME_AVG_10D), 4) = "#N/A", "",  _xll.BDP($C322, VOLUME_AVG_10D))</f>
        <v>4305790.5</v>
      </c>
      <c r="Z322" s="31" cm="1">
        <f t="array" ref="Z322">IF(LEFT(_xll.BDP($C322, VOLUME_AVG_30D), 4) = "#N/A", "",  _xll.BDP($C322, VOLUME_AVG_30D))</f>
        <v>2151154.75</v>
      </c>
      <c r="AA322" s="31" cm="1">
        <f t="array" ref="AA322">IF(LEFT(_xll.BDP($C322, VOLUME_AVG_3M), 4) = "#N/A", "",  _xll.BDP($C322, VOLUME_AVG_3M))</f>
        <v>2223619.75</v>
      </c>
      <c r="AB322" s="31" cm="1">
        <f t="array" ref="AB322">IF(LEFT(_xll.BDP($C322, VOLUME_AVG_6M), 4) = "#N/A", "",  _xll.BDP($C322, VOLUME_AVG_6M))</f>
        <v>1347197.25</v>
      </c>
      <c r="AC322" s="31" cm="1">
        <f t="array" ref="AC322">IF(LEFT(_xll.BDP($C322, VOLUME_AVG_12M), 4) = "#N/A", "",  _xll.BDP($C322, VOLUME_AVG_12M))</f>
        <v>771291.0625</v>
      </c>
      <c r="AD322" s="41" cm="1">
        <f t="array" ref="AD322">IF(LEFT(_xll.BDP($C322, LAST_PRICE), 4) = "#N/A", "",  _xll.BDP($C322, LAST_PRICE))</f>
        <v>1.5</v>
      </c>
    </row>
    <row r="323" spans="1:30" x14ac:dyDescent="0.35">
      <c r="A323" s="1">
        <f t="shared" si="4"/>
        <v>320</v>
      </c>
      <c r="B323" s="28">
        <v>45700</v>
      </c>
      <c r="C323" s="29" t="s">
        <v>692</v>
      </c>
      <c r="D323" s="29" t="s">
        <v>692</v>
      </c>
      <c r="E323" s="29" t="s">
        <v>693</v>
      </c>
      <c r="F323" s="29" t="s">
        <v>33</v>
      </c>
      <c r="G323" s="30" t="s">
        <v>34</v>
      </c>
      <c r="H323" s="31">
        <v>2923.4982</v>
      </c>
      <c r="I323" s="31">
        <v>-1440076.5018</v>
      </c>
      <c r="J323" s="32">
        <v>5.9999999999999995E-4</v>
      </c>
      <c r="K323" s="33">
        <v>45700</v>
      </c>
      <c r="L323" s="31"/>
      <c r="M323" s="32"/>
      <c r="N323" s="31"/>
      <c r="O323" s="33">
        <v>45699</v>
      </c>
      <c r="P323" s="34">
        <v>5836.2001953125</v>
      </c>
      <c r="Q323" s="34">
        <v>3278.04833984375</v>
      </c>
      <c r="R323" s="34">
        <v>4147.23828125</v>
      </c>
      <c r="S323" s="29"/>
      <c r="T323" s="33"/>
      <c r="U323" s="35" t="b">
        <v>1</v>
      </c>
      <c r="V323" s="35" t="b">
        <v>1</v>
      </c>
      <c r="W323" s="35" t="b">
        <v>1</v>
      </c>
      <c r="Y323" s="31" cm="1">
        <f t="array" ref="Y323">IF(LEFT(_xll.BDP($C323, VOLUME_AVG_10D), 4) = "#N/A", "",  _xll.BDP($C323, VOLUME_AVG_10D))</f>
        <v>99.800003051757813</v>
      </c>
      <c r="Z323" s="31" cm="1">
        <f t="array" ref="Z323">IF(LEFT(_xll.BDP($C323, VOLUME_AVG_30D), 4) = "#N/A", "",  _xll.BDP($C323, VOLUME_AVG_30D))</f>
        <v>5836.2001953125</v>
      </c>
      <c r="AA323" s="31" cm="1">
        <f t="array" ref="AA323">IF(LEFT(_xll.BDP($C323, VOLUME_AVG_3M), 4) = "#N/A", "",  _xll.BDP($C323, VOLUME_AVG_3M))</f>
        <v>3278.04833984375</v>
      </c>
      <c r="AB323" s="31" cm="1">
        <f t="array" ref="AB323">IF(LEFT(_xll.BDP($C323, VOLUME_AVG_6M), 4) = "#N/A", "",  _xll.BDP($C323, VOLUME_AVG_6M))</f>
        <v>4147.23828125</v>
      </c>
      <c r="AC323" s="31" cm="1">
        <f t="array" ref="AC323">IF(LEFT(_xll.BDP($C323, VOLUME_AVG_12M), 4) = "#N/A", "",  _xll.BDP($C323, VOLUME_AVG_12M))</f>
        <v>4190.7451171875</v>
      </c>
      <c r="AD323" s="41" cm="1">
        <f t="array" ref="AD323">IF(LEFT(_xll.BDP($C323, LAST_PRICE), 4) = "#N/A", "",  _xll.BDP($C323, LAST_PRICE))</f>
        <v>5.9999999999999995E-4</v>
      </c>
    </row>
    <row r="324" spans="1:30" x14ac:dyDescent="0.35">
      <c r="A324" s="1">
        <f t="shared" si="4"/>
        <v>321</v>
      </c>
      <c r="B324" s="28">
        <v>45700</v>
      </c>
      <c r="C324" s="29" t="s">
        <v>694</v>
      </c>
      <c r="D324" s="29" t="s">
        <v>694</v>
      </c>
      <c r="E324" s="29" t="s">
        <v>695</v>
      </c>
      <c r="F324" s="29" t="s">
        <v>33</v>
      </c>
      <c r="G324" s="30" t="s">
        <v>34</v>
      </c>
      <c r="H324" s="31">
        <v>90119992.080038503</v>
      </c>
      <c r="I324" s="31">
        <v>226317992.08003899</v>
      </c>
      <c r="J324" s="32">
        <v>4.4699997901916504</v>
      </c>
      <c r="K324" s="33">
        <v>45700</v>
      </c>
      <c r="L324" s="31">
        <v>535900</v>
      </c>
      <c r="M324" s="32">
        <v>-7.05</v>
      </c>
      <c r="N324" s="31" t="s">
        <v>35</v>
      </c>
      <c r="O324" s="33">
        <v>45699</v>
      </c>
      <c r="P324" s="34">
        <v>71282.53125</v>
      </c>
      <c r="Q324" s="34">
        <v>102912.6328125</v>
      </c>
      <c r="R324" s="34"/>
      <c r="S324" s="29"/>
      <c r="T324" s="33"/>
      <c r="U324" s="35" t="b">
        <v>0</v>
      </c>
      <c r="V324" s="35" t="b">
        <v>0</v>
      </c>
      <c r="W324" s="35" t="b">
        <v>0</v>
      </c>
      <c r="Y324" s="31" cm="1">
        <f t="array" ref="Y324">IF(LEFT(_xll.BDP($C324, VOLUME_AVG_10D), 4) = "#N/A", "",  _xll.BDP($C324, VOLUME_AVG_10D))</f>
        <v>48963.1015625</v>
      </c>
      <c r="Z324" s="31" cm="1">
        <f t="array" ref="Z324">IF(LEFT(_xll.BDP($C324, VOLUME_AVG_30D), 4) = "#N/A", "",  _xll.BDP($C324, VOLUME_AVG_30D))</f>
        <v>71282.53125</v>
      </c>
      <c r="AA324" s="31" cm="1">
        <f t="array" ref="AA324">IF(LEFT(_xll.BDP($C324, VOLUME_AVG_3M), 4) = "#N/A", "",  _xll.BDP($C324, VOLUME_AVG_3M))</f>
        <v>102912.6328125</v>
      </c>
      <c r="AB324" s="31" t="str" cm="1">
        <f t="array" ref="AB324">IF(LEFT(_xll.BDP($C324, VOLUME_AVG_6M), 4) = "#N/A", "",  _xll.BDP($C324, VOLUME_AVG_6M))</f>
        <v/>
      </c>
      <c r="AC324" s="31" t="str" cm="1">
        <f t="array" ref="AC324">IF(LEFT(_xll.BDP($C324, VOLUME_AVG_12M), 4) = "#N/A", "",  _xll.BDP($C324, VOLUME_AVG_12M))</f>
        <v/>
      </c>
      <c r="AD324" s="41" cm="1">
        <f t="array" ref="AD324">IF(LEFT(_xll.BDP($C324, LAST_PRICE), 4) = "#N/A", "",  _xll.BDP($C324, LAST_PRICE))</f>
        <v>4.47</v>
      </c>
    </row>
    <row r="325" spans="1:30" x14ac:dyDescent="0.35">
      <c r="A325" s="1">
        <f t="shared" si="4"/>
        <v>322</v>
      </c>
      <c r="B325" s="28">
        <v>45700</v>
      </c>
      <c r="C325" s="29" t="s">
        <v>696</v>
      </c>
      <c r="D325" s="29" t="s">
        <v>696</v>
      </c>
      <c r="E325" s="29" t="s">
        <v>697</v>
      </c>
      <c r="F325" s="29" t="s">
        <v>33</v>
      </c>
      <c r="G325" s="30" t="s">
        <v>34</v>
      </c>
      <c r="H325" s="31">
        <v>2806153.5921642799</v>
      </c>
      <c r="I325" s="31">
        <v>19816070.5921643</v>
      </c>
      <c r="J325" s="32">
        <v>3.70000004768372E-2</v>
      </c>
      <c r="K325" s="33">
        <v>45700</v>
      </c>
      <c r="L325" s="31"/>
      <c r="M325" s="32"/>
      <c r="N325" s="31"/>
      <c r="O325" s="33">
        <v>45699</v>
      </c>
      <c r="P325" s="34">
        <v>153525.171875</v>
      </c>
      <c r="Q325" s="34">
        <v>163415.671875</v>
      </c>
      <c r="R325" s="34">
        <v>184725.265625</v>
      </c>
      <c r="S325" s="29"/>
      <c r="T325" s="33"/>
      <c r="U325" s="35" t="b">
        <v>1</v>
      </c>
      <c r="V325" s="35" t="b">
        <v>1</v>
      </c>
      <c r="W325" s="35" t="b">
        <v>0</v>
      </c>
      <c r="Y325" s="31" cm="1">
        <f t="array" ref="Y325">IF(LEFT(_xll.BDP($C325, VOLUME_AVG_10D), 4) = "#N/A", "",  _xll.BDP($C325, VOLUME_AVG_10D))</f>
        <v>197270.796875</v>
      </c>
      <c r="Z325" s="31" cm="1">
        <f t="array" ref="Z325">IF(LEFT(_xll.BDP($C325, VOLUME_AVG_30D), 4) = "#N/A", "",  _xll.BDP($C325, VOLUME_AVG_30D))</f>
        <v>153525.171875</v>
      </c>
      <c r="AA325" s="31" cm="1">
        <f t="array" ref="AA325">IF(LEFT(_xll.BDP($C325, VOLUME_AVG_3M), 4) = "#N/A", "",  _xll.BDP($C325, VOLUME_AVG_3M))</f>
        <v>163415.671875</v>
      </c>
      <c r="AB325" s="31" cm="1">
        <f t="array" ref="AB325">IF(LEFT(_xll.BDP($C325, VOLUME_AVG_6M), 4) = "#N/A", "",  _xll.BDP($C325, VOLUME_AVG_6M))</f>
        <v>184725.265625</v>
      </c>
      <c r="AC325" s="31" cm="1">
        <f t="array" ref="AC325">IF(LEFT(_xll.BDP($C325, VOLUME_AVG_12M), 4) = "#N/A", "",  _xll.BDP($C325, VOLUME_AVG_12M))</f>
        <v>207927.609375</v>
      </c>
      <c r="AD325" s="41" cm="1">
        <f t="array" ref="AD325">IF(LEFT(_xll.BDP($C325, LAST_PRICE), 4) = "#N/A", "",  _xll.BDP($C325, LAST_PRICE))</f>
        <v>3.6999999999999998E-2</v>
      </c>
    </row>
    <row r="326" spans="1:30" x14ac:dyDescent="0.35">
      <c r="A326" s="1">
        <f t="shared" ref="A326:A389" si="5">IF(B326="","", A325+1)</f>
        <v>323</v>
      </c>
      <c r="B326" s="28">
        <v>45700</v>
      </c>
      <c r="C326" s="29" t="s">
        <v>698</v>
      </c>
      <c r="D326" s="29" t="s">
        <v>698</v>
      </c>
      <c r="E326" s="29" t="s">
        <v>699</v>
      </c>
      <c r="F326" s="29" t="s">
        <v>40</v>
      </c>
      <c r="G326" s="30" t="s">
        <v>41</v>
      </c>
      <c r="H326" s="31">
        <v>9660000.0411271993</v>
      </c>
      <c r="I326" s="31">
        <v>14612324.041127199</v>
      </c>
      <c r="J326" s="32">
        <v>7.0000000298023196E-2</v>
      </c>
      <c r="K326" s="33">
        <v>45700</v>
      </c>
      <c r="L326" s="31"/>
      <c r="M326" s="32"/>
      <c r="N326" s="31"/>
      <c r="O326" s="33">
        <v>45699</v>
      </c>
      <c r="P326" s="34">
        <v>138521.29999999999</v>
      </c>
      <c r="Q326" s="34">
        <v>98299.09</v>
      </c>
      <c r="R326" s="34">
        <v>76854.45</v>
      </c>
      <c r="S326" s="29"/>
      <c r="T326" s="33"/>
      <c r="U326" s="35" t="b">
        <v>1</v>
      </c>
      <c r="V326" s="35" t="b">
        <v>1</v>
      </c>
      <c r="W326" s="35" t="b">
        <v>0</v>
      </c>
      <c r="Y326" s="31" cm="1">
        <f t="array" ref="Y326">IF(LEFT(_xll.BDP($C326, VOLUME_AVG_10D), 4) = "#N/A", "",  _xll.BDP($C326, VOLUME_AVG_10D))</f>
        <v>216223.3</v>
      </c>
      <c r="Z326" s="31" cm="1">
        <f t="array" ref="Z326">IF(LEFT(_xll.BDP($C326, VOLUME_AVG_30D), 4) = "#N/A", "",  _xll.BDP($C326, VOLUME_AVG_30D))</f>
        <v>138521.29999999999</v>
      </c>
      <c r="AA326" s="31" cm="1">
        <f t="array" ref="AA326">IF(LEFT(_xll.BDP($C326, VOLUME_AVG_3M), 4) = "#N/A", "",  _xll.BDP($C326, VOLUME_AVG_3M))</f>
        <v>98299.09</v>
      </c>
      <c r="AB326" s="31" cm="1">
        <f t="array" ref="AB326">IF(LEFT(_xll.BDP($C326, VOLUME_AVG_6M), 4) = "#N/A", "",  _xll.BDP($C326, VOLUME_AVG_6M))</f>
        <v>76854.45</v>
      </c>
      <c r="AC326" s="31" cm="1">
        <f t="array" ref="AC326">IF(LEFT(_xll.BDP($C326, VOLUME_AVG_12M), 4) = "#N/A", "",  _xll.BDP($C326, VOLUME_AVG_12M))</f>
        <v>124391.6</v>
      </c>
      <c r="AD326" s="41" cm="1">
        <f t="array" ref="AD326">IF(LEFT(_xll.BDP($C326, LAST_PRICE), 4) = "#N/A", "",  _xll.BDP($C326, LAST_PRICE))</f>
        <v>7.0000000000000007E-2</v>
      </c>
    </row>
    <row r="327" spans="1:30" x14ac:dyDescent="0.35">
      <c r="A327" s="1">
        <f t="shared" si="5"/>
        <v>324</v>
      </c>
      <c r="B327" s="28">
        <v>45700</v>
      </c>
      <c r="C327" s="29" t="s">
        <v>700</v>
      </c>
      <c r="D327" s="29" t="s">
        <v>700</v>
      </c>
      <c r="E327" s="29" t="s">
        <v>701</v>
      </c>
      <c r="F327" s="29" t="s">
        <v>33</v>
      </c>
      <c r="G327" s="30" t="s">
        <v>34</v>
      </c>
      <c r="H327" s="31">
        <v>360169929.38473201</v>
      </c>
      <c r="I327" s="31">
        <v>326993929.38473201</v>
      </c>
      <c r="J327" s="32">
        <v>8.5500001907348597</v>
      </c>
      <c r="K327" s="33">
        <v>45700</v>
      </c>
      <c r="L327" s="31">
        <v>565700</v>
      </c>
      <c r="M327" s="32">
        <v>-10.6</v>
      </c>
      <c r="N327" s="31" t="s">
        <v>35</v>
      </c>
      <c r="O327" s="33">
        <v>45699</v>
      </c>
      <c r="P327" s="34">
        <v>1254987.25</v>
      </c>
      <c r="Q327" s="34">
        <v>3876830.5</v>
      </c>
      <c r="R327" s="34">
        <v>2035613.875</v>
      </c>
      <c r="S327" s="29"/>
      <c r="T327" s="33"/>
      <c r="U327" s="35" t="b">
        <v>0</v>
      </c>
      <c r="V327" s="35" t="b">
        <v>0</v>
      </c>
      <c r="W327" s="35" t="b">
        <v>0</v>
      </c>
      <c r="Y327" s="31" cm="1">
        <f t="array" ref="Y327">IF(LEFT(_xll.BDP($C327, VOLUME_AVG_10D), 4) = "#N/A", "",  _xll.BDP($C327, VOLUME_AVG_10D))</f>
        <v>863827.125</v>
      </c>
      <c r="Z327" s="31" cm="1">
        <f t="array" ref="Z327">IF(LEFT(_xll.BDP($C327, VOLUME_AVG_30D), 4) = "#N/A", "",  _xll.BDP($C327, VOLUME_AVG_30D))</f>
        <v>1254987.25</v>
      </c>
      <c r="AA327" s="31" cm="1">
        <f t="array" ref="AA327">IF(LEFT(_xll.BDP($C327, VOLUME_AVG_3M), 4) = "#N/A", "",  _xll.BDP($C327, VOLUME_AVG_3M))</f>
        <v>3876830.5</v>
      </c>
      <c r="AB327" s="31" cm="1">
        <f t="array" ref="AB327">IF(LEFT(_xll.BDP($C327, VOLUME_AVG_6M), 4) = "#N/A", "",  _xll.BDP($C327, VOLUME_AVG_6M))</f>
        <v>2035613.875</v>
      </c>
      <c r="AC327" s="31" cm="1">
        <f t="array" ref="AC327">IF(LEFT(_xll.BDP($C327, VOLUME_AVG_12M), 4) = "#N/A", "",  _xll.BDP($C327, VOLUME_AVG_12M))</f>
        <v>2550914.5</v>
      </c>
      <c r="AD327" s="41" cm="1">
        <f t="array" ref="AD327">IF(LEFT(_xll.BDP($C327, LAST_PRICE), 4) = "#N/A", "",  _xll.BDP($C327, LAST_PRICE))</f>
        <v>8.5500000000000007</v>
      </c>
    </row>
    <row r="328" spans="1:30" x14ac:dyDescent="0.35">
      <c r="A328" s="1">
        <f t="shared" si="5"/>
        <v>325</v>
      </c>
      <c r="B328" s="28">
        <v>45700</v>
      </c>
      <c r="C328" s="29" t="s">
        <v>702</v>
      </c>
      <c r="D328" s="29" t="s">
        <v>702</v>
      </c>
      <c r="E328" s="29" t="s">
        <v>703</v>
      </c>
      <c r="F328" s="29" t="s">
        <v>33</v>
      </c>
      <c r="G328" s="30" t="s">
        <v>34</v>
      </c>
      <c r="H328" s="31">
        <v>7354724.2806573696</v>
      </c>
      <c r="I328" s="31">
        <v>8387214.2806573696</v>
      </c>
      <c r="J328" s="32">
        <v>6.99999975040555E-4</v>
      </c>
      <c r="K328" s="33">
        <v>45700</v>
      </c>
      <c r="L328" s="31"/>
      <c r="M328" s="32"/>
      <c r="N328" s="31"/>
      <c r="O328" s="33">
        <v>45699</v>
      </c>
      <c r="P328" s="34">
        <v>3742378.25</v>
      </c>
      <c r="Q328" s="34">
        <v>2966312.25</v>
      </c>
      <c r="R328" s="34">
        <v>2574977</v>
      </c>
      <c r="S328" s="29"/>
      <c r="T328" s="33"/>
      <c r="U328" s="35" t="b">
        <v>1</v>
      </c>
      <c r="V328" s="35" t="b">
        <v>1</v>
      </c>
      <c r="W328" s="35" t="b">
        <v>0</v>
      </c>
      <c r="Y328" s="31" cm="1">
        <f t="array" ref="Y328">IF(LEFT(_xll.BDP($C328, VOLUME_AVG_10D), 4) = "#N/A", "",  _xll.BDP($C328, VOLUME_AVG_10D))</f>
        <v>2264075</v>
      </c>
      <c r="Z328" s="31" cm="1">
        <f t="array" ref="Z328">IF(LEFT(_xll.BDP($C328, VOLUME_AVG_30D), 4) = "#N/A", "",  _xll.BDP($C328, VOLUME_AVG_30D))</f>
        <v>3742378.25</v>
      </c>
      <c r="AA328" s="31" cm="1">
        <f t="array" ref="AA328">IF(LEFT(_xll.BDP($C328, VOLUME_AVG_3M), 4) = "#N/A", "",  _xll.BDP($C328, VOLUME_AVG_3M))</f>
        <v>2966312.25</v>
      </c>
      <c r="AB328" s="31" cm="1">
        <f t="array" ref="AB328">IF(LEFT(_xll.BDP($C328, VOLUME_AVG_6M), 4) = "#N/A", "",  _xll.BDP($C328, VOLUME_AVG_6M))</f>
        <v>2574977</v>
      </c>
      <c r="AC328" s="31" cm="1">
        <f t="array" ref="AC328">IF(LEFT(_xll.BDP($C328, VOLUME_AVG_12M), 4) = "#N/A", "",  _xll.BDP($C328, VOLUME_AVG_12M))</f>
        <v>5240460</v>
      </c>
      <c r="AD328" s="41" cm="1">
        <f t="array" ref="AD328">IF(LEFT(_xll.BDP($C328, LAST_PRICE), 4) = "#N/A", "",  _xll.BDP($C328, LAST_PRICE))</f>
        <v>6.9999999999999999E-4</v>
      </c>
    </row>
    <row r="329" spans="1:30" x14ac:dyDescent="0.35">
      <c r="A329" s="1">
        <f t="shared" si="5"/>
        <v>326</v>
      </c>
      <c r="B329" s="28">
        <v>45700</v>
      </c>
      <c r="C329" s="29" t="s">
        <v>704</v>
      </c>
      <c r="D329" s="29" t="s">
        <v>704</v>
      </c>
      <c r="E329" s="29" t="s">
        <v>705</v>
      </c>
      <c r="F329" s="29" t="s">
        <v>33</v>
      </c>
      <c r="G329" s="30" t="s">
        <v>34</v>
      </c>
      <c r="H329" s="31">
        <v>56820.855864584402</v>
      </c>
      <c r="I329" s="31">
        <v>7303972.8558645798</v>
      </c>
      <c r="J329" s="32">
        <v>9.9999997473787503E-5</v>
      </c>
      <c r="K329" s="33">
        <v>45700</v>
      </c>
      <c r="L329" s="31"/>
      <c r="M329" s="32"/>
      <c r="N329" s="31"/>
      <c r="O329" s="33">
        <v>45699</v>
      </c>
      <c r="P329" s="34">
        <v>17064886</v>
      </c>
      <c r="Q329" s="34">
        <v>37063748</v>
      </c>
      <c r="R329" s="34">
        <v>22797506</v>
      </c>
      <c r="S329" s="29"/>
      <c r="T329" s="33"/>
      <c r="U329" s="35" t="b">
        <v>1</v>
      </c>
      <c r="V329" s="35" t="b">
        <v>1</v>
      </c>
      <c r="W329" s="35" t="b">
        <v>0</v>
      </c>
      <c r="Y329" s="31" cm="1">
        <f t="array" ref="Y329">IF(LEFT(_xll.BDP($C329, VOLUME_AVG_10D), 4) = "#N/A", "",  _xll.BDP($C329, VOLUME_AVG_10D))</f>
        <v>11783762</v>
      </c>
      <c r="Z329" s="31" cm="1">
        <f t="array" ref="Z329">IF(LEFT(_xll.BDP($C329, VOLUME_AVG_30D), 4) = "#N/A", "",  _xll.BDP($C329, VOLUME_AVG_30D))</f>
        <v>17064886</v>
      </c>
      <c r="AA329" s="31" cm="1">
        <f t="array" ref="AA329">IF(LEFT(_xll.BDP($C329, VOLUME_AVG_3M), 4) = "#N/A", "",  _xll.BDP($C329, VOLUME_AVG_3M))</f>
        <v>37063748</v>
      </c>
      <c r="AB329" s="31" cm="1">
        <f t="array" ref="AB329">IF(LEFT(_xll.BDP($C329, VOLUME_AVG_6M), 4) = "#N/A", "",  _xll.BDP($C329, VOLUME_AVG_6M))</f>
        <v>22797506</v>
      </c>
      <c r="AC329" s="31" cm="1">
        <f t="array" ref="AC329">IF(LEFT(_xll.BDP($C329, VOLUME_AVG_12M), 4) = "#N/A", "",  _xll.BDP($C329, VOLUME_AVG_12M))</f>
        <v>26130982</v>
      </c>
      <c r="AD329" s="41" cm="1">
        <f t="array" ref="AD329">IF(LEFT(_xll.BDP($C329, LAST_PRICE), 4) = "#N/A", "",  _xll.BDP($C329, LAST_PRICE))</f>
        <v>1E-4</v>
      </c>
    </row>
    <row r="330" spans="1:30" x14ac:dyDescent="0.35">
      <c r="A330" s="1">
        <f t="shared" si="5"/>
        <v>327</v>
      </c>
      <c r="B330" s="28">
        <v>45700</v>
      </c>
      <c r="C330" s="29" t="s">
        <v>706</v>
      </c>
      <c r="D330" s="29" t="s">
        <v>706</v>
      </c>
      <c r="E330" s="29" t="s">
        <v>707</v>
      </c>
      <c r="F330" s="29" t="s">
        <v>33</v>
      </c>
      <c r="G330" s="30" t="s">
        <v>34</v>
      </c>
      <c r="H330" s="31">
        <v>6839600.3060005195</v>
      </c>
      <c r="I330" s="31">
        <v>8525654.3060005195</v>
      </c>
      <c r="J330" s="32">
        <v>4.9899999052286099E-2</v>
      </c>
      <c r="K330" s="33">
        <v>45700</v>
      </c>
      <c r="L330" s="31"/>
      <c r="M330" s="32"/>
      <c r="N330" s="31"/>
      <c r="O330" s="33">
        <v>45699</v>
      </c>
      <c r="P330" s="34">
        <v>2296755.75</v>
      </c>
      <c r="Q330" s="34">
        <v>3434322.25</v>
      </c>
      <c r="R330" s="34">
        <v>1821843.5</v>
      </c>
      <c r="S330" s="29"/>
      <c r="T330" s="33"/>
      <c r="U330" s="35" t="b">
        <v>1</v>
      </c>
      <c r="V330" s="35" t="b">
        <v>1</v>
      </c>
      <c r="W330" s="35" t="b">
        <v>0</v>
      </c>
      <c r="Y330" s="31" cm="1">
        <f t="array" ref="Y330">IF(LEFT(_xll.BDP($C330, VOLUME_AVG_10D), 4) = "#N/A", "",  _xll.BDP($C330, VOLUME_AVG_10D))</f>
        <v>759498.3125</v>
      </c>
      <c r="Z330" s="31" cm="1">
        <f t="array" ref="Z330">IF(LEFT(_xll.BDP($C330, VOLUME_AVG_30D), 4) = "#N/A", "",  _xll.BDP($C330, VOLUME_AVG_30D))</f>
        <v>2296755.75</v>
      </c>
      <c r="AA330" s="31" cm="1">
        <f t="array" ref="AA330">IF(LEFT(_xll.BDP($C330, VOLUME_AVG_3M), 4) = "#N/A", "",  _xll.BDP($C330, VOLUME_AVG_3M))</f>
        <v>3434322.25</v>
      </c>
      <c r="AB330" s="31" cm="1">
        <f t="array" ref="AB330">IF(LEFT(_xll.BDP($C330, VOLUME_AVG_6M), 4) = "#N/A", "",  _xll.BDP($C330, VOLUME_AVG_6M))</f>
        <v>1821843.5</v>
      </c>
      <c r="AC330" s="31" cm="1">
        <f t="array" ref="AC330">IF(LEFT(_xll.BDP($C330, VOLUME_AVG_12M), 4) = "#N/A", "",  _xll.BDP($C330, VOLUME_AVG_12M))</f>
        <v>988212.75</v>
      </c>
      <c r="AD330" s="41" cm="1">
        <f t="array" ref="AD330">IF(LEFT(_xll.BDP($C330, LAST_PRICE), 4) = "#N/A", "",  _xll.BDP($C330, LAST_PRICE))</f>
        <v>4.99E-2</v>
      </c>
    </row>
    <row r="331" spans="1:30" x14ac:dyDescent="0.35">
      <c r="A331" s="1">
        <f t="shared" si="5"/>
        <v>328</v>
      </c>
      <c r="B331" s="28">
        <v>45700</v>
      </c>
      <c r="C331" s="29" t="s">
        <v>708</v>
      </c>
      <c r="D331" s="29" t="s">
        <v>708</v>
      </c>
      <c r="E331" s="29" t="s">
        <v>709</v>
      </c>
      <c r="F331" s="29" t="s">
        <v>33</v>
      </c>
      <c r="G331" s="30" t="s">
        <v>34</v>
      </c>
      <c r="H331" s="31"/>
      <c r="I331" s="31"/>
      <c r="J331" s="32">
        <v>9.9999999747524292E-7</v>
      </c>
      <c r="K331" s="33">
        <v>45700</v>
      </c>
      <c r="L331" s="31"/>
      <c r="M331" s="32"/>
      <c r="N331" s="31"/>
      <c r="O331" s="33">
        <v>45699</v>
      </c>
      <c r="P331" s="34">
        <v>8542.033203125</v>
      </c>
      <c r="Q331" s="34">
        <v>28848.435546875</v>
      </c>
      <c r="R331" s="34">
        <v>16883.75390625</v>
      </c>
      <c r="S331" s="29"/>
      <c r="T331" s="33"/>
      <c r="U331" s="35" t="b">
        <v>1</v>
      </c>
      <c r="V331" s="35" t="b">
        <v>1</v>
      </c>
      <c r="W331" s="35" t="b">
        <v>1</v>
      </c>
      <c r="Y331" s="31" cm="1">
        <f t="array" ref="Y331">IF(LEFT(_xll.BDP($C331, VOLUME_AVG_10D), 4) = "#N/A", "",  _xll.BDP($C331, VOLUME_AVG_10D))</f>
        <v>10511.900390625</v>
      </c>
      <c r="Z331" s="31" cm="1">
        <f t="array" ref="Z331">IF(LEFT(_xll.BDP($C331, VOLUME_AVG_30D), 4) = "#N/A", "",  _xll.BDP($C331, VOLUME_AVG_30D))</f>
        <v>8542.033203125</v>
      </c>
      <c r="AA331" s="31" cm="1">
        <f t="array" ref="AA331">IF(LEFT(_xll.BDP($C331, VOLUME_AVG_3M), 4) = "#N/A", "",  _xll.BDP($C331, VOLUME_AVG_3M))</f>
        <v>28848.435546875</v>
      </c>
      <c r="AB331" s="31" cm="1">
        <f t="array" ref="AB331">IF(LEFT(_xll.BDP($C331, VOLUME_AVG_6M), 4) = "#N/A", "",  _xll.BDP($C331, VOLUME_AVG_6M))</f>
        <v>16883.75390625</v>
      </c>
      <c r="AC331" s="31" cm="1">
        <f t="array" ref="AC331">IF(LEFT(_xll.BDP($C331, VOLUME_AVG_12M), 4) = "#N/A", "",  _xll.BDP($C331, VOLUME_AVG_12M))</f>
        <v>16351.3310546875</v>
      </c>
      <c r="AD331" s="41" cm="1">
        <f t="array" ref="AD331">IF(LEFT(_xll.BDP($C331, LAST_PRICE), 4) = "#N/A", "",  _xll.BDP($C331, LAST_PRICE))</f>
        <v>9.9999999999999995E-7</v>
      </c>
    </row>
    <row r="332" spans="1:30" x14ac:dyDescent="0.35">
      <c r="A332" s="1">
        <f t="shared" si="5"/>
        <v>329</v>
      </c>
      <c r="B332" s="28">
        <v>45700</v>
      </c>
      <c r="C332" s="29" t="s">
        <v>710</v>
      </c>
      <c r="D332" s="29" t="s">
        <v>710</v>
      </c>
      <c r="E332" s="29" t="s">
        <v>711</v>
      </c>
      <c r="F332" s="29" t="s">
        <v>40</v>
      </c>
      <c r="G332" s="30" t="s">
        <v>41</v>
      </c>
      <c r="H332" s="31">
        <v>37198208.768555202</v>
      </c>
      <c r="I332" s="31">
        <v>471913041.73876101</v>
      </c>
      <c r="J332" s="32">
        <v>7.9999998211860698E-2</v>
      </c>
      <c r="K332" s="33">
        <v>45700</v>
      </c>
      <c r="L332" s="31"/>
      <c r="M332" s="32"/>
      <c r="N332" s="31"/>
      <c r="O332" s="33">
        <v>45699</v>
      </c>
      <c r="P332" s="34">
        <v>673701.9</v>
      </c>
      <c r="Q332" s="34">
        <v>1026552</v>
      </c>
      <c r="R332" s="34">
        <v>825036.3</v>
      </c>
      <c r="S332" s="29"/>
      <c r="T332" s="33"/>
      <c r="U332" s="35" t="b">
        <v>0</v>
      </c>
      <c r="V332" s="35" t="b">
        <v>1</v>
      </c>
      <c r="W332" s="35" t="b">
        <v>0</v>
      </c>
      <c r="Y332" s="31" cm="1">
        <f t="array" ref="Y332">IF(LEFT(_xll.BDP($C332, VOLUME_AVG_10D), 4) = "#N/A", "",  _xll.BDP($C332, VOLUME_AVG_10D))</f>
        <v>721226.9</v>
      </c>
      <c r="Z332" s="31" cm="1">
        <f t="array" ref="Z332">IF(LEFT(_xll.BDP($C332, VOLUME_AVG_30D), 4) = "#N/A", "",  _xll.BDP($C332, VOLUME_AVG_30D))</f>
        <v>673701.9</v>
      </c>
      <c r="AA332" s="31" cm="1">
        <f t="array" ref="AA332">IF(LEFT(_xll.BDP($C332, VOLUME_AVG_3M), 4) = "#N/A", "",  _xll.BDP($C332, VOLUME_AVG_3M))</f>
        <v>1026552</v>
      </c>
      <c r="AB332" s="31" cm="1">
        <f t="array" ref="AB332">IF(LEFT(_xll.BDP($C332, VOLUME_AVG_6M), 4) = "#N/A", "",  _xll.BDP($C332, VOLUME_AVG_6M))</f>
        <v>825036.3</v>
      </c>
      <c r="AC332" s="31" cm="1">
        <f t="array" ref="AC332">IF(LEFT(_xll.BDP($C332, VOLUME_AVG_12M), 4) = "#N/A", "",  _xll.BDP($C332, VOLUME_AVG_12M))</f>
        <v>1083591</v>
      </c>
      <c r="AD332" s="41" cm="1">
        <f t="array" ref="AD332">IF(LEFT(_xll.BDP($C332, LAST_PRICE), 4) = "#N/A", "",  _xll.BDP($C332, LAST_PRICE))</f>
        <v>0.08</v>
      </c>
    </row>
    <row r="333" spans="1:30" x14ac:dyDescent="0.35">
      <c r="A333" s="1">
        <f t="shared" si="5"/>
        <v>330</v>
      </c>
      <c r="B333" s="28">
        <v>45700</v>
      </c>
      <c r="C333" s="29" t="s">
        <v>712</v>
      </c>
      <c r="D333" s="29" t="s">
        <v>712</v>
      </c>
      <c r="E333" s="29" t="s">
        <v>713</v>
      </c>
      <c r="F333" s="29" t="s">
        <v>33</v>
      </c>
      <c r="G333" s="30" t="s">
        <v>34</v>
      </c>
      <c r="H333" s="31"/>
      <c r="I333" s="31"/>
      <c r="J333" s="32"/>
      <c r="K333" s="33">
        <v>45700</v>
      </c>
      <c r="L333" s="31"/>
      <c r="M333" s="32"/>
      <c r="N333" s="31"/>
      <c r="O333" s="33">
        <v>45699</v>
      </c>
      <c r="P333" s="34"/>
      <c r="Q333" s="34"/>
      <c r="R333" s="34"/>
      <c r="S333" s="29"/>
      <c r="T333" s="33"/>
      <c r="U333" s="35" t="b">
        <v>1</v>
      </c>
      <c r="V333" s="35" t="b">
        <v>1</v>
      </c>
      <c r="W333" s="35" t="b">
        <v>1</v>
      </c>
      <c r="Y333" s="31" t="str" cm="1">
        <f t="array" ref="Y333">IF(LEFT(_xll.BDP($C333, VOLUME_AVG_10D), 4) = "#N/A", "",  _xll.BDP($C333, VOLUME_AVG_10D))</f>
        <v/>
      </c>
      <c r="Z333" s="31" t="str" cm="1">
        <f t="array" ref="Z333">IF(LEFT(_xll.BDP($C333, VOLUME_AVG_30D), 4) = "#N/A", "",  _xll.BDP($C333, VOLUME_AVG_30D))</f>
        <v/>
      </c>
      <c r="AA333" s="31" t="str" cm="1">
        <f t="array" ref="AA333">IF(LEFT(_xll.BDP($C333, VOLUME_AVG_3M), 4) = "#N/A", "",  _xll.BDP($C333, VOLUME_AVG_3M))</f>
        <v/>
      </c>
      <c r="AB333" s="31" t="str" cm="1">
        <f t="array" ref="AB333">IF(LEFT(_xll.BDP($C333, VOLUME_AVG_6M), 4) = "#N/A", "",  _xll.BDP($C333, VOLUME_AVG_6M))</f>
        <v/>
      </c>
      <c r="AC333" s="31" t="str" cm="1">
        <f t="array" ref="AC333">IF(LEFT(_xll.BDP($C333, VOLUME_AVG_12M), 4) = "#N/A", "",  _xll.BDP($C333, VOLUME_AVG_12M))</f>
        <v/>
      </c>
      <c r="AD333" s="41" t="str" cm="1">
        <f t="array" ref="AD333">IF(LEFT(_xll.BDP($C333, LAST_PRICE), 4) = "#N/A", "",  _xll.BDP($C333, LAST_PRICE))</f>
        <v/>
      </c>
    </row>
    <row r="334" spans="1:30" x14ac:dyDescent="0.35">
      <c r="A334" s="1">
        <f t="shared" si="5"/>
        <v>331</v>
      </c>
      <c r="B334" s="28">
        <v>45700</v>
      </c>
      <c r="C334" s="29" t="s">
        <v>714</v>
      </c>
      <c r="D334" s="29" t="s">
        <v>714</v>
      </c>
      <c r="E334" s="29" t="s">
        <v>715</v>
      </c>
      <c r="F334" s="29" t="s">
        <v>33</v>
      </c>
      <c r="G334" s="30" t="s">
        <v>34</v>
      </c>
      <c r="H334" s="31">
        <v>4637509.9781445796</v>
      </c>
      <c r="I334" s="31">
        <v>21823797.978144601</v>
      </c>
      <c r="J334" s="32">
        <v>7.0000002160668399E-3</v>
      </c>
      <c r="K334" s="33">
        <v>45700</v>
      </c>
      <c r="L334" s="31"/>
      <c r="M334" s="32"/>
      <c r="N334" s="31"/>
      <c r="O334" s="33">
        <v>45699</v>
      </c>
      <c r="P334" s="34">
        <v>177756.859375</v>
      </c>
      <c r="Q334" s="34">
        <v>142166.390625</v>
      </c>
      <c r="R334" s="34">
        <v>152159.859375</v>
      </c>
      <c r="S334" s="29"/>
      <c r="T334" s="33"/>
      <c r="U334" s="35" t="b">
        <v>1</v>
      </c>
      <c r="V334" s="35" t="b">
        <v>1</v>
      </c>
      <c r="W334" s="35" t="b">
        <v>0</v>
      </c>
      <c r="Y334" s="31" cm="1">
        <f t="array" ref="Y334">IF(LEFT(_xll.BDP($C334, VOLUME_AVG_10D), 4) = "#N/A", "",  _xll.BDP($C334, VOLUME_AVG_10D))</f>
        <v>168856.40625</v>
      </c>
      <c r="Z334" s="31" cm="1">
        <f t="array" ref="Z334">IF(LEFT(_xll.BDP($C334, VOLUME_AVG_30D), 4) = "#N/A", "",  _xll.BDP($C334, VOLUME_AVG_30D))</f>
        <v>177756.859375</v>
      </c>
      <c r="AA334" s="31" cm="1">
        <f t="array" ref="AA334">IF(LEFT(_xll.BDP($C334, VOLUME_AVG_3M), 4) = "#N/A", "",  _xll.BDP($C334, VOLUME_AVG_3M))</f>
        <v>142166.390625</v>
      </c>
      <c r="AB334" s="31" cm="1">
        <f t="array" ref="AB334">IF(LEFT(_xll.BDP($C334, VOLUME_AVG_6M), 4) = "#N/A", "",  _xll.BDP($C334, VOLUME_AVG_6M))</f>
        <v>152159.859375</v>
      </c>
      <c r="AC334" s="31" cm="1">
        <f t="array" ref="AC334">IF(LEFT(_xll.BDP($C334, VOLUME_AVG_12M), 4) = "#N/A", "",  _xll.BDP($C334, VOLUME_AVG_12M))</f>
        <v>487790</v>
      </c>
      <c r="AD334" s="41" cm="1">
        <f t="array" ref="AD334">IF(LEFT(_xll.BDP($C334, LAST_PRICE), 4) = "#N/A", "",  _xll.BDP($C334, LAST_PRICE))</f>
        <v>7.0000000000000001E-3</v>
      </c>
    </row>
    <row r="335" spans="1:30" x14ac:dyDescent="0.35">
      <c r="A335" s="1">
        <f t="shared" si="5"/>
        <v>332</v>
      </c>
      <c r="B335" s="28">
        <v>45700</v>
      </c>
      <c r="C335" s="29" t="s">
        <v>716</v>
      </c>
      <c r="D335" s="29" t="s">
        <v>716</v>
      </c>
      <c r="E335" s="29" t="s">
        <v>717</v>
      </c>
      <c r="F335" s="29" t="s">
        <v>33</v>
      </c>
      <c r="G335" s="30" t="s">
        <v>34</v>
      </c>
      <c r="H335" s="31"/>
      <c r="I335" s="31"/>
      <c r="J335" s="32"/>
      <c r="K335" s="33">
        <v>45700</v>
      </c>
      <c r="L335" s="31"/>
      <c r="M335" s="32"/>
      <c r="N335" s="31"/>
      <c r="O335" s="33">
        <v>45699</v>
      </c>
      <c r="P335" s="34"/>
      <c r="Q335" s="34">
        <v>367.66128540039102</v>
      </c>
      <c r="R335" s="34">
        <v>1047.126953125</v>
      </c>
      <c r="S335" s="29"/>
      <c r="T335" s="33"/>
      <c r="U335" s="35" t="b">
        <v>1</v>
      </c>
      <c r="V335" s="35" t="b">
        <v>1</v>
      </c>
      <c r="W335" s="35" t="b">
        <v>1</v>
      </c>
      <c r="Y335" s="31" cm="1">
        <f t="array" ref="Y335">IF(LEFT(_xll.BDP($C335, VOLUME_AVG_10D), 4) = "#N/A", "",  _xll.BDP($C335, VOLUME_AVG_10D))</f>
        <v>0</v>
      </c>
      <c r="Z335" s="31" cm="1">
        <f t="array" ref="Z335">IF(LEFT(_xll.BDP($C335, VOLUME_AVG_30D), 4) = "#N/A", "",  _xll.BDP($C335, VOLUME_AVG_30D))</f>
        <v>0</v>
      </c>
      <c r="AA335" s="31" cm="1">
        <f t="array" ref="AA335">IF(LEFT(_xll.BDP($C335, VOLUME_AVG_3M), 4) = "#N/A", "",  _xll.BDP($C335, VOLUME_AVG_3M))</f>
        <v>367.66128540039063</v>
      </c>
      <c r="AB335" s="31" cm="1">
        <f t="array" ref="AB335">IF(LEFT(_xll.BDP($C335, VOLUME_AVG_6M), 4) = "#N/A", "",  _xll.BDP($C335, VOLUME_AVG_6M))</f>
        <v>1047.126953125</v>
      </c>
      <c r="AC335" s="31" cm="1">
        <f t="array" ref="AC335">IF(LEFT(_xll.BDP($C335, VOLUME_AVG_12M), 4) = "#N/A", "",  _xll.BDP($C335, VOLUME_AVG_12M))</f>
        <v>694.15936279296875</v>
      </c>
      <c r="AD335" s="41" t="str" cm="1">
        <f t="array" ref="AD335">IF(LEFT(_xll.BDP($C335, LAST_PRICE), 4) = "#N/A", "",  _xll.BDP($C335, LAST_PRICE))</f>
        <v/>
      </c>
    </row>
    <row r="336" spans="1:30" x14ac:dyDescent="0.35">
      <c r="A336" s="1">
        <f t="shared" si="5"/>
        <v>333</v>
      </c>
      <c r="B336" s="28">
        <v>45700</v>
      </c>
      <c r="C336" s="29" t="s">
        <v>718</v>
      </c>
      <c r="D336" s="29" t="s">
        <v>718</v>
      </c>
      <c r="E336" s="29" t="s">
        <v>719</v>
      </c>
      <c r="F336" s="29" t="s">
        <v>33</v>
      </c>
      <c r="G336" s="30" t="s">
        <v>34</v>
      </c>
      <c r="H336" s="31"/>
      <c r="I336" s="31"/>
      <c r="J336" s="32">
        <v>9.9999999747524292E-7</v>
      </c>
      <c r="K336" s="33">
        <v>45700</v>
      </c>
      <c r="L336" s="31"/>
      <c r="M336" s="32"/>
      <c r="N336" s="31"/>
      <c r="O336" s="33">
        <v>45699</v>
      </c>
      <c r="P336" s="34">
        <v>14395780</v>
      </c>
      <c r="Q336" s="34">
        <v>10348317</v>
      </c>
      <c r="R336" s="34">
        <v>9975943</v>
      </c>
      <c r="S336" s="29"/>
      <c r="T336" s="33"/>
      <c r="U336" s="35" t="b">
        <v>1</v>
      </c>
      <c r="V336" s="35" t="b">
        <v>1</v>
      </c>
      <c r="W336" s="35" t="b">
        <v>1</v>
      </c>
      <c r="Y336" s="31" cm="1">
        <f t="array" ref="Y336">IF(LEFT(_xll.BDP($C336, VOLUME_AVG_10D), 4) = "#N/A", "",  _xll.BDP($C336, VOLUME_AVG_10D))</f>
        <v>275</v>
      </c>
      <c r="Z336" s="31" cm="1">
        <f t="array" ref="Z336">IF(LEFT(_xll.BDP($C336, VOLUME_AVG_30D), 4) = "#N/A", "",  _xll.BDP($C336, VOLUME_AVG_30D))</f>
        <v>14395780</v>
      </c>
      <c r="AA336" s="31" cm="1">
        <f t="array" ref="AA336">IF(LEFT(_xll.BDP($C336, VOLUME_AVG_3M), 4) = "#N/A", "",  _xll.BDP($C336, VOLUME_AVG_3M))</f>
        <v>10348317</v>
      </c>
      <c r="AB336" s="31" cm="1">
        <f t="array" ref="AB336">IF(LEFT(_xll.BDP($C336, VOLUME_AVG_6M), 4) = "#N/A", "",  _xll.BDP($C336, VOLUME_AVG_6M))</f>
        <v>9975943</v>
      </c>
      <c r="AC336" s="31" cm="1">
        <f t="array" ref="AC336">IF(LEFT(_xll.BDP($C336, VOLUME_AVG_12M), 4) = "#N/A", "",  _xll.BDP($C336, VOLUME_AVG_12M))</f>
        <v>51513912</v>
      </c>
      <c r="AD336" s="41" cm="1">
        <f t="array" ref="AD336">IF(LEFT(_xll.BDP($C336, LAST_PRICE), 4) = "#N/A", "",  _xll.BDP($C336, LAST_PRICE))</f>
        <v>9.9999999999999995E-7</v>
      </c>
    </row>
    <row r="337" spans="1:30" x14ac:dyDescent="0.35">
      <c r="A337" s="1">
        <f t="shared" si="5"/>
        <v>334</v>
      </c>
      <c r="B337" s="28">
        <v>45700</v>
      </c>
      <c r="C337" s="29" t="s">
        <v>720</v>
      </c>
      <c r="D337" s="29" t="s">
        <v>720</v>
      </c>
      <c r="E337" s="29" t="s">
        <v>721</v>
      </c>
      <c r="F337" s="29" t="s">
        <v>40</v>
      </c>
      <c r="G337" s="30" t="s">
        <v>41</v>
      </c>
      <c r="H337" s="31">
        <v>376627416.86172098</v>
      </c>
      <c r="I337" s="31">
        <v>639854416.86172104</v>
      </c>
      <c r="J337" s="32">
        <v>2.5599999427795401</v>
      </c>
      <c r="K337" s="33">
        <v>45700</v>
      </c>
      <c r="L337" s="31"/>
      <c r="M337" s="32"/>
      <c r="N337" s="31"/>
      <c r="O337" s="33">
        <v>45699</v>
      </c>
      <c r="P337" s="34">
        <v>3790832</v>
      </c>
      <c r="Q337" s="34">
        <v>3322470</v>
      </c>
      <c r="R337" s="34">
        <v>3036867</v>
      </c>
      <c r="S337" s="29"/>
      <c r="T337" s="33"/>
      <c r="U337" s="35" t="b">
        <v>0</v>
      </c>
      <c r="V337" s="35" t="b">
        <v>0</v>
      </c>
      <c r="W337" s="35" t="b">
        <v>0</v>
      </c>
      <c r="Y337" s="31" cm="1">
        <f t="array" ref="Y337">IF(LEFT(_xll.BDP($C337, VOLUME_AVG_10D), 4) = "#N/A", "",  _xll.BDP($C337, VOLUME_AVG_10D))</f>
        <v>6044361</v>
      </c>
      <c r="Z337" s="31" cm="1">
        <f t="array" ref="Z337">IF(LEFT(_xll.BDP($C337, VOLUME_AVG_30D), 4) = "#N/A", "",  _xll.BDP($C337, VOLUME_AVG_30D))</f>
        <v>3790832</v>
      </c>
      <c r="AA337" s="31" cm="1">
        <f t="array" ref="AA337">IF(LEFT(_xll.BDP($C337, VOLUME_AVG_3M), 4) = "#N/A", "",  _xll.BDP($C337, VOLUME_AVG_3M))</f>
        <v>3322470</v>
      </c>
      <c r="AB337" s="31" cm="1">
        <f t="array" ref="AB337">IF(LEFT(_xll.BDP($C337, VOLUME_AVG_6M), 4) = "#N/A", "",  _xll.BDP($C337, VOLUME_AVG_6M))</f>
        <v>3036867</v>
      </c>
      <c r="AC337" s="31" cm="1">
        <f t="array" ref="AC337">IF(LEFT(_xll.BDP($C337, VOLUME_AVG_12M), 4) = "#N/A", "",  _xll.BDP($C337, VOLUME_AVG_12M))</f>
        <v>3727556</v>
      </c>
      <c r="AD337" s="41" cm="1">
        <f t="array" ref="AD337">IF(LEFT(_xll.BDP($C337, LAST_PRICE), 4) = "#N/A", "",  _xll.BDP($C337, LAST_PRICE))</f>
        <v>2.56</v>
      </c>
    </row>
    <row r="338" spans="1:30" x14ac:dyDescent="0.35">
      <c r="A338" s="1">
        <f t="shared" si="5"/>
        <v>335</v>
      </c>
      <c r="B338" s="28">
        <v>45700</v>
      </c>
      <c r="C338" s="29" t="s">
        <v>722</v>
      </c>
      <c r="D338" s="29" t="s">
        <v>722</v>
      </c>
      <c r="E338" s="29" t="s">
        <v>723</v>
      </c>
      <c r="F338" s="29" t="s">
        <v>33</v>
      </c>
      <c r="G338" s="30" t="s">
        <v>34</v>
      </c>
      <c r="H338" s="31">
        <v>684322124.07269704</v>
      </c>
      <c r="I338" s="31">
        <v>600942023.07269704</v>
      </c>
      <c r="J338" s="32">
        <v>15.050000190734901</v>
      </c>
      <c r="K338" s="33">
        <v>45700</v>
      </c>
      <c r="L338" s="31">
        <v>1781900</v>
      </c>
      <c r="M338" s="32">
        <v>3.5</v>
      </c>
      <c r="N338" s="31" t="s">
        <v>35</v>
      </c>
      <c r="O338" s="33">
        <v>45699</v>
      </c>
      <c r="P338" s="34">
        <v>796321.0625</v>
      </c>
      <c r="Q338" s="34">
        <v>1182597</v>
      </c>
      <c r="R338" s="34">
        <v>2119265.75</v>
      </c>
      <c r="S338" s="29" t="s">
        <v>177</v>
      </c>
      <c r="T338" s="33">
        <v>45446</v>
      </c>
      <c r="U338" s="35" t="b">
        <v>0</v>
      </c>
      <c r="V338" s="35" t="b">
        <v>0</v>
      </c>
      <c r="W338" s="35" t="b">
        <v>0</v>
      </c>
      <c r="Y338" s="31" cm="1">
        <f t="array" ref="Y338">IF(LEFT(_xll.BDP($C338, VOLUME_AVG_10D), 4) = "#N/A", "",  _xll.BDP($C338, VOLUME_AVG_10D))</f>
        <v>751319.875</v>
      </c>
      <c r="Z338" s="31" cm="1">
        <f t="array" ref="Z338">IF(LEFT(_xll.BDP($C338, VOLUME_AVG_30D), 4) = "#N/A", "",  _xll.BDP($C338, VOLUME_AVG_30D))</f>
        <v>796321.0625</v>
      </c>
      <c r="AA338" s="31" cm="1">
        <f t="array" ref="AA338">IF(LEFT(_xll.BDP($C338, VOLUME_AVG_3M), 4) = "#N/A", "",  _xll.BDP($C338, VOLUME_AVG_3M))</f>
        <v>1182597</v>
      </c>
      <c r="AB338" s="31" cm="1">
        <f t="array" ref="AB338">IF(LEFT(_xll.BDP($C338, VOLUME_AVG_6M), 4) = "#N/A", "",  _xll.BDP($C338, VOLUME_AVG_6M))</f>
        <v>2119265.75</v>
      </c>
      <c r="AC338" s="31" cm="1">
        <f t="array" ref="AC338">IF(LEFT(_xll.BDP($C338, VOLUME_AVG_12M), 4) = "#N/A", "",  _xll.BDP($C338, VOLUME_AVG_12M))</f>
        <v>1256306.5</v>
      </c>
      <c r="AD338" s="41" cm="1">
        <f t="array" ref="AD338">IF(LEFT(_xll.BDP($C338, LAST_PRICE), 4) = "#N/A", "",  _xll.BDP($C338, LAST_PRICE))</f>
        <v>15.05</v>
      </c>
    </row>
    <row r="339" spans="1:30" x14ac:dyDescent="0.35">
      <c r="A339" s="1">
        <f t="shared" si="5"/>
        <v>336</v>
      </c>
      <c r="B339" s="28">
        <v>45700</v>
      </c>
      <c r="C339" s="29" t="s">
        <v>724</v>
      </c>
      <c r="D339" s="29" t="s">
        <v>724</v>
      </c>
      <c r="E339" s="29" t="s">
        <v>725</v>
      </c>
      <c r="F339" s="29" t="s">
        <v>33</v>
      </c>
      <c r="G339" s="30" t="s">
        <v>34</v>
      </c>
      <c r="H339" s="31">
        <v>394025</v>
      </c>
      <c r="I339" s="31">
        <v>2733025</v>
      </c>
      <c r="J339" s="32">
        <v>2.5</v>
      </c>
      <c r="K339" s="33">
        <v>45700</v>
      </c>
      <c r="L339" s="31"/>
      <c r="M339" s="32"/>
      <c r="N339" s="31"/>
      <c r="O339" s="33">
        <v>45699</v>
      </c>
      <c r="P339" s="34">
        <v>90.166664123535199</v>
      </c>
      <c r="Q339" s="34">
        <v>455.93548583984398</v>
      </c>
      <c r="R339" s="34">
        <v>235.61904907226599</v>
      </c>
      <c r="S339" s="29"/>
      <c r="T339" s="33"/>
      <c r="U339" s="35" t="b">
        <v>1</v>
      </c>
      <c r="V339" s="35" t="b">
        <v>0</v>
      </c>
      <c r="W339" s="35" t="b">
        <v>0</v>
      </c>
      <c r="Y339" s="31" cm="1">
        <f t="array" ref="Y339">IF(LEFT(_xll.BDP($C339, VOLUME_AVG_10D), 4) = "#N/A", "",  _xll.BDP($C339, VOLUME_AVG_10D))</f>
        <v>19</v>
      </c>
      <c r="Z339" s="31" cm="1">
        <f t="array" ref="Z339">IF(LEFT(_xll.BDP($C339, VOLUME_AVG_30D), 4) = "#N/A", "",  _xll.BDP($C339, VOLUME_AVG_30D))</f>
        <v>90.166664123535156</v>
      </c>
      <c r="AA339" s="31" cm="1">
        <f t="array" ref="AA339">IF(LEFT(_xll.BDP($C339, VOLUME_AVG_3M), 4) = "#N/A", "",  _xll.BDP($C339, VOLUME_AVG_3M))</f>
        <v>455.93548583984375</v>
      </c>
      <c r="AB339" s="31" cm="1">
        <f t="array" ref="AB339">IF(LEFT(_xll.BDP($C339, VOLUME_AVG_6M), 4) = "#N/A", "",  _xll.BDP($C339, VOLUME_AVG_6M))</f>
        <v>235.61904907226563</v>
      </c>
      <c r="AC339" s="31" cm="1">
        <f t="array" ref="AC339">IF(LEFT(_xll.BDP($C339, VOLUME_AVG_12M), 4) = "#N/A", "",  _xll.BDP($C339, VOLUME_AVG_12M))</f>
        <v>130.52589416503906</v>
      </c>
      <c r="AD339" s="41" cm="1">
        <f t="array" ref="AD339">IF(LEFT(_xll.BDP($C339, LAST_PRICE), 4) = "#N/A", "",  _xll.BDP($C339, LAST_PRICE))</f>
        <v>2.5</v>
      </c>
    </row>
    <row r="340" spans="1:30" x14ac:dyDescent="0.35">
      <c r="A340" s="1">
        <f t="shared" si="5"/>
        <v>337</v>
      </c>
      <c r="B340" s="28">
        <v>45700</v>
      </c>
      <c r="C340" s="29" t="s">
        <v>726</v>
      </c>
      <c r="D340" s="29" t="s">
        <v>726</v>
      </c>
      <c r="E340" s="29" t="s">
        <v>727</v>
      </c>
      <c r="F340" s="29" t="s">
        <v>40</v>
      </c>
      <c r="G340" s="30" t="s">
        <v>41</v>
      </c>
      <c r="H340" s="31">
        <v>3091005.6</v>
      </c>
      <c r="I340" s="31">
        <v>-9496665.4000000004</v>
      </c>
      <c r="J340" s="32">
        <v>0.89</v>
      </c>
      <c r="K340" s="33">
        <v>45700</v>
      </c>
      <c r="L340" s="31"/>
      <c r="M340" s="32"/>
      <c r="N340" s="31"/>
      <c r="O340" s="33">
        <v>45699</v>
      </c>
      <c r="P340" s="34">
        <v>116.4667</v>
      </c>
      <c r="Q340" s="34">
        <v>283.07810000000001</v>
      </c>
      <c r="R340" s="34">
        <v>288.36219999999997</v>
      </c>
      <c r="S340" s="29"/>
      <c r="T340" s="33"/>
      <c r="U340" s="35" t="b">
        <v>1</v>
      </c>
      <c r="V340" s="35" t="b">
        <v>0</v>
      </c>
      <c r="W340" s="35" t="b">
        <v>1</v>
      </c>
      <c r="Y340" s="31" cm="1">
        <f t="array" ref="Y340">IF(LEFT(_xll.BDP($C340, VOLUME_AVG_10D), 4) = "#N/A", "",  _xll.BDP($C340, VOLUME_AVG_10D))</f>
        <v>58.3</v>
      </c>
      <c r="Z340" s="31" cm="1">
        <f t="array" ref="Z340">IF(LEFT(_xll.BDP($C340, VOLUME_AVG_30D), 4) = "#N/A", "",  _xll.BDP($C340, VOLUME_AVG_30D))</f>
        <v>116.4667</v>
      </c>
      <c r="AA340" s="31" cm="1">
        <f t="array" ref="AA340">IF(LEFT(_xll.BDP($C340, VOLUME_AVG_3M), 4) = "#N/A", "",  _xll.BDP($C340, VOLUME_AVG_3M))</f>
        <v>283.07810000000001</v>
      </c>
      <c r="AB340" s="31" cm="1">
        <f t="array" ref="AB340">IF(LEFT(_xll.BDP($C340, VOLUME_AVG_6M), 4) = "#N/A", "",  _xll.BDP($C340, VOLUME_AVG_6M))</f>
        <v>288.36219999999997</v>
      </c>
      <c r="AC340" s="31" cm="1">
        <f t="array" ref="AC340">IF(LEFT(_xll.BDP($C340, VOLUME_AVG_12M), 4) = "#N/A", "",  _xll.BDP($C340, VOLUME_AVG_12M))</f>
        <v>5343.5690000000004</v>
      </c>
      <c r="AD340" s="41" cm="1">
        <f t="array" ref="AD340">IF(LEFT(_xll.BDP($C340, LAST_PRICE), 4) = "#N/A", "",  _xll.BDP($C340, LAST_PRICE))</f>
        <v>0.89</v>
      </c>
    </row>
    <row r="341" spans="1:30" x14ac:dyDescent="0.35">
      <c r="A341" s="1">
        <f t="shared" si="5"/>
        <v>338</v>
      </c>
      <c r="B341" s="28">
        <v>45700</v>
      </c>
      <c r="C341" s="29" t="s">
        <v>728</v>
      </c>
      <c r="D341" s="29" t="s">
        <v>728</v>
      </c>
      <c r="E341" s="29" t="s">
        <v>729</v>
      </c>
      <c r="F341" s="29" t="s">
        <v>33</v>
      </c>
      <c r="G341" s="30" t="s">
        <v>34</v>
      </c>
      <c r="H341" s="31">
        <v>23999287.375</v>
      </c>
      <c r="I341" s="31">
        <v>-14619712.625</v>
      </c>
      <c r="J341" s="32">
        <v>5.25</v>
      </c>
      <c r="K341" s="33">
        <v>45700</v>
      </c>
      <c r="L341" s="31">
        <v>272000</v>
      </c>
      <c r="M341" s="32">
        <v>3.85</v>
      </c>
      <c r="N341" s="31" t="s">
        <v>35</v>
      </c>
      <c r="O341" s="33">
        <v>45699</v>
      </c>
      <c r="P341" s="34">
        <v>72265.21875</v>
      </c>
      <c r="Q341" s="34">
        <v>135732.359375</v>
      </c>
      <c r="R341" s="34">
        <v>86342.328125</v>
      </c>
      <c r="S341" s="29"/>
      <c r="T341" s="33"/>
      <c r="U341" s="35" t="b">
        <v>0</v>
      </c>
      <c r="V341" s="35" t="b">
        <v>0</v>
      </c>
      <c r="W341" s="35" t="b">
        <v>1</v>
      </c>
      <c r="Y341" s="31" cm="1">
        <f t="array" ref="Y341">IF(LEFT(_xll.BDP($C341, VOLUME_AVG_10D), 4) = "#N/A", "",  _xll.BDP($C341, VOLUME_AVG_10D))</f>
        <v>19132.400390625</v>
      </c>
      <c r="Z341" s="31" cm="1">
        <f t="array" ref="Z341">IF(LEFT(_xll.BDP($C341, VOLUME_AVG_30D), 4) = "#N/A", "",  _xll.BDP($C341, VOLUME_AVG_30D))</f>
        <v>72265.21875</v>
      </c>
      <c r="AA341" s="31" cm="1">
        <f t="array" ref="AA341">IF(LEFT(_xll.BDP($C341, VOLUME_AVG_3M), 4) = "#N/A", "",  _xll.BDP($C341, VOLUME_AVG_3M))</f>
        <v>135732.359375</v>
      </c>
      <c r="AB341" s="31" cm="1">
        <f t="array" ref="AB341">IF(LEFT(_xll.BDP($C341, VOLUME_AVG_6M), 4) = "#N/A", "",  _xll.BDP($C341, VOLUME_AVG_6M))</f>
        <v>86342.328125</v>
      </c>
      <c r="AC341" s="31" cm="1">
        <f t="array" ref="AC341">IF(LEFT(_xll.BDP($C341, VOLUME_AVG_12M), 4) = "#N/A", "",  _xll.BDP($C341, VOLUME_AVG_12M))</f>
        <v>74536.734375</v>
      </c>
      <c r="AD341" s="41" cm="1">
        <f t="array" ref="AD341">IF(LEFT(_xll.BDP($C341, LAST_PRICE), 4) = "#N/A", "",  _xll.BDP($C341, LAST_PRICE))</f>
        <v>5.25</v>
      </c>
    </row>
    <row r="342" spans="1:30" x14ac:dyDescent="0.35">
      <c r="A342" s="1">
        <f t="shared" si="5"/>
        <v>339</v>
      </c>
      <c r="B342" s="28">
        <v>45700</v>
      </c>
      <c r="C342" s="29" t="s">
        <v>730</v>
      </c>
      <c r="D342" s="29" t="s">
        <v>730</v>
      </c>
      <c r="E342" s="29" t="s">
        <v>731</v>
      </c>
      <c r="F342" s="29" t="s">
        <v>33</v>
      </c>
      <c r="G342" s="30" t="s">
        <v>34</v>
      </c>
      <c r="H342" s="31"/>
      <c r="I342" s="31"/>
      <c r="J342" s="32"/>
      <c r="K342" s="33">
        <v>45700</v>
      </c>
      <c r="L342" s="31"/>
      <c r="M342" s="32"/>
      <c r="N342" s="31"/>
      <c r="O342" s="33">
        <v>45699</v>
      </c>
      <c r="P342" s="34">
        <v>60.233333587646499</v>
      </c>
      <c r="Q342" s="34">
        <v>29.1451606750488</v>
      </c>
      <c r="R342" s="34">
        <v>16.325397491455099</v>
      </c>
      <c r="S342" s="29"/>
      <c r="T342" s="33"/>
      <c r="U342" s="35" t="b">
        <v>1</v>
      </c>
      <c r="V342" s="35" t="b">
        <v>1</v>
      </c>
      <c r="W342" s="35" t="b">
        <v>1</v>
      </c>
      <c r="Y342" s="31" cm="1">
        <f t="array" ref="Y342">IF(LEFT(_xll.BDP($C342, VOLUME_AVG_10D), 4) = "#N/A", "",  _xll.BDP($C342, VOLUME_AVG_10D))</f>
        <v>0</v>
      </c>
      <c r="Z342" s="31" cm="1">
        <f t="array" ref="Z342">IF(LEFT(_xll.BDP($C342, VOLUME_AVG_30D), 4) = "#N/A", "",  _xll.BDP($C342, VOLUME_AVG_30D))</f>
        <v>60.233333587646484</v>
      </c>
      <c r="AA342" s="31" cm="1">
        <f t="array" ref="AA342">IF(LEFT(_xll.BDP($C342, VOLUME_AVG_3M), 4) = "#N/A", "",  _xll.BDP($C342, VOLUME_AVG_3M))</f>
        <v>29.145160675048828</v>
      </c>
      <c r="AB342" s="31" cm="1">
        <f t="array" ref="AB342">IF(LEFT(_xll.BDP($C342, VOLUME_AVG_6M), 4) = "#N/A", "",  _xll.BDP($C342, VOLUME_AVG_6M))</f>
        <v>16.325397491455078</v>
      </c>
      <c r="AC342" s="31" cm="1">
        <f t="array" ref="AC342">IF(LEFT(_xll.BDP($C342, VOLUME_AVG_12M), 4) = "#N/A", "",  _xll.BDP($C342, VOLUME_AVG_12M))</f>
        <v>8.6254978179931641</v>
      </c>
      <c r="AD342" s="41" cm="1">
        <f t="array" ref="AD342">IF(LEFT(_xll.BDP($C342, LAST_PRICE), 4) = "#N/A", "",  _xll.BDP($C342, LAST_PRICE))</f>
        <v>9.9999999999999995E-7</v>
      </c>
    </row>
    <row r="343" spans="1:30" x14ac:dyDescent="0.35">
      <c r="A343" s="1">
        <f t="shared" si="5"/>
        <v>340</v>
      </c>
      <c r="B343" s="28">
        <v>45700</v>
      </c>
      <c r="C343" s="29" t="s">
        <v>732</v>
      </c>
      <c r="D343" s="29" t="s">
        <v>732</v>
      </c>
      <c r="E343" s="29" t="s">
        <v>733</v>
      </c>
      <c r="F343" s="29" t="s">
        <v>33</v>
      </c>
      <c r="G343" s="30" t="s">
        <v>34</v>
      </c>
      <c r="H343" s="31">
        <v>97738712.5</v>
      </c>
      <c r="I343" s="31">
        <v>163852287.5</v>
      </c>
      <c r="J343" s="32">
        <v>6.5</v>
      </c>
      <c r="K343" s="33">
        <v>45700</v>
      </c>
      <c r="L343" s="31"/>
      <c r="M343" s="32"/>
      <c r="N343" s="31"/>
      <c r="O343" s="33">
        <v>45699</v>
      </c>
      <c r="P343" s="34"/>
      <c r="Q343" s="34">
        <v>30.951612472534201</v>
      </c>
      <c r="R343" s="34">
        <v>15.880952835083001</v>
      </c>
      <c r="S343" s="29"/>
      <c r="T343" s="33"/>
      <c r="U343" s="35" t="b">
        <v>0</v>
      </c>
      <c r="V343" s="35" t="b">
        <v>0</v>
      </c>
      <c r="W343" s="35" t="b">
        <v>0</v>
      </c>
      <c r="Y343" s="31" cm="1">
        <f t="array" ref="Y343">IF(LEFT(_xll.BDP($C343, VOLUME_AVG_10D), 4) = "#N/A", "",  _xll.BDP($C343, VOLUME_AVG_10D))</f>
        <v>0</v>
      </c>
      <c r="Z343" s="31" cm="1">
        <f t="array" ref="Z343">IF(LEFT(_xll.BDP($C343, VOLUME_AVG_30D), 4) = "#N/A", "",  _xll.BDP($C343, VOLUME_AVG_30D))</f>
        <v>0</v>
      </c>
      <c r="AA343" s="31" cm="1">
        <f t="array" ref="AA343">IF(LEFT(_xll.BDP($C343, VOLUME_AVG_3M), 4) = "#N/A", "",  _xll.BDP($C343, VOLUME_AVG_3M))</f>
        <v>30.95161247253418</v>
      </c>
      <c r="AB343" s="31" cm="1">
        <f t="array" ref="AB343">IF(LEFT(_xll.BDP($C343, VOLUME_AVG_6M), 4) = "#N/A", "",  _xll.BDP($C343, VOLUME_AVG_6M))</f>
        <v>15.880952835083008</v>
      </c>
      <c r="AC343" s="31" cm="1">
        <f t="array" ref="AC343">IF(LEFT(_xll.BDP($C343, VOLUME_AVG_12M), 4) = "#N/A", "",  _xll.BDP($C343, VOLUME_AVG_12M))</f>
        <v>46.302787780761719</v>
      </c>
      <c r="AD343" s="41" cm="1">
        <f t="array" ref="AD343">IF(LEFT(_xll.BDP($C343, LAST_PRICE), 4) = "#N/A", "",  _xll.BDP($C343, LAST_PRICE))</f>
        <v>6.5</v>
      </c>
    </row>
    <row r="344" spans="1:30" x14ac:dyDescent="0.35">
      <c r="A344" s="1">
        <f t="shared" si="5"/>
        <v>341</v>
      </c>
      <c r="B344" s="28">
        <v>45700</v>
      </c>
      <c r="C344" s="29" t="s">
        <v>734</v>
      </c>
      <c r="D344" s="29" t="s">
        <v>734</v>
      </c>
      <c r="E344" s="29" t="s">
        <v>735</v>
      </c>
      <c r="F344" s="29" t="s">
        <v>33</v>
      </c>
      <c r="G344" s="30" t="s">
        <v>34</v>
      </c>
      <c r="H344" s="31">
        <v>288714960.03078502</v>
      </c>
      <c r="I344" s="31">
        <v>233819960.03078499</v>
      </c>
      <c r="J344" s="32">
        <v>4.3400001525878897</v>
      </c>
      <c r="K344" s="33">
        <v>45700</v>
      </c>
      <c r="L344" s="31">
        <v>2316700</v>
      </c>
      <c r="M344" s="32">
        <v>2.4500000000000002</v>
      </c>
      <c r="N344" s="31" t="s">
        <v>35</v>
      </c>
      <c r="O344" s="33">
        <v>45699</v>
      </c>
      <c r="P344" s="34">
        <v>1061405.125</v>
      </c>
      <c r="Q344" s="34">
        <v>2055894.875</v>
      </c>
      <c r="R344" s="34">
        <v>1343757.25</v>
      </c>
      <c r="S344" s="29" t="s">
        <v>46</v>
      </c>
      <c r="T344" s="33">
        <v>45446</v>
      </c>
      <c r="U344" s="35" t="b">
        <v>0</v>
      </c>
      <c r="V344" s="35" t="b">
        <v>0</v>
      </c>
      <c r="W344" s="35" t="b">
        <v>0</v>
      </c>
      <c r="Y344" s="31" cm="1">
        <f t="array" ref="Y344">IF(LEFT(_xll.BDP($C344, VOLUME_AVG_10D), 4) = "#N/A", "",  _xll.BDP($C344, VOLUME_AVG_10D))</f>
        <v>1028260.125</v>
      </c>
      <c r="Z344" s="31" cm="1">
        <f t="array" ref="Z344">IF(LEFT(_xll.BDP($C344, VOLUME_AVG_30D), 4) = "#N/A", "",  _xll.BDP($C344, VOLUME_AVG_30D))</f>
        <v>1061405.125</v>
      </c>
      <c r="AA344" s="31" cm="1">
        <f t="array" ref="AA344">IF(LEFT(_xll.BDP($C344, VOLUME_AVG_3M), 4) = "#N/A", "",  _xll.BDP($C344, VOLUME_AVG_3M))</f>
        <v>2055894.875</v>
      </c>
      <c r="AB344" s="31" cm="1">
        <f t="array" ref="AB344">IF(LEFT(_xll.BDP($C344, VOLUME_AVG_6M), 4) = "#N/A", "",  _xll.BDP($C344, VOLUME_AVG_6M))</f>
        <v>1343757.25</v>
      </c>
      <c r="AC344" s="31" cm="1">
        <f t="array" ref="AC344">IF(LEFT(_xll.BDP($C344, VOLUME_AVG_12M), 4) = "#N/A", "",  _xll.BDP($C344, VOLUME_AVG_12M))</f>
        <v>1312062.125</v>
      </c>
      <c r="AD344" s="41" cm="1">
        <f t="array" ref="AD344">IF(LEFT(_xll.BDP($C344, LAST_PRICE), 4) = "#N/A", "",  _xll.BDP($C344, LAST_PRICE))</f>
        <v>4.34</v>
      </c>
    </row>
    <row r="345" spans="1:30" x14ac:dyDescent="0.35">
      <c r="A345" s="1">
        <f t="shared" si="5"/>
        <v>342</v>
      </c>
      <c r="B345" s="28">
        <v>45700</v>
      </c>
      <c r="C345" s="29" t="s">
        <v>736</v>
      </c>
      <c r="D345" s="29" t="s">
        <v>736</v>
      </c>
      <c r="E345" s="29" t="s">
        <v>737</v>
      </c>
      <c r="F345" s="29" t="s">
        <v>33</v>
      </c>
      <c r="G345" s="30" t="s">
        <v>34</v>
      </c>
      <c r="H345" s="31">
        <v>30693628600.8144</v>
      </c>
      <c r="I345" s="31">
        <v>34559628600.8144</v>
      </c>
      <c r="J345" s="32">
        <v>127.05999755859401</v>
      </c>
      <c r="K345" s="33">
        <v>45700</v>
      </c>
      <c r="L345" s="31">
        <v>73919696</v>
      </c>
      <c r="M345" s="32">
        <v>3.88</v>
      </c>
      <c r="N345" s="31" t="s">
        <v>35</v>
      </c>
      <c r="O345" s="33">
        <v>45699</v>
      </c>
      <c r="P345" s="34">
        <v>2258041.75</v>
      </c>
      <c r="Q345" s="34">
        <v>2283467.5</v>
      </c>
      <c r="R345" s="34">
        <v>2125065.25</v>
      </c>
      <c r="S345" s="29"/>
      <c r="T345" s="33"/>
      <c r="U345" s="35" t="b">
        <v>0</v>
      </c>
      <c r="V345" s="35" t="b">
        <v>0</v>
      </c>
      <c r="W345" s="35" t="b">
        <v>0</v>
      </c>
      <c r="Y345" s="31" cm="1">
        <f t="array" ref="Y345">IF(LEFT(_xll.BDP($C345, VOLUME_AVG_10D), 4) = "#N/A", "",  _xll.BDP($C345, VOLUME_AVG_10D))</f>
        <v>3023174</v>
      </c>
      <c r="Z345" s="31" cm="1">
        <f t="array" ref="Z345">IF(LEFT(_xll.BDP($C345, VOLUME_AVG_30D), 4) = "#N/A", "",  _xll.BDP($C345, VOLUME_AVG_30D))</f>
        <v>2258041.75</v>
      </c>
      <c r="AA345" s="31" cm="1">
        <f t="array" ref="AA345">IF(LEFT(_xll.BDP($C345, VOLUME_AVG_3M), 4) = "#N/A", "",  _xll.BDP($C345, VOLUME_AVG_3M))</f>
        <v>2283467.5</v>
      </c>
      <c r="AB345" s="31" cm="1">
        <f t="array" ref="AB345">IF(LEFT(_xll.BDP($C345, VOLUME_AVG_6M), 4) = "#N/A", "",  _xll.BDP($C345, VOLUME_AVG_6M))</f>
        <v>2125065.25</v>
      </c>
      <c r="AC345" s="31" cm="1">
        <f t="array" ref="AC345">IF(LEFT(_xll.BDP($C345, VOLUME_AVG_12M), 4) = "#N/A", "",  _xll.BDP($C345, VOLUME_AVG_12M))</f>
        <v>2113191.5</v>
      </c>
      <c r="AD345" s="41" cm="1">
        <f t="array" ref="AD345">IF(LEFT(_xll.BDP($C345, LAST_PRICE), 4) = "#N/A", "",  _xll.BDP($C345, LAST_PRICE))</f>
        <v>127.06</v>
      </c>
    </row>
    <row r="346" spans="1:30" x14ac:dyDescent="0.35">
      <c r="A346" s="1">
        <f t="shared" si="5"/>
        <v>343</v>
      </c>
      <c r="B346" s="28">
        <v>45700</v>
      </c>
      <c r="C346" s="29" t="s">
        <v>738</v>
      </c>
      <c r="D346" s="29" t="s">
        <v>738</v>
      </c>
      <c r="E346" s="29" t="s">
        <v>739</v>
      </c>
      <c r="F346" s="29" t="s">
        <v>33</v>
      </c>
      <c r="G346" s="30" t="s">
        <v>34</v>
      </c>
      <c r="H346" s="31">
        <v>27803937.143957101</v>
      </c>
      <c r="I346" s="31">
        <v>26541815.143957101</v>
      </c>
      <c r="J346" s="32">
        <v>0.53320002555847201</v>
      </c>
      <c r="K346" s="33">
        <v>45700</v>
      </c>
      <c r="L346" s="31">
        <v>337400</v>
      </c>
      <c r="M346" s="32">
        <v>-20.7</v>
      </c>
      <c r="N346" s="31" t="s">
        <v>35</v>
      </c>
      <c r="O346" s="33">
        <v>45699</v>
      </c>
      <c r="P346" s="34">
        <v>3533437</v>
      </c>
      <c r="Q346" s="34">
        <v>6269818</v>
      </c>
      <c r="R346" s="34">
        <v>4396796.5</v>
      </c>
      <c r="S346" s="29"/>
      <c r="T346" s="33"/>
      <c r="U346" s="35" t="b">
        <v>0</v>
      </c>
      <c r="V346" s="35" t="b">
        <v>0</v>
      </c>
      <c r="W346" s="35" t="b">
        <v>0</v>
      </c>
      <c r="Y346" s="31" cm="1">
        <f t="array" ref="Y346">IF(LEFT(_xll.BDP($C346, VOLUME_AVG_10D), 4) = "#N/A", "",  _xll.BDP($C346, VOLUME_AVG_10D))</f>
        <v>2334092.75</v>
      </c>
      <c r="Z346" s="31" cm="1">
        <f t="array" ref="Z346">IF(LEFT(_xll.BDP($C346, VOLUME_AVG_30D), 4) = "#N/A", "",  _xll.BDP($C346, VOLUME_AVG_30D))</f>
        <v>3533437</v>
      </c>
      <c r="AA346" s="31" cm="1">
        <f t="array" ref="AA346">IF(LEFT(_xll.BDP($C346, VOLUME_AVG_3M), 4) = "#N/A", "",  _xll.BDP($C346, VOLUME_AVG_3M))</f>
        <v>6269818</v>
      </c>
      <c r="AB346" s="31" cm="1">
        <f t="array" ref="AB346">IF(LEFT(_xll.BDP($C346, VOLUME_AVG_6M), 4) = "#N/A", "",  _xll.BDP($C346, VOLUME_AVG_6M))</f>
        <v>4396796.5</v>
      </c>
      <c r="AC346" s="31" cm="1">
        <f t="array" ref="AC346">IF(LEFT(_xll.BDP($C346, VOLUME_AVG_12M), 4) = "#N/A", "",  _xll.BDP($C346, VOLUME_AVG_12M))</f>
        <v>2417237</v>
      </c>
      <c r="AD346" s="41" cm="1">
        <f t="array" ref="AD346">IF(LEFT(_xll.BDP($C346, LAST_PRICE), 4) = "#N/A", "",  _xll.BDP($C346, LAST_PRICE))</f>
        <v>0.53320000000000001</v>
      </c>
    </row>
    <row r="347" spans="1:30" x14ac:dyDescent="0.35">
      <c r="A347" s="1">
        <f t="shared" si="5"/>
        <v>344</v>
      </c>
      <c r="B347" s="28">
        <v>45700</v>
      </c>
      <c r="C347" s="29" t="s">
        <v>740</v>
      </c>
      <c r="D347" s="29" t="s">
        <v>740</v>
      </c>
      <c r="E347" s="29" t="s">
        <v>741</v>
      </c>
      <c r="F347" s="29" t="s">
        <v>40</v>
      </c>
      <c r="G347" s="30" t="s">
        <v>41</v>
      </c>
      <c r="H347" s="31">
        <v>1930740.06</v>
      </c>
      <c r="I347" s="31">
        <v>2101218.06</v>
      </c>
      <c r="J347" s="32">
        <v>0.01</v>
      </c>
      <c r="K347" s="33">
        <v>45700</v>
      </c>
      <c r="L347" s="31"/>
      <c r="M347" s="32"/>
      <c r="N347" s="31"/>
      <c r="O347" s="33">
        <v>45699</v>
      </c>
      <c r="P347" s="34">
        <v>72984.87</v>
      </c>
      <c r="Q347" s="34">
        <v>143377.5</v>
      </c>
      <c r="R347" s="34">
        <v>105307.7</v>
      </c>
      <c r="S347" s="29"/>
      <c r="T347" s="33"/>
      <c r="U347" s="35" t="b">
        <v>1</v>
      </c>
      <c r="V347" s="35" t="b">
        <v>1</v>
      </c>
      <c r="W347" s="35" t="b">
        <v>0</v>
      </c>
      <c r="Y347" s="31" cm="1">
        <f t="array" ref="Y347">IF(LEFT(_xll.BDP($C347, VOLUME_AVG_10D), 4) = "#N/A", "",  _xll.BDP($C347, VOLUME_AVG_10D))</f>
        <v>19718.2</v>
      </c>
      <c r="Z347" s="31" cm="1">
        <f t="array" ref="Z347">IF(LEFT(_xll.BDP($C347, VOLUME_AVG_30D), 4) = "#N/A", "",  _xll.BDP($C347, VOLUME_AVG_30D))</f>
        <v>72984.87</v>
      </c>
      <c r="AA347" s="31" cm="1">
        <f t="array" ref="AA347">IF(LEFT(_xll.BDP($C347, VOLUME_AVG_3M), 4) = "#N/A", "",  _xll.BDP($C347, VOLUME_AVG_3M))</f>
        <v>143377.5</v>
      </c>
      <c r="AB347" s="31" cm="1">
        <f t="array" ref="AB347">IF(LEFT(_xll.BDP($C347, VOLUME_AVG_6M), 4) = "#N/A", "",  _xll.BDP($C347, VOLUME_AVG_6M))</f>
        <v>105307.7</v>
      </c>
      <c r="AC347" s="31" cm="1">
        <f t="array" ref="AC347">IF(LEFT(_xll.BDP($C347, VOLUME_AVG_12M), 4) = "#N/A", "",  _xll.BDP($C347, VOLUME_AVG_12M))</f>
        <v>74704.38</v>
      </c>
      <c r="AD347" s="41" cm="1">
        <f t="array" ref="AD347">IF(LEFT(_xll.BDP($C347, LAST_PRICE), 4) = "#N/A", "",  _xll.BDP($C347, LAST_PRICE))</f>
        <v>0.01</v>
      </c>
    </row>
    <row r="348" spans="1:30" x14ac:dyDescent="0.35">
      <c r="A348" s="1">
        <f t="shared" si="5"/>
        <v>345</v>
      </c>
      <c r="B348" s="28">
        <v>45700</v>
      </c>
      <c r="C348" s="29" t="s">
        <v>742</v>
      </c>
      <c r="D348" s="29" t="s">
        <v>742</v>
      </c>
      <c r="E348" s="29" t="s">
        <v>743</v>
      </c>
      <c r="F348" s="29" t="s">
        <v>33</v>
      </c>
      <c r="G348" s="30" t="s">
        <v>34</v>
      </c>
      <c r="H348" s="31">
        <v>9605.0558000000001</v>
      </c>
      <c r="I348" s="31"/>
      <c r="J348" s="32"/>
      <c r="K348" s="33">
        <v>45700</v>
      </c>
      <c r="L348" s="31"/>
      <c r="M348" s="32"/>
      <c r="N348" s="31"/>
      <c r="O348" s="33">
        <v>45699</v>
      </c>
      <c r="P348" s="34"/>
      <c r="Q348" s="34">
        <v>12337.6611328125</v>
      </c>
      <c r="R348" s="34">
        <v>6390.5478515625</v>
      </c>
      <c r="S348" s="29"/>
      <c r="T348" s="33"/>
      <c r="U348" s="35" t="b">
        <v>1</v>
      </c>
      <c r="V348" s="35" t="b">
        <v>1</v>
      </c>
      <c r="W348" s="35" t="b">
        <v>1</v>
      </c>
      <c r="Y348" s="31" cm="1">
        <f t="array" ref="Y348">IF(LEFT(_xll.BDP($C348, VOLUME_AVG_10D), 4) = "#N/A", "",  _xll.BDP($C348, VOLUME_AVG_10D))</f>
        <v>0</v>
      </c>
      <c r="Z348" s="31" cm="1">
        <f t="array" ref="Z348">IF(LEFT(_xll.BDP($C348, VOLUME_AVG_30D), 4) = "#N/A", "",  _xll.BDP($C348, VOLUME_AVG_30D))</f>
        <v>0</v>
      </c>
      <c r="AA348" s="31" cm="1">
        <f t="array" ref="AA348">IF(LEFT(_xll.BDP($C348, VOLUME_AVG_3M), 4) = "#N/A", "",  _xll.BDP($C348, VOLUME_AVG_3M))</f>
        <v>12337.6611328125</v>
      </c>
      <c r="AB348" s="31" cm="1">
        <f t="array" ref="AB348">IF(LEFT(_xll.BDP($C348, VOLUME_AVG_6M), 4) = "#N/A", "",  _xll.BDP($C348, VOLUME_AVG_6M))</f>
        <v>6390.5478515625</v>
      </c>
      <c r="AC348" s="31" cm="1">
        <f t="array" ref="AC348">IF(LEFT(_xll.BDP($C348, VOLUME_AVG_12M), 4) = "#N/A", "",  _xll.BDP($C348, VOLUME_AVG_12M))</f>
        <v>3303.613525390625</v>
      </c>
      <c r="AD348" s="41" t="str" cm="1">
        <f t="array" ref="AD348">IF(LEFT(_xll.BDP($C348, LAST_PRICE), 4) = "#N/A", "",  _xll.BDP($C348, LAST_PRICE))</f>
        <v/>
      </c>
    </row>
    <row r="349" spans="1:30" x14ac:dyDescent="0.35">
      <c r="A349" s="1">
        <f t="shared" si="5"/>
        <v>346</v>
      </c>
      <c r="B349" s="28">
        <v>45700</v>
      </c>
      <c r="C349" s="29" t="s">
        <v>744</v>
      </c>
      <c r="D349" s="29" t="s">
        <v>744</v>
      </c>
      <c r="E349" s="29" t="s">
        <v>745</v>
      </c>
      <c r="F349" s="29" t="s">
        <v>40</v>
      </c>
      <c r="G349" s="30" t="s">
        <v>41</v>
      </c>
      <c r="H349" s="31">
        <v>153652726.30173099</v>
      </c>
      <c r="I349" s="31">
        <v>137933692.30173099</v>
      </c>
      <c r="J349" s="32">
        <v>1.8600000143051101</v>
      </c>
      <c r="K349" s="33">
        <v>45700</v>
      </c>
      <c r="L349" s="31">
        <v>1466700</v>
      </c>
      <c r="M349" s="32">
        <v>-4</v>
      </c>
      <c r="N349" s="31" t="s">
        <v>35</v>
      </c>
      <c r="O349" s="33">
        <v>45699</v>
      </c>
      <c r="P349" s="34">
        <v>106216.9</v>
      </c>
      <c r="Q349" s="34">
        <v>150531.5</v>
      </c>
      <c r="R349" s="34">
        <v>198239.1</v>
      </c>
      <c r="S349" s="29"/>
      <c r="T349" s="33"/>
      <c r="U349" s="35" t="b">
        <v>0</v>
      </c>
      <c r="V349" s="35" t="b">
        <v>0</v>
      </c>
      <c r="W349" s="35" t="b">
        <v>0</v>
      </c>
      <c r="Y349" s="31" cm="1">
        <f t="array" ref="Y349">IF(LEFT(_xll.BDP($C349, VOLUME_AVG_10D), 4) = "#N/A", "",  _xll.BDP($C349, VOLUME_AVG_10D))</f>
        <v>114709.9</v>
      </c>
      <c r="Z349" s="31" cm="1">
        <f t="array" ref="Z349">IF(LEFT(_xll.BDP($C349, VOLUME_AVG_30D), 4) = "#N/A", "",  _xll.BDP($C349, VOLUME_AVG_30D))</f>
        <v>106216.9</v>
      </c>
      <c r="AA349" s="31" cm="1">
        <f t="array" ref="AA349">IF(LEFT(_xll.BDP($C349, VOLUME_AVG_3M), 4) = "#N/A", "",  _xll.BDP($C349, VOLUME_AVG_3M))</f>
        <v>150531.5</v>
      </c>
      <c r="AB349" s="31" cm="1">
        <f t="array" ref="AB349">IF(LEFT(_xll.BDP($C349, VOLUME_AVG_6M), 4) = "#N/A", "",  _xll.BDP($C349, VOLUME_AVG_6M))</f>
        <v>198239.1</v>
      </c>
      <c r="AC349" s="31" cm="1">
        <f t="array" ref="AC349">IF(LEFT(_xll.BDP($C349, VOLUME_AVG_12M), 4) = "#N/A", "",  _xll.BDP($C349, VOLUME_AVG_12M))</f>
        <v>248178.7</v>
      </c>
      <c r="AD349" s="41" cm="1">
        <f t="array" ref="AD349">IF(LEFT(_xll.BDP($C349, LAST_PRICE), 4) = "#N/A", "",  _xll.BDP($C349, LAST_PRICE))</f>
        <v>1.86</v>
      </c>
    </row>
    <row r="350" spans="1:30" x14ac:dyDescent="0.35">
      <c r="A350" s="1">
        <f t="shared" si="5"/>
        <v>347</v>
      </c>
      <c r="B350" s="28">
        <v>45700</v>
      </c>
      <c r="C350" s="29" t="s">
        <v>746</v>
      </c>
      <c r="D350" s="29" t="s">
        <v>746</v>
      </c>
      <c r="E350" s="29" t="s">
        <v>747</v>
      </c>
      <c r="F350" s="29" t="s">
        <v>33</v>
      </c>
      <c r="G350" s="30" t="s">
        <v>34</v>
      </c>
      <c r="H350" s="31">
        <v>151.90499616255701</v>
      </c>
      <c r="I350" s="31">
        <v>439151.88766331802</v>
      </c>
      <c r="J350" s="32">
        <v>9.9999997473787499E-6</v>
      </c>
      <c r="K350" s="33">
        <v>45700</v>
      </c>
      <c r="L350" s="31"/>
      <c r="M350" s="32"/>
      <c r="N350" s="31"/>
      <c r="O350" s="33">
        <v>45699</v>
      </c>
      <c r="P350" s="34">
        <v>14</v>
      </c>
      <c r="Q350" s="34">
        <v>14.032258033752401</v>
      </c>
      <c r="R350" s="34">
        <v>6.9047617912292498</v>
      </c>
      <c r="S350" s="29"/>
      <c r="T350" s="33"/>
      <c r="U350" s="35" t="b">
        <v>1</v>
      </c>
      <c r="V350" s="35" t="b">
        <v>1</v>
      </c>
      <c r="W350" s="35" t="b">
        <v>0</v>
      </c>
      <c r="Y350" s="31" cm="1">
        <f t="array" ref="Y350">IF(LEFT(_xll.BDP($C350, VOLUME_AVG_10D), 4) = "#N/A", "",  _xll.BDP($C350, VOLUME_AVG_10D))</f>
        <v>0</v>
      </c>
      <c r="Z350" s="31" cm="1">
        <f t="array" ref="Z350">IF(LEFT(_xll.BDP($C350, VOLUME_AVG_30D), 4) = "#N/A", "",  _xll.BDP($C350, VOLUME_AVG_30D))</f>
        <v>14</v>
      </c>
      <c r="AA350" s="31" cm="1">
        <f t="array" ref="AA350">IF(LEFT(_xll.BDP($C350, VOLUME_AVG_3M), 4) = "#N/A", "",  _xll.BDP($C350, VOLUME_AVG_3M))</f>
        <v>14.032258033752441</v>
      </c>
      <c r="AB350" s="31" cm="1">
        <f t="array" ref="AB350">IF(LEFT(_xll.BDP($C350, VOLUME_AVG_6M), 4) = "#N/A", "",  _xll.BDP($C350, VOLUME_AVG_6M))</f>
        <v>6.904761791229248</v>
      </c>
      <c r="AC350" s="31" cm="1">
        <f t="array" ref="AC350">IF(LEFT(_xll.BDP($C350, VOLUME_AVG_12M), 4) = "#N/A", "",  _xll.BDP($C350, VOLUME_AVG_12M))</f>
        <v>6.892430305480957</v>
      </c>
      <c r="AD350" s="41" cm="1">
        <f t="array" ref="AD350">IF(LEFT(_xll.BDP($C350, LAST_PRICE), 4) = "#N/A", "",  _xll.BDP($C350, LAST_PRICE))</f>
        <v>1.0000000000000001E-5</v>
      </c>
    </row>
    <row r="351" spans="1:30" x14ac:dyDescent="0.35">
      <c r="A351" s="1">
        <f t="shared" si="5"/>
        <v>348</v>
      </c>
      <c r="B351" s="28">
        <v>45700</v>
      </c>
      <c r="C351" s="29" t="s">
        <v>748</v>
      </c>
      <c r="D351" s="29" t="s">
        <v>748</v>
      </c>
      <c r="E351" s="29" t="s">
        <v>749</v>
      </c>
      <c r="F351" s="29" t="s">
        <v>40</v>
      </c>
      <c r="G351" s="30" t="s">
        <v>41</v>
      </c>
      <c r="H351" s="31">
        <v>7386473.8200000003</v>
      </c>
      <c r="I351" s="31">
        <v>15050473.82</v>
      </c>
      <c r="J351" s="32">
        <v>9.5000000000000001E-2</v>
      </c>
      <c r="K351" s="33">
        <v>45700</v>
      </c>
      <c r="L351" s="31"/>
      <c r="M351" s="32"/>
      <c r="N351" s="31"/>
      <c r="O351" s="33">
        <v>45699</v>
      </c>
      <c r="P351" s="34">
        <v>101270.9</v>
      </c>
      <c r="Q351" s="34">
        <v>66043.42</v>
      </c>
      <c r="R351" s="34">
        <v>35824.35</v>
      </c>
      <c r="S351" s="29"/>
      <c r="T351" s="33"/>
      <c r="U351" s="35" t="b">
        <v>1</v>
      </c>
      <c r="V351" s="35" t="b">
        <v>1</v>
      </c>
      <c r="W351" s="35" t="b">
        <v>0</v>
      </c>
      <c r="Y351" s="31" cm="1">
        <f t="array" ref="Y351">IF(LEFT(_xll.BDP($C351, VOLUME_AVG_10D), 4) = "#N/A", "",  _xll.BDP($C351, VOLUME_AVG_10D))</f>
        <v>72742.899999999994</v>
      </c>
      <c r="Z351" s="31" cm="1">
        <f t="array" ref="Z351">IF(LEFT(_xll.BDP($C351, VOLUME_AVG_30D), 4) = "#N/A", "",  _xll.BDP($C351, VOLUME_AVG_30D))</f>
        <v>101270.9</v>
      </c>
      <c r="AA351" s="31" cm="1">
        <f t="array" ref="AA351">IF(LEFT(_xll.BDP($C351, VOLUME_AVG_3M), 4) = "#N/A", "",  _xll.BDP($C351, VOLUME_AVG_3M))</f>
        <v>66043.42</v>
      </c>
      <c r="AB351" s="31" cm="1">
        <f t="array" ref="AB351">IF(LEFT(_xll.BDP($C351, VOLUME_AVG_6M), 4) = "#N/A", "",  _xll.BDP($C351, VOLUME_AVG_6M))</f>
        <v>35824.35</v>
      </c>
      <c r="AC351" s="31" cm="1">
        <f t="array" ref="AC351">IF(LEFT(_xll.BDP($C351, VOLUME_AVG_12M), 4) = "#N/A", "",  _xll.BDP($C351, VOLUME_AVG_12M))</f>
        <v>20010.18</v>
      </c>
      <c r="AD351" s="41" cm="1">
        <f t="array" ref="AD351">IF(LEFT(_xll.BDP($C351, LAST_PRICE), 4) = "#N/A", "",  _xll.BDP($C351, LAST_PRICE))</f>
        <v>9.5000000000000001E-2</v>
      </c>
    </row>
    <row r="352" spans="1:30" x14ac:dyDescent="0.35">
      <c r="A352" s="1">
        <f t="shared" si="5"/>
        <v>349</v>
      </c>
      <c r="B352" s="28">
        <v>45700</v>
      </c>
      <c r="C352" s="29" t="s">
        <v>750</v>
      </c>
      <c r="D352" s="29" t="s">
        <v>750</v>
      </c>
      <c r="E352" s="29" t="s">
        <v>751</v>
      </c>
      <c r="F352" s="29" t="s">
        <v>33</v>
      </c>
      <c r="G352" s="30" t="s">
        <v>34</v>
      </c>
      <c r="H352" s="31">
        <v>70877191.130441695</v>
      </c>
      <c r="I352" s="31">
        <v>185109966.13044199</v>
      </c>
      <c r="J352" s="32">
        <v>4.3600001335143999</v>
      </c>
      <c r="K352" s="33">
        <v>45700</v>
      </c>
      <c r="L352" s="31">
        <v>1056100</v>
      </c>
      <c r="M352" s="32">
        <v>-12.6</v>
      </c>
      <c r="N352" s="31" t="s">
        <v>35</v>
      </c>
      <c r="O352" s="33">
        <v>45699</v>
      </c>
      <c r="P352" s="34">
        <v>122793.203125</v>
      </c>
      <c r="Q352" s="34">
        <v>191273.828125</v>
      </c>
      <c r="R352" s="34">
        <v>133647.6875</v>
      </c>
      <c r="S352" s="29"/>
      <c r="T352" s="33"/>
      <c r="U352" s="35" t="b">
        <v>0</v>
      </c>
      <c r="V352" s="35" t="b">
        <v>0</v>
      </c>
      <c r="W352" s="35" t="b">
        <v>0</v>
      </c>
      <c r="Y352" s="31" cm="1">
        <f t="array" ref="Y352">IF(LEFT(_xll.BDP($C352, VOLUME_AVG_10D), 4) = "#N/A", "",  _xll.BDP($C352, VOLUME_AVG_10D))</f>
        <v>120591.5</v>
      </c>
      <c r="Z352" s="31" cm="1">
        <f t="array" ref="Z352">IF(LEFT(_xll.BDP($C352, VOLUME_AVG_30D), 4) = "#N/A", "",  _xll.BDP($C352, VOLUME_AVG_30D))</f>
        <v>122793.203125</v>
      </c>
      <c r="AA352" s="31" cm="1">
        <f t="array" ref="AA352">IF(LEFT(_xll.BDP($C352, VOLUME_AVG_3M), 4) = "#N/A", "",  _xll.BDP($C352, VOLUME_AVG_3M))</f>
        <v>191273.828125</v>
      </c>
      <c r="AB352" s="31" cm="1">
        <f t="array" ref="AB352">IF(LEFT(_xll.BDP($C352, VOLUME_AVG_6M), 4) = "#N/A", "",  _xll.BDP($C352, VOLUME_AVG_6M))</f>
        <v>133647.6875</v>
      </c>
      <c r="AC352" s="31" cm="1">
        <f t="array" ref="AC352">IF(LEFT(_xll.BDP($C352, VOLUME_AVG_12M), 4) = "#N/A", "",  _xll.BDP($C352, VOLUME_AVG_12M))</f>
        <v>534885.5625</v>
      </c>
      <c r="AD352" s="41" cm="1">
        <f t="array" ref="AD352">IF(LEFT(_xll.BDP($C352, LAST_PRICE), 4) = "#N/A", "",  _xll.BDP($C352, LAST_PRICE))</f>
        <v>4.3600000000000003</v>
      </c>
    </row>
    <row r="353" spans="1:30" x14ac:dyDescent="0.35">
      <c r="A353" s="1">
        <f t="shared" si="5"/>
        <v>350</v>
      </c>
      <c r="B353" s="28">
        <v>45700</v>
      </c>
      <c r="C353" s="29" t="s">
        <v>752</v>
      </c>
      <c r="D353" s="29" t="s">
        <v>752</v>
      </c>
      <c r="E353" s="29" t="s">
        <v>753</v>
      </c>
      <c r="F353" s="29" t="s">
        <v>33</v>
      </c>
      <c r="G353" s="30" t="s">
        <v>34</v>
      </c>
      <c r="H353" s="31">
        <v>1285067500.05672</v>
      </c>
      <c r="I353" s="31">
        <v>1074179500.05672</v>
      </c>
      <c r="J353" s="32">
        <v>23.959999084472699</v>
      </c>
      <c r="K353" s="33">
        <v>45700</v>
      </c>
      <c r="L353" s="31">
        <v>18596300</v>
      </c>
      <c r="M353" s="32">
        <v>3.88</v>
      </c>
      <c r="N353" s="31" t="s">
        <v>35</v>
      </c>
      <c r="O353" s="33">
        <v>45699</v>
      </c>
      <c r="P353" s="34">
        <v>851912.8125</v>
      </c>
      <c r="Q353" s="34">
        <v>796699.6875</v>
      </c>
      <c r="R353" s="34">
        <v>847618.25</v>
      </c>
      <c r="S353" s="29" t="s">
        <v>671</v>
      </c>
      <c r="T353" s="33">
        <v>45215</v>
      </c>
      <c r="U353" s="35" t="b">
        <v>0</v>
      </c>
      <c r="V353" s="35" t="b">
        <v>0</v>
      </c>
      <c r="W353" s="35" t="b">
        <v>0</v>
      </c>
      <c r="Y353" s="31" cm="1">
        <f t="array" ref="Y353">IF(LEFT(_xll.BDP($C353, VOLUME_AVG_10D), 4) = "#N/A", "",  _xll.BDP($C353, VOLUME_AVG_10D))</f>
        <v>935199.8125</v>
      </c>
      <c r="Z353" s="31" cm="1">
        <f t="array" ref="Z353">IF(LEFT(_xll.BDP($C353, VOLUME_AVG_30D), 4) = "#N/A", "",  _xll.BDP($C353, VOLUME_AVG_30D))</f>
        <v>851912.8125</v>
      </c>
      <c r="AA353" s="31" cm="1">
        <f t="array" ref="AA353">IF(LEFT(_xll.BDP($C353, VOLUME_AVG_3M), 4) = "#N/A", "",  _xll.BDP($C353, VOLUME_AVG_3M))</f>
        <v>796699.6875</v>
      </c>
      <c r="AB353" s="31" cm="1">
        <f t="array" ref="AB353">IF(LEFT(_xll.BDP($C353, VOLUME_AVG_6M), 4) = "#N/A", "",  _xll.BDP($C353, VOLUME_AVG_6M))</f>
        <v>847618.25</v>
      </c>
      <c r="AC353" s="31" cm="1">
        <f t="array" ref="AC353">IF(LEFT(_xll.BDP($C353, VOLUME_AVG_12M), 4) = "#N/A", "",  _xll.BDP($C353, VOLUME_AVG_12M))</f>
        <v>860000.25</v>
      </c>
      <c r="AD353" s="41" cm="1">
        <f t="array" ref="AD353">IF(LEFT(_xll.BDP($C353, LAST_PRICE), 4) = "#N/A", "",  _xll.BDP($C353, LAST_PRICE))</f>
        <v>23.96</v>
      </c>
    </row>
    <row r="354" spans="1:30" x14ac:dyDescent="0.35">
      <c r="A354" s="1">
        <f t="shared" si="5"/>
        <v>351</v>
      </c>
      <c r="B354" s="28">
        <v>45700</v>
      </c>
      <c r="C354" s="29" t="s">
        <v>754</v>
      </c>
      <c r="D354" s="29" t="s">
        <v>754</v>
      </c>
      <c r="E354" s="29" t="s">
        <v>755</v>
      </c>
      <c r="F354" s="29" t="s">
        <v>33</v>
      </c>
      <c r="G354" s="30" t="s">
        <v>34</v>
      </c>
      <c r="H354" s="31">
        <v>6249.9727999999996</v>
      </c>
      <c r="I354" s="31">
        <v>751067.97279999999</v>
      </c>
      <c r="J354" s="32"/>
      <c r="K354" s="33">
        <v>45700</v>
      </c>
      <c r="L354" s="31"/>
      <c r="M354" s="32"/>
      <c r="N354" s="31"/>
      <c r="O354" s="33">
        <v>45699</v>
      </c>
      <c r="P354" s="34">
        <v>365.16665649414102</v>
      </c>
      <c r="Q354" s="34">
        <v>353.70968627929699</v>
      </c>
      <c r="R354" s="34">
        <v>181.92857360839801</v>
      </c>
      <c r="S354" s="29"/>
      <c r="T354" s="33"/>
      <c r="U354" s="35" t="b">
        <v>1</v>
      </c>
      <c r="V354" s="35" t="b">
        <v>1</v>
      </c>
      <c r="W354" s="35" t="b">
        <v>0</v>
      </c>
      <c r="Y354" s="31" cm="1">
        <f t="array" ref="Y354">IF(LEFT(_xll.BDP($C354, VOLUME_AVG_10D), 4) = "#N/A", "",  _xll.BDP($C354, VOLUME_AVG_10D))</f>
        <v>0</v>
      </c>
      <c r="Z354" s="31" cm="1">
        <f t="array" ref="Z354">IF(LEFT(_xll.BDP($C354, VOLUME_AVG_30D), 4) = "#N/A", "",  _xll.BDP($C354, VOLUME_AVG_30D))</f>
        <v>365.16665649414063</v>
      </c>
      <c r="AA354" s="31" cm="1">
        <f t="array" ref="AA354">IF(LEFT(_xll.BDP($C354, VOLUME_AVG_3M), 4) = "#N/A", "",  _xll.BDP($C354, VOLUME_AVG_3M))</f>
        <v>353.70968627929688</v>
      </c>
      <c r="AB354" s="31" cm="1">
        <f t="array" ref="AB354">IF(LEFT(_xll.BDP($C354, VOLUME_AVG_6M), 4) = "#N/A", "",  _xll.BDP($C354, VOLUME_AVG_6M))</f>
        <v>181.92857360839844</v>
      </c>
      <c r="AC354" s="31" cm="1">
        <f t="array" ref="AC354">IF(LEFT(_xll.BDP($C354, VOLUME_AVG_12M), 4) = "#N/A", "",  _xll.BDP($C354, VOLUME_AVG_12M))</f>
        <v>261.82867431640625</v>
      </c>
      <c r="AD354" s="41" cm="1">
        <f t="array" ref="AD354">IF(LEFT(_xll.BDP($C354, LAST_PRICE), 4) = "#N/A", "",  _xll.BDP($C354, LAST_PRICE))</f>
        <v>1.6000000000000001E-3</v>
      </c>
    </row>
    <row r="355" spans="1:30" x14ac:dyDescent="0.35">
      <c r="A355" s="1">
        <f t="shared" si="5"/>
        <v>352</v>
      </c>
      <c r="B355" s="28">
        <v>45700</v>
      </c>
      <c r="C355" s="29" t="s">
        <v>756</v>
      </c>
      <c r="D355" s="29" t="s">
        <v>756</v>
      </c>
      <c r="E355" s="29" t="s">
        <v>757</v>
      </c>
      <c r="F355" s="29" t="s">
        <v>33</v>
      </c>
      <c r="G355" s="30" t="s">
        <v>34</v>
      </c>
      <c r="H355" s="31"/>
      <c r="I355" s="31"/>
      <c r="J355" s="32"/>
      <c r="K355" s="33">
        <v>45700</v>
      </c>
      <c r="L355" s="31"/>
      <c r="M355" s="32"/>
      <c r="N355" s="31"/>
      <c r="O355" s="33">
        <v>45699</v>
      </c>
      <c r="P355" s="34"/>
      <c r="Q355" s="34"/>
      <c r="R355" s="34"/>
      <c r="S355" s="29"/>
      <c r="T355" s="33"/>
      <c r="U355" s="35" t="b">
        <v>1</v>
      </c>
      <c r="V355" s="35" t="b">
        <v>1</v>
      </c>
      <c r="W355" s="35" t="b">
        <v>1</v>
      </c>
      <c r="Y355" s="31" t="str" cm="1">
        <f t="array" ref="Y355">IF(LEFT(_xll.BDP($C355, VOLUME_AVG_10D), 4) = "#N/A", "",  _xll.BDP($C355, VOLUME_AVG_10D))</f>
        <v/>
      </c>
      <c r="Z355" s="31" t="str" cm="1">
        <f t="array" ref="Z355">IF(LEFT(_xll.BDP($C355, VOLUME_AVG_30D), 4) = "#N/A", "",  _xll.BDP($C355, VOLUME_AVG_30D))</f>
        <v/>
      </c>
      <c r="AA355" s="31" t="str" cm="1">
        <f t="array" ref="AA355">IF(LEFT(_xll.BDP($C355, VOLUME_AVG_3M), 4) = "#N/A", "",  _xll.BDP($C355, VOLUME_AVG_3M))</f>
        <v/>
      </c>
      <c r="AB355" s="31" t="str" cm="1">
        <f t="array" ref="AB355">IF(LEFT(_xll.BDP($C355, VOLUME_AVG_6M), 4) = "#N/A", "",  _xll.BDP($C355, VOLUME_AVG_6M))</f>
        <v/>
      </c>
      <c r="AC355" s="31" t="str" cm="1">
        <f t="array" ref="AC355">IF(LEFT(_xll.BDP($C355, VOLUME_AVG_12M), 4) = "#N/A", "",  _xll.BDP($C355, VOLUME_AVG_12M))</f>
        <v/>
      </c>
      <c r="AD355" s="41" t="str" cm="1">
        <f t="array" ref="AD355">IF(LEFT(_xll.BDP($C355, LAST_PRICE), 4) = "#N/A", "",  _xll.BDP($C355, LAST_PRICE))</f>
        <v/>
      </c>
    </row>
    <row r="356" spans="1:30" x14ac:dyDescent="0.35">
      <c r="A356" s="1">
        <f t="shared" si="5"/>
        <v>353</v>
      </c>
      <c r="B356" s="28">
        <v>45700</v>
      </c>
      <c r="C356" s="29" t="s">
        <v>758</v>
      </c>
      <c r="D356" s="29" t="s">
        <v>758</v>
      </c>
      <c r="E356" s="29" t="s">
        <v>759</v>
      </c>
      <c r="F356" s="29" t="s">
        <v>33</v>
      </c>
      <c r="G356" s="30" t="s">
        <v>34</v>
      </c>
      <c r="H356" s="31">
        <v>18725055.427574702</v>
      </c>
      <c r="I356" s="31">
        <v>38408977.427574702</v>
      </c>
      <c r="J356" s="32">
        <v>3.20699997246265E-2</v>
      </c>
      <c r="K356" s="33">
        <v>45700</v>
      </c>
      <c r="L356" s="31">
        <v>1524800</v>
      </c>
      <c r="M356" s="32">
        <v>1.2</v>
      </c>
      <c r="N356" s="31" t="s">
        <v>35</v>
      </c>
      <c r="O356" s="33">
        <v>45699</v>
      </c>
      <c r="P356" s="34">
        <v>17841.833984375</v>
      </c>
      <c r="Q356" s="34">
        <v>34156.984375</v>
      </c>
      <c r="R356" s="34">
        <v>26581.658203125</v>
      </c>
      <c r="S356" s="29"/>
      <c r="T356" s="33"/>
      <c r="U356" s="35" t="b">
        <v>1</v>
      </c>
      <c r="V356" s="35" t="b">
        <v>1</v>
      </c>
      <c r="W356" s="35" t="b">
        <v>0</v>
      </c>
      <c r="Y356" s="31" cm="1">
        <f t="array" ref="Y356">IF(LEFT(_xll.BDP($C356, VOLUME_AVG_10D), 4) = "#N/A", "",  _xll.BDP($C356, VOLUME_AVG_10D))</f>
        <v>14148.400390625</v>
      </c>
      <c r="Z356" s="31" cm="1">
        <f t="array" ref="Z356">IF(LEFT(_xll.BDP($C356, VOLUME_AVG_30D), 4) = "#N/A", "",  _xll.BDP($C356, VOLUME_AVG_30D))</f>
        <v>17841.833984375</v>
      </c>
      <c r="AA356" s="31" cm="1">
        <f t="array" ref="AA356">IF(LEFT(_xll.BDP($C356, VOLUME_AVG_3M), 4) = "#N/A", "",  _xll.BDP($C356, VOLUME_AVG_3M))</f>
        <v>34156.984375</v>
      </c>
      <c r="AB356" s="31" cm="1">
        <f t="array" ref="AB356">IF(LEFT(_xll.BDP($C356, VOLUME_AVG_6M), 4) = "#N/A", "",  _xll.BDP($C356, VOLUME_AVG_6M))</f>
        <v>26581.658203125</v>
      </c>
      <c r="AC356" s="31" cm="1">
        <f t="array" ref="AC356">IF(LEFT(_xll.BDP($C356, VOLUME_AVG_12M), 4) = "#N/A", "",  _xll.BDP($C356, VOLUME_AVG_12M))</f>
        <v>23057.111328125</v>
      </c>
      <c r="AD356" s="41" cm="1">
        <f t="array" ref="AD356">IF(LEFT(_xll.BDP($C356, LAST_PRICE), 4) = "#N/A", "",  _xll.BDP($C356, LAST_PRICE))</f>
        <v>3.2070000000000001E-2</v>
      </c>
    </row>
    <row r="357" spans="1:30" x14ac:dyDescent="0.35">
      <c r="A357" s="1">
        <f t="shared" si="5"/>
        <v>354</v>
      </c>
      <c r="B357" s="28">
        <v>45700</v>
      </c>
      <c r="C357" s="29" t="s">
        <v>760</v>
      </c>
      <c r="D357" s="29" t="s">
        <v>760</v>
      </c>
      <c r="E357" s="29" t="s">
        <v>761</v>
      </c>
      <c r="F357" s="29" t="s">
        <v>33</v>
      </c>
      <c r="G357" s="30" t="s">
        <v>34</v>
      </c>
      <c r="H357" s="31">
        <v>165239535.979408</v>
      </c>
      <c r="I357" s="31">
        <v>-200951464.020592</v>
      </c>
      <c r="J357" s="32">
        <v>3.5899999141693102</v>
      </c>
      <c r="K357" s="33">
        <v>45700</v>
      </c>
      <c r="L357" s="31">
        <v>5338000</v>
      </c>
      <c r="M357" s="32">
        <v>3.65</v>
      </c>
      <c r="N357" s="31" t="s">
        <v>35</v>
      </c>
      <c r="O357" s="33">
        <v>45699</v>
      </c>
      <c r="P357" s="34">
        <v>1436367.875</v>
      </c>
      <c r="Q357" s="34">
        <v>830880.3125</v>
      </c>
      <c r="R357" s="34">
        <v>565694.375</v>
      </c>
      <c r="S357" s="29" t="s">
        <v>46</v>
      </c>
      <c r="T357" s="33">
        <v>45446</v>
      </c>
      <c r="U357" s="35" t="b">
        <v>0</v>
      </c>
      <c r="V357" s="35" t="b">
        <v>0</v>
      </c>
      <c r="W357" s="35" t="b">
        <v>1</v>
      </c>
      <c r="Y357" s="31" cm="1">
        <f t="array" ref="Y357">IF(LEFT(_xll.BDP($C357, VOLUME_AVG_10D), 4) = "#N/A", "",  _xll.BDP($C357, VOLUME_AVG_10D))</f>
        <v>3829397.5</v>
      </c>
      <c r="Z357" s="31" cm="1">
        <f t="array" ref="Z357">IF(LEFT(_xll.BDP($C357, VOLUME_AVG_30D), 4) = "#N/A", "",  _xll.BDP($C357, VOLUME_AVG_30D))</f>
        <v>1436367.875</v>
      </c>
      <c r="AA357" s="31" cm="1">
        <f t="array" ref="AA357">IF(LEFT(_xll.BDP($C357, VOLUME_AVG_3M), 4) = "#N/A", "",  _xll.BDP($C357, VOLUME_AVG_3M))</f>
        <v>830880.3125</v>
      </c>
      <c r="AB357" s="31" cm="1">
        <f t="array" ref="AB357">IF(LEFT(_xll.BDP($C357, VOLUME_AVG_6M), 4) = "#N/A", "",  _xll.BDP($C357, VOLUME_AVG_6M))</f>
        <v>565694.375</v>
      </c>
      <c r="AC357" s="31" cm="1">
        <f t="array" ref="AC357">IF(LEFT(_xll.BDP($C357, VOLUME_AVG_12M), 4) = "#N/A", "",  _xll.BDP($C357, VOLUME_AVG_12M))</f>
        <v>412125.5625</v>
      </c>
      <c r="AD357" s="41" cm="1">
        <f t="array" ref="AD357">IF(LEFT(_xll.BDP($C357, LAST_PRICE), 4) = "#N/A", "",  _xll.BDP($C357, LAST_PRICE))</f>
        <v>3.59</v>
      </c>
    </row>
    <row r="358" spans="1:30" x14ac:dyDescent="0.35">
      <c r="A358" s="1">
        <f t="shared" si="5"/>
        <v>355</v>
      </c>
      <c r="B358" s="28">
        <v>45700</v>
      </c>
      <c r="C358" s="29" t="s">
        <v>762</v>
      </c>
      <c r="D358" s="29" t="s">
        <v>762</v>
      </c>
      <c r="E358" s="29" t="s">
        <v>763</v>
      </c>
      <c r="F358" s="29" t="s">
        <v>33</v>
      </c>
      <c r="G358" s="30" t="s">
        <v>34</v>
      </c>
      <c r="H358" s="31">
        <v>116812962.77568901</v>
      </c>
      <c r="I358" s="31">
        <v>-228483037.22431099</v>
      </c>
      <c r="J358" s="32">
        <v>1.28999996185303</v>
      </c>
      <c r="K358" s="33">
        <v>45700</v>
      </c>
      <c r="L358" s="31">
        <v>10289400</v>
      </c>
      <c r="M358" s="32">
        <v>3.88</v>
      </c>
      <c r="N358" s="31" t="s">
        <v>35</v>
      </c>
      <c r="O358" s="33">
        <v>45699</v>
      </c>
      <c r="P358" s="34">
        <v>1524981.75</v>
      </c>
      <c r="Q358" s="34">
        <v>1512502</v>
      </c>
      <c r="R358" s="34">
        <v>1293827.5</v>
      </c>
      <c r="S358" s="29" t="s">
        <v>46</v>
      </c>
      <c r="T358" s="33">
        <v>45446</v>
      </c>
      <c r="U358" s="35" t="b">
        <v>0</v>
      </c>
      <c r="V358" s="35" t="b">
        <v>0</v>
      </c>
      <c r="W358" s="35" t="b">
        <v>1</v>
      </c>
      <c r="Y358" s="31" cm="1">
        <f t="array" ref="Y358">IF(LEFT(_xll.BDP($C358, VOLUME_AVG_10D), 4) = "#N/A", "",  _xll.BDP($C358, VOLUME_AVG_10D))</f>
        <v>1589418.125</v>
      </c>
      <c r="Z358" s="31" cm="1">
        <f t="array" ref="Z358">IF(LEFT(_xll.BDP($C358, VOLUME_AVG_30D), 4) = "#N/A", "",  _xll.BDP($C358, VOLUME_AVG_30D))</f>
        <v>1524981.75</v>
      </c>
      <c r="AA358" s="31" cm="1">
        <f t="array" ref="AA358">IF(LEFT(_xll.BDP($C358, VOLUME_AVG_3M), 4) = "#N/A", "",  _xll.BDP($C358, VOLUME_AVG_3M))</f>
        <v>1512502</v>
      </c>
      <c r="AB358" s="31" cm="1">
        <f t="array" ref="AB358">IF(LEFT(_xll.BDP($C358, VOLUME_AVG_6M), 4) = "#N/A", "",  _xll.BDP($C358, VOLUME_AVG_6M))</f>
        <v>1293827.5</v>
      </c>
      <c r="AC358" s="31" cm="1">
        <f t="array" ref="AC358">IF(LEFT(_xll.BDP($C358, VOLUME_AVG_12M), 4) = "#N/A", "",  _xll.BDP($C358, VOLUME_AVG_12M))</f>
        <v>1681928.625</v>
      </c>
      <c r="AD358" s="41" cm="1">
        <f t="array" ref="AD358">IF(LEFT(_xll.BDP($C358, LAST_PRICE), 4) = "#N/A", "",  _xll.BDP($C358, LAST_PRICE))</f>
        <v>1.29</v>
      </c>
    </row>
    <row r="359" spans="1:30" x14ac:dyDescent="0.35">
      <c r="A359" s="1">
        <f t="shared" si="5"/>
        <v>356</v>
      </c>
      <c r="B359" s="28">
        <v>45700</v>
      </c>
      <c r="C359" s="29" t="s">
        <v>764</v>
      </c>
      <c r="D359" s="29" t="s">
        <v>764</v>
      </c>
      <c r="E359" s="29" t="s">
        <v>765</v>
      </c>
      <c r="F359" s="29" t="s">
        <v>33</v>
      </c>
      <c r="G359" s="30" t="s">
        <v>34</v>
      </c>
      <c r="H359" s="31">
        <v>19209224.9478384</v>
      </c>
      <c r="I359" s="31">
        <v>-4354775.0521616302</v>
      </c>
      <c r="J359" s="32">
        <v>0.46009999513626099</v>
      </c>
      <c r="K359" s="33">
        <v>45700</v>
      </c>
      <c r="L359" s="31">
        <v>1629000</v>
      </c>
      <c r="M359" s="32">
        <v>-3.2</v>
      </c>
      <c r="N359" s="31" t="s">
        <v>35</v>
      </c>
      <c r="O359" s="33">
        <v>45699</v>
      </c>
      <c r="P359" s="34">
        <v>442454.96875</v>
      </c>
      <c r="Q359" s="34">
        <v>370274.34375</v>
      </c>
      <c r="R359" s="34">
        <v>255606.1875</v>
      </c>
      <c r="S359" s="29" t="s">
        <v>46</v>
      </c>
      <c r="T359" s="33">
        <v>45215</v>
      </c>
      <c r="U359" s="35" t="b">
        <v>1</v>
      </c>
      <c r="V359" s="35" t="b">
        <v>0</v>
      </c>
      <c r="W359" s="35" t="b">
        <v>1</v>
      </c>
      <c r="Y359" s="31" cm="1">
        <f t="array" ref="Y359">IF(LEFT(_xll.BDP($C359, VOLUME_AVG_10D), 4) = "#N/A", "",  _xll.BDP($C359, VOLUME_AVG_10D))</f>
        <v>844097.375</v>
      </c>
      <c r="Z359" s="31" cm="1">
        <f t="array" ref="Z359">IF(LEFT(_xll.BDP($C359, VOLUME_AVG_30D), 4) = "#N/A", "",  _xll.BDP($C359, VOLUME_AVG_30D))</f>
        <v>442454.96875</v>
      </c>
      <c r="AA359" s="31" cm="1">
        <f t="array" ref="AA359">IF(LEFT(_xll.BDP($C359, VOLUME_AVG_3M), 4) = "#N/A", "",  _xll.BDP($C359, VOLUME_AVG_3M))</f>
        <v>370274.34375</v>
      </c>
      <c r="AB359" s="31" cm="1">
        <f t="array" ref="AB359">IF(LEFT(_xll.BDP($C359, VOLUME_AVG_6M), 4) = "#N/A", "",  _xll.BDP($C359, VOLUME_AVG_6M))</f>
        <v>255606.1875</v>
      </c>
      <c r="AC359" s="31" cm="1">
        <f t="array" ref="AC359">IF(LEFT(_xll.BDP($C359, VOLUME_AVG_12M), 4) = "#N/A", "",  _xll.BDP($C359, VOLUME_AVG_12M))</f>
        <v>376143.96875</v>
      </c>
      <c r="AD359" s="41" cm="1">
        <f t="array" ref="AD359">IF(LEFT(_xll.BDP($C359, LAST_PRICE), 4) = "#N/A", "",  _xll.BDP($C359, LAST_PRICE))</f>
        <v>0.46010000000000001</v>
      </c>
    </row>
    <row r="360" spans="1:30" x14ac:dyDescent="0.35">
      <c r="A360" s="1">
        <f t="shared" si="5"/>
        <v>357</v>
      </c>
      <c r="B360" s="28">
        <v>45700</v>
      </c>
      <c r="C360" s="29" t="s">
        <v>766</v>
      </c>
      <c r="D360" s="29" t="s">
        <v>766</v>
      </c>
      <c r="E360" s="29" t="s">
        <v>767</v>
      </c>
      <c r="F360" s="29" t="s">
        <v>33</v>
      </c>
      <c r="G360" s="30" t="s">
        <v>34</v>
      </c>
      <c r="H360" s="31">
        <v>8764874.5715206899</v>
      </c>
      <c r="I360" s="31">
        <v>6700265.5715206899</v>
      </c>
      <c r="J360" s="32">
        <v>0.29100000858306901</v>
      </c>
      <c r="K360" s="33">
        <v>45700</v>
      </c>
      <c r="L360" s="31">
        <v>621900</v>
      </c>
      <c r="M360" s="32">
        <v>-33.799999999999997</v>
      </c>
      <c r="N360" s="31" t="s">
        <v>35</v>
      </c>
      <c r="O360" s="33">
        <v>45699</v>
      </c>
      <c r="P360" s="34">
        <v>11358424</v>
      </c>
      <c r="Q360" s="34">
        <v>6799523</v>
      </c>
      <c r="R360" s="34">
        <v>5717432</v>
      </c>
      <c r="S360" s="29"/>
      <c r="T360" s="33"/>
      <c r="U360" s="35" t="b">
        <v>1</v>
      </c>
      <c r="V360" s="35" t="b">
        <v>0</v>
      </c>
      <c r="W360" s="35" t="b">
        <v>0</v>
      </c>
      <c r="Y360" s="31" cm="1">
        <f t="array" ref="Y360">IF(LEFT(_xll.BDP($C360, VOLUME_AVG_10D), 4) = "#N/A", "",  _xll.BDP($C360, VOLUME_AVG_10D))</f>
        <v>230825.703125</v>
      </c>
      <c r="Z360" s="31" cm="1">
        <f t="array" ref="Z360">IF(LEFT(_xll.BDP($C360, VOLUME_AVG_30D), 4) = "#N/A", "",  _xll.BDP($C360, VOLUME_AVG_30D))</f>
        <v>11358424</v>
      </c>
      <c r="AA360" s="31" cm="1">
        <f t="array" ref="AA360">IF(LEFT(_xll.BDP($C360, VOLUME_AVG_3M), 4) = "#N/A", "",  _xll.BDP($C360, VOLUME_AVG_3M))</f>
        <v>6799523</v>
      </c>
      <c r="AB360" s="31" cm="1">
        <f t="array" ref="AB360">IF(LEFT(_xll.BDP($C360, VOLUME_AVG_6M), 4) = "#N/A", "",  _xll.BDP($C360, VOLUME_AVG_6M))</f>
        <v>5717432</v>
      </c>
      <c r="AC360" s="31" cm="1">
        <f t="array" ref="AC360">IF(LEFT(_xll.BDP($C360, VOLUME_AVG_12M), 4) = "#N/A", "",  _xll.BDP($C360, VOLUME_AVG_12M))</f>
        <v>2876023.5</v>
      </c>
      <c r="AD360" s="41" cm="1">
        <f t="array" ref="AD360">IF(LEFT(_xll.BDP($C360, LAST_PRICE), 4) = "#N/A", "",  _xll.BDP($C360, LAST_PRICE))</f>
        <v>0.29099999999999998</v>
      </c>
    </row>
    <row r="361" spans="1:30" x14ac:dyDescent="0.35">
      <c r="A361" s="1">
        <f t="shared" si="5"/>
        <v>358</v>
      </c>
      <c r="B361" s="28">
        <v>45700</v>
      </c>
      <c r="C361" s="29" t="s">
        <v>768</v>
      </c>
      <c r="D361" s="29" t="s">
        <v>768</v>
      </c>
      <c r="E361" s="29" t="s">
        <v>769</v>
      </c>
      <c r="F361" s="29" t="s">
        <v>33</v>
      </c>
      <c r="G361" s="30" t="s">
        <v>34</v>
      </c>
      <c r="H361" s="31">
        <v>486722791.48268503</v>
      </c>
      <c r="I361" s="31">
        <v>282175791.48268503</v>
      </c>
      <c r="J361" s="32">
        <v>18.920000076293899</v>
      </c>
      <c r="K361" s="33">
        <v>45700</v>
      </c>
      <c r="L361" s="31">
        <v>178900</v>
      </c>
      <c r="M361" s="32">
        <v>-6.3</v>
      </c>
      <c r="N361" s="31" t="s">
        <v>35</v>
      </c>
      <c r="O361" s="33">
        <v>45699</v>
      </c>
      <c r="P361" s="34">
        <v>81789.53125</v>
      </c>
      <c r="Q361" s="34">
        <v>118762.46875</v>
      </c>
      <c r="R361" s="34">
        <v>107008.765625</v>
      </c>
      <c r="S361" s="29" t="s">
        <v>73</v>
      </c>
      <c r="T361" s="33">
        <v>45446</v>
      </c>
      <c r="U361" s="35" t="b">
        <v>0</v>
      </c>
      <c r="V361" s="35" t="b">
        <v>0</v>
      </c>
      <c r="W361" s="35" t="b">
        <v>0</v>
      </c>
      <c r="Y361" s="31" cm="1">
        <f t="array" ref="Y361">IF(LEFT(_xll.BDP($C361, VOLUME_AVG_10D), 4) = "#N/A", "",  _xll.BDP($C361, VOLUME_AVG_10D))</f>
        <v>61061.30078125</v>
      </c>
      <c r="Z361" s="31" cm="1">
        <f t="array" ref="Z361">IF(LEFT(_xll.BDP($C361, VOLUME_AVG_30D), 4) = "#N/A", "",  _xll.BDP($C361, VOLUME_AVG_30D))</f>
        <v>81789.53125</v>
      </c>
      <c r="AA361" s="31" cm="1">
        <f t="array" ref="AA361">IF(LEFT(_xll.BDP($C361, VOLUME_AVG_3M), 4) = "#N/A", "",  _xll.BDP($C361, VOLUME_AVG_3M))</f>
        <v>118762.46875</v>
      </c>
      <c r="AB361" s="31" cm="1">
        <f t="array" ref="AB361">IF(LEFT(_xll.BDP($C361, VOLUME_AVG_6M), 4) = "#N/A", "",  _xll.BDP($C361, VOLUME_AVG_6M))</f>
        <v>107008.765625</v>
      </c>
      <c r="AC361" s="31" cm="1">
        <f t="array" ref="AC361">IF(LEFT(_xll.BDP($C361, VOLUME_AVG_12M), 4) = "#N/A", "",  _xll.BDP($C361, VOLUME_AVG_12M))</f>
        <v>107356.859375</v>
      </c>
      <c r="AD361" s="41" cm="1">
        <f t="array" ref="AD361">IF(LEFT(_xll.BDP($C361, LAST_PRICE), 4) = "#N/A", "",  _xll.BDP($C361, LAST_PRICE))</f>
        <v>18.920000000000002</v>
      </c>
    </row>
    <row r="362" spans="1:30" x14ac:dyDescent="0.35">
      <c r="A362" s="1">
        <f t="shared" si="5"/>
        <v>359</v>
      </c>
      <c r="B362" s="28">
        <v>45700</v>
      </c>
      <c r="C362" s="29" t="s">
        <v>770</v>
      </c>
      <c r="D362" s="29" t="s">
        <v>770</v>
      </c>
      <c r="E362" s="29" t="s">
        <v>771</v>
      </c>
      <c r="F362" s="29" t="s">
        <v>33</v>
      </c>
      <c r="G362" s="30" t="s">
        <v>34</v>
      </c>
      <c r="H362" s="31">
        <v>36630291.949868202</v>
      </c>
      <c r="I362" s="31">
        <v>28775291.949868198</v>
      </c>
      <c r="J362" s="32">
        <v>2.53999996185303</v>
      </c>
      <c r="K362" s="33">
        <v>45700</v>
      </c>
      <c r="L362" s="31"/>
      <c r="M362" s="32"/>
      <c r="N362" s="31"/>
      <c r="O362" s="33">
        <v>45699</v>
      </c>
      <c r="P362" s="34">
        <v>25477.400390625</v>
      </c>
      <c r="Q362" s="34">
        <v>38105.82421875</v>
      </c>
      <c r="R362" s="34">
        <v>32657.873046875</v>
      </c>
      <c r="S362" s="29"/>
      <c r="T362" s="33"/>
      <c r="U362" s="35" t="b">
        <v>0</v>
      </c>
      <c r="V362" s="35" t="b">
        <v>0</v>
      </c>
      <c r="W362" s="35" t="b">
        <v>0</v>
      </c>
      <c r="Y362" s="31" cm="1">
        <f t="array" ref="Y362">IF(LEFT(_xll.BDP($C362, VOLUME_AVG_10D), 4) = "#N/A", "",  _xll.BDP($C362, VOLUME_AVG_10D))</f>
        <v>15302</v>
      </c>
      <c r="Z362" s="31" cm="1">
        <f t="array" ref="Z362">IF(LEFT(_xll.BDP($C362, VOLUME_AVG_30D), 4) = "#N/A", "",  _xll.BDP($C362, VOLUME_AVG_30D))</f>
        <v>25477.400390625</v>
      </c>
      <c r="AA362" s="31" cm="1">
        <f t="array" ref="AA362">IF(LEFT(_xll.BDP($C362, VOLUME_AVG_3M), 4) = "#N/A", "",  _xll.BDP($C362, VOLUME_AVG_3M))</f>
        <v>38105.82421875</v>
      </c>
      <c r="AB362" s="31" cm="1">
        <f t="array" ref="AB362">IF(LEFT(_xll.BDP($C362, VOLUME_AVG_6M), 4) = "#N/A", "",  _xll.BDP($C362, VOLUME_AVG_6M))</f>
        <v>32657.873046875</v>
      </c>
      <c r="AC362" s="31" cm="1">
        <f t="array" ref="AC362">IF(LEFT(_xll.BDP($C362, VOLUME_AVG_12M), 4) = "#N/A", "",  _xll.BDP($C362, VOLUME_AVG_12M))</f>
        <v>128061.2421875</v>
      </c>
      <c r="AD362" s="41" cm="1">
        <f t="array" ref="AD362">IF(LEFT(_xll.BDP($C362, LAST_PRICE), 4) = "#N/A", "",  _xll.BDP($C362, LAST_PRICE))</f>
        <v>2.54</v>
      </c>
    </row>
    <row r="363" spans="1:30" x14ac:dyDescent="0.35">
      <c r="A363" s="1">
        <f t="shared" si="5"/>
        <v>360</v>
      </c>
      <c r="B363" s="28">
        <v>45700</v>
      </c>
      <c r="C363" s="29" t="s">
        <v>772</v>
      </c>
      <c r="D363" s="29" t="s">
        <v>772</v>
      </c>
      <c r="E363" s="29" t="s">
        <v>773</v>
      </c>
      <c r="F363" s="29" t="s">
        <v>33</v>
      </c>
      <c r="G363" s="30" t="s">
        <v>34</v>
      </c>
      <c r="H363" s="31">
        <v>112097403.07946201</v>
      </c>
      <c r="I363" s="31">
        <v>-36880596.920537896</v>
      </c>
      <c r="J363" s="32">
        <v>2.3299999237060498</v>
      </c>
      <c r="K363" s="33">
        <v>45700</v>
      </c>
      <c r="L363" s="31">
        <v>893000</v>
      </c>
      <c r="M363" s="32">
        <v>-5.0999999999999996</v>
      </c>
      <c r="N363" s="31" t="s">
        <v>35</v>
      </c>
      <c r="O363" s="33">
        <v>45699</v>
      </c>
      <c r="P363" s="34">
        <v>2260316.5</v>
      </c>
      <c r="Q363" s="34">
        <v>5570774.5</v>
      </c>
      <c r="R363" s="34">
        <v>3626030</v>
      </c>
      <c r="S363" s="29" t="s">
        <v>97</v>
      </c>
      <c r="T363" s="33">
        <v>45215</v>
      </c>
      <c r="U363" s="35" t="b">
        <v>0</v>
      </c>
      <c r="V363" s="35" t="b">
        <v>0</v>
      </c>
      <c r="W363" s="35" t="b">
        <v>1</v>
      </c>
      <c r="Y363" s="31" cm="1">
        <f t="array" ref="Y363">IF(LEFT(_xll.BDP($C363, VOLUME_AVG_10D), 4) = "#N/A", "",  _xll.BDP($C363, VOLUME_AVG_10D))</f>
        <v>1127447</v>
      </c>
      <c r="Z363" s="31" cm="1">
        <f t="array" ref="Z363">IF(LEFT(_xll.BDP($C363, VOLUME_AVG_30D), 4) = "#N/A", "",  _xll.BDP($C363, VOLUME_AVG_30D))</f>
        <v>2260316.5</v>
      </c>
      <c r="AA363" s="31" cm="1">
        <f t="array" ref="AA363">IF(LEFT(_xll.BDP($C363, VOLUME_AVG_3M), 4) = "#N/A", "",  _xll.BDP($C363, VOLUME_AVG_3M))</f>
        <v>5570774.5</v>
      </c>
      <c r="AB363" s="31" cm="1">
        <f t="array" ref="AB363">IF(LEFT(_xll.BDP($C363, VOLUME_AVG_6M), 4) = "#N/A", "",  _xll.BDP($C363, VOLUME_AVG_6M))</f>
        <v>3626030</v>
      </c>
      <c r="AC363" s="31" cm="1">
        <f t="array" ref="AC363">IF(LEFT(_xll.BDP($C363, VOLUME_AVG_12M), 4) = "#N/A", "",  _xll.BDP($C363, VOLUME_AVG_12M))</f>
        <v>2770473.5</v>
      </c>
      <c r="AD363" s="41" cm="1">
        <f t="array" ref="AD363">IF(LEFT(_xll.BDP($C363, LAST_PRICE), 4) = "#N/A", "",  _xll.BDP($C363, LAST_PRICE))</f>
        <v>2.33</v>
      </c>
    </row>
    <row r="364" spans="1:30" x14ac:dyDescent="0.35">
      <c r="A364" s="1">
        <f t="shared" si="5"/>
        <v>361</v>
      </c>
      <c r="B364" s="28">
        <v>45700</v>
      </c>
      <c r="C364" s="29" t="s">
        <v>774</v>
      </c>
      <c r="D364" s="29" t="s">
        <v>774</v>
      </c>
      <c r="E364" s="29" t="s">
        <v>775</v>
      </c>
      <c r="F364" s="29" t="s">
        <v>33</v>
      </c>
      <c r="G364" s="30" t="s">
        <v>34</v>
      </c>
      <c r="H364" s="31">
        <v>780003343.53393698</v>
      </c>
      <c r="I364" s="31">
        <v>526958343.53393698</v>
      </c>
      <c r="J364" s="32">
        <v>27.850000381469702</v>
      </c>
      <c r="K364" s="33">
        <v>45700</v>
      </c>
      <c r="L364" s="31">
        <v>9097700</v>
      </c>
      <c r="M364" s="32">
        <v>3.88</v>
      </c>
      <c r="N364" s="31" t="s">
        <v>35</v>
      </c>
      <c r="O364" s="33">
        <v>45699</v>
      </c>
      <c r="P364" s="34">
        <v>430521.65625</v>
      </c>
      <c r="Q364" s="34">
        <v>376825.84375</v>
      </c>
      <c r="R364" s="34">
        <v>383629.625</v>
      </c>
      <c r="S364" s="29"/>
      <c r="T364" s="33"/>
      <c r="U364" s="35" t="b">
        <v>0</v>
      </c>
      <c r="V364" s="35" t="b">
        <v>0</v>
      </c>
      <c r="W364" s="35" t="b">
        <v>0</v>
      </c>
      <c r="Y364" s="31" cm="1">
        <f t="array" ref="Y364">IF(LEFT(_xll.BDP($C364, VOLUME_AVG_10D), 4) = "#N/A", "",  _xll.BDP($C364, VOLUME_AVG_10D))</f>
        <v>352574.6875</v>
      </c>
      <c r="Z364" s="31" cm="1">
        <f t="array" ref="Z364">IF(LEFT(_xll.BDP($C364, VOLUME_AVG_30D), 4) = "#N/A", "",  _xll.BDP($C364, VOLUME_AVG_30D))</f>
        <v>430521.65625</v>
      </c>
      <c r="AA364" s="31" cm="1">
        <f t="array" ref="AA364">IF(LEFT(_xll.BDP($C364, VOLUME_AVG_3M), 4) = "#N/A", "",  _xll.BDP($C364, VOLUME_AVG_3M))</f>
        <v>376825.84375</v>
      </c>
      <c r="AB364" s="31" cm="1">
        <f t="array" ref="AB364">IF(LEFT(_xll.BDP($C364, VOLUME_AVG_6M), 4) = "#N/A", "",  _xll.BDP($C364, VOLUME_AVG_6M))</f>
        <v>383629.625</v>
      </c>
      <c r="AC364" s="31" cm="1">
        <f t="array" ref="AC364">IF(LEFT(_xll.BDP($C364, VOLUME_AVG_12M), 4) = "#N/A", "",  _xll.BDP($C364, VOLUME_AVG_12M))</f>
        <v>349948.40625</v>
      </c>
      <c r="AD364" s="41" cm="1">
        <f t="array" ref="AD364">IF(LEFT(_xll.BDP($C364, LAST_PRICE), 4) = "#N/A", "",  _xll.BDP($C364, LAST_PRICE))</f>
        <v>27.85</v>
      </c>
    </row>
    <row r="365" spans="1:30" x14ac:dyDescent="0.35">
      <c r="A365" s="1">
        <f t="shared" si="5"/>
        <v>362</v>
      </c>
      <c r="B365" s="28">
        <v>45700</v>
      </c>
      <c r="C365" s="29" t="s">
        <v>776</v>
      </c>
      <c r="D365" s="29" t="s">
        <v>776</v>
      </c>
      <c r="E365" s="29" t="s">
        <v>777</v>
      </c>
      <c r="F365" s="29" t="s">
        <v>33</v>
      </c>
      <c r="G365" s="30" t="s">
        <v>34</v>
      </c>
      <c r="H365" s="31">
        <v>2707507088.19841</v>
      </c>
      <c r="I365" s="31">
        <v>2268458088.19841</v>
      </c>
      <c r="J365" s="32">
        <v>22.700000762939499</v>
      </c>
      <c r="K365" s="33">
        <v>45700</v>
      </c>
      <c r="L365" s="31">
        <v>44803900</v>
      </c>
      <c r="M365" s="32">
        <v>3.88</v>
      </c>
      <c r="N365" s="31" t="s">
        <v>35</v>
      </c>
      <c r="O365" s="33">
        <v>45699</v>
      </c>
      <c r="P365" s="34">
        <v>1266670.75</v>
      </c>
      <c r="Q365" s="34">
        <v>1106748.625</v>
      </c>
      <c r="R365" s="34">
        <v>1030343.3125</v>
      </c>
      <c r="S365" s="29" t="s">
        <v>177</v>
      </c>
      <c r="T365" s="33">
        <v>45446</v>
      </c>
      <c r="U365" s="35" t="b">
        <v>0</v>
      </c>
      <c r="V365" s="35" t="b">
        <v>0</v>
      </c>
      <c r="W365" s="35" t="b">
        <v>0</v>
      </c>
      <c r="Y365" s="31" cm="1">
        <f t="array" ref="Y365">IF(LEFT(_xll.BDP($C365, VOLUME_AVG_10D), 4) = "#N/A", "",  _xll.BDP($C365, VOLUME_AVG_10D))</f>
        <v>953204.875</v>
      </c>
      <c r="Z365" s="31" cm="1">
        <f t="array" ref="Z365">IF(LEFT(_xll.BDP($C365, VOLUME_AVG_30D), 4) = "#N/A", "",  _xll.BDP($C365, VOLUME_AVG_30D))</f>
        <v>1266670.75</v>
      </c>
      <c r="AA365" s="31" cm="1">
        <f t="array" ref="AA365">IF(LEFT(_xll.BDP($C365, VOLUME_AVG_3M), 4) = "#N/A", "",  _xll.BDP($C365, VOLUME_AVG_3M))</f>
        <v>1106748.625</v>
      </c>
      <c r="AB365" s="31" cm="1">
        <f t="array" ref="AB365">IF(LEFT(_xll.BDP($C365, VOLUME_AVG_6M), 4) = "#N/A", "",  _xll.BDP($C365, VOLUME_AVG_6M))</f>
        <v>1030343.3125</v>
      </c>
      <c r="AC365" s="31" cm="1">
        <f t="array" ref="AC365">IF(LEFT(_xll.BDP($C365, VOLUME_AVG_12M), 4) = "#N/A", "",  _xll.BDP($C365, VOLUME_AVG_12M))</f>
        <v>1119769.625</v>
      </c>
      <c r="AD365" s="41" cm="1">
        <f t="array" ref="AD365">IF(LEFT(_xll.BDP($C365, LAST_PRICE), 4) = "#N/A", "",  _xll.BDP($C365, LAST_PRICE))</f>
        <v>22.7</v>
      </c>
    </row>
    <row r="366" spans="1:30" x14ac:dyDescent="0.35">
      <c r="A366" s="1">
        <f t="shared" si="5"/>
        <v>363</v>
      </c>
      <c r="B366" s="28">
        <v>45700</v>
      </c>
      <c r="C366" s="29" t="s">
        <v>778</v>
      </c>
      <c r="D366" s="29" t="s">
        <v>778</v>
      </c>
      <c r="E366" s="29" t="s">
        <v>779</v>
      </c>
      <c r="F366" s="29" t="s">
        <v>33</v>
      </c>
      <c r="G366" s="30" t="s">
        <v>34</v>
      </c>
      <c r="H366" s="31">
        <v>3178595.8049951801</v>
      </c>
      <c r="I366" s="31">
        <v>2294595.8049951801</v>
      </c>
      <c r="J366" s="32">
        <v>0.35960000753402699</v>
      </c>
      <c r="K366" s="33">
        <v>45700</v>
      </c>
      <c r="L366" s="31">
        <v>382200</v>
      </c>
      <c r="M366" s="32">
        <v>-12.6</v>
      </c>
      <c r="N366" s="31" t="s">
        <v>35</v>
      </c>
      <c r="O366" s="33">
        <v>45699</v>
      </c>
      <c r="P366" s="34">
        <v>494883.125</v>
      </c>
      <c r="Q366" s="34">
        <v>382682.21875</v>
      </c>
      <c r="R366" s="34">
        <v>1988987</v>
      </c>
      <c r="S366" s="29"/>
      <c r="T366" s="33"/>
      <c r="U366" s="35" t="b">
        <v>1</v>
      </c>
      <c r="V366" s="35" t="b">
        <v>0</v>
      </c>
      <c r="W366" s="35" t="b">
        <v>0</v>
      </c>
      <c r="Y366" s="31" cm="1">
        <f t="array" ref="Y366">IF(LEFT(_xll.BDP($C366, VOLUME_AVG_10D), 4) = "#N/A", "",  _xll.BDP($C366, VOLUME_AVG_10D))</f>
        <v>83864.703125</v>
      </c>
      <c r="Z366" s="31" cm="1">
        <f t="array" ref="Z366">IF(LEFT(_xll.BDP($C366, VOLUME_AVG_30D), 4) = "#N/A", "",  _xll.BDP($C366, VOLUME_AVG_30D))</f>
        <v>494883.125</v>
      </c>
      <c r="AA366" s="31" cm="1">
        <f t="array" ref="AA366">IF(LEFT(_xll.BDP($C366, VOLUME_AVG_3M), 4) = "#N/A", "",  _xll.BDP($C366, VOLUME_AVG_3M))</f>
        <v>382682.21875</v>
      </c>
      <c r="AB366" s="31" cm="1">
        <f t="array" ref="AB366">IF(LEFT(_xll.BDP($C366, VOLUME_AVG_6M), 4) = "#N/A", "",  _xll.BDP($C366, VOLUME_AVG_6M))</f>
        <v>1988987</v>
      </c>
      <c r="AC366" s="31" cm="1">
        <f t="array" ref="AC366">IF(LEFT(_xll.BDP($C366, VOLUME_AVG_12M), 4) = "#N/A", "",  _xll.BDP($C366, VOLUME_AVG_12M))</f>
        <v>1008336.1875</v>
      </c>
      <c r="AD366" s="41" cm="1">
        <f t="array" ref="AD366">IF(LEFT(_xll.BDP($C366, LAST_PRICE), 4) = "#N/A", "",  _xll.BDP($C366, LAST_PRICE))</f>
        <v>0.35959999999999998</v>
      </c>
    </row>
    <row r="367" spans="1:30" x14ac:dyDescent="0.35">
      <c r="A367" s="1">
        <f t="shared" si="5"/>
        <v>364</v>
      </c>
      <c r="B367" s="28">
        <v>45700</v>
      </c>
      <c r="C367" s="29" t="s">
        <v>780</v>
      </c>
      <c r="D367" s="29" t="s">
        <v>780</v>
      </c>
      <c r="E367" s="29" t="s">
        <v>781</v>
      </c>
      <c r="F367" s="29" t="s">
        <v>33</v>
      </c>
      <c r="G367" s="30" t="s">
        <v>34</v>
      </c>
      <c r="H367" s="31"/>
      <c r="I367" s="31"/>
      <c r="J367" s="32">
        <v>8.4499999880790697E-2</v>
      </c>
      <c r="K367" s="33">
        <v>45700</v>
      </c>
      <c r="L367" s="31"/>
      <c r="M367" s="32"/>
      <c r="N367" s="31"/>
      <c r="O367" s="33">
        <v>45699</v>
      </c>
      <c r="P367" s="34">
        <v>58859.66796875</v>
      </c>
      <c r="Q367" s="34">
        <v>49532.43359375</v>
      </c>
      <c r="R367" s="34">
        <v>34497.78515625</v>
      </c>
      <c r="S367" s="29"/>
      <c r="T367" s="33"/>
      <c r="U367" s="35" t="b">
        <v>1</v>
      </c>
      <c r="V367" s="35" t="b">
        <v>1</v>
      </c>
      <c r="W367" s="35" t="b">
        <v>1</v>
      </c>
      <c r="Y367" s="31" cm="1">
        <f t="array" ref="Y367">IF(LEFT(_xll.BDP($C367, VOLUME_AVG_10D), 4) = "#N/A", "",  _xll.BDP($C367, VOLUME_AVG_10D))</f>
        <v>43781</v>
      </c>
      <c r="Z367" s="31" cm="1">
        <f t="array" ref="Z367">IF(LEFT(_xll.BDP($C367, VOLUME_AVG_30D), 4) = "#N/A", "",  _xll.BDP($C367, VOLUME_AVG_30D))</f>
        <v>58859.66796875</v>
      </c>
      <c r="AA367" s="31" cm="1">
        <f t="array" ref="AA367">IF(LEFT(_xll.BDP($C367, VOLUME_AVG_3M), 4) = "#N/A", "",  _xll.BDP($C367, VOLUME_AVG_3M))</f>
        <v>49532.43359375</v>
      </c>
      <c r="AB367" s="31" cm="1">
        <f t="array" ref="AB367">IF(LEFT(_xll.BDP($C367, VOLUME_AVG_6M), 4) = "#N/A", "",  _xll.BDP($C367, VOLUME_AVG_6M))</f>
        <v>34497.78515625</v>
      </c>
      <c r="AC367" s="31" cm="1">
        <f t="array" ref="AC367">IF(LEFT(_xll.BDP($C367, VOLUME_AVG_12M), 4) = "#N/A", "",  _xll.BDP($C367, VOLUME_AVG_12M))</f>
        <v>31671.01953125</v>
      </c>
      <c r="AD367" s="41" cm="1">
        <f t="array" ref="AD367">IF(LEFT(_xll.BDP($C367, LAST_PRICE), 4) = "#N/A", "",  _xll.BDP($C367, LAST_PRICE))</f>
        <v>8.4500000000000006E-2</v>
      </c>
    </row>
    <row r="368" spans="1:30" x14ac:dyDescent="0.35">
      <c r="A368" s="1">
        <f t="shared" si="5"/>
        <v>365</v>
      </c>
      <c r="B368" s="28">
        <v>45700</v>
      </c>
      <c r="C368" s="29" t="s">
        <v>782</v>
      </c>
      <c r="D368" s="29" t="s">
        <v>782</v>
      </c>
      <c r="E368" s="29" t="s">
        <v>783</v>
      </c>
      <c r="F368" s="29" t="s">
        <v>33</v>
      </c>
      <c r="G368" s="30" t="s">
        <v>34</v>
      </c>
      <c r="H368" s="31">
        <v>3576077.5175732402</v>
      </c>
      <c r="I368" s="31">
        <v>2398528.5175732402</v>
      </c>
      <c r="J368" s="32">
        <v>0.57099997997283902</v>
      </c>
      <c r="K368" s="33">
        <v>45700</v>
      </c>
      <c r="L368" s="31">
        <v>394700</v>
      </c>
      <c r="M368" s="32">
        <v>-10.25</v>
      </c>
      <c r="N368" s="31" t="s">
        <v>35</v>
      </c>
      <c r="O368" s="33">
        <v>45699</v>
      </c>
      <c r="P368" s="34">
        <v>3306098.25</v>
      </c>
      <c r="Q368" s="34">
        <v>1890546.25</v>
      </c>
      <c r="R368" s="34">
        <v>974691.5</v>
      </c>
      <c r="S368" s="29"/>
      <c r="T368" s="33"/>
      <c r="U368" s="35" t="b">
        <v>1</v>
      </c>
      <c r="V368" s="35" t="b">
        <v>0</v>
      </c>
      <c r="W368" s="35" t="b">
        <v>0</v>
      </c>
      <c r="Y368" s="31" cm="1">
        <f t="array" ref="Y368">IF(LEFT(_xll.BDP($C368, VOLUME_AVG_10D), 4) = "#N/A", "",  _xll.BDP($C368, VOLUME_AVG_10D))</f>
        <v>1303294.75</v>
      </c>
      <c r="Z368" s="31" cm="1">
        <f t="array" ref="Z368">IF(LEFT(_xll.BDP($C368, VOLUME_AVG_30D), 4) = "#N/A", "",  _xll.BDP($C368, VOLUME_AVG_30D))</f>
        <v>3306098.25</v>
      </c>
      <c r="AA368" s="31" cm="1">
        <f t="array" ref="AA368">IF(LEFT(_xll.BDP($C368, VOLUME_AVG_3M), 4) = "#N/A", "",  _xll.BDP($C368, VOLUME_AVG_3M))</f>
        <v>1890546.25</v>
      </c>
      <c r="AB368" s="31" cm="1">
        <f t="array" ref="AB368">IF(LEFT(_xll.BDP($C368, VOLUME_AVG_6M), 4) = "#N/A", "",  _xll.BDP($C368, VOLUME_AVG_6M))</f>
        <v>974691.5</v>
      </c>
      <c r="AC368" s="31" cm="1">
        <f t="array" ref="AC368">IF(LEFT(_xll.BDP($C368, VOLUME_AVG_12M), 4) = "#N/A", "",  _xll.BDP($C368, VOLUME_AVG_12M))</f>
        <v>584793.9375</v>
      </c>
      <c r="AD368" s="41" cm="1">
        <f t="array" ref="AD368">IF(LEFT(_xll.BDP($C368, LAST_PRICE), 4) = "#N/A", "",  _xll.BDP($C368, LAST_PRICE))</f>
        <v>0.57099999999999995</v>
      </c>
    </row>
    <row r="369" spans="1:30" x14ac:dyDescent="0.35">
      <c r="A369" s="1">
        <f t="shared" si="5"/>
        <v>366</v>
      </c>
      <c r="B369" s="28">
        <v>45700</v>
      </c>
      <c r="C369" s="29" t="s">
        <v>784</v>
      </c>
      <c r="D369" s="29" t="s">
        <v>784</v>
      </c>
      <c r="E369" s="29" t="s">
        <v>785</v>
      </c>
      <c r="F369" s="29" t="s">
        <v>33</v>
      </c>
      <c r="G369" s="30" t="s">
        <v>34</v>
      </c>
      <c r="H369" s="31">
        <v>131250.25913605801</v>
      </c>
      <c r="I369" s="31">
        <v>204801.26202592999</v>
      </c>
      <c r="J369" s="32">
        <v>1.0200000368058701E-2</v>
      </c>
      <c r="K369" s="33">
        <v>45700</v>
      </c>
      <c r="L369" s="31"/>
      <c r="M369" s="32"/>
      <c r="N369" s="31"/>
      <c r="O369" s="33">
        <v>45699</v>
      </c>
      <c r="P369" s="34">
        <v>1287524.5</v>
      </c>
      <c r="Q369" s="34">
        <v>1295828.625</v>
      </c>
      <c r="R369" s="34">
        <v>851960.25</v>
      </c>
      <c r="S369" s="29"/>
      <c r="T369" s="33"/>
      <c r="U369" s="35" t="b">
        <v>1</v>
      </c>
      <c r="V369" s="35" t="b">
        <v>1</v>
      </c>
      <c r="W369" s="35" t="b">
        <v>0</v>
      </c>
      <c r="Y369" s="31" cm="1">
        <f t="array" ref="Y369">IF(LEFT(_xll.BDP($C369, VOLUME_AVG_10D), 4) = "#N/A", "",  _xll.BDP($C369, VOLUME_AVG_10D))</f>
        <v>1356250.75</v>
      </c>
      <c r="Z369" s="31" cm="1">
        <f t="array" ref="Z369">IF(LEFT(_xll.BDP($C369, VOLUME_AVG_30D), 4) = "#N/A", "",  _xll.BDP($C369, VOLUME_AVG_30D))</f>
        <v>1287524.5</v>
      </c>
      <c r="AA369" s="31" cm="1">
        <f t="array" ref="AA369">IF(LEFT(_xll.BDP($C369, VOLUME_AVG_3M), 4) = "#N/A", "",  _xll.BDP($C369, VOLUME_AVG_3M))</f>
        <v>1295828.625</v>
      </c>
      <c r="AB369" s="31" cm="1">
        <f t="array" ref="AB369">IF(LEFT(_xll.BDP($C369, VOLUME_AVG_6M), 4) = "#N/A", "",  _xll.BDP($C369, VOLUME_AVG_6M))</f>
        <v>851960.25</v>
      </c>
      <c r="AC369" s="31" cm="1">
        <f t="array" ref="AC369">IF(LEFT(_xll.BDP($C369, VOLUME_AVG_12M), 4) = "#N/A", "",  _xll.BDP($C369, VOLUME_AVG_12M))</f>
        <v>678498.9375</v>
      </c>
      <c r="AD369" s="41" cm="1">
        <f t="array" ref="AD369">IF(LEFT(_xll.BDP($C369, LAST_PRICE), 4) = "#N/A", "",  _xll.BDP($C369, LAST_PRICE))</f>
        <v>1.0200000000000001E-2</v>
      </c>
    </row>
    <row r="370" spans="1:30" x14ac:dyDescent="0.35">
      <c r="A370" s="1">
        <f t="shared" si="5"/>
        <v>367</v>
      </c>
      <c r="B370" s="28">
        <v>45700</v>
      </c>
      <c r="C370" s="29" t="s">
        <v>786</v>
      </c>
      <c r="D370" s="29" t="s">
        <v>786</v>
      </c>
      <c r="E370" s="29" t="s">
        <v>787</v>
      </c>
      <c r="F370" s="29" t="s">
        <v>33</v>
      </c>
      <c r="G370" s="30" t="s">
        <v>34</v>
      </c>
      <c r="H370" s="31">
        <v>30798886.373880599</v>
      </c>
      <c r="I370" s="31">
        <v>37682581.373880602</v>
      </c>
      <c r="J370" s="32">
        <v>0.41560000181198098</v>
      </c>
      <c r="K370" s="33">
        <v>45700</v>
      </c>
      <c r="L370" s="31">
        <v>506800</v>
      </c>
      <c r="M370" s="32">
        <v>-3.6</v>
      </c>
      <c r="N370" s="31" t="s">
        <v>35</v>
      </c>
      <c r="O370" s="33">
        <v>45699</v>
      </c>
      <c r="P370" s="34">
        <v>1260331.75</v>
      </c>
      <c r="Q370" s="34">
        <v>1029159.375</v>
      </c>
      <c r="R370" s="34">
        <v>663932.4375</v>
      </c>
      <c r="S370" s="29"/>
      <c r="T370" s="33"/>
      <c r="U370" s="35" t="b">
        <v>0</v>
      </c>
      <c r="V370" s="35" t="b">
        <v>0</v>
      </c>
      <c r="W370" s="35" t="b">
        <v>0</v>
      </c>
      <c r="Y370" s="31" cm="1">
        <f t="array" ref="Y370">IF(LEFT(_xll.BDP($C370, VOLUME_AVG_10D), 4) = "#N/A", "",  _xll.BDP($C370, VOLUME_AVG_10D))</f>
        <v>473059.8125</v>
      </c>
      <c r="Z370" s="31" cm="1">
        <f t="array" ref="Z370">IF(LEFT(_xll.BDP($C370, VOLUME_AVG_30D), 4) = "#N/A", "",  _xll.BDP($C370, VOLUME_AVG_30D))</f>
        <v>1260331.75</v>
      </c>
      <c r="AA370" s="31" cm="1">
        <f t="array" ref="AA370">IF(LEFT(_xll.BDP($C370, VOLUME_AVG_3M), 4) = "#N/A", "",  _xll.BDP($C370, VOLUME_AVG_3M))</f>
        <v>1029159.375</v>
      </c>
      <c r="AB370" s="31" cm="1">
        <f t="array" ref="AB370">IF(LEFT(_xll.BDP($C370, VOLUME_AVG_6M), 4) = "#N/A", "",  _xll.BDP($C370, VOLUME_AVG_6M))</f>
        <v>663932.4375</v>
      </c>
      <c r="AC370" s="31" cm="1">
        <f t="array" ref="AC370">IF(LEFT(_xll.BDP($C370, VOLUME_AVG_12M), 4) = "#N/A", "",  _xll.BDP($C370, VOLUME_AVG_12M))</f>
        <v>749161.25</v>
      </c>
      <c r="AD370" s="41" cm="1">
        <f t="array" ref="AD370">IF(LEFT(_xll.BDP($C370, LAST_PRICE), 4) = "#N/A", "",  _xll.BDP($C370, LAST_PRICE))</f>
        <v>0.41560000000000002</v>
      </c>
    </row>
    <row r="371" spans="1:30" x14ac:dyDescent="0.35">
      <c r="A371" s="1">
        <f t="shared" si="5"/>
        <v>368</v>
      </c>
      <c r="B371" s="28">
        <v>45700</v>
      </c>
      <c r="C371" s="29" t="s">
        <v>788</v>
      </c>
      <c r="D371" s="29" t="s">
        <v>788</v>
      </c>
      <c r="E371" s="29" t="s">
        <v>789</v>
      </c>
      <c r="F371" s="29" t="s">
        <v>33</v>
      </c>
      <c r="G371" s="30" t="s">
        <v>34</v>
      </c>
      <c r="H371" s="31">
        <v>460777784.29447901</v>
      </c>
      <c r="I371" s="31">
        <v>293914184.29447901</v>
      </c>
      <c r="J371" s="32">
        <v>12.4099998474121</v>
      </c>
      <c r="K371" s="33">
        <v>45700</v>
      </c>
      <c r="L371" s="31">
        <v>4312700</v>
      </c>
      <c r="M371" s="32">
        <v>3.8</v>
      </c>
      <c r="N371" s="31" t="s">
        <v>35</v>
      </c>
      <c r="O371" s="33">
        <v>45699</v>
      </c>
      <c r="P371" s="34">
        <v>238574.703125</v>
      </c>
      <c r="Q371" s="34">
        <v>275351.90625</v>
      </c>
      <c r="R371" s="34">
        <v>280479.34375</v>
      </c>
      <c r="S371" s="29" t="s">
        <v>46</v>
      </c>
      <c r="T371" s="33">
        <v>45446</v>
      </c>
      <c r="U371" s="35" t="b">
        <v>0</v>
      </c>
      <c r="V371" s="35" t="b">
        <v>0</v>
      </c>
      <c r="W371" s="35" t="b">
        <v>0</v>
      </c>
      <c r="Y371" s="31" cm="1">
        <f t="array" ref="Y371">IF(LEFT(_xll.BDP($C371, VOLUME_AVG_10D), 4) = "#N/A", "",  _xll.BDP($C371, VOLUME_AVG_10D))</f>
        <v>176183.5</v>
      </c>
      <c r="Z371" s="31" cm="1">
        <f t="array" ref="Z371">IF(LEFT(_xll.BDP($C371, VOLUME_AVG_30D), 4) = "#N/A", "",  _xll.BDP($C371, VOLUME_AVG_30D))</f>
        <v>238574.703125</v>
      </c>
      <c r="AA371" s="31" cm="1">
        <f t="array" ref="AA371">IF(LEFT(_xll.BDP($C371, VOLUME_AVG_3M), 4) = "#N/A", "",  _xll.BDP($C371, VOLUME_AVG_3M))</f>
        <v>275351.90625</v>
      </c>
      <c r="AB371" s="31" cm="1">
        <f t="array" ref="AB371">IF(LEFT(_xll.BDP($C371, VOLUME_AVG_6M), 4) = "#N/A", "",  _xll.BDP($C371, VOLUME_AVG_6M))</f>
        <v>280479.34375</v>
      </c>
      <c r="AC371" s="31" cm="1">
        <f t="array" ref="AC371">IF(LEFT(_xll.BDP($C371, VOLUME_AVG_12M), 4) = "#N/A", "",  _xll.BDP($C371, VOLUME_AVG_12M))</f>
        <v>288901.375</v>
      </c>
      <c r="AD371" s="41" cm="1">
        <f t="array" ref="AD371">IF(LEFT(_xll.BDP($C371, LAST_PRICE), 4) = "#N/A", "",  _xll.BDP($C371, LAST_PRICE))</f>
        <v>12.41</v>
      </c>
    </row>
    <row r="372" spans="1:30" x14ac:dyDescent="0.35">
      <c r="A372" s="1">
        <f t="shared" si="5"/>
        <v>369</v>
      </c>
      <c r="B372" s="28">
        <v>45700</v>
      </c>
      <c r="C372" s="29" t="s">
        <v>790</v>
      </c>
      <c r="D372" s="29" t="s">
        <v>790</v>
      </c>
      <c r="E372" s="29" t="s">
        <v>791</v>
      </c>
      <c r="F372" s="29" t="s">
        <v>33</v>
      </c>
      <c r="G372" s="30" t="s">
        <v>34</v>
      </c>
      <c r="H372" s="31">
        <v>20864727.853636999</v>
      </c>
      <c r="I372" s="31">
        <v>32726472.853636999</v>
      </c>
      <c r="J372" s="32">
        <v>0.479999989271164</v>
      </c>
      <c r="K372" s="33">
        <v>45700</v>
      </c>
      <c r="L372" s="31">
        <v>96100</v>
      </c>
      <c r="M372" s="32">
        <v>-1.1000000000000001</v>
      </c>
      <c r="N372" s="31" t="s">
        <v>35</v>
      </c>
      <c r="O372" s="33">
        <v>45699</v>
      </c>
      <c r="P372" s="34">
        <v>22976.19921875</v>
      </c>
      <c r="Q372" s="34">
        <v>15955.9677734375</v>
      </c>
      <c r="R372" s="34">
        <v>17676.619140625</v>
      </c>
      <c r="S372" s="29"/>
      <c r="T372" s="33"/>
      <c r="U372" s="35" t="b">
        <v>0</v>
      </c>
      <c r="V372" s="35" t="b">
        <v>0</v>
      </c>
      <c r="W372" s="35" t="b">
        <v>0</v>
      </c>
      <c r="Y372" s="31" cm="1">
        <f t="array" ref="Y372">IF(LEFT(_xll.BDP($C372, VOLUME_AVG_10D), 4) = "#N/A", "",  _xll.BDP($C372, VOLUME_AVG_10D))</f>
        <v>15960.5</v>
      </c>
      <c r="Z372" s="31" cm="1">
        <f t="array" ref="Z372">IF(LEFT(_xll.BDP($C372, VOLUME_AVG_30D), 4) = "#N/A", "",  _xll.BDP($C372, VOLUME_AVG_30D))</f>
        <v>22976.19921875</v>
      </c>
      <c r="AA372" s="31" cm="1">
        <f t="array" ref="AA372">IF(LEFT(_xll.BDP($C372, VOLUME_AVG_3M), 4) = "#N/A", "",  _xll.BDP($C372, VOLUME_AVG_3M))</f>
        <v>15955.9677734375</v>
      </c>
      <c r="AB372" s="31" cm="1">
        <f t="array" ref="AB372">IF(LEFT(_xll.BDP($C372, VOLUME_AVG_6M), 4) = "#N/A", "",  _xll.BDP($C372, VOLUME_AVG_6M))</f>
        <v>17676.619140625</v>
      </c>
      <c r="AC372" s="31" cm="1">
        <f t="array" ref="AC372">IF(LEFT(_xll.BDP($C372, VOLUME_AVG_12M), 4) = "#N/A", "",  _xll.BDP($C372, VOLUME_AVG_12M))</f>
        <v>10823.5576171875</v>
      </c>
      <c r="AD372" s="41" cm="1">
        <f t="array" ref="AD372">IF(LEFT(_xll.BDP($C372, LAST_PRICE), 4) = "#N/A", "",  _xll.BDP($C372, LAST_PRICE))</f>
        <v>0.48</v>
      </c>
    </row>
    <row r="373" spans="1:30" x14ac:dyDescent="0.35">
      <c r="A373" s="1">
        <f t="shared" si="5"/>
        <v>370</v>
      </c>
      <c r="B373" s="28">
        <v>45700</v>
      </c>
      <c r="C373" s="29" t="s">
        <v>792</v>
      </c>
      <c r="D373" s="29" t="s">
        <v>792</v>
      </c>
      <c r="E373" s="29" t="s">
        <v>793</v>
      </c>
      <c r="F373" s="29" t="s">
        <v>33</v>
      </c>
      <c r="G373" s="30" t="s">
        <v>34</v>
      </c>
      <c r="H373" s="31">
        <v>1476822708.5449901</v>
      </c>
      <c r="I373" s="31">
        <v>725306708.54498994</v>
      </c>
      <c r="J373" s="32">
        <v>22.2600002288818</v>
      </c>
      <c r="K373" s="33">
        <v>45700</v>
      </c>
      <c r="L373" s="31">
        <v>19839900</v>
      </c>
      <c r="M373" s="32">
        <v>3.88</v>
      </c>
      <c r="N373" s="31" t="s">
        <v>35</v>
      </c>
      <c r="O373" s="33">
        <v>45699</v>
      </c>
      <c r="P373" s="34">
        <v>969866.5</v>
      </c>
      <c r="Q373" s="34">
        <v>992035.8125</v>
      </c>
      <c r="R373" s="34">
        <v>1032452.3125</v>
      </c>
      <c r="S373" s="29" t="s">
        <v>73</v>
      </c>
      <c r="T373" s="33">
        <v>45446</v>
      </c>
      <c r="U373" s="35" t="b">
        <v>0</v>
      </c>
      <c r="V373" s="35" t="b">
        <v>0</v>
      </c>
      <c r="W373" s="35" t="b">
        <v>0</v>
      </c>
      <c r="Y373" s="31" cm="1">
        <f t="array" ref="Y373">IF(LEFT(_xll.BDP($C373, VOLUME_AVG_10D), 4) = "#N/A", "",  _xll.BDP($C373, VOLUME_AVG_10D))</f>
        <v>868734.6875</v>
      </c>
      <c r="Z373" s="31" cm="1">
        <f t="array" ref="Z373">IF(LEFT(_xll.BDP($C373, VOLUME_AVG_30D), 4) = "#N/A", "",  _xll.BDP($C373, VOLUME_AVG_30D))</f>
        <v>969866.5</v>
      </c>
      <c r="AA373" s="31" cm="1">
        <f t="array" ref="AA373">IF(LEFT(_xll.BDP($C373, VOLUME_AVG_3M), 4) = "#N/A", "",  _xll.BDP($C373, VOLUME_AVG_3M))</f>
        <v>992035.8125</v>
      </c>
      <c r="AB373" s="31" cm="1">
        <f t="array" ref="AB373">IF(LEFT(_xll.BDP($C373, VOLUME_AVG_6M), 4) = "#N/A", "",  _xll.BDP($C373, VOLUME_AVG_6M))</f>
        <v>1032452.3125</v>
      </c>
      <c r="AC373" s="31" cm="1">
        <f t="array" ref="AC373">IF(LEFT(_xll.BDP($C373, VOLUME_AVG_12M), 4) = "#N/A", "",  _xll.BDP($C373, VOLUME_AVG_12M))</f>
        <v>924570.8125</v>
      </c>
      <c r="AD373" s="41" cm="1">
        <f t="array" ref="AD373">IF(LEFT(_xll.BDP($C373, LAST_PRICE), 4) = "#N/A", "",  _xll.BDP($C373, LAST_PRICE))</f>
        <v>22.26</v>
      </c>
    </row>
    <row r="374" spans="1:30" x14ac:dyDescent="0.35">
      <c r="A374" s="1">
        <f t="shared" si="5"/>
        <v>371</v>
      </c>
      <c r="B374" s="28">
        <v>45700</v>
      </c>
      <c r="C374" s="29" t="s">
        <v>794</v>
      </c>
      <c r="D374" s="29" t="s">
        <v>794</v>
      </c>
      <c r="E374" s="29" t="s">
        <v>795</v>
      </c>
      <c r="F374" s="29" t="s">
        <v>33</v>
      </c>
      <c r="G374" s="30" t="s">
        <v>34</v>
      </c>
      <c r="H374" s="31">
        <v>13243356.6963835</v>
      </c>
      <c r="I374" s="31">
        <v>-5509697.30361652</v>
      </c>
      <c r="J374" s="32">
        <v>0.28740000724792503</v>
      </c>
      <c r="K374" s="33">
        <v>45700</v>
      </c>
      <c r="L374" s="31">
        <v>560300</v>
      </c>
      <c r="M374" s="32">
        <v>2.85</v>
      </c>
      <c r="N374" s="31" t="s">
        <v>35</v>
      </c>
      <c r="O374" s="33">
        <v>45699</v>
      </c>
      <c r="P374" s="34">
        <v>2277413</v>
      </c>
      <c r="Q374" s="34">
        <v>2719525</v>
      </c>
      <c r="R374" s="34">
        <v>1462179.375</v>
      </c>
      <c r="S374" s="29" t="s">
        <v>46</v>
      </c>
      <c r="T374" s="33">
        <v>45446</v>
      </c>
      <c r="U374" s="35" t="b">
        <v>1</v>
      </c>
      <c r="V374" s="35" t="b">
        <v>0</v>
      </c>
      <c r="W374" s="35" t="b">
        <v>1</v>
      </c>
      <c r="Y374" s="31" cm="1">
        <f t="array" ref="Y374">IF(LEFT(_xll.BDP($C374, VOLUME_AVG_10D), 4) = "#N/A", "",  _xll.BDP($C374, VOLUME_AVG_10D))</f>
        <v>1631858.25</v>
      </c>
      <c r="Z374" s="31" cm="1">
        <f t="array" ref="Z374">IF(LEFT(_xll.BDP($C374, VOLUME_AVG_30D), 4) = "#N/A", "",  _xll.BDP($C374, VOLUME_AVG_30D))</f>
        <v>2277413</v>
      </c>
      <c r="AA374" s="31" cm="1">
        <f t="array" ref="AA374">IF(LEFT(_xll.BDP($C374, VOLUME_AVG_3M), 4) = "#N/A", "",  _xll.BDP($C374, VOLUME_AVG_3M))</f>
        <v>2719525</v>
      </c>
      <c r="AB374" s="31" cm="1">
        <f t="array" ref="AB374">IF(LEFT(_xll.BDP($C374, VOLUME_AVG_6M), 4) = "#N/A", "",  _xll.BDP($C374, VOLUME_AVG_6M))</f>
        <v>1462179.375</v>
      </c>
      <c r="AC374" s="31" cm="1">
        <f t="array" ref="AC374">IF(LEFT(_xll.BDP($C374, VOLUME_AVG_12M), 4) = "#N/A", "",  _xll.BDP($C374, VOLUME_AVG_12M))</f>
        <v>1137767.875</v>
      </c>
      <c r="AD374" s="41" cm="1">
        <f t="array" ref="AD374">IF(LEFT(_xll.BDP($C374, LAST_PRICE), 4) = "#N/A", "",  _xll.BDP($C374, LAST_PRICE))</f>
        <v>0.28739999999999999</v>
      </c>
    </row>
    <row r="375" spans="1:30" x14ac:dyDescent="0.35">
      <c r="A375" s="1">
        <f t="shared" si="5"/>
        <v>372</v>
      </c>
      <c r="B375" s="28">
        <v>45700</v>
      </c>
      <c r="C375" s="29" t="s">
        <v>796</v>
      </c>
      <c r="D375" s="29" t="s">
        <v>796</v>
      </c>
      <c r="E375" s="29" t="s">
        <v>797</v>
      </c>
      <c r="F375" s="29" t="s">
        <v>33</v>
      </c>
      <c r="G375" s="30" t="s">
        <v>34</v>
      </c>
      <c r="H375" s="31">
        <v>44758568.006475799</v>
      </c>
      <c r="I375" s="31">
        <v>74771568.006475806</v>
      </c>
      <c r="J375" s="32">
        <v>1.87999999523163</v>
      </c>
      <c r="K375" s="33">
        <v>45700</v>
      </c>
      <c r="L375" s="31">
        <v>670900</v>
      </c>
      <c r="M375" s="32">
        <v>-96.65</v>
      </c>
      <c r="N375" s="31" t="s">
        <v>35</v>
      </c>
      <c r="O375" s="33">
        <v>45699</v>
      </c>
      <c r="P375" s="34">
        <v>133547.96875</v>
      </c>
      <c r="Q375" s="34">
        <v>284661.8125</v>
      </c>
      <c r="R375" s="34">
        <v>583910.25</v>
      </c>
      <c r="S375" s="29"/>
      <c r="T375" s="33"/>
      <c r="U375" s="35" t="b">
        <v>0</v>
      </c>
      <c r="V375" s="35" t="b">
        <v>0</v>
      </c>
      <c r="W375" s="35" t="b">
        <v>0</v>
      </c>
      <c r="Y375" s="31" cm="1">
        <f t="array" ref="Y375">IF(LEFT(_xll.BDP($C375, VOLUME_AVG_10D), 4) = "#N/A", "",  _xll.BDP($C375, VOLUME_AVG_10D))</f>
        <v>224248.203125</v>
      </c>
      <c r="Z375" s="31" cm="1">
        <f t="array" ref="Z375">IF(LEFT(_xll.BDP($C375, VOLUME_AVG_30D), 4) = "#N/A", "",  _xll.BDP($C375, VOLUME_AVG_30D))</f>
        <v>133547.96875</v>
      </c>
      <c r="AA375" s="31" cm="1">
        <f t="array" ref="AA375">IF(LEFT(_xll.BDP($C375, VOLUME_AVG_3M), 4) = "#N/A", "",  _xll.BDP($C375, VOLUME_AVG_3M))</f>
        <v>284661.8125</v>
      </c>
      <c r="AB375" s="31" cm="1">
        <f t="array" ref="AB375">IF(LEFT(_xll.BDP($C375, VOLUME_AVG_6M), 4) = "#N/A", "",  _xll.BDP($C375, VOLUME_AVG_6M))</f>
        <v>583910.25</v>
      </c>
      <c r="AC375" s="31" cm="1">
        <f t="array" ref="AC375">IF(LEFT(_xll.BDP($C375, VOLUME_AVG_12M), 4) = "#N/A", "",  _xll.BDP($C375, VOLUME_AVG_12M))</f>
        <v>316245.78125</v>
      </c>
      <c r="AD375" s="41" cm="1">
        <f t="array" ref="AD375">IF(LEFT(_xll.BDP($C375, LAST_PRICE), 4) = "#N/A", "",  _xll.BDP($C375, LAST_PRICE))</f>
        <v>1.88</v>
      </c>
    </row>
    <row r="376" spans="1:30" x14ac:dyDescent="0.35">
      <c r="A376" s="1">
        <f t="shared" si="5"/>
        <v>373</v>
      </c>
      <c r="B376" s="28">
        <v>45700</v>
      </c>
      <c r="C376" s="29" t="s">
        <v>798</v>
      </c>
      <c r="D376" s="29" t="s">
        <v>798</v>
      </c>
      <c r="E376" s="29" t="s">
        <v>799</v>
      </c>
      <c r="F376" s="29" t="s">
        <v>33</v>
      </c>
      <c r="G376" s="30" t="s">
        <v>34</v>
      </c>
      <c r="H376" s="31">
        <v>47186449332.293297</v>
      </c>
      <c r="I376" s="31">
        <v>52246058332.293297</v>
      </c>
      <c r="J376" s="32">
        <v>243.58999633789099</v>
      </c>
      <c r="K376" s="33">
        <v>45700</v>
      </c>
      <c r="L376" s="31">
        <v>59829700</v>
      </c>
      <c r="M376" s="32">
        <v>3.88</v>
      </c>
      <c r="N376" s="31" t="s">
        <v>35</v>
      </c>
      <c r="O376" s="33">
        <v>45699</v>
      </c>
      <c r="P376" s="34">
        <v>1416105.625</v>
      </c>
      <c r="Q376" s="34">
        <v>1295568.875</v>
      </c>
      <c r="R376" s="34">
        <v>1370720.5</v>
      </c>
      <c r="S376" s="29"/>
      <c r="T376" s="33"/>
      <c r="U376" s="35" t="b">
        <v>0</v>
      </c>
      <c r="V376" s="35" t="b">
        <v>0</v>
      </c>
      <c r="W376" s="35" t="b">
        <v>0</v>
      </c>
      <c r="Y376" s="31" cm="1">
        <f t="array" ref="Y376">IF(LEFT(_xll.BDP($C376, VOLUME_AVG_10D), 4) = "#N/A", "",  _xll.BDP($C376, VOLUME_AVG_10D))</f>
        <v>1827755.125</v>
      </c>
      <c r="Z376" s="31" cm="1">
        <f t="array" ref="Z376">IF(LEFT(_xll.BDP($C376, VOLUME_AVG_30D), 4) = "#N/A", "",  _xll.BDP($C376, VOLUME_AVG_30D))</f>
        <v>1416105.625</v>
      </c>
      <c r="AA376" s="31" cm="1">
        <f t="array" ref="AA376">IF(LEFT(_xll.BDP($C376, VOLUME_AVG_3M), 4) = "#N/A", "",  _xll.BDP($C376, VOLUME_AVG_3M))</f>
        <v>1295568.875</v>
      </c>
      <c r="AB376" s="31" cm="1">
        <f t="array" ref="AB376">IF(LEFT(_xll.BDP($C376, VOLUME_AVG_6M), 4) = "#N/A", "",  _xll.BDP($C376, VOLUME_AVG_6M))</f>
        <v>1370720.5</v>
      </c>
      <c r="AC376" s="31" cm="1">
        <f t="array" ref="AC376">IF(LEFT(_xll.BDP($C376, VOLUME_AVG_12M), 4) = "#N/A", "",  _xll.BDP($C376, VOLUME_AVG_12M))</f>
        <v>1374949</v>
      </c>
      <c r="AD376" s="41" cm="1">
        <f t="array" ref="AD376">IF(LEFT(_xll.BDP($C376, LAST_PRICE), 4) = "#N/A", "",  _xll.BDP($C376, LAST_PRICE))</f>
        <v>243.59</v>
      </c>
    </row>
    <row r="377" spans="1:30" x14ac:dyDescent="0.35">
      <c r="A377" s="1">
        <f t="shared" si="5"/>
        <v>374</v>
      </c>
      <c r="B377" s="28">
        <v>45700</v>
      </c>
      <c r="C377" s="29" t="s">
        <v>800</v>
      </c>
      <c r="D377" s="29" t="s">
        <v>800</v>
      </c>
      <c r="E377" s="29" t="s">
        <v>801</v>
      </c>
      <c r="F377" s="29" t="s">
        <v>33</v>
      </c>
      <c r="G377" s="30" t="s">
        <v>34</v>
      </c>
      <c r="H377" s="31">
        <v>28499629635.1814</v>
      </c>
      <c r="I377" s="31">
        <v>30447629635.1814</v>
      </c>
      <c r="J377" s="32">
        <v>56.450000762939503</v>
      </c>
      <c r="K377" s="33">
        <v>45700</v>
      </c>
      <c r="L377" s="31">
        <v>192947904</v>
      </c>
      <c r="M377" s="32">
        <v>3.88</v>
      </c>
      <c r="N377" s="31" t="s">
        <v>35</v>
      </c>
      <c r="O377" s="33">
        <v>45699</v>
      </c>
      <c r="P377" s="34">
        <v>4271055</v>
      </c>
      <c r="Q377" s="34">
        <v>5348729.5</v>
      </c>
      <c r="R377" s="34">
        <v>5142109</v>
      </c>
      <c r="S377" s="29"/>
      <c r="T377" s="33"/>
      <c r="U377" s="35" t="b">
        <v>0</v>
      </c>
      <c r="V377" s="35" t="b">
        <v>0</v>
      </c>
      <c r="W377" s="35" t="b">
        <v>0</v>
      </c>
      <c r="Y377" s="31" cm="1">
        <f t="array" ref="Y377">IF(LEFT(_xll.BDP($C377, VOLUME_AVG_10D), 4) = "#N/A", "",  _xll.BDP($C377, VOLUME_AVG_10D))</f>
        <v>4847523</v>
      </c>
      <c r="Z377" s="31" cm="1">
        <f t="array" ref="Z377">IF(LEFT(_xll.BDP($C377, VOLUME_AVG_30D), 4) = "#N/A", "",  _xll.BDP($C377, VOLUME_AVG_30D))</f>
        <v>4271055</v>
      </c>
      <c r="AA377" s="31" cm="1">
        <f t="array" ref="AA377">IF(LEFT(_xll.BDP($C377, VOLUME_AVG_3M), 4) = "#N/A", "",  _xll.BDP($C377, VOLUME_AVG_3M))</f>
        <v>5348729.5</v>
      </c>
      <c r="AB377" s="31" cm="1">
        <f t="array" ref="AB377">IF(LEFT(_xll.BDP($C377, VOLUME_AVG_6M), 4) = "#N/A", "",  _xll.BDP($C377, VOLUME_AVG_6M))</f>
        <v>5142109</v>
      </c>
      <c r="AC377" s="31" cm="1">
        <f t="array" ref="AC377">IF(LEFT(_xll.BDP($C377, VOLUME_AVG_12M), 4) = "#N/A", "",  _xll.BDP($C377, VOLUME_AVG_12M))</f>
        <v>4379818.5</v>
      </c>
      <c r="AD377" s="41" cm="1">
        <f t="array" ref="AD377">IF(LEFT(_xll.BDP($C377, LAST_PRICE), 4) = "#N/A", "",  _xll.BDP($C377, LAST_PRICE))</f>
        <v>56.45</v>
      </c>
    </row>
    <row r="378" spans="1:30" x14ac:dyDescent="0.35">
      <c r="A378" s="1">
        <f t="shared" si="5"/>
        <v>375</v>
      </c>
      <c r="B378" s="28">
        <v>45700</v>
      </c>
      <c r="C378" s="29" t="s">
        <v>802</v>
      </c>
      <c r="D378" s="29" t="s">
        <v>802</v>
      </c>
      <c r="E378" s="29" t="s">
        <v>803</v>
      </c>
      <c r="F378" s="29" t="s">
        <v>33</v>
      </c>
      <c r="G378" s="30" t="s">
        <v>34</v>
      </c>
      <c r="H378" s="31">
        <v>2373218568</v>
      </c>
      <c r="I378" s="31">
        <v>1939489568</v>
      </c>
      <c r="J378" s="32">
        <v>18</v>
      </c>
      <c r="K378" s="33">
        <v>45700</v>
      </c>
      <c r="L378" s="31">
        <v>6386000</v>
      </c>
      <c r="M378" s="32">
        <v>3.55</v>
      </c>
      <c r="N378" s="31" t="s">
        <v>35</v>
      </c>
      <c r="O378" s="33">
        <v>45699</v>
      </c>
      <c r="P378" s="34">
        <v>679325.6875</v>
      </c>
      <c r="Q378" s="34">
        <v>694032.5</v>
      </c>
      <c r="R378" s="34">
        <v>649570.9375</v>
      </c>
      <c r="S378" s="29" t="s">
        <v>82</v>
      </c>
      <c r="T378" s="33">
        <v>45446</v>
      </c>
      <c r="U378" s="35" t="b">
        <v>0</v>
      </c>
      <c r="V378" s="35" t="b">
        <v>0</v>
      </c>
      <c r="W378" s="35" t="b">
        <v>0</v>
      </c>
      <c r="Y378" s="31" cm="1">
        <f t="array" ref="Y378">IF(LEFT(_xll.BDP($C378, VOLUME_AVG_10D), 4) = "#N/A", "",  _xll.BDP($C378, VOLUME_AVG_10D))</f>
        <v>988602.375</v>
      </c>
      <c r="Z378" s="31" cm="1">
        <f t="array" ref="Z378">IF(LEFT(_xll.BDP($C378, VOLUME_AVG_30D), 4) = "#N/A", "",  _xll.BDP($C378, VOLUME_AVG_30D))</f>
        <v>679325.6875</v>
      </c>
      <c r="AA378" s="31" cm="1">
        <f t="array" ref="AA378">IF(LEFT(_xll.BDP($C378, VOLUME_AVG_3M), 4) = "#N/A", "",  _xll.BDP($C378, VOLUME_AVG_3M))</f>
        <v>694032.5</v>
      </c>
      <c r="AB378" s="31" cm="1">
        <f t="array" ref="AB378">IF(LEFT(_xll.BDP($C378, VOLUME_AVG_6M), 4) = "#N/A", "",  _xll.BDP($C378, VOLUME_AVG_6M))</f>
        <v>649570.9375</v>
      </c>
      <c r="AC378" s="31" cm="1">
        <f t="array" ref="AC378">IF(LEFT(_xll.BDP($C378, VOLUME_AVG_12M), 4) = "#N/A", "",  _xll.BDP($C378, VOLUME_AVG_12M))</f>
        <v>457820.03125</v>
      </c>
      <c r="AD378" s="41" cm="1">
        <f t="array" ref="AD378">IF(LEFT(_xll.BDP($C378, LAST_PRICE), 4) = "#N/A", "",  _xll.BDP($C378, LAST_PRICE))</f>
        <v>18</v>
      </c>
    </row>
    <row r="379" spans="1:30" x14ac:dyDescent="0.35">
      <c r="A379" s="1">
        <f t="shared" si="5"/>
        <v>376</v>
      </c>
      <c r="B379" s="28">
        <v>45700</v>
      </c>
      <c r="C379" s="29" t="s">
        <v>804</v>
      </c>
      <c r="D379" s="29" t="s">
        <v>804</v>
      </c>
      <c r="E379" s="29" t="s">
        <v>805</v>
      </c>
      <c r="F379" s="29" t="s">
        <v>33</v>
      </c>
      <c r="G379" s="30" t="s">
        <v>34</v>
      </c>
      <c r="H379" s="31">
        <v>63576212.659931697</v>
      </c>
      <c r="I379" s="31">
        <v>-60990787.340068303</v>
      </c>
      <c r="J379" s="32">
        <v>0.747699975967407</v>
      </c>
      <c r="K379" s="33">
        <v>45700</v>
      </c>
      <c r="L379" s="31">
        <v>6111900</v>
      </c>
      <c r="M379" s="32">
        <v>3.45</v>
      </c>
      <c r="N379" s="31" t="s">
        <v>35</v>
      </c>
      <c r="O379" s="33">
        <v>45699</v>
      </c>
      <c r="P379" s="34">
        <v>495215.34375</v>
      </c>
      <c r="Q379" s="34">
        <v>609129.375</v>
      </c>
      <c r="R379" s="34">
        <v>489276.15625</v>
      </c>
      <c r="S379" s="29" t="s">
        <v>46</v>
      </c>
      <c r="T379" s="33">
        <v>45215</v>
      </c>
      <c r="U379" s="35" t="b">
        <v>0</v>
      </c>
      <c r="V379" s="35" t="b">
        <v>0</v>
      </c>
      <c r="W379" s="35" t="b">
        <v>1</v>
      </c>
      <c r="Y379" s="31" cm="1">
        <f t="array" ref="Y379">IF(LEFT(_xll.BDP($C379, VOLUME_AVG_10D), 4) = "#N/A", "",  _xll.BDP($C379, VOLUME_AVG_10D))</f>
        <v>479655.5</v>
      </c>
      <c r="Z379" s="31" cm="1">
        <f t="array" ref="Z379">IF(LEFT(_xll.BDP($C379, VOLUME_AVG_30D), 4) = "#N/A", "",  _xll.BDP($C379, VOLUME_AVG_30D))</f>
        <v>495215.34375</v>
      </c>
      <c r="AA379" s="31" cm="1">
        <f t="array" ref="AA379">IF(LEFT(_xll.BDP($C379, VOLUME_AVG_3M), 4) = "#N/A", "",  _xll.BDP($C379, VOLUME_AVG_3M))</f>
        <v>609129.375</v>
      </c>
      <c r="AB379" s="31" cm="1">
        <f t="array" ref="AB379">IF(LEFT(_xll.BDP($C379, VOLUME_AVG_6M), 4) = "#N/A", "",  _xll.BDP($C379, VOLUME_AVG_6M))</f>
        <v>489276.15625</v>
      </c>
      <c r="AC379" s="31" cm="1">
        <f t="array" ref="AC379">IF(LEFT(_xll.BDP($C379, VOLUME_AVG_12M), 4) = "#N/A", "",  _xll.BDP($C379, VOLUME_AVG_12M))</f>
        <v>356683.15625</v>
      </c>
      <c r="AD379" s="41" cm="1">
        <f t="array" ref="AD379">IF(LEFT(_xll.BDP($C379, LAST_PRICE), 4) = "#N/A", "",  _xll.BDP($C379, LAST_PRICE))</f>
        <v>0.74770000000000003</v>
      </c>
    </row>
    <row r="380" spans="1:30" x14ac:dyDescent="0.35">
      <c r="A380" s="1">
        <f t="shared" si="5"/>
        <v>377</v>
      </c>
      <c r="B380" s="28">
        <v>45700</v>
      </c>
      <c r="C380" s="29" t="s">
        <v>806</v>
      </c>
      <c r="D380" s="29" t="s">
        <v>806</v>
      </c>
      <c r="E380" s="29" t="s">
        <v>807</v>
      </c>
      <c r="F380" s="29" t="s">
        <v>33</v>
      </c>
      <c r="G380" s="30" t="s">
        <v>34</v>
      </c>
      <c r="H380" s="31">
        <v>799597115.14730799</v>
      </c>
      <c r="I380" s="31">
        <v>931896115.14730799</v>
      </c>
      <c r="J380" s="32">
        <v>22.319999694824201</v>
      </c>
      <c r="K380" s="33">
        <v>45700</v>
      </c>
      <c r="L380" s="31">
        <v>2221500</v>
      </c>
      <c r="M380" s="32">
        <v>0.05</v>
      </c>
      <c r="N380" s="31" t="s">
        <v>35</v>
      </c>
      <c r="O380" s="33">
        <v>45699</v>
      </c>
      <c r="P380" s="34">
        <v>170955.0625</v>
      </c>
      <c r="Q380" s="34">
        <v>210762.03125</v>
      </c>
      <c r="R380" s="34"/>
      <c r="S380" s="29"/>
      <c r="T380" s="33"/>
      <c r="U380" s="35" t="b">
        <v>0</v>
      </c>
      <c r="V380" s="35" t="b">
        <v>0</v>
      </c>
      <c r="W380" s="35" t="b">
        <v>0</v>
      </c>
      <c r="Y380" s="31" cm="1">
        <f t="array" ref="Y380">IF(LEFT(_xll.BDP($C380, VOLUME_AVG_10D), 4) = "#N/A", "",  _xll.BDP($C380, VOLUME_AVG_10D))</f>
        <v>116746</v>
      </c>
      <c r="Z380" s="31" cm="1">
        <f t="array" ref="Z380">IF(LEFT(_xll.BDP($C380, VOLUME_AVG_30D), 4) = "#N/A", "",  _xll.BDP($C380, VOLUME_AVG_30D))</f>
        <v>170955.0625</v>
      </c>
      <c r="AA380" s="31" cm="1">
        <f t="array" ref="AA380">IF(LEFT(_xll.BDP($C380, VOLUME_AVG_3M), 4) = "#N/A", "",  _xll.BDP($C380, VOLUME_AVG_3M))</f>
        <v>210762.03125</v>
      </c>
      <c r="AB380" s="31" t="str" cm="1">
        <f t="array" ref="AB380">IF(LEFT(_xll.BDP($C380, VOLUME_AVG_6M), 4) = "#N/A", "",  _xll.BDP($C380, VOLUME_AVG_6M))</f>
        <v/>
      </c>
      <c r="AC380" s="31" t="str" cm="1">
        <f t="array" ref="AC380">IF(LEFT(_xll.BDP($C380, VOLUME_AVG_12M), 4) = "#N/A", "",  _xll.BDP($C380, VOLUME_AVG_12M))</f>
        <v/>
      </c>
      <c r="AD380" s="41" cm="1">
        <f t="array" ref="AD380">IF(LEFT(_xll.BDP($C380, LAST_PRICE), 4) = "#N/A", "",  _xll.BDP($C380, LAST_PRICE))</f>
        <v>22.32</v>
      </c>
    </row>
    <row r="381" spans="1:30" x14ac:dyDescent="0.35">
      <c r="A381" s="1">
        <f t="shared" si="5"/>
        <v>378</v>
      </c>
      <c r="B381" s="28">
        <v>45700</v>
      </c>
      <c r="C381" s="29" t="s">
        <v>808</v>
      </c>
      <c r="D381" s="29" t="s">
        <v>808</v>
      </c>
      <c r="E381" s="29" t="s">
        <v>809</v>
      </c>
      <c r="F381" s="29" t="s">
        <v>33</v>
      </c>
      <c r="G381" s="30" t="s">
        <v>34</v>
      </c>
      <c r="H381" s="31">
        <v>5453879.2555215303</v>
      </c>
      <c r="I381" s="31">
        <v>7461223.2555215303</v>
      </c>
      <c r="J381" s="32">
        <v>1.79999995231628</v>
      </c>
      <c r="K381" s="33">
        <v>45700</v>
      </c>
      <c r="L381" s="31">
        <v>45000</v>
      </c>
      <c r="M381" s="32">
        <v>-80</v>
      </c>
      <c r="N381" s="31" t="s">
        <v>35</v>
      </c>
      <c r="O381" s="33">
        <v>45699</v>
      </c>
      <c r="P381" s="34">
        <v>995813.6875</v>
      </c>
      <c r="Q381" s="34">
        <v>1183472.25</v>
      </c>
      <c r="R381" s="34">
        <v>627236.625</v>
      </c>
      <c r="S381" s="29"/>
      <c r="T381" s="33"/>
      <c r="U381" s="35" t="b">
        <v>1</v>
      </c>
      <c r="V381" s="35" t="b">
        <v>0</v>
      </c>
      <c r="W381" s="35" t="b">
        <v>0</v>
      </c>
      <c r="Y381" s="31" cm="1">
        <f t="array" ref="Y381">IF(LEFT(_xll.BDP($C381, VOLUME_AVG_10D), 4) = "#N/A", "",  _xll.BDP($C381, VOLUME_AVG_10D))</f>
        <v>866813.625</v>
      </c>
      <c r="Z381" s="31" cm="1">
        <f t="array" ref="Z381">IF(LEFT(_xll.BDP($C381, VOLUME_AVG_30D), 4) = "#N/A", "",  _xll.BDP($C381, VOLUME_AVG_30D))</f>
        <v>995813.6875</v>
      </c>
      <c r="AA381" s="31" cm="1">
        <f t="array" ref="AA381">IF(LEFT(_xll.BDP($C381, VOLUME_AVG_3M), 4) = "#N/A", "",  _xll.BDP($C381, VOLUME_AVG_3M))</f>
        <v>1183472.25</v>
      </c>
      <c r="AB381" s="31" cm="1">
        <f t="array" ref="AB381">IF(LEFT(_xll.BDP($C381, VOLUME_AVG_6M), 4) = "#N/A", "",  _xll.BDP($C381, VOLUME_AVG_6M))</f>
        <v>627236.625</v>
      </c>
      <c r="AC381" s="31" cm="1">
        <f t="array" ref="AC381">IF(LEFT(_xll.BDP($C381, VOLUME_AVG_12M), 4) = "#N/A", "",  _xll.BDP($C381, VOLUME_AVG_12M))</f>
        <v>329368.03125</v>
      </c>
      <c r="AD381" s="41" cm="1">
        <f t="array" ref="AD381">IF(LEFT(_xll.BDP($C381, LAST_PRICE), 4) = "#N/A", "",  _xll.BDP($C381, LAST_PRICE))</f>
        <v>1.8</v>
      </c>
    </row>
    <row r="382" spans="1:30" x14ac:dyDescent="0.35">
      <c r="A382" s="1">
        <f t="shared" si="5"/>
        <v>379</v>
      </c>
      <c r="B382" s="28">
        <v>45700</v>
      </c>
      <c r="C382" s="29" t="s">
        <v>810</v>
      </c>
      <c r="D382" s="29" t="s">
        <v>810</v>
      </c>
      <c r="E382" s="29" t="s">
        <v>811</v>
      </c>
      <c r="F382" s="29" t="s">
        <v>33</v>
      </c>
      <c r="G382" s="30" t="s">
        <v>34</v>
      </c>
      <c r="H382" s="31">
        <v>2198915921.01719</v>
      </c>
      <c r="I382" s="31">
        <v>2276946921.01719</v>
      </c>
      <c r="J382" s="32">
        <v>13.6599998474121</v>
      </c>
      <c r="K382" s="33">
        <v>45700</v>
      </c>
      <c r="L382" s="31">
        <v>53256600</v>
      </c>
      <c r="M382" s="32">
        <v>3.88</v>
      </c>
      <c r="N382" s="31" t="s">
        <v>35</v>
      </c>
      <c r="O382" s="33">
        <v>45699</v>
      </c>
      <c r="P382" s="34">
        <v>1230630.625</v>
      </c>
      <c r="Q382" s="34">
        <v>1255082</v>
      </c>
      <c r="R382" s="34">
        <v>1264817.375</v>
      </c>
      <c r="S382" s="29" t="s">
        <v>468</v>
      </c>
      <c r="T382" s="33">
        <v>45446</v>
      </c>
      <c r="U382" s="35" t="b">
        <v>0</v>
      </c>
      <c r="V382" s="35" t="b">
        <v>0</v>
      </c>
      <c r="W382" s="35" t="b">
        <v>0</v>
      </c>
      <c r="Y382" s="31" cm="1">
        <f t="array" ref="Y382">IF(LEFT(_xll.BDP($C382, VOLUME_AVG_10D), 4) = "#N/A", "",  _xll.BDP($C382, VOLUME_AVG_10D))</f>
        <v>1406064.125</v>
      </c>
      <c r="Z382" s="31" cm="1">
        <f t="array" ref="Z382">IF(LEFT(_xll.BDP($C382, VOLUME_AVG_30D), 4) = "#N/A", "",  _xll.BDP($C382, VOLUME_AVG_30D))</f>
        <v>1230630.625</v>
      </c>
      <c r="AA382" s="31" cm="1">
        <f t="array" ref="AA382">IF(LEFT(_xll.BDP($C382, VOLUME_AVG_3M), 4) = "#N/A", "",  _xll.BDP($C382, VOLUME_AVG_3M))</f>
        <v>1255082</v>
      </c>
      <c r="AB382" s="31" cm="1">
        <f t="array" ref="AB382">IF(LEFT(_xll.BDP($C382, VOLUME_AVG_6M), 4) = "#N/A", "",  _xll.BDP($C382, VOLUME_AVG_6M))</f>
        <v>1264817.375</v>
      </c>
      <c r="AC382" s="31" cm="1">
        <f t="array" ref="AC382">IF(LEFT(_xll.BDP($C382, VOLUME_AVG_12M), 4) = "#N/A", "",  _xll.BDP($C382, VOLUME_AVG_12M))</f>
        <v>931136.625</v>
      </c>
      <c r="AD382" s="41" cm="1">
        <f t="array" ref="AD382">IF(LEFT(_xll.BDP($C382, LAST_PRICE), 4) = "#N/A", "",  _xll.BDP($C382, LAST_PRICE))</f>
        <v>13.66</v>
      </c>
    </row>
    <row r="383" spans="1:30" x14ac:dyDescent="0.35">
      <c r="A383" s="1">
        <f t="shared" si="5"/>
        <v>380</v>
      </c>
      <c r="B383" s="28">
        <v>45700</v>
      </c>
      <c r="C383" s="29" t="s">
        <v>812</v>
      </c>
      <c r="D383" s="29" t="s">
        <v>812</v>
      </c>
      <c r="E383" s="29" t="s">
        <v>813</v>
      </c>
      <c r="F383" s="29" t="s">
        <v>33</v>
      </c>
      <c r="G383" s="30" t="s">
        <v>34</v>
      </c>
      <c r="H383" s="31">
        <v>319430519.113361</v>
      </c>
      <c r="I383" s="31">
        <v>342555519.113361</v>
      </c>
      <c r="J383" s="32">
        <v>1.7200000286102299</v>
      </c>
      <c r="K383" s="33">
        <v>45700</v>
      </c>
      <c r="L383" s="31">
        <v>29760900</v>
      </c>
      <c r="M383" s="32">
        <v>3.88</v>
      </c>
      <c r="N383" s="31" t="s">
        <v>35</v>
      </c>
      <c r="O383" s="33">
        <v>45699</v>
      </c>
      <c r="P383" s="34">
        <v>1561756.625</v>
      </c>
      <c r="Q383" s="34">
        <v>1361023.375</v>
      </c>
      <c r="R383" s="34">
        <v>1365883.5</v>
      </c>
      <c r="S383" s="29"/>
      <c r="T383" s="33"/>
      <c r="U383" s="35" t="b">
        <v>0</v>
      </c>
      <c r="V383" s="35" t="b">
        <v>0</v>
      </c>
      <c r="W383" s="35" t="b">
        <v>0</v>
      </c>
      <c r="Y383" s="31" cm="1">
        <f t="array" ref="Y383">IF(LEFT(_xll.BDP($C383, VOLUME_AVG_10D), 4) = "#N/A", "",  _xll.BDP($C383, VOLUME_AVG_10D))</f>
        <v>1152542.625</v>
      </c>
      <c r="Z383" s="31" cm="1">
        <f t="array" ref="Z383">IF(LEFT(_xll.BDP($C383, VOLUME_AVG_30D), 4) = "#N/A", "",  _xll.BDP($C383, VOLUME_AVG_30D))</f>
        <v>1561756.625</v>
      </c>
      <c r="AA383" s="31" cm="1">
        <f t="array" ref="AA383">IF(LEFT(_xll.BDP($C383, VOLUME_AVG_3M), 4) = "#N/A", "",  _xll.BDP($C383, VOLUME_AVG_3M))</f>
        <v>1361023.375</v>
      </c>
      <c r="AB383" s="31" cm="1">
        <f t="array" ref="AB383">IF(LEFT(_xll.BDP($C383, VOLUME_AVG_6M), 4) = "#N/A", "",  _xll.BDP($C383, VOLUME_AVG_6M))</f>
        <v>1365883.5</v>
      </c>
      <c r="AC383" s="31" cm="1">
        <f t="array" ref="AC383">IF(LEFT(_xll.BDP($C383, VOLUME_AVG_12M), 4) = "#N/A", "",  _xll.BDP($C383, VOLUME_AVG_12M))</f>
        <v>1315067.75</v>
      </c>
      <c r="AD383" s="41" cm="1">
        <f t="array" ref="AD383">IF(LEFT(_xll.BDP($C383, LAST_PRICE), 4) = "#N/A", "",  _xll.BDP($C383, LAST_PRICE))</f>
        <v>1.72</v>
      </c>
    </row>
    <row r="384" spans="1:30" x14ac:dyDescent="0.35">
      <c r="A384" s="1">
        <f t="shared" si="5"/>
        <v>381</v>
      </c>
      <c r="B384" s="28">
        <v>45700</v>
      </c>
      <c r="C384" s="29" t="s">
        <v>814</v>
      </c>
      <c r="D384" s="29" t="s">
        <v>814</v>
      </c>
      <c r="E384" s="29" t="s">
        <v>815</v>
      </c>
      <c r="F384" s="29" t="s">
        <v>33</v>
      </c>
      <c r="G384" s="30" t="s">
        <v>34</v>
      </c>
      <c r="H384" s="31">
        <v>17993155.930996701</v>
      </c>
      <c r="I384" s="31">
        <v>-28663747.069003299</v>
      </c>
      <c r="J384" s="32">
        <v>2.1800000667571999</v>
      </c>
      <c r="K384" s="33">
        <v>45700</v>
      </c>
      <c r="L384" s="31">
        <v>394000</v>
      </c>
      <c r="M384" s="32">
        <v>-46.35</v>
      </c>
      <c r="N384" s="31" t="s">
        <v>35</v>
      </c>
      <c r="O384" s="33">
        <v>45699</v>
      </c>
      <c r="P384" s="34">
        <v>158285.296875</v>
      </c>
      <c r="Q384" s="34">
        <v>436819.09375</v>
      </c>
      <c r="R384" s="34">
        <v>256222.484375</v>
      </c>
      <c r="S384" s="29"/>
      <c r="T384" s="33"/>
      <c r="U384" s="35" t="b">
        <v>1</v>
      </c>
      <c r="V384" s="35" t="b">
        <v>0</v>
      </c>
      <c r="W384" s="35" t="b">
        <v>1</v>
      </c>
      <c r="Y384" s="31" cm="1">
        <f t="array" ref="Y384">IF(LEFT(_xll.BDP($C384, VOLUME_AVG_10D), 4) = "#N/A", "",  _xll.BDP($C384, VOLUME_AVG_10D))</f>
        <v>94345</v>
      </c>
      <c r="Z384" s="31" cm="1">
        <f t="array" ref="Z384">IF(LEFT(_xll.BDP($C384, VOLUME_AVG_30D), 4) = "#N/A", "",  _xll.BDP($C384, VOLUME_AVG_30D))</f>
        <v>158285.296875</v>
      </c>
      <c r="AA384" s="31" cm="1">
        <f t="array" ref="AA384">IF(LEFT(_xll.BDP($C384, VOLUME_AVG_3M), 4) = "#N/A", "",  _xll.BDP($C384, VOLUME_AVG_3M))</f>
        <v>436819.09375</v>
      </c>
      <c r="AB384" s="31" cm="1">
        <f t="array" ref="AB384">IF(LEFT(_xll.BDP($C384, VOLUME_AVG_6M), 4) = "#N/A", "",  _xll.BDP($C384, VOLUME_AVG_6M))</f>
        <v>256222.484375</v>
      </c>
      <c r="AC384" s="31" cm="1">
        <f t="array" ref="AC384">IF(LEFT(_xll.BDP($C384, VOLUME_AVG_12M), 4) = "#N/A", "",  _xll.BDP($C384, VOLUME_AVG_12M))</f>
        <v>154781.828125</v>
      </c>
      <c r="AD384" s="41" cm="1">
        <f t="array" ref="AD384">IF(LEFT(_xll.BDP($C384, LAST_PRICE), 4) = "#N/A", "",  _xll.BDP($C384, LAST_PRICE))</f>
        <v>2.1800000000000002</v>
      </c>
    </row>
    <row r="385" spans="1:30" x14ac:dyDescent="0.35">
      <c r="A385" s="1">
        <f t="shared" si="5"/>
        <v>382</v>
      </c>
      <c r="B385" s="28">
        <v>45700</v>
      </c>
      <c r="C385" s="29" t="s">
        <v>816</v>
      </c>
      <c r="D385" s="29" t="s">
        <v>816</v>
      </c>
      <c r="E385" s="29" t="s">
        <v>817</v>
      </c>
      <c r="F385" s="29" t="s">
        <v>33</v>
      </c>
      <c r="G385" s="30" t="s">
        <v>34</v>
      </c>
      <c r="H385" s="31">
        <v>2129060024</v>
      </c>
      <c r="I385" s="31">
        <v>1588646024</v>
      </c>
      <c r="J385" s="32">
        <v>28</v>
      </c>
      <c r="K385" s="33">
        <v>45700</v>
      </c>
      <c r="L385" s="31">
        <v>15930600</v>
      </c>
      <c r="M385" s="32">
        <v>3.88</v>
      </c>
      <c r="N385" s="31" t="s">
        <v>35</v>
      </c>
      <c r="O385" s="33">
        <v>45699</v>
      </c>
      <c r="P385" s="34">
        <v>631363.5625</v>
      </c>
      <c r="Q385" s="34">
        <v>710902.5</v>
      </c>
      <c r="R385" s="34">
        <v>674920.6875</v>
      </c>
      <c r="S385" s="29" t="s">
        <v>46</v>
      </c>
      <c r="T385" s="33">
        <v>45446</v>
      </c>
      <c r="U385" s="35" t="b">
        <v>0</v>
      </c>
      <c r="V385" s="35" t="b">
        <v>0</v>
      </c>
      <c r="W385" s="35" t="b">
        <v>0</v>
      </c>
      <c r="Y385" s="31" cm="1">
        <f t="array" ref="Y385">IF(LEFT(_xll.BDP($C385, VOLUME_AVG_10D), 4) = "#N/A", "",  _xll.BDP($C385, VOLUME_AVG_10D))</f>
        <v>424188.5</v>
      </c>
      <c r="Z385" s="31" cm="1">
        <f t="array" ref="Z385">IF(LEFT(_xll.BDP($C385, VOLUME_AVG_30D), 4) = "#N/A", "",  _xll.BDP($C385, VOLUME_AVG_30D))</f>
        <v>631363.5625</v>
      </c>
      <c r="AA385" s="31" cm="1">
        <f t="array" ref="AA385">IF(LEFT(_xll.BDP($C385, VOLUME_AVG_3M), 4) = "#N/A", "",  _xll.BDP($C385, VOLUME_AVG_3M))</f>
        <v>710902.5</v>
      </c>
      <c r="AB385" s="31" cm="1">
        <f t="array" ref="AB385">IF(LEFT(_xll.BDP($C385, VOLUME_AVG_6M), 4) = "#N/A", "",  _xll.BDP($C385, VOLUME_AVG_6M))</f>
        <v>674920.6875</v>
      </c>
      <c r="AC385" s="31" cm="1">
        <f t="array" ref="AC385">IF(LEFT(_xll.BDP($C385, VOLUME_AVG_12M), 4) = "#N/A", "",  _xll.BDP($C385, VOLUME_AVG_12M))</f>
        <v>652065.375</v>
      </c>
      <c r="AD385" s="41" cm="1">
        <f t="array" ref="AD385">IF(LEFT(_xll.BDP($C385, LAST_PRICE), 4) = "#N/A", "",  _xll.BDP($C385, LAST_PRICE))</f>
        <v>28</v>
      </c>
    </row>
    <row r="386" spans="1:30" x14ac:dyDescent="0.35">
      <c r="A386" s="1">
        <f t="shared" si="5"/>
        <v>383</v>
      </c>
      <c r="B386" s="28">
        <v>45700</v>
      </c>
      <c r="C386" s="29" t="s">
        <v>818</v>
      </c>
      <c r="D386" s="29" t="s">
        <v>818</v>
      </c>
      <c r="E386" s="29" t="s">
        <v>819</v>
      </c>
      <c r="F386" s="29" t="s">
        <v>33</v>
      </c>
      <c r="G386" s="30" t="s">
        <v>34</v>
      </c>
      <c r="H386" s="31">
        <v>151873400.47702801</v>
      </c>
      <c r="I386" s="31">
        <v>155894400.47702801</v>
      </c>
      <c r="J386" s="32">
        <v>10.9899997711182</v>
      </c>
      <c r="K386" s="33">
        <v>45700</v>
      </c>
      <c r="L386" s="31">
        <v>718800</v>
      </c>
      <c r="M386" s="32">
        <v>1.8</v>
      </c>
      <c r="N386" s="31" t="s">
        <v>35</v>
      </c>
      <c r="O386" s="33">
        <v>45699</v>
      </c>
      <c r="P386" s="34">
        <v>60802.06640625</v>
      </c>
      <c r="Q386" s="34">
        <v>55639.03125</v>
      </c>
      <c r="R386" s="34">
        <v>54466.25390625</v>
      </c>
      <c r="S386" s="29" t="s">
        <v>820</v>
      </c>
      <c r="T386" s="33">
        <v>45215</v>
      </c>
      <c r="U386" s="35" t="b">
        <v>0</v>
      </c>
      <c r="V386" s="35" t="b">
        <v>0</v>
      </c>
      <c r="W386" s="35" t="b">
        <v>0</v>
      </c>
      <c r="Y386" s="31" cm="1">
        <f t="array" ref="Y386">IF(LEFT(_xll.BDP($C386, VOLUME_AVG_10D), 4) = "#N/A", "",  _xll.BDP($C386, VOLUME_AVG_10D))</f>
        <v>51392.80078125</v>
      </c>
      <c r="Z386" s="31" cm="1">
        <f t="array" ref="Z386">IF(LEFT(_xll.BDP($C386, VOLUME_AVG_30D), 4) = "#N/A", "",  _xll.BDP($C386, VOLUME_AVG_30D))</f>
        <v>60802.06640625</v>
      </c>
      <c r="AA386" s="31" cm="1">
        <f t="array" ref="AA386">IF(LEFT(_xll.BDP($C386, VOLUME_AVG_3M), 4) = "#N/A", "",  _xll.BDP($C386, VOLUME_AVG_3M))</f>
        <v>55639.03125</v>
      </c>
      <c r="AB386" s="31" cm="1">
        <f t="array" ref="AB386">IF(LEFT(_xll.BDP($C386, VOLUME_AVG_6M), 4) = "#N/A", "",  _xll.BDP($C386, VOLUME_AVG_6M))</f>
        <v>54466.25390625</v>
      </c>
      <c r="AC386" s="31" cm="1">
        <f t="array" ref="AC386">IF(LEFT(_xll.BDP($C386, VOLUME_AVG_12M), 4) = "#N/A", "",  _xll.BDP($C386, VOLUME_AVG_12M))</f>
        <v>30192.98046875</v>
      </c>
      <c r="AD386" s="41" cm="1">
        <f t="array" ref="AD386">IF(LEFT(_xll.BDP($C386, LAST_PRICE), 4) = "#N/A", "",  _xll.BDP($C386, LAST_PRICE))</f>
        <v>10.99</v>
      </c>
    </row>
    <row r="387" spans="1:30" x14ac:dyDescent="0.35">
      <c r="A387" s="1">
        <f t="shared" si="5"/>
        <v>384</v>
      </c>
      <c r="B387" s="28">
        <v>45700</v>
      </c>
      <c r="C387" s="29" t="s">
        <v>821</v>
      </c>
      <c r="D387" s="29" t="s">
        <v>821</v>
      </c>
      <c r="E387" s="29" t="s">
        <v>822</v>
      </c>
      <c r="F387" s="29" t="s">
        <v>33</v>
      </c>
      <c r="G387" s="30" t="s">
        <v>34</v>
      </c>
      <c r="H387" s="31">
        <v>9885937.9537686091</v>
      </c>
      <c r="I387" s="31">
        <v>8632034.9537686091</v>
      </c>
      <c r="J387" s="32">
        <v>1.6399999856948899</v>
      </c>
      <c r="K387" s="33">
        <v>45700</v>
      </c>
      <c r="L387" s="31">
        <v>23300</v>
      </c>
      <c r="M387" s="32">
        <v>-83.25</v>
      </c>
      <c r="N387" s="31" t="s">
        <v>35</v>
      </c>
      <c r="O387" s="33">
        <v>45699</v>
      </c>
      <c r="P387" s="34">
        <v>1724114.625</v>
      </c>
      <c r="Q387" s="34">
        <v>893547.5625</v>
      </c>
      <c r="R387" s="34">
        <v>505500.125</v>
      </c>
      <c r="S387" s="29"/>
      <c r="T387" s="33"/>
      <c r="U387" s="35" t="b">
        <v>1</v>
      </c>
      <c r="V387" s="35" t="b">
        <v>0</v>
      </c>
      <c r="W387" s="35" t="b">
        <v>0</v>
      </c>
      <c r="Y387" s="31" cm="1">
        <f t="array" ref="Y387">IF(LEFT(_xll.BDP($C387, VOLUME_AVG_10D), 4) = "#N/A", "",  _xll.BDP($C387, VOLUME_AVG_10D))</f>
        <v>118439.296875</v>
      </c>
      <c r="Z387" s="31" cm="1">
        <f t="array" ref="Z387">IF(LEFT(_xll.BDP($C387, VOLUME_AVG_30D), 4) = "#N/A", "",  _xll.BDP($C387, VOLUME_AVG_30D))</f>
        <v>1724114.625</v>
      </c>
      <c r="AA387" s="31" cm="1">
        <f t="array" ref="AA387">IF(LEFT(_xll.BDP($C387, VOLUME_AVG_3M), 4) = "#N/A", "",  _xll.BDP($C387, VOLUME_AVG_3M))</f>
        <v>893547.5625</v>
      </c>
      <c r="AB387" s="31" cm="1">
        <f t="array" ref="AB387">IF(LEFT(_xll.BDP($C387, VOLUME_AVG_6M), 4) = "#N/A", "",  _xll.BDP($C387, VOLUME_AVG_6M))</f>
        <v>505500.125</v>
      </c>
      <c r="AC387" s="31" t="str" cm="1">
        <f t="array" ref="AC387">IF(LEFT(_xll.BDP($C387, VOLUME_AVG_12M), 4) = "#N/A", "",  _xll.BDP($C387, VOLUME_AVG_12M))</f>
        <v/>
      </c>
      <c r="AD387" s="41" cm="1">
        <f t="array" ref="AD387">IF(LEFT(_xll.BDP($C387, LAST_PRICE), 4) = "#N/A", "",  _xll.BDP($C387, LAST_PRICE))</f>
        <v>1.64</v>
      </c>
    </row>
    <row r="388" spans="1:30" x14ac:dyDescent="0.35">
      <c r="A388" s="1">
        <f t="shared" si="5"/>
        <v>385</v>
      </c>
      <c r="B388" s="28">
        <v>45700</v>
      </c>
      <c r="C388" s="29" t="s">
        <v>823</v>
      </c>
      <c r="D388" s="29" t="s">
        <v>823</v>
      </c>
      <c r="E388" s="29" t="s">
        <v>824</v>
      </c>
      <c r="F388" s="29" t="s">
        <v>33</v>
      </c>
      <c r="G388" s="30" t="s">
        <v>34</v>
      </c>
      <c r="H388" s="31">
        <v>7874971412</v>
      </c>
      <c r="I388" s="31">
        <v>10469733412</v>
      </c>
      <c r="J388" s="32">
        <v>154</v>
      </c>
      <c r="K388" s="33">
        <v>45700</v>
      </c>
      <c r="L388" s="31">
        <v>18593700</v>
      </c>
      <c r="M388" s="32">
        <v>3.88</v>
      </c>
      <c r="N388" s="31" t="s">
        <v>35</v>
      </c>
      <c r="O388" s="33">
        <v>45699</v>
      </c>
      <c r="P388" s="34">
        <v>915573</v>
      </c>
      <c r="Q388" s="34">
        <v>762740.6875</v>
      </c>
      <c r="R388" s="34">
        <v>730326.4375</v>
      </c>
      <c r="S388" s="29"/>
      <c r="T388" s="33"/>
      <c r="U388" s="35" t="b">
        <v>0</v>
      </c>
      <c r="V388" s="35" t="b">
        <v>0</v>
      </c>
      <c r="W388" s="35" t="b">
        <v>0</v>
      </c>
      <c r="Y388" s="31" cm="1">
        <f t="array" ref="Y388">IF(LEFT(_xll.BDP($C388, VOLUME_AVG_10D), 4) = "#N/A", "",  _xll.BDP($C388, VOLUME_AVG_10D))</f>
        <v>933225.6875</v>
      </c>
      <c r="Z388" s="31" cm="1">
        <f t="array" ref="Z388">IF(LEFT(_xll.BDP($C388, VOLUME_AVG_30D), 4) = "#N/A", "",  _xll.BDP($C388, VOLUME_AVG_30D))</f>
        <v>915573</v>
      </c>
      <c r="AA388" s="31" cm="1">
        <f t="array" ref="AA388">IF(LEFT(_xll.BDP($C388, VOLUME_AVG_3M), 4) = "#N/A", "",  _xll.BDP($C388, VOLUME_AVG_3M))</f>
        <v>762740.6875</v>
      </c>
      <c r="AB388" s="31" cm="1">
        <f t="array" ref="AB388">IF(LEFT(_xll.BDP($C388, VOLUME_AVG_6M), 4) = "#N/A", "",  _xll.BDP($C388, VOLUME_AVG_6M))</f>
        <v>730326.4375</v>
      </c>
      <c r="AC388" s="31" cm="1">
        <f t="array" ref="AC388">IF(LEFT(_xll.BDP($C388, VOLUME_AVG_12M), 4) = "#N/A", "",  _xll.BDP($C388, VOLUME_AVG_12M))</f>
        <v>660031.6875</v>
      </c>
      <c r="AD388" s="41" cm="1">
        <f t="array" ref="AD388">IF(LEFT(_xll.BDP($C388, LAST_PRICE), 4) = "#N/A", "",  _xll.BDP($C388, LAST_PRICE))</f>
        <v>154</v>
      </c>
    </row>
    <row r="389" spans="1:30" x14ac:dyDescent="0.35">
      <c r="A389" s="1">
        <f t="shared" si="5"/>
        <v>386</v>
      </c>
      <c r="B389" s="28">
        <v>45700</v>
      </c>
      <c r="C389" s="29" t="s">
        <v>825</v>
      </c>
      <c r="D389" s="29" t="s">
        <v>825</v>
      </c>
      <c r="E389" s="29" t="s">
        <v>826</v>
      </c>
      <c r="F389" s="29" t="s">
        <v>40</v>
      </c>
      <c r="G389" s="30" t="s">
        <v>41</v>
      </c>
      <c r="H389" s="31">
        <v>27114929.703538802</v>
      </c>
      <c r="I389" s="31">
        <v>31627010.3005904</v>
      </c>
      <c r="J389" s="32">
        <v>0.15500000119209301</v>
      </c>
      <c r="K389" s="33">
        <v>45700</v>
      </c>
      <c r="L389" s="31">
        <v>3555200</v>
      </c>
      <c r="M389" s="32">
        <v>-25.85</v>
      </c>
      <c r="N389" s="31" t="s">
        <v>35</v>
      </c>
      <c r="O389" s="33">
        <v>45699</v>
      </c>
      <c r="P389" s="34">
        <v>83924.87</v>
      </c>
      <c r="Q389" s="34">
        <v>83379.17</v>
      </c>
      <c r="R389" s="34">
        <v>85371.91</v>
      </c>
      <c r="S389" s="29"/>
      <c r="T389" s="33"/>
      <c r="U389" s="35" t="b">
        <v>0</v>
      </c>
      <c r="V389" s="35" t="b">
        <v>0</v>
      </c>
      <c r="W389" s="35" t="b">
        <v>0</v>
      </c>
      <c r="Y389" s="31" cm="1">
        <f t="array" ref="Y389">IF(LEFT(_xll.BDP($C389, VOLUME_AVG_10D), 4) = "#N/A", "",  _xll.BDP($C389, VOLUME_AVG_10D))</f>
        <v>50626.3</v>
      </c>
      <c r="Z389" s="31" cm="1">
        <f t="array" ref="Z389">IF(LEFT(_xll.BDP($C389, VOLUME_AVG_30D), 4) = "#N/A", "",  _xll.BDP($C389, VOLUME_AVG_30D))</f>
        <v>83924.87</v>
      </c>
      <c r="AA389" s="31" cm="1">
        <f t="array" ref="AA389">IF(LEFT(_xll.BDP($C389, VOLUME_AVG_3M), 4) = "#N/A", "",  _xll.BDP($C389, VOLUME_AVG_3M))</f>
        <v>83379.17</v>
      </c>
      <c r="AB389" s="31" cm="1">
        <f t="array" ref="AB389">IF(LEFT(_xll.BDP($C389, VOLUME_AVG_6M), 4) = "#N/A", "",  _xll.BDP($C389, VOLUME_AVG_6M))</f>
        <v>85371.91</v>
      </c>
      <c r="AC389" s="31" cm="1">
        <f t="array" ref="AC389">IF(LEFT(_xll.BDP($C389, VOLUME_AVG_12M), 4) = "#N/A", "",  _xll.BDP($C389, VOLUME_AVG_12M))</f>
        <v>120508.7</v>
      </c>
      <c r="AD389" s="41" cm="1">
        <f t="array" ref="AD389">IF(LEFT(_xll.BDP($C389, LAST_PRICE), 4) = "#N/A", "",  _xll.BDP($C389, LAST_PRICE))</f>
        <v>0.155</v>
      </c>
    </row>
    <row r="390" spans="1:30" x14ac:dyDescent="0.35">
      <c r="A390" s="1">
        <f t="shared" ref="A390:A453" si="6">IF(B390="","", A389+1)</f>
        <v>387</v>
      </c>
      <c r="B390" s="28">
        <v>45700</v>
      </c>
      <c r="C390" s="29" t="s">
        <v>827</v>
      </c>
      <c r="D390" s="29" t="s">
        <v>827</v>
      </c>
      <c r="E390" s="29" t="s">
        <v>828</v>
      </c>
      <c r="F390" s="29" t="s">
        <v>33</v>
      </c>
      <c r="G390" s="30" t="s">
        <v>34</v>
      </c>
      <c r="H390" s="31">
        <v>5055477.4624328604</v>
      </c>
      <c r="I390" s="31">
        <v>-22981522.537567101</v>
      </c>
      <c r="J390" s="32">
        <v>0.86430001258850098</v>
      </c>
      <c r="K390" s="33">
        <v>45700</v>
      </c>
      <c r="L390" s="31"/>
      <c r="M390" s="32"/>
      <c r="N390" s="31"/>
      <c r="O390" s="33">
        <v>45699</v>
      </c>
      <c r="P390" s="34">
        <v>1153954</v>
      </c>
      <c r="Q390" s="34">
        <v>1291534.5</v>
      </c>
      <c r="R390" s="34">
        <v>642554.0625</v>
      </c>
      <c r="S390" s="29"/>
      <c r="T390" s="33"/>
      <c r="U390" s="35" t="b">
        <v>1</v>
      </c>
      <c r="V390" s="35" t="b">
        <v>0</v>
      </c>
      <c r="W390" s="35" t="b">
        <v>1</v>
      </c>
      <c r="Y390" s="31" cm="1">
        <f t="array" ref="Y390">IF(LEFT(_xll.BDP($C390, VOLUME_AVG_10D), 4) = "#N/A", "",  _xll.BDP($C390, VOLUME_AVG_10D))</f>
        <v>83142.8984375</v>
      </c>
      <c r="Z390" s="31" cm="1">
        <f t="array" ref="Z390">IF(LEFT(_xll.BDP($C390, VOLUME_AVG_30D), 4) = "#N/A", "",  _xll.BDP($C390, VOLUME_AVG_30D))</f>
        <v>1153954</v>
      </c>
      <c r="AA390" s="31" cm="1">
        <f t="array" ref="AA390">IF(LEFT(_xll.BDP($C390, VOLUME_AVG_3M), 4) = "#N/A", "",  _xll.BDP($C390, VOLUME_AVG_3M))</f>
        <v>1291534.5</v>
      </c>
      <c r="AB390" s="31" cm="1">
        <f t="array" ref="AB390">IF(LEFT(_xll.BDP($C390, VOLUME_AVG_6M), 4) = "#N/A", "",  _xll.BDP($C390, VOLUME_AVG_6M))</f>
        <v>642554.0625</v>
      </c>
      <c r="AC390" s="31" cm="1">
        <f t="array" ref="AC390">IF(LEFT(_xll.BDP($C390, VOLUME_AVG_12M), 4) = "#N/A", "",  _xll.BDP($C390, VOLUME_AVG_12M))</f>
        <v>390170.90625</v>
      </c>
      <c r="AD390" s="41" cm="1">
        <f t="array" ref="AD390">IF(LEFT(_xll.BDP($C390, LAST_PRICE), 4) = "#N/A", "",  _xll.BDP($C390, LAST_PRICE))</f>
        <v>0.86429999999999996</v>
      </c>
    </row>
    <row r="391" spans="1:30" x14ac:dyDescent="0.35">
      <c r="A391" s="1">
        <f t="shared" si="6"/>
        <v>388</v>
      </c>
      <c r="B391" s="28">
        <v>45700</v>
      </c>
      <c r="C391" s="29" t="s">
        <v>829</v>
      </c>
      <c r="D391" s="29" t="s">
        <v>829</v>
      </c>
      <c r="E391" s="29" t="s">
        <v>830</v>
      </c>
      <c r="F391" s="29" t="s">
        <v>33</v>
      </c>
      <c r="G391" s="30" t="s">
        <v>34</v>
      </c>
      <c r="H391" s="31">
        <v>163588870.34297001</v>
      </c>
      <c r="I391" s="31">
        <v>158885870.34297001</v>
      </c>
      <c r="J391" s="32">
        <v>3.3499999046325701</v>
      </c>
      <c r="K391" s="33">
        <v>45700</v>
      </c>
      <c r="L391" s="31">
        <v>4000800</v>
      </c>
      <c r="M391" s="32">
        <v>-0.95</v>
      </c>
      <c r="N391" s="31" t="s">
        <v>35</v>
      </c>
      <c r="O391" s="33">
        <v>45699</v>
      </c>
      <c r="P391" s="34">
        <v>920788.375</v>
      </c>
      <c r="Q391" s="34">
        <v>1371133.375</v>
      </c>
      <c r="R391" s="34">
        <v>983357.8125</v>
      </c>
      <c r="S391" s="29"/>
      <c r="T391" s="33"/>
      <c r="U391" s="35" t="b">
        <v>0</v>
      </c>
      <c r="V391" s="35" t="b">
        <v>0</v>
      </c>
      <c r="W391" s="35" t="b">
        <v>0</v>
      </c>
      <c r="Y391" s="31" cm="1">
        <f t="array" ref="Y391">IF(LEFT(_xll.BDP($C391, VOLUME_AVG_10D), 4) = "#N/A", "",  _xll.BDP($C391, VOLUME_AVG_10D))</f>
        <v>899484.3125</v>
      </c>
      <c r="Z391" s="31" cm="1">
        <f t="array" ref="Z391">IF(LEFT(_xll.BDP($C391, VOLUME_AVG_30D), 4) = "#N/A", "",  _xll.BDP($C391, VOLUME_AVG_30D))</f>
        <v>920788.375</v>
      </c>
      <c r="AA391" s="31" cm="1">
        <f t="array" ref="AA391">IF(LEFT(_xll.BDP($C391, VOLUME_AVG_3M), 4) = "#N/A", "",  _xll.BDP($C391, VOLUME_AVG_3M))</f>
        <v>1371133.375</v>
      </c>
      <c r="AB391" s="31" cm="1">
        <f t="array" ref="AB391">IF(LEFT(_xll.BDP($C391, VOLUME_AVG_6M), 4) = "#N/A", "",  _xll.BDP($C391, VOLUME_AVG_6M))</f>
        <v>983357.8125</v>
      </c>
      <c r="AC391" s="31" cm="1">
        <f t="array" ref="AC391">IF(LEFT(_xll.BDP($C391, VOLUME_AVG_12M), 4) = "#N/A", "",  _xll.BDP($C391, VOLUME_AVG_12M))</f>
        <v>697617.25</v>
      </c>
      <c r="AD391" s="41" cm="1">
        <f t="array" ref="AD391">IF(LEFT(_xll.BDP($C391, LAST_PRICE), 4) = "#N/A", "",  _xll.BDP($C391, LAST_PRICE))</f>
        <v>3.35</v>
      </c>
    </row>
    <row r="392" spans="1:30" x14ac:dyDescent="0.35">
      <c r="A392" s="1">
        <f t="shared" si="6"/>
        <v>389</v>
      </c>
      <c r="B392" s="28">
        <v>45700</v>
      </c>
      <c r="C392" s="29" t="s">
        <v>831</v>
      </c>
      <c r="D392" s="29" t="s">
        <v>831</v>
      </c>
      <c r="E392" s="29" t="s">
        <v>832</v>
      </c>
      <c r="F392" s="29" t="s">
        <v>33</v>
      </c>
      <c r="G392" s="30" t="s">
        <v>34</v>
      </c>
      <c r="H392" s="31">
        <v>8232942546.5</v>
      </c>
      <c r="I392" s="31">
        <v>8142397546.5</v>
      </c>
      <c r="J392" s="32">
        <v>549.5</v>
      </c>
      <c r="K392" s="33">
        <v>45700</v>
      </c>
      <c r="L392" s="31">
        <v>4413400</v>
      </c>
      <c r="M392" s="32">
        <v>3.88</v>
      </c>
      <c r="N392" s="31" t="s">
        <v>35</v>
      </c>
      <c r="O392" s="33">
        <v>45699</v>
      </c>
      <c r="P392" s="34">
        <v>90610.46875</v>
      </c>
      <c r="Q392" s="34">
        <v>94248.3359375</v>
      </c>
      <c r="R392" s="34">
        <v>86869.84375</v>
      </c>
      <c r="S392" s="29"/>
      <c r="T392" s="33"/>
      <c r="U392" s="35" t="b">
        <v>0</v>
      </c>
      <c r="V392" s="35" t="b">
        <v>0</v>
      </c>
      <c r="W392" s="35" t="b">
        <v>0</v>
      </c>
      <c r="Y392" s="31" cm="1">
        <f t="array" ref="Y392">IF(LEFT(_xll.BDP($C392, VOLUME_AVG_10D), 4) = "#N/A", "",  _xll.BDP($C392, VOLUME_AVG_10D))</f>
        <v>79195.3984375</v>
      </c>
      <c r="Z392" s="31" cm="1">
        <f t="array" ref="Z392">IF(LEFT(_xll.BDP($C392, VOLUME_AVG_30D), 4) = "#N/A", "",  _xll.BDP($C392, VOLUME_AVG_30D))</f>
        <v>90610.46875</v>
      </c>
      <c r="AA392" s="31" cm="1">
        <f t="array" ref="AA392">IF(LEFT(_xll.BDP($C392, VOLUME_AVG_3M), 4) = "#N/A", "",  _xll.BDP($C392, VOLUME_AVG_3M))</f>
        <v>94248.3359375</v>
      </c>
      <c r="AB392" s="31" cm="1">
        <f t="array" ref="AB392">IF(LEFT(_xll.BDP($C392, VOLUME_AVG_6M), 4) = "#N/A", "",  _xll.BDP($C392, VOLUME_AVG_6M))</f>
        <v>86869.84375</v>
      </c>
      <c r="AC392" s="31" cm="1">
        <f t="array" ref="AC392">IF(LEFT(_xll.BDP($C392, VOLUME_AVG_12M), 4) = "#N/A", "",  _xll.BDP($C392, VOLUME_AVG_12M))</f>
        <v>89176.640625</v>
      </c>
      <c r="AD392" s="41" cm="1">
        <f t="array" ref="AD392">IF(LEFT(_xll.BDP($C392, LAST_PRICE), 4) = "#N/A", "",  _xll.BDP($C392, LAST_PRICE))</f>
        <v>549.5</v>
      </c>
    </row>
    <row r="393" spans="1:30" x14ac:dyDescent="0.35">
      <c r="A393" s="1">
        <f t="shared" si="6"/>
        <v>390</v>
      </c>
      <c r="B393" s="28">
        <v>45700</v>
      </c>
      <c r="C393" s="29" t="s">
        <v>833</v>
      </c>
      <c r="D393" s="29" t="s">
        <v>833</v>
      </c>
      <c r="E393" s="29" t="s">
        <v>834</v>
      </c>
      <c r="F393" s="29" t="s">
        <v>33</v>
      </c>
      <c r="G393" s="30" t="s">
        <v>34</v>
      </c>
      <c r="H393" s="31">
        <v>37201194.393493399</v>
      </c>
      <c r="I393" s="31">
        <v>17809194.393493399</v>
      </c>
      <c r="J393" s="32">
        <v>2.0099999904632599</v>
      </c>
      <c r="K393" s="33">
        <v>45700</v>
      </c>
      <c r="L393" s="31">
        <v>281600</v>
      </c>
      <c r="M393" s="32">
        <v>-1.25</v>
      </c>
      <c r="N393" s="31" t="s">
        <v>35</v>
      </c>
      <c r="O393" s="33">
        <v>45699</v>
      </c>
      <c r="P393" s="34">
        <v>101108.6015625</v>
      </c>
      <c r="Q393" s="34">
        <v>108633.8203125</v>
      </c>
      <c r="R393" s="34">
        <v>166590.71875</v>
      </c>
      <c r="S393" s="29"/>
      <c r="T393" s="33"/>
      <c r="U393" s="35" t="b">
        <v>0</v>
      </c>
      <c r="V393" s="35" t="b">
        <v>0</v>
      </c>
      <c r="W393" s="35" t="b">
        <v>0</v>
      </c>
      <c r="Y393" s="31" cm="1">
        <f t="array" ref="Y393">IF(LEFT(_xll.BDP($C393, VOLUME_AVG_10D), 4) = "#N/A", "",  _xll.BDP($C393, VOLUME_AVG_10D))</f>
        <v>96615.1015625</v>
      </c>
      <c r="Z393" s="31" cm="1">
        <f t="array" ref="Z393">IF(LEFT(_xll.BDP($C393, VOLUME_AVG_30D), 4) = "#N/A", "",  _xll.BDP($C393, VOLUME_AVG_30D))</f>
        <v>101108.6015625</v>
      </c>
      <c r="AA393" s="31" cm="1">
        <f t="array" ref="AA393">IF(LEFT(_xll.BDP($C393, VOLUME_AVG_3M), 4) = "#N/A", "",  _xll.BDP($C393, VOLUME_AVG_3M))</f>
        <v>108633.8203125</v>
      </c>
      <c r="AB393" s="31" cm="1">
        <f t="array" ref="AB393">IF(LEFT(_xll.BDP($C393, VOLUME_AVG_6M), 4) = "#N/A", "",  _xll.BDP($C393, VOLUME_AVG_6M))</f>
        <v>166590.71875</v>
      </c>
      <c r="AC393" s="31" cm="1">
        <f t="array" ref="AC393">IF(LEFT(_xll.BDP($C393, VOLUME_AVG_12M), 4) = "#N/A", "",  _xll.BDP($C393, VOLUME_AVG_12M))</f>
        <v>180257.875</v>
      </c>
      <c r="AD393" s="41" cm="1">
        <f t="array" ref="AD393">IF(LEFT(_xll.BDP($C393, LAST_PRICE), 4) = "#N/A", "",  _xll.BDP($C393, LAST_PRICE))</f>
        <v>2.0099999999999998</v>
      </c>
    </row>
    <row r="394" spans="1:30" x14ac:dyDescent="0.35">
      <c r="A394" s="1">
        <f t="shared" si="6"/>
        <v>391</v>
      </c>
      <c r="B394" s="28">
        <v>45700</v>
      </c>
      <c r="C394" s="29" t="s">
        <v>835</v>
      </c>
      <c r="D394" s="29" t="s">
        <v>835</v>
      </c>
      <c r="E394" s="29" t="s">
        <v>836</v>
      </c>
      <c r="F394" s="29" t="s">
        <v>33</v>
      </c>
      <c r="G394" s="30" t="s">
        <v>34</v>
      </c>
      <c r="H394" s="31">
        <v>399316080.46618199</v>
      </c>
      <c r="I394" s="31">
        <v>264430080.46618199</v>
      </c>
      <c r="J394" s="32">
        <v>4.4400000572204599</v>
      </c>
      <c r="K394" s="33">
        <v>45700</v>
      </c>
      <c r="L394" s="31">
        <v>11907900</v>
      </c>
      <c r="M394" s="32">
        <v>3.3</v>
      </c>
      <c r="N394" s="31" t="s">
        <v>35</v>
      </c>
      <c r="O394" s="33">
        <v>45699</v>
      </c>
      <c r="P394" s="34">
        <v>1516510.375</v>
      </c>
      <c r="Q394" s="34">
        <v>4577184</v>
      </c>
      <c r="R394" s="34">
        <v>2486932.5</v>
      </c>
      <c r="S394" s="29"/>
      <c r="T394" s="33"/>
      <c r="U394" s="35" t="b">
        <v>0</v>
      </c>
      <c r="V394" s="35" t="b">
        <v>0</v>
      </c>
      <c r="W394" s="35" t="b">
        <v>0</v>
      </c>
      <c r="Y394" s="31" cm="1">
        <f t="array" ref="Y394">IF(LEFT(_xll.BDP($C394, VOLUME_AVG_10D), 4) = "#N/A", "",  _xll.BDP($C394, VOLUME_AVG_10D))</f>
        <v>1474701.25</v>
      </c>
      <c r="Z394" s="31" cm="1">
        <f t="array" ref="Z394">IF(LEFT(_xll.BDP($C394, VOLUME_AVG_30D), 4) = "#N/A", "",  _xll.BDP($C394, VOLUME_AVG_30D))</f>
        <v>1516510.375</v>
      </c>
      <c r="AA394" s="31" cm="1">
        <f t="array" ref="AA394">IF(LEFT(_xll.BDP($C394, VOLUME_AVG_3M), 4) = "#N/A", "",  _xll.BDP($C394, VOLUME_AVG_3M))</f>
        <v>4577184</v>
      </c>
      <c r="AB394" s="31" cm="1">
        <f t="array" ref="AB394">IF(LEFT(_xll.BDP($C394, VOLUME_AVG_6M), 4) = "#N/A", "",  _xll.BDP($C394, VOLUME_AVG_6M))</f>
        <v>2486932.5</v>
      </c>
      <c r="AC394" s="31" cm="1">
        <f t="array" ref="AC394">IF(LEFT(_xll.BDP($C394, VOLUME_AVG_12M), 4) = "#N/A", "",  _xll.BDP($C394, VOLUME_AVG_12M))</f>
        <v>1408565.875</v>
      </c>
      <c r="AD394" s="41" cm="1">
        <f t="array" ref="AD394">IF(LEFT(_xll.BDP($C394, LAST_PRICE), 4) = "#N/A", "",  _xll.BDP($C394, LAST_PRICE))</f>
        <v>4.4400000000000004</v>
      </c>
    </row>
    <row r="395" spans="1:30" x14ac:dyDescent="0.35">
      <c r="A395" s="1">
        <f t="shared" si="6"/>
        <v>392</v>
      </c>
      <c r="B395" s="28">
        <v>45700</v>
      </c>
      <c r="C395" s="29" t="s">
        <v>837</v>
      </c>
      <c r="D395" s="29" t="s">
        <v>837</v>
      </c>
      <c r="E395" s="29" t="s">
        <v>838</v>
      </c>
      <c r="F395" s="29" t="s">
        <v>33</v>
      </c>
      <c r="G395" s="30" t="s">
        <v>34</v>
      </c>
      <c r="H395" s="31"/>
      <c r="I395" s="31"/>
      <c r="J395" s="32"/>
      <c r="K395" s="33">
        <v>45700</v>
      </c>
      <c r="L395" s="31"/>
      <c r="M395" s="32"/>
      <c r="N395" s="31"/>
      <c r="O395" s="33">
        <v>45699</v>
      </c>
      <c r="P395" s="34"/>
      <c r="Q395" s="34"/>
      <c r="R395" s="34"/>
      <c r="S395" s="29"/>
      <c r="T395" s="33"/>
      <c r="U395" s="35" t="b">
        <v>1</v>
      </c>
      <c r="V395" s="35" t="b">
        <v>1</v>
      </c>
      <c r="W395" s="35" t="b">
        <v>1</v>
      </c>
      <c r="Y395" s="31" t="str" cm="1">
        <f t="array" ref="Y395">IF(LEFT(_xll.BDP($C395, VOLUME_AVG_10D), 4) = "#N/A", "",  _xll.BDP($C395, VOLUME_AVG_10D))</f>
        <v/>
      </c>
      <c r="Z395" s="31" t="str" cm="1">
        <f t="array" ref="Z395">IF(LEFT(_xll.BDP($C395, VOLUME_AVG_30D), 4) = "#N/A", "",  _xll.BDP($C395, VOLUME_AVG_30D))</f>
        <v/>
      </c>
      <c r="AA395" s="31" t="str" cm="1">
        <f t="array" ref="AA395">IF(LEFT(_xll.BDP($C395, VOLUME_AVG_3M), 4) = "#N/A", "",  _xll.BDP($C395, VOLUME_AVG_3M))</f>
        <v/>
      </c>
      <c r="AB395" s="31" t="str" cm="1">
        <f t="array" ref="AB395">IF(LEFT(_xll.BDP($C395, VOLUME_AVG_6M), 4) = "#N/A", "",  _xll.BDP($C395, VOLUME_AVG_6M))</f>
        <v/>
      </c>
      <c r="AC395" s="31" t="str" cm="1">
        <f t="array" ref="AC395">IF(LEFT(_xll.BDP($C395, VOLUME_AVG_12M), 4) = "#N/A", "",  _xll.BDP($C395, VOLUME_AVG_12M))</f>
        <v/>
      </c>
      <c r="AD395" s="41" t="str" cm="1">
        <f t="array" ref="AD395">IF(LEFT(_xll.BDP($C395, LAST_PRICE), 4) = "#N/A", "",  _xll.BDP($C395, LAST_PRICE))</f>
        <v/>
      </c>
    </row>
    <row r="396" spans="1:30" x14ac:dyDescent="0.35">
      <c r="A396" s="1">
        <f t="shared" si="6"/>
        <v>393</v>
      </c>
      <c r="B396" s="28">
        <v>45700</v>
      </c>
      <c r="C396" s="29" t="s">
        <v>839</v>
      </c>
      <c r="D396" s="29" t="s">
        <v>839</v>
      </c>
      <c r="E396" s="29" t="s">
        <v>840</v>
      </c>
      <c r="F396" s="29" t="s">
        <v>33</v>
      </c>
      <c r="G396" s="30" t="s">
        <v>34</v>
      </c>
      <c r="H396" s="31">
        <v>2371.2060999999999</v>
      </c>
      <c r="I396" s="31">
        <v>44086371.206100002</v>
      </c>
      <c r="J396" s="32">
        <v>1E-4</v>
      </c>
      <c r="K396" s="33">
        <v>45700</v>
      </c>
      <c r="L396" s="31"/>
      <c r="M396" s="32"/>
      <c r="N396" s="31"/>
      <c r="O396" s="33">
        <v>45699</v>
      </c>
      <c r="P396" s="34">
        <v>2296.66674804688</v>
      </c>
      <c r="Q396" s="34">
        <v>1385.48388671875</v>
      </c>
      <c r="R396" s="34">
        <v>683.33331298828102</v>
      </c>
      <c r="S396" s="29"/>
      <c r="T396" s="33"/>
      <c r="U396" s="35" t="b">
        <v>1</v>
      </c>
      <c r="V396" s="35" t="b">
        <v>1</v>
      </c>
      <c r="W396" s="35" t="b">
        <v>0</v>
      </c>
      <c r="Y396" s="31" cm="1">
        <f t="array" ref="Y396">IF(LEFT(_xll.BDP($C396, VOLUME_AVG_10D), 4) = "#N/A", "",  _xll.BDP($C396, VOLUME_AVG_10D))</f>
        <v>60</v>
      </c>
      <c r="Z396" s="31" cm="1">
        <f t="array" ref="Z396">IF(LEFT(_xll.BDP($C396, VOLUME_AVG_30D), 4) = "#N/A", "",  _xll.BDP($C396, VOLUME_AVG_30D))</f>
        <v>2296.666748046875</v>
      </c>
      <c r="AA396" s="31" cm="1">
        <f t="array" ref="AA396">IF(LEFT(_xll.BDP($C396, VOLUME_AVG_3M), 4) = "#N/A", "",  _xll.BDP($C396, VOLUME_AVG_3M))</f>
        <v>1385.48388671875</v>
      </c>
      <c r="AB396" s="31" cm="1">
        <f t="array" ref="AB396">IF(LEFT(_xll.BDP($C396, VOLUME_AVG_6M), 4) = "#N/A", "",  _xll.BDP($C396, VOLUME_AVG_6M))</f>
        <v>683.33331298828125</v>
      </c>
      <c r="AC396" s="31" cm="1">
        <f t="array" ref="AC396">IF(LEFT(_xll.BDP($C396, VOLUME_AVG_12M), 4) = "#N/A", "",  _xll.BDP($C396, VOLUME_AVG_12M))</f>
        <v>379.94024658203125</v>
      </c>
      <c r="AD396" s="41" cm="1">
        <f t="array" ref="AD396">IF(LEFT(_xll.BDP($C396, LAST_PRICE), 4) = "#N/A", "",  _xll.BDP($C396, LAST_PRICE))</f>
        <v>1E-4</v>
      </c>
    </row>
    <row r="397" spans="1:30" x14ac:dyDescent="0.35">
      <c r="A397" s="1">
        <f t="shared" si="6"/>
        <v>394</v>
      </c>
      <c r="B397" s="28">
        <v>45700</v>
      </c>
      <c r="C397" s="29" t="s">
        <v>841</v>
      </c>
      <c r="D397" s="29" t="s">
        <v>841</v>
      </c>
      <c r="E397" s="29" t="s">
        <v>842</v>
      </c>
      <c r="F397" s="29" t="s">
        <v>33</v>
      </c>
      <c r="G397" s="30" t="s">
        <v>34</v>
      </c>
      <c r="H397" s="31">
        <v>3946939.3805722999</v>
      </c>
      <c r="I397" s="31">
        <v>6072736.3805723004</v>
      </c>
      <c r="J397" s="32">
        <v>0.20499999821186099</v>
      </c>
      <c r="K397" s="33">
        <v>45700</v>
      </c>
      <c r="L397" s="31">
        <v>266600</v>
      </c>
      <c r="M397" s="32">
        <v>-3.7</v>
      </c>
      <c r="N397" s="31" t="s">
        <v>35</v>
      </c>
      <c r="O397" s="33">
        <v>45699</v>
      </c>
      <c r="P397" s="34">
        <v>1420536.875</v>
      </c>
      <c r="Q397" s="34">
        <v>899188.1875</v>
      </c>
      <c r="R397" s="34">
        <v>633907.625</v>
      </c>
      <c r="S397" s="29"/>
      <c r="T397" s="33"/>
      <c r="U397" s="35" t="b">
        <v>1</v>
      </c>
      <c r="V397" s="35" t="b">
        <v>0</v>
      </c>
      <c r="W397" s="35" t="b">
        <v>0</v>
      </c>
      <c r="Y397" s="31" cm="1">
        <f t="array" ref="Y397">IF(LEFT(_xll.BDP($C397, VOLUME_AVG_10D), 4) = "#N/A", "",  _xll.BDP($C397, VOLUME_AVG_10D))</f>
        <v>450498.5</v>
      </c>
      <c r="Z397" s="31" cm="1">
        <f t="array" ref="Z397">IF(LEFT(_xll.BDP($C397, VOLUME_AVG_30D), 4) = "#N/A", "",  _xll.BDP($C397, VOLUME_AVG_30D))</f>
        <v>1420536.875</v>
      </c>
      <c r="AA397" s="31" cm="1">
        <f t="array" ref="AA397">IF(LEFT(_xll.BDP($C397, VOLUME_AVG_3M), 4) = "#N/A", "",  _xll.BDP($C397, VOLUME_AVG_3M))</f>
        <v>899188.1875</v>
      </c>
      <c r="AB397" s="31" cm="1">
        <f t="array" ref="AB397">IF(LEFT(_xll.BDP($C397, VOLUME_AVG_6M), 4) = "#N/A", "",  _xll.BDP($C397, VOLUME_AVG_6M))</f>
        <v>633907.625</v>
      </c>
      <c r="AC397" s="31" cm="1">
        <f t="array" ref="AC397">IF(LEFT(_xll.BDP($C397, VOLUME_AVG_12M), 4) = "#N/A", "",  _xll.BDP($C397, VOLUME_AVG_12M))</f>
        <v>510263.96875</v>
      </c>
      <c r="AD397" s="41" cm="1">
        <f t="array" ref="AD397">IF(LEFT(_xll.BDP($C397, LAST_PRICE), 4) = "#N/A", "",  _xll.BDP($C397, LAST_PRICE))</f>
        <v>0.20499999999999999</v>
      </c>
    </row>
    <row r="398" spans="1:30" x14ac:dyDescent="0.35">
      <c r="A398" s="1">
        <f t="shared" si="6"/>
        <v>395</v>
      </c>
      <c r="B398" s="28">
        <v>45700</v>
      </c>
      <c r="C398" s="29" t="s">
        <v>843</v>
      </c>
      <c r="D398" s="29" t="s">
        <v>843</v>
      </c>
      <c r="E398" s="29" t="s">
        <v>844</v>
      </c>
      <c r="F398" s="29" t="s">
        <v>33</v>
      </c>
      <c r="G398" s="30" t="s">
        <v>34</v>
      </c>
      <c r="H398" s="31">
        <v>1366103.78620541</v>
      </c>
      <c r="I398" s="31">
        <v>-8056786.21379459</v>
      </c>
      <c r="J398" s="32">
        <v>0.39300000667571999</v>
      </c>
      <c r="K398" s="33">
        <v>45700</v>
      </c>
      <c r="L398" s="31"/>
      <c r="M398" s="32"/>
      <c r="N398" s="31"/>
      <c r="O398" s="33">
        <v>45699</v>
      </c>
      <c r="P398" s="34">
        <v>687875.3125</v>
      </c>
      <c r="Q398" s="34">
        <v>1070237.375</v>
      </c>
      <c r="R398" s="34">
        <v>842201.125</v>
      </c>
      <c r="S398" s="29"/>
      <c r="T398" s="33"/>
      <c r="U398" s="35" t="b">
        <v>1</v>
      </c>
      <c r="V398" s="35" t="b">
        <v>0</v>
      </c>
      <c r="W398" s="35" t="b">
        <v>1</v>
      </c>
      <c r="Y398" s="31" cm="1">
        <f t="array" ref="Y398">IF(LEFT(_xll.BDP($C398, VOLUME_AVG_10D), 4) = "#N/A", "",  _xll.BDP($C398, VOLUME_AVG_10D))</f>
        <v>199479.59375</v>
      </c>
      <c r="Z398" s="31" cm="1">
        <f t="array" ref="Z398">IF(LEFT(_xll.BDP($C398, VOLUME_AVG_30D), 4) = "#N/A", "",  _xll.BDP($C398, VOLUME_AVG_30D))</f>
        <v>687875.3125</v>
      </c>
      <c r="AA398" s="31" cm="1">
        <f t="array" ref="AA398">IF(LEFT(_xll.BDP($C398, VOLUME_AVG_3M), 4) = "#N/A", "",  _xll.BDP($C398, VOLUME_AVG_3M))</f>
        <v>1070237.375</v>
      </c>
      <c r="AB398" s="31" cm="1">
        <f t="array" ref="AB398">IF(LEFT(_xll.BDP($C398, VOLUME_AVG_6M), 4) = "#N/A", "",  _xll.BDP($C398, VOLUME_AVG_6M))</f>
        <v>842201.125</v>
      </c>
      <c r="AC398" s="31" cm="1">
        <f t="array" ref="AC398">IF(LEFT(_xll.BDP($C398, VOLUME_AVG_12M), 4) = "#N/A", "",  _xll.BDP($C398, VOLUME_AVG_12M))</f>
        <v>814894.3125</v>
      </c>
      <c r="AD398" s="41" cm="1">
        <f t="array" ref="AD398">IF(LEFT(_xll.BDP($C398, LAST_PRICE), 4) = "#N/A", "",  _xll.BDP($C398, LAST_PRICE))</f>
        <v>0.39300000000000002</v>
      </c>
    </row>
    <row r="399" spans="1:30" x14ac:dyDescent="0.35">
      <c r="A399" s="1">
        <f t="shared" si="6"/>
        <v>396</v>
      </c>
      <c r="B399" s="28">
        <v>45700</v>
      </c>
      <c r="C399" s="29" t="s">
        <v>845</v>
      </c>
      <c r="D399" s="29" t="s">
        <v>845</v>
      </c>
      <c r="E399" s="29" t="s">
        <v>846</v>
      </c>
      <c r="F399" s="29" t="s">
        <v>33</v>
      </c>
      <c r="G399" s="30" t="s">
        <v>34</v>
      </c>
      <c r="H399" s="31">
        <v>418580304.61689502</v>
      </c>
      <c r="I399" s="31">
        <v>389077304.61689502</v>
      </c>
      <c r="J399" s="32">
        <v>5.4800000190734899</v>
      </c>
      <c r="K399" s="33">
        <v>45700</v>
      </c>
      <c r="L399" s="31">
        <v>11043400</v>
      </c>
      <c r="M399" s="32">
        <v>3.88</v>
      </c>
      <c r="N399" s="31" t="s">
        <v>35</v>
      </c>
      <c r="O399" s="33">
        <v>45699</v>
      </c>
      <c r="P399" s="34">
        <v>328253.09375</v>
      </c>
      <c r="Q399" s="34">
        <v>592475.75</v>
      </c>
      <c r="R399" s="34">
        <v>794298.8125</v>
      </c>
      <c r="S399" s="29" t="s">
        <v>847</v>
      </c>
      <c r="T399" s="33">
        <v>45446</v>
      </c>
      <c r="U399" s="35" t="b">
        <v>0</v>
      </c>
      <c r="V399" s="35" t="b">
        <v>0</v>
      </c>
      <c r="W399" s="35" t="b">
        <v>0</v>
      </c>
      <c r="Y399" s="31" cm="1">
        <f t="array" ref="Y399">IF(LEFT(_xll.BDP($C399, VOLUME_AVG_10D), 4) = "#N/A", "",  _xll.BDP($C399, VOLUME_AVG_10D))</f>
        <v>276389.5</v>
      </c>
      <c r="Z399" s="31" cm="1">
        <f t="array" ref="Z399">IF(LEFT(_xll.BDP($C399, VOLUME_AVG_30D), 4) = "#N/A", "",  _xll.BDP($C399, VOLUME_AVG_30D))</f>
        <v>328253.09375</v>
      </c>
      <c r="AA399" s="31" cm="1">
        <f t="array" ref="AA399">IF(LEFT(_xll.BDP($C399, VOLUME_AVG_3M), 4) = "#N/A", "",  _xll.BDP($C399, VOLUME_AVG_3M))</f>
        <v>592475.75</v>
      </c>
      <c r="AB399" s="31" cm="1">
        <f t="array" ref="AB399">IF(LEFT(_xll.BDP($C399, VOLUME_AVG_6M), 4) = "#N/A", "",  _xll.BDP($C399, VOLUME_AVG_6M))</f>
        <v>794298.8125</v>
      </c>
      <c r="AC399" s="31" cm="1">
        <f t="array" ref="AC399">IF(LEFT(_xll.BDP($C399, VOLUME_AVG_12M), 4) = "#N/A", "",  _xll.BDP($C399, VOLUME_AVG_12M))</f>
        <v>582702.25</v>
      </c>
      <c r="AD399" s="41" cm="1">
        <f t="array" ref="AD399">IF(LEFT(_xll.BDP($C399, LAST_PRICE), 4) = "#N/A", "",  _xll.BDP($C399, LAST_PRICE))</f>
        <v>5.48</v>
      </c>
    </row>
    <row r="400" spans="1:30" x14ac:dyDescent="0.35">
      <c r="A400" s="1">
        <f t="shared" si="6"/>
        <v>397</v>
      </c>
      <c r="B400" s="28">
        <v>45700</v>
      </c>
      <c r="C400" s="29" t="s">
        <v>848</v>
      </c>
      <c r="D400" s="29" t="s">
        <v>848</v>
      </c>
      <c r="E400" s="29" t="s">
        <v>849</v>
      </c>
      <c r="F400" s="29" t="s">
        <v>33</v>
      </c>
      <c r="G400" s="30" t="s">
        <v>34</v>
      </c>
      <c r="H400" s="31"/>
      <c r="I400" s="31"/>
      <c r="J400" s="32">
        <v>9.9999999747524292E-7</v>
      </c>
      <c r="K400" s="33">
        <v>45700</v>
      </c>
      <c r="L400" s="31"/>
      <c r="M400" s="32"/>
      <c r="N400" s="31"/>
      <c r="O400" s="33">
        <v>45699</v>
      </c>
      <c r="P400" s="34">
        <v>1331513.5</v>
      </c>
      <c r="Q400" s="34">
        <v>729764.625</v>
      </c>
      <c r="R400" s="34">
        <v>444020.875</v>
      </c>
      <c r="S400" s="29"/>
      <c r="T400" s="33"/>
      <c r="U400" s="35" t="b">
        <v>1</v>
      </c>
      <c r="V400" s="35" t="b">
        <v>1</v>
      </c>
      <c r="W400" s="35" t="b">
        <v>1</v>
      </c>
      <c r="Y400" s="31" cm="1">
        <f t="array" ref="Y400">IF(LEFT(_xll.BDP($C400, VOLUME_AVG_10D), 4) = "#N/A", "",  _xll.BDP($C400, VOLUME_AVG_10D))</f>
        <v>300033.40625</v>
      </c>
      <c r="Z400" s="31" cm="1">
        <f t="array" ref="Z400">IF(LEFT(_xll.BDP($C400, VOLUME_AVG_30D), 4) = "#N/A", "",  _xll.BDP($C400, VOLUME_AVG_30D))</f>
        <v>1331513.5</v>
      </c>
      <c r="AA400" s="31" cm="1">
        <f t="array" ref="AA400">IF(LEFT(_xll.BDP($C400, VOLUME_AVG_3M), 4) = "#N/A", "",  _xll.BDP($C400, VOLUME_AVG_3M))</f>
        <v>729764.625</v>
      </c>
      <c r="AB400" s="31" cm="1">
        <f t="array" ref="AB400">IF(LEFT(_xll.BDP($C400, VOLUME_AVG_6M), 4) = "#N/A", "",  _xll.BDP($C400, VOLUME_AVG_6M))</f>
        <v>444020.875</v>
      </c>
      <c r="AC400" s="31" cm="1">
        <f t="array" ref="AC400">IF(LEFT(_xll.BDP($C400, VOLUME_AVG_12M), 4) = "#N/A", "",  _xll.BDP($C400, VOLUME_AVG_12M))</f>
        <v>328060.6875</v>
      </c>
      <c r="AD400" s="41" cm="1">
        <f t="array" ref="AD400">IF(LEFT(_xll.BDP($C400, LAST_PRICE), 4) = "#N/A", "",  _xll.BDP($C400, LAST_PRICE))</f>
        <v>9.9999999999999995E-7</v>
      </c>
    </row>
    <row r="401" spans="1:30" x14ac:dyDescent="0.35">
      <c r="A401" s="1">
        <f t="shared" si="6"/>
        <v>398</v>
      </c>
      <c r="B401" s="28">
        <v>45700</v>
      </c>
      <c r="C401" s="29" t="s">
        <v>850</v>
      </c>
      <c r="D401" s="29" t="s">
        <v>850</v>
      </c>
      <c r="E401" s="29" t="s">
        <v>851</v>
      </c>
      <c r="F401" s="29" t="s">
        <v>33</v>
      </c>
      <c r="G401" s="30" t="s">
        <v>34</v>
      </c>
      <c r="H401" s="31">
        <v>85721828.410623997</v>
      </c>
      <c r="I401" s="31">
        <v>106396828.410624</v>
      </c>
      <c r="J401" s="32">
        <v>2.5299999713897701</v>
      </c>
      <c r="K401" s="33">
        <v>45700</v>
      </c>
      <c r="L401" s="31">
        <v>3037200</v>
      </c>
      <c r="M401" s="32">
        <v>1.45</v>
      </c>
      <c r="N401" s="31" t="s">
        <v>35</v>
      </c>
      <c r="O401" s="33">
        <v>45699</v>
      </c>
      <c r="P401" s="34">
        <v>162719.40625</v>
      </c>
      <c r="Q401" s="34">
        <v>162037.359375</v>
      </c>
      <c r="R401" s="34">
        <v>187168.546875</v>
      </c>
      <c r="S401" s="29"/>
      <c r="T401" s="33"/>
      <c r="U401" s="35" t="b">
        <v>0</v>
      </c>
      <c r="V401" s="35" t="b">
        <v>0</v>
      </c>
      <c r="W401" s="35" t="b">
        <v>0</v>
      </c>
      <c r="Y401" s="31" cm="1">
        <f t="array" ref="Y401">IF(LEFT(_xll.BDP($C401, VOLUME_AVG_10D), 4) = "#N/A", "",  _xll.BDP($C401, VOLUME_AVG_10D))</f>
        <v>123268.203125</v>
      </c>
      <c r="Z401" s="31" cm="1">
        <f t="array" ref="Z401">IF(LEFT(_xll.BDP($C401, VOLUME_AVG_30D), 4) = "#N/A", "",  _xll.BDP($C401, VOLUME_AVG_30D))</f>
        <v>162719.40625</v>
      </c>
      <c r="AA401" s="31" cm="1">
        <f t="array" ref="AA401">IF(LEFT(_xll.BDP($C401, VOLUME_AVG_3M), 4) = "#N/A", "",  _xll.BDP($C401, VOLUME_AVG_3M))</f>
        <v>162037.359375</v>
      </c>
      <c r="AB401" s="31" cm="1">
        <f t="array" ref="AB401">IF(LEFT(_xll.BDP($C401, VOLUME_AVG_6M), 4) = "#N/A", "",  _xll.BDP($C401, VOLUME_AVG_6M))</f>
        <v>187168.546875</v>
      </c>
      <c r="AC401" s="31" cm="1">
        <f t="array" ref="AC401">IF(LEFT(_xll.BDP($C401, VOLUME_AVG_12M), 4) = "#N/A", "",  _xll.BDP($C401, VOLUME_AVG_12M))</f>
        <v>153188.390625</v>
      </c>
      <c r="AD401" s="41" cm="1">
        <f t="array" ref="AD401">IF(LEFT(_xll.BDP($C401, LAST_PRICE), 4) = "#N/A", "",  _xll.BDP($C401, LAST_PRICE))</f>
        <v>2.5299999999999998</v>
      </c>
    </row>
    <row r="402" spans="1:30" x14ac:dyDescent="0.35">
      <c r="A402" s="1">
        <f t="shared" si="6"/>
        <v>399</v>
      </c>
      <c r="B402" s="28">
        <v>45700</v>
      </c>
      <c r="C402" s="29" t="s">
        <v>852</v>
      </c>
      <c r="D402" s="29" t="s">
        <v>852</v>
      </c>
      <c r="E402" s="29" t="s">
        <v>853</v>
      </c>
      <c r="F402" s="29" t="s">
        <v>33</v>
      </c>
      <c r="G402" s="30" t="s">
        <v>34</v>
      </c>
      <c r="H402" s="31">
        <v>256829940.94510999</v>
      </c>
      <c r="I402" s="31">
        <v>133386940.94510999</v>
      </c>
      <c r="J402" s="32">
        <v>23.465000152587901</v>
      </c>
      <c r="K402" s="33">
        <v>45700</v>
      </c>
      <c r="L402" s="31">
        <v>315300</v>
      </c>
      <c r="M402" s="32">
        <v>3.85</v>
      </c>
      <c r="N402" s="31" t="s">
        <v>35</v>
      </c>
      <c r="O402" s="33">
        <v>45699</v>
      </c>
      <c r="P402" s="34">
        <v>116502.6640625</v>
      </c>
      <c r="Q402" s="34">
        <v>94078.3515625</v>
      </c>
      <c r="R402" s="34">
        <v>56494.71484375</v>
      </c>
      <c r="S402" s="29" t="s">
        <v>353</v>
      </c>
      <c r="T402" s="33">
        <v>45446</v>
      </c>
      <c r="U402" s="35" t="b">
        <v>0</v>
      </c>
      <c r="V402" s="35" t="b">
        <v>0</v>
      </c>
      <c r="W402" s="35" t="b">
        <v>0</v>
      </c>
      <c r="Y402" s="31" cm="1">
        <f t="array" ref="Y402">IF(LEFT(_xll.BDP($C402, VOLUME_AVG_10D), 4) = "#N/A", "",  _xll.BDP($C402, VOLUME_AVG_10D))</f>
        <v>87374.203125</v>
      </c>
      <c r="Z402" s="31" cm="1">
        <f t="array" ref="Z402">IF(LEFT(_xll.BDP($C402, VOLUME_AVG_30D), 4) = "#N/A", "",  _xll.BDP($C402, VOLUME_AVG_30D))</f>
        <v>116502.6640625</v>
      </c>
      <c r="AA402" s="31" cm="1">
        <f t="array" ref="AA402">IF(LEFT(_xll.BDP($C402, VOLUME_AVG_3M), 4) = "#N/A", "",  _xll.BDP($C402, VOLUME_AVG_3M))</f>
        <v>94078.3515625</v>
      </c>
      <c r="AB402" s="31" cm="1">
        <f t="array" ref="AB402">IF(LEFT(_xll.BDP($C402, VOLUME_AVG_6M), 4) = "#N/A", "",  _xll.BDP($C402, VOLUME_AVG_6M))</f>
        <v>56494.71484375</v>
      </c>
      <c r="AC402" s="31" cm="1">
        <f t="array" ref="AC402">IF(LEFT(_xll.BDP($C402, VOLUME_AVG_12M), 4) = "#N/A", "",  _xll.BDP($C402, VOLUME_AVG_12M))</f>
        <v>53672.453125</v>
      </c>
      <c r="AD402" s="41" cm="1">
        <f t="array" ref="AD402">IF(LEFT(_xll.BDP($C402, LAST_PRICE), 4) = "#N/A", "",  _xll.BDP($C402, LAST_PRICE))</f>
        <v>23.465</v>
      </c>
    </row>
    <row r="403" spans="1:30" x14ac:dyDescent="0.35">
      <c r="A403" s="1">
        <f t="shared" si="6"/>
        <v>400</v>
      </c>
      <c r="B403" s="28">
        <v>45700</v>
      </c>
      <c r="C403" s="29" t="s">
        <v>854</v>
      </c>
      <c r="D403" s="29" t="s">
        <v>854</v>
      </c>
      <c r="E403" s="29" t="s">
        <v>855</v>
      </c>
      <c r="F403" s="29" t="s">
        <v>33</v>
      </c>
      <c r="G403" s="30" t="s">
        <v>34</v>
      </c>
      <c r="H403" s="31">
        <v>14519293.098731499</v>
      </c>
      <c r="I403" s="31">
        <v>17977118.098731499</v>
      </c>
      <c r="J403" s="32">
        <v>4.5199999809265101</v>
      </c>
      <c r="K403" s="33">
        <v>45700</v>
      </c>
      <c r="L403" s="31">
        <v>40800</v>
      </c>
      <c r="M403" s="32">
        <v>-22.65</v>
      </c>
      <c r="N403" s="31" t="s">
        <v>35</v>
      </c>
      <c r="O403" s="33">
        <v>45699</v>
      </c>
      <c r="P403" s="34">
        <v>189982.03125</v>
      </c>
      <c r="Q403" s="34">
        <v>155266.1875</v>
      </c>
      <c r="R403" s="34">
        <v>2067558.875</v>
      </c>
      <c r="S403" s="29"/>
      <c r="T403" s="33"/>
      <c r="U403" s="35" t="b">
        <v>1</v>
      </c>
      <c r="V403" s="35" t="b">
        <v>0</v>
      </c>
      <c r="W403" s="35" t="b">
        <v>0</v>
      </c>
      <c r="Y403" s="31" cm="1">
        <f t="array" ref="Y403">IF(LEFT(_xll.BDP($C403, VOLUME_AVG_10D), 4) = "#N/A", "",  _xll.BDP($C403, VOLUME_AVG_10D))</f>
        <v>136183.09375</v>
      </c>
      <c r="Z403" s="31" cm="1">
        <f t="array" ref="Z403">IF(LEFT(_xll.BDP($C403, VOLUME_AVG_30D), 4) = "#N/A", "",  _xll.BDP($C403, VOLUME_AVG_30D))</f>
        <v>189982.03125</v>
      </c>
      <c r="AA403" s="31" cm="1">
        <f t="array" ref="AA403">IF(LEFT(_xll.BDP($C403, VOLUME_AVG_3M), 4) = "#N/A", "",  _xll.BDP($C403, VOLUME_AVG_3M))</f>
        <v>155266.1875</v>
      </c>
      <c r="AB403" s="31" cm="1">
        <f t="array" ref="AB403">IF(LEFT(_xll.BDP($C403, VOLUME_AVG_6M), 4) = "#N/A", "",  _xll.BDP($C403, VOLUME_AVG_6M))</f>
        <v>2067558.875</v>
      </c>
      <c r="AC403" s="31" cm="1">
        <f t="array" ref="AC403">IF(LEFT(_xll.BDP($C403, VOLUME_AVG_12M), 4) = "#N/A", "",  _xll.BDP($C403, VOLUME_AVG_12M))</f>
        <v>1055652.875</v>
      </c>
      <c r="AD403" s="41" cm="1">
        <f t="array" ref="AD403">IF(LEFT(_xll.BDP($C403, LAST_PRICE), 4) = "#N/A", "",  _xll.BDP($C403, LAST_PRICE))</f>
        <v>4.5199999999999996</v>
      </c>
    </row>
    <row r="404" spans="1:30" x14ac:dyDescent="0.35">
      <c r="A404" s="1">
        <f t="shared" si="6"/>
        <v>401</v>
      </c>
      <c r="B404" s="28">
        <v>45700</v>
      </c>
      <c r="C404" s="29" t="s">
        <v>856</v>
      </c>
      <c r="D404" s="29" t="s">
        <v>856</v>
      </c>
      <c r="E404" s="29" t="s">
        <v>857</v>
      </c>
      <c r="F404" s="29" t="s">
        <v>40</v>
      </c>
      <c r="G404" s="30" t="s">
        <v>41</v>
      </c>
      <c r="H404" s="31">
        <v>333938803.88074899</v>
      </c>
      <c r="I404" s="31">
        <v>265373839.526887</v>
      </c>
      <c r="J404" s="32">
        <v>13.050000190734901</v>
      </c>
      <c r="K404" s="33">
        <v>45700</v>
      </c>
      <c r="L404" s="31">
        <v>107500</v>
      </c>
      <c r="M404" s="32">
        <v>-0.25</v>
      </c>
      <c r="N404" s="31" t="s">
        <v>35</v>
      </c>
      <c r="O404" s="33">
        <v>45699</v>
      </c>
      <c r="P404" s="34">
        <v>64290.8</v>
      </c>
      <c r="Q404" s="34">
        <v>78622.59</v>
      </c>
      <c r="R404" s="34">
        <v>108233.2</v>
      </c>
      <c r="S404" s="29"/>
      <c r="T404" s="33"/>
      <c r="U404" s="35" t="b">
        <v>0</v>
      </c>
      <c r="V404" s="35" t="b">
        <v>0</v>
      </c>
      <c r="W404" s="35" t="b">
        <v>0</v>
      </c>
      <c r="Y404" s="31" cm="1">
        <f t="array" ref="Y404">IF(LEFT(_xll.BDP($C404, VOLUME_AVG_10D), 4) = "#N/A", "",  _xll.BDP($C404, VOLUME_AVG_10D))</f>
        <v>66840.399999999994</v>
      </c>
      <c r="Z404" s="31" cm="1">
        <f t="array" ref="Z404">IF(LEFT(_xll.BDP($C404, VOLUME_AVG_30D), 4) = "#N/A", "",  _xll.BDP($C404, VOLUME_AVG_30D))</f>
        <v>64290.8</v>
      </c>
      <c r="AA404" s="31" cm="1">
        <f t="array" ref="AA404">IF(LEFT(_xll.BDP($C404, VOLUME_AVG_3M), 4) = "#N/A", "",  _xll.BDP($C404, VOLUME_AVG_3M))</f>
        <v>78622.59</v>
      </c>
      <c r="AB404" s="31" cm="1">
        <f t="array" ref="AB404">IF(LEFT(_xll.BDP($C404, VOLUME_AVG_6M), 4) = "#N/A", "",  _xll.BDP($C404, VOLUME_AVG_6M))</f>
        <v>108233.2</v>
      </c>
      <c r="AC404" s="31" cm="1">
        <f t="array" ref="AC404">IF(LEFT(_xll.BDP($C404, VOLUME_AVG_12M), 4) = "#N/A", "",  _xll.BDP($C404, VOLUME_AVG_12M))</f>
        <v>89599.11</v>
      </c>
      <c r="AD404" s="41" cm="1">
        <f t="array" ref="AD404">IF(LEFT(_xll.BDP($C404, LAST_PRICE), 4) = "#N/A", "",  _xll.BDP($C404, LAST_PRICE))</f>
        <v>13.05</v>
      </c>
    </row>
    <row r="405" spans="1:30" x14ac:dyDescent="0.35">
      <c r="A405" s="1">
        <f t="shared" si="6"/>
        <v>402</v>
      </c>
      <c r="B405" s="28">
        <v>45700</v>
      </c>
      <c r="C405" s="29" t="s">
        <v>858</v>
      </c>
      <c r="D405" s="29" t="s">
        <v>858</v>
      </c>
      <c r="E405" s="29" t="s">
        <v>859</v>
      </c>
      <c r="F405" s="29" t="s">
        <v>33</v>
      </c>
      <c r="G405" s="30" t="s">
        <v>34</v>
      </c>
      <c r="H405" s="31">
        <v>88009455.824753806</v>
      </c>
      <c r="I405" s="31">
        <v>87976709.824753806</v>
      </c>
      <c r="J405" s="32">
        <v>1.2300000190734901</v>
      </c>
      <c r="K405" s="33">
        <v>45700</v>
      </c>
      <c r="L405" s="31">
        <v>200</v>
      </c>
      <c r="M405" s="32">
        <v>-189.25</v>
      </c>
      <c r="N405" s="31" t="s">
        <v>35</v>
      </c>
      <c r="O405" s="33">
        <v>45699</v>
      </c>
      <c r="P405" s="34">
        <v>128114.6015625</v>
      </c>
      <c r="Q405" s="34">
        <v>1919980.75</v>
      </c>
      <c r="R405" s="34">
        <v>1051657.5</v>
      </c>
      <c r="S405" s="29"/>
      <c r="T405" s="33"/>
      <c r="U405" s="35" t="b">
        <v>0</v>
      </c>
      <c r="V405" s="35" t="b">
        <v>0</v>
      </c>
      <c r="W405" s="35" t="b">
        <v>0</v>
      </c>
      <c r="Y405" s="31" cm="1">
        <f t="array" ref="Y405">IF(LEFT(_xll.BDP($C405, VOLUME_AVG_10D), 4) = "#N/A", "",  _xll.BDP($C405, VOLUME_AVG_10D))</f>
        <v>48729.5</v>
      </c>
      <c r="Z405" s="31" cm="1">
        <f t="array" ref="Z405">IF(LEFT(_xll.BDP($C405, VOLUME_AVG_30D), 4) = "#N/A", "",  _xll.BDP($C405, VOLUME_AVG_30D))</f>
        <v>128114.6015625</v>
      </c>
      <c r="AA405" s="31" cm="1">
        <f t="array" ref="AA405">IF(LEFT(_xll.BDP($C405, VOLUME_AVG_3M), 4) = "#N/A", "",  _xll.BDP($C405, VOLUME_AVG_3M))</f>
        <v>1919980.75</v>
      </c>
      <c r="AB405" s="31" cm="1">
        <f t="array" ref="AB405">IF(LEFT(_xll.BDP($C405, VOLUME_AVG_6M), 4) = "#N/A", "",  _xll.BDP($C405, VOLUME_AVG_6M))</f>
        <v>1051657.5</v>
      </c>
      <c r="AC405" s="31" cm="1">
        <f t="array" ref="AC405">IF(LEFT(_xll.BDP($C405, VOLUME_AVG_12M), 4) = "#N/A", "",  _xll.BDP($C405, VOLUME_AVG_12M))</f>
        <v>546352.125</v>
      </c>
      <c r="AD405" s="41" cm="1">
        <f t="array" ref="AD405">IF(LEFT(_xll.BDP($C405, LAST_PRICE), 4) = "#N/A", "",  _xll.BDP($C405, LAST_PRICE))</f>
        <v>1.23</v>
      </c>
    </row>
    <row r="406" spans="1:30" x14ac:dyDescent="0.35">
      <c r="A406" s="1">
        <f t="shared" si="6"/>
        <v>403</v>
      </c>
      <c r="B406" s="28">
        <v>45700</v>
      </c>
      <c r="C406" s="29" t="s">
        <v>860</v>
      </c>
      <c r="D406" s="29" t="s">
        <v>860</v>
      </c>
      <c r="E406" s="29" t="s">
        <v>861</v>
      </c>
      <c r="F406" s="29" t="s">
        <v>33</v>
      </c>
      <c r="G406" s="30" t="s">
        <v>34</v>
      </c>
      <c r="H406" s="31">
        <v>22514793.476559602</v>
      </c>
      <c r="I406" s="31">
        <v>23550158.476559602</v>
      </c>
      <c r="J406" s="32">
        <v>2.6199998855590798</v>
      </c>
      <c r="K406" s="33">
        <v>45700</v>
      </c>
      <c r="L406" s="31">
        <v>161400</v>
      </c>
      <c r="M406" s="32">
        <v>-5.6</v>
      </c>
      <c r="N406" s="31" t="s">
        <v>35</v>
      </c>
      <c r="O406" s="33">
        <v>45699</v>
      </c>
      <c r="P406" s="34">
        <v>148372.40625</v>
      </c>
      <c r="Q406" s="34">
        <v>288186.375</v>
      </c>
      <c r="R406" s="34">
        <v>163617.203125</v>
      </c>
      <c r="S406" s="29" t="s">
        <v>353</v>
      </c>
      <c r="T406" s="33">
        <v>45446</v>
      </c>
      <c r="U406" s="35" t="b">
        <v>0</v>
      </c>
      <c r="V406" s="35" t="b">
        <v>0</v>
      </c>
      <c r="W406" s="35" t="b">
        <v>0</v>
      </c>
      <c r="Y406" s="31" cm="1">
        <f t="array" ref="Y406">IF(LEFT(_xll.BDP($C406, VOLUME_AVG_10D), 4) = "#N/A", "",  _xll.BDP($C406, VOLUME_AVG_10D))</f>
        <v>79133</v>
      </c>
      <c r="Z406" s="31" cm="1">
        <f t="array" ref="Z406">IF(LEFT(_xll.BDP($C406, VOLUME_AVG_30D), 4) = "#N/A", "",  _xll.BDP($C406, VOLUME_AVG_30D))</f>
        <v>148372.40625</v>
      </c>
      <c r="AA406" s="31" cm="1">
        <f t="array" ref="AA406">IF(LEFT(_xll.BDP($C406, VOLUME_AVG_3M), 4) = "#N/A", "",  _xll.BDP($C406, VOLUME_AVG_3M))</f>
        <v>288186.375</v>
      </c>
      <c r="AB406" s="31" cm="1">
        <f t="array" ref="AB406">IF(LEFT(_xll.BDP($C406, VOLUME_AVG_6M), 4) = "#N/A", "",  _xll.BDP($C406, VOLUME_AVG_6M))</f>
        <v>163617.203125</v>
      </c>
      <c r="AC406" s="31" cm="1">
        <f t="array" ref="AC406">IF(LEFT(_xll.BDP($C406, VOLUME_AVG_12M), 4) = "#N/A", "",  _xll.BDP($C406, VOLUME_AVG_12M))</f>
        <v>117075.0546875</v>
      </c>
      <c r="AD406" s="41" cm="1">
        <f t="array" ref="AD406">IF(LEFT(_xll.BDP($C406, LAST_PRICE), 4) = "#N/A", "",  _xll.BDP($C406, LAST_PRICE))</f>
        <v>2.62</v>
      </c>
    </row>
    <row r="407" spans="1:30" x14ac:dyDescent="0.35">
      <c r="A407" s="1">
        <f t="shared" si="6"/>
        <v>404</v>
      </c>
      <c r="B407" s="28">
        <v>45700</v>
      </c>
      <c r="C407" s="29" t="s">
        <v>862</v>
      </c>
      <c r="D407" s="29" t="s">
        <v>862</v>
      </c>
      <c r="E407" s="29" t="s">
        <v>863</v>
      </c>
      <c r="F407" s="29" t="s">
        <v>40</v>
      </c>
      <c r="G407" s="30" t="s">
        <v>41</v>
      </c>
      <c r="H407" s="31">
        <v>2284067.3139471202</v>
      </c>
      <c r="I407" s="31">
        <v>3752156.3139471202</v>
      </c>
      <c r="J407" s="32">
        <v>4.9999998882412902E-3</v>
      </c>
      <c r="K407" s="33">
        <v>45700</v>
      </c>
      <c r="L407" s="31"/>
      <c r="M407" s="32"/>
      <c r="N407" s="31"/>
      <c r="O407" s="33">
        <v>45699</v>
      </c>
      <c r="P407" s="34">
        <v>328078.09999999998</v>
      </c>
      <c r="Q407" s="34">
        <v>337927.9</v>
      </c>
      <c r="R407" s="34">
        <v>544695.69999999995</v>
      </c>
      <c r="S407" s="29"/>
      <c r="T407" s="33"/>
      <c r="U407" s="35" t="b">
        <v>1</v>
      </c>
      <c r="V407" s="35" t="b">
        <v>1</v>
      </c>
      <c r="W407" s="35" t="b">
        <v>0</v>
      </c>
      <c r="Y407" s="31" cm="1">
        <f t="array" ref="Y407">IF(LEFT(_xll.BDP($C407, VOLUME_AVG_10D), 4) = "#N/A", "",  _xll.BDP($C407, VOLUME_AVG_10D))</f>
        <v>143064.1</v>
      </c>
      <c r="Z407" s="31" cm="1">
        <f t="array" ref="Z407">IF(LEFT(_xll.BDP($C407, VOLUME_AVG_30D), 4) = "#N/A", "",  _xll.BDP($C407, VOLUME_AVG_30D))</f>
        <v>328078.09999999998</v>
      </c>
      <c r="AA407" s="31" cm="1">
        <f t="array" ref="AA407">IF(LEFT(_xll.BDP($C407, VOLUME_AVG_3M), 4) = "#N/A", "",  _xll.BDP($C407, VOLUME_AVG_3M))</f>
        <v>337927.9</v>
      </c>
      <c r="AB407" s="31" cm="1">
        <f t="array" ref="AB407">IF(LEFT(_xll.BDP($C407, VOLUME_AVG_6M), 4) = "#N/A", "",  _xll.BDP($C407, VOLUME_AVG_6M))</f>
        <v>544695.69999999995</v>
      </c>
      <c r="AC407" s="31" cm="1">
        <f t="array" ref="AC407">IF(LEFT(_xll.BDP($C407, VOLUME_AVG_12M), 4) = "#N/A", "",  _xll.BDP($C407, VOLUME_AVG_12M))</f>
        <v>304465.8</v>
      </c>
      <c r="AD407" s="41" cm="1">
        <f t="array" ref="AD407">IF(LEFT(_xll.BDP($C407, LAST_PRICE), 4) = "#N/A", "",  _xll.BDP($C407, LAST_PRICE))</f>
        <v>5.0000000000000001E-3</v>
      </c>
    </row>
    <row r="408" spans="1:30" x14ac:dyDescent="0.35">
      <c r="A408" s="1">
        <f t="shared" si="6"/>
        <v>405</v>
      </c>
      <c r="B408" s="28">
        <v>45700</v>
      </c>
      <c r="C408" s="29" t="s">
        <v>864</v>
      </c>
      <c r="D408" s="29" t="s">
        <v>864</v>
      </c>
      <c r="E408" s="29" t="s">
        <v>865</v>
      </c>
      <c r="F408" s="29" t="s">
        <v>33</v>
      </c>
      <c r="G408" s="30" t="s">
        <v>34</v>
      </c>
      <c r="H408" s="31">
        <v>16235.164971128899</v>
      </c>
      <c r="I408" s="31">
        <v>34908896.164971098</v>
      </c>
      <c r="J408" s="32">
        <v>6.00000028498471E-4</v>
      </c>
      <c r="K408" s="33">
        <v>45700</v>
      </c>
      <c r="L408" s="31"/>
      <c r="M408" s="32"/>
      <c r="N408" s="31"/>
      <c r="O408" s="33">
        <v>45699</v>
      </c>
      <c r="P408" s="34">
        <v>485.73333740234398</v>
      </c>
      <c r="Q408" s="34">
        <v>865.12902832031295</v>
      </c>
      <c r="R408" s="34">
        <v>1033.33337402344</v>
      </c>
      <c r="S408" s="29"/>
      <c r="T408" s="33"/>
      <c r="U408" s="35" t="b">
        <v>1</v>
      </c>
      <c r="V408" s="35" t="b">
        <v>1</v>
      </c>
      <c r="W408" s="35" t="b">
        <v>0</v>
      </c>
      <c r="Y408" s="31" cm="1">
        <f t="array" ref="Y408">IF(LEFT(_xll.BDP($C408, VOLUME_AVG_10D), 4) = "#N/A", "",  _xll.BDP($C408, VOLUME_AVG_10D))</f>
        <v>23</v>
      </c>
      <c r="Z408" s="31" cm="1">
        <f t="array" ref="Z408">IF(LEFT(_xll.BDP($C408, VOLUME_AVG_30D), 4) = "#N/A", "",  _xll.BDP($C408, VOLUME_AVG_30D))</f>
        <v>485.73333740234375</v>
      </c>
      <c r="AA408" s="31" cm="1">
        <f t="array" ref="AA408">IF(LEFT(_xll.BDP($C408, VOLUME_AVG_3M), 4) = "#N/A", "",  _xll.BDP($C408, VOLUME_AVG_3M))</f>
        <v>865.1290283203125</v>
      </c>
      <c r="AB408" s="31" cm="1">
        <f t="array" ref="AB408">IF(LEFT(_xll.BDP($C408, VOLUME_AVG_6M), 4) = "#N/A", "",  _xll.BDP($C408, VOLUME_AVG_6M))</f>
        <v>1033.3333740234375</v>
      </c>
      <c r="AC408" s="31" cm="1">
        <f t="array" ref="AC408">IF(LEFT(_xll.BDP($C408, VOLUME_AVG_12M), 4) = "#N/A", "",  _xll.BDP($C408, VOLUME_AVG_12M))</f>
        <v>5568.62548828125</v>
      </c>
      <c r="AD408" s="41" cm="1">
        <f t="array" ref="AD408">IF(LEFT(_xll.BDP($C408, LAST_PRICE), 4) = "#N/A", "",  _xll.BDP($C408, LAST_PRICE))</f>
        <v>5.9999999999999995E-4</v>
      </c>
    </row>
    <row r="409" spans="1:30" x14ac:dyDescent="0.35">
      <c r="A409" s="1">
        <f t="shared" si="6"/>
        <v>406</v>
      </c>
      <c r="B409" s="28">
        <v>45700</v>
      </c>
      <c r="C409" s="29" t="s">
        <v>866</v>
      </c>
      <c r="D409" s="29" t="s">
        <v>866</v>
      </c>
      <c r="E409" s="29" t="s">
        <v>867</v>
      </c>
      <c r="F409" s="29" t="s">
        <v>33</v>
      </c>
      <c r="G409" s="30" t="s">
        <v>34</v>
      </c>
      <c r="H409" s="31">
        <v>6013912.1176340599</v>
      </c>
      <c r="I409" s="31">
        <v>-1942928.34397671</v>
      </c>
      <c r="J409" s="32">
        <v>1.4099999666214</v>
      </c>
      <c r="K409" s="33">
        <v>45700</v>
      </c>
      <c r="L409" s="31">
        <v>196800</v>
      </c>
      <c r="M409" s="32">
        <v>-84.75</v>
      </c>
      <c r="N409" s="31" t="s">
        <v>35</v>
      </c>
      <c r="O409" s="33">
        <v>45699</v>
      </c>
      <c r="P409" s="34">
        <v>202273.359375</v>
      </c>
      <c r="Q409" s="34">
        <v>1008341.875</v>
      </c>
      <c r="R409" s="34">
        <v>689364.4375</v>
      </c>
      <c r="S409" s="29"/>
      <c r="T409" s="33"/>
      <c r="U409" s="35" t="b">
        <v>1</v>
      </c>
      <c r="V409" s="35" t="b">
        <v>0</v>
      </c>
      <c r="W409" s="35" t="b">
        <v>1</v>
      </c>
      <c r="Y409" s="31" cm="1">
        <f t="array" ref="Y409">IF(LEFT(_xll.BDP($C409, VOLUME_AVG_10D), 4) = "#N/A", "",  _xll.BDP($C409, VOLUME_AVG_10D))</f>
        <v>104307.1015625</v>
      </c>
      <c r="Z409" s="31" cm="1">
        <f t="array" ref="Z409">IF(LEFT(_xll.BDP($C409, VOLUME_AVG_30D), 4) = "#N/A", "",  _xll.BDP($C409, VOLUME_AVG_30D))</f>
        <v>202273.359375</v>
      </c>
      <c r="AA409" s="31" cm="1">
        <f t="array" ref="AA409">IF(LEFT(_xll.BDP($C409, VOLUME_AVG_3M), 4) = "#N/A", "",  _xll.BDP($C409, VOLUME_AVG_3M))</f>
        <v>1008341.875</v>
      </c>
      <c r="AB409" s="31" cm="1">
        <f t="array" ref="AB409">IF(LEFT(_xll.BDP($C409, VOLUME_AVG_6M), 4) = "#N/A", "",  _xll.BDP($C409, VOLUME_AVG_6M))</f>
        <v>689364.4375</v>
      </c>
      <c r="AC409" s="31" cm="1">
        <f t="array" ref="AC409">IF(LEFT(_xll.BDP($C409, VOLUME_AVG_12M), 4) = "#N/A", "",  _xll.BDP($C409, VOLUME_AVG_12M))</f>
        <v>1139368</v>
      </c>
      <c r="AD409" s="41" cm="1">
        <f t="array" ref="AD409">IF(LEFT(_xll.BDP($C409, LAST_PRICE), 4) = "#N/A", "",  _xll.BDP($C409, LAST_PRICE))</f>
        <v>1.41</v>
      </c>
    </row>
    <row r="410" spans="1:30" x14ac:dyDescent="0.35">
      <c r="A410" s="1">
        <f t="shared" si="6"/>
        <v>407</v>
      </c>
      <c r="B410" s="28">
        <v>45700</v>
      </c>
      <c r="C410" s="29" t="s">
        <v>868</v>
      </c>
      <c r="D410" s="29" t="s">
        <v>868</v>
      </c>
      <c r="E410" s="29" t="s">
        <v>869</v>
      </c>
      <c r="F410" s="29" t="s">
        <v>33</v>
      </c>
      <c r="G410" s="30" t="s">
        <v>34</v>
      </c>
      <c r="H410" s="31">
        <v>497352141.91091001</v>
      </c>
      <c r="I410" s="31">
        <v>479473141.91091001</v>
      </c>
      <c r="J410" s="32">
        <v>18.030000686645501</v>
      </c>
      <c r="K410" s="33">
        <v>45700</v>
      </c>
      <c r="L410" s="31">
        <v>3054900</v>
      </c>
      <c r="M410" s="32">
        <v>3.88</v>
      </c>
      <c r="N410" s="31" t="s">
        <v>35</v>
      </c>
      <c r="O410" s="33">
        <v>45699</v>
      </c>
      <c r="P410" s="34">
        <v>211373.59375</v>
      </c>
      <c r="Q410" s="34">
        <v>224345.78125</v>
      </c>
      <c r="R410" s="34">
        <v>216921.8125</v>
      </c>
      <c r="S410" s="29"/>
      <c r="T410" s="33"/>
      <c r="U410" s="35" t="b">
        <v>0</v>
      </c>
      <c r="V410" s="35" t="b">
        <v>0</v>
      </c>
      <c r="W410" s="35" t="b">
        <v>0</v>
      </c>
      <c r="Y410" s="31" cm="1">
        <f t="array" ref="Y410">IF(LEFT(_xll.BDP($C410, VOLUME_AVG_10D), 4) = "#N/A", "",  _xll.BDP($C410, VOLUME_AVG_10D))</f>
        <v>158035.203125</v>
      </c>
      <c r="Z410" s="31" cm="1">
        <f t="array" ref="Z410">IF(LEFT(_xll.BDP($C410, VOLUME_AVG_30D), 4) = "#N/A", "",  _xll.BDP($C410, VOLUME_AVG_30D))</f>
        <v>211373.59375</v>
      </c>
      <c r="AA410" s="31" cm="1">
        <f t="array" ref="AA410">IF(LEFT(_xll.BDP($C410, VOLUME_AVG_3M), 4) = "#N/A", "",  _xll.BDP($C410, VOLUME_AVG_3M))</f>
        <v>224345.78125</v>
      </c>
      <c r="AB410" s="31" cm="1">
        <f t="array" ref="AB410">IF(LEFT(_xll.BDP($C410, VOLUME_AVG_6M), 4) = "#N/A", "",  _xll.BDP($C410, VOLUME_AVG_6M))</f>
        <v>216921.8125</v>
      </c>
      <c r="AC410" s="31" cm="1">
        <f t="array" ref="AC410">IF(LEFT(_xll.BDP($C410, VOLUME_AVG_12M), 4) = "#N/A", "",  _xll.BDP($C410, VOLUME_AVG_12M))</f>
        <v>204773.125</v>
      </c>
      <c r="AD410" s="41" cm="1">
        <f t="array" ref="AD410">IF(LEFT(_xll.BDP($C410, LAST_PRICE), 4) = "#N/A", "",  _xll.BDP($C410, LAST_PRICE))</f>
        <v>18.03</v>
      </c>
    </row>
    <row r="411" spans="1:30" x14ac:dyDescent="0.35">
      <c r="A411" s="1">
        <f t="shared" si="6"/>
        <v>408</v>
      </c>
      <c r="B411" s="28">
        <v>45700</v>
      </c>
      <c r="C411" s="29" t="s">
        <v>870</v>
      </c>
      <c r="D411" s="29" t="s">
        <v>870</v>
      </c>
      <c r="E411" s="29" t="s">
        <v>871</v>
      </c>
      <c r="F411" s="29" t="s">
        <v>33</v>
      </c>
      <c r="G411" s="30" t="s">
        <v>34</v>
      </c>
      <c r="H411" s="31">
        <v>78118806.9500999</v>
      </c>
      <c r="I411" s="31">
        <v>55312806.9500999</v>
      </c>
      <c r="J411" s="32">
        <v>1.0299999713897701</v>
      </c>
      <c r="K411" s="33">
        <v>45700</v>
      </c>
      <c r="L411" s="31">
        <v>5643500</v>
      </c>
      <c r="M411" s="32">
        <v>3.6</v>
      </c>
      <c r="N411" s="31" t="s">
        <v>35</v>
      </c>
      <c r="O411" s="33">
        <v>45699</v>
      </c>
      <c r="P411" s="34">
        <v>204548.359375</v>
      </c>
      <c r="Q411" s="34">
        <v>254924.921875</v>
      </c>
      <c r="R411" s="34">
        <v>502311.46875</v>
      </c>
      <c r="S411" s="29"/>
      <c r="T411" s="33"/>
      <c r="U411" s="35" t="b">
        <v>0</v>
      </c>
      <c r="V411" s="35" t="b">
        <v>0</v>
      </c>
      <c r="W411" s="35" t="b">
        <v>0</v>
      </c>
      <c r="Y411" s="31" cm="1">
        <f t="array" ref="Y411">IF(LEFT(_xll.BDP($C411, VOLUME_AVG_10D), 4) = "#N/A", "",  _xll.BDP($C411, VOLUME_AVG_10D))</f>
        <v>242289</v>
      </c>
      <c r="Z411" s="31" cm="1">
        <f t="array" ref="Z411">IF(LEFT(_xll.BDP($C411, VOLUME_AVG_30D), 4) = "#N/A", "",  _xll.BDP($C411, VOLUME_AVG_30D))</f>
        <v>204548.359375</v>
      </c>
      <c r="AA411" s="31" cm="1">
        <f t="array" ref="AA411">IF(LEFT(_xll.BDP($C411, VOLUME_AVG_3M), 4) = "#N/A", "",  _xll.BDP($C411, VOLUME_AVG_3M))</f>
        <v>254924.921875</v>
      </c>
      <c r="AB411" s="31" cm="1">
        <f t="array" ref="AB411">IF(LEFT(_xll.BDP($C411, VOLUME_AVG_6M), 4) = "#N/A", "",  _xll.BDP($C411, VOLUME_AVG_6M))</f>
        <v>502311.46875</v>
      </c>
      <c r="AC411" s="31" cm="1">
        <f t="array" ref="AC411">IF(LEFT(_xll.BDP($C411, VOLUME_AVG_12M), 4) = "#N/A", "",  _xll.BDP($C411, VOLUME_AVG_12M))</f>
        <v>392067.40625</v>
      </c>
      <c r="AD411" s="41" cm="1">
        <f t="array" ref="AD411">IF(LEFT(_xll.BDP($C411, LAST_PRICE), 4) = "#N/A", "",  _xll.BDP($C411, LAST_PRICE))</f>
        <v>1.03</v>
      </c>
    </row>
    <row r="412" spans="1:30" x14ac:dyDescent="0.35">
      <c r="A412" s="1">
        <f t="shared" si="6"/>
        <v>409</v>
      </c>
      <c r="B412" s="28">
        <v>45700</v>
      </c>
      <c r="C412" s="29" t="s">
        <v>872</v>
      </c>
      <c r="D412" s="29" t="s">
        <v>872</v>
      </c>
      <c r="E412" s="29" t="s">
        <v>873</v>
      </c>
      <c r="F412" s="29" t="s">
        <v>33</v>
      </c>
      <c r="G412" s="30" t="s">
        <v>34</v>
      </c>
      <c r="H412" s="31">
        <v>37944106.613340802</v>
      </c>
      <c r="I412" s="31">
        <v>46180106.613340802</v>
      </c>
      <c r="J412" s="32">
        <v>4.5999999046325701</v>
      </c>
      <c r="K412" s="33">
        <v>45700</v>
      </c>
      <c r="L412" s="31">
        <v>216600</v>
      </c>
      <c r="M412" s="32">
        <v>-14.1</v>
      </c>
      <c r="N412" s="31" t="s">
        <v>35</v>
      </c>
      <c r="O412" s="33">
        <v>45699</v>
      </c>
      <c r="P412" s="34">
        <v>63176.6328125</v>
      </c>
      <c r="Q412" s="34">
        <v>81459.40625</v>
      </c>
      <c r="R412" s="34">
        <v>76347.875</v>
      </c>
      <c r="S412" s="29"/>
      <c r="T412" s="33"/>
      <c r="U412" s="35" t="b">
        <v>0</v>
      </c>
      <c r="V412" s="35" t="b">
        <v>0</v>
      </c>
      <c r="W412" s="35" t="b">
        <v>0</v>
      </c>
      <c r="Y412" s="31" cm="1">
        <f t="array" ref="Y412">IF(LEFT(_xll.BDP($C412, VOLUME_AVG_10D), 4) = "#N/A", "",  _xll.BDP($C412, VOLUME_AVG_10D))</f>
        <v>42624.6015625</v>
      </c>
      <c r="Z412" s="31" cm="1">
        <f t="array" ref="Z412">IF(LEFT(_xll.BDP($C412, VOLUME_AVG_30D), 4) = "#N/A", "",  _xll.BDP($C412, VOLUME_AVG_30D))</f>
        <v>63176.6328125</v>
      </c>
      <c r="AA412" s="31" cm="1">
        <f t="array" ref="AA412">IF(LEFT(_xll.BDP($C412, VOLUME_AVG_3M), 4) = "#N/A", "",  _xll.BDP($C412, VOLUME_AVG_3M))</f>
        <v>81459.40625</v>
      </c>
      <c r="AB412" s="31" cm="1">
        <f t="array" ref="AB412">IF(LEFT(_xll.BDP($C412, VOLUME_AVG_6M), 4) = "#N/A", "",  _xll.BDP($C412, VOLUME_AVG_6M))</f>
        <v>76347.875</v>
      </c>
      <c r="AC412" s="31" cm="1">
        <f t="array" ref="AC412">IF(LEFT(_xll.BDP($C412, VOLUME_AVG_12M), 4) = "#N/A", "",  _xll.BDP($C412, VOLUME_AVG_12M))</f>
        <v>76515.296875</v>
      </c>
      <c r="AD412" s="41" cm="1">
        <f t="array" ref="AD412">IF(LEFT(_xll.BDP($C412, LAST_PRICE), 4) = "#N/A", "",  _xll.BDP($C412, LAST_PRICE))</f>
        <v>4.5999999999999996</v>
      </c>
    </row>
    <row r="413" spans="1:30" x14ac:dyDescent="0.35">
      <c r="A413" s="1">
        <f t="shared" si="6"/>
        <v>410</v>
      </c>
      <c r="B413" s="28">
        <v>45700</v>
      </c>
      <c r="C413" s="29" t="s">
        <v>874</v>
      </c>
      <c r="D413" s="29" t="s">
        <v>874</v>
      </c>
      <c r="E413" s="29" t="s">
        <v>875</v>
      </c>
      <c r="F413" s="29" t="s">
        <v>33</v>
      </c>
      <c r="G413" s="30" t="s">
        <v>34</v>
      </c>
      <c r="H413" s="31">
        <v>2087.7559999999999</v>
      </c>
      <c r="I413" s="31">
        <v>-4741912.2439999999</v>
      </c>
      <c r="J413" s="32">
        <v>1E-3</v>
      </c>
      <c r="K413" s="33">
        <v>45700</v>
      </c>
      <c r="L413" s="31"/>
      <c r="M413" s="32"/>
      <c r="N413" s="31"/>
      <c r="O413" s="33">
        <v>45699</v>
      </c>
      <c r="P413" s="34">
        <v>369.46667480468801</v>
      </c>
      <c r="Q413" s="34">
        <v>822.40319824218795</v>
      </c>
      <c r="R413" s="34">
        <v>485.80157470703102</v>
      </c>
      <c r="S413" s="29"/>
      <c r="T413" s="33"/>
      <c r="U413" s="35" t="b">
        <v>1</v>
      </c>
      <c r="V413" s="35" t="b">
        <v>1</v>
      </c>
      <c r="W413" s="35" t="b">
        <v>1</v>
      </c>
      <c r="Y413" s="31" cm="1">
        <f t="array" ref="Y413">IF(LEFT(_xll.BDP($C413, VOLUME_AVG_10D), 4) = "#N/A", "",  _xll.BDP($C413, VOLUME_AVG_10D))</f>
        <v>719.5999755859375</v>
      </c>
      <c r="Z413" s="31" cm="1">
        <f t="array" ref="Z413">IF(LEFT(_xll.BDP($C413, VOLUME_AVG_30D), 4) = "#N/A", "",  _xll.BDP($C413, VOLUME_AVG_30D))</f>
        <v>369.4666748046875</v>
      </c>
      <c r="AA413" s="31" cm="1">
        <f t="array" ref="AA413">IF(LEFT(_xll.BDP($C413, VOLUME_AVG_3M), 4) = "#N/A", "",  _xll.BDP($C413, VOLUME_AVG_3M))</f>
        <v>822.4031982421875</v>
      </c>
      <c r="AB413" s="31" cm="1">
        <f t="array" ref="AB413">IF(LEFT(_xll.BDP($C413, VOLUME_AVG_6M), 4) = "#N/A", "",  _xll.BDP($C413, VOLUME_AVG_6M))</f>
        <v>485.80157470703125</v>
      </c>
      <c r="AC413" s="31" cm="1">
        <f t="array" ref="AC413">IF(LEFT(_xll.BDP($C413, VOLUME_AVG_12M), 4) = "#N/A", "",  _xll.BDP($C413, VOLUME_AVG_12M))</f>
        <v>15131.5615234375</v>
      </c>
      <c r="AD413" s="41" cm="1">
        <f t="array" ref="AD413">IF(LEFT(_xll.BDP($C413, LAST_PRICE), 4) = "#N/A", "",  _xll.BDP($C413, LAST_PRICE))</f>
        <v>1E-3</v>
      </c>
    </row>
    <row r="414" spans="1:30" x14ac:dyDescent="0.35">
      <c r="A414" s="1">
        <f t="shared" si="6"/>
        <v>411</v>
      </c>
      <c r="B414" s="28">
        <v>45700</v>
      </c>
      <c r="C414" s="29" t="s">
        <v>876</v>
      </c>
      <c r="D414" s="29" t="s">
        <v>876</v>
      </c>
      <c r="E414" s="29" t="s">
        <v>877</v>
      </c>
      <c r="F414" s="29" t="s">
        <v>33</v>
      </c>
      <c r="G414" s="30" t="s">
        <v>34</v>
      </c>
      <c r="H414" s="31">
        <v>101507876.958904</v>
      </c>
      <c r="I414" s="31">
        <v>-4941123.0410957299</v>
      </c>
      <c r="J414" s="32">
        <v>1.5099999904632599</v>
      </c>
      <c r="K414" s="33">
        <v>45700</v>
      </c>
      <c r="L414" s="31">
        <v>3132900</v>
      </c>
      <c r="M414" s="32">
        <v>-0.5</v>
      </c>
      <c r="N414" s="31" t="s">
        <v>35</v>
      </c>
      <c r="O414" s="33">
        <v>45699</v>
      </c>
      <c r="P414" s="34">
        <v>451262.1875</v>
      </c>
      <c r="Q414" s="34">
        <v>377041.6875</v>
      </c>
      <c r="R414" s="34">
        <v>460267.09375</v>
      </c>
      <c r="S414" s="29"/>
      <c r="T414" s="33"/>
      <c r="U414" s="35" t="b">
        <v>0</v>
      </c>
      <c r="V414" s="35" t="b">
        <v>0</v>
      </c>
      <c r="W414" s="35" t="b">
        <v>1</v>
      </c>
      <c r="Y414" s="31" cm="1">
        <f t="array" ref="Y414">IF(LEFT(_xll.BDP($C414, VOLUME_AVG_10D), 4) = "#N/A", "",  _xll.BDP($C414, VOLUME_AVG_10D))</f>
        <v>232286.40625</v>
      </c>
      <c r="Z414" s="31" cm="1">
        <f t="array" ref="Z414">IF(LEFT(_xll.BDP($C414, VOLUME_AVG_30D), 4) = "#N/A", "",  _xll.BDP($C414, VOLUME_AVG_30D))</f>
        <v>451262.1875</v>
      </c>
      <c r="AA414" s="31" cm="1">
        <f t="array" ref="AA414">IF(LEFT(_xll.BDP($C414, VOLUME_AVG_3M), 4) = "#N/A", "",  _xll.BDP($C414, VOLUME_AVG_3M))</f>
        <v>377041.6875</v>
      </c>
      <c r="AB414" s="31" cm="1">
        <f t="array" ref="AB414">IF(LEFT(_xll.BDP($C414, VOLUME_AVG_6M), 4) = "#N/A", "",  _xll.BDP($C414, VOLUME_AVG_6M))</f>
        <v>460267.09375</v>
      </c>
      <c r="AC414" s="31" cm="1">
        <f t="array" ref="AC414">IF(LEFT(_xll.BDP($C414, VOLUME_AVG_12M), 4) = "#N/A", "",  _xll.BDP($C414, VOLUME_AVG_12M))</f>
        <v>493248.21875</v>
      </c>
      <c r="AD414" s="41" cm="1">
        <f t="array" ref="AD414">IF(LEFT(_xll.BDP($C414, LAST_PRICE), 4) = "#N/A", "",  _xll.BDP($C414, LAST_PRICE))</f>
        <v>1.51</v>
      </c>
    </row>
    <row r="415" spans="1:30" x14ac:dyDescent="0.35">
      <c r="A415" s="1">
        <f t="shared" si="6"/>
        <v>412</v>
      </c>
      <c r="B415" s="28">
        <v>45700</v>
      </c>
      <c r="C415" s="29" t="s">
        <v>878</v>
      </c>
      <c r="D415" s="29" t="s">
        <v>878</v>
      </c>
      <c r="E415" s="29" t="s">
        <v>879</v>
      </c>
      <c r="F415" s="29" t="s">
        <v>33</v>
      </c>
      <c r="G415" s="30" t="s">
        <v>34</v>
      </c>
      <c r="H415" s="31">
        <v>2242714202.8537402</v>
      </c>
      <c r="I415" s="31">
        <v>1956630202.85374</v>
      </c>
      <c r="J415" s="32">
        <v>4.4699997901916504</v>
      </c>
      <c r="K415" s="33">
        <v>45700</v>
      </c>
      <c r="L415" s="31">
        <v>51444100</v>
      </c>
      <c r="M415" s="32">
        <v>3.88</v>
      </c>
      <c r="N415" s="31" t="s">
        <v>35</v>
      </c>
      <c r="O415" s="33">
        <v>45699</v>
      </c>
      <c r="P415" s="34">
        <v>6407385</v>
      </c>
      <c r="Q415" s="34">
        <v>5657124</v>
      </c>
      <c r="R415" s="34">
        <v>7738521</v>
      </c>
      <c r="S415" s="29"/>
      <c r="T415" s="33"/>
      <c r="U415" s="35" t="b">
        <v>0</v>
      </c>
      <c r="V415" s="35" t="b">
        <v>0</v>
      </c>
      <c r="W415" s="35" t="b">
        <v>0</v>
      </c>
      <c r="Y415" s="31" cm="1">
        <f t="array" ref="Y415">IF(LEFT(_xll.BDP($C415, VOLUME_AVG_10D), 4) = "#N/A", "",  _xll.BDP($C415, VOLUME_AVG_10D))</f>
        <v>5260485</v>
      </c>
      <c r="Z415" s="31" cm="1">
        <f t="array" ref="Z415">IF(LEFT(_xll.BDP($C415, VOLUME_AVG_30D), 4) = "#N/A", "",  _xll.BDP($C415, VOLUME_AVG_30D))</f>
        <v>6407385</v>
      </c>
      <c r="AA415" s="31" cm="1">
        <f t="array" ref="AA415">IF(LEFT(_xll.BDP($C415, VOLUME_AVG_3M), 4) = "#N/A", "",  _xll.BDP($C415, VOLUME_AVG_3M))</f>
        <v>5657124</v>
      </c>
      <c r="AB415" s="31" cm="1">
        <f t="array" ref="AB415">IF(LEFT(_xll.BDP($C415, VOLUME_AVG_6M), 4) = "#N/A", "",  _xll.BDP($C415, VOLUME_AVG_6M))</f>
        <v>7738521</v>
      </c>
      <c r="AC415" s="31" cm="1">
        <f t="array" ref="AC415">IF(LEFT(_xll.BDP($C415, VOLUME_AVG_12M), 4) = "#N/A", "",  _xll.BDP($C415, VOLUME_AVG_12M))</f>
        <v>7705609.5</v>
      </c>
      <c r="AD415" s="41" cm="1">
        <f t="array" ref="AD415">IF(LEFT(_xll.BDP($C415, LAST_PRICE), 4) = "#N/A", "",  _xll.BDP($C415, LAST_PRICE))</f>
        <v>4.47</v>
      </c>
    </row>
    <row r="416" spans="1:30" x14ac:dyDescent="0.35">
      <c r="A416" s="1">
        <f t="shared" si="6"/>
        <v>413</v>
      </c>
      <c r="B416" s="28">
        <v>45700</v>
      </c>
      <c r="C416" s="29" t="s">
        <v>880</v>
      </c>
      <c r="D416" s="29" t="s">
        <v>880</v>
      </c>
      <c r="E416" s="29" t="s">
        <v>881</v>
      </c>
      <c r="F416" s="29" t="s">
        <v>33</v>
      </c>
      <c r="G416" s="30" t="s">
        <v>34</v>
      </c>
      <c r="H416" s="31">
        <v>261335.34748173499</v>
      </c>
      <c r="I416" s="31">
        <v>1572228.3474817399</v>
      </c>
      <c r="J416" s="32">
        <v>8.39999970048666E-3</v>
      </c>
      <c r="K416" s="33">
        <v>45700</v>
      </c>
      <c r="L416" s="31"/>
      <c r="M416" s="32"/>
      <c r="N416" s="31"/>
      <c r="O416" s="33">
        <v>45699</v>
      </c>
      <c r="P416" s="34">
        <v>67815.5703125</v>
      </c>
      <c r="Q416" s="34">
        <v>80230.09375</v>
      </c>
      <c r="R416" s="34">
        <v>86508.5</v>
      </c>
      <c r="S416" s="29"/>
      <c r="T416" s="33"/>
      <c r="U416" s="35" t="b">
        <v>1</v>
      </c>
      <c r="V416" s="35" t="b">
        <v>1</v>
      </c>
      <c r="W416" s="35" t="b">
        <v>0</v>
      </c>
      <c r="Y416" s="31" cm="1">
        <f t="array" ref="Y416">IF(LEFT(_xll.BDP($C416, VOLUME_AVG_10D), 4) = "#N/A", "",  _xll.BDP($C416, VOLUME_AVG_10D))</f>
        <v>44300.69921875</v>
      </c>
      <c r="Z416" s="31" cm="1">
        <f t="array" ref="Z416">IF(LEFT(_xll.BDP($C416, VOLUME_AVG_30D), 4) = "#N/A", "",  _xll.BDP($C416, VOLUME_AVG_30D))</f>
        <v>67815.5703125</v>
      </c>
      <c r="AA416" s="31" cm="1">
        <f t="array" ref="AA416">IF(LEFT(_xll.BDP($C416, VOLUME_AVG_3M), 4) = "#N/A", "",  _xll.BDP($C416, VOLUME_AVG_3M))</f>
        <v>80230.09375</v>
      </c>
      <c r="AB416" s="31" cm="1">
        <f t="array" ref="AB416">IF(LEFT(_xll.BDP($C416, VOLUME_AVG_6M), 4) = "#N/A", "",  _xll.BDP($C416, VOLUME_AVG_6M))</f>
        <v>86508.5</v>
      </c>
      <c r="AC416" s="31" cm="1">
        <f t="array" ref="AC416">IF(LEFT(_xll.BDP($C416, VOLUME_AVG_12M), 4) = "#N/A", "",  _xll.BDP($C416, VOLUME_AVG_12M))</f>
        <v>137274.015625</v>
      </c>
      <c r="AD416" s="41" cm="1">
        <f t="array" ref="AD416">IF(LEFT(_xll.BDP($C416, LAST_PRICE), 4) = "#N/A", "",  _xll.BDP($C416, LAST_PRICE))</f>
        <v>8.3999999999999995E-3</v>
      </c>
    </row>
    <row r="417" spans="1:30" x14ac:dyDescent="0.35">
      <c r="A417" s="1">
        <f t="shared" si="6"/>
        <v>414</v>
      </c>
      <c r="B417" s="28">
        <v>45700</v>
      </c>
      <c r="C417" s="29" t="s">
        <v>882</v>
      </c>
      <c r="D417" s="29" t="s">
        <v>882</v>
      </c>
      <c r="E417" s="29" t="s">
        <v>883</v>
      </c>
      <c r="F417" s="29" t="s">
        <v>33</v>
      </c>
      <c r="G417" s="30" t="s">
        <v>34</v>
      </c>
      <c r="H417" s="31">
        <v>5967120.0115293302</v>
      </c>
      <c r="I417" s="31">
        <v>-974816.98847067403</v>
      </c>
      <c r="J417" s="32">
        <v>0.103799998760223</v>
      </c>
      <c r="K417" s="33">
        <v>45700</v>
      </c>
      <c r="L417" s="31">
        <v>7576200</v>
      </c>
      <c r="M417" s="32">
        <v>-11.05</v>
      </c>
      <c r="N417" s="31" t="s">
        <v>35</v>
      </c>
      <c r="O417" s="33">
        <v>45699</v>
      </c>
      <c r="P417" s="34">
        <v>26102722</v>
      </c>
      <c r="Q417" s="34">
        <v>16270115</v>
      </c>
      <c r="R417" s="34">
        <v>14958571</v>
      </c>
      <c r="S417" s="29"/>
      <c r="T417" s="33"/>
      <c r="U417" s="35" t="b">
        <v>1</v>
      </c>
      <c r="V417" s="35" t="b">
        <v>0</v>
      </c>
      <c r="W417" s="35" t="b">
        <v>1</v>
      </c>
      <c r="Y417" s="31" cm="1">
        <f t="array" ref="Y417">IF(LEFT(_xll.BDP($C417, VOLUME_AVG_10D), 4) = "#N/A", "",  _xll.BDP($C417, VOLUME_AVG_10D))</f>
        <v>13011530</v>
      </c>
      <c r="Z417" s="31" cm="1">
        <f t="array" ref="Z417">IF(LEFT(_xll.BDP($C417, VOLUME_AVG_30D), 4) = "#N/A", "",  _xll.BDP($C417, VOLUME_AVG_30D))</f>
        <v>26102722</v>
      </c>
      <c r="AA417" s="31" cm="1">
        <f t="array" ref="AA417">IF(LEFT(_xll.BDP($C417, VOLUME_AVG_3M), 4) = "#N/A", "",  _xll.BDP($C417, VOLUME_AVG_3M))</f>
        <v>16270115</v>
      </c>
      <c r="AB417" s="31" cm="1">
        <f t="array" ref="AB417">IF(LEFT(_xll.BDP($C417, VOLUME_AVG_6M), 4) = "#N/A", "",  _xll.BDP($C417, VOLUME_AVG_6M))</f>
        <v>14958571</v>
      </c>
      <c r="AC417" s="31" cm="1">
        <f t="array" ref="AC417">IF(LEFT(_xll.BDP($C417, VOLUME_AVG_12M), 4) = "#N/A", "",  _xll.BDP($C417, VOLUME_AVG_12M))</f>
        <v>8650916</v>
      </c>
      <c r="AD417" s="41" cm="1">
        <f t="array" ref="AD417">IF(LEFT(_xll.BDP($C417, LAST_PRICE), 4) = "#N/A", "",  _xll.BDP($C417, LAST_PRICE))</f>
        <v>0.1038</v>
      </c>
    </row>
    <row r="418" spans="1:30" x14ac:dyDescent="0.35">
      <c r="A418" s="1">
        <f t="shared" si="6"/>
        <v>415</v>
      </c>
      <c r="B418" s="28">
        <v>45700</v>
      </c>
      <c r="C418" s="29" t="s">
        <v>884</v>
      </c>
      <c r="D418" s="29" t="s">
        <v>884</v>
      </c>
      <c r="E418" s="29" t="s">
        <v>885</v>
      </c>
      <c r="F418" s="29" t="s">
        <v>33</v>
      </c>
      <c r="G418" s="30" t="s">
        <v>34</v>
      </c>
      <c r="H418" s="31">
        <v>21520653.639715198</v>
      </c>
      <c r="I418" s="31">
        <v>-13772702.3602848</v>
      </c>
      <c r="J418" s="32">
        <v>0.674000024795532</v>
      </c>
      <c r="K418" s="33">
        <v>45700</v>
      </c>
      <c r="L418" s="31">
        <v>3036800</v>
      </c>
      <c r="M418" s="32">
        <v>3.65</v>
      </c>
      <c r="N418" s="31" t="s">
        <v>35</v>
      </c>
      <c r="O418" s="33">
        <v>45699</v>
      </c>
      <c r="P418" s="34">
        <v>232767.703125</v>
      </c>
      <c r="Q418" s="34">
        <v>196319.890625</v>
      </c>
      <c r="R418" s="34">
        <v>222754.78125</v>
      </c>
      <c r="S418" s="29"/>
      <c r="T418" s="33"/>
      <c r="U418" s="35" t="b">
        <v>0</v>
      </c>
      <c r="V418" s="35" t="b">
        <v>0</v>
      </c>
      <c r="W418" s="35" t="b">
        <v>1</v>
      </c>
      <c r="Y418" s="31" cm="1">
        <f t="array" ref="Y418">IF(LEFT(_xll.BDP($C418, VOLUME_AVG_10D), 4) = "#N/A", "",  _xll.BDP($C418, VOLUME_AVG_10D))</f>
        <v>109531.6015625</v>
      </c>
      <c r="Z418" s="31" cm="1">
        <f t="array" ref="Z418">IF(LEFT(_xll.BDP($C418, VOLUME_AVG_30D), 4) = "#N/A", "",  _xll.BDP($C418, VOLUME_AVG_30D))</f>
        <v>232767.703125</v>
      </c>
      <c r="AA418" s="31" cm="1">
        <f t="array" ref="AA418">IF(LEFT(_xll.BDP($C418, VOLUME_AVG_3M), 4) = "#N/A", "",  _xll.BDP($C418, VOLUME_AVG_3M))</f>
        <v>196319.890625</v>
      </c>
      <c r="AB418" s="31" cm="1">
        <f t="array" ref="AB418">IF(LEFT(_xll.BDP($C418, VOLUME_AVG_6M), 4) = "#N/A", "",  _xll.BDP($C418, VOLUME_AVG_6M))</f>
        <v>222754.78125</v>
      </c>
      <c r="AC418" s="31" cm="1">
        <f t="array" ref="AC418">IF(LEFT(_xll.BDP($C418, VOLUME_AVG_12M), 4) = "#N/A", "",  _xll.BDP($C418, VOLUME_AVG_12M))</f>
        <v>159563.703125</v>
      </c>
      <c r="AD418" s="41" cm="1">
        <f t="array" ref="AD418">IF(LEFT(_xll.BDP($C418, LAST_PRICE), 4) = "#N/A", "",  _xll.BDP($C418, LAST_PRICE))</f>
        <v>0.67400000000000004</v>
      </c>
    </row>
    <row r="419" spans="1:30" x14ac:dyDescent="0.35">
      <c r="A419" s="1">
        <f t="shared" si="6"/>
        <v>416</v>
      </c>
      <c r="B419" s="28">
        <v>45700</v>
      </c>
      <c r="C419" s="29" t="s">
        <v>886</v>
      </c>
      <c r="D419" s="29" t="s">
        <v>886</v>
      </c>
      <c r="E419" s="29" t="s">
        <v>887</v>
      </c>
      <c r="F419" s="29" t="s">
        <v>33</v>
      </c>
      <c r="G419" s="30" t="s">
        <v>34</v>
      </c>
      <c r="H419" s="31">
        <v>19533676.3633883</v>
      </c>
      <c r="I419" s="31">
        <v>8388676.3633882999</v>
      </c>
      <c r="J419" s="32">
        <v>1.91999995708466</v>
      </c>
      <c r="K419" s="33">
        <v>45700</v>
      </c>
      <c r="L419" s="31">
        <v>709700</v>
      </c>
      <c r="M419" s="32">
        <v>0.85</v>
      </c>
      <c r="N419" s="31" t="s">
        <v>35</v>
      </c>
      <c r="O419" s="33">
        <v>45699</v>
      </c>
      <c r="P419" s="34">
        <v>60821.3671875</v>
      </c>
      <c r="Q419" s="34">
        <v>45120.7734375</v>
      </c>
      <c r="R419" s="34">
        <v>31164.611328125</v>
      </c>
      <c r="S419" s="29"/>
      <c r="T419" s="33"/>
      <c r="U419" s="35" t="b">
        <v>1</v>
      </c>
      <c r="V419" s="35" t="b">
        <v>0</v>
      </c>
      <c r="W419" s="35" t="b">
        <v>0</v>
      </c>
      <c r="Y419" s="31" cm="1">
        <f t="array" ref="Y419">IF(LEFT(_xll.BDP($C419, VOLUME_AVG_10D), 4) = "#N/A", "",  _xll.BDP($C419, VOLUME_AVG_10D))</f>
        <v>27853.69921875</v>
      </c>
      <c r="Z419" s="31" cm="1">
        <f t="array" ref="Z419">IF(LEFT(_xll.BDP($C419, VOLUME_AVG_30D), 4) = "#N/A", "",  _xll.BDP($C419, VOLUME_AVG_30D))</f>
        <v>60821.3671875</v>
      </c>
      <c r="AA419" s="31" cm="1">
        <f t="array" ref="AA419">IF(LEFT(_xll.BDP($C419, VOLUME_AVG_3M), 4) = "#N/A", "",  _xll.BDP($C419, VOLUME_AVG_3M))</f>
        <v>45120.7734375</v>
      </c>
      <c r="AB419" s="31" cm="1">
        <f t="array" ref="AB419">IF(LEFT(_xll.BDP($C419, VOLUME_AVG_6M), 4) = "#N/A", "",  _xll.BDP($C419, VOLUME_AVG_6M))</f>
        <v>31164.611328125</v>
      </c>
      <c r="AC419" s="31" cm="1">
        <f t="array" ref="AC419">IF(LEFT(_xll.BDP($C419, VOLUME_AVG_12M), 4) = "#N/A", "",  _xll.BDP($C419, VOLUME_AVG_12M))</f>
        <v>28028.81640625</v>
      </c>
      <c r="AD419" s="41" cm="1">
        <f t="array" ref="AD419">IF(LEFT(_xll.BDP($C419, LAST_PRICE), 4) = "#N/A", "",  _xll.BDP($C419, LAST_PRICE))</f>
        <v>1.92</v>
      </c>
    </row>
    <row r="420" spans="1:30" x14ac:dyDescent="0.35">
      <c r="A420" s="1">
        <f t="shared" si="6"/>
        <v>417</v>
      </c>
      <c r="B420" s="28">
        <v>45700</v>
      </c>
      <c r="C420" s="29" t="s">
        <v>888</v>
      </c>
      <c r="D420" s="29" t="s">
        <v>888</v>
      </c>
      <c r="E420" s="29" t="s">
        <v>889</v>
      </c>
      <c r="F420" s="29" t="s">
        <v>33</v>
      </c>
      <c r="G420" s="30" t="s">
        <v>34</v>
      </c>
      <c r="H420" s="31">
        <v>335276753.28704399</v>
      </c>
      <c r="I420" s="31">
        <v>281077753.28704399</v>
      </c>
      <c r="J420" s="32">
        <v>4.1199998855590803</v>
      </c>
      <c r="K420" s="33">
        <v>45700</v>
      </c>
      <c r="L420" s="31">
        <v>20342800</v>
      </c>
      <c r="M420" s="32">
        <v>3.88</v>
      </c>
      <c r="N420" s="31" t="s">
        <v>35</v>
      </c>
      <c r="O420" s="33">
        <v>45699</v>
      </c>
      <c r="P420" s="34">
        <v>634446.6875</v>
      </c>
      <c r="Q420" s="34">
        <v>714042.25</v>
      </c>
      <c r="R420" s="34">
        <v>659388.75</v>
      </c>
      <c r="S420" s="29"/>
      <c r="T420" s="33"/>
      <c r="U420" s="35" t="b">
        <v>0</v>
      </c>
      <c r="V420" s="35" t="b">
        <v>0</v>
      </c>
      <c r="W420" s="35" t="b">
        <v>0</v>
      </c>
      <c r="Y420" s="31" cm="1">
        <f t="array" ref="Y420">IF(LEFT(_xll.BDP($C420, VOLUME_AVG_10D), 4) = "#N/A", "",  _xll.BDP($C420, VOLUME_AVG_10D))</f>
        <v>541793.5</v>
      </c>
      <c r="Z420" s="31" cm="1">
        <f t="array" ref="Z420">IF(LEFT(_xll.BDP($C420, VOLUME_AVG_30D), 4) = "#N/A", "",  _xll.BDP($C420, VOLUME_AVG_30D))</f>
        <v>634446.6875</v>
      </c>
      <c r="AA420" s="31" cm="1">
        <f t="array" ref="AA420">IF(LEFT(_xll.BDP($C420, VOLUME_AVG_3M), 4) = "#N/A", "",  _xll.BDP($C420, VOLUME_AVG_3M))</f>
        <v>714042.25</v>
      </c>
      <c r="AB420" s="31" cm="1">
        <f t="array" ref="AB420">IF(LEFT(_xll.BDP($C420, VOLUME_AVG_6M), 4) = "#N/A", "",  _xll.BDP($C420, VOLUME_AVG_6M))</f>
        <v>659388.75</v>
      </c>
      <c r="AC420" s="31" cm="1">
        <f t="array" ref="AC420">IF(LEFT(_xll.BDP($C420, VOLUME_AVG_12M), 4) = "#N/A", "",  _xll.BDP($C420, VOLUME_AVG_12M))</f>
        <v>585078.1875</v>
      </c>
      <c r="AD420" s="41" cm="1">
        <f t="array" ref="AD420">IF(LEFT(_xll.BDP($C420, LAST_PRICE), 4) = "#N/A", "",  _xll.BDP($C420, LAST_PRICE))</f>
        <v>4.12</v>
      </c>
    </row>
    <row r="421" spans="1:30" x14ac:dyDescent="0.35">
      <c r="A421" s="1">
        <f t="shared" si="6"/>
        <v>418</v>
      </c>
      <c r="B421" s="28">
        <v>45700</v>
      </c>
      <c r="C421" s="29" t="s">
        <v>890</v>
      </c>
      <c r="D421" s="29" t="s">
        <v>890</v>
      </c>
      <c r="E421" s="29" t="s">
        <v>891</v>
      </c>
      <c r="F421" s="29" t="s">
        <v>33</v>
      </c>
      <c r="G421" s="30" t="s">
        <v>34</v>
      </c>
      <c r="H421" s="31">
        <v>39906780.940320998</v>
      </c>
      <c r="I421" s="31">
        <v>40702011.940320998</v>
      </c>
      <c r="J421" s="32">
        <v>12.310000419616699</v>
      </c>
      <c r="K421" s="33">
        <v>45700</v>
      </c>
      <c r="L421" s="31">
        <v>30800</v>
      </c>
      <c r="M421" s="32">
        <v>-59.55</v>
      </c>
      <c r="N421" s="31" t="s">
        <v>35</v>
      </c>
      <c r="O421" s="33">
        <v>45699</v>
      </c>
      <c r="P421" s="34">
        <v>403929.03125</v>
      </c>
      <c r="Q421" s="34">
        <v>377492.46875</v>
      </c>
      <c r="R421" s="34">
        <v>192406.640625</v>
      </c>
      <c r="S421" s="29"/>
      <c r="T421" s="33"/>
      <c r="U421" s="35" t="b">
        <v>0</v>
      </c>
      <c r="V421" s="35" t="b">
        <v>0</v>
      </c>
      <c r="W421" s="35" t="b">
        <v>0</v>
      </c>
      <c r="Y421" s="31" cm="1">
        <f t="array" ref="Y421">IF(LEFT(_xll.BDP($C421, VOLUME_AVG_10D), 4) = "#N/A", "",  _xll.BDP($C421, VOLUME_AVG_10D))</f>
        <v>107229.703125</v>
      </c>
      <c r="Z421" s="31" cm="1">
        <f t="array" ref="Z421">IF(LEFT(_xll.BDP($C421, VOLUME_AVG_30D), 4) = "#N/A", "",  _xll.BDP($C421, VOLUME_AVG_30D))</f>
        <v>403929.03125</v>
      </c>
      <c r="AA421" s="31" cm="1">
        <f t="array" ref="AA421">IF(LEFT(_xll.BDP($C421, VOLUME_AVG_3M), 4) = "#N/A", "",  _xll.BDP($C421, VOLUME_AVG_3M))</f>
        <v>377492.46875</v>
      </c>
      <c r="AB421" s="31" cm="1">
        <f t="array" ref="AB421">IF(LEFT(_xll.BDP($C421, VOLUME_AVG_6M), 4) = "#N/A", "",  _xll.BDP($C421, VOLUME_AVG_6M))</f>
        <v>192406.640625</v>
      </c>
      <c r="AC421" s="31" cm="1">
        <f t="array" ref="AC421">IF(LEFT(_xll.BDP($C421, VOLUME_AVG_12M), 4) = "#N/A", "",  _xll.BDP($C421, VOLUME_AVG_12M))</f>
        <v>106293.8125</v>
      </c>
      <c r="AD421" s="41" cm="1">
        <f t="array" ref="AD421">IF(LEFT(_xll.BDP($C421, LAST_PRICE), 4) = "#N/A", "",  _xll.BDP($C421, LAST_PRICE))</f>
        <v>12.31</v>
      </c>
    </row>
    <row r="422" spans="1:30" x14ac:dyDescent="0.35">
      <c r="A422" s="1">
        <f t="shared" si="6"/>
        <v>419</v>
      </c>
      <c r="B422" s="28">
        <v>45700</v>
      </c>
      <c r="C422" s="29" t="s">
        <v>892</v>
      </c>
      <c r="D422" s="29" t="s">
        <v>892</v>
      </c>
      <c r="E422" s="29" t="s">
        <v>893</v>
      </c>
      <c r="F422" s="29" t="s">
        <v>33</v>
      </c>
      <c r="G422" s="30" t="s">
        <v>34</v>
      </c>
      <c r="H422" s="31">
        <v>899158511.984025</v>
      </c>
      <c r="I422" s="31">
        <v>682039511.984025</v>
      </c>
      <c r="J422" s="32">
        <v>8.1400003433227504</v>
      </c>
      <c r="K422" s="33">
        <v>45700</v>
      </c>
      <c r="L422" s="31">
        <v>23264100</v>
      </c>
      <c r="M422" s="32">
        <v>3.88</v>
      </c>
      <c r="N422" s="31" t="s">
        <v>35</v>
      </c>
      <c r="O422" s="33">
        <v>45699</v>
      </c>
      <c r="P422" s="34">
        <v>1532638.25</v>
      </c>
      <c r="Q422" s="34">
        <v>1609926.625</v>
      </c>
      <c r="R422" s="34">
        <v>1309562.625</v>
      </c>
      <c r="S422" s="29" t="s">
        <v>46</v>
      </c>
      <c r="T422" s="33">
        <v>45446</v>
      </c>
      <c r="U422" s="35" t="b">
        <v>0</v>
      </c>
      <c r="V422" s="35" t="b">
        <v>0</v>
      </c>
      <c r="W422" s="35" t="b">
        <v>0</v>
      </c>
      <c r="Y422" s="31" cm="1">
        <f t="array" ref="Y422">IF(LEFT(_xll.BDP($C422, VOLUME_AVG_10D), 4) = "#N/A", "",  _xll.BDP($C422, VOLUME_AVG_10D))</f>
        <v>1488879.875</v>
      </c>
      <c r="Z422" s="31" cm="1">
        <f t="array" ref="Z422">IF(LEFT(_xll.BDP($C422, VOLUME_AVG_30D), 4) = "#N/A", "",  _xll.BDP($C422, VOLUME_AVG_30D))</f>
        <v>1532638.25</v>
      </c>
      <c r="AA422" s="31" cm="1">
        <f t="array" ref="AA422">IF(LEFT(_xll.BDP($C422, VOLUME_AVG_3M), 4) = "#N/A", "",  _xll.BDP($C422, VOLUME_AVG_3M))</f>
        <v>1609926.625</v>
      </c>
      <c r="AB422" s="31" cm="1">
        <f t="array" ref="AB422">IF(LEFT(_xll.BDP($C422, VOLUME_AVG_6M), 4) = "#N/A", "",  _xll.BDP($C422, VOLUME_AVG_6M))</f>
        <v>1309562.625</v>
      </c>
      <c r="AC422" s="31" cm="1">
        <f t="array" ref="AC422">IF(LEFT(_xll.BDP($C422, VOLUME_AVG_12M), 4) = "#N/A", "",  _xll.BDP($C422, VOLUME_AVG_12M))</f>
        <v>1444485.75</v>
      </c>
      <c r="AD422" s="41" cm="1">
        <f t="array" ref="AD422">IF(LEFT(_xll.BDP($C422, LAST_PRICE), 4) = "#N/A", "",  _xll.BDP($C422, LAST_PRICE))</f>
        <v>8.14</v>
      </c>
    </row>
    <row r="423" spans="1:30" x14ac:dyDescent="0.35">
      <c r="A423" s="1">
        <f t="shared" si="6"/>
        <v>420</v>
      </c>
      <c r="B423" s="28">
        <v>45700</v>
      </c>
      <c r="C423" s="29" t="s">
        <v>894</v>
      </c>
      <c r="D423" s="29" t="s">
        <v>894</v>
      </c>
      <c r="E423" s="29" t="s">
        <v>895</v>
      </c>
      <c r="F423" s="29" t="s">
        <v>33</v>
      </c>
      <c r="G423" s="30" t="s">
        <v>34</v>
      </c>
      <c r="H423" s="31">
        <v>25244560.668398101</v>
      </c>
      <c r="I423" s="31">
        <v>-3983439.33160186</v>
      </c>
      <c r="J423" s="32">
        <v>0.60759997367858898</v>
      </c>
      <c r="K423" s="33">
        <v>45700</v>
      </c>
      <c r="L423" s="31">
        <v>3119100</v>
      </c>
      <c r="M423" s="32">
        <v>-4.5999999999999996</v>
      </c>
      <c r="N423" s="31" t="s">
        <v>35</v>
      </c>
      <c r="O423" s="33">
        <v>45699</v>
      </c>
      <c r="P423" s="34">
        <v>1591489.5</v>
      </c>
      <c r="Q423" s="34">
        <v>7539479.5</v>
      </c>
      <c r="R423" s="34">
        <v>3985377.75</v>
      </c>
      <c r="S423" s="29"/>
      <c r="T423" s="33"/>
      <c r="U423" s="35" t="b">
        <v>0</v>
      </c>
      <c r="V423" s="35" t="b">
        <v>0</v>
      </c>
      <c r="W423" s="35" t="b">
        <v>1</v>
      </c>
      <c r="Y423" s="31" cm="1">
        <f t="array" ref="Y423">IF(LEFT(_xll.BDP($C423, VOLUME_AVG_10D), 4) = "#N/A", "",  _xll.BDP($C423, VOLUME_AVG_10D))</f>
        <v>1003678.6875</v>
      </c>
      <c r="Z423" s="31" cm="1">
        <f t="array" ref="Z423">IF(LEFT(_xll.BDP($C423, VOLUME_AVG_30D), 4) = "#N/A", "",  _xll.BDP($C423, VOLUME_AVG_30D))</f>
        <v>1591489.5</v>
      </c>
      <c r="AA423" s="31" cm="1">
        <f t="array" ref="AA423">IF(LEFT(_xll.BDP($C423, VOLUME_AVG_3M), 4) = "#N/A", "",  _xll.BDP($C423, VOLUME_AVG_3M))</f>
        <v>7539479.5</v>
      </c>
      <c r="AB423" s="31" cm="1">
        <f t="array" ref="AB423">IF(LEFT(_xll.BDP($C423, VOLUME_AVG_6M), 4) = "#N/A", "",  _xll.BDP($C423, VOLUME_AVG_6M))</f>
        <v>3985377.75</v>
      </c>
      <c r="AC423" s="31" cm="1">
        <f t="array" ref="AC423">IF(LEFT(_xll.BDP($C423, VOLUME_AVG_12M), 4) = "#N/A", "",  _xll.BDP($C423, VOLUME_AVG_12M))</f>
        <v>2274785.5</v>
      </c>
      <c r="AD423" s="41" cm="1">
        <f t="array" ref="AD423">IF(LEFT(_xll.BDP($C423, LAST_PRICE), 4) = "#N/A", "",  _xll.BDP($C423, LAST_PRICE))</f>
        <v>0.60760000000000003</v>
      </c>
    </row>
    <row r="424" spans="1:30" x14ac:dyDescent="0.35">
      <c r="A424" s="1">
        <f t="shared" si="6"/>
        <v>421</v>
      </c>
      <c r="B424" s="28">
        <v>45700</v>
      </c>
      <c r="C424" s="29" t="s">
        <v>896</v>
      </c>
      <c r="D424" s="29" t="s">
        <v>896</v>
      </c>
      <c r="E424" s="29" t="s">
        <v>897</v>
      </c>
      <c r="F424" s="29" t="s">
        <v>33</v>
      </c>
      <c r="G424" s="30" t="s">
        <v>34</v>
      </c>
      <c r="H424" s="31">
        <v>129797008.87260699</v>
      </c>
      <c r="I424" s="31">
        <v>335619008.87260699</v>
      </c>
      <c r="J424" s="32">
        <v>1.12000000476837</v>
      </c>
      <c r="K424" s="33">
        <v>45700</v>
      </c>
      <c r="L424" s="31">
        <v>10367500</v>
      </c>
      <c r="M424" s="32">
        <v>3.6</v>
      </c>
      <c r="N424" s="31" t="s">
        <v>35</v>
      </c>
      <c r="O424" s="33">
        <v>45699</v>
      </c>
      <c r="P424" s="34">
        <v>2167070.25</v>
      </c>
      <c r="Q424" s="34">
        <v>4908215</v>
      </c>
      <c r="R424" s="34">
        <v>3683697.25</v>
      </c>
      <c r="S424" s="29" t="s">
        <v>46</v>
      </c>
      <c r="T424" s="33">
        <v>45446</v>
      </c>
      <c r="U424" s="35" t="b">
        <v>0</v>
      </c>
      <c r="V424" s="35" t="b">
        <v>0</v>
      </c>
      <c r="W424" s="35" t="b">
        <v>0</v>
      </c>
      <c r="Y424" s="31" cm="1">
        <f t="array" ref="Y424">IF(LEFT(_xll.BDP($C424, VOLUME_AVG_10D), 4) = "#N/A", "",  _xll.BDP($C424, VOLUME_AVG_10D))</f>
        <v>1842456.25</v>
      </c>
      <c r="Z424" s="31" cm="1">
        <f t="array" ref="Z424">IF(LEFT(_xll.BDP($C424, VOLUME_AVG_30D), 4) = "#N/A", "",  _xll.BDP($C424, VOLUME_AVG_30D))</f>
        <v>2167070.25</v>
      </c>
      <c r="AA424" s="31" cm="1">
        <f t="array" ref="AA424">IF(LEFT(_xll.BDP($C424, VOLUME_AVG_3M), 4) = "#N/A", "",  _xll.BDP($C424, VOLUME_AVG_3M))</f>
        <v>4908215</v>
      </c>
      <c r="AB424" s="31" cm="1">
        <f t="array" ref="AB424">IF(LEFT(_xll.BDP($C424, VOLUME_AVG_6M), 4) = "#N/A", "",  _xll.BDP($C424, VOLUME_AVG_6M))</f>
        <v>3683697.25</v>
      </c>
      <c r="AC424" s="31" cm="1">
        <f t="array" ref="AC424">IF(LEFT(_xll.BDP($C424, VOLUME_AVG_12M), 4) = "#N/A", "",  _xll.BDP($C424, VOLUME_AVG_12M))</f>
        <v>2836418.25</v>
      </c>
      <c r="AD424" s="41" cm="1">
        <f t="array" ref="AD424">IF(LEFT(_xll.BDP($C424, LAST_PRICE), 4) = "#N/A", "",  _xll.BDP($C424, LAST_PRICE))</f>
        <v>1.1200000000000001</v>
      </c>
    </row>
    <row r="425" spans="1:30" x14ac:dyDescent="0.35">
      <c r="A425" s="1">
        <f t="shared" si="6"/>
        <v>422</v>
      </c>
      <c r="B425" s="28">
        <v>45700</v>
      </c>
      <c r="C425" s="29" t="s">
        <v>898</v>
      </c>
      <c r="D425" s="29" t="s">
        <v>898</v>
      </c>
      <c r="E425" s="29" t="s">
        <v>899</v>
      </c>
      <c r="F425" s="29" t="s">
        <v>33</v>
      </c>
      <c r="G425" s="30" t="s">
        <v>34</v>
      </c>
      <c r="H425" s="31">
        <v>984599727.22448003</v>
      </c>
      <c r="I425" s="31">
        <v>1739037727.2244799</v>
      </c>
      <c r="J425" s="32">
        <v>30.530000686645501</v>
      </c>
      <c r="K425" s="33">
        <v>45700</v>
      </c>
      <c r="L425" s="31">
        <v>12535800</v>
      </c>
      <c r="M425" s="32">
        <v>3.88</v>
      </c>
      <c r="N425" s="31" t="s">
        <v>35</v>
      </c>
      <c r="O425" s="33">
        <v>45699</v>
      </c>
      <c r="P425" s="34">
        <v>407376.65625</v>
      </c>
      <c r="Q425" s="34">
        <v>458545.90625</v>
      </c>
      <c r="R425" s="34">
        <v>412209.9375</v>
      </c>
      <c r="S425" s="29" t="s">
        <v>285</v>
      </c>
      <c r="T425" s="33">
        <v>45446</v>
      </c>
      <c r="U425" s="35" t="b">
        <v>0</v>
      </c>
      <c r="V425" s="35" t="b">
        <v>0</v>
      </c>
      <c r="W425" s="35" t="b">
        <v>0</v>
      </c>
      <c r="Y425" s="31" cm="1">
        <f t="array" ref="Y425">IF(LEFT(_xll.BDP($C425, VOLUME_AVG_10D), 4) = "#N/A", "",  _xll.BDP($C425, VOLUME_AVG_10D))</f>
        <v>322407.59375</v>
      </c>
      <c r="Z425" s="31" cm="1">
        <f t="array" ref="Z425">IF(LEFT(_xll.BDP($C425, VOLUME_AVG_30D), 4) = "#N/A", "",  _xll.BDP($C425, VOLUME_AVG_30D))</f>
        <v>407376.65625</v>
      </c>
      <c r="AA425" s="31" cm="1">
        <f t="array" ref="AA425">IF(LEFT(_xll.BDP($C425, VOLUME_AVG_3M), 4) = "#N/A", "",  _xll.BDP($C425, VOLUME_AVG_3M))</f>
        <v>458545.90625</v>
      </c>
      <c r="AB425" s="31" cm="1">
        <f t="array" ref="AB425">IF(LEFT(_xll.BDP($C425, VOLUME_AVG_6M), 4) = "#N/A", "",  _xll.BDP($C425, VOLUME_AVG_6M))</f>
        <v>412209.9375</v>
      </c>
      <c r="AC425" s="31" cm="1">
        <f t="array" ref="AC425">IF(LEFT(_xll.BDP($C425, VOLUME_AVG_12M), 4) = "#N/A", "",  _xll.BDP($C425, VOLUME_AVG_12M))</f>
        <v>449426.0625</v>
      </c>
      <c r="AD425" s="41" cm="1">
        <f t="array" ref="AD425">IF(LEFT(_xll.BDP($C425, LAST_PRICE), 4) = "#N/A", "",  _xll.BDP($C425, LAST_PRICE))</f>
        <v>30.53</v>
      </c>
    </row>
    <row r="426" spans="1:30" x14ac:dyDescent="0.35">
      <c r="A426" s="1">
        <f t="shared" si="6"/>
        <v>423</v>
      </c>
      <c r="B426" s="28">
        <v>45700</v>
      </c>
      <c r="C426" s="29" t="s">
        <v>900</v>
      </c>
      <c r="D426" s="29" t="s">
        <v>900</v>
      </c>
      <c r="E426" s="29" t="s">
        <v>901</v>
      </c>
      <c r="F426" s="29" t="s">
        <v>33</v>
      </c>
      <c r="G426" s="30" t="s">
        <v>34</v>
      </c>
      <c r="H426" s="31">
        <v>42324421.075328797</v>
      </c>
      <c r="I426" s="31">
        <v>18809421.075328801</v>
      </c>
      <c r="J426" s="32">
        <v>3.6949999332428001</v>
      </c>
      <c r="K426" s="33">
        <v>45700</v>
      </c>
      <c r="L426" s="31"/>
      <c r="M426" s="32"/>
      <c r="N426" s="31"/>
      <c r="O426" s="33">
        <v>45699</v>
      </c>
      <c r="P426" s="34">
        <v>7679.7666015625</v>
      </c>
      <c r="Q426" s="34">
        <v>10971.3388671875</v>
      </c>
      <c r="R426" s="34">
        <v>10914.6669921875</v>
      </c>
      <c r="S426" s="29"/>
      <c r="T426" s="33"/>
      <c r="U426" s="35" t="b">
        <v>0</v>
      </c>
      <c r="V426" s="35" t="b">
        <v>0</v>
      </c>
      <c r="W426" s="35" t="b">
        <v>0</v>
      </c>
      <c r="Y426" s="31" cm="1">
        <f t="array" ref="Y426">IF(LEFT(_xll.BDP($C426, VOLUME_AVG_10D), 4) = "#N/A", "",  _xll.BDP($C426, VOLUME_AVG_10D))</f>
        <v>4973.10009765625</v>
      </c>
      <c r="Z426" s="31" cm="1">
        <f t="array" ref="Z426">IF(LEFT(_xll.BDP($C426, VOLUME_AVG_30D), 4) = "#N/A", "",  _xll.BDP($C426, VOLUME_AVG_30D))</f>
        <v>7679.7666015625</v>
      </c>
      <c r="AA426" s="31" cm="1">
        <f t="array" ref="AA426">IF(LEFT(_xll.BDP($C426, VOLUME_AVG_3M), 4) = "#N/A", "",  _xll.BDP($C426, VOLUME_AVG_3M))</f>
        <v>10971.3388671875</v>
      </c>
      <c r="AB426" s="31" cm="1">
        <f t="array" ref="AB426">IF(LEFT(_xll.BDP($C426, VOLUME_AVG_6M), 4) = "#N/A", "",  _xll.BDP($C426, VOLUME_AVG_6M))</f>
        <v>10914.6669921875</v>
      </c>
      <c r="AC426" s="31" cm="1">
        <f t="array" ref="AC426">IF(LEFT(_xll.BDP($C426, VOLUME_AVG_12M), 4) = "#N/A", "",  _xll.BDP($C426, VOLUME_AVG_12M))</f>
        <v>10275.01171875</v>
      </c>
      <c r="AD426" s="41" cm="1">
        <f t="array" ref="AD426">IF(LEFT(_xll.BDP($C426, LAST_PRICE), 4) = "#N/A", "",  _xll.BDP($C426, LAST_PRICE))</f>
        <v>3.6949999999999998</v>
      </c>
    </row>
    <row r="427" spans="1:30" x14ac:dyDescent="0.35">
      <c r="A427" s="1">
        <f t="shared" si="6"/>
        <v>424</v>
      </c>
      <c r="B427" s="28">
        <v>45700</v>
      </c>
      <c r="C427" s="29" t="s">
        <v>902</v>
      </c>
      <c r="D427" s="29" t="s">
        <v>902</v>
      </c>
      <c r="E427" s="29" t="s">
        <v>903</v>
      </c>
      <c r="F427" s="29" t="s">
        <v>33</v>
      </c>
      <c r="G427" s="30" t="s">
        <v>34</v>
      </c>
      <c r="H427" s="31">
        <v>6147.5591999999997</v>
      </c>
      <c r="I427" s="31">
        <v>4396736.5592</v>
      </c>
      <c r="J427" s="32">
        <v>2.0000000000000001E-4</v>
      </c>
      <c r="K427" s="33">
        <v>45700</v>
      </c>
      <c r="L427" s="31"/>
      <c r="M427" s="32"/>
      <c r="N427" s="31"/>
      <c r="O427" s="33">
        <v>45699</v>
      </c>
      <c r="P427" s="34">
        <v>5522.466796875</v>
      </c>
      <c r="Q427" s="34">
        <v>8426.193359375</v>
      </c>
      <c r="R427" s="34">
        <v>4520.76171875</v>
      </c>
      <c r="S427" s="29"/>
      <c r="T427" s="33"/>
      <c r="U427" s="35" t="b">
        <v>1</v>
      </c>
      <c r="V427" s="35" t="b">
        <v>1</v>
      </c>
      <c r="W427" s="35" t="b">
        <v>0</v>
      </c>
      <c r="Y427" s="31" cm="1">
        <f t="array" ref="Y427">IF(LEFT(_xll.BDP($C427, VOLUME_AVG_10D), 4) = "#N/A", "",  _xll.BDP($C427, VOLUME_AVG_10D))</f>
        <v>2326.10009765625</v>
      </c>
      <c r="Z427" s="31" cm="1">
        <f t="array" ref="Z427">IF(LEFT(_xll.BDP($C427, VOLUME_AVG_30D), 4) = "#N/A", "",  _xll.BDP($C427, VOLUME_AVG_30D))</f>
        <v>5522.466796875</v>
      </c>
      <c r="AA427" s="31" cm="1">
        <f t="array" ref="AA427">IF(LEFT(_xll.BDP($C427, VOLUME_AVG_3M), 4) = "#N/A", "",  _xll.BDP($C427, VOLUME_AVG_3M))</f>
        <v>8426.193359375</v>
      </c>
      <c r="AB427" s="31" cm="1">
        <f t="array" ref="AB427">IF(LEFT(_xll.BDP($C427, VOLUME_AVG_6M), 4) = "#N/A", "",  _xll.BDP($C427, VOLUME_AVG_6M))</f>
        <v>4520.76171875</v>
      </c>
      <c r="AC427" s="31" cm="1">
        <f t="array" ref="AC427">IF(LEFT(_xll.BDP($C427, VOLUME_AVG_12M), 4) = "#N/A", "",  _xll.BDP($C427, VOLUME_AVG_12M))</f>
        <v>6323.48193359375</v>
      </c>
      <c r="AD427" s="41" cm="1">
        <f t="array" ref="AD427">IF(LEFT(_xll.BDP($C427, LAST_PRICE), 4) = "#N/A", "",  _xll.BDP($C427, LAST_PRICE))</f>
        <v>2.0000000000000001E-4</v>
      </c>
    </row>
    <row r="428" spans="1:30" x14ac:dyDescent="0.35">
      <c r="A428" s="1">
        <f t="shared" si="6"/>
        <v>425</v>
      </c>
      <c r="B428" s="28">
        <v>45700</v>
      </c>
      <c r="C428" s="29" t="s">
        <v>904</v>
      </c>
      <c r="D428" s="29" t="s">
        <v>904</v>
      </c>
      <c r="E428" s="29" t="s">
        <v>905</v>
      </c>
      <c r="F428" s="29" t="s">
        <v>33</v>
      </c>
      <c r="G428" s="30" t="s">
        <v>34</v>
      </c>
      <c r="H428" s="31">
        <v>452970667.754888</v>
      </c>
      <c r="I428" s="31">
        <v>13101970667.7549</v>
      </c>
      <c r="J428" s="32">
        <v>3.2599999904632599</v>
      </c>
      <c r="K428" s="33">
        <v>45700</v>
      </c>
      <c r="L428" s="31">
        <v>31118700</v>
      </c>
      <c r="M428" s="32">
        <v>3.88</v>
      </c>
      <c r="N428" s="31" t="s">
        <v>35</v>
      </c>
      <c r="O428" s="33">
        <v>45699</v>
      </c>
      <c r="P428" s="34">
        <v>2104486.25</v>
      </c>
      <c r="Q428" s="34">
        <v>2638426.75</v>
      </c>
      <c r="R428" s="34">
        <v>2090347.375</v>
      </c>
      <c r="S428" s="29"/>
      <c r="T428" s="33"/>
      <c r="U428" s="35" t="b">
        <v>0</v>
      </c>
      <c r="V428" s="35" t="b">
        <v>0</v>
      </c>
      <c r="W428" s="35" t="b">
        <v>0</v>
      </c>
      <c r="Y428" s="31" cm="1">
        <f t="array" ref="Y428">IF(LEFT(_xll.BDP($C428, VOLUME_AVG_10D), 4) = "#N/A", "",  _xll.BDP($C428, VOLUME_AVG_10D))</f>
        <v>2468472.75</v>
      </c>
      <c r="Z428" s="31" cm="1">
        <f t="array" ref="Z428">IF(LEFT(_xll.BDP($C428, VOLUME_AVG_30D), 4) = "#N/A", "",  _xll.BDP($C428, VOLUME_AVG_30D))</f>
        <v>2104486.25</v>
      </c>
      <c r="AA428" s="31" cm="1">
        <f t="array" ref="AA428">IF(LEFT(_xll.BDP($C428, VOLUME_AVG_3M), 4) = "#N/A", "",  _xll.BDP($C428, VOLUME_AVG_3M))</f>
        <v>2638426.75</v>
      </c>
      <c r="AB428" s="31" cm="1">
        <f t="array" ref="AB428">IF(LEFT(_xll.BDP($C428, VOLUME_AVG_6M), 4) = "#N/A", "",  _xll.BDP($C428, VOLUME_AVG_6M))</f>
        <v>2090347.375</v>
      </c>
      <c r="AC428" s="31" cm="1">
        <f t="array" ref="AC428">IF(LEFT(_xll.BDP($C428, VOLUME_AVG_12M), 4) = "#N/A", "",  _xll.BDP($C428, VOLUME_AVG_12M))</f>
        <v>2017870.25</v>
      </c>
      <c r="AD428" s="41" cm="1">
        <f t="array" ref="AD428">IF(LEFT(_xll.BDP($C428, LAST_PRICE), 4) = "#N/A", "",  _xll.BDP($C428, LAST_PRICE))</f>
        <v>3.26</v>
      </c>
    </row>
    <row r="429" spans="1:30" x14ac:dyDescent="0.35">
      <c r="A429" s="1">
        <f t="shared" si="6"/>
        <v>426</v>
      </c>
      <c r="B429" s="28">
        <v>45700</v>
      </c>
      <c r="C429" s="29" t="s">
        <v>906</v>
      </c>
      <c r="D429" s="29" t="s">
        <v>906</v>
      </c>
      <c r="E429" s="29" t="s">
        <v>907</v>
      </c>
      <c r="F429" s="29" t="s">
        <v>33</v>
      </c>
      <c r="G429" s="30" t="s">
        <v>34</v>
      </c>
      <c r="H429" s="31">
        <v>392801133</v>
      </c>
      <c r="I429" s="31">
        <v>205653133</v>
      </c>
      <c r="J429" s="32">
        <v>4.25</v>
      </c>
      <c r="K429" s="33">
        <v>45700</v>
      </c>
      <c r="L429" s="31">
        <v>3175500</v>
      </c>
      <c r="M429" s="32">
        <v>2</v>
      </c>
      <c r="N429" s="31" t="s">
        <v>35</v>
      </c>
      <c r="O429" s="33">
        <v>45699</v>
      </c>
      <c r="P429" s="34">
        <v>1282276</v>
      </c>
      <c r="Q429" s="34">
        <v>1031464.625</v>
      </c>
      <c r="R429" s="34">
        <v>887527.375</v>
      </c>
      <c r="S429" s="29"/>
      <c r="T429" s="33"/>
      <c r="U429" s="35" t="b">
        <v>0</v>
      </c>
      <c r="V429" s="35" t="b">
        <v>0</v>
      </c>
      <c r="W429" s="35" t="b">
        <v>0</v>
      </c>
      <c r="Y429" s="31" cm="1">
        <f t="array" ref="Y429">IF(LEFT(_xll.BDP($C429, VOLUME_AVG_10D), 4) = "#N/A", "",  _xll.BDP($C429, VOLUME_AVG_10D))</f>
        <v>1302125.5</v>
      </c>
      <c r="Z429" s="31" cm="1">
        <f t="array" ref="Z429">IF(LEFT(_xll.BDP($C429, VOLUME_AVG_30D), 4) = "#N/A", "",  _xll.BDP($C429, VOLUME_AVG_30D))</f>
        <v>1282276</v>
      </c>
      <c r="AA429" s="31" cm="1">
        <f t="array" ref="AA429">IF(LEFT(_xll.BDP($C429, VOLUME_AVG_3M), 4) = "#N/A", "",  _xll.BDP($C429, VOLUME_AVG_3M))</f>
        <v>1031464.625</v>
      </c>
      <c r="AB429" s="31" cm="1">
        <f t="array" ref="AB429">IF(LEFT(_xll.BDP($C429, VOLUME_AVG_6M), 4) = "#N/A", "",  _xll.BDP($C429, VOLUME_AVG_6M))</f>
        <v>887527.375</v>
      </c>
      <c r="AC429" s="31" cm="1">
        <f t="array" ref="AC429">IF(LEFT(_xll.BDP($C429, VOLUME_AVG_12M), 4) = "#N/A", "",  _xll.BDP($C429, VOLUME_AVG_12M))</f>
        <v>707584.625</v>
      </c>
      <c r="AD429" s="41" cm="1">
        <f t="array" ref="AD429">IF(LEFT(_xll.BDP($C429, LAST_PRICE), 4) = "#N/A", "",  _xll.BDP($C429, LAST_PRICE))</f>
        <v>4.25</v>
      </c>
    </row>
    <row r="430" spans="1:30" x14ac:dyDescent="0.35">
      <c r="A430" s="1">
        <f t="shared" si="6"/>
        <v>427</v>
      </c>
      <c r="B430" s="28">
        <v>45700</v>
      </c>
      <c r="C430" s="29" t="s">
        <v>908</v>
      </c>
      <c r="D430" s="29" t="s">
        <v>908</v>
      </c>
      <c r="E430" s="29" t="s">
        <v>909</v>
      </c>
      <c r="F430" s="29" t="s">
        <v>33</v>
      </c>
      <c r="G430" s="30" t="s">
        <v>34</v>
      </c>
      <c r="H430" s="31">
        <v>515959391.25</v>
      </c>
      <c r="I430" s="31">
        <v>387434391.25</v>
      </c>
      <c r="J430" s="32">
        <v>3.75</v>
      </c>
      <c r="K430" s="33">
        <v>45700</v>
      </c>
      <c r="L430" s="31">
        <v>13861400</v>
      </c>
      <c r="M430" s="32">
        <v>3.88</v>
      </c>
      <c r="N430" s="31" t="s">
        <v>35</v>
      </c>
      <c r="O430" s="33">
        <v>45699</v>
      </c>
      <c r="P430" s="34">
        <v>2195521.25</v>
      </c>
      <c r="Q430" s="34">
        <v>1303692.375</v>
      </c>
      <c r="R430" s="34">
        <v>873605.6875</v>
      </c>
      <c r="S430" s="29" t="s">
        <v>46</v>
      </c>
      <c r="T430" s="33">
        <v>45215</v>
      </c>
      <c r="U430" s="35" t="b">
        <v>0</v>
      </c>
      <c r="V430" s="35" t="b">
        <v>0</v>
      </c>
      <c r="W430" s="35" t="b">
        <v>0</v>
      </c>
      <c r="Y430" s="31" cm="1">
        <f t="array" ref="Y430">IF(LEFT(_xll.BDP($C430, VOLUME_AVG_10D), 4) = "#N/A", "",  _xll.BDP($C430, VOLUME_AVG_10D))</f>
        <v>1263558.75</v>
      </c>
      <c r="Z430" s="31" cm="1">
        <f t="array" ref="Z430">IF(LEFT(_xll.BDP($C430, VOLUME_AVG_30D), 4) = "#N/A", "",  _xll.BDP($C430, VOLUME_AVG_30D))</f>
        <v>2195521.25</v>
      </c>
      <c r="AA430" s="31" cm="1">
        <f t="array" ref="AA430">IF(LEFT(_xll.BDP($C430, VOLUME_AVG_3M), 4) = "#N/A", "",  _xll.BDP($C430, VOLUME_AVG_3M))</f>
        <v>1303692.375</v>
      </c>
      <c r="AB430" s="31" cm="1">
        <f t="array" ref="AB430">IF(LEFT(_xll.BDP($C430, VOLUME_AVG_6M), 4) = "#N/A", "",  _xll.BDP($C430, VOLUME_AVG_6M))</f>
        <v>873605.6875</v>
      </c>
      <c r="AC430" s="31" cm="1">
        <f t="array" ref="AC430">IF(LEFT(_xll.BDP($C430, VOLUME_AVG_12M), 4) = "#N/A", "",  _xll.BDP($C430, VOLUME_AVG_12M))</f>
        <v>624519.375</v>
      </c>
      <c r="AD430" s="41" cm="1">
        <f t="array" ref="AD430">IF(LEFT(_xll.BDP($C430, LAST_PRICE), 4) = "#N/A", "",  _xll.BDP($C430, LAST_PRICE))</f>
        <v>3.75</v>
      </c>
    </row>
    <row r="431" spans="1:30" x14ac:dyDescent="0.35">
      <c r="A431" s="1">
        <f t="shared" si="6"/>
        <v>428</v>
      </c>
      <c r="B431" s="28">
        <v>45700</v>
      </c>
      <c r="C431" s="29" t="s">
        <v>910</v>
      </c>
      <c r="D431" s="29" t="s">
        <v>910</v>
      </c>
      <c r="E431" s="29" t="s">
        <v>911</v>
      </c>
      <c r="F431" s="29" t="s">
        <v>40</v>
      </c>
      <c r="G431" s="30" t="s">
        <v>41</v>
      </c>
      <c r="H431" s="31">
        <v>1860352.4884178799</v>
      </c>
      <c r="I431" s="31">
        <v>4240118.40161788</v>
      </c>
      <c r="J431" s="32">
        <v>1.4999999664723899E-2</v>
      </c>
      <c r="K431" s="33">
        <v>45700</v>
      </c>
      <c r="L431" s="31"/>
      <c r="M431" s="32"/>
      <c r="N431" s="31"/>
      <c r="O431" s="33">
        <v>45699</v>
      </c>
      <c r="P431" s="34">
        <v>432223.7</v>
      </c>
      <c r="Q431" s="34">
        <v>394862.9</v>
      </c>
      <c r="R431" s="34">
        <v>198986</v>
      </c>
      <c r="S431" s="29"/>
      <c r="T431" s="33"/>
      <c r="U431" s="35" t="b">
        <v>1</v>
      </c>
      <c r="V431" s="35" t="b">
        <v>1</v>
      </c>
      <c r="W431" s="35" t="b">
        <v>0</v>
      </c>
      <c r="Y431" s="31" cm="1">
        <f t="array" ref="Y431">IF(LEFT(_xll.BDP($C431, VOLUME_AVG_10D), 4) = "#N/A", "",  _xll.BDP($C431, VOLUME_AVG_10D))</f>
        <v>765442.9</v>
      </c>
      <c r="Z431" s="31" cm="1">
        <f t="array" ref="Z431">IF(LEFT(_xll.BDP($C431, VOLUME_AVG_30D), 4) = "#N/A", "",  _xll.BDP($C431, VOLUME_AVG_30D))</f>
        <v>432223.7</v>
      </c>
      <c r="AA431" s="31" cm="1">
        <f t="array" ref="AA431">IF(LEFT(_xll.BDP($C431, VOLUME_AVG_3M), 4) = "#N/A", "",  _xll.BDP($C431, VOLUME_AVG_3M))</f>
        <v>394862.9</v>
      </c>
      <c r="AB431" s="31" cm="1">
        <f t="array" ref="AB431">IF(LEFT(_xll.BDP($C431, VOLUME_AVG_6M), 4) = "#N/A", "",  _xll.BDP($C431, VOLUME_AVG_6M))</f>
        <v>198986</v>
      </c>
      <c r="AC431" s="31" cm="1">
        <f t="array" ref="AC431">IF(LEFT(_xll.BDP($C431, VOLUME_AVG_12M), 4) = "#N/A", "",  _xll.BDP($C431, VOLUME_AVG_12M))</f>
        <v>193546.6</v>
      </c>
      <c r="AD431" s="41" cm="1">
        <f t="array" ref="AD431">IF(LEFT(_xll.BDP($C431, LAST_PRICE), 4) = "#N/A", "",  _xll.BDP($C431, LAST_PRICE))</f>
        <v>1.4999999999999999E-2</v>
      </c>
    </row>
    <row r="432" spans="1:30" x14ac:dyDescent="0.35">
      <c r="A432" s="1">
        <f t="shared" si="6"/>
        <v>429</v>
      </c>
      <c r="B432" s="28">
        <v>45700</v>
      </c>
      <c r="C432" s="29" t="s">
        <v>912</v>
      </c>
      <c r="D432" s="29" t="s">
        <v>912</v>
      </c>
      <c r="E432" s="29" t="s">
        <v>913</v>
      </c>
      <c r="F432" s="29" t="s">
        <v>33</v>
      </c>
      <c r="G432" s="30" t="s">
        <v>34</v>
      </c>
      <c r="H432" s="31">
        <v>193436588.384123</v>
      </c>
      <c r="I432" s="31">
        <v>83678588.384123296</v>
      </c>
      <c r="J432" s="32">
        <v>2.1900000572204599</v>
      </c>
      <c r="K432" s="33">
        <v>45700</v>
      </c>
      <c r="L432" s="31"/>
      <c r="M432" s="32"/>
      <c r="N432" s="31"/>
      <c r="O432" s="33">
        <v>45699</v>
      </c>
      <c r="P432" s="34">
        <v>995316.4375</v>
      </c>
      <c r="Q432" s="34">
        <v>711151.8125</v>
      </c>
      <c r="R432" s="34">
        <v>463241.21875</v>
      </c>
      <c r="S432" s="29"/>
      <c r="T432" s="33"/>
      <c r="U432" s="35" t="b">
        <v>0</v>
      </c>
      <c r="V432" s="35" t="b">
        <v>0</v>
      </c>
      <c r="W432" s="35" t="b">
        <v>0</v>
      </c>
      <c r="Y432" s="31" cm="1">
        <f t="array" ref="Y432">IF(LEFT(_xll.BDP($C432, VOLUME_AVG_10D), 4) = "#N/A", "",  _xll.BDP($C432, VOLUME_AVG_10D))</f>
        <v>798045.625</v>
      </c>
      <c r="Z432" s="31" cm="1">
        <f t="array" ref="Z432">IF(LEFT(_xll.BDP($C432, VOLUME_AVG_30D), 4) = "#N/A", "",  _xll.BDP($C432, VOLUME_AVG_30D))</f>
        <v>995316.4375</v>
      </c>
      <c r="AA432" s="31" cm="1">
        <f t="array" ref="AA432">IF(LEFT(_xll.BDP($C432, VOLUME_AVG_3M), 4) = "#N/A", "",  _xll.BDP($C432, VOLUME_AVG_3M))</f>
        <v>711151.8125</v>
      </c>
      <c r="AB432" s="31" cm="1">
        <f t="array" ref="AB432">IF(LEFT(_xll.BDP($C432, VOLUME_AVG_6M), 4) = "#N/A", "",  _xll.BDP($C432, VOLUME_AVG_6M))</f>
        <v>463241.21875</v>
      </c>
      <c r="AC432" s="31" cm="1">
        <f t="array" ref="AC432">IF(LEFT(_xll.BDP($C432, VOLUME_AVG_12M), 4) = "#N/A", "",  _xll.BDP($C432, VOLUME_AVG_12M))</f>
        <v>435646.96875</v>
      </c>
      <c r="AD432" s="41" cm="1">
        <f t="array" ref="AD432">IF(LEFT(_xll.BDP($C432, LAST_PRICE), 4) = "#N/A", "",  _xll.BDP($C432, LAST_PRICE))</f>
        <v>2.19</v>
      </c>
    </row>
    <row r="433" spans="1:30" x14ac:dyDescent="0.35">
      <c r="A433" s="1">
        <f t="shared" si="6"/>
        <v>430</v>
      </c>
      <c r="B433" s="28">
        <v>45700</v>
      </c>
      <c r="C433" s="29" t="s">
        <v>914</v>
      </c>
      <c r="D433" s="29" t="s">
        <v>914</v>
      </c>
      <c r="E433" s="29" t="s">
        <v>915</v>
      </c>
      <c r="F433" s="29" t="s">
        <v>33</v>
      </c>
      <c r="G433" s="30" t="s">
        <v>34</v>
      </c>
      <c r="H433" s="31">
        <v>3053465.5404973002</v>
      </c>
      <c r="I433" s="31">
        <v>1864670.5404973</v>
      </c>
      <c r="J433" s="32">
        <v>2.7974998950958301</v>
      </c>
      <c r="K433" s="33">
        <v>45700</v>
      </c>
      <c r="L433" s="31">
        <v>4400</v>
      </c>
      <c r="M433" s="32">
        <v>1.7</v>
      </c>
      <c r="N433" s="31" t="s">
        <v>35</v>
      </c>
      <c r="O433" s="33">
        <v>45699</v>
      </c>
      <c r="P433" s="34">
        <v>1515.83337402344</v>
      </c>
      <c r="Q433" s="34">
        <v>1972.30639648438</v>
      </c>
      <c r="R433" s="34">
        <v>1418.07934570313</v>
      </c>
      <c r="S433" s="29"/>
      <c r="T433" s="33"/>
      <c r="U433" s="35" t="b">
        <v>1</v>
      </c>
      <c r="V433" s="35" t="b">
        <v>0</v>
      </c>
      <c r="W433" s="35" t="b">
        <v>0</v>
      </c>
      <c r="Y433" s="31" cm="1">
        <f t="array" ref="Y433">IF(LEFT(_xll.BDP($C433, VOLUME_AVG_10D), 4) = "#N/A", "",  _xll.BDP($C433, VOLUME_AVG_10D))</f>
        <v>876.0999755859375</v>
      </c>
      <c r="Z433" s="31" cm="1">
        <f t="array" ref="Z433">IF(LEFT(_xll.BDP($C433, VOLUME_AVG_30D), 4) = "#N/A", "",  _xll.BDP($C433, VOLUME_AVG_30D))</f>
        <v>1515.8333740234375</v>
      </c>
      <c r="AA433" s="31" cm="1">
        <f t="array" ref="AA433">IF(LEFT(_xll.BDP($C433, VOLUME_AVG_3M), 4) = "#N/A", "",  _xll.BDP($C433, VOLUME_AVG_3M))</f>
        <v>1972.306396484375</v>
      </c>
      <c r="AB433" s="31" cm="1">
        <f t="array" ref="AB433">IF(LEFT(_xll.BDP($C433, VOLUME_AVG_6M), 4) = "#N/A", "",  _xll.BDP($C433, VOLUME_AVG_6M))</f>
        <v>1418.079345703125</v>
      </c>
      <c r="AC433" s="31" cm="1">
        <f t="array" ref="AC433">IF(LEFT(_xll.BDP($C433, VOLUME_AVG_12M), 4) = "#N/A", "",  _xll.BDP($C433, VOLUME_AVG_12M))</f>
        <v>1139.6334228515625</v>
      </c>
      <c r="AD433" s="41" cm="1">
        <f t="array" ref="AD433">IF(LEFT(_xll.BDP($C433, LAST_PRICE), 4) = "#N/A", "",  _xll.BDP($C433, LAST_PRICE))</f>
        <v>2.7974999999999999</v>
      </c>
    </row>
    <row r="434" spans="1:30" x14ac:dyDescent="0.35">
      <c r="A434" s="1">
        <f t="shared" si="6"/>
        <v>431</v>
      </c>
      <c r="B434" s="28">
        <v>45700</v>
      </c>
      <c r="C434" s="29" t="s">
        <v>916</v>
      </c>
      <c r="D434" s="29" t="s">
        <v>916</v>
      </c>
      <c r="E434" s="29" t="s">
        <v>917</v>
      </c>
      <c r="F434" s="29" t="s">
        <v>40</v>
      </c>
      <c r="G434" s="30" t="s">
        <v>41</v>
      </c>
      <c r="H434" s="31">
        <v>32302563.624003399</v>
      </c>
      <c r="I434" s="31">
        <v>29320218.024003401</v>
      </c>
      <c r="J434" s="32">
        <v>0.730000019073486</v>
      </c>
      <c r="K434" s="33">
        <v>45700</v>
      </c>
      <c r="L434" s="31">
        <v>108000</v>
      </c>
      <c r="M434" s="32">
        <v>-3.6</v>
      </c>
      <c r="N434" s="31" t="s">
        <v>35</v>
      </c>
      <c r="O434" s="33">
        <v>45699</v>
      </c>
      <c r="P434" s="34">
        <v>11411.6</v>
      </c>
      <c r="Q434" s="34">
        <v>15081.48</v>
      </c>
      <c r="R434" s="34">
        <v>10172.31</v>
      </c>
      <c r="S434" s="29"/>
      <c r="T434" s="33"/>
      <c r="U434" s="35" t="b">
        <v>0</v>
      </c>
      <c r="V434" s="35" t="b">
        <v>0</v>
      </c>
      <c r="W434" s="35" t="b">
        <v>0</v>
      </c>
      <c r="Y434" s="31" cm="1">
        <f t="array" ref="Y434">IF(LEFT(_xll.BDP($C434, VOLUME_AVG_10D), 4) = "#N/A", "",  _xll.BDP($C434, VOLUME_AVG_10D))</f>
        <v>14001</v>
      </c>
      <c r="Z434" s="31" cm="1">
        <f t="array" ref="Z434">IF(LEFT(_xll.BDP($C434, VOLUME_AVG_30D), 4) = "#N/A", "",  _xll.BDP($C434, VOLUME_AVG_30D))</f>
        <v>11411.6</v>
      </c>
      <c r="AA434" s="31" cm="1">
        <f t="array" ref="AA434">IF(LEFT(_xll.BDP($C434, VOLUME_AVG_3M), 4) = "#N/A", "",  _xll.BDP($C434, VOLUME_AVG_3M))</f>
        <v>15081.48</v>
      </c>
      <c r="AB434" s="31" cm="1">
        <f t="array" ref="AB434">IF(LEFT(_xll.BDP($C434, VOLUME_AVG_6M), 4) = "#N/A", "",  _xll.BDP($C434, VOLUME_AVG_6M))</f>
        <v>10172.31</v>
      </c>
      <c r="AC434" s="31" cm="1">
        <f t="array" ref="AC434">IF(LEFT(_xll.BDP($C434, VOLUME_AVG_12M), 4) = "#N/A", "",  _xll.BDP($C434, VOLUME_AVG_12M))</f>
        <v>6840.8919999999998</v>
      </c>
      <c r="AD434" s="41" cm="1">
        <f t="array" ref="AD434">IF(LEFT(_xll.BDP($C434, LAST_PRICE), 4) = "#N/A", "",  _xll.BDP($C434, LAST_PRICE))</f>
        <v>0.73</v>
      </c>
    </row>
    <row r="435" spans="1:30" x14ac:dyDescent="0.35">
      <c r="A435" s="1">
        <f t="shared" si="6"/>
        <v>432</v>
      </c>
      <c r="B435" s="28">
        <v>45700</v>
      </c>
      <c r="C435" s="29" t="s">
        <v>918</v>
      </c>
      <c r="D435" s="29" t="s">
        <v>918</v>
      </c>
      <c r="E435" s="29" t="s">
        <v>919</v>
      </c>
      <c r="F435" s="29" t="s">
        <v>33</v>
      </c>
      <c r="G435" s="30" t="s">
        <v>34</v>
      </c>
      <c r="H435" s="31">
        <v>2847400804.8043098</v>
      </c>
      <c r="I435" s="31">
        <v>4681825804.8043098</v>
      </c>
      <c r="J435" s="32">
        <v>22.360000610351602</v>
      </c>
      <c r="K435" s="33">
        <v>45700</v>
      </c>
      <c r="L435" s="31">
        <v>46180000</v>
      </c>
      <c r="M435" s="32">
        <v>3.88</v>
      </c>
      <c r="N435" s="31" t="s">
        <v>35</v>
      </c>
      <c r="O435" s="33">
        <v>45699</v>
      </c>
      <c r="P435" s="34">
        <v>797583.125</v>
      </c>
      <c r="Q435" s="34">
        <v>1065449.375</v>
      </c>
      <c r="R435" s="34">
        <v>713003.875</v>
      </c>
      <c r="S435" s="29"/>
      <c r="T435" s="33"/>
      <c r="U435" s="35" t="b">
        <v>0</v>
      </c>
      <c r="V435" s="35" t="b">
        <v>0</v>
      </c>
      <c r="W435" s="35" t="b">
        <v>0</v>
      </c>
      <c r="Y435" s="31" cm="1">
        <f t="array" ref="Y435">IF(LEFT(_xll.BDP($C435, VOLUME_AVG_10D), 4) = "#N/A", "",  _xll.BDP($C435, VOLUME_AVG_10D))</f>
        <v>751272.8125</v>
      </c>
      <c r="Z435" s="31" cm="1">
        <f t="array" ref="Z435">IF(LEFT(_xll.BDP($C435, VOLUME_AVG_30D), 4) = "#N/A", "",  _xll.BDP($C435, VOLUME_AVG_30D))</f>
        <v>797583.125</v>
      </c>
      <c r="AA435" s="31" cm="1">
        <f t="array" ref="AA435">IF(LEFT(_xll.BDP($C435, VOLUME_AVG_3M), 4) = "#N/A", "",  _xll.BDP($C435, VOLUME_AVG_3M))</f>
        <v>1065449.375</v>
      </c>
      <c r="AB435" s="31" cm="1">
        <f t="array" ref="AB435">IF(LEFT(_xll.BDP($C435, VOLUME_AVG_6M), 4) = "#N/A", "",  _xll.BDP($C435, VOLUME_AVG_6M))</f>
        <v>713003.875</v>
      </c>
      <c r="AC435" s="31" t="str" cm="1">
        <f t="array" ref="AC435">IF(LEFT(_xll.BDP($C435, VOLUME_AVG_12M), 4) = "#N/A", "",  _xll.BDP($C435, VOLUME_AVG_12M))</f>
        <v/>
      </c>
      <c r="AD435" s="41" cm="1">
        <f t="array" ref="AD435">IF(LEFT(_xll.BDP($C435, LAST_PRICE), 4) = "#N/A", "",  _xll.BDP($C435, LAST_PRICE))</f>
        <v>22.36</v>
      </c>
    </row>
    <row r="436" spans="1:30" x14ac:dyDescent="0.35">
      <c r="A436" s="1">
        <f t="shared" si="6"/>
        <v>433</v>
      </c>
      <c r="B436" s="28">
        <v>45700</v>
      </c>
      <c r="C436" s="29" t="s">
        <v>920</v>
      </c>
      <c r="D436" s="29" t="s">
        <v>920</v>
      </c>
      <c r="E436" s="29" t="s">
        <v>921</v>
      </c>
      <c r="F436" s="29" t="s">
        <v>33</v>
      </c>
      <c r="G436" s="30" t="s">
        <v>34</v>
      </c>
      <c r="H436" s="31">
        <v>13429734.183</v>
      </c>
      <c r="I436" s="31">
        <v>1017524734.183</v>
      </c>
      <c r="J436" s="32">
        <v>4.7699999999999996</v>
      </c>
      <c r="K436" s="33">
        <v>45700</v>
      </c>
      <c r="L436" s="31">
        <v>3300</v>
      </c>
      <c r="M436" s="32">
        <v>-96.35</v>
      </c>
      <c r="N436" s="31" t="s">
        <v>35</v>
      </c>
      <c r="O436" s="33">
        <v>45699</v>
      </c>
      <c r="P436" s="34">
        <v>13445.2333984375</v>
      </c>
      <c r="Q436" s="34">
        <v>9023.9833984375</v>
      </c>
      <c r="R436" s="34">
        <v>8965.8330078125</v>
      </c>
      <c r="S436" s="29"/>
      <c r="T436" s="33"/>
      <c r="U436" s="35" t="b">
        <v>1</v>
      </c>
      <c r="V436" s="35" t="b">
        <v>0</v>
      </c>
      <c r="W436" s="35" t="b">
        <v>0</v>
      </c>
      <c r="Y436" s="31" cm="1">
        <f t="array" ref="Y436">IF(LEFT(_xll.BDP($C436, VOLUME_AVG_10D), 4) = "#N/A", "",  _xll.BDP($C436, VOLUME_AVG_10D))</f>
        <v>6611.89990234375</v>
      </c>
      <c r="Z436" s="31" cm="1">
        <f t="array" ref="Z436">IF(LEFT(_xll.BDP($C436, VOLUME_AVG_30D), 4) = "#N/A", "",  _xll.BDP($C436, VOLUME_AVG_30D))</f>
        <v>13445.2333984375</v>
      </c>
      <c r="AA436" s="31" cm="1">
        <f t="array" ref="AA436">IF(LEFT(_xll.BDP($C436, VOLUME_AVG_3M), 4) = "#N/A", "",  _xll.BDP($C436, VOLUME_AVG_3M))</f>
        <v>9023.9833984375</v>
      </c>
      <c r="AB436" s="31" cm="1">
        <f t="array" ref="AB436">IF(LEFT(_xll.BDP($C436, VOLUME_AVG_6M), 4) = "#N/A", "",  _xll.BDP($C436, VOLUME_AVG_6M))</f>
        <v>8965.8330078125</v>
      </c>
      <c r="AC436" s="31" cm="1">
        <f t="array" ref="AC436">IF(LEFT(_xll.BDP($C436, VOLUME_AVG_12M), 4) = "#N/A", "",  _xll.BDP($C436, VOLUME_AVG_12M))</f>
        <v>16683.90625</v>
      </c>
      <c r="AD436" s="41" cm="1">
        <f t="array" ref="AD436">IF(LEFT(_xll.BDP($C436, LAST_PRICE), 4) = "#N/A", "",  _xll.BDP($C436, LAST_PRICE))</f>
        <v>4.7699999999999996</v>
      </c>
    </row>
    <row r="437" spans="1:30" x14ac:dyDescent="0.35">
      <c r="A437" s="1">
        <f t="shared" si="6"/>
        <v>434</v>
      </c>
      <c r="B437" s="28">
        <v>45700</v>
      </c>
      <c r="C437" s="29" t="s">
        <v>922</v>
      </c>
      <c r="D437" s="29" t="s">
        <v>922</v>
      </c>
      <c r="E437" s="29" t="s">
        <v>923</v>
      </c>
      <c r="F437" s="29" t="s">
        <v>33</v>
      </c>
      <c r="G437" s="30" t="s">
        <v>34</v>
      </c>
      <c r="H437" s="31">
        <v>3776072.3593065701</v>
      </c>
      <c r="I437" s="31">
        <v>4080072.3593065701</v>
      </c>
      <c r="J437" s="32">
        <v>1.7799999713897701</v>
      </c>
      <c r="K437" s="33">
        <v>45700</v>
      </c>
      <c r="L437" s="31">
        <v>13800</v>
      </c>
      <c r="M437" s="32">
        <v>-18</v>
      </c>
      <c r="N437" s="31" t="s">
        <v>35</v>
      </c>
      <c r="O437" s="33">
        <v>45699</v>
      </c>
      <c r="P437" s="34">
        <v>6236705</v>
      </c>
      <c r="Q437" s="34">
        <v>3178483.25</v>
      </c>
      <c r="R437" s="34">
        <v>1636991</v>
      </c>
      <c r="S437" s="29"/>
      <c r="T437" s="33"/>
      <c r="U437" s="35" t="b">
        <v>1</v>
      </c>
      <c r="V437" s="35" t="b">
        <v>0</v>
      </c>
      <c r="W437" s="35" t="b">
        <v>0</v>
      </c>
      <c r="Y437" s="31" cm="1">
        <f t="array" ref="Y437">IF(LEFT(_xll.BDP($C437, VOLUME_AVG_10D), 4) = "#N/A", "",  _xll.BDP($C437, VOLUME_AVG_10D))</f>
        <v>16068708</v>
      </c>
      <c r="Z437" s="31" cm="1">
        <f t="array" ref="Z437">IF(LEFT(_xll.BDP($C437, VOLUME_AVG_30D), 4) = "#N/A", "",  _xll.BDP($C437, VOLUME_AVG_30D))</f>
        <v>6236705</v>
      </c>
      <c r="AA437" s="31" cm="1">
        <f t="array" ref="AA437">IF(LEFT(_xll.BDP($C437, VOLUME_AVG_3M), 4) = "#N/A", "",  _xll.BDP($C437, VOLUME_AVG_3M))</f>
        <v>3178483.25</v>
      </c>
      <c r="AB437" s="31" cm="1">
        <f t="array" ref="AB437">IF(LEFT(_xll.BDP($C437, VOLUME_AVG_6M), 4) = "#N/A", "",  _xll.BDP($C437, VOLUME_AVG_6M))</f>
        <v>1636991</v>
      </c>
      <c r="AC437" s="31" cm="1">
        <f t="array" ref="AC437">IF(LEFT(_xll.BDP($C437, VOLUME_AVG_12M), 4) = "#N/A", "",  _xll.BDP($C437, VOLUME_AVG_12M))</f>
        <v>845111.0625</v>
      </c>
      <c r="AD437" s="41" cm="1">
        <f t="array" ref="AD437">IF(LEFT(_xll.BDP($C437, LAST_PRICE), 4) = "#N/A", "",  _xll.BDP($C437, LAST_PRICE))</f>
        <v>1.78</v>
      </c>
    </row>
    <row r="438" spans="1:30" x14ac:dyDescent="0.35">
      <c r="A438" s="1">
        <f t="shared" si="6"/>
        <v>435</v>
      </c>
      <c r="B438" s="28">
        <v>45700</v>
      </c>
      <c r="C438" s="29" t="s">
        <v>924</v>
      </c>
      <c r="D438" s="29" t="s">
        <v>924</v>
      </c>
      <c r="E438" s="29" t="s">
        <v>925</v>
      </c>
      <c r="F438" s="29" t="s">
        <v>33</v>
      </c>
      <c r="G438" s="30" t="s">
        <v>34</v>
      </c>
      <c r="H438" s="31">
        <v>1930678312.5</v>
      </c>
      <c r="I438" s="31"/>
      <c r="J438" s="32">
        <v>62.5</v>
      </c>
      <c r="K438" s="33">
        <v>45700</v>
      </c>
      <c r="L438" s="31">
        <v>9523600</v>
      </c>
      <c r="M438" s="32">
        <v>3.88</v>
      </c>
      <c r="N438" s="31" t="s">
        <v>35</v>
      </c>
      <c r="O438" s="33">
        <v>45699</v>
      </c>
      <c r="P438" s="34">
        <v>447835.625</v>
      </c>
      <c r="Q438" s="34">
        <v>426456.46875</v>
      </c>
      <c r="R438" s="34">
        <v>412981.625</v>
      </c>
      <c r="S438" s="29"/>
      <c r="T438" s="33"/>
      <c r="U438" s="35" t="b">
        <v>0</v>
      </c>
      <c r="V438" s="35" t="b">
        <v>0</v>
      </c>
      <c r="W438" s="35" t="b">
        <v>1</v>
      </c>
      <c r="Y438" s="31" cm="1">
        <f t="array" ref="Y438">IF(LEFT(_xll.BDP($C438, VOLUME_AVG_10D), 4) = "#N/A", "",  _xll.BDP($C438, VOLUME_AVG_10D))</f>
        <v>575227.8125</v>
      </c>
      <c r="Z438" s="31" cm="1">
        <f t="array" ref="Z438">IF(LEFT(_xll.BDP($C438, VOLUME_AVG_30D), 4) = "#N/A", "",  _xll.BDP($C438, VOLUME_AVG_30D))</f>
        <v>447835.625</v>
      </c>
      <c r="AA438" s="31" cm="1">
        <f t="array" ref="AA438">IF(LEFT(_xll.BDP($C438, VOLUME_AVG_3M), 4) = "#N/A", "",  _xll.BDP($C438, VOLUME_AVG_3M))</f>
        <v>426456.46875</v>
      </c>
      <c r="AB438" s="31" cm="1">
        <f t="array" ref="AB438">IF(LEFT(_xll.BDP($C438, VOLUME_AVG_6M), 4) = "#N/A", "",  _xll.BDP($C438, VOLUME_AVG_6M))</f>
        <v>412981.625</v>
      </c>
      <c r="AC438" s="31" cm="1">
        <f t="array" ref="AC438">IF(LEFT(_xll.BDP($C438, VOLUME_AVG_12M), 4) = "#N/A", "",  _xll.BDP($C438, VOLUME_AVG_12M))</f>
        <v>451983.375</v>
      </c>
      <c r="AD438" s="41" cm="1">
        <f t="array" ref="AD438">IF(LEFT(_xll.BDP($C438, LAST_PRICE), 4) = "#N/A", "",  _xll.BDP($C438, LAST_PRICE))</f>
        <v>62.5</v>
      </c>
    </row>
    <row r="439" spans="1:30" x14ac:dyDescent="0.35">
      <c r="A439" s="1">
        <f t="shared" si="6"/>
        <v>436</v>
      </c>
      <c r="B439" s="28">
        <v>45700</v>
      </c>
      <c r="C439" s="29" t="s">
        <v>926</v>
      </c>
      <c r="D439" s="29" t="s">
        <v>926</v>
      </c>
      <c r="E439" s="29" t="s">
        <v>927</v>
      </c>
      <c r="F439" s="29" t="s">
        <v>33</v>
      </c>
      <c r="G439" s="30" t="s">
        <v>34</v>
      </c>
      <c r="H439" s="31">
        <v>50712151.080735199</v>
      </c>
      <c r="I439" s="31">
        <v>-468728007.630086</v>
      </c>
      <c r="J439" s="32">
        <v>0.91780000925064098</v>
      </c>
      <c r="K439" s="33">
        <v>45700</v>
      </c>
      <c r="L439" s="31">
        <v>87900</v>
      </c>
      <c r="M439" s="32">
        <v>-5.25</v>
      </c>
      <c r="N439" s="31" t="s">
        <v>35</v>
      </c>
      <c r="O439" s="33">
        <v>45699</v>
      </c>
      <c r="P439" s="34">
        <v>25278.833984375</v>
      </c>
      <c r="Q439" s="34">
        <v>26003.484375</v>
      </c>
      <c r="R439" s="34">
        <v>27775.0390625</v>
      </c>
      <c r="S439" s="29"/>
      <c r="T439" s="33"/>
      <c r="U439" s="35" t="b">
        <v>0</v>
      </c>
      <c r="V439" s="35" t="b">
        <v>0</v>
      </c>
      <c r="W439" s="35" t="b">
        <v>1</v>
      </c>
      <c r="Y439" s="31" cm="1">
        <f t="array" ref="Y439">IF(LEFT(_xll.BDP($C439, VOLUME_AVG_10D), 4) = "#N/A", "",  _xll.BDP($C439, VOLUME_AVG_10D))</f>
        <v>20539.5</v>
      </c>
      <c r="Z439" s="31" cm="1">
        <f t="array" ref="Z439">IF(LEFT(_xll.BDP($C439, VOLUME_AVG_30D), 4) = "#N/A", "",  _xll.BDP($C439, VOLUME_AVG_30D))</f>
        <v>25278.833984375</v>
      </c>
      <c r="AA439" s="31" cm="1">
        <f t="array" ref="AA439">IF(LEFT(_xll.BDP($C439, VOLUME_AVG_3M), 4) = "#N/A", "",  _xll.BDP($C439, VOLUME_AVG_3M))</f>
        <v>26003.484375</v>
      </c>
      <c r="AB439" s="31" cm="1">
        <f t="array" ref="AB439">IF(LEFT(_xll.BDP($C439, VOLUME_AVG_6M), 4) = "#N/A", "",  _xll.BDP($C439, VOLUME_AVG_6M))</f>
        <v>27775.0390625</v>
      </c>
      <c r="AC439" s="31" cm="1">
        <f t="array" ref="AC439">IF(LEFT(_xll.BDP($C439, VOLUME_AVG_12M), 4) = "#N/A", "",  _xll.BDP($C439, VOLUME_AVG_12M))</f>
        <v>69151.7421875</v>
      </c>
      <c r="AD439" s="41" cm="1">
        <f t="array" ref="AD439">IF(LEFT(_xll.BDP($C439, LAST_PRICE), 4) = "#N/A", "",  _xll.BDP($C439, LAST_PRICE))</f>
        <v>0.91779999999999995</v>
      </c>
    </row>
    <row r="440" spans="1:30" x14ac:dyDescent="0.35">
      <c r="A440" s="1">
        <f t="shared" si="6"/>
        <v>437</v>
      </c>
      <c r="B440" s="28">
        <v>45700</v>
      </c>
      <c r="C440" s="29" t="s">
        <v>928</v>
      </c>
      <c r="D440" s="29" t="s">
        <v>928</v>
      </c>
      <c r="E440" s="29" t="s">
        <v>929</v>
      </c>
      <c r="F440" s="29" t="s">
        <v>33</v>
      </c>
      <c r="G440" s="30" t="s">
        <v>34</v>
      </c>
      <c r="H440" s="31">
        <v>59998650.494049497</v>
      </c>
      <c r="I440" s="31">
        <v>45548823.494049497</v>
      </c>
      <c r="J440" s="32">
        <v>0.80000001192092896</v>
      </c>
      <c r="K440" s="33">
        <v>45700</v>
      </c>
      <c r="L440" s="31">
        <v>10225100</v>
      </c>
      <c r="M440" s="32">
        <v>3.88</v>
      </c>
      <c r="N440" s="31" t="s">
        <v>35</v>
      </c>
      <c r="O440" s="33">
        <v>45699</v>
      </c>
      <c r="P440" s="34">
        <v>276508.40625</v>
      </c>
      <c r="Q440" s="34">
        <v>495648.9375</v>
      </c>
      <c r="R440" s="34">
        <v>370205.84375</v>
      </c>
      <c r="S440" s="29" t="s">
        <v>46</v>
      </c>
      <c r="T440" s="33">
        <v>45446</v>
      </c>
      <c r="U440" s="35" t="b">
        <v>0</v>
      </c>
      <c r="V440" s="35" t="b">
        <v>0</v>
      </c>
      <c r="W440" s="35" t="b">
        <v>0</v>
      </c>
      <c r="Y440" s="31" cm="1">
        <f t="array" ref="Y440">IF(LEFT(_xll.BDP($C440, VOLUME_AVG_10D), 4) = "#N/A", "",  _xll.BDP($C440, VOLUME_AVG_10D))</f>
        <v>145545.40625</v>
      </c>
      <c r="Z440" s="31" cm="1">
        <f t="array" ref="Z440">IF(LEFT(_xll.BDP($C440, VOLUME_AVG_30D), 4) = "#N/A", "",  _xll.BDP($C440, VOLUME_AVG_30D))</f>
        <v>276508.40625</v>
      </c>
      <c r="AA440" s="31" cm="1">
        <f t="array" ref="AA440">IF(LEFT(_xll.BDP($C440, VOLUME_AVG_3M), 4) = "#N/A", "",  _xll.BDP($C440, VOLUME_AVG_3M))</f>
        <v>495648.9375</v>
      </c>
      <c r="AB440" s="31" cm="1">
        <f t="array" ref="AB440">IF(LEFT(_xll.BDP($C440, VOLUME_AVG_6M), 4) = "#N/A", "",  _xll.BDP($C440, VOLUME_AVG_6M))</f>
        <v>370205.84375</v>
      </c>
      <c r="AC440" s="31" cm="1">
        <f t="array" ref="AC440">IF(LEFT(_xll.BDP($C440, VOLUME_AVG_12M), 4) = "#N/A", "",  _xll.BDP($C440, VOLUME_AVG_12M))</f>
        <v>387135.6875</v>
      </c>
      <c r="AD440" s="41" cm="1">
        <f t="array" ref="AD440">IF(LEFT(_xll.BDP($C440, LAST_PRICE), 4) = "#N/A", "",  _xll.BDP($C440, LAST_PRICE))</f>
        <v>0.8</v>
      </c>
    </row>
    <row r="441" spans="1:30" x14ac:dyDescent="0.35">
      <c r="A441" s="1">
        <f t="shared" si="6"/>
        <v>438</v>
      </c>
      <c r="B441" s="28">
        <v>45700</v>
      </c>
      <c r="C441" s="29" t="s">
        <v>930</v>
      </c>
      <c r="D441" s="29" t="s">
        <v>930</v>
      </c>
      <c r="E441" s="29" t="s">
        <v>931</v>
      </c>
      <c r="F441" s="29" t="s">
        <v>33</v>
      </c>
      <c r="G441" s="30" t="s">
        <v>34</v>
      </c>
      <c r="H441" s="31">
        <v>200809006.486655</v>
      </c>
      <c r="I441" s="31">
        <v>-12490993.5133448</v>
      </c>
      <c r="J441" s="32">
        <v>7.78999996185303</v>
      </c>
      <c r="K441" s="33">
        <v>45700</v>
      </c>
      <c r="L441" s="31">
        <v>2778900</v>
      </c>
      <c r="M441" s="32">
        <v>2.85</v>
      </c>
      <c r="N441" s="31" t="s">
        <v>35</v>
      </c>
      <c r="O441" s="33">
        <v>45699</v>
      </c>
      <c r="P441" s="34">
        <v>77126.46875</v>
      </c>
      <c r="Q441" s="34">
        <v>93258.078125</v>
      </c>
      <c r="R441" s="34">
        <v>82427.421875</v>
      </c>
      <c r="S441" s="29"/>
      <c r="T441" s="33"/>
      <c r="U441" s="35" t="b">
        <v>0</v>
      </c>
      <c r="V441" s="35" t="b">
        <v>0</v>
      </c>
      <c r="W441" s="35" t="b">
        <v>1</v>
      </c>
      <c r="Y441" s="31" cm="1">
        <f t="array" ref="Y441">IF(LEFT(_xll.BDP($C441, VOLUME_AVG_10D), 4) = "#N/A", "",  _xll.BDP($C441, VOLUME_AVG_10D))</f>
        <v>65426.1015625</v>
      </c>
      <c r="Z441" s="31" cm="1">
        <f t="array" ref="Z441">IF(LEFT(_xll.BDP($C441, VOLUME_AVG_30D), 4) = "#N/A", "",  _xll.BDP($C441, VOLUME_AVG_30D))</f>
        <v>77126.46875</v>
      </c>
      <c r="AA441" s="31" cm="1">
        <f t="array" ref="AA441">IF(LEFT(_xll.BDP($C441, VOLUME_AVG_3M), 4) = "#N/A", "",  _xll.BDP($C441, VOLUME_AVG_3M))</f>
        <v>93258.078125</v>
      </c>
      <c r="AB441" s="31" cm="1">
        <f t="array" ref="AB441">IF(LEFT(_xll.BDP($C441, VOLUME_AVG_6M), 4) = "#N/A", "",  _xll.BDP($C441, VOLUME_AVG_6M))</f>
        <v>82427.421875</v>
      </c>
      <c r="AC441" s="31" t="str" cm="1">
        <f t="array" ref="AC441">IF(LEFT(_xll.BDP($C441, VOLUME_AVG_12M), 4) = "#N/A", "",  _xll.BDP($C441, VOLUME_AVG_12M))</f>
        <v/>
      </c>
      <c r="AD441" s="41" cm="1">
        <f t="array" ref="AD441">IF(LEFT(_xll.BDP($C441, LAST_PRICE), 4) = "#N/A", "",  _xll.BDP($C441, LAST_PRICE))</f>
        <v>7.79</v>
      </c>
    </row>
    <row r="442" spans="1:30" x14ac:dyDescent="0.35">
      <c r="A442" s="1">
        <f t="shared" si="6"/>
        <v>439</v>
      </c>
      <c r="B442" s="28">
        <v>45700</v>
      </c>
      <c r="C442" s="29" t="s">
        <v>932</v>
      </c>
      <c r="D442" s="29" t="s">
        <v>932</v>
      </c>
      <c r="E442" s="29" t="s">
        <v>933</v>
      </c>
      <c r="F442" s="29" t="s">
        <v>33</v>
      </c>
      <c r="G442" s="30" t="s">
        <v>34</v>
      </c>
      <c r="H442" s="31">
        <v>18361601592</v>
      </c>
      <c r="I442" s="31">
        <v>21107301592</v>
      </c>
      <c r="J442" s="32">
        <v>92</v>
      </c>
      <c r="K442" s="33">
        <v>45700</v>
      </c>
      <c r="L442" s="31">
        <v>78601800</v>
      </c>
      <c r="M442" s="32">
        <v>3.88</v>
      </c>
      <c r="N442" s="31" t="s">
        <v>35</v>
      </c>
      <c r="O442" s="33">
        <v>45699</v>
      </c>
      <c r="P442" s="34">
        <v>1225021.25</v>
      </c>
      <c r="Q442" s="34">
        <v>1392484.875</v>
      </c>
      <c r="R442" s="34">
        <v>1265503.75</v>
      </c>
      <c r="S442" s="29"/>
      <c r="T442" s="33"/>
      <c r="U442" s="35" t="b">
        <v>0</v>
      </c>
      <c r="V442" s="35" t="b">
        <v>0</v>
      </c>
      <c r="W442" s="35" t="b">
        <v>0</v>
      </c>
      <c r="Y442" s="31" cm="1">
        <f t="array" ref="Y442">IF(LEFT(_xll.BDP($C442, VOLUME_AVG_10D), 4) = "#N/A", "",  _xll.BDP($C442, VOLUME_AVG_10D))</f>
        <v>921287.125</v>
      </c>
      <c r="Z442" s="31" cm="1">
        <f t="array" ref="Z442">IF(LEFT(_xll.BDP($C442, VOLUME_AVG_30D), 4) = "#N/A", "",  _xll.BDP($C442, VOLUME_AVG_30D))</f>
        <v>1225021.25</v>
      </c>
      <c r="AA442" s="31" cm="1">
        <f t="array" ref="AA442">IF(LEFT(_xll.BDP($C442, VOLUME_AVG_3M), 4) = "#N/A", "",  _xll.BDP($C442, VOLUME_AVG_3M))</f>
        <v>1392484.875</v>
      </c>
      <c r="AB442" s="31" cm="1">
        <f t="array" ref="AB442">IF(LEFT(_xll.BDP($C442, VOLUME_AVG_6M), 4) = "#N/A", "",  _xll.BDP($C442, VOLUME_AVG_6M))</f>
        <v>1265503.75</v>
      </c>
      <c r="AC442" s="31" cm="1">
        <f t="array" ref="AC442">IF(LEFT(_xll.BDP($C442, VOLUME_AVG_12M), 4) = "#N/A", "",  _xll.BDP($C442, VOLUME_AVG_12M))</f>
        <v>1206804.875</v>
      </c>
      <c r="AD442" s="41" cm="1">
        <f t="array" ref="AD442">IF(LEFT(_xll.BDP($C442, LAST_PRICE), 4) = "#N/A", "",  _xll.BDP($C442, LAST_PRICE))</f>
        <v>92</v>
      </c>
    </row>
    <row r="443" spans="1:30" x14ac:dyDescent="0.35">
      <c r="A443" s="1">
        <f t="shared" si="6"/>
        <v>440</v>
      </c>
      <c r="B443" s="28">
        <v>45700</v>
      </c>
      <c r="C443" s="29" t="s">
        <v>934</v>
      </c>
      <c r="D443" s="29" t="s">
        <v>934</v>
      </c>
      <c r="E443" s="29" t="s">
        <v>935</v>
      </c>
      <c r="F443" s="29" t="s">
        <v>33</v>
      </c>
      <c r="G443" s="30" t="s">
        <v>34</v>
      </c>
      <c r="H443" s="31">
        <v>109858933.215324</v>
      </c>
      <c r="I443" s="31">
        <v>94045933.215324402</v>
      </c>
      <c r="J443" s="32">
        <v>9.0200004577636701</v>
      </c>
      <c r="K443" s="33">
        <v>45700</v>
      </c>
      <c r="L443" s="31">
        <v>1442900</v>
      </c>
      <c r="M443" s="32">
        <v>3.8</v>
      </c>
      <c r="N443" s="31" t="s">
        <v>35</v>
      </c>
      <c r="O443" s="33">
        <v>45699</v>
      </c>
      <c r="P443" s="34">
        <v>232861.765625</v>
      </c>
      <c r="Q443" s="34">
        <v>271336.21875</v>
      </c>
      <c r="R443" s="34">
        <v>465560.46875</v>
      </c>
      <c r="S443" s="29" t="s">
        <v>46</v>
      </c>
      <c r="T443" s="33">
        <v>45446</v>
      </c>
      <c r="U443" s="35" t="b">
        <v>0</v>
      </c>
      <c r="V443" s="35" t="b">
        <v>0</v>
      </c>
      <c r="W443" s="35" t="b">
        <v>0</v>
      </c>
      <c r="Y443" s="31" cm="1">
        <f t="array" ref="Y443">IF(LEFT(_xll.BDP($C443, VOLUME_AVG_10D), 4) = "#N/A", "",  _xll.BDP($C443, VOLUME_AVG_10D))</f>
        <v>267014.3125</v>
      </c>
      <c r="Z443" s="31" cm="1">
        <f t="array" ref="Z443">IF(LEFT(_xll.BDP($C443, VOLUME_AVG_30D), 4) = "#N/A", "",  _xll.BDP($C443, VOLUME_AVG_30D))</f>
        <v>232861.765625</v>
      </c>
      <c r="AA443" s="31" cm="1">
        <f t="array" ref="AA443">IF(LEFT(_xll.BDP($C443, VOLUME_AVG_3M), 4) = "#N/A", "",  _xll.BDP($C443, VOLUME_AVG_3M))</f>
        <v>271336.21875</v>
      </c>
      <c r="AB443" s="31" cm="1">
        <f t="array" ref="AB443">IF(LEFT(_xll.BDP($C443, VOLUME_AVG_6M), 4) = "#N/A", "",  _xll.BDP($C443, VOLUME_AVG_6M))</f>
        <v>465560.46875</v>
      </c>
      <c r="AC443" s="31" cm="1">
        <f t="array" ref="AC443">IF(LEFT(_xll.BDP($C443, VOLUME_AVG_12M), 4) = "#N/A", "",  _xll.BDP($C443, VOLUME_AVG_12M))</f>
        <v>377499.65625</v>
      </c>
      <c r="AD443" s="41" cm="1">
        <f t="array" ref="AD443">IF(LEFT(_xll.BDP($C443, LAST_PRICE), 4) = "#N/A", "",  _xll.BDP($C443, LAST_PRICE))</f>
        <v>9.02</v>
      </c>
    </row>
    <row r="444" spans="1:30" x14ac:dyDescent="0.35">
      <c r="A444" s="1">
        <f t="shared" si="6"/>
        <v>441</v>
      </c>
      <c r="B444" s="28">
        <v>45700</v>
      </c>
      <c r="C444" s="29" t="s">
        <v>936</v>
      </c>
      <c r="D444" s="29" t="s">
        <v>936</v>
      </c>
      <c r="E444" s="29" t="s">
        <v>937</v>
      </c>
      <c r="F444" s="29" t="s">
        <v>33</v>
      </c>
      <c r="G444" s="30" t="s">
        <v>34</v>
      </c>
      <c r="H444" s="31">
        <v>7349976020.4241695</v>
      </c>
      <c r="I444" s="31">
        <v>6809121020.4241695</v>
      </c>
      <c r="J444" s="32">
        <v>70.150001525878906</v>
      </c>
      <c r="K444" s="33">
        <v>45700</v>
      </c>
      <c r="L444" s="31">
        <v>20964800</v>
      </c>
      <c r="M444" s="32">
        <v>3.88</v>
      </c>
      <c r="N444" s="31" t="s">
        <v>35</v>
      </c>
      <c r="O444" s="33">
        <v>45699</v>
      </c>
      <c r="P444" s="34">
        <v>833926.1875</v>
      </c>
      <c r="Q444" s="34">
        <v>852285.1875</v>
      </c>
      <c r="R444" s="34">
        <v>877765.6875</v>
      </c>
      <c r="S444" s="29" t="s">
        <v>177</v>
      </c>
      <c r="T444" s="33">
        <v>45446</v>
      </c>
      <c r="U444" s="35" t="b">
        <v>0</v>
      </c>
      <c r="V444" s="35" t="b">
        <v>0</v>
      </c>
      <c r="W444" s="35" t="b">
        <v>0</v>
      </c>
      <c r="Y444" s="31" cm="1">
        <f t="array" ref="Y444">IF(LEFT(_xll.BDP($C444, VOLUME_AVG_10D), 4) = "#N/A", "",  _xll.BDP($C444, VOLUME_AVG_10D))</f>
        <v>927320.625</v>
      </c>
      <c r="Z444" s="31" cm="1">
        <f t="array" ref="Z444">IF(LEFT(_xll.BDP($C444, VOLUME_AVG_30D), 4) = "#N/A", "",  _xll.BDP($C444, VOLUME_AVG_30D))</f>
        <v>833926.1875</v>
      </c>
      <c r="AA444" s="31" cm="1">
        <f t="array" ref="AA444">IF(LEFT(_xll.BDP($C444, VOLUME_AVG_3M), 4) = "#N/A", "",  _xll.BDP($C444, VOLUME_AVG_3M))</f>
        <v>852285.1875</v>
      </c>
      <c r="AB444" s="31" cm="1">
        <f t="array" ref="AB444">IF(LEFT(_xll.BDP($C444, VOLUME_AVG_6M), 4) = "#N/A", "",  _xll.BDP($C444, VOLUME_AVG_6M))</f>
        <v>877765.6875</v>
      </c>
      <c r="AC444" s="31" cm="1">
        <f t="array" ref="AC444">IF(LEFT(_xll.BDP($C444, VOLUME_AVG_12M), 4) = "#N/A", "",  _xll.BDP($C444, VOLUME_AVG_12M))</f>
        <v>990706</v>
      </c>
      <c r="AD444" s="41" cm="1">
        <f t="array" ref="AD444">IF(LEFT(_xll.BDP($C444, LAST_PRICE), 4) = "#N/A", "",  _xll.BDP($C444, LAST_PRICE))</f>
        <v>70.150000000000006</v>
      </c>
    </row>
    <row r="445" spans="1:30" x14ac:dyDescent="0.35">
      <c r="A445" s="1">
        <f t="shared" si="6"/>
        <v>442</v>
      </c>
      <c r="B445" s="28">
        <v>45700</v>
      </c>
      <c r="C445" s="29" t="s">
        <v>938</v>
      </c>
      <c r="D445" s="29" t="s">
        <v>938</v>
      </c>
      <c r="E445" s="29" t="s">
        <v>939</v>
      </c>
      <c r="F445" s="29" t="s">
        <v>40</v>
      </c>
      <c r="G445" s="30" t="s">
        <v>41</v>
      </c>
      <c r="H445" s="31"/>
      <c r="I445" s="31"/>
      <c r="J445" s="32"/>
      <c r="K445" s="33">
        <v>45700</v>
      </c>
      <c r="L445" s="31"/>
      <c r="M445" s="32"/>
      <c r="N445" s="31"/>
      <c r="O445" s="33">
        <v>45699</v>
      </c>
      <c r="P445" s="34"/>
      <c r="Q445" s="34"/>
      <c r="R445" s="34"/>
      <c r="S445" s="29"/>
      <c r="T445" s="33"/>
      <c r="U445" s="35" t="b">
        <v>1</v>
      </c>
      <c r="V445" s="35" t="b">
        <v>1</v>
      </c>
      <c r="W445" s="35" t="b">
        <v>1</v>
      </c>
      <c r="Y445" s="31" t="str" cm="1">
        <f t="array" ref="Y445">IF(LEFT(_xll.BDP($C445, VOLUME_AVG_10D), 4) = "#N/A", "",  _xll.BDP($C445, VOLUME_AVG_10D))</f>
        <v/>
      </c>
      <c r="Z445" s="31" t="str" cm="1">
        <f t="array" ref="Z445">IF(LEFT(_xll.BDP($C445, VOLUME_AVG_30D), 4) = "#N/A", "",  _xll.BDP($C445, VOLUME_AVG_30D))</f>
        <v/>
      </c>
      <c r="AA445" s="31" t="str" cm="1">
        <f t="array" ref="AA445">IF(LEFT(_xll.BDP($C445, VOLUME_AVG_3M), 4) = "#N/A", "",  _xll.BDP($C445, VOLUME_AVG_3M))</f>
        <v/>
      </c>
      <c r="AB445" s="31" t="str" cm="1">
        <f t="array" ref="AB445">IF(LEFT(_xll.BDP($C445, VOLUME_AVG_6M), 4) = "#N/A", "",  _xll.BDP($C445, VOLUME_AVG_6M))</f>
        <v/>
      </c>
      <c r="AC445" s="31" t="str" cm="1">
        <f t="array" ref="AC445">IF(LEFT(_xll.BDP($C445, VOLUME_AVG_12M), 4) = "#N/A", "",  _xll.BDP($C445, VOLUME_AVG_12M))</f>
        <v/>
      </c>
      <c r="AD445" s="41" t="str" cm="1">
        <f t="array" ref="AD445">IF(LEFT(_xll.BDP($C445, LAST_PRICE), 4) = "#N/A", "",  _xll.BDP($C445, LAST_PRICE))</f>
        <v/>
      </c>
    </row>
    <row r="446" spans="1:30" x14ac:dyDescent="0.35">
      <c r="A446" s="1">
        <f t="shared" si="6"/>
        <v>443</v>
      </c>
      <c r="B446" s="28">
        <v>45700</v>
      </c>
      <c r="C446" s="29" t="s">
        <v>940</v>
      </c>
      <c r="D446" s="29" t="s">
        <v>940</v>
      </c>
      <c r="E446" s="29" t="s">
        <v>941</v>
      </c>
      <c r="F446" s="29" t="s">
        <v>33</v>
      </c>
      <c r="G446" s="30" t="s">
        <v>34</v>
      </c>
      <c r="H446" s="31"/>
      <c r="I446" s="31"/>
      <c r="J446" s="32">
        <v>9.9999999747524292E-7</v>
      </c>
      <c r="K446" s="33">
        <v>45700</v>
      </c>
      <c r="L446" s="31"/>
      <c r="M446" s="32"/>
      <c r="N446" s="31"/>
      <c r="O446" s="33">
        <v>45699</v>
      </c>
      <c r="P446" s="34">
        <v>570</v>
      </c>
      <c r="Q446" s="34">
        <v>327.95159912109398</v>
      </c>
      <c r="R446" s="34">
        <v>161.37301635742199</v>
      </c>
      <c r="S446" s="29"/>
      <c r="T446" s="33"/>
      <c r="U446" s="35" t="b">
        <v>1</v>
      </c>
      <c r="V446" s="35" t="b">
        <v>1</v>
      </c>
      <c r="W446" s="35" t="b">
        <v>1</v>
      </c>
      <c r="Y446" s="31" cm="1">
        <f t="array" ref="Y446">IF(LEFT(_xll.BDP($C446, VOLUME_AVG_10D), 4) = "#N/A", "",  _xll.BDP($C446, VOLUME_AVG_10D))</f>
        <v>0</v>
      </c>
      <c r="Z446" s="31" cm="1">
        <f t="array" ref="Z446">IF(LEFT(_xll.BDP($C446, VOLUME_AVG_30D), 4) = "#N/A", "",  _xll.BDP($C446, VOLUME_AVG_30D))</f>
        <v>570</v>
      </c>
      <c r="AA446" s="31" cm="1">
        <f t="array" ref="AA446">IF(LEFT(_xll.BDP($C446, VOLUME_AVG_3M), 4) = "#N/A", "",  _xll.BDP($C446, VOLUME_AVG_3M))</f>
        <v>327.95159912109375</v>
      </c>
      <c r="AB446" s="31" cm="1">
        <f t="array" ref="AB446">IF(LEFT(_xll.BDP($C446, VOLUME_AVG_6M), 4) = "#N/A", "",  _xll.BDP($C446, VOLUME_AVG_6M))</f>
        <v>161.37301635742188</v>
      </c>
      <c r="AC446" s="31" cm="1">
        <f t="array" ref="AC446">IF(LEFT(_xll.BDP($C446, VOLUME_AVG_12M), 4) = "#N/A", "",  _xll.BDP($C446, VOLUME_AVG_12M))</f>
        <v>81.007965087890625</v>
      </c>
      <c r="AD446" s="41" cm="1">
        <f t="array" ref="AD446">IF(LEFT(_xll.BDP($C446, LAST_PRICE), 4) = "#N/A", "",  _xll.BDP($C446, LAST_PRICE))</f>
        <v>9.9999999999999995E-7</v>
      </c>
    </row>
    <row r="447" spans="1:30" x14ac:dyDescent="0.35">
      <c r="A447" s="1">
        <f t="shared" si="6"/>
        <v>444</v>
      </c>
      <c r="B447" s="28">
        <v>45700</v>
      </c>
      <c r="C447" s="29" t="s">
        <v>942</v>
      </c>
      <c r="D447" s="29" t="s">
        <v>942</v>
      </c>
      <c r="E447" s="29" t="s">
        <v>943</v>
      </c>
      <c r="F447" s="29" t="s">
        <v>33</v>
      </c>
      <c r="G447" s="30" t="s">
        <v>34</v>
      </c>
      <c r="H447" s="31">
        <v>606772040</v>
      </c>
      <c r="I447" s="31">
        <v>582590421</v>
      </c>
      <c r="J447" s="32">
        <v>10</v>
      </c>
      <c r="K447" s="33">
        <v>45700</v>
      </c>
      <c r="L447" s="31">
        <v>6353800</v>
      </c>
      <c r="M447" s="32">
        <v>3.88</v>
      </c>
      <c r="N447" s="31" t="s">
        <v>35</v>
      </c>
      <c r="O447" s="33">
        <v>45699</v>
      </c>
      <c r="P447" s="34">
        <v>1234381.375</v>
      </c>
      <c r="Q447" s="34">
        <v>1084514.875</v>
      </c>
      <c r="R447" s="34">
        <v>1127420.25</v>
      </c>
      <c r="S447" s="29" t="s">
        <v>285</v>
      </c>
      <c r="T447" s="33">
        <v>45446</v>
      </c>
      <c r="U447" s="35" t="b">
        <v>0</v>
      </c>
      <c r="V447" s="35" t="b">
        <v>0</v>
      </c>
      <c r="W447" s="35" t="b">
        <v>0</v>
      </c>
      <c r="Y447" s="31" cm="1">
        <f t="array" ref="Y447">IF(LEFT(_xll.BDP($C447, VOLUME_AVG_10D), 4) = "#N/A", "",  _xll.BDP($C447, VOLUME_AVG_10D))</f>
        <v>872072.125</v>
      </c>
      <c r="Z447" s="31" cm="1">
        <f t="array" ref="Z447">IF(LEFT(_xll.BDP($C447, VOLUME_AVG_30D), 4) = "#N/A", "",  _xll.BDP($C447, VOLUME_AVG_30D))</f>
        <v>1234381.375</v>
      </c>
      <c r="AA447" s="31" cm="1">
        <f t="array" ref="AA447">IF(LEFT(_xll.BDP($C447, VOLUME_AVG_3M), 4) = "#N/A", "",  _xll.BDP($C447, VOLUME_AVG_3M))</f>
        <v>1084514.875</v>
      </c>
      <c r="AB447" s="31" cm="1">
        <f t="array" ref="AB447">IF(LEFT(_xll.BDP($C447, VOLUME_AVG_6M), 4) = "#N/A", "",  _xll.BDP($C447, VOLUME_AVG_6M))</f>
        <v>1127420.25</v>
      </c>
      <c r="AC447" s="31" cm="1">
        <f t="array" ref="AC447">IF(LEFT(_xll.BDP($C447, VOLUME_AVG_12M), 4) = "#N/A", "",  _xll.BDP($C447, VOLUME_AVG_12M))</f>
        <v>845422.8125</v>
      </c>
      <c r="AD447" s="41" cm="1">
        <f t="array" ref="AD447">IF(LEFT(_xll.BDP($C447, LAST_PRICE), 4) = "#N/A", "",  _xll.BDP($C447, LAST_PRICE))</f>
        <v>10</v>
      </c>
    </row>
    <row r="448" spans="1:30" x14ac:dyDescent="0.35">
      <c r="A448" s="1">
        <f t="shared" si="6"/>
        <v>445</v>
      </c>
      <c r="B448" s="28">
        <v>45700</v>
      </c>
      <c r="C448" s="29" t="s">
        <v>944</v>
      </c>
      <c r="D448" s="29" t="s">
        <v>944</v>
      </c>
      <c r="E448" s="29" t="s">
        <v>945</v>
      </c>
      <c r="F448" s="29" t="s">
        <v>33</v>
      </c>
      <c r="G448" s="30" t="s">
        <v>34</v>
      </c>
      <c r="H448" s="31">
        <v>5997720072.9457397</v>
      </c>
      <c r="I448" s="31">
        <v>5864317072.9457397</v>
      </c>
      <c r="J448" s="32">
        <v>116.779998779297</v>
      </c>
      <c r="K448" s="33">
        <v>45700</v>
      </c>
      <c r="L448" s="31">
        <v>10829900</v>
      </c>
      <c r="M448" s="32">
        <v>3.88</v>
      </c>
      <c r="N448" s="31" t="s">
        <v>35</v>
      </c>
      <c r="O448" s="33">
        <v>45699</v>
      </c>
      <c r="P448" s="34">
        <v>105876.203125</v>
      </c>
      <c r="Q448" s="34">
        <v>121885</v>
      </c>
      <c r="R448" s="34">
        <v>111728.6796875</v>
      </c>
      <c r="S448" s="29"/>
      <c r="T448" s="33"/>
      <c r="U448" s="35" t="b">
        <v>0</v>
      </c>
      <c r="V448" s="35" t="b">
        <v>0</v>
      </c>
      <c r="W448" s="35" t="b">
        <v>0</v>
      </c>
      <c r="Y448" s="31" cm="1">
        <f t="array" ref="Y448">IF(LEFT(_xll.BDP($C448, VOLUME_AVG_10D), 4) = "#N/A", "",  _xll.BDP($C448, VOLUME_AVG_10D))</f>
        <v>102809.703125</v>
      </c>
      <c r="Z448" s="31" cm="1">
        <f t="array" ref="Z448">IF(LEFT(_xll.BDP($C448, VOLUME_AVG_30D), 4) = "#N/A", "",  _xll.BDP($C448, VOLUME_AVG_30D))</f>
        <v>105876.203125</v>
      </c>
      <c r="AA448" s="31" cm="1">
        <f t="array" ref="AA448">IF(LEFT(_xll.BDP($C448, VOLUME_AVG_3M), 4) = "#N/A", "",  _xll.BDP($C448, VOLUME_AVG_3M))</f>
        <v>121885</v>
      </c>
      <c r="AB448" s="31" cm="1">
        <f t="array" ref="AB448">IF(LEFT(_xll.BDP($C448, VOLUME_AVG_6M), 4) = "#N/A", "",  _xll.BDP($C448, VOLUME_AVG_6M))</f>
        <v>111728.6796875</v>
      </c>
      <c r="AC448" s="31" cm="1">
        <f t="array" ref="AC448">IF(LEFT(_xll.BDP($C448, VOLUME_AVG_12M), 4) = "#N/A", "",  _xll.BDP($C448, VOLUME_AVG_12M))</f>
        <v>113842.0390625</v>
      </c>
      <c r="AD448" s="41" cm="1">
        <f t="array" ref="AD448">IF(LEFT(_xll.BDP($C448, LAST_PRICE), 4) = "#N/A", "",  _xll.BDP($C448, LAST_PRICE))</f>
        <v>116.78</v>
      </c>
    </row>
    <row r="449" spans="1:30" x14ac:dyDescent="0.35">
      <c r="A449" s="1">
        <f t="shared" si="6"/>
        <v>446</v>
      </c>
      <c r="B449" s="28">
        <v>45700</v>
      </c>
      <c r="C449" s="29" t="s">
        <v>946</v>
      </c>
      <c r="D449" s="29" t="s">
        <v>946</v>
      </c>
      <c r="E449" s="29" t="s">
        <v>947</v>
      </c>
      <c r="F449" s="29" t="s">
        <v>33</v>
      </c>
      <c r="G449" s="30" t="s">
        <v>34</v>
      </c>
      <c r="H449" s="31">
        <v>342171791.57015502</v>
      </c>
      <c r="I449" s="31">
        <v>300874791.57015502</v>
      </c>
      <c r="J449" s="32">
        <v>5.03999996185303</v>
      </c>
      <c r="K449" s="33">
        <v>45700</v>
      </c>
      <c r="L449" s="31">
        <v>4098300</v>
      </c>
      <c r="M449" s="32">
        <v>3.7</v>
      </c>
      <c r="N449" s="31" t="s">
        <v>35</v>
      </c>
      <c r="O449" s="33">
        <v>45699</v>
      </c>
      <c r="P449" s="34">
        <v>535748.9375</v>
      </c>
      <c r="Q449" s="34">
        <v>983627.8125</v>
      </c>
      <c r="R449" s="34">
        <v>807689.125</v>
      </c>
      <c r="S449" s="29"/>
      <c r="T449" s="33"/>
      <c r="U449" s="35" t="b">
        <v>0</v>
      </c>
      <c r="V449" s="35" t="b">
        <v>0</v>
      </c>
      <c r="W449" s="35" t="b">
        <v>0</v>
      </c>
      <c r="Y449" s="31" cm="1">
        <f t="array" ref="Y449">IF(LEFT(_xll.BDP($C449, VOLUME_AVG_10D), 4) = "#N/A", "",  _xll.BDP($C449, VOLUME_AVG_10D))</f>
        <v>395363</v>
      </c>
      <c r="Z449" s="31" cm="1">
        <f t="array" ref="Z449">IF(LEFT(_xll.BDP($C449, VOLUME_AVG_30D), 4) = "#N/A", "",  _xll.BDP($C449, VOLUME_AVG_30D))</f>
        <v>535748.9375</v>
      </c>
      <c r="AA449" s="31" cm="1">
        <f t="array" ref="AA449">IF(LEFT(_xll.BDP($C449, VOLUME_AVG_3M), 4) = "#N/A", "",  _xll.BDP($C449, VOLUME_AVG_3M))</f>
        <v>983627.8125</v>
      </c>
      <c r="AB449" s="31" cm="1">
        <f t="array" ref="AB449">IF(LEFT(_xll.BDP($C449, VOLUME_AVG_6M), 4) = "#N/A", "",  _xll.BDP($C449, VOLUME_AVG_6M))</f>
        <v>807689.125</v>
      </c>
      <c r="AC449" s="31" cm="1">
        <f t="array" ref="AC449">IF(LEFT(_xll.BDP($C449, VOLUME_AVG_12M), 4) = "#N/A", "",  _xll.BDP($C449, VOLUME_AVG_12M))</f>
        <v>523579.46875</v>
      </c>
      <c r="AD449" s="41" cm="1">
        <f t="array" ref="AD449">IF(LEFT(_xll.BDP($C449, LAST_PRICE), 4) = "#N/A", "",  _xll.BDP($C449, LAST_PRICE))</f>
        <v>5.04</v>
      </c>
    </row>
    <row r="450" spans="1:30" x14ac:dyDescent="0.35">
      <c r="A450" s="1">
        <f t="shared" si="6"/>
        <v>447</v>
      </c>
      <c r="B450" s="28">
        <v>45700</v>
      </c>
      <c r="C450" s="29" t="s">
        <v>948</v>
      </c>
      <c r="D450" s="29" t="s">
        <v>948</v>
      </c>
      <c r="E450" s="29" t="s">
        <v>949</v>
      </c>
      <c r="F450" s="29" t="s">
        <v>40</v>
      </c>
      <c r="G450" s="30" t="s">
        <v>41</v>
      </c>
      <c r="H450" s="31">
        <v>14499705.2759063</v>
      </c>
      <c r="I450" s="31">
        <v>-6477329.8638396198</v>
      </c>
      <c r="J450" s="32">
        <v>3.8399999141693102</v>
      </c>
      <c r="K450" s="33">
        <v>45700</v>
      </c>
      <c r="L450" s="31">
        <v>33400</v>
      </c>
      <c r="M450" s="32">
        <v>0.65</v>
      </c>
      <c r="N450" s="31" t="s">
        <v>35</v>
      </c>
      <c r="O450" s="33">
        <v>45699</v>
      </c>
      <c r="P450" s="34">
        <v>2800.3670000000002</v>
      </c>
      <c r="Q450" s="34">
        <v>3299.625</v>
      </c>
      <c r="R450" s="34">
        <v>2701.74</v>
      </c>
      <c r="S450" s="29"/>
      <c r="T450" s="33"/>
      <c r="U450" s="35" t="b">
        <v>1</v>
      </c>
      <c r="V450" s="35" t="b">
        <v>0</v>
      </c>
      <c r="W450" s="35" t="b">
        <v>1</v>
      </c>
      <c r="Y450" s="31" cm="1">
        <f t="array" ref="Y450">IF(LEFT(_xll.BDP($C450, VOLUME_AVG_10D), 4) = "#N/A", "",  _xll.BDP($C450, VOLUME_AVG_10D))</f>
        <v>3122</v>
      </c>
      <c r="Z450" s="31" cm="1">
        <f t="array" ref="Z450">IF(LEFT(_xll.BDP($C450, VOLUME_AVG_30D), 4) = "#N/A", "",  _xll.BDP($C450, VOLUME_AVG_30D))</f>
        <v>2800.3670000000002</v>
      </c>
      <c r="AA450" s="31" cm="1">
        <f t="array" ref="AA450">IF(LEFT(_xll.BDP($C450, VOLUME_AVG_3M), 4) = "#N/A", "",  _xll.BDP($C450, VOLUME_AVG_3M))</f>
        <v>3299.625</v>
      </c>
      <c r="AB450" s="31" cm="1">
        <f t="array" ref="AB450">IF(LEFT(_xll.BDP($C450, VOLUME_AVG_6M), 4) = "#N/A", "",  _xll.BDP($C450, VOLUME_AVG_6M))</f>
        <v>2701.74</v>
      </c>
      <c r="AC450" s="31" cm="1">
        <f t="array" ref="AC450">IF(LEFT(_xll.BDP($C450, VOLUME_AVG_12M), 4) = "#N/A", "",  _xll.BDP($C450, VOLUME_AVG_12M))</f>
        <v>2220.6379999999999</v>
      </c>
      <c r="AD450" s="41" cm="1">
        <f t="array" ref="AD450">IF(LEFT(_xll.BDP($C450, LAST_PRICE), 4) = "#N/A", "",  _xll.BDP($C450, LAST_PRICE))</f>
        <v>3.84</v>
      </c>
    </row>
    <row r="451" spans="1:30" x14ac:dyDescent="0.35">
      <c r="A451" s="1">
        <f t="shared" si="6"/>
        <v>448</v>
      </c>
      <c r="B451" s="28">
        <v>45700</v>
      </c>
      <c r="C451" s="29" t="s">
        <v>950</v>
      </c>
      <c r="D451" s="29" t="s">
        <v>950</v>
      </c>
      <c r="E451" s="29" t="s">
        <v>951</v>
      </c>
      <c r="F451" s="29" t="s">
        <v>33</v>
      </c>
      <c r="G451" s="30" t="s">
        <v>34</v>
      </c>
      <c r="H451" s="31">
        <v>15179183.4111614</v>
      </c>
      <c r="I451" s="31">
        <v>22865765.4111614</v>
      </c>
      <c r="J451" s="32">
        <v>0.65259999036788896</v>
      </c>
      <c r="K451" s="33">
        <v>45700</v>
      </c>
      <c r="L451" s="31">
        <v>2495800</v>
      </c>
      <c r="M451" s="32">
        <v>-3.95</v>
      </c>
      <c r="N451" s="31" t="s">
        <v>35</v>
      </c>
      <c r="O451" s="33">
        <v>45699</v>
      </c>
      <c r="P451" s="34">
        <v>661705.4375</v>
      </c>
      <c r="Q451" s="34">
        <v>476870.6875</v>
      </c>
      <c r="R451" s="34">
        <v>484249.1875</v>
      </c>
      <c r="S451" s="29"/>
      <c r="T451" s="33"/>
      <c r="U451" s="35" t="b">
        <v>1</v>
      </c>
      <c r="V451" s="35" t="b">
        <v>0</v>
      </c>
      <c r="W451" s="35" t="b">
        <v>0</v>
      </c>
      <c r="Y451" s="31" cm="1">
        <f t="array" ref="Y451">IF(LEFT(_xll.BDP($C451, VOLUME_AVG_10D), 4) = "#N/A", "",  _xll.BDP($C451, VOLUME_AVG_10D))</f>
        <v>466034.1875</v>
      </c>
      <c r="Z451" s="31" cm="1">
        <f t="array" ref="Z451">IF(LEFT(_xll.BDP($C451, VOLUME_AVG_30D), 4) = "#N/A", "",  _xll.BDP($C451, VOLUME_AVG_30D))</f>
        <v>661705.4375</v>
      </c>
      <c r="AA451" s="31" cm="1">
        <f t="array" ref="AA451">IF(LEFT(_xll.BDP($C451, VOLUME_AVG_3M), 4) = "#N/A", "",  _xll.BDP($C451, VOLUME_AVG_3M))</f>
        <v>476870.6875</v>
      </c>
      <c r="AB451" s="31" cm="1">
        <f t="array" ref="AB451">IF(LEFT(_xll.BDP($C451, VOLUME_AVG_6M), 4) = "#N/A", "",  _xll.BDP($C451, VOLUME_AVG_6M))</f>
        <v>484249.1875</v>
      </c>
      <c r="AC451" s="31" cm="1">
        <f t="array" ref="AC451">IF(LEFT(_xll.BDP($C451, VOLUME_AVG_12M), 4) = "#N/A", "",  _xll.BDP($C451, VOLUME_AVG_12M))</f>
        <v>818671.9375</v>
      </c>
      <c r="AD451" s="41" cm="1">
        <f t="array" ref="AD451">IF(LEFT(_xll.BDP($C451, LAST_PRICE), 4) = "#N/A", "",  _xll.BDP($C451, LAST_PRICE))</f>
        <v>0.65259999999999996</v>
      </c>
    </row>
    <row r="452" spans="1:30" x14ac:dyDescent="0.35">
      <c r="A452" s="1">
        <f t="shared" si="6"/>
        <v>449</v>
      </c>
      <c r="B452" s="28">
        <v>45700</v>
      </c>
      <c r="C452" s="29" t="s">
        <v>952</v>
      </c>
      <c r="D452" s="29" t="s">
        <v>952</v>
      </c>
      <c r="E452" s="29" t="s">
        <v>953</v>
      </c>
      <c r="F452" s="29" t="s">
        <v>40</v>
      </c>
      <c r="G452" s="30" t="s">
        <v>41</v>
      </c>
      <c r="H452" s="31">
        <v>82742192.017423198</v>
      </c>
      <c r="I452" s="31">
        <v>66897082.017423198</v>
      </c>
      <c r="J452" s="32">
        <v>3.0199999809265101</v>
      </c>
      <c r="K452" s="33">
        <v>45700</v>
      </c>
      <c r="L452" s="31"/>
      <c r="M452" s="32"/>
      <c r="N452" s="31"/>
      <c r="O452" s="33">
        <v>45699</v>
      </c>
      <c r="P452" s="34">
        <v>70703.63</v>
      </c>
      <c r="Q452" s="34">
        <v>50270.11</v>
      </c>
      <c r="R452" s="34">
        <v>48985.02</v>
      </c>
      <c r="S452" s="29"/>
      <c r="T452" s="33"/>
      <c r="U452" s="35" t="b">
        <v>0</v>
      </c>
      <c r="V452" s="35" t="b">
        <v>0</v>
      </c>
      <c r="W452" s="35" t="b">
        <v>0</v>
      </c>
      <c r="Y452" s="31" cm="1">
        <f t="array" ref="Y452">IF(LEFT(_xll.BDP($C452, VOLUME_AVG_10D), 4) = "#N/A", "",  _xll.BDP($C452, VOLUME_AVG_10D))</f>
        <v>48502.5</v>
      </c>
      <c r="Z452" s="31" cm="1">
        <f t="array" ref="Z452">IF(LEFT(_xll.BDP($C452, VOLUME_AVG_30D), 4) = "#N/A", "",  _xll.BDP($C452, VOLUME_AVG_30D))</f>
        <v>70703.63</v>
      </c>
      <c r="AA452" s="31" cm="1">
        <f t="array" ref="AA452">IF(LEFT(_xll.BDP($C452, VOLUME_AVG_3M), 4) = "#N/A", "",  _xll.BDP($C452, VOLUME_AVG_3M))</f>
        <v>50270.11</v>
      </c>
      <c r="AB452" s="31" cm="1">
        <f t="array" ref="AB452">IF(LEFT(_xll.BDP($C452, VOLUME_AVG_6M), 4) = "#N/A", "",  _xll.BDP($C452, VOLUME_AVG_6M))</f>
        <v>48985.02</v>
      </c>
      <c r="AC452" s="31" cm="1">
        <f t="array" ref="AC452">IF(LEFT(_xll.BDP($C452, VOLUME_AVG_12M), 4) = "#N/A", "",  _xll.BDP($C452, VOLUME_AVG_12M))</f>
        <v>30865.919999999998</v>
      </c>
      <c r="AD452" s="41" cm="1">
        <f t="array" ref="AD452">IF(LEFT(_xll.BDP($C452, LAST_PRICE), 4) = "#N/A", "",  _xll.BDP($C452, LAST_PRICE))</f>
        <v>3.02</v>
      </c>
    </row>
    <row r="453" spans="1:30" x14ac:dyDescent="0.35">
      <c r="A453" s="1">
        <f t="shared" si="6"/>
        <v>450</v>
      </c>
      <c r="B453" s="28">
        <v>45700</v>
      </c>
      <c r="C453" s="29" t="s">
        <v>954</v>
      </c>
      <c r="D453" s="29" t="s">
        <v>954</v>
      </c>
      <c r="E453" s="29" t="s">
        <v>955</v>
      </c>
      <c r="F453" s="29" t="s">
        <v>33</v>
      </c>
      <c r="G453" s="30" t="s">
        <v>34</v>
      </c>
      <c r="H453" s="31">
        <v>110436187.240684</v>
      </c>
      <c r="I453" s="31">
        <v>79378792.240684003</v>
      </c>
      <c r="J453" s="32">
        <v>6.6100001335143999</v>
      </c>
      <c r="K453" s="33">
        <v>45700</v>
      </c>
      <c r="L453" s="31">
        <v>1243300</v>
      </c>
      <c r="M453" s="32">
        <v>3.45</v>
      </c>
      <c r="N453" s="31" t="s">
        <v>35</v>
      </c>
      <c r="O453" s="33">
        <v>45699</v>
      </c>
      <c r="P453" s="34">
        <v>64358.06640625</v>
      </c>
      <c r="Q453" s="34">
        <v>67932.609375</v>
      </c>
      <c r="R453" s="34">
        <v>72557.5078125</v>
      </c>
      <c r="S453" s="29"/>
      <c r="T453" s="33"/>
      <c r="U453" s="35" t="b">
        <v>0</v>
      </c>
      <c r="V453" s="35" t="b">
        <v>0</v>
      </c>
      <c r="W453" s="35" t="b">
        <v>0</v>
      </c>
      <c r="Y453" s="31" cm="1">
        <f t="array" ref="Y453">IF(LEFT(_xll.BDP($C453, VOLUME_AVG_10D), 4) = "#N/A", "",  _xll.BDP($C453, VOLUME_AVG_10D))</f>
        <v>90794.703125</v>
      </c>
      <c r="Z453" s="31" cm="1">
        <f t="array" ref="Z453">IF(LEFT(_xll.BDP($C453, VOLUME_AVG_30D), 4) = "#N/A", "",  _xll.BDP($C453, VOLUME_AVG_30D))</f>
        <v>64358.06640625</v>
      </c>
      <c r="AA453" s="31" cm="1">
        <f t="array" ref="AA453">IF(LEFT(_xll.BDP($C453, VOLUME_AVG_3M), 4) = "#N/A", "",  _xll.BDP($C453, VOLUME_AVG_3M))</f>
        <v>67932.609375</v>
      </c>
      <c r="AB453" s="31" cm="1">
        <f t="array" ref="AB453">IF(LEFT(_xll.BDP($C453, VOLUME_AVG_6M), 4) = "#N/A", "",  _xll.BDP($C453, VOLUME_AVG_6M))</f>
        <v>72557.5078125</v>
      </c>
      <c r="AC453" s="31" cm="1">
        <f t="array" ref="AC453">IF(LEFT(_xll.BDP($C453, VOLUME_AVG_12M), 4) = "#N/A", "",  _xll.BDP($C453, VOLUME_AVG_12M))</f>
        <v>73295.078125</v>
      </c>
      <c r="AD453" s="41" cm="1">
        <f t="array" ref="AD453">IF(LEFT(_xll.BDP($C453, LAST_PRICE), 4) = "#N/A", "",  _xll.BDP($C453, LAST_PRICE))</f>
        <v>6.61</v>
      </c>
    </row>
    <row r="454" spans="1:30" x14ac:dyDescent="0.35">
      <c r="A454" s="1">
        <f t="shared" ref="A454:A517" si="7">IF(B454="","", A453+1)</f>
        <v>451</v>
      </c>
      <c r="B454" s="28">
        <v>45700</v>
      </c>
      <c r="C454" s="29" t="s">
        <v>956</v>
      </c>
      <c r="D454" s="29" t="s">
        <v>956</v>
      </c>
      <c r="E454" s="29" t="s">
        <v>957</v>
      </c>
      <c r="F454" s="29" t="s">
        <v>33</v>
      </c>
      <c r="G454" s="30" t="s">
        <v>34</v>
      </c>
      <c r="H454" s="31">
        <v>7221007.8400916997</v>
      </c>
      <c r="I454" s="31">
        <v>960669.84009170404</v>
      </c>
      <c r="J454" s="32">
        <v>4.1300001144409197</v>
      </c>
      <c r="K454" s="33">
        <v>45700</v>
      </c>
      <c r="L454" s="31">
        <v>36400</v>
      </c>
      <c r="M454" s="32">
        <v>-6.5</v>
      </c>
      <c r="N454" s="31" t="s">
        <v>35</v>
      </c>
      <c r="O454" s="33">
        <v>45699</v>
      </c>
      <c r="P454" s="34">
        <v>61710.96484375</v>
      </c>
      <c r="Q454" s="34">
        <v>45525.2734375</v>
      </c>
      <c r="R454" s="34">
        <v>38550.73046875</v>
      </c>
      <c r="S454" s="29"/>
      <c r="T454" s="33"/>
      <c r="U454" s="35" t="b">
        <v>1</v>
      </c>
      <c r="V454" s="35" t="b">
        <v>0</v>
      </c>
      <c r="W454" s="35" t="b">
        <v>0</v>
      </c>
      <c r="Y454" s="31" cm="1">
        <f t="array" ref="Y454">IF(LEFT(_xll.BDP($C454, VOLUME_AVG_10D), 4) = "#N/A", "",  _xll.BDP($C454, VOLUME_AVG_10D))</f>
        <v>109332.5</v>
      </c>
      <c r="Z454" s="31" cm="1">
        <f t="array" ref="Z454">IF(LEFT(_xll.BDP($C454, VOLUME_AVG_30D), 4) = "#N/A", "",  _xll.BDP($C454, VOLUME_AVG_30D))</f>
        <v>61710.96484375</v>
      </c>
      <c r="AA454" s="31" cm="1">
        <f t="array" ref="AA454">IF(LEFT(_xll.BDP($C454, VOLUME_AVG_3M), 4) = "#N/A", "",  _xll.BDP($C454, VOLUME_AVG_3M))</f>
        <v>45525.2734375</v>
      </c>
      <c r="AB454" s="31" cm="1">
        <f t="array" ref="AB454">IF(LEFT(_xll.BDP($C454, VOLUME_AVG_6M), 4) = "#N/A", "",  _xll.BDP($C454, VOLUME_AVG_6M))</f>
        <v>38550.73046875</v>
      </c>
      <c r="AC454" s="31" cm="1">
        <f t="array" ref="AC454">IF(LEFT(_xll.BDP($C454, VOLUME_AVG_12M), 4) = "#N/A", "",  _xll.BDP($C454, VOLUME_AVG_12M))</f>
        <v>73057.921875</v>
      </c>
      <c r="AD454" s="41" cm="1">
        <f t="array" ref="AD454">IF(LEFT(_xll.BDP($C454, LAST_PRICE), 4) = "#N/A", "",  _xll.BDP($C454, LAST_PRICE))</f>
        <v>4.13</v>
      </c>
    </row>
    <row r="455" spans="1:30" x14ac:dyDescent="0.35">
      <c r="A455" s="1">
        <f t="shared" si="7"/>
        <v>452</v>
      </c>
      <c r="B455" s="28">
        <v>45700</v>
      </c>
      <c r="C455" s="29" t="s">
        <v>958</v>
      </c>
      <c r="D455" s="29" t="s">
        <v>958</v>
      </c>
      <c r="E455" s="29" t="s">
        <v>959</v>
      </c>
      <c r="F455" s="29" t="s">
        <v>40</v>
      </c>
      <c r="G455" s="30" t="s">
        <v>41</v>
      </c>
      <c r="H455" s="31">
        <v>10491547</v>
      </c>
      <c r="I455" s="31">
        <v>2979547</v>
      </c>
      <c r="J455" s="32">
        <v>0.55000000000000004</v>
      </c>
      <c r="K455" s="33">
        <v>45700</v>
      </c>
      <c r="L455" s="31"/>
      <c r="M455" s="32"/>
      <c r="N455" s="31"/>
      <c r="O455" s="33">
        <v>45699</v>
      </c>
      <c r="P455" s="34">
        <v>10407.299999999999</v>
      </c>
      <c r="Q455" s="34">
        <v>14679.83</v>
      </c>
      <c r="R455" s="34">
        <v>19327.32</v>
      </c>
      <c r="S455" s="29"/>
      <c r="T455" s="33"/>
      <c r="U455" s="35" t="b">
        <v>1</v>
      </c>
      <c r="V455" s="35" t="b">
        <v>0</v>
      </c>
      <c r="W455" s="35" t="b">
        <v>0</v>
      </c>
      <c r="Y455" s="31" cm="1">
        <f t="array" ref="Y455">IF(LEFT(_xll.BDP($C455, VOLUME_AVG_10D), 4) = "#N/A", "",  _xll.BDP($C455, VOLUME_AVG_10D))</f>
        <v>21937.9</v>
      </c>
      <c r="Z455" s="31" cm="1">
        <f t="array" ref="Z455">IF(LEFT(_xll.BDP($C455, VOLUME_AVG_30D), 4) = "#N/A", "",  _xll.BDP($C455, VOLUME_AVG_30D))</f>
        <v>10407.299999999999</v>
      </c>
      <c r="AA455" s="31" cm="1">
        <f t="array" ref="AA455">IF(LEFT(_xll.BDP($C455, VOLUME_AVG_3M), 4) = "#N/A", "",  _xll.BDP($C455, VOLUME_AVG_3M))</f>
        <v>14679.83</v>
      </c>
      <c r="AB455" s="31" cm="1">
        <f t="array" ref="AB455">IF(LEFT(_xll.BDP($C455, VOLUME_AVG_6M), 4) = "#N/A", "",  _xll.BDP($C455, VOLUME_AVG_6M))</f>
        <v>19327.32</v>
      </c>
      <c r="AC455" s="31" cm="1">
        <f t="array" ref="AC455">IF(LEFT(_xll.BDP($C455, VOLUME_AVG_12M), 4) = "#N/A", "",  _xll.BDP($C455, VOLUME_AVG_12M))</f>
        <v>22026.76</v>
      </c>
      <c r="AD455" s="41" cm="1">
        <f t="array" ref="AD455">IF(LEFT(_xll.BDP($C455, LAST_PRICE), 4) = "#N/A", "",  _xll.BDP($C455, LAST_PRICE))</f>
        <v>0.55000000000000004</v>
      </c>
    </row>
    <row r="456" spans="1:30" x14ac:dyDescent="0.35">
      <c r="A456" s="1">
        <f t="shared" si="7"/>
        <v>453</v>
      </c>
      <c r="B456" s="28">
        <v>45700</v>
      </c>
      <c r="C456" s="29" t="s">
        <v>960</v>
      </c>
      <c r="D456" s="29" t="s">
        <v>960</v>
      </c>
      <c r="E456" s="29" t="s">
        <v>961</v>
      </c>
      <c r="F456" s="29" t="s">
        <v>33</v>
      </c>
      <c r="G456" s="30" t="s">
        <v>34</v>
      </c>
      <c r="H456" s="31">
        <v>3265291761.76617</v>
      </c>
      <c r="I456" s="31">
        <v>2455162761.76617</v>
      </c>
      <c r="J456" s="32">
        <v>35.209999084472699</v>
      </c>
      <c r="K456" s="33">
        <v>45700</v>
      </c>
      <c r="L456" s="31">
        <v>28525800</v>
      </c>
      <c r="M456" s="32">
        <v>3.88</v>
      </c>
      <c r="N456" s="31" t="s">
        <v>35</v>
      </c>
      <c r="O456" s="33">
        <v>45699</v>
      </c>
      <c r="P456" s="34">
        <v>981171.8125</v>
      </c>
      <c r="Q456" s="34">
        <v>848296</v>
      </c>
      <c r="R456" s="34">
        <v>754099.3125</v>
      </c>
      <c r="S456" s="29" t="s">
        <v>177</v>
      </c>
      <c r="T456" s="33">
        <v>45446</v>
      </c>
      <c r="U456" s="35" t="b">
        <v>0</v>
      </c>
      <c r="V456" s="35" t="b">
        <v>0</v>
      </c>
      <c r="W456" s="35" t="b">
        <v>0</v>
      </c>
      <c r="Y456" s="31" cm="1">
        <f t="array" ref="Y456">IF(LEFT(_xll.BDP($C456, VOLUME_AVG_10D), 4) = "#N/A", "",  _xll.BDP($C456, VOLUME_AVG_10D))</f>
        <v>738740.875</v>
      </c>
      <c r="Z456" s="31" cm="1">
        <f t="array" ref="Z456">IF(LEFT(_xll.BDP($C456, VOLUME_AVG_30D), 4) = "#N/A", "",  _xll.BDP($C456, VOLUME_AVG_30D))</f>
        <v>981171.8125</v>
      </c>
      <c r="AA456" s="31" cm="1">
        <f t="array" ref="AA456">IF(LEFT(_xll.BDP($C456, VOLUME_AVG_3M), 4) = "#N/A", "",  _xll.BDP($C456, VOLUME_AVG_3M))</f>
        <v>848296</v>
      </c>
      <c r="AB456" s="31" cm="1">
        <f t="array" ref="AB456">IF(LEFT(_xll.BDP($C456, VOLUME_AVG_6M), 4) = "#N/A", "",  _xll.BDP($C456, VOLUME_AVG_6M))</f>
        <v>754099.3125</v>
      </c>
      <c r="AC456" s="31" cm="1">
        <f t="array" ref="AC456">IF(LEFT(_xll.BDP($C456, VOLUME_AVG_12M), 4) = "#N/A", "",  _xll.BDP($C456, VOLUME_AVG_12M))</f>
        <v>813445.25</v>
      </c>
      <c r="AD456" s="41" cm="1">
        <f t="array" ref="AD456">IF(LEFT(_xll.BDP($C456, LAST_PRICE), 4) = "#N/A", "",  _xll.BDP($C456, LAST_PRICE))</f>
        <v>35.21</v>
      </c>
    </row>
    <row r="457" spans="1:30" x14ac:dyDescent="0.35">
      <c r="A457" s="1">
        <f t="shared" si="7"/>
        <v>454</v>
      </c>
      <c r="B457" s="28">
        <v>45700</v>
      </c>
      <c r="C457" s="29" t="s">
        <v>962</v>
      </c>
      <c r="D457" s="29" t="s">
        <v>962</v>
      </c>
      <c r="E457" s="29" t="s">
        <v>963</v>
      </c>
      <c r="F457" s="29" t="s">
        <v>33</v>
      </c>
      <c r="G457" s="30" t="s">
        <v>34</v>
      </c>
      <c r="H457" s="31">
        <v>3714034658.7592702</v>
      </c>
      <c r="I457" s="31">
        <v>2033901658.75927</v>
      </c>
      <c r="J457" s="32">
        <v>43.299999237060497</v>
      </c>
      <c r="K457" s="33">
        <v>45700</v>
      </c>
      <c r="L457" s="31"/>
      <c r="M457" s="32"/>
      <c r="N457" s="31"/>
      <c r="O457" s="33">
        <v>45699</v>
      </c>
      <c r="P457" s="34">
        <v>1928796.5</v>
      </c>
      <c r="Q457" s="34">
        <v>1935557.25</v>
      </c>
      <c r="R457" s="34">
        <v>1521378.375</v>
      </c>
      <c r="S457" s="29" t="s">
        <v>68</v>
      </c>
      <c r="T457" s="33">
        <v>45446</v>
      </c>
      <c r="U457" s="35" t="b">
        <v>0</v>
      </c>
      <c r="V457" s="35" t="b">
        <v>0</v>
      </c>
      <c r="W457" s="35" t="b">
        <v>0</v>
      </c>
      <c r="Y457" s="31" cm="1">
        <f t="array" ref="Y457">IF(LEFT(_xll.BDP($C457, VOLUME_AVG_10D), 4) = "#N/A", "",  _xll.BDP($C457, VOLUME_AVG_10D))</f>
        <v>1778254.125</v>
      </c>
      <c r="Z457" s="31" cm="1">
        <f t="array" ref="Z457">IF(LEFT(_xll.BDP($C457, VOLUME_AVG_30D), 4) = "#N/A", "",  _xll.BDP($C457, VOLUME_AVG_30D))</f>
        <v>1928796.5</v>
      </c>
      <c r="AA457" s="31" cm="1">
        <f t="array" ref="AA457">IF(LEFT(_xll.BDP($C457, VOLUME_AVG_3M), 4) = "#N/A", "",  _xll.BDP($C457, VOLUME_AVG_3M))</f>
        <v>1935557.25</v>
      </c>
      <c r="AB457" s="31" cm="1">
        <f t="array" ref="AB457">IF(LEFT(_xll.BDP($C457, VOLUME_AVG_6M), 4) = "#N/A", "",  _xll.BDP($C457, VOLUME_AVG_6M))</f>
        <v>1521378.375</v>
      </c>
      <c r="AC457" s="31" cm="1">
        <f t="array" ref="AC457">IF(LEFT(_xll.BDP($C457, VOLUME_AVG_12M), 4) = "#N/A", "",  _xll.BDP($C457, VOLUME_AVG_12M))</f>
        <v>1524361.75</v>
      </c>
      <c r="AD457" s="41" cm="1">
        <f t="array" ref="AD457">IF(LEFT(_xll.BDP($C457, LAST_PRICE), 4) = "#N/A", "",  _xll.BDP($C457, LAST_PRICE))</f>
        <v>43.3</v>
      </c>
    </row>
    <row r="458" spans="1:30" x14ac:dyDescent="0.35">
      <c r="A458" s="1">
        <f t="shared" si="7"/>
        <v>455</v>
      </c>
      <c r="B458" s="28">
        <v>45700</v>
      </c>
      <c r="C458" s="29" t="s">
        <v>964</v>
      </c>
      <c r="D458" s="29" t="s">
        <v>964</v>
      </c>
      <c r="E458" s="29" t="s">
        <v>965</v>
      </c>
      <c r="F458" s="29" t="s">
        <v>40</v>
      </c>
      <c r="G458" s="30" t="s">
        <v>41</v>
      </c>
      <c r="H458" s="31">
        <v>1078071048.21907</v>
      </c>
      <c r="I458" s="31">
        <v>-54526481.8026198</v>
      </c>
      <c r="J458" s="32">
        <v>2.8199999332428001</v>
      </c>
      <c r="K458" s="33">
        <v>45700</v>
      </c>
      <c r="L458" s="31">
        <v>27399600</v>
      </c>
      <c r="M458" s="32">
        <v>3.2</v>
      </c>
      <c r="N458" s="31" t="s">
        <v>35</v>
      </c>
      <c r="O458" s="33">
        <v>45699</v>
      </c>
      <c r="P458" s="34">
        <v>274257.5</v>
      </c>
      <c r="Q458" s="34">
        <v>307600.8</v>
      </c>
      <c r="R458" s="34">
        <v>272395.3</v>
      </c>
      <c r="S458" s="29"/>
      <c r="T458" s="33"/>
      <c r="U458" s="35" t="b">
        <v>0</v>
      </c>
      <c r="V458" s="35" t="b">
        <v>0</v>
      </c>
      <c r="W458" s="35" t="b">
        <v>1</v>
      </c>
      <c r="Y458" s="31" cm="1">
        <f t="array" ref="Y458">IF(LEFT(_xll.BDP($C458, VOLUME_AVG_10D), 4) = "#N/A", "",  _xll.BDP($C458, VOLUME_AVG_10D))</f>
        <v>352749.5</v>
      </c>
      <c r="Z458" s="31" cm="1">
        <f t="array" ref="Z458">IF(LEFT(_xll.BDP($C458, VOLUME_AVG_30D), 4) = "#N/A", "",  _xll.BDP($C458, VOLUME_AVG_30D))</f>
        <v>274257.5</v>
      </c>
      <c r="AA458" s="31" cm="1">
        <f t="array" ref="AA458">IF(LEFT(_xll.BDP($C458, VOLUME_AVG_3M), 4) = "#N/A", "",  _xll.BDP($C458, VOLUME_AVG_3M))</f>
        <v>307600.8</v>
      </c>
      <c r="AB458" s="31" cm="1">
        <f t="array" ref="AB458">IF(LEFT(_xll.BDP($C458, VOLUME_AVG_6M), 4) = "#N/A", "",  _xll.BDP($C458, VOLUME_AVG_6M))</f>
        <v>272395.3</v>
      </c>
      <c r="AC458" s="31" cm="1">
        <f t="array" ref="AC458">IF(LEFT(_xll.BDP($C458, VOLUME_AVG_12M), 4) = "#N/A", "",  _xll.BDP($C458, VOLUME_AVG_12M))</f>
        <v>339131.3</v>
      </c>
      <c r="AD458" s="41" cm="1">
        <f t="array" ref="AD458">IF(LEFT(_xll.BDP($C458, LAST_PRICE), 4) = "#N/A", "",  _xll.BDP($C458, LAST_PRICE))</f>
        <v>2.82</v>
      </c>
    </row>
    <row r="459" spans="1:30" x14ac:dyDescent="0.35">
      <c r="A459" s="1">
        <f t="shared" si="7"/>
        <v>456</v>
      </c>
      <c r="B459" s="28">
        <v>45700</v>
      </c>
      <c r="C459" s="29" t="s">
        <v>966</v>
      </c>
      <c r="D459" s="29" t="s">
        <v>966</v>
      </c>
      <c r="E459" s="29" t="s">
        <v>967</v>
      </c>
      <c r="F459" s="29" t="s">
        <v>33</v>
      </c>
      <c r="G459" s="30" t="s">
        <v>34</v>
      </c>
      <c r="H459" s="31">
        <v>598563540.64901698</v>
      </c>
      <c r="I459" s="31">
        <v>538950540.64901698</v>
      </c>
      <c r="J459" s="32">
        <v>18.2399997711182</v>
      </c>
      <c r="K459" s="33">
        <v>45700</v>
      </c>
      <c r="L459" s="31">
        <v>7140700</v>
      </c>
      <c r="M459" s="32">
        <v>3.88</v>
      </c>
      <c r="N459" s="31" t="s">
        <v>35</v>
      </c>
      <c r="O459" s="33">
        <v>45699</v>
      </c>
      <c r="P459" s="34">
        <v>424182.1875</v>
      </c>
      <c r="Q459" s="34">
        <v>782356.125</v>
      </c>
      <c r="R459" s="34">
        <v>775494.6875</v>
      </c>
      <c r="S459" s="29"/>
      <c r="T459" s="33"/>
      <c r="U459" s="35" t="b">
        <v>0</v>
      </c>
      <c r="V459" s="35" t="b">
        <v>0</v>
      </c>
      <c r="W459" s="35" t="b">
        <v>0</v>
      </c>
      <c r="Y459" s="31" cm="1">
        <f t="array" ref="Y459">IF(LEFT(_xll.BDP($C459, VOLUME_AVG_10D), 4) = "#N/A", "",  _xll.BDP($C459, VOLUME_AVG_10D))</f>
        <v>288271.90625</v>
      </c>
      <c r="Z459" s="31" cm="1">
        <f t="array" ref="Z459">IF(LEFT(_xll.BDP($C459, VOLUME_AVG_30D), 4) = "#N/A", "",  _xll.BDP($C459, VOLUME_AVG_30D))</f>
        <v>424182.1875</v>
      </c>
      <c r="AA459" s="31" cm="1">
        <f t="array" ref="AA459">IF(LEFT(_xll.BDP($C459, VOLUME_AVG_3M), 4) = "#N/A", "",  _xll.BDP($C459, VOLUME_AVG_3M))</f>
        <v>782356.125</v>
      </c>
      <c r="AB459" s="31" cm="1">
        <f t="array" ref="AB459">IF(LEFT(_xll.BDP($C459, VOLUME_AVG_6M), 4) = "#N/A", "",  _xll.BDP($C459, VOLUME_AVG_6M))</f>
        <v>775494.6875</v>
      </c>
      <c r="AC459" s="31" cm="1">
        <f t="array" ref="AC459">IF(LEFT(_xll.BDP($C459, VOLUME_AVG_12M), 4) = "#N/A", "",  _xll.BDP($C459, VOLUME_AVG_12M))</f>
        <v>596351.125</v>
      </c>
      <c r="AD459" s="41" cm="1">
        <f t="array" ref="AD459">IF(LEFT(_xll.BDP($C459, LAST_PRICE), 4) = "#N/A", "",  _xll.BDP($C459, LAST_PRICE))</f>
        <v>18.239999999999998</v>
      </c>
    </row>
    <row r="460" spans="1:30" x14ac:dyDescent="0.35">
      <c r="A460" s="1">
        <f t="shared" si="7"/>
        <v>457</v>
      </c>
      <c r="B460" s="28">
        <v>45700</v>
      </c>
      <c r="C460" s="29" t="s">
        <v>968</v>
      </c>
      <c r="D460" s="29" t="s">
        <v>968</v>
      </c>
      <c r="E460" s="29" t="s">
        <v>969</v>
      </c>
      <c r="F460" s="29" t="s">
        <v>33</v>
      </c>
      <c r="G460" s="30" t="s">
        <v>34</v>
      </c>
      <c r="H460" s="31">
        <v>62239865.788491704</v>
      </c>
      <c r="I460" s="31">
        <v>71843838.788491696</v>
      </c>
      <c r="J460" s="32">
        <v>7.7199997901916504</v>
      </c>
      <c r="K460" s="33">
        <v>45700</v>
      </c>
      <c r="L460" s="31">
        <v>121900</v>
      </c>
      <c r="M460" s="32">
        <v>2</v>
      </c>
      <c r="N460" s="31" t="s">
        <v>35</v>
      </c>
      <c r="O460" s="33">
        <v>45699</v>
      </c>
      <c r="P460" s="34">
        <v>14851.2001953125</v>
      </c>
      <c r="Q460" s="34">
        <v>15424.7900390625</v>
      </c>
      <c r="R460" s="34">
        <v>14677.76953125</v>
      </c>
      <c r="S460" s="29"/>
      <c r="T460" s="33"/>
      <c r="U460" s="35" t="b">
        <v>0</v>
      </c>
      <c r="V460" s="35" t="b">
        <v>0</v>
      </c>
      <c r="W460" s="35" t="b">
        <v>0</v>
      </c>
      <c r="Y460" s="31" cm="1">
        <f t="array" ref="Y460">IF(LEFT(_xll.BDP($C460, VOLUME_AVG_10D), 4) = "#N/A", "",  _xll.BDP($C460, VOLUME_AVG_10D))</f>
        <v>19593.5</v>
      </c>
      <c r="Z460" s="31" cm="1">
        <f t="array" ref="Z460">IF(LEFT(_xll.BDP($C460, VOLUME_AVG_30D), 4) = "#N/A", "",  _xll.BDP($C460, VOLUME_AVG_30D))</f>
        <v>14851.2001953125</v>
      </c>
      <c r="AA460" s="31" cm="1">
        <f t="array" ref="AA460">IF(LEFT(_xll.BDP($C460, VOLUME_AVG_3M), 4) = "#N/A", "",  _xll.BDP($C460, VOLUME_AVG_3M))</f>
        <v>15424.7900390625</v>
      </c>
      <c r="AB460" s="31" cm="1">
        <f t="array" ref="AB460">IF(LEFT(_xll.BDP($C460, VOLUME_AVG_6M), 4) = "#N/A", "",  _xll.BDP($C460, VOLUME_AVG_6M))</f>
        <v>14677.76953125</v>
      </c>
      <c r="AC460" s="31" cm="1">
        <f t="array" ref="AC460">IF(LEFT(_xll.BDP($C460, VOLUME_AVG_12M), 4) = "#N/A", "",  _xll.BDP($C460, VOLUME_AVG_12M))</f>
        <v>12151.4345703125</v>
      </c>
      <c r="AD460" s="41" cm="1">
        <f t="array" ref="AD460">IF(LEFT(_xll.BDP($C460, LAST_PRICE), 4) = "#N/A", "",  _xll.BDP($C460, LAST_PRICE))</f>
        <v>7.72</v>
      </c>
    </row>
    <row r="461" spans="1:30" x14ac:dyDescent="0.35">
      <c r="A461" s="1">
        <f t="shared" si="7"/>
        <v>458</v>
      </c>
      <c r="B461" s="28">
        <v>45700</v>
      </c>
      <c r="C461" s="29" t="s">
        <v>970</v>
      </c>
      <c r="D461" s="29" t="s">
        <v>970</v>
      </c>
      <c r="E461" s="29" t="s">
        <v>971</v>
      </c>
      <c r="F461" s="29" t="s">
        <v>33</v>
      </c>
      <c r="G461" s="30" t="s">
        <v>34</v>
      </c>
      <c r="H461" s="31">
        <v>333656435.25</v>
      </c>
      <c r="I461" s="31">
        <v>326631435.25</v>
      </c>
      <c r="J461" s="32">
        <v>6.75</v>
      </c>
      <c r="K461" s="33">
        <v>45700</v>
      </c>
      <c r="L461" s="31">
        <v>12172600</v>
      </c>
      <c r="M461" s="32">
        <v>3.88</v>
      </c>
      <c r="N461" s="31" t="s">
        <v>35</v>
      </c>
      <c r="O461" s="33">
        <v>45699</v>
      </c>
      <c r="P461" s="34">
        <v>249954.5</v>
      </c>
      <c r="Q461" s="34">
        <v>348537.09375</v>
      </c>
      <c r="R461" s="34">
        <v>407066.125</v>
      </c>
      <c r="S461" s="29"/>
      <c r="T461" s="33"/>
      <c r="U461" s="35" t="b">
        <v>0</v>
      </c>
      <c r="V461" s="35" t="b">
        <v>0</v>
      </c>
      <c r="W461" s="35" t="b">
        <v>0</v>
      </c>
      <c r="Y461" s="31" cm="1">
        <f t="array" ref="Y461">IF(LEFT(_xll.BDP($C461, VOLUME_AVG_10D), 4) = "#N/A", "",  _xll.BDP($C461, VOLUME_AVG_10D))</f>
        <v>214120.796875</v>
      </c>
      <c r="Z461" s="31" cm="1">
        <f t="array" ref="Z461">IF(LEFT(_xll.BDP($C461, VOLUME_AVG_30D), 4) = "#N/A", "",  _xll.BDP($C461, VOLUME_AVG_30D))</f>
        <v>249954.5</v>
      </c>
      <c r="AA461" s="31" cm="1">
        <f t="array" ref="AA461">IF(LEFT(_xll.BDP($C461, VOLUME_AVG_3M), 4) = "#N/A", "",  _xll.BDP($C461, VOLUME_AVG_3M))</f>
        <v>348537.09375</v>
      </c>
      <c r="AB461" s="31" cm="1">
        <f t="array" ref="AB461">IF(LEFT(_xll.BDP($C461, VOLUME_AVG_6M), 4) = "#N/A", "",  _xll.BDP($C461, VOLUME_AVG_6M))</f>
        <v>407066.125</v>
      </c>
      <c r="AC461" s="31" cm="1">
        <f t="array" ref="AC461">IF(LEFT(_xll.BDP($C461, VOLUME_AVG_12M), 4) = "#N/A", "",  _xll.BDP($C461, VOLUME_AVG_12M))</f>
        <v>531878.5</v>
      </c>
      <c r="AD461" s="41" cm="1">
        <f t="array" ref="AD461">IF(LEFT(_xll.BDP($C461, LAST_PRICE), 4) = "#N/A", "",  _xll.BDP($C461, LAST_PRICE))</f>
        <v>6.75</v>
      </c>
    </row>
    <row r="462" spans="1:30" x14ac:dyDescent="0.35">
      <c r="A462" s="1">
        <f t="shared" si="7"/>
        <v>459</v>
      </c>
      <c r="B462" s="28">
        <v>45700</v>
      </c>
      <c r="C462" s="29" t="s">
        <v>972</v>
      </c>
      <c r="D462" s="29" t="s">
        <v>972</v>
      </c>
      <c r="E462" s="29" t="s">
        <v>973</v>
      </c>
      <c r="F462" s="29" t="s">
        <v>33</v>
      </c>
      <c r="G462" s="30" t="s">
        <v>34</v>
      </c>
      <c r="H462" s="31">
        <v>74844.072697520198</v>
      </c>
      <c r="I462" s="31"/>
      <c r="J462" s="32">
        <v>0.77499997615814198</v>
      </c>
      <c r="K462" s="33">
        <v>45700</v>
      </c>
      <c r="L462" s="31">
        <v>9600</v>
      </c>
      <c r="M462" s="32">
        <v>3.3</v>
      </c>
      <c r="N462" s="31" t="s">
        <v>35</v>
      </c>
      <c r="O462" s="33">
        <v>45699</v>
      </c>
      <c r="P462" s="34">
        <v>9795.900390625</v>
      </c>
      <c r="Q462" s="34">
        <v>6108.693359375</v>
      </c>
      <c r="R462" s="34">
        <v>5539.5078125</v>
      </c>
      <c r="S462" s="29"/>
      <c r="T462" s="33"/>
      <c r="U462" s="35" t="b">
        <v>1</v>
      </c>
      <c r="V462" s="35" t="b">
        <v>0</v>
      </c>
      <c r="W462" s="35" t="b">
        <v>1</v>
      </c>
      <c r="Y462" s="31" cm="1">
        <f t="array" ref="Y462">IF(LEFT(_xll.BDP($C462, VOLUME_AVG_10D), 4) = "#N/A", "",  _xll.BDP($C462, VOLUME_AVG_10D))</f>
        <v>19589.19921875</v>
      </c>
      <c r="Z462" s="31" cm="1">
        <f t="array" ref="Z462">IF(LEFT(_xll.BDP($C462, VOLUME_AVG_30D), 4) = "#N/A", "",  _xll.BDP($C462, VOLUME_AVG_30D))</f>
        <v>9795.900390625</v>
      </c>
      <c r="AA462" s="31" cm="1">
        <f t="array" ref="AA462">IF(LEFT(_xll.BDP($C462, VOLUME_AVG_3M), 4) = "#N/A", "",  _xll.BDP($C462, VOLUME_AVG_3M))</f>
        <v>6108.693359375</v>
      </c>
      <c r="AB462" s="31" cm="1">
        <f t="array" ref="AB462">IF(LEFT(_xll.BDP($C462, VOLUME_AVG_6M), 4) = "#N/A", "",  _xll.BDP($C462, VOLUME_AVG_6M))</f>
        <v>5539.5078125</v>
      </c>
      <c r="AC462" s="31" cm="1">
        <f t="array" ref="AC462">IF(LEFT(_xll.BDP($C462, VOLUME_AVG_12M), 4) = "#N/A", "",  _xll.BDP($C462, VOLUME_AVG_12M))</f>
        <v>3718.988037109375</v>
      </c>
      <c r="AD462" s="41" cm="1">
        <f t="array" ref="AD462">IF(LEFT(_xll.BDP($C462, LAST_PRICE), 4) = "#N/A", "",  _xll.BDP($C462, LAST_PRICE))</f>
        <v>0.77500000000000002</v>
      </c>
    </row>
    <row r="463" spans="1:30" x14ac:dyDescent="0.35">
      <c r="A463" s="1">
        <f t="shared" si="7"/>
        <v>460</v>
      </c>
      <c r="B463" s="28">
        <v>45700</v>
      </c>
      <c r="C463" s="29" t="s">
        <v>974</v>
      </c>
      <c r="D463" s="29" t="s">
        <v>974</v>
      </c>
      <c r="E463" s="29" t="s">
        <v>975</v>
      </c>
      <c r="F463" s="29" t="s">
        <v>33</v>
      </c>
      <c r="G463" s="30" t="s">
        <v>34</v>
      </c>
      <c r="H463" s="31">
        <v>1823770.4643083599</v>
      </c>
      <c r="I463" s="31">
        <v>1791649.4643083599</v>
      </c>
      <c r="J463" s="32">
        <v>8.5424996912479401E-2</v>
      </c>
      <c r="K463" s="33">
        <v>45700</v>
      </c>
      <c r="L463" s="31">
        <v>69800</v>
      </c>
      <c r="M463" s="32">
        <v>-7.1</v>
      </c>
      <c r="N463" s="31" t="s">
        <v>35</v>
      </c>
      <c r="O463" s="33">
        <v>45699</v>
      </c>
      <c r="P463" s="34">
        <v>57126</v>
      </c>
      <c r="Q463" s="34">
        <v>40406.85546875</v>
      </c>
      <c r="R463" s="34">
        <v>22511.9609375</v>
      </c>
      <c r="S463" s="29"/>
      <c r="T463" s="33"/>
      <c r="U463" s="35" t="b">
        <v>1</v>
      </c>
      <c r="V463" s="35" t="b">
        <v>1</v>
      </c>
      <c r="W463" s="35" t="b">
        <v>0</v>
      </c>
      <c r="Y463" s="31" cm="1">
        <f t="array" ref="Y463">IF(LEFT(_xll.BDP($C463, VOLUME_AVG_10D), 4) = "#N/A", "",  _xll.BDP($C463, VOLUME_AVG_10D))</f>
        <v>36697.5</v>
      </c>
      <c r="Z463" s="31" cm="1">
        <f t="array" ref="Z463">IF(LEFT(_xll.BDP($C463, VOLUME_AVG_30D), 4) = "#N/A", "",  _xll.BDP($C463, VOLUME_AVG_30D))</f>
        <v>57126</v>
      </c>
      <c r="AA463" s="31" cm="1">
        <f t="array" ref="AA463">IF(LEFT(_xll.BDP($C463, VOLUME_AVG_3M), 4) = "#N/A", "",  _xll.BDP($C463, VOLUME_AVG_3M))</f>
        <v>40406.85546875</v>
      </c>
      <c r="AB463" s="31" cm="1">
        <f t="array" ref="AB463">IF(LEFT(_xll.BDP($C463, VOLUME_AVG_6M), 4) = "#N/A", "",  _xll.BDP($C463, VOLUME_AVG_6M))</f>
        <v>22511.9609375</v>
      </c>
      <c r="AC463" s="31" cm="1">
        <f t="array" ref="AC463">IF(LEFT(_xll.BDP($C463, VOLUME_AVG_12M), 4) = "#N/A", "",  _xll.BDP($C463, VOLUME_AVG_12M))</f>
        <v>20003.255859375</v>
      </c>
      <c r="AD463" s="41" cm="1">
        <f t="array" ref="AD463">IF(LEFT(_xll.BDP($C463, LAST_PRICE), 4) = "#N/A", "",  _xll.BDP($C463, LAST_PRICE))</f>
        <v>8.5425000000000001E-2</v>
      </c>
    </row>
    <row r="464" spans="1:30" x14ac:dyDescent="0.35">
      <c r="A464" s="1">
        <f t="shared" si="7"/>
        <v>461</v>
      </c>
      <c r="B464" s="28">
        <v>45700</v>
      </c>
      <c r="C464" s="29" t="s">
        <v>976</v>
      </c>
      <c r="D464" s="29" t="s">
        <v>976</v>
      </c>
      <c r="E464" s="29" t="s">
        <v>977</v>
      </c>
      <c r="F464" s="29" t="s">
        <v>33</v>
      </c>
      <c r="G464" s="30" t="s">
        <v>34</v>
      </c>
      <c r="H464" s="31">
        <v>84255937.628701106</v>
      </c>
      <c r="I464" s="31">
        <v>61347937.628701098</v>
      </c>
      <c r="J464" s="32">
        <v>1.33000004291534</v>
      </c>
      <c r="K464" s="33">
        <v>45700</v>
      </c>
      <c r="L464" s="31">
        <v>3774300</v>
      </c>
      <c r="M464" s="32">
        <v>3.88</v>
      </c>
      <c r="N464" s="31" t="s">
        <v>35</v>
      </c>
      <c r="O464" s="33">
        <v>45699</v>
      </c>
      <c r="P464" s="34">
        <v>349728.375</v>
      </c>
      <c r="Q464" s="34">
        <v>407049.46875</v>
      </c>
      <c r="R464" s="34">
        <v>540982.125</v>
      </c>
      <c r="S464" s="29" t="s">
        <v>46</v>
      </c>
      <c r="T464" s="33">
        <v>45215</v>
      </c>
      <c r="U464" s="35" t="b">
        <v>0</v>
      </c>
      <c r="V464" s="35" t="b">
        <v>0</v>
      </c>
      <c r="W464" s="35" t="b">
        <v>0</v>
      </c>
      <c r="Y464" s="31" cm="1">
        <f t="array" ref="Y464">IF(LEFT(_xll.BDP($C464, VOLUME_AVG_10D), 4) = "#N/A", "",  _xll.BDP($C464, VOLUME_AVG_10D))</f>
        <v>177528.203125</v>
      </c>
      <c r="Z464" s="31" cm="1">
        <f t="array" ref="Z464">IF(LEFT(_xll.BDP($C464, VOLUME_AVG_30D), 4) = "#N/A", "",  _xll.BDP($C464, VOLUME_AVG_30D))</f>
        <v>349728.375</v>
      </c>
      <c r="AA464" s="31" cm="1">
        <f t="array" ref="AA464">IF(LEFT(_xll.BDP($C464, VOLUME_AVG_3M), 4) = "#N/A", "",  _xll.BDP($C464, VOLUME_AVG_3M))</f>
        <v>407049.46875</v>
      </c>
      <c r="AB464" s="31" cm="1">
        <f t="array" ref="AB464">IF(LEFT(_xll.BDP($C464, VOLUME_AVG_6M), 4) = "#N/A", "",  _xll.BDP($C464, VOLUME_AVG_6M))</f>
        <v>540982.125</v>
      </c>
      <c r="AC464" s="31" cm="1">
        <f t="array" ref="AC464">IF(LEFT(_xll.BDP($C464, VOLUME_AVG_12M), 4) = "#N/A", "",  _xll.BDP($C464, VOLUME_AVG_12M))</f>
        <v>460020.65625</v>
      </c>
      <c r="AD464" s="41" cm="1">
        <f t="array" ref="AD464">IF(LEFT(_xll.BDP($C464, LAST_PRICE), 4) = "#N/A", "",  _xll.BDP($C464, LAST_PRICE))</f>
        <v>1.33</v>
      </c>
    </row>
    <row r="465" spans="1:30" x14ac:dyDescent="0.35">
      <c r="A465" s="1">
        <f t="shared" si="7"/>
        <v>462</v>
      </c>
      <c r="B465" s="28">
        <v>45700</v>
      </c>
      <c r="C465" s="29" t="s">
        <v>978</v>
      </c>
      <c r="D465" s="29" t="s">
        <v>978</v>
      </c>
      <c r="E465" s="29" t="s">
        <v>979</v>
      </c>
      <c r="F465" s="29" t="s">
        <v>33</v>
      </c>
      <c r="G465" s="30" t="s">
        <v>34</v>
      </c>
      <c r="H465" s="31">
        <v>575870914.76085806</v>
      </c>
      <c r="I465" s="31">
        <v>238914.760857582</v>
      </c>
      <c r="J465" s="32">
        <v>9.8900003433227504</v>
      </c>
      <c r="K465" s="33">
        <v>45700</v>
      </c>
      <c r="L465" s="31">
        <v>14591700</v>
      </c>
      <c r="M465" s="32">
        <v>3.88</v>
      </c>
      <c r="N465" s="31" t="s">
        <v>35</v>
      </c>
      <c r="O465" s="33">
        <v>45699</v>
      </c>
      <c r="P465" s="34">
        <v>526415.3125</v>
      </c>
      <c r="Q465" s="34">
        <v>556505</v>
      </c>
      <c r="R465" s="34">
        <v>533284.25</v>
      </c>
      <c r="S465" s="29" t="s">
        <v>46</v>
      </c>
      <c r="T465" s="33">
        <v>45446</v>
      </c>
      <c r="U465" s="35" t="b">
        <v>0</v>
      </c>
      <c r="V465" s="35" t="b">
        <v>0</v>
      </c>
      <c r="W465" s="35" t="b">
        <v>0</v>
      </c>
      <c r="Y465" s="31" cm="1">
        <f t="array" ref="Y465">IF(LEFT(_xll.BDP($C465, VOLUME_AVG_10D), 4) = "#N/A", "",  _xll.BDP($C465, VOLUME_AVG_10D))</f>
        <v>509093.40625</v>
      </c>
      <c r="Z465" s="31" cm="1">
        <f t="array" ref="Z465">IF(LEFT(_xll.BDP($C465, VOLUME_AVG_30D), 4) = "#N/A", "",  _xll.BDP($C465, VOLUME_AVG_30D))</f>
        <v>526415.3125</v>
      </c>
      <c r="AA465" s="31" cm="1">
        <f t="array" ref="AA465">IF(LEFT(_xll.BDP($C465, VOLUME_AVG_3M), 4) = "#N/A", "",  _xll.BDP($C465, VOLUME_AVG_3M))</f>
        <v>556505</v>
      </c>
      <c r="AB465" s="31" cm="1">
        <f t="array" ref="AB465">IF(LEFT(_xll.BDP($C465, VOLUME_AVG_6M), 4) = "#N/A", "",  _xll.BDP($C465, VOLUME_AVG_6M))</f>
        <v>533284.25</v>
      </c>
      <c r="AC465" s="31" cm="1">
        <f t="array" ref="AC465">IF(LEFT(_xll.BDP($C465, VOLUME_AVG_12M), 4) = "#N/A", "",  _xll.BDP($C465, VOLUME_AVG_12M))</f>
        <v>654620.9375</v>
      </c>
      <c r="AD465" s="41" cm="1">
        <f t="array" ref="AD465">IF(LEFT(_xll.BDP($C465, LAST_PRICE), 4) = "#N/A", "",  _xll.BDP($C465, LAST_PRICE))</f>
        <v>9.89</v>
      </c>
    </row>
    <row r="466" spans="1:30" x14ac:dyDescent="0.35">
      <c r="A466" s="1">
        <f t="shared" si="7"/>
        <v>463</v>
      </c>
      <c r="B466" s="28">
        <v>45700</v>
      </c>
      <c r="C466" s="29" t="s">
        <v>980</v>
      </c>
      <c r="D466" s="29" t="s">
        <v>980</v>
      </c>
      <c r="E466" s="29" t="s">
        <v>981</v>
      </c>
      <c r="F466" s="29" t="s">
        <v>33</v>
      </c>
      <c r="G466" s="30" t="s">
        <v>34</v>
      </c>
      <c r="H466" s="31">
        <v>73019978.121643096</v>
      </c>
      <c r="I466" s="31">
        <v>76726022.121643096</v>
      </c>
      <c r="J466" s="32">
        <v>5.1999998092651403</v>
      </c>
      <c r="K466" s="33">
        <v>45700</v>
      </c>
      <c r="L466" s="31">
        <v>717500</v>
      </c>
      <c r="M466" s="32">
        <v>-49.35</v>
      </c>
      <c r="N466" s="31" t="s">
        <v>35</v>
      </c>
      <c r="O466" s="33">
        <v>45699</v>
      </c>
      <c r="P466" s="34">
        <v>3094729.5</v>
      </c>
      <c r="Q466" s="34">
        <v>3308671.5</v>
      </c>
      <c r="R466" s="34">
        <v>1644445.25</v>
      </c>
      <c r="S466" s="29"/>
      <c r="T466" s="33"/>
      <c r="U466" s="35" t="b">
        <v>0</v>
      </c>
      <c r="V466" s="35" t="b">
        <v>0</v>
      </c>
      <c r="W466" s="35" t="b">
        <v>0</v>
      </c>
      <c r="Y466" s="31" cm="1">
        <f t="array" ref="Y466">IF(LEFT(_xll.BDP($C466, VOLUME_AVG_10D), 4) = "#N/A", "",  _xll.BDP($C466, VOLUME_AVG_10D))</f>
        <v>8374764.5</v>
      </c>
      <c r="Z466" s="31" cm="1">
        <f t="array" ref="Z466">IF(LEFT(_xll.BDP($C466, VOLUME_AVG_30D), 4) = "#N/A", "",  _xll.BDP($C466, VOLUME_AVG_30D))</f>
        <v>3094729.5</v>
      </c>
      <c r="AA466" s="31" cm="1">
        <f t="array" ref="AA466">IF(LEFT(_xll.BDP($C466, VOLUME_AVG_3M), 4) = "#N/A", "",  _xll.BDP($C466, VOLUME_AVG_3M))</f>
        <v>3308671.5</v>
      </c>
      <c r="AB466" s="31" cm="1">
        <f t="array" ref="AB466">IF(LEFT(_xll.BDP($C466, VOLUME_AVG_6M), 4) = "#N/A", "",  _xll.BDP($C466, VOLUME_AVG_6M))</f>
        <v>1644445.25</v>
      </c>
      <c r="AC466" s="31" cm="1">
        <f t="array" ref="AC466">IF(LEFT(_xll.BDP($C466, VOLUME_AVG_12M), 4) = "#N/A", "",  _xll.BDP($C466, VOLUME_AVG_12M))</f>
        <v>829924.5625</v>
      </c>
      <c r="AD466" s="41" cm="1">
        <f t="array" ref="AD466">IF(LEFT(_xll.BDP($C466, LAST_PRICE), 4) = "#N/A", "",  _xll.BDP($C466, LAST_PRICE))</f>
        <v>5.2</v>
      </c>
    </row>
    <row r="467" spans="1:30" x14ac:dyDescent="0.35">
      <c r="A467" s="1">
        <f t="shared" si="7"/>
        <v>464</v>
      </c>
      <c r="B467" s="28">
        <v>45700</v>
      </c>
      <c r="C467" s="29" t="s">
        <v>982</v>
      </c>
      <c r="D467" s="29" t="s">
        <v>982</v>
      </c>
      <c r="E467" s="29" t="s">
        <v>983</v>
      </c>
      <c r="F467" s="29" t="s">
        <v>40</v>
      </c>
      <c r="G467" s="30" t="s">
        <v>41</v>
      </c>
      <c r="H467" s="31">
        <v>1575123662.56881</v>
      </c>
      <c r="I467" s="31">
        <v>1987823875.8720601</v>
      </c>
      <c r="J467" s="32">
        <v>2.0999999046325701</v>
      </c>
      <c r="K467" s="33">
        <v>45700</v>
      </c>
      <c r="L467" s="31">
        <v>16574400</v>
      </c>
      <c r="M467" s="32">
        <v>-1.85</v>
      </c>
      <c r="N467" s="31" t="s">
        <v>35</v>
      </c>
      <c r="O467" s="33">
        <v>45699</v>
      </c>
      <c r="P467" s="34">
        <v>990320.4</v>
      </c>
      <c r="Q467" s="34">
        <v>1147495</v>
      </c>
      <c r="R467" s="34">
        <v>941521.3</v>
      </c>
      <c r="S467" s="29"/>
      <c r="T467" s="33"/>
      <c r="U467" s="35" t="b">
        <v>0</v>
      </c>
      <c r="V467" s="35" t="b">
        <v>0</v>
      </c>
      <c r="W467" s="35" t="b">
        <v>0</v>
      </c>
      <c r="Y467" s="31" cm="1">
        <f t="array" ref="Y467">IF(LEFT(_xll.BDP($C467, VOLUME_AVG_10D), 4) = "#N/A", "",  _xll.BDP($C467, VOLUME_AVG_10D))</f>
        <v>1253012</v>
      </c>
      <c r="Z467" s="31" cm="1">
        <f t="array" ref="Z467">IF(LEFT(_xll.BDP($C467, VOLUME_AVG_30D), 4) = "#N/A", "",  _xll.BDP($C467, VOLUME_AVG_30D))</f>
        <v>990320.4</v>
      </c>
      <c r="AA467" s="31" cm="1">
        <f t="array" ref="AA467">IF(LEFT(_xll.BDP($C467, VOLUME_AVG_3M), 4) = "#N/A", "",  _xll.BDP($C467, VOLUME_AVG_3M))</f>
        <v>1147495</v>
      </c>
      <c r="AB467" s="31" cm="1">
        <f t="array" ref="AB467">IF(LEFT(_xll.BDP($C467, VOLUME_AVG_6M), 4) = "#N/A", "",  _xll.BDP($C467, VOLUME_AVG_6M))</f>
        <v>941521.3</v>
      </c>
      <c r="AC467" s="31" cm="1">
        <f t="array" ref="AC467">IF(LEFT(_xll.BDP($C467, VOLUME_AVG_12M), 4) = "#N/A", "",  _xll.BDP($C467, VOLUME_AVG_12M))</f>
        <v>878195.6</v>
      </c>
      <c r="AD467" s="41" cm="1">
        <f t="array" ref="AD467">IF(LEFT(_xll.BDP($C467, LAST_PRICE), 4) = "#N/A", "",  _xll.BDP($C467, LAST_PRICE))</f>
        <v>2.1</v>
      </c>
    </row>
    <row r="468" spans="1:30" x14ac:dyDescent="0.35">
      <c r="A468" s="1">
        <f t="shared" si="7"/>
        <v>465</v>
      </c>
      <c r="B468" s="28">
        <v>45700</v>
      </c>
      <c r="C468" s="29" t="s">
        <v>984</v>
      </c>
      <c r="D468" s="29" t="s">
        <v>984</v>
      </c>
      <c r="E468" s="29" t="s">
        <v>985</v>
      </c>
      <c r="F468" s="29" t="s">
        <v>33</v>
      </c>
      <c r="G468" s="30" t="s">
        <v>34</v>
      </c>
      <c r="H468" s="31">
        <v>3157.4695000000002</v>
      </c>
      <c r="I468" s="31">
        <v>158628.46950000001</v>
      </c>
      <c r="J468" s="32">
        <v>1E-4</v>
      </c>
      <c r="K468" s="33">
        <v>45700</v>
      </c>
      <c r="L468" s="31"/>
      <c r="M468" s="32"/>
      <c r="N468" s="31"/>
      <c r="O468" s="33">
        <v>45699</v>
      </c>
      <c r="P468" s="34">
        <v>762.86663818359398</v>
      </c>
      <c r="Q468" s="34">
        <v>428.53225708007801</v>
      </c>
      <c r="R468" s="34">
        <v>229.69841003418</v>
      </c>
      <c r="S468" s="29"/>
      <c r="T468" s="33"/>
      <c r="U468" s="35" t="b">
        <v>1</v>
      </c>
      <c r="V468" s="35" t="b">
        <v>1</v>
      </c>
      <c r="W468" s="35" t="b">
        <v>0</v>
      </c>
      <c r="Y468" s="31" cm="1">
        <f t="array" ref="Y468">IF(LEFT(_xll.BDP($C468, VOLUME_AVG_10D), 4) = "#N/A", "",  _xll.BDP($C468, VOLUME_AVG_10D))</f>
        <v>1700.0999755859375</v>
      </c>
      <c r="Z468" s="31" cm="1">
        <f t="array" ref="Z468">IF(LEFT(_xll.BDP($C468, VOLUME_AVG_30D), 4) = "#N/A", "",  _xll.BDP($C468, VOLUME_AVG_30D))</f>
        <v>762.86663818359375</v>
      </c>
      <c r="AA468" s="31" cm="1">
        <f t="array" ref="AA468">IF(LEFT(_xll.BDP($C468, VOLUME_AVG_3M), 4) = "#N/A", "",  _xll.BDP($C468, VOLUME_AVG_3M))</f>
        <v>428.53225708007813</v>
      </c>
      <c r="AB468" s="31" cm="1">
        <f t="array" ref="AB468">IF(LEFT(_xll.BDP($C468, VOLUME_AVG_6M), 4) = "#N/A", "",  _xll.BDP($C468, VOLUME_AVG_6M))</f>
        <v>229.69841003417969</v>
      </c>
      <c r="AC468" s="31" cm="1">
        <f t="array" ref="AC468">IF(LEFT(_xll.BDP($C468, VOLUME_AVG_12M), 4) = "#N/A", "",  _xll.BDP($C468, VOLUME_AVG_12M))</f>
        <v>294.5936279296875</v>
      </c>
      <c r="AD468" s="41" cm="1">
        <f t="array" ref="AD468">IF(LEFT(_xll.BDP($C468, LAST_PRICE), 4) = "#N/A", "",  _xll.BDP($C468, LAST_PRICE))</f>
        <v>1E-4</v>
      </c>
    </row>
    <row r="469" spans="1:30" x14ac:dyDescent="0.35">
      <c r="A469" s="1">
        <f t="shared" si="7"/>
        <v>466</v>
      </c>
      <c r="B469" s="28">
        <v>45700</v>
      </c>
      <c r="C469" s="29" t="s">
        <v>986</v>
      </c>
      <c r="D469" s="29" t="s">
        <v>986</v>
      </c>
      <c r="E469" s="29" t="s">
        <v>987</v>
      </c>
      <c r="F469" s="29" t="s">
        <v>33</v>
      </c>
      <c r="G469" s="30" t="s">
        <v>34</v>
      </c>
      <c r="H469" s="31">
        <v>823150721.26210201</v>
      </c>
      <c r="I469" s="31">
        <v>426228275.67254698</v>
      </c>
      <c r="J469" s="32">
        <v>3.6700000762939502</v>
      </c>
      <c r="K469" s="33">
        <v>45700</v>
      </c>
      <c r="L469" s="31"/>
      <c r="M469" s="32"/>
      <c r="N469" s="31"/>
      <c r="O469" s="33">
        <v>45699</v>
      </c>
      <c r="P469" s="34">
        <v>1041409.6875</v>
      </c>
      <c r="Q469" s="34">
        <v>804996.375</v>
      </c>
      <c r="R469" s="34">
        <v>621383.625</v>
      </c>
      <c r="S469" s="29"/>
      <c r="T469" s="33"/>
      <c r="U469" s="35" t="b">
        <v>0</v>
      </c>
      <c r="V469" s="35" t="b">
        <v>0</v>
      </c>
      <c r="W469" s="35" t="b">
        <v>0</v>
      </c>
      <c r="Y469" s="31" cm="1">
        <f t="array" ref="Y469">IF(LEFT(_xll.BDP($C469, VOLUME_AVG_10D), 4) = "#N/A", "",  _xll.BDP($C469, VOLUME_AVG_10D))</f>
        <v>654847</v>
      </c>
      <c r="Z469" s="31" cm="1">
        <f t="array" ref="Z469">IF(LEFT(_xll.BDP($C469, VOLUME_AVG_30D), 4) = "#N/A", "",  _xll.BDP($C469, VOLUME_AVG_30D))</f>
        <v>1041409.6875</v>
      </c>
      <c r="AA469" s="31" cm="1">
        <f t="array" ref="AA469">IF(LEFT(_xll.BDP($C469, VOLUME_AVG_3M), 4) = "#N/A", "",  _xll.BDP($C469, VOLUME_AVG_3M))</f>
        <v>804996.375</v>
      </c>
      <c r="AB469" s="31" cm="1">
        <f t="array" ref="AB469">IF(LEFT(_xll.BDP($C469, VOLUME_AVG_6M), 4) = "#N/A", "",  _xll.BDP($C469, VOLUME_AVG_6M))</f>
        <v>621383.625</v>
      </c>
      <c r="AC469" s="31" cm="1">
        <f t="array" ref="AC469">IF(LEFT(_xll.BDP($C469, VOLUME_AVG_12M), 4) = "#N/A", "",  _xll.BDP($C469, VOLUME_AVG_12M))</f>
        <v>833661.25</v>
      </c>
      <c r="AD469" s="41" cm="1">
        <f t="array" ref="AD469">IF(LEFT(_xll.BDP($C469, LAST_PRICE), 4) = "#N/A", "",  _xll.BDP($C469, LAST_PRICE))</f>
        <v>3.67</v>
      </c>
    </row>
    <row r="470" spans="1:30" x14ac:dyDescent="0.35">
      <c r="A470" s="1">
        <f t="shared" si="7"/>
        <v>467</v>
      </c>
      <c r="B470" s="28">
        <v>45700</v>
      </c>
      <c r="C470" s="29" t="s">
        <v>988</v>
      </c>
      <c r="D470" s="29" t="s">
        <v>988</v>
      </c>
      <c r="E470" s="29" t="s">
        <v>989</v>
      </c>
      <c r="F470" s="29" t="s">
        <v>33</v>
      </c>
      <c r="G470" s="30" t="s">
        <v>34</v>
      </c>
      <c r="H470" s="31">
        <v>26840254.335977599</v>
      </c>
      <c r="I470" s="31">
        <v>9246254.3359775599</v>
      </c>
      <c r="J470" s="32">
        <v>3.1700000762939502</v>
      </c>
      <c r="K470" s="33">
        <v>45700</v>
      </c>
      <c r="L470" s="31">
        <v>677100</v>
      </c>
      <c r="M470" s="32">
        <v>2.15</v>
      </c>
      <c r="N470" s="31" t="s">
        <v>35</v>
      </c>
      <c r="O470" s="33">
        <v>45699</v>
      </c>
      <c r="P470" s="34">
        <v>161701.359375</v>
      </c>
      <c r="Q470" s="34">
        <v>117047.6640625</v>
      </c>
      <c r="R470" s="34">
        <v>85496.46875</v>
      </c>
      <c r="S470" s="29"/>
      <c r="T470" s="33"/>
      <c r="U470" s="35" t="b">
        <v>0</v>
      </c>
      <c r="V470" s="35" t="b">
        <v>0</v>
      </c>
      <c r="W470" s="35" t="b">
        <v>0</v>
      </c>
      <c r="Y470" s="31" cm="1">
        <f t="array" ref="Y470">IF(LEFT(_xll.BDP($C470, VOLUME_AVG_10D), 4) = "#N/A", "",  _xll.BDP($C470, VOLUME_AVG_10D))</f>
        <v>28455.80078125</v>
      </c>
      <c r="Z470" s="31" cm="1">
        <f t="array" ref="Z470">IF(LEFT(_xll.BDP($C470, VOLUME_AVG_30D), 4) = "#N/A", "",  _xll.BDP($C470, VOLUME_AVG_30D))</f>
        <v>161701.359375</v>
      </c>
      <c r="AA470" s="31" cm="1">
        <f t="array" ref="AA470">IF(LEFT(_xll.BDP($C470, VOLUME_AVG_3M), 4) = "#N/A", "",  _xll.BDP($C470, VOLUME_AVG_3M))</f>
        <v>117047.6640625</v>
      </c>
      <c r="AB470" s="31" cm="1">
        <f t="array" ref="AB470">IF(LEFT(_xll.BDP($C470, VOLUME_AVG_6M), 4) = "#N/A", "",  _xll.BDP($C470, VOLUME_AVG_6M))</f>
        <v>85496.46875</v>
      </c>
      <c r="AC470" s="31" cm="1">
        <f t="array" ref="AC470">IF(LEFT(_xll.BDP($C470, VOLUME_AVG_12M), 4) = "#N/A", "",  _xll.BDP($C470, VOLUME_AVG_12M))</f>
        <v>57351.82421875</v>
      </c>
      <c r="AD470" s="41" cm="1">
        <f t="array" ref="AD470">IF(LEFT(_xll.BDP($C470, LAST_PRICE), 4) = "#N/A", "",  _xll.BDP($C470, LAST_PRICE))</f>
        <v>3.17</v>
      </c>
    </row>
    <row r="471" spans="1:30" x14ac:dyDescent="0.35">
      <c r="A471" s="1">
        <f t="shared" si="7"/>
        <v>468</v>
      </c>
      <c r="B471" s="28">
        <v>45700</v>
      </c>
      <c r="C471" s="29" t="s">
        <v>990</v>
      </c>
      <c r="D471" s="29" t="s">
        <v>990</v>
      </c>
      <c r="E471" s="29" t="s">
        <v>991</v>
      </c>
      <c r="F471" s="29" t="s">
        <v>33</v>
      </c>
      <c r="G471" s="30" t="s">
        <v>34</v>
      </c>
      <c r="H471" s="31">
        <v>8334768.8617631802</v>
      </c>
      <c r="I471" s="31">
        <v>384166768.861763</v>
      </c>
      <c r="J471" s="32">
        <v>0.412900000810623</v>
      </c>
      <c r="K471" s="33">
        <v>45700</v>
      </c>
      <c r="L471" s="31">
        <v>412000</v>
      </c>
      <c r="M471" s="32">
        <v>-11.35</v>
      </c>
      <c r="N471" s="31" t="s">
        <v>35</v>
      </c>
      <c r="O471" s="33">
        <v>45699</v>
      </c>
      <c r="P471" s="34">
        <v>1143203.25</v>
      </c>
      <c r="Q471" s="34">
        <v>730917.8125</v>
      </c>
      <c r="R471" s="34">
        <v>529742.1875</v>
      </c>
      <c r="S471" s="29"/>
      <c r="T471" s="33"/>
      <c r="U471" s="35" t="b">
        <v>1</v>
      </c>
      <c r="V471" s="35" t="b">
        <v>0</v>
      </c>
      <c r="W471" s="35" t="b">
        <v>0</v>
      </c>
      <c r="Y471" s="31" cm="1">
        <f t="array" ref="Y471">IF(LEFT(_xll.BDP($C471, VOLUME_AVG_10D), 4) = "#N/A", "",  _xll.BDP($C471, VOLUME_AVG_10D))</f>
        <v>192324.59375</v>
      </c>
      <c r="Z471" s="31" cm="1">
        <f t="array" ref="Z471">IF(LEFT(_xll.BDP($C471, VOLUME_AVG_30D), 4) = "#N/A", "",  _xll.BDP($C471, VOLUME_AVG_30D))</f>
        <v>1143203.25</v>
      </c>
      <c r="AA471" s="31" cm="1">
        <f t="array" ref="AA471">IF(LEFT(_xll.BDP($C471, VOLUME_AVG_3M), 4) = "#N/A", "",  _xll.BDP($C471, VOLUME_AVG_3M))</f>
        <v>730917.8125</v>
      </c>
      <c r="AB471" s="31" cm="1">
        <f t="array" ref="AB471">IF(LEFT(_xll.BDP($C471, VOLUME_AVG_6M), 4) = "#N/A", "",  _xll.BDP($C471, VOLUME_AVG_6M))</f>
        <v>529742.1875</v>
      </c>
      <c r="AC471" s="31" cm="1">
        <f t="array" ref="AC471">IF(LEFT(_xll.BDP($C471, VOLUME_AVG_12M), 4) = "#N/A", "",  _xll.BDP($C471, VOLUME_AVG_12M))</f>
        <v>671606.6875</v>
      </c>
      <c r="AD471" s="41" cm="1">
        <f t="array" ref="AD471">IF(LEFT(_xll.BDP($C471, LAST_PRICE), 4) = "#N/A", "",  _xll.BDP($C471, LAST_PRICE))</f>
        <v>0.41289999999999999</v>
      </c>
    </row>
    <row r="472" spans="1:30" x14ac:dyDescent="0.35">
      <c r="A472" s="1">
        <f t="shared" si="7"/>
        <v>469</v>
      </c>
      <c r="B472" s="28">
        <v>45700</v>
      </c>
      <c r="C472" s="29" t="s">
        <v>992</v>
      </c>
      <c r="D472" s="29" t="s">
        <v>992</v>
      </c>
      <c r="E472" s="29" t="s">
        <v>993</v>
      </c>
      <c r="F472" s="29" t="s">
        <v>33</v>
      </c>
      <c r="G472" s="30" t="s">
        <v>34</v>
      </c>
      <c r="H472" s="31">
        <v>369451008.606314</v>
      </c>
      <c r="I472" s="31"/>
      <c r="J472" s="32">
        <v>14.699999809265099</v>
      </c>
      <c r="K472" s="33">
        <v>45700</v>
      </c>
      <c r="L472" s="31">
        <v>2606800</v>
      </c>
      <c r="M472" s="32">
        <v>3.88</v>
      </c>
      <c r="N472" s="31" t="s">
        <v>35</v>
      </c>
      <c r="O472" s="33">
        <v>45699</v>
      </c>
      <c r="P472" s="34">
        <v>248154.265625</v>
      </c>
      <c r="Q472" s="34">
        <v>221901.34375</v>
      </c>
      <c r="R472" s="34">
        <v>271004.59375</v>
      </c>
      <c r="S472" s="29"/>
      <c r="T472" s="33"/>
      <c r="U472" s="35" t="b">
        <v>0</v>
      </c>
      <c r="V472" s="35" t="b">
        <v>0</v>
      </c>
      <c r="W472" s="35" t="b">
        <v>1</v>
      </c>
      <c r="Y472" s="31" cm="1">
        <f t="array" ref="Y472">IF(LEFT(_xll.BDP($C472, VOLUME_AVG_10D), 4) = "#N/A", "",  _xll.BDP($C472, VOLUME_AVG_10D))</f>
        <v>244295.5</v>
      </c>
      <c r="Z472" s="31" cm="1">
        <f t="array" ref="Z472">IF(LEFT(_xll.BDP($C472, VOLUME_AVG_30D), 4) = "#N/A", "",  _xll.BDP($C472, VOLUME_AVG_30D))</f>
        <v>248154.265625</v>
      </c>
      <c r="AA472" s="31" cm="1">
        <f t="array" ref="AA472">IF(LEFT(_xll.BDP($C472, VOLUME_AVG_3M), 4) = "#N/A", "",  _xll.BDP($C472, VOLUME_AVG_3M))</f>
        <v>221901.34375</v>
      </c>
      <c r="AB472" s="31" cm="1">
        <f t="array" ref="AB472">IF(LEFT(_xll.BDP($C472, VOLUME_AVG_6M), 4) = "#N/A", "",  _xll.BDP($C472, VOLUME_AVG_6M))</f>
        <v>271004.59375</v>
      </c>
      <c r="AC472" s="31" cm="1">
        <f t="array" ref="AC472">IF(LEFT(_xll.BDP($C472, VOLUME_AVG_12M), 4) = "#N/A", "",  _xll.BDP($C472, VOLUME_AVG_12M))</f>
        <v>276341.15625</v>
      </c>
      <c r="AD472" s="41" cm="1">
        <f t="array" ref="AD472">IF(LEFT(_xll.BDP($C472, LAST_PRICE), 4) = "#N/A", "",  _xll.BDP($C472, LAST_PRICE))</f>
        <v>14.7</v>
      </c>
    </row>
    <row r="473" spans="1:30" x14ac:dyDescent="0.35">
      <c r="A473" s="1">
        <f t="shared" si="7"/>
        <v>470</v>
      </c>
      <c r="B473" s="28">
        <v>45700</v>
      </c>
      <c r="C473" s="29" t="s">
        <v>994</v>
      </c>
      <c r="D473" s="29" t="s">
        <v>994</v>
      </c>
      <c r="E473" s="29" t="s">
        <v>995</v>
      </c>
      <c r="F473" s="29" t="s">
        <v>33</v>
      </c>
      <c r="G473" s="30" t="s">
        <v>34</v>
      </c>
      <c r="H473" s="31">
        <v>79707465421.916504</v>
      </c>
      <c r="I473" s="31">
        <v>151804465421.91599</v>
      </c>
      <c r="J473" s="32">
        <v>63.220001220703097</v>
      </c>
      <c r="K473" s="33">
        <v>45700</v>
      </c>
      <c r="L473" s="31">
        <v>425645088</v>
      </c>
      <c r="M473" s="32">
        <v>3.88</v>
      </c>
      <c r="N473" s="31" t="s">
        <v>35</v>
      </c>
      <c r="O473" s="33">
        <v>45699</v>
      </c>
      <c r="P473" s="34">
        <v>12329561</v>
      </c>
      <c r="Q473" s="34">
        <v>13126485</v>
      </c>
      <c r="R473" s="34">
        <v>11936477</v>
      </c>
      <c r="S473" s="29"/>
      <c r="T473" s="33"/>
      <c r="U473" s="35" t="b">
        <v>0</v>
      </c>
      <c r="V473" s="35" t="b">
        <v>0</v>
      </c>
      <c r="W473" s="35" t="b">
        <v>0</v>
      </c>
      <c r="Y473" s="31" cm="1">
        <f t="array" ref="Y473">IF(LEFT(_xll.BDP($C473, VOLUME_AVG_10D), 4) = "#N/A", "",  _xll.BDP($C473, VOLUME_AVG_10D))</f>
        <v>10135024</v>
      </c>
      <c r="Z473" s="31" cm="1">
        <f t="array" ref="Z473">IF(LEFT(_xll.BDP($C473, VOLUME_AVG_30D), 4) = "#N/A", "",  _xll.BDP($C473, VOLUME_AVG_30D))</f>
        <v>12329561</v>
      </c>
      <c r="AA473" s="31" cm="1">
        <f t="array" ref="AA473">IF(LEFT(_xll.BDP($C473, VOLUME_AVG_3M), 4) = "#N/A", "",  _xll.BDP($C473, VOLUME_AVG_3M))</f>
        <v>13126485</v>
      </c>
      <c r="AB473" s="31" cm="1">
        <f t="array" ref="AB473">IF(LEFT(_xll.BDP($C473, VOLUME_AVG_6M), 4) = "#N/A", "",  _xll.BDP($C473, VOLUME_AVG_6M))</f>
        <v>11936477</v>
      </c>
      <c r="AC473" s="31" cm="1">
        <f t="array" ref="AC473">IF(LEFT(_xll.BDP($C473, VOLUME_AVG_12M), 4) = "#N/A", "",  _xll.BDP($C473, VOLUME_AVG_12M))</f>
        <v>11468596</v>
      </c>
      <c r="AD473" s="41" cm="1">
        <f t="array" ref="AD473">IF(LEFT(_xll.BDP($C473, LAST_PRICE), 4) = "#N/A", "",  _xll.BDP($C473, LAST_PRICE))</f>
        <v>63.22</v>
      </c>
    </row>
    <row r="474" spans="1:30" x14ac:dyDescent="0.35">
      <c r="A474" s="1">
        <f t="shared" si="7"/>
        <v>471</v>
      </c>
      <c r="B474" s="28">
        <v>45700</v>
      </c>
      <c r="C474" s="29" t="s">
        <v>996</v>
      </c>
      <c r="D474" s="29" t="s">
        <v>996</v>
      </c>
      <c r="E474" s="29" t="s">
        <v>997</v>
      </c>
      <c r="F474" s="29" t="s">
        <v>33</v>
      </c>
      <c r="G474" s="30" t="s">
        <v>34</v>
      </c>
      <c r="H474" s="31">
        <v>32447664.405405499</v>
      </c>
      <c r="I474" s="31"/>
      <c r="J474" s="32">
        <v>0.66100001335143999</v>
      </c>
      <c r="K474" s="33">
        <v>45700</v>
      </c>
      <c r="L474" s="31">
        <v>257300</v>
      </c>
      <c r="M474" s="32">
        <v>3.3</v>
      </c>
      <c r="N474" s="31" t="s">
        <v>35</v>
      </c>
      <c r="O474" s="33">
        <v>45699</v>
      </c>
      <c r="P474" s="34">
        <v>28501.69921875</v>
      </c>
      <c r="Q474" s="34">
        <v>26565.966796875</v>
      </c>
      <c r="R474" s="34">
        <v>28366.21484375</v>
      </c>
      <c r="S474" s="29"/>
      <c r="T474" s="33"/>
      <c r="U474" s="35" t="b">
        <v>0</v>
      </c>
      <c r="V474" s="35" t="b">
        <v>0</v>
      </c>
      <c r="W474" s="35" t="b">
        <v>1</v>
      </c>
      <c r="Y474" s="31" cm="1">
        <f t="array" ref="Y474">IF(LEFT(_xll.BDP($C474, VOLUME_AVG_10D), 4) = "#N/A", "",  _xll.BDP($C474, VOLUME_AVG_10D))</f>
        <v>32126.400390625</v>
      </c>
      <c r="Z474" s="31" cm="1">
        <f t="array" ref="Z474">IF(LEFT(_xll.BDP($C474, VOLUME_AVG_30D), 4) = "#N/A", "",  _xll.BDP($C474, VOLUME_AVG_30D))</f>
        <v>28501.69921875</v>
      </c>
      <c r="AA474" s="31" cm="1">
        <f t="array" ref="AA474">IF(LEFT(_xll.BDP($C474, VOLUME_AVG_3M), 4) = "#N/A", "",  _xll.BDP($C474, VOLUME_AVG_3M))</f>
        <v>26565.966796875</v>
      </c>
      <c r="AB474" s="31" cm="1">
        <f t="array" ref="AB474">IF(LEFT(_xll.BDP($C474, VOLUME_AVG_6M), 4) = "#N/A", "",  _xll.BDP($C474, VOLUME_AVG_6M))</f>
        <v>28366.21484375</v>
      </c>
      <c r="AC474" s="31" cm="1">
        <f t="array" ref="AC474">IF(LEFT(_xll.BDP($C474, VOLUME_AVG_12M), 4) = "#N/A", "",  _xll.BDP($C474, VOLUME_AVG_12M))</f>
        <v>28886.853515625</v>
      </c>
      <c r="AD474" s="41" cm="1">
        <f t="array" ref="AD474">IF(LEFT(_xll.BDP($C474, LAST_PRICE), 4) = "#N/A", "",  _xll.BDP($C474, LAST_PRICE))</f>
        <v>0.66100000000000003</v>
      </c>
    </row>
    <row r="475" spans="1:30" x14ac:dyDescent="0.35">
      <c r="A475" s="1">
        <f t="shared" si="7"/>
        <v>472</v>
      </c>
      <c r="B475" s="28">
        <v>45700</v>
      </c>
      <c r="C475" s="29" t="s">
        <v>998</v>
      </c>
      <c r="D475" s="29" t="s">
        <v>998</v>
      </c>
      <c r="E475" s="29" t="s">
        <v>999</v>
      </c>
      <c r="F475" s="29" t="s">
        <v>40</v>
      </c>
      <c r="G475" s="30" t="s">
        <v>41</v>
      </c>
      <c r="H475" s="31">
        <v>268691231.94806498</v>
      </c>
      <c r="I475" s="31">
        <v>132401231.948065</v>
      </c>
      <c r="J475" s="32">
        <v>13.439999580383301</v>
      </c>
      <c r="K475" s="33">
        <v>45700</v>
      </c>
      <c r="L475" s="31">
        <v>374700</v>
      </c>
      <c r="M475" s="32">
        <v>3.75</v>
      </c>
      <c r="N475" s="31" t="s">
        <v>35</v>
      </c>
      <c r="O475" s="33">
        <v>45699</v>
      </c>
      <c r="P475" s="34">
        <v>14143.7</v>
      </c>
      <c r="Q475" s="34">
        <v>21038.89</v>
      </c>
      <c r="R475" s="34">
        <v>20061.39</v>
      </c>
      <c r="S475" s="29"/>
      <c r="T475" s="33"/>
      <c r="U475" s="35" t="b">
        <v>0</v>
      </c>
      <c r="V475" s="35" t="b">
        <v>0</v>
      </c>
      <c r="W475" s="35" t="b">
        <v>0</v>
      </c>
      <c r="Y475" s="31" cm="1">
        <f t="array" ref="Y475">IF(LEFT(_xll.BDP($C475, VOLUME_AVG_10D), 4) = "#N/A", "",  _xll.BDP($C475, VOLUME_AVG_10D))</f>
        <v>20624.599999999999</v>
      </c>
      <c r="Z475" s="31" cm="1">
        <f t="array" ref="Z475">IF(LEFT(_xll.BDP($C475, VOLUME_AVG_30D), 4) = "#N/A", "",  _xll.BDP($C475, VOLUME_AVG_30D))</f>
        <v>14143.7</v>
      </c>
      <c r="AA475" s="31" cm="1">
        <f t="array" ref="AA475">IF(LEFT(_xll.BDP($C475, VOLUME_AVG_3M), 4) = "#N/A", "",  _xll.BDP($C475, VOLUME_AVG_3M))</f>
        <v>21038.89</v>
      </c>
      <c r="AB475" s="31" cm="1">
        <f t="array" ref="AB475">IF(LEFT(_xll.BDP($C475, VOLUME_AVG_6M), 4) = "#N/A", "",  _xll.BDP($C475, VOLUME_AVG_6M))</f>
        <v>20061.39</v>
      </c>
      <c r="AC475" s="31" cm="1">
        <f t="array" ref="AC475">IF(LEFT(_xll.BDP($C475, VOLUME_AVG_12M), 4) = "#N/A", "",  _xll.BDP($C475, VOLUME_AVG_12M))</f>
        <v>16020.62</v>
      </c>
      <c r="AD475" s="41" cm="1">
        <f t="array" ref="AD475">IF(LEFT(_xll.BDP($C475, LAST_PRICE), 4) = "#N/A", "",  _xll.BDP($C475, LAST_PRICE))</f>
        <v>13.44</v>
      </c>
    </row>
    <row r="476" spans="1:30" x14ac:dyDescent="0.35">
      <c r="A476" s="1">
        <f t="shared" si="7"/>
        <v>473</v>
      </c>
      <c r="B476" s="28">
        <v>45700</v>
      </c>
      <c r="C476" s="29" t="s">
        <v>1000</v>
      </c>
      <c r="D476" s="29" t="s">
        <v>1000</v>
      </c>
      <c r="E476" s="29" t="s">
        <v>1001</v>
      </c>
      <c r="F476" s="29" t="s">
        <v>33</v>
      </c>
      <c r="G476" s="30" t="s">
        <v>34</v>
      </c>
      <c r="H476" s="31">
        <v>3454507.1570490301</v>
      </c>
      <c r="I476" s="31">
        <v>4629892.1570490301</v>
      </c>
      <c r="J476" s="32">
        <v>0.30689999461174</v>
      </c>
      <c r="K476" s="33">
        <v>45700</v>
      </c>
      <c r="L476" s="31">
        <v>549700</v>
      </c>
      <c r="M476" s="32">
        <v>-85.05</v>
      </c>
      <c r="N476" s="31" t="s">
        <v>35</v>
      </c>
      <c r="O476" s="33">
        <v>45699</v>
      </c>
      <c r="P476" s="34">
        <v>4440274</v>
      </c>
      <c r="Q476" s="34">
        <v>2617782.5</v>
      </c>
      <c r="R476" s="34">
        <v>1872027.5</v>
      </c>
      <c r="S476" s="29"/>
      <c r="T476" s="33"/>
      <c r="U476" s="35" t="b">
        <v>1</v>
      </c>
      <c r="V476" s="35" t="b">
        <v>0</v>
      </c>
      <c r="W476" s="35" t="b">
        <v>0</v>
      </c>
      <c r="Y476" s="31" cm="1">
        <f t="array" ref="Y476">IF(LEFT(_xll.BDP($C476, VOLUME_AVG_10D), 4) = "#N/A", "",  _xll.BDP($C476, VOLUME_AVG_10D))</f>
        <v>416631.59375</v>
      </c>
      <c r="Z476" s="31" cm="1">
        <f t="array" ref="Z476">IF(LEFT(_xll.BDP($C476, VOLUME_AVG_30D), 4) = "#N/A", "",  _xll.BDP($C476, VOLUME_AVG_30D))</f>
        <v>4440274</v>
      </c>
      <c r="AA476" s="31" cm="1">
        <f t="array" ref="AA476">IF(LEFT(_xll.BDP($C476, VOLUME_AVG_3M), 4) = "#N/A", "",  _xll.BDP($C476, VOLUME_AVG_3M))</f>
        <v>2617782.5</v>
      </c>
      <c r="AB476" s="31" cm="1">
        <f t="array" ref="AB476">IF(LEFT(_xll.BDP($C476, VOLUME_AVG_6M), 4) = "#N/A", "",  _xll.BDP($C476, VOLUME_AVG_6M))</f>
        <v>1872027.5</v>
      </c>
      <c r="AC476" s="31" cm="1">
        <f t="array" ref="AC476">IF(LEFT(_xll.BDP($C476, VOLUME_AVG_12M), 4) = "#N/A", "",  _xll.BDP($C476, VOLUME_AVG_12M))</f>
        <v>1171917.5</v>
      </c>
      <c r="AD476" s="41" cm="1">
        <f t="array" ref="AD476">IF(LEFT(_xll.BDP($C476, LAST_PRICE), 4) = "#N/A", "",  _xll.BDP($C476, LAST_PRICE))</f>
        <v>0.30690000000000001</v>
      </c>
    </row>
    <row r="477" spans="1:30" x14ac:dyDescent="0.35">
      <c r="A477" s="1">
        <f t="shared" si="7"/>
        <v>474</v>
      </c>
      <c r="B477" s="28">
        <v>45700</v>
      </c>
      <c r="C477" s="29" t="s">
        <v>1002</v>
      </c>
      <c r="D477" s="29" t="s">
        <v>1002</v>
      </c>
      <c r="E477" s="29" t="s">
        <v>1003</v>
      </c>
      <c r="F477" s="29" t="s">
        <v>33</v>
      </c>
      <c r="G477" s="30" t="s">
        <v>34</v>
      </c>
      <c r="H477" s="31">
        <v>9105922.2756996192</v>
      </c>
      <c r="I477" s="31">
        <v>6233922.2756996201</v>
      </c>
      <c r="J477" s="32">
        <v>3.3599998950958301</v>
      </c>
      <c r="K477" s="33">
        <v>45700</v>
      </c>
      <c r="L477" s="31">
        <v>27800</v>
      </c>
      <c r="M477" s="32">
        <v>-99.8</v>
      </c>
      <c r="N477" s="31" t="s">
        <v>35</v>
      </c>
      <c r="O477" s="33">
        <v>45699</v>
      </c>
      <c r="P477" s="34">
        <v>3887434.25</v>
      </c>
      <c r="Q477" s="34">
        <v>5040604.5</v>
      </c>
      <c r="R477" s="34">
        <v>2487204</v>
      </c>
      <c r="S477" s="29"/>
      <c r="T477" s="33"/>
      <c r="U477" s="35" t="b">
        <v>1</v>
      </c>
      <c r="V477" s="35" t="b">
        <v>0</v>
      </c>
      <c r="W477" s="35" t="b">
        <v>0</v>
      </c>
      <c r="Y477" s="31" cm="1">
        <f t="array" ref="Y477">IF(LEFT(_xll.BDP($C477, VOLUME_AVG_10D), 4) = "#N/A", "",  _xll.BDP($C477, VOLUME_AVG_10D))</f>
        <v>11541145</v>
      </c>
      <c r="Z477" s="31" cm="1">
        <f t="array" ref="Z477">IF(LEFT(_xll.BDP($C477, VOLUME_AVG_30D), 4) = "#N/A", "",  _xll.BDP($C477, VOLUME_AVG_30D))</f>
        <v>3887434.25</v>
      </c>
      <c r="AA477" s="31" cm="1">
        <f t="array" ref="AA477">IF(LEFT(_xll.BDP($C477, VOLUME_AVG_3M), 4) = "#N/A", "",  _xll.BDP($C477, VOLUME_AVG_3M))</f>
        <v>5040604.5</v>
      </c>
      <c r="AB477" s="31" cm="1">
        <f t="array" ref="AB477">IF(LEFT(_xll.BDP($C477, VOLUME_AVG_6M), 4) = "#N/A", "",  _xll.BDP($C477, VOLUME_AVG_6M))</f>
        <v>2487204</v>
      </c>
      <c r="AC477" s="31" cm="1">
        <f t="array" ref="AC477">IF(LEFT(_xll.BDP($C477, VOLUME_AVG_12M), 4) = "#N/A", "",  _xll.BDP($C477, VOLUME_AVG_12M))</f>
        <v>1250720.25</v>
      </c>
      <c r="AD477" s="41" cm="1">
        <f t="array" ref="AD477">IF(LEFT(_xll.BDP($C477, LAST_PRICE), 4) = "#N/A", "",  _xll.BDP($C477, LAST_PRICE))</f>
        <v>3.36</v>
      </c>
    </row>
    <row r="478" spans="1:30" x14ac:dyDescent="0.35">
      <c r="A478" s="1">
        <f t="shared" si="7"/>
        <v>475</v>
      </c>
      <c r="B478" s="28">
        <v>45700</v>
      </c>
      <c r="C478" s="29" t="s">
        <v>1004</v>
      </c>
      <c r="D478" s="29" t="s">
        <v>1004</v>
      </c>
      <c r="E478" s="29" t="s">
        <v>1005</v>
      </c>
      <c r="F478" s="29" t="s">
        <v>33</v>
      </c>
      <c r="G478" s="30" t="s">
        <v>34</v>
      </c>
      <c r="H478" s="31">
        <v>26754291.355765201</v>
      </c>
      <c r="I478" s="31">
        <v>25853540.355765201</v>
      </c>
      <c r="J478" s="32">
        <v>0.93000000715255704</v>
      </c>
      <c r="K478" s="33">
        <v>45700</v>
      </c>
      <c r="L478" s="31">
        <v>59800</v>
      </c>
      <c r="M478" s="32">
        <v>-8</v>
      </c>
      <c r="N478" s="31" t="s">
        <v>35</v>
      </c>
      <c r="O478" s="33">
        <v>45699</v>
      </c>
      <c r="P478" s="34">
        <v>2971174</v>
      </c>
      <c r="Q478" s="34">
        <v>1457649.25</v>
      </c>
      <c r="R478" s="34">
        <v>741071.875</v>
      </c>
      <c r="S478" s="29"/>
      <c r="T478" s="33"/>
      <c r="U478" s="35" t="b">
        <v>0</v>
      </c>
      <c r="V478" s="35" t="b">
        <v>0</v>
      </c>
      <c r="W478" s="35" t="b">
        <v>0</v>
      </c>
      <c r="Y478" s="31" cm="1">
        <f t="array" ref="Y478">IF(LEFT(_xll.BDP($C478, VOLUME_AVG_10D), 4) = "#N/A", "",  _xll.BDP($C478, VOLUME_AVG_10D))</f>
        <v>8807727</v>
      </c>
      <c r="Z478" s="31" cm="1">
        <f t="array" ref="Z478">IF(LEFT(_xll.BDP($C478, VOLUME_AVG_30D), 4) = "#N/A", "",  _xll.BDP($C478, VOLUME_AVG_30D))</f>
        <v>2971174</v>
      </c>
      <c r="AA478" s="31" cm="1">
        <f t="array" ref="AA478">IF(LEFT(_xll.BDP($C478, VOLUME_AVG_3M), 4) = "#N/A", "",  _xll.BDP($C478, VOLUME_AVG_3M))</f>
        <v>1457649.25</v>
      </c>
      <c r="AB478" s="31" cm="1">
        <f t="array" ref="AB478">IF(LEFT(_xll.BDP($C478, VOLUME_AVG_6M), 4) = "#N/A", "",  _xll.BDP($C478, VOLUME_AVG_6M))</f>
        <v>741071.875</v>
      </c>
      <c r="AC478" s="31" cm="1">
        <f t="array" ref="AC478">IF(LEFT(_xll.BDP($C478, VOLUME_AVG_12M), 4) = "#N/A", "",  _xll.BDP($C478, VOLUME_AVG_12M))</f>
        <v>409858.25</v>
      </c>
      <c r="AD478" s="41" cm="1">
        <f t="array" ref="AD478">IF(LEFT(_xll.BDP($C478, LAST_PRICE), 4) = "#N/A", "",  _xll.BDP($C478, LAST_PRICE))</f>
        <v>0.93</v>
      </c>
    </row>
    <row r="479" spans="1:30" x14ac:dyDescent="0.35">
      <c r="A479" s="1">
        <f t="shared" si="7"/>
        <v>476</v>
      </c>
      <c r="B479" s="28">
        <v>45700</v>
      </c>
      <c r="C479" s="29" t="s">
        <v>1006</v>
      </c>
      <c r="D479" s="29" t="s">
        <v>1006</v>
      </c>
      <c r="E479" s="29" t="s">
        <v>1007</v>
      </c>
      <c r="F479" s="29" t="s">
        <v>33</v>
      </c>
      <c r="G479" s="30" t="s">
        <v>34</v>
      </c>
      <c r="H479" s="31">
        <v>1472.4</v>
      </c>
      <c r="I479" s="31"/>
      <c r="J479" s="32">
        <v>0.2</v>
      </c>
      <c r="K479" s="33">
        <v>45700</v>
      </c>
      <c r="L479" s="31">
        <v>2300</v>
      </c>
      <c r="M479" s="32">
        <v>3.3</v>
      </c>
      <c r="N479" s="31" t="s">
        <v>35</v>
      </c>
      <c r="O479" s="33">
        <v>45699</v>
      </c>
      <c r="P479" s="34">
        <v>35.466667175292997</v>
      </c>
      <c r="Q479" s="34">
        <v>31.016128540039102</v>
      </c>
      <c r="R479" s="34">
        <v>25.8333339691162</v>
      </c>
      <c r="S479" s="29"/>
      <c r="T479" s="33"/>
      <c r="U479" s="35" t="b">
        <v>1</v>
      </c>
      <c r="V479" s="35" t="b">
        <v>0</v>
      </c>
      <c r="W479" s="35" t="b">
        <v>1</v>
      </c>
      <c r="Y479" s="31" cm="1">
        <f t="array" ref="Y479">IF(LEFT(_xll.BDP($C479, VOLUME_AVG_10D), 4) = "#N/A", "",  _xll.BDP($C479, VOLUME_AVG_10D))</f>
        <v>42.099998474121094</v>
      </c>
      <c r="Z479" s="31" cm="1">
        <f t="array" ref="Z479">IF(LEFT(_xll.BDP($C479, VOLUME_AVG_30D), 4) = "#N/A", "",  _xll.BDP($C479, VOLUME_AVG_30D))</f>
        <v>35.466667175292969</v>
      </c>
      <c r="AA479" s="31" cm="1">
        <f t="array" ref="AA479">IF(LEFT(_xll.BDP($C479, VOLUME_AVG_3M), 4) = "#N/A", "",  _xll.BDP($C479, VOLUME_AVG_3M))</f>
        <v>31.016128540039063</v>
      </c>
      <c r="AB479" s="31" cm="1">
        <f t="array" ref="AB479">IF(LEFT(_xll.BDP($C479, VOLUME_AVG_6M), 4) = "#N/A", "",  _xll.BDP($C479, VOLUME_AVG_6M))</f>
        <v>25.833333969116211</v>
      </c>
      <c r="AC479" s="31" cm="1">
        <f t="array" ref="AC479">IF(LEFT(_xll.BDP($C479, VOLUME_AVG_12M), 4) = "#N/A", "",  _xll.BDP($C479, VOLUME_AVG_12M))</f>
        <v>26.358566284179688</v>
      </c>
      <c r="AD479" s="41" cm="1">
        <f t="array" ref="AD479">IF(LEFT(_xll.BDP($C479, LAST_PRICE), 4) = "#N/A", "",  _xll.BDP($C479, LAST_PRICE))</f>
        <v>0.2</v>
      </c>
    </row>
    <row r="480" spans="1:30" x14ac:dyDescent="0.35">
      <c r="A480" s="1">
        <f t="shared" si="7"/>
        <v>477</v>
      </c>
      <c r="B480" s="28">
        <v>45700</v>
      </c>
      <c r="C480" s="29" t="s">
        <v>1008</v>
      </c>
      <c r="D480" s="29" t="s">
        <v>1008</v>
      </c>
      <c r="E480" s="29" t="s">
        <v>1009</v>
      </c>
      <c r="F480" s="29" t="s">
        <v>33</v>
      </c>
      <c r="G480" s="30" t="s">
        <v>34</v>
      </c>
      <c r="H480" s="31">
        <v>669815168.23132503</v>
      </c>
      <c r="I480" s="31">
        <v>404559168.23132497</v>
      </c>
      <c r="J480" s="32">
        <v>5.1999998092651403</v>
      </c>
      <c r="K480" s="33">
        <v>45700</v>
      </c>
      <c r="L480" s="31">
        <v>39246200</v>
      </c>
      <c r="M480" s="32">
        <v>3.88</v>
      </c>
      <c r="N480" s="31" t="s">
        <v>35</v>
      </c>
      <c r="O480" s="33">
        <v>45699</v>
      </c>
      <c r="P480" s="34">
        <v>810667.875</v>
      </c>
      <c r="Q480" s="34">
        <v>726015.8125</v>
      </c>
      <c r="R480" s="34">
        <v>693609.375</v>
      </c>
      <c r="S480" s="29" t="s">
        <v>468</v>
      </c>
      <c r="T480" s="33">
        <v>45446</v>
      </c>
      <c r="U480" s="35" t="b">
        <v>0</v>
      </c>
      <c r="V480" s="35" t="b">
        <v>0</v>
      </c>
      <c r="W480" s="35" t="b">
        <v>0</v>
      </c>
      <c r="Y480" s="31" cm="1">
        <f t="array" ref="Y480">IF(LEFT(_xll.BDP($C480, VOLUME_AVG_10D), 4) = "#N/A", "",  _xll.BDP($C480, VOLUME_AVG_10D))</f>
        <v>930964</v>
      </c>
      <c r="Z480" s="31" cm="1">
        <f t="array" ref="Z480">IF(LEFT(_xll.BDP($C480, VOLUME_AVG_30D), 4) = "#N/A", "",  _xll.BDP($C480, VOLUME_AVG_30D))</f>
        <v>810667.875</v>
      </c>
      <c r="AA480" s="31" cm="1">
        <f t="array" ref="AA480">IF(LEFT(_xll.BDP($C480, VOLUME_AVG_3M), 4) = "#N/A", "",  _xll.BDP($C480, VOLUME_AVG_3M))</f>
        <v>726015.8125</v>
      </c>
      <c r="AB480" s="31" cm="1">
        <f t="array" ref="AB480">IF(LEFT(_xll.BDP($C480, VOLUME_AVG_6M), 4) = "#N/A", "",  _xll.BDP($C480, VOLUME_AVG_6M))</f>
        <v>693609.375</v>
      </c>
      <c r="AC480" s="31" cm="1">
        <f t="array" ref="AC480">IF(LEFT(_xll.BDP($C480, VOLUME_AVG_12M), 4) = "#N/A", "",  _xll.BDP($C480, VOLUME_AVG_12M))</f>
        <v>698574.5</v>
      </c>
      <c r="AD480" s="41" cm="1">
        <f t="array" ref="AD480">IF(LEFT(_xll.BDP($C480, LAST_PRICE), 4) = "#N/A", "",  _xll.BDP($C480, LAST_PRICE))</f>
        <v>5.2</v>
      </c>
    </row>
    <row r="481" spans="1:30" x14ac:dyDescent="0.35">
      <c r="A481" s="1">
        <f t="shared" si="7"/>
        <v>478</v>
      </c>
      <c r="B481" s="28">
        <v>45700</v>
      </c>
      <c r="C481" s="29" t="s">
        <v>1010</v>
      </c>
      <c r="D481" s="29" t="s">
        <v>1010</v>
      </c>
      <c r="E481" s="29" t="s">
        <v>1011</v>
      </c>
      <c r="F481" s="29" t="s">
        <v>33</v>
      </c>
      <c r="G481" s="30" t="s">
        <v>34</v>
      </c>
      <c r="H481" s="31">
        <v>251664732.52463299</v>
      </c>
      <c r="I481" s="31">
        <v>259070732.52463299</v>
      </c>
      <c r="J481" s="32">
        <v>0.20489999651908899</v>
      </c>
      <c r="K481" s="33">
        <v>45700</v>
      </c>
      <c r="L481" s="31">
        <v>1077400</v>
      </c>
      <c r="M481" s="32">
        <v>-0.35</v>
      </c>
      <c r="N481" s="31" t="s">
        <v>35</v>
      </c>
      <c r="O481" s="33">
        <v>45699</v>
      </c>
      <c r="P481" s="34">
        <v>4033989.75</v>
      </c>
      <c r="Q481" s="34">
        <v>3066272.5</v>
      </c>
      <c r="R481" s="34">
        <v>2807158.5</v>
      </c>
      <c r="S481" s="29"/>
      <c r="T481" s="33"/>
      <c r="U481" s="35" t="b">
        <v>0</v>
      </c>
      <c r="V481" s="35" t="b">
        <v>0</v>
      </c>
      <c r="W481" s="35" t="b">
        <v>0</v>
      </c>
      <c r="Y481" s="31" cm="1">
        <f t="array" ref="Y481">IF(LEFT(_xll.BDP($C481, VOLUME_AVG_10D), 4) = "#N/A", "",  _xll.BDP($C481, VOLUME_AVG_10D))</f>
        <v>4032715</v>
      </c>
      <c r="Z481" s="31" cm="1">
        <f t="array" ref="Z481">IF(LEFT(_xll.BDP($C481, VOLUME_AVG_30D), 4) = "#N/A", "",  _xll.BDP($C481, VOLUME_AVG_30D))</f>
        <v>4033989.75</v>
      </c>
      <c r="AA481" s="31" cm="1">
        <f t="array" ref="AA481">IF(LEFT(_xll.BDP($C481, VOLUME_AVG_3M), 4) = "#N/A", "",  _xll.BDP($C481, VOLUME_AVG_3M))</f>
        <v>3066272.5</v>
      </c>
      <c r="AB481" s="31" cm="1">
        <f t="array" ref="AB481">IF(LEFT(_xll.BDP($C481, VOLUME_AVG_6M), 4) = "#N/A", "",  _xll.BDP($C481, VOLUME_AVG_6M))</f>
        <v>2807158.5</v>
      </c>
      <c r="AC481" s="31" cm="1">
        <f t="array" ref="AC481">IF(LEFT(_xll.BDP($C481, VOLUME_AVG_12M), 4) = "#N/A", "",  _xll.BDP($C481, VOLUME_AVG_12M))</f>
        <v>2651313.25</v>
      </c>
      <c r="AD481" s="41" cm="1">
        <f t="array" ref="AD481">IF(LEFT(_xll.BDP($C481, LAST_PRICE), 4) = "#N/A", "",  _xll.BDP($C481, LAST_PRICE))</f>
        <v>0.2049</v>
      </c>
    </row>
    <row r="482" spans="1:30" x14ac:dyDescent="0.35">
      <c r="A482" s="1">
        <f t="shared" si="7"/>
        <v>479</v>
      </c>
      <c r="B482" s="28">
        <v>45700</v>
      </c>
      <c r="C482" s="29" t="s">
        <v>1012</v>
      </c>
      <c r="D482" s="29" t="s">
        <v>1012</v>
      </c>
      <c r="E482" s="29" t="s">
        <v>1013</v>
      </c>
      <c r="F482" s="29" t="s">
        <v>33</v>
      </c>
      <c r="G482" s="30" t="s">
        <v>34</v>
      </c>
      <c r="H482" s="31">
        <v>4977840679.2150898</v>
      </c>
      <c r="I482" s="31">
        <v>4755774679.2150898</v>
      </c>
      <c r="J482" s="32">
        <v>42.180000305175803</v>
      </c>
      <c r="K482" s="33">
        <v>45700</v>
      </c>
      <c r="L482" s="31">
        <v>45589800</v>
      </c>
      <c r="M482" s="32">
        <v>3.88</v>
      </c>
      <c r="N482" s="31" t="s">
        <v>35</v>
      </c>
      <c r="O482" s="33">
        <v>45699</v>
      </c>
      <c r="P482" s="34">
        <v>1358389.875</v>
      </c>
      <c r="Q482" s="34">
        <v>1318686.875</v>
      </c>
      <c r="R482" s="34">
        <v>1244069.75</v>
      </c>
      <c r="S482" s="29" t="s">
        <v>254</v>
      </c>
      <c r="T482" s="33">
        <v>45446</v>
      </c>
      <c r="U482" s="35" t="b">
        <v>0</v>
      </c>
      <c r="V482" s="35" t="b">
        <v>0</v>
      </c>
      <c r="W482" s="35" t="b">
        <v>0</v>
      </c>
      <c r="Y482" s="31" cm="1">
        <f t="array" ref="Y482">IF(LEFT(_xll.BDP($C482, VOLUME_AVG_10D), 4) = "#N/A", "",  _xll.BDP($C482, VOLUME_AVG_10D))</f>
        <v>1724794.25</v>
      </c>
      <c r="Z482" s="31" cm="1">
        <f t="array" ref="Z482">IF(LEFT(_xll.BDP($C482, VOLUME_AVG_30D), 4) = "#N/A", "",  _xll.BDP($C482, VOLUME_AVG_30D))</f>
        <v>1358389.875</v>
      </c>
      <c r="AA482" s="31" cm="1">
        <f t="array" ref="AA482">IF(LEFT(_xll.BDP($C482, VOLUME_AVG_3M), 4) = "#N/A", "",  _xll.BDP($C482, VOLUME_AVG_3M))</f>
        <v>1318686.875</v>
      </c>
      <c r="AB482" s="31" cm="1">
        <f t="array" ref="AB482">IF(LEFT(_xll.BDP($C482, VOLUME_AVG_6M), 4) = "#N/A", "",  _xll.BDP($C482, VOLUME_AVG_6M))</f>
        <v>1244069.75</v>
      </c>
      <c r="AC482" s="31" cm="1">
        <f t="array" ref="AC482">IF(LEFT(_xll.BDP($C482, VOLUME_AVG_12M), 4) = "#N/A", "",  _xll.BDP($C482, VOLUME_AVG_12M))</f>
        <v>1616171.25</v>
      </c>
      <c r="AD482" s="41" cm="1">
        <f t="array" ref="AD482">IF(LEFT(_xll.BDP($C482, LAST_PRICE), 4) = "#N/A", "",  _xll.BDP($C482, LAST_PRICE))</f>
        <v>42.18</v>
      </c>
    </row>
    <row r="483" spans="1:30" x14ac:dyDescent="0.35">
      <c r="A483" s="1">
        <f t="shared" si="7"/>
        <v>480</v>
      </c>
      <c r="B483" s="28">
        <v>45700</v>
      </c>
      <c r="C483" s="29" t="s">
        <v>1014</v>
      </c>
      <c r="D483" s="29" t="s">
        <v>1014</v>
      </c>
      <c r="E483" s="29" t="s">
        <v>1015</v>
      </c>
      <c r="F483" s="29" t="s">
        <v>33</v>
      </c>
      <c r="G483" s="30" t="s">
        <v>34</v>
      </c>
      <c r="H483" s="31">
        <v>30581001.100540198</v>
      </c>
      <c r="I483" s="31">
        <v>32757757.8222817</v>
      </c>
      <c r="J483" s="32">
        <v>2.6500000953674299</v>
      </c>
      <c r="K483" s="33">
        <v>45700</v>
      </c>
      <c r="L483" s="31"/>
      <c r="M483" s="32"/>
      <c r="N483" s="31"/>
      <c r="O483" s="33">
        <v>45699</v>
      </c>
      <c r="P483" s="34">
        <v>406619.0625</v>
      </c>
      <c r="Q483" s="34">
        <v>206801.328125</v>
      </c>
      <c r="R483" s="34">
        <v>108086.3671875</v>
      </c>
      <c r="S483" s="29"/>
      <c r="T483" s="33"/>
      <c r="U483" s="35" t="b">
        <v>0</v>
      </c>
      <c r="V483" s="35" t="b">
        <v>0</v>
      </c>
      <c r="W483" s="35" t="b">
        <v>0</v>
      </c>
      <c r="Y483" s="31" cm="1">
        <f t="array" ref="Y483">IF(LEFT(_xll.BDP($C483, VOLUME_AVG_10D), 4) = "#N/A", "",  _xll.BDP($C483, VOLUME_AVG_10D))</f>
        <v>20571.599609375</v>
      </c>
      <c r="Z483" s="31" cm="1">
        <f t="array" ref="Z483">IF(LEFT(_xll.BDP($C483, VOLUME_AVG_30D), 4) = "#N/A", "",  _xll.BDP($C483, VOLUME_AVG_30D))</f>
        <v>406619.0625</v>
      </c>
      <c r="AA483" s="31" cm="1">
        <f t="array" ref="AA483">IF(LEFT(_xll.BDP($C483, VOLUME_AVG_3M), 4) = "#N/A", "",  _xll.BDP($C483, VOLUME_AVG_3M))</f>
        <v>206801.328125</v>
      </c>
      <c r="AB483" s="31" cm="1">
        <f t="array" ref="AB483">IF(LEFT(_xll.BDP($C483, VOLUME_AVG_6M), 4) = "#N/A", "",  _xll.BDP($C483, VOLUME_AVG_6M))</f>
        <v>108086.3671875</v>
      </c>
      <c r="AC483" s="31" cm="1">
        <f t="array" ref="AC483">IF(LEFT(_xll.BDP($C483, VOLUME_AVG_12M), 4) = "#N/A", "",  _xll.BDP($C483, VOLUME_AVG_12M))</f>
        <v>73227.65625</v>
      </c>
      <c r="AD483" s="41" cm="1">
        <f t="array" ref="AD483">IF(LEFT(_xll.BDP($C483, LAST_PRICE), 4) = "#N/A", "",  _xll.BDP($C483, LAST_PRICE))</f>
        <v>2.65</v>
      </c>
    </row>
    <row r="484" spans="1:30" x14ac:dyDescent="0.35">
      <c r="A484" s="1">
        <f t="shared" si="7"/>
        <v>481</v>
      </c>
      <c r="B484" s="28">
        <v>45700</v>
      </c>
      <c r="C484" s="29" t="s">
        <v>1016</v>
      </c>
      <c r="D484" s="29" t="s">
        <v>1016</v>
      </c>
      <c r="E484" s="29" t="s">
        <v>1017</v>
      </c>
      <c r="F484" s="29" t="s">
        <v>33</v>
      </c>
      <c r="G484" s="30" t="s">
        <v>34</v>
      </c>
      <c r="H484" s="31">
        <v>62176678.843065597</v>
      </c>
      <c r="I484" s="31">
        <v>-44814321.156934403</v>
      </c>
      <c r="J484" s="32">
        <v>0.79449999332428001</v>
      </c>
      <c r="K484" s="33">
        <v>45700</v>
      </c>
      <c r="L484" s="31">
        <v>13425800</v>
      </c>
      <c r="M484" s="32">
        <v>3.8</v>
      </c>
      <c r="N484" s="31" t="s">
        <v>35</v>
      </c>
      <c r="O484" s="33">
        <v>45699</v>
      </c>
      <c r="P484" s="34">
        <v>959492.25</v>
      </c>
      <c r="Q484" s="34">
        <v>1223373.75</v>
      </c>
      <c r="R484" s="34">
        <v>977231.375</v>
      </c>
      <c r="S484" s="29" t="s">
        <v>46</v>
      </c>
      <c r="T484" s="33">
        <v>45446</v>
      </c>
      <c r="U484" s="35" t="b">
        <v>0</v>
      </c>
      <c r="V484" s="35" t="b">
        <v>0</v>
      </c>
      <c r="W484" s="35" t="b">
        <v>1</v>
      </c>
      <c r="Y484" s="31" cm="1">
        <f t="array" ref="Y484">IF(LEFT(_xll.BDP($C484, VOLUME_AVG_10D), 4) = "#N/A", "",  _xll.BDP($C484, VOLUME_AVG_10D))</f>
        <v>756457.6875</v>
      </c>
      <c r="Z484" s="31" cm="1">
        <f t="array" ref="Z484">IF(LEFT(_xll.BDP($C484, VOLUME_AVG_30D), 4) = "#N/A", "",  _xll.BDP($C484, VOLUME_AVG_30D))</f>
        <v>959492.25</v>
      </c>
      <c r="AA484" s="31" cm="1">
        <f t="array" ref="AA484">IF(LEFT(_xll.BDP($C484, VOLUME_AVG_3M), 4) = "#N/A", "",  _xll.BDP($C484, VOLUME_AVG_3M))</f>
        <v>1223373.75</v>
      </c>
      <c r="AB484" s="31" cm="1">
        <f t="array" ref="AB484">IF(LEFT(_xll.BDP($C484, VOLUME_AVG_6M), 4) = "#N/A", "",  _xll.BDP($C484, VOLUME_AVG_6M))</f>
        <v>977231.375</v>
      </c>
      <c r="AC484" s="31" cm="1">
        <f t="array" ref="AC484">IF(LEFT(_xll.BDP($C484, VOLUME_AVG_12M), 4) = "#N/A", "",  _xll.BDP($C484, VOLUME_AVG_12M))</f>
        <v>2478404</v>
      </c>
      <c r="AD484" s="41" cm="1">
        <f t="array" ref="AD484">IF(LEFT(_xll.BDP($C484, LAST_PRICE), 4) = "#N/A", "",  _xll.BDP($C484, LAST_PRICE))</f>
        <v>0.79449999999999998</v>
      </c>
    </row>
    <row r="485" spans="1:30" x14ac:dyDescent="0.35">
      <c r="A485" s="1">
        <f t="shared" si="7"/>
        <v>482</v>
      </c>
      <c r="B485" s="28">
        <v>45700</v>
      </c>
      <c r="C485" s="29" t="s">
        <v>1018</v>
      </c>
      <c r="D485" s="29" t="s">
        <v>1018</v>
      </c>
      <c r="E485" s="29" t="s">
        <v>1019</v>
      </c>
      <c r="F485" s="29" t="s">
        <v>33</v>
      </c>
      <c r="G485" s="30" t="s">
        <v>34</v>
      </c>
      <c r="H485" s="31">
        <v>62881503.0463375</v>
      </c>
      <c r="I485" s="31">
        <v>84002902.0463375</v>
      </c>
      <c r="J485" s="32">
        <v>1.1499999761581401</v>
      </c>
      <c r="K485" s="33">
        <v>45700</v>
      </c>
      <c r="L485" s="31">
        <v>4686000</v>
      </c>
      <c r="M485" s="32">
        <v>2.1</v>
      </c>
      <c r="N485" s="31" t="s">
        <v>35</v>
      </c>
      <c r="O485" s="33">
        <v>45699</v>
      </c>
      <c r="P485" s="34">
        <v>371577.28125</v>
      </c>
      <c r="Q485" s="34">
        <v>259301.34375</v>
      </c>
      <c r="R485" s="34">
        <v>180927.890625</v>
      </c>
      <c r="S485" s="29"/>
      <c r="T485" s="33"/>
      <c r="U485" s="35" t="b">
        <v>0</v>
      </c>
      <c r="V485" s="35" t="b">
        <v>0</v>
      </c>
      <c r="W485" s="35" t="b">
        <v>0</v>
      </c>
      <c r="Y485" s="31" cm="1">
        <f t="array" ref="Y485">IF(LEFT(_xll.BDP($C485, VOLUME_AVG_10D), 4) = "#N/A", "",  _xll.BDP($C485, VOLUME_AVG_10D))</f>
        <v>91837.796875</v>
      </c>
      <c r="Z485" s="31" cm="1">
        <f t="array" ref="Z485">IF(LEFT(_xll.BDP($C485, VOLUME_AVG_30D), 4) = "#N/A", "",  _xll.BDP($C485, VOLUME_AVG_30D))</f>
        <v>371577.28125</v>
      </c>
      <c r="AA485" s="31" cm="1">
        <f t="array" ref="AA485">IF(LEFT(_xll.BDP($C485, VOLUME_AVG_3M), 4) = "#N/A", "",  _xll.BDP($C485, VOLUME_AVG_3M))</f>
        <v>259301.34375</v>
      </c>
      <c r="AB485" s="31" cm="1">
        <f t="array" ref="AB485">IF(LEFT(_xll.BDP($C485, VOLUME_AVG_6M), 4) = "#N/A", "",  _xll.BDP($C485, VOLUME_AVG_6M))</f>
        <v>180927.890625</v>
      </c>
      <c r="AC485" s="31" cm="1">
        <f t="array" ref="AC485">IF(LEFT(_xll.BDP($C485, VOLUME_AVG_12M), 4) = "#N/A", "",  _xll.BDP($C485, VOLUME_AVG_12M))</f>
        <v>142593.890625</v>
      </c>
      <c r="AD485" s="41" cm="1">
        <f t="array" ref="AD485">IF(LEFT(_xll.BDP($C485, LAST_PRICE), 4) = "#N/A", "",  _xll.BDP($C485, LAST_PRICE))</f>
        <v>1.1499999999999999</v>
      </c>
    </row>
    <row r="486" spans="1:30" x14ac:dyDescent="0.35">
      <c r="A486" s="1">
        <f t="shared" si="7"/>
        <v>483</v>
      </c>
      <c r="B486" s="28">
        <v>45700</v>
      </c>
      <c r="C486" s="29" t="s">
        <v>1020</v>
      </c>
      <c r="D486" s="29" t="s">
        <v>1020</v>
      </c>
      <c r="E486" s="29" t="s">
        <v>1021</v>
      </c>
      <c r="F486" s="29" t="s">
        <v>33</v>
      </c>
      <c r="G486" s="30" t="s">
        <v>34</v>
      </c>
      <c r="H486" s="31">
        <v>146029582717.27899</v>
      </c>
      <c r="I486" s="31">
        <v>159963582717.27899</v>
      </c>
      <c r="J486" s="32">
        <v>202.17999267578099</v>
      </c>
      <c r="K486" s="33">
        <v>45700</v>
      </c>
      <c r="L486" s="31">
        <v>208374000</v>
      </c>
      <c r="M486" s="32">
        <v>3.88</v>
      </c>
      <c r="N486" s="31" t="s">
        <v>35</v>
      </c>
      <c r="O486" s="33">
        <v>45699</v>
      </c>
      <c r="P486" s="34">
        <v>4049050.5</v>
      </c>
      <c r="Q486" s="34">
        <v>3661544</v>
      </c>
      <c r="R486" s="34">
        <v>3007094</v>
      </c>
      <c r="S486" s="29"/>
      <c r="T486" s="33"/>
      <c r="U486" s="35" t="b">
        <v>0</v>
      </c>
      <c r="V486" s="35" t="b">
        <v>0</v>
      </c>
      <c r="W486" s="35" t="b">
        <v>0</v>
      </c>
      <c r="Y486" s="31" cm="1">
        <f t="array" ref="Y486">IF(LEFT(_xll.BDP($C486, VOLUME_AVG_10D), 4) = "#N/A", "",  _xll.BDP($C486, VOLUME_AVG_10D))</f>
        <v>6442968</v>
      </c>
      <c r="Z486" s="31" cm="1">
        <f t="array" ref="Z486">IF(LEFT(_xll.BDP($C486, VOLUME_AVG_30D), 4) = "#N/A", "",  _xll.BDP($C486, VOLUME_AVG_30D))</f>
        <v>4049050.5</v>
      </c>
      <c r="AA486" s="31" cm="1">
        <f t="array" ref="AA486">IF(LEFT(_xll.BDP($C486, VOLUME_AVG_3M), 4) = "#N/A", "",  _xll.BDP($C486, VOLUME_AVG_3M))</f>
        <v>3661544</v>
      </c>
      <c r="AB486" s="31" cm="1">
        <f t="array" ref="AB486">IF(LEFT(_xll.BDP($C486, VOLUME_AVG_6M), 4) = "#N/A", "",  _xll.BDP($C486, VOLUME_AVG_6M))</f>
        <v>3007094</v>
      </c>
      <c r="AC486" s="31" cm="1">
        <f t="array" ref="AC486">IF(LEFT(_xll.BDP($C486, VOLUME_AVG_12M), 4) = "#N/A", "",  _xll.BDP($C486, VOLUME_AVG_12M))</f>
        <v>2932672</v>
      </c>
      <c r="AD486" s="41" cm="1">
        <f t="array" ref="AD486">IF(LEFT(_xll.BDP($C486, LAST_PRICE), 4) = "#N/A", "",  _xll.BDP($C486, LAST_PRICE))</f>
        <v>202.18</v>
      </c>
    </row>
    <row r="487" spans="1:30" x14ac:dyDescent="0.35">
      <c r="A487" s="1">
        <f t="shared" si="7"/>
        <v>484</v>
      </c>
      <c r="B487" s="28">
        <v>45700</v>
      </c>
      <c r="C487" s="29" t="s">
        <v>1022</v>
      </c>
      <c r="D487" s="29" t="s">
        <v>1022</v>
      </c>
      <c r="E487" s="29" t="s">
        <v>1023</v>
      </c>
      <c r="F487" s="29" t="s">
        <v>33</v>
      </c>
      <c r="G487" s="30" t="s">
        <v>34</v>
      </c>
      <c r="H487" s="31">
        <v>26362178.4210799</v>
      </c>
      <c r="I487" s="31">
        <v>16533183.4210799</v>
      </c>
      <c r="J487" s="32">
        <v>3.0299999713897701</v>
      </c>
      <c r="K487" s="33">
        <v>45700</v>
      </c>
      <c r="L487" s="31">
        <v>681600</v>
      </c>
      <c r="M487" s="32">
        <v>3.5</v>
      </c>
      <c r="N487" s="31" t="s">
        <v>35</v>
      </c>
      <c r="O487" s="33">
        <v>45699</v>
      </c>
      <c r="P487" s="34">
        <v>23112.966796875</v>
      </c>
      <c r="Q487" s="34">
        <v>44469.3046875</v>
      </c>
      <c r="R487" s="34">
        <v>43542.80078125</v>
      </c>
      <c r="S487" s="29" t="s">
        <v>1024</v>
      </c>
      <c r="T487" s="33">
        <v>45215</v>
      </c>
      <c r="U487" s="35" t="b">
        <v>0</v>
      </c>
      <c r="V487" s="35" t="b">
        <v>0</v>
      </c>
      <c r="W487" s="35" t="b">
        <v>0</v>
      </c>
      <c r="Y487" s="31" cm="1">
        <f t="array" ref="Y487">IF(LEFT(_xll.BDP($C487, VOLUME_AVG_10D), 4) = "#N/A", "",  _xll.BDP($C487, VOLUME_AVG_10D))</f>
        <v>27775.099609375</v>
      </c>
      <c r="Z487" s="31" cm="1">
        <f t="array" ref="Z487">IF(LEFT(_xll.BDP($C487, VOLUME_AVG_30D), 4) = "#N/A", "",  _xll.BDP($C487, VOLUME_AVG_30D))</f>
        <v>23112.966796875</v>
      </c>
      <c r="AA487" s="31" cm="1">
        <f t="array" ref="AA487">IF(LEFT(_xll.BDP($C487, VOLUME_AVG_3M), 4) = "#N/A", "",  _xll.BDP($C487, VOLUME_AVG_3M))</f>
        <v>44469.3046875</v>
      </c>
      <c r="AB487" s="31" cm="1">
        <f t="array" ref="AB487">IF(LEFT(_xll.BDP($C487, VOLUME_AVG_6M), 4) = "#N/A", "",  _xll.BDP($C487, VOLUME_AVG_6M))</f>
        <v>43542.80078125</v>
      </c>
      <c r="AC487" s="31" cm="1">
        <f t="array" ref="AC487">IF(LEFT(_xll.BDP($C487, VOLUME_AVG_12M), 4) = "#N/A", "",  _xll.BDP($C487, VOLUME_AVG_12M))</f>
        <v>47566.48046875</v>
      </c>
      <c r="AD487" s="41" cm="1">
        <f t="array" ref="AD487">IF(LEFT(_xll.BDP($C487, LAST_PRICE), 4) = "#N/A", "",  _xll.BDP($C487, LAST_PRICE))</f>
        <v>3.03</v>
      </c>
    </row>
    <row r="488" spans="1:30" x14ac:dyDescent="0.35">
      <c r="A488" s="1">
        <f t="shared" si="7"/>
        <v>485</v>
      </c>
      <c r="B488" s="28">
        <v>45700</v>
      </c>
      <c r="C488" s="29" t="s">
        <v>1025</v>
      </c>
      <c r="D488" s="29" t="s">
        <v>1025</v>
      </c>
      <c r="E488" s="29" t="s">
        <v>1026</v>
      </c>
      <c r="F488" s="29" t="s">
        <v>33</v>
      </c>
      <c r="G488" s="30" t="s">
        <v>34</v>
      </c>
      <c r="H488" s="31">
        <v>21173836.178606998</v>
      </c>
      <c r="I488" s="31">
        <v>36112836.178607002</v>
      </c>
      <c r="J488" s="32">
        <v>0.62099999189376798</v>
      </c>
      <c r="K488" s="33">
        <v>45700</v>
      </c>
      <c r="L488" s="31">
        <v>593500</v>
      </c>
      <c r="M488" s="32">
        <v>0.6</v>
      </c>
      <c r="N488" s="31" t="s">
        <v>35</v>
      </c>
      <c r="O488" s="33">
        <v>45699</v>
      </c>
      <c r="P488" s="34">
        <v>1160736.875</v>
      </c>
      <c r="Q488" s="34">
        <v>636169.5625</v>
      </c>
      <c r="R488" s="34">
        <v>355202.625</v>
      </c>
      <c r="S488" s="29"/>
      <c r="T488" s="33"/>
      <c r="U488" s="35" t="b">
        <v>0</v>
      </c>
      <c r="V488" s="35" t="b">
        <v>0</v>
      </c>
      <c r="W488" s="35" t="b">
        <v>0</v>
      </c>
      <c r="Y488" s="31" cm="1">
        <f t="array" ref="Y488">IF(LEFT(_xll.BDP($C488, VOLUME_AVG_10D), 4) = "#N/A", "",  _xll.BDP($C488, VOLUME_AVG_10D))</f>
        <v>693922.375</v>
      </c>
      <c r="Z488" s="31" cm="1">
        <f t="array" ref="Z488">IF(LEFT(_xll.BDP($C488, VOLUME_AVG_30D), 4) = "#N/A", "",  _xll.BDP($C488, VOLUME_AVG_30D))</f>
        <v>1160736.875</v>
      </c>
      <c r="AA488" s="31" cm="1">
        <f t="array" ref="AA488">IF(LEFT(_xll.BDP($C488, VOLUME_AVG_3M), 4) = "#N/A", "",  _xll.BDP($C488, VOLUME_AVG_3M))</f>
        <v>636169.5625</v>
      </c>
      <c r="AB488" s="31" cm="1">
        <f t="array" ref="AB488">IF(LEFT(_xll.BDP($C488, VOLUME_AVG_6M), 4) = "#N/A", "",  _xll.BDP($C488, VOLUME_AVG_6M))</f>
        <v>355202.625</v>
      </c>
      <c r="AC488" s="31" cm="1">
        <f t="array" ref="AC488">IF(LEFT(_xll.BDP($C488, VOLUME_AVG_12M), 4) = "#N/A", "",  _xll.BDP($C488, VOLUME_AVG_12M))</f>
        <v>237748.734375</v>
      </c>
      <c r="AD488" s="41" cm="1">
        <f t="array" ref="AD488">IF(LEFT(_xll.BDP($C488, LAST_PRICE), 4) = "#N/A", "",  _xll.BDP($C488, LAST_PRICE))</f>
        <v>0.621</v>
      </c>
    </row>
    <row r="489" spans="1:30" x14ac:dyDescent="0.35">
      <c r="A489" s="1">
        <f t="shared" si="7"/>
        <v>486</v>
      </c>
      <c r="B489" s="28">
        <v>45700</v>
      </c>
      <c r="C489" s="29" t="s">
        <v>1027</v>
      </c>
      <c r="D489" s="29" t="s">
        <v>1027</v>
      </c>
      <c r="E489" s="29" t="s">
        <v>1028</v>
      </c>
      <c r="F489" s="29" t="s">
        <v>33</v>
      </c>
      <c r="G489" s="30" t="s">
        <v>34</v>
      </c>
      <c r="H489" s="31">
        <v>256988.79999999999</v>
      </c>
      <c r="I489" s="31">
        <v>-1577928.2</v>
      </c>
      <c r="J489" s="32">
        <v>0.2</v>
      </c>
      <c r="K489" s="33">
        <v>45700</v>
      </c>
      <c r="L489" s="31">
        <v>2900</v>
      </c>
      <c r="M489" s="32">
        <v>3.3</v>
      </c>
      <c r="N489" s="31" t="s">
        <v>35</v>
      </c>
      <c r="O489" s="33">
        <v>45699</v>
      </c>
      <c r="P489" s="34">
        <v>239.89999389648401</v>
      </c>
      <c r="Q489" s="34">
        <v>1365.74194335938</v>
      </c>
      <c r="R489" s="34">
        <v>1164.42065429688</v>
      </c>
      <c r="S489" s="29"/>
      <c r="T489" s="33"/>
      <c r="U489" s="35" t="b">
        <v>1</v>
      </c>
      <c r="V489" s="35" t="b">
        <v>0</v>
      </c>
      <c r="W489" s="35" t="b">
        <v>1</v>
      </c>
      <c r="Y489" s="31" cm="1">
        <f t="array" ref="Y489">IF(LEFT(_xll.BDP($C489, VOLUME_AVG_10D), 4) = "#N/A", "",  _xll.BDP($C489, VOLUME_AVG_10D))</f>
        <v>0</v>
      </c>
      <c r="Z489" s="31" cm="1">
        <f t="array" ref="Z489">IF(LEFT(_xll.BDP($C489, VOLUME_AVG_30D), 4) = "#N/A", "",  _xll.BDP($C489, VOLUME_AVG_30D))</f>
        <v>239.89999389648438</v>
      </c>
      <c r="AA489" s="31" cm="1">
        <f t="array" ref="AA489">IF(LEFT(_xll.BDP($C489, VOLUME_AVG_3M), 4) = "#N/A", "",  _xll.BDP($C489, VOLUME_AVG_3M))</f>
        <v>1365.741943359375</v>
      </c>
      <c r="AB489" s="31" cm="1">
        <f t="array" ref="AB489">IF(LEFT(_xll.BDP($C489, VOLUME_AVG_6M), 4) = "#N/A", "",  _xll.BDP($C489, VOLUME_AVG_6M))</f>
        <v>1164.420654296875</v>
      </c>
      <c r="AC489" s="31" cm="1">
        <f t="array" ref="AC489">IF(LEFT(_xll.BDP($C489, VOLUME_AVG_12M), 4) = "#N/A", "",  _xll.BDP($C489, VOLUME_AVG_12M))</f>
        <v>1880.1553955078125</v>
      </c>
      <c r="AD489" s="41" cm="1">
        <f t="array" ref="AD489">IF(LEFT(_xll.BDP($C489, LAST_PRICE), 4) = "#N/A", "",  _xll.BDP($C489, LAST_PRICE))</f>
        <v>0.2</v>
      </c>
    </row>
    <row r="490" spans="1:30" x14ac:dyDescent="0.35">
      <c r="A490" s="1">
        <f t="shared" si="7"/>
        <v>487</v>
      </c>
      <c r="B490" s="28">
        <v>45700</v>
      </c>
      <c r="C490" s="29" t="s">
        <v>1029</v>
      </c>
      <c r="D490" s="29" t="s">
        <v>1029</v>
      </c>
      <c r="E490" s="29" t="s">
        <v>1030</v>
      </c>
      <c r="F490" s="29" t="s">
        <v>33</v>
      </c>
      <c r="G490" s="30" t="s">
        <v>34</v>
      </c>
      <c r="H490" s="31">
        <v>14104000000</v>
      </c>
      <c r="I490" s="31">
        <v>27043449000</v>
      </c>
      <c r="J490" s="32">
        <v>172</v>
      </c>
      <c r="K490" s="33">
        <v>45700</v>
      </c>
      <c r="L490" s="31">
        <v>12518900</v>
      </c>
      <c r="M490" s="32">
        <v>3.88</v>
      </c>
      <c r="N490" s="31" t="s">
        <v>35</v>
      </c>
      <c r="O490" s="33">
        <v>45699</v>
      </c>
      <c r="P490" s="34">
        <v>568650.4375</v>
      </c>
      <c r="Q490" s="34">
        <v>664449</v>
      </c>
      <c r="R490" s="34">
        <v>720985.625</v>
      </c>
      <c r="S490" s="29"/>
      <c r="T490" s="33"/>
      <c r="U490" s="35" t="b">
        <v>0</v>
      </c>
      <c r="V490" s="35" t="b">
        <v>0</v>
      </c>
      <c r="W490" s="35" t="b">
        <v>0</v>
      </c>
      <c r="Y490" s="31" cm="1">
        <f t="array" ref="Y490">IF(LEFT(_xll.BDP($C490, VOLUME_AVG_10D), 4) = "#N/A", "",  _xll.BDP($C490, VOLUME_AVG_10D))</f>
        <v>592488.6875</v>
      </c>
      <c r="Z490" s="31" cm="1">
        <f t="array" ref="Z490">IF(LEFT(_xll.BDP($C490, VOLUME_AVG_30D), 4) = "#N/A", "",  _xll.BDP($C490, VOLUME_AVG_30D))</f>
        <v>568650.4375</v>
      </c>
      <c r="AA490" s="31" cm="1">
        <f t="array" ref="AA490">IF(LEFT(_xll.BDP($C490, VOLUME_AVG_3M), 4) = "#N/A", "",  _xll.BDP($C490, VOLUME_AVG_3M))</f>
        <v>664449</v>
      </c>
      <c r="AB490" s="31" cm="1">
        <f t="array" ref="AB490">IF(LEFT(_xll.BDP($C490, VOLUME_AVG_6M), 4) = "#N/A", "",  _xll.BDP($C490, VOLUME_AVG_6M))</f>
        <v>720985.625</v>
      </c>
      <c r="AC490" s="31" cm="1">
        <f t="array" ref="AC490">IF(LEFT(_xll.BDP($C490, VOLUME_AVG_12M), 4) = "#N/A", "",  _xll.BDP($C490, VOLUME_AVG_12M))</f>
        <v>788107.6875</v>
      </c>
      <c r="AD490" s="41" cm="1">
        <f t="array" ref="AD490">IF(LEFT(_xll.BDP($C490, LAST_PRICE), 4) = "#N/A", "",  _xll.BDP($C490, LAST_PRICE))</f>
        <v>172</v>
      </c>
    </row>
    <row r="491" spans="1:30" x14ac:dyDescent="0.35">
      <c r="A491" s="1">
        <f t="shared" si="7"/>
        <v>488</v>
      </c>
      <c r="B491" s="28">
        <v>45700</v>
      </c>
      <c r="C491" s="29" t="s">
        <v>1031</v>
      </c>
      <c r="D491" s="29" t="s">
        <v>1031</v>
      </c>
      <c r="E491" s="29" t="s">
        <v>1032</v>
      </c>
      <c r="F491" s="29" t="s">
        <v>33</v>
      </c>
      <c r="G491" s="30" t="s">
        <v>34</v>
      </c>
      <c r="H491" s="31">
        <v>34100357.422571197</v>
      </c>
      <c r="I491" s="31">
        <v>-8012623.5774288196</v>
      </c>
      <c r="J491" s="32">
        <v>7.0500001907348597</v>
      </c>
      <c r="K491" s="33">
        <v>45700</v>
      </c>
      <c r="L491" s="31">
        <v>61300</v>
      </c>
      <c r="M491" s="32">
        <v>-10.4</v>
      </c>
      <c r="N491" s="31" t="s">
        <v>35</v>
      </c>
      <c r="O491" s="33">
        <v>45699</v>
      </c>
      <c r="P491" s="34">
        <v>6910.56689453125</v>
      </c>
      <c r="Q491" s="34">
        <v>17040.322265625</v>
      </c>
      <c r="R491" s="34">
        <v>11838.9765625</v>
      </c>
      <c r="S491" s="29"/>
      <c r="T491" s="33"/>
      <c r="U491" s="35" t="b">
        <v>0</v>
      </c>
      <c r="V491" s="35" t="b">
        <v>0</v>
      </c>
      <c r="W491" s="35" t="b">
        <v>1</v>
      </c>
      <c r="Y491" s="31" cm="1">
        <f t="array" ref="Y491">IF(LEFT(_xll.BDP($C491, VOLUME_AVG_10D), 4) = "#N/A", "",  _xll.BDP($C491, VOLUME_AVG_10D))</f>
        <v>5843.7998046875</v>
      </c>
      <c r="Z491" s="31" cm="1">
        <f t="array" ref="Z491">IF(LEFT(_xll.BDP($C491, VOLUME_AVG_30D), 4) = "#N/A", "",  _xll.BDP($C491, VOLUME_AVG_30D))</f>
        <v>6910.56689453125</v>
      </c>
      <c r="AA491" s="31" cm="1">
        <f t="array" ref="AA491">IF(LEFT(_xll.BDP($C491, VOLUME_AVG_3M), 4) = "#N/A", "",  _xll.BDP($C491, VOLUME_AVG_3M))</f>
        <v>17040.322265625</v>
      </c>
      <c r="AB491" s="31" cm="1">
        <f t="array" ref="AB491">IF(LEFT(_xll.BDP($C491, VOLUME_AVG_6M), 4) = "#N/A", "",  _xll.BDP($C491, VOLUME_AVG_6M))</f>
        <v>11838.9765625</v>
      </c>
      <c r="AC491" s="31" cm="1">
        <f t="array" ref="AC491">IF(LEFT(_xll.BDP($C491, VOLUME_AVG_12M), 4) = "#N/A", "",  _xll.BDP($C491, VOLUME_AVG_12M))</f>
        <v>6940.2392578125</v>
      </c>
      <c r="AD491" s="41" cm="1">
        <f t="array" ref="AD491">IF(LEFT(_xll.BDP($C491, LAST_PRICE), 4) = "#N/A", "",  _xll.BDP($C491, LAST_PRICE))</f>
        <v>7.05</v>
      </c>
    </row>
    <row r="492" spans="1:30" x14ac:dyDescent="0.35">
      <c r="A492" s="1">
        <f t="shared" si="7"/>
        <v>489</v>
      </c>
      <c r="B492" s="28">
        <v>45700</v>
      </c>
      <c r="C492" s="29" t="s">
        <v>1033</v>
      </c>
      <c r="D492" s="29" t="s">
        <v>1033</v>
      </c>
      <c r="E492" s="29" t="s">
        <v>1034</v>
      </c>
      <c r="F492" s="29" t="s">
        <v>33</v>
      </c>
      <c r="G492" s="30" t="s">
        <v>34</v>
      </c>
      <c r="H492" s="31">
        <v>1223265557.7609401</v>
      </c>
      <c r="I492" s="31">
        <v>667497557.76094198</v>
      </c>
      <c r="J492" s="32">
        <v>12.1300001144409</v>
      </c>
      <c r="K492" s="33">
        <v>45700</v>
      </c>
      <c r="L492" s="31">
        <v>19004800</v>
      </c>
      <c r="M492" s="32">
        <v>3.88</v>
      </c>
      <c r="N492" s="31" t="s">
        <v>35</v>
      </c>
      <c r="O492" s="33">
        <v>45699</v>
      </c>
      <c r="P492" s="34">
        <v>1028373.4375</v>
      </c>
      <c r="Q492" s="34">
        <v>1014483.5</v>
      </c>
      <c r="R492" s="34">
        <v>1017921.1875</v>
      </c>
      <c r="S492" s="29" t="s">
        <v>46</v>
      </c>
      <c r="T492" s="33">
        <v>45446</v>
      </c>
      <c r="U492" s="35" t="b">
        <v>0</v>
      </c>
      <c r="V492" s="35" t="b">
        <v>0</v>
      </c>
      <c r="W492" s="35" t="b">
        <v>0</v>
      </c>
      <c r="Y492" s="31" cm="1">
        <f t="array" ref="Y492">IF(LEFT(_xll.BDP($C492, VOLUME_AVG_10D), 4) = "#N/A", "",  _xll.BDP($C492, VOLUME_AVG_10D))</f>
        <v>860151.1875</v>
      </c>
      <c r="Z492" s="31" cm="1">
        <f t="array" ref="Z492">IF(LEFT(_xll.BDP($C492, VOLUME_AVG_30D), 4) = "#N/A", "",  _xll.BDP($C492, VOLUME_AVG_30D))</f>
        <v>1028373.4375</v>
      </c>
      <c r="AA492" s="31" cm="1">
        <f t="array" ref="AA492">IF(LEFT(_xll.BDP($C492, VOLUME_AVG_3M), 4) = "#N/A", "",  _xll.BDP($C492, VOLUME_AVG_3M))</f>
        <v>1014483.5</v>
      </c>
      <c r="AB492" s="31" cm="1">
        <f t="array" ref="AB492">IF(LEFT(_xll.BDP($C492, VOLUME_AVG_6M), 4) = "#N/A", "",  _xll.BDP($C492, VOLUME_AVG_6M))</f>
        <v>1017921.1875</v>
      </c>
      <c r="AC492" s="31" cm="1">
        <f t="array" ref="AC492">IF(LEFT(_xll.BDP($C492, VOLUME_AVG_12M), 4) = "#N/A", "",  _xll.BDP($C492, VOLUME_AVG_12M))</f>
        <v>1027677.75</v>
      </c>
      <c r="AD492" s="41" cm="1">
        <f t="array" ref="AD492">IF(LEFT(_xll.BDP($C492, LAST_PRICE), 4) = "#N/A", "",  _xll.BDP($C492, LAST_PRICE))</f>
        <v>12.13</v>
      </c>
    </row>
    <row r="493" spans="1:30" x14ac:dyDescent="0.35">
      <c r="A493" s="1">
        <f t="shared" si="7"/>
        <v>490</v>
      </c>
      <c r="B493" s="28">
        <v>45700</v>
      </c>
      <c r="C493" s="29" t="s">
        <v>1035</v>
      </c>
      <c r="D493" s="29" t="s">
        <v>1035</v>
      </c>
      <c r="E493" s="29" t="s">
        <v>1036</v>
      </c>
      <c r="F493" s="29" t="s">
        <v>33</v>
      </c>
      <c r="G493" s="30" t="s">
        <v>34</v>
      </c>
      <c r="H493" s="31">
        <v>2516.2451000000001</v>
      </c>
      <c r="I493" s="31">
        <v>3056844.2450999999</v>
      </c>
      <c r="J493" s="32">
        <v>9.9999999747524292E-7</v>
      </c>
      <c r="K493" s="33">
        <v>45700</v>
      </c>
      <c r="L493" s="31"/>
      <c r="M493" s="32"/>
      <c r="N493" s="31"/>
      <c r="O493" s="33">
        <v>45699</v>
      </c>
      <c r="P493" s="34">
        <v>130732.8984375</v>
      </c>
      <c r="Q493" s="34">
        <v>75549.2578125</v>
      </c>
      <c r="R493" s="34">
        <v>49115.27734375</v>
      </c>
      <c r="S493" s="29"/>
      <c r="T493" s="33"/>
      <c r="U493" s="35" t="b">
        <v>1</v>
      </c>
      <c r="V493" s="35" t="b">
        <v>1</v>
      </c>
      <c r="W493" s="35" t="b">
        <v>0</v>
      </c>
      <c r="Y493" s="31" cm="1">
        <f t="array" ref="Y493">IF(LEFT(_xll.BDP($C493, VOLUME_AVG_10D), 4) = "#N/A", "",  _xll.BDP($C493, VOLUME_AVG_10D))</f>
        <v>3735</v>
      </c>
      <c r="Z493" s="31" cm="1">
        <f t="array" ref="Z493">IF(LEFT(_xll.BDP($C493, VOLUME_AVG_30D), 4) = "#N/A", "",  _xll.BDP($C493, VOLUME_AVG_30D))</f>
        <v>130732.8984375</v>
      </c>
      <c r="AA493" s="31" cm="1">
        <f t="array" ref="AA493">IF(LEFT(_xll.BDP($C493, VOLUME_AVG_3M), 4) = "#N/A", "",  _xll.BDP($C493, VOLUME_AVG_3M))</f>
        <v>75549.2578125</v>
      </c>
      <c r="AB493" s="31" cm="1">
        <f t="array" ref="AB493">IF(LEFT(_xll.BDP($C493, VOLUME_AVG_6M), 4) = "#N/A", "",  _xll.BDP($C493, VOLUME_AVG_6M))</f>
        <v>49115.27734375</v>
      </c>
      <c r="AC493" s="31" cm="1">
        <f t="array" ref="AC493">IF(LEFT(_xll.BDP($C493, VOLUME_AVG_12M), 4) = "#N/A", "",  _xll.BDP($C493, VOLUME_AVG_12M))</f>
        <v>35399.71875</v>
      </c>
      <c r="AD493" s="41" cm="1">
        <f t="array" ref="AD493">IF(LEFT(_xll.BDP($C493, LAST_PRICE), 4) = "#N/A", "",  _xll.BDP($C493, LAST_PRICE))</f>
        <v>9.9999999999999995E-7</v>
      </c>
    </row>
    <row r="494" spans="1:30" x14ac:dyDescent="0.35">
      <c r="A494" s="1">
        <f t="shared" si="7"/>
        <v>491</v>
      </c>
      <c r="B494" s="28">
        <v>45700</v>
      </c>
      <c r="C494" s="29" t="s">
        <v>1037</v>
      </c>
      <c r="D494" s="29" t="s">
        <v>1037</v>
      </c>
      <c r="E494" s="29" t="s">
        <v>1038</v>
      </c>
      <c r="F494" s="29" t="s">
        <v>40</v>
      </c>
      <c r="G494" s="30" t="s">
        <v>41</v>
      </c>
      <c r="H494" s="31">
        <v>63481427.373343699</v>
      </c>
      <c r="I494" s="31">
        <v>65120986.373343699</v>
      </c>
      <c r="J494" s="32">
        <v>1.1599999666214</v>
      </c>
      <c r="K494" s="33">
        <v>45700</v>
      </c>
      <c r="L494" s="31">
        <v>1200</v>
      </c>
      <c r="M494" s="32">
        <v>3.3</v>
      </c>
      <c r="N494" s="31" t="s">
        <v>35</v>
      </c>
      <c r="O494" s="33">
        <v>45699</v>
      </c>
      <c r="P494" s="34">
        <v>97587.03</v>
      </c>
      <c r="Q494" s="34">
        <v>61221.34</v>
      </c>
      <c r="R494" s="34">
        <v>48374.43</v>
      </c>
      <c r="S494" s="29"/>
      <c r="T494" s="33"/>
      <c r="U494" s="35" t="b">
        <v>0</v>
      </c>
      <c r="V494" s="35" t="b">
        <v>0</v>
      </c>
      <c r="W494" s="35" t="b">
        <v>0</v>
      </c>
      <c r="Y494" s="31" cm="1">
        <f t="array" ref="Y494">IF(LEFT(_xll.BDP($C494, VOLUME_AVG_10D), 4) = "#N/A", "",  _xll.BDP($C494, VOLUME_AVG_10D))</f>
        <v>97916.3</v>
      </c>
      <c r="Z494" s="31" cm="1">
        <f t="array" ref="Z494">IF(LEFT(_xll.BDP($C494, VOLUME_AVG_30D), 4) = "#N/A", "",  _xll.BDP($C494, VOLUME_AVG_30D))</f>
        <v>97587.03</v>
      </c>
      <c r="AA494" s="31" cm="1">
        <f t="array" ref="AA494">IF(LEFT(_xll.BDP($C494, VOLUME_AVG_3M), 4) = "#N/A", "",  _xll.BDP($C494, VOLUME_AVG_3M))</f>
        <v>61221.34</v>
      </c>
      <c r="AB494" s="31" cm="1">
        <f t="array" ref="AB494">IF(LEFT(_xll.BDP($C494, VOLUME_AVG_6M), 4) = "#N/A", "",  _xll.BDP($C494, VOLUME_AVG_6M))</f>
        <v>48374.43</v>
      </c>
      <c r="AC494" s="31" cm="1">
        <f t="array" ref="AC494">IF(LEFT(_xll.BDP($C494, VOLUME_AVG_12M), 4) = "#N/A", "",  _xll.BDP($C494, VOLUME_AVG_12M))</f>
        <v>45755.98</v>
      </c>
      <c r="AD494" s="41" cm="1">
        <f t="array" ref="AD494">IF(LEFT(_xll.BDP($C494, LAST_PRICE), 4) = "#N/A", "",  _xll.BDP($C494, LAST_PRICE))</f>
        <v>1.1599999999999999</v>
      </c>
    </row>
    <row r="495" spans="1:30" x14ac:dyDescent="0.35">
      <c r="A495" s="1">
        <f t="shared" si="7"/>
        <v>492</v>
      </c>
      <c r="B495" s="28">
        <v>45700</v>
      </c>
      <c r="C495" s="29" t="s">
        <v>1039</v>
      </c>
      <c r="D495" s="29" t="s">
        <v>1039</v>
      </c>
      <c r="E495" s="29" t="s">
        <v>1040</v>
      </c>
      <c r="F495" s="29" t="s">
        <v>33</v>
      </c>
      <c r="G495" s="30" t="s">
        <v>34</v>
      </c>
      <c r="H495" s="31">
        <v>570150000</v>
      </c>
      <c r="I495" s="31">
        <v>557228000</v>
      </c>
      <c r="J495" s="32">
        <v>15.75</v>
      </c>
      <c r="K495" s="33">
        <v>45700</v>
      </c>
      <c r="L495" s="31">
        <v>2910300</v>
      </c>
      <c r="M495" s="32">
        <v>3.85</v>
      </c>
      <c r="N495" s="31" t="s">
        <v>35</v>
      </c>
      <c r="O495" s="33">
        <v>45699</v>
      </c>
      <c r="P495" s="34">
        <v>455190.9375</v>
      </c>
      <c r="Q495" s="34">
        <v>430569.3125</v>
      </c>
      <c r="R495" s="34">
        <v>374905.875</v>
      </c>
      <c r="S495" s="29"/>
      <c r="T495" s="33"/>
      <c r="U495" s="35" t="b">
        <v>0</v>
      </c>
      <c r="V495" s="35" t="b">
        <v>0</v>
      </c>
      <c r="W495" s="35" t="b">
        <v>0</v>
      </c>
      <c r="Y495" s="31" cm="1">
        <f t="array" ref="Y495">IF(LEFT(_xll.BDP($C495, VOLUME_AVG_10D), 4) = "#N/A", "",  _xll.BDP($C495, VOLUME_AVG_10D))</f>
        <v>361050</v>
      </c>
      <c r="Z495" s="31" cm="1">
        <f t="array" ref="Z495">IF(LEFT(_xll.BDP($C495, VOLUME_AVG_30D), 4) = "#N/A", "",  _xll.BDP($C495, VOLUME_AVG_30D))</f>
        <v>455190.9375</v>
      </c>
      <c r="AA495" s="31" cm="1">
        <f t="array" ref="AA495">IF(LEFT(_xll.BDP($C495, VOLUME_AVG_3M), 4) = "#N/A", "",  _xll.BDP($C495, VOLUME_AVG_3M))</f>
        <v>430569.3125</v>
      </c>
      <c r="AB495" s="31" cm="1">
        <f t="array" ref="AB495">IF(LEFT(_xll.BDP($C495, VOLUME_AVG_6M), 4) = "#N/A", "",  _xll.BDP($C495, VOLUME_AVG_6M))</f>
        <v>374905.875</v>
      </c>
      <c r="AC495" s="31" cm="1">
        <f t="array" ref="AC495">IF(LEFT(_xll.BDP($C495, VOLUME_AVG_12M), 4) = "#N/A", "",  _xll.BDP($C495, VOLUME_AVG_12M))</f>
        <v>311811.03125</v>
      </c>
      <c r="AD495" s="41" cm="1">
        <f t="array" ref="AD495">IF(LEFT(_xll.BDP($C495, LAST_PRICE), 4) = "#N/A", "",  _xll.BDP($C495, LAST_PRICE))</f>
        <v>15.75</v>
      </c>
    </row>
    <row r="496" spans="1:30" x14ac:dyDescent="0.35">
      <c r="A496" s="1">
        <f t="shared" si="7"/>
        <v>493</v>
      </c>
      <c r="B496" s="28">
        <v>45700</v>
      </c>
      <c r="C496" s="29" t="s">
        <v>1041</v>
      </c>
      <c r="D496" s="29" t="s">
        <v>1041</v>
      </c>
      <c r="E496" s="29" t="s">
        <v>1042</v>
      </c>
      <c r="F496" s="29" t="s">
        <v>40</v>
      </c>
      <c r="G496" s="30" t="s">
        <v>41</v>
      </c>
      <c r="H496" s="31">
        <v>6252356.9402489299</v>
      </c>
      <c r="I496" s="31">
        <v>4608356.9402489299</v>
      </c>
      <c r="J496" s="32">
        <v>1.9999999552965199E-2</v>
      </c>
      <c r="K496" s="33">
        <v>45700</v>
      </c>
      <c r="L496" s="31">
        <v>322700</v>
      </c>
      <c r="M496" s="32">
        <v>3.3</v>
      </c>
      <c r="N496" s="31" t="s">
        <v>35</v>
      </c>
      <c r="O496" s="33">
        <v>45699</v>
      </c>
      <c r="P496" s="34">
        <v>145478.1</v>
      </c>
      <c r="Q496" s="34">
        <v>192232</v>
      </c>
      <c r="R496" s="34">
        <v>655871.9</v>
      </c>
      <c r="S496" s="29"/>
      <c r="T496" s="33"/>
      <c r="U496" s="35" t="b">
        <v>1</v>
      </c>
      <c r="V496" s="35" t="b">
        <v>1</v>
      </c>
      <c r="W496" s="35" t="b">
        <v>0</v>
      </c>
      <c r="Y496" s="31" cm="1">
        <f t="array" ref="Y496">IF(LEFT(_xll.BDP($C496, VOLUME_AVG_10D), 4) = "#N/A", "",  _xll.BDP($C496, VOLUME_AVG_10D))</f>
        <v>96078.5</v>
      </c>
      <c r="Z496" s="31" cm="1">
        <f t="array" ref="Z496">IF(LEFT(_xll.BDP($C496, VOLUME_AVG_30D), 4) = "#N/A", "",  _xll.BDP($C496, VOLUME_AVG_30D))</f>
        <v>145478.1</v>
      </c>
      <c r="AA496" s="31" cm="1">
        <f t="array" ref="AA496">IF(LEFT(_xll.BDP($C496, VOLUME_AVG_3M), 4) = "#N/A", "",  _xll.BDP($C496, VOLUME_AVG_3M))</f>
        <v>192232</v>
      </c>
      <c r="AB496" s="31" cm="1">
        <f t="array" ref="AB496">IF(LEFT(_xll.BDP($C496, VOLUME_AVG_6M), 4) = "#N/A", "",  _xll.BDP($C496, VOLUME_AVG_6M))</f>
        <v>655871.9</v>
      </c>
      <c r="AC496" s="31" cm="1">
        <f t="array" ref="AC496">IF(LEFT(_xll.BDP($C496, VOLUME_AVG_12M), 4) = "#N/A", "",  _xll.BDP($C496, VOLUME_AVG_12M))</f>
        <v>421170.7</v>
      </c>
      <c r="AD496" s="41" cm="1">
        <f t="array" ref="AD496">IF(LEFT(_xll.BDP($C496, LAST_PRICE), 4) = "#N/A", "",  _xll.BDP($C496, LAST_PRICE))</f>
        <v>0.02</v>
      </c>
    </row>
    <row r="497" spans="1:30" x14ac:dyDescent="0.35">
      <c r="A497" s="1">
        <f t="shared" si="7"/>
        <v>494</v>
      </c>
      <c r="B497" s="28">
        <v>45700</v>
      </c>
      <c r="C497" s="29" t="s">
        <v>1043</v>
      </c>
      <c r="D497" s="29" t="s">
        <v>1043</v>
      </c>
      <c r="E497" s="29" t="s">
        <v>1044</v>
      </c>
      <c r="F497" s="29" t="s">
        <v>33</v>
      </c>
      <c r="G497" s="30" t="s">
        <v>34</v>
      </c>
      <c r="H497" s="31">
        <v>2996448167.7586098</v>
      </c>
      <c r="I497" s="31">
        <v>1766943167.75861</v>
      </c>
      <c r="J497" s="32">
        <v>20.819999694824201</v>
      </c>
      <c r="K497" s="33">
        <v>45700</v>
      </c>
      <c r="L497" s="31">
        <v>51191600</v>
      </c>
      <c r="M497" s="32">
        <v>3.88</v>
      </c>
      <c r="N497" s="31" t="s">
        <v>35</v>
      </c>
      <c r="O497" s="33">
        <v>45699</v>
      </c>
      <c r="P497" s="34">
        <v>980912.4375</v>
      </c>
      <c r="Q497" s="34">
        <v>971284.25</v>
      </c>
      <c r="R497" s="34">
        <v>901188.3125</v>
      </c>
      <c r="S497" s="29" t="s">
        <v>177</v>
      </c>
      <c r="T497" s="33">
        <v>45446</v>
      </c>
      <c r="U497" s="35" t="b">
        <v>0</v>
      </c>
      <c r="V497" s="35" t="b">
        <v>0</v>
      </c>
      <c r="W497" s="35" t="b">
        <v>0</v>
      </c>
      <c r="Y497" s="31" cm="1">
        <f t="array" ref="Y497">IF(LEFT(_xll.BDP($C497, VOLUME_AVG_10D), 4) = "#N/A", "",  _xll.BDP($C497, VOLUME_AVG_10D))</f>
        <v>919320.625</v>
      </c>
      <c r="Z497" s="31" cm="1">
        <f t="array" ref="Z497">IF(LEFT(_xll.BDP($C497, VOLUME_AVG_30D), 4) = "#N/A", "",  _xll.BDP($C497, VOLUME_AVG_30D))</f>
        <v>980912.4375</v>
      </c>
      <c r="AA497" s="31" cm="1">
        <f t="array" ref="AA497">IF(LEFT(_xll.BDP($C497, VOLUME_AVG_3M), 4) = "#N/A", "",  _xll.BDP($C497, VOLUME_AVG_3M))</f>
        <v>971284.25</v>
      </c>
      <c r="AB497" s="31" cm="1">
        <f t="array" ref="AB497">IF(LEFT(_xll.BDP($C497, VOLUME_AVG_6M), 4) = "#N/A", "",  _xll.BDP($C497, VOLUME_AVG_6M))</f>
        <v>901188.3125</v>
      </c>
      <c r="AC497" s="31" cm="1">
        <f t="array" ref="AC497">IF(LEFT(_xll.BDP($C497, VOLUME_AVG_12M), 4) = "#N/A", "",  _xll.BDP($C497, VOLUME_AVG_12M))</f>
        <v>1059036.625</v>
      </c>
      <c r="AD497" s="41" cm="1">
        <f t="array" ref="AD497">IF(LEFT(_xll.BDP($C497, LAST_PRICE), 4) = "#N/A", "",  _xll.BDP($C497, LAST_PRICE))</f>
        <v>20.82</v>
      </c>
    </row>
    <row r="498" spans="1:30" x14ac:dyDescent="0.35">
      <c r="A498" s="1">
        <f t="shared" si="7"/>
        <v>495</v>
      </c>
      <c r="B498" s="28">
        <v>45700</v>
      </c>
      <c r="C498" s="29" t="s">
        <v>1045</v>
      </c>
      <c r="D498" s="29" t="s">
        <v>1045</v>
      </c>
      <c r="E498" s="29" t="s">
        <v>1046</v>
      </c>
      <c r="F498" s="29" t="s">
        <v>33</v>
      </c>
      <c r="G498" s="30" t="s">
        <v>34</v>
      </c>
      <c r="H498" s="31">
        <v>375674.50439999998</v>
      </c>
      <c r="I498" s="31">
        <v>872508.50404123997</v>
      </c>
      <c r="J498" s="32">
        <v>1.5599999999999999E-2</v>
      </c>
      <c r="K498" s="33">
        <v>45700</v>
      </c>
      <c r="L498" s="31">
        <v>101300</v>
      </c>
      <c r="M498" s="32">
        <v>3.3</v>
      </c>
      <c r="N498" s="31" t="s">
        <v>35</v>
      </c>
      <c r="O498" s="33">
        <v>45699</v>
      </c>
      <c r="P498" s="34">
        <v>166.66667175293</v>
      </c>
      <c r="Q498" s="34">
        <v>492.69354248046898</v>
      </c>
      <c r="R498" s="34">
        <v>950.22222900390602</v>
      </c>
      <c r="S498" s="29"/>
      <c r="T498" s="33"/>
      <c r="U498" s="35" t="b">
        <v>1</v>
      </c>
      <c r="V498" s="35" t="b">
        <v>1</v>
      </c>
      <c r="W498" s="35" t="b">
        <v>0</v>
      </c>
      <c r="Y498" s="31" cm="1">
        <f t="array" ref="Y498">IF(LEFT(_xll.BDP($C498, VOLUME_AVG_10D), 4) = "#N/A", "",  _xll.BDP($C498, VOLUME_AVG_10D))</f>
        <v>500</v>
      </c>
      <c r="Z498" s="31" cm="1">
        <f t="array" ref="Z498">IF(LEFT(_xll.BDP($C498, VOLUME_AVG_30D), 4) = "#N/A", "",  _xll.BDP($C498, VOLUME_AVG_30D))</f>
        <v>166.66667175292969</v>
      </c>
      <c r="AA498" s="31" cm="1">
        <f t="array" ref="AA498">IF(LEFT(_xll.BDP($C498, VOLUME_AVG_3M), 4) = "#N/A", "",  _xll.BDP($C498, VOLUME_AVG_3M))</f>
        <v>492.69354248046875</v>
      </c>
      <c r="AB498" s="31" cm="1">
        <f t="array" ref="AB498">IF(LEFT(_xll.BDP($C498, VOLUME_AVG_6M), 4) = "#N/A", "",  _xll.BDP($C498, VOLUME_AVG_6M))</f>
        <v>950.22222900390625</v>
      </c>
      <c r="AC498" s="31" cm="1">
        <f t="array" ref="AC498">IF(LEFT(_xll.BDP($C498, VOLUME_AVG_12M), 4) = "#N/A", "",  _xll.BDP($C498, VOLUME_AVG_12M))</f>
        <v>1564.1036376953125</v>
      </c>
      <c r="AD498" s="41" cm="1">
        <f t="array" ref="AD498">IF(LEFT(_xll.BDP($C498, LAST_PRICE), 4) = "#N/A", "",  _xll.BDP($C498, LAST_PRICE))</f>
        <v>1.5599999999999999E-2</v>
      </c>
    </row>
    <row r="499" spans="1:30" x14ac:dyDescent="0.35">
      <c r="A499" s="1">
        <f t="shared" si="7"/>
        <v>496</v>
      </c>
      <c r="B499" s="28">
        <v>45700</v>
      </c>
      <c r="C499" s="29" t="s">
        <v>1047</v>
      </c>
      <c r="D499" s="29" t="s">
        <v>1047</v>
      </c>
      <c r="E499" s="29" t="s">
        <v>1048</v>
      </c>
      <c r="F499" s="29" t="s">
        <v>40</v>
      </c>
      <c r="G499" s="30" t="s">
        <v>41</v>
      </c>
      <c r="H499" s="31">
        <v>1531306242.71101</v>
      </c>
      <c r="I499" s="31">
        <v>2819406242.71101</v>
      </c>
      <c r="J499" s="32">
        <v>7.7699999809265101</v>
      </c>
      <c r="K499" s="33">
        <v>45700</v>
      </c>
      <c r="L499" s="31">
        <v>7864400</v>
      </c>
      <c r="M499" s="32">
        <v>0.05</v>
      </c>
      <c r="N499" s="31" t="s">
        <v>35</v>
      </c>
      <c r="O499" s="33">
        <v>45699</v>
      </c>
      <c r="P499" s="34">
        <v>318114.3</v>
      </c>
      <c r="Q499" s="34">
        <v>392449.2</v>
      </c>
      <c r="R499" s="34">
        <v>316356.59999999998</v>
      </c>
      <c r="S499" s="29"/>
      <c r="T499" s="33"/>
      <c r="U499" s="35" t="b">
        <v>0</v>
      </c>
      <c r="V499" s="35" t="b">
        <v>0</v>
      </c>
      <c r="W499" s="35" t="b">
        <v>0</v>
      </c>
      <c r="Y499" s="31" cm="1">
        <f t="array" ref="Y499">IF(LEFT(_xll.BDP($C499, VOLUME_AVG_10D), 4) = "#N/A", "",  _xll.BDP($C499, VOLUME_AVG_10D))</f>
        <v>305594.09999999998</v>
      </c>
      <c r="Z499" s="31" cm="1">
        <f t="array" ref="Z499">IF(LEFT(_xll.BDP($C499, VOLUME_AVG_30D), 4) = "#N/A", "",  _xll.BDP($C499, VOLUME_AVG_30D))</f>
        <v>318114.3</v>
      </c>
      <c r="AA499" s="31" cm="1">
        <f t="array" ref="AA499">IF(LEFT(_xll.BDP($C499, VOLUME_AVG_3M), 4) = "#N/A", "",  _xll.BDP($C499, VOLUME_AVG_3M))</f>
        <v>392449.2</v>
      </c>
      <c r="AB499" s="31" cm="1">
        <f t="array" ref="AB499">IF(LEFT(_xll.BDP($C499, VOLUME_AVG_6M), 4) = "#N/A", "",  _xll.BDP($C499, VOLUME_AVG_6M))</f>
        <v>316356.59999999998</v>
      </c>
      <c r="AC499" s="31" cm="1">
        <f t="array" ref="AC499">IF(LEFT(_xll.BDP($C499, VOLUME_AVG_12M), 4) = "#N/A", "",  _xll.BDP($C499, VOLUME_AVG_12M))</f>
        <v>363608.7</v>
      </c>
      <c r="AD499" s="41" cm="1">
        <f t="array" ref="AD499">IF(LEFT(_xll.BDP($C499, LAST_PRICE), 4) = "#N/A", "",  _xll.BDP($C499, LAST_PRICE))</f>
        <v>7.77</v>
      </c>
    </row>
    <row r="500" spans="1:30" x14ac:dyDescent="0.35">
      <c r="A500" s="1">
        <f t="shared" si="7"/>
        <v>497</v>
      </c>
      <c r="B500" s="28">
        <v>45700</v>
      </c>
      <c r="C500" s="29" t="s">
        <v>1049</v>
      </c>
      <c r="D500" s="29" t="s">
        <v>1049</v>
      </c>
      <c r="E500" s="29" t="s">
        <v>1050</v>
      </c>
      <c r="F500" s="29" t="s">
        <v>33</v>
      </c>
      <c r="G500" s="30" t="s">
        <v>34</v>
      </c>
      <c r="H500" s="31">
        <v>3651580830.98245</v>
      </c>
      <c r="I500" s="31">
        <v>5674580830.9824495</v>
      </c>
      <c r="J500" s="32">
        <v>18.370000839233398</v>
      </c>
      <c r="K500" s="33">
        <v>45700</v>
      </c>
      <c r="L500" s="31">
        <v>75181000</v>
      </c>
      <c r="M500" s="32">
        <v>3.88</v>
      </c>
      <c r="N500" s="31" t="s">
        <v>35</v>
      </c>
      <c r="O500" s="33">
        <v>45699</v>
      </c>
      <c r="P500" s="34">
        <v>2252757</v>
      </c>
      <c r="Q500" s="34">
        <v>2702734</v>
      </c>
      <c r="R500" s="34">
        <v>2820908</v>
      </c>
      <c r="S500" s="29"/>
      <c r="T500" s="33"/>
      <c r="U500" s="35" t="b">
        <v>0</v>
      </c>
      <c r="V500" s="35" t="b">
        <v>0</v>
      </c>
      <c r="W500" s="35" t="b">
        <v>0</v>
      </c>
      <c r="Y500" s="31" cm="1">
        <f t="array" ref="Y500">IF(LEFT(_xll.BDP($C500, VOLUME_AVG_10D), 4) = "#N/A", "",  _xll.BDP($C500, VOLUME_AVG_10D))</f>
        <v>2024348.75</v>
      </c>
      <c r="Z500" s="31" cm="1">
        <f t="array" ref="Z500">IF(LEFT(_xll.BDP($C500, VOLUME_AVG_30D), 4) = "#N/A", "",  _xll.BDP($C500, VOLUME_AVG_30D))</f>
        <v>2252757</v>
      </c>
      <c r="AA500" s="31" cm="1">
        <f t="array" ref="AA500">IF(LEFT(_xll.BDP($C500, VOLUME_AVG_3M), 4) = "#N/A", "",  _xll.BDP($C500, VOLUME_AVG_3M))</f>
        <v>2702734</v>
      </c>
      <c r="AB500" s="31" cm="1">
        <f t="array" ref="AB500">IF(LEFT(_xll.BDP($C500, VOLUME_AVG_6M), 4) = "#N/A", "",  _xll.BDP($C500, VOLUME_AVG_6M))</f>
        <v>2820908</v>
      </c>
      <c r="AC500" s="31" cm="1">
        <f t="array" ref="AC500">IF(LEFT(_xll.BDP($C500, VOLUME_AVG_12M), 4) = "#N/A", "",  _xll.BDP($C500, VOLUME_AVG_12M))</f>
        <v>3018998</v>
      </c>
      <c r="AD500" s="41" cm="1">
        <f t="array" ref="AD500">IF(LEFT(_xll.BDP($C500, LAST_PRICE), 4) = "#N/A", "",  _xll.BDP($C500, LAST_PRICE))</f>
        <v>18.37</v>
      </c>
    </row>
    <row r="501" spans="1:30" x14ac:dyDescent="0.35">
      <c r="A501" s="1">
        <f t="shared" si="7"/>
        <v>498</v>
      </c>
      <c r="B501" s="28">
        <v>45700</v>
      </c>
      <c r="C501" s="29" t="s">
        <v>1051</v>
      </c>
      <c r="D501" s="29" t="s">
        <v>1051</v>
      </c>
      <c r="E501" s="29" t="s">
        <v>1052</v>
      </c>
      <c r="F501" s="29" t="s">
        <v>33</v>
      </c>
      <c r="G501" s="30" t="s">
        <v>34</v>
      </c>
      <c r="H501" s="31">
        <v>6161906.8722510301</v>
      </c>
      <c r="I501" s="31">
        <v>-1276228.1277489699</v>
      </c>
      <c r="J501" s="32">
        <v>1.1499999761581401</v>
      </c>
      <c r="K501" s="33">
        <v>45700</v>
      </c>
      <c r="L501" s="31">
        <v>14800</v>
      </c>
      <c r="M501" s="32">
        <v>-21.5</v>
      </c>
      <c r="N501" s="31" t="s">
        <v>35</v>
      </c>
      <c r="O501" s="33">
        <v>45699</v>
      </c>
      <c r="P501" s="34">
        <v>493879.65625</v>
      </c>
      <c r="Q501" s="34">
        <v>476805.59375</v>
      </c>
      <c r="R501" s="34">
        <v>505423.03125</v>
      </c>
      <c r="S501" s="29"/>
      <c r="T501" s="33"/>
      <c r="U501" s="35" t="b">
        <v>1</v>
      </c>
      <c r="V501" s="35" t="b">
        <v>0</v>
      </c>
      <c r="W501" s="35" t="b">
        <v>1</v>
      </c>
      <c r="Y501" s="31" cm="1">
        <f t="array" ref="Y501">IF(LEFT(_xll.BDP($C501, VOLUME_AVG_10D), 4) = "#N/A", "",  _xll.BDP($C501, VOLUME_AVG_10D))</f>
        <v>182842.203125</v>
      </c>
      <c r="Z501" s="31" cm="1">
        <f t="array" ref="Z501">IF(LEFT(_xll.BDP($C501, VOLUME_AVG_30D), 4) = "#N/A", "",  _xll.BDP($C501, VOLUME_AVG_30D))</f>
        <v>493879.65625</v>
      </c>
      <c r="AA501" s="31" cm="1">
        <f t="array" ref="AA501">IF(LEFT(_xll.BDP($C501, VOLUME_AVG_3M), 4) = "#N/A", "",  _xll.BDP($C501, VOLUME_AVG_3M))</f>
        <v>476805.59375</v>
      </c>
      <c r="AB501" s="31" cm="1">
        <f t="array" ref="AB501">IF(LEFT(_xll.BDP($C501, VOLUME_AVG_6M), 4) = "#N/A", "",  _xll.BDP($C501, VOLUME_AVG_6M))</f>
        <v>505423.03125</v>
      </c>
      <c r="AC501" s="31" cm="1">
        <f t="array" ref="AC501">IF(LEFT(_xll.BDP($C501, VOLUME_AVG_12M), 4) = "#N/A", "",  _xll.BDP($C501, VOLUME_AVG_12M))</f>
        <v>800520.9375</v>
      </c>
      <c r="AD501" s="41" cm="1">
        <f t="array" ref="AD501">IF(LEFT(_xll.BDP($C501, LAST_PRICE), 4) = "#N/A", "",  _xll.BDP($C501, LAST_PRICE))</f>
        <v>1.1499999999999999</v>
      </c>
    </row>
    <row r="502" spans="1:30" x14ac:dyDescent="0.35">
      <c r="A502" s="1">
        <f t="shared" si="7"/>
        <v>499</v>
      </c>
      <c r="B502" s="28">
        <v>45700</v>
      </c>
      <c r="C502" s="29" t="s">
        <v>1053</v>
      </c>
      <c r="D502" s="29" t="s">
        <v>1053</v>
      </c>
      <c r="E502" s="29" t="s">
        <v>1054</v>
      </c>
      <c r="F502" s="29" t="s">
        <v>33</v>
      </c>
      <c r="G502" s="30" t="s">
        <v>34</v>
      </c>
      <c r="H502" s="31">
        <v>208365419.93986201</v>
      </c>
      <c r="I502" s="31">
        <v>-71098580.060138002</v>
      </c>
      <c r="J502" s="32">
        <v>3.6800000667571999</v>
      </c>
      <c r="K502" s="33">
        <v>45700</v>
      </c>
      <c r="L502" s="31">
        <v>6266100</v>
      </c>
      <c r="M502" s="32">
        <v>3.88</v>
      </c>
      <c r="N502" s="31" t="s">
        <v>35</v>
      </c>
      <c r="O502" s="33">
        <v>45699</v>
      </c>
      <c r="P502" s="34">
        <v>167467.09375</v>
      </c>
      <c r="Q502" s="34">
        <v>181400.921875</v>
      </c>
      <c r="R502" s="34">
        <v>209795.9375</v>
      </c>
      <c r="S502" s="29" t="s">
        <v>177</v>
      </c>
      <c r="T502" s="33">
        <v>45446</v>
      </c>
      <c r="U502" s="35" t="b">
        <v>0</v>
      </c>
      <c r="V502" s="35" t="b">
        <v>0</v>
      </c>
      <c r="W502" s="35" t="b">
        <v>1</v>
      </c>
      <c r="Y502" s="31" cm="1">
        <f t="array" ref="Y502">IF(LEFT(_xll.BDP($C502, VOLUME_AVG_10D), 4) = "#N/A", "",  _xll.BDP($C502, VOLUME_AVG_10D))</f>
        <v>106944.796875</v>
      </c>
      <c r="Z502" s="31" cm="1">
        <f t="array" ref="Z502">IF(LEFT(_xll.BDP($C502, VOLUME_AVG_30D), 4) = "#N/A", "",  _xll.BDP($C502, VOLUME_AVG_30D))</f>
        <v>167467.09375</v>
      </c>
      <c r="AA502" s="31" cm="1">
        <f t="array" ref="AA502">IF(LEFT(_xll.BDP($C502, VOLUME_AVG_3M), 4) = "#N/A", "",  _xll.BDP($C502, VOLUME_AVG_3M))</f>
        <v>181400.921875</v>
      </c>
      <c r="AB502" s="31" cm="1">
        <f t="array" ref="AB502">IF(LEFT(_xll.BDP($C502, VOLUME_AVG_6M), 4) = "#N/A", "",  _xll.BDP($C502, VOLUME_AVG_6M))</f>
        <v>209795.9375</v>
      </c>
      <c r="AC502" s="31" cm="1">
        <f t="array" ref="AC502">IF(LEFT(_xll.BDP($C502, VOLUME_AVG_12M), 4) = "#N/A", "",  _xll.BDP($C502, VOLUME_AVG_12M))</f>
        <v>229127.6875</v>
      </c>
      <c r="AD502" s="41" cm="1">
        <f t="array" ref="AD502">IF(LEFT(_xll.BDP($C502, LAST_PRICE), 4) = "#N/A", "",  _xll.BDP($C502, LAST_PRICE))</f>
        <v>3.68</v>
      </c>
    </row>
    <row r="503" spans="1:30" x14ac:dyDescent="0.35">
      <c r="A503" s="1">
        <f t="shared" si="7"/>
        <v>500</v>
      </c>
      <c r="B503" s="28">
        <v>45700</v>
      </c>
      <c r="C503" s="29" t="s">
        <v>1055</v>
      </c>
      <c r="D503" s="29" t="s">
        <v>1055</v>
      </c>
      <c r="E503" s="29" t="s">
        <v>1056</v>
      </c>
      <c r="F503" s="29" t="s">
        <v>33</v>
      </c>
      <c r="G503" s="30" t="s">
        <v>34</v>
      </c>
      <c r="H503" s="31"/>
      <c r="I503" s="31"/>
      <c r="J503" s="32">
        <v>9.4499999999999993</v>
      </c>
      <c r="K503" s="33">
        <v>45700</v>
      </c>
      <c r="L503" s="31"/>
      <c r="M503" s="32"/>
      <c r="N503" s="31"/>
      <c r="O503" s="33">
        <v>45699</v>
      </c>
      <c r="P503" s="34">
        <v>17.533332824706999</v>
      </c>
      <c r="Q503" s="34">
        <v>10.6129035949707</v>
      </c>
      <c r="R503" s="34">
        <v>14.849205970764199</v>
      </c>
      <c r="S503" s="29"/>
      <c r="T503" s="33"/>
      <c r="U503" s="35" t="b">
        <v>1</v>
      </c>
      <c r="V503" s="35" t="b">
        <v>0</v>
      </c>
      <c r="W503" s="35" t="b">
        <v>1</v>
      </c>
      <c r="Y503" s="31" cm="1">
        <f t="array" ref="Y503">IF(LEFT(_xll.BDP($C503, VOLUME_AVG_10D), 4) = "#N/A", "",  _xll.BDP($C503, VOLUME_AVG_10D))</f>
        <v>10</v>
      </c>
      <c r="Z503" s="31" cm="1">
        <f t="array" ref="Z503">IF(LEFT(_xll.BDP($C503, VOLUME_AVG_30D), 4) = "#N/A", "",  _xll.BDP($C503, VOLUME_AVG_30D))</f>
        <v>17.533332824707031</v>
      </c>
      <c r="AA503" s="31" cm="1">
        <f t="array" ref="AA503">IF(LEFT(_xll.BDP($C503, VOLUME_AVG_3M), 4) = "#N/A", "",  _xll.BDP($C503, VOLUME_AVG_3M))</f>
        <v>10.612903594970703</v>
      </c>
      <c r="AB503" s="31" cm="1">
        <f t="array" ref="AB503">IF(LEFT(_xll.BDP($C503, VOLUME_AVG_6M), 4) = "#N/A", "",  _xll.BDP($C503, VOLUME_AVG_6M))</f>
        <v>14.84920597076416</v>
      </c>
      <c r="AC503" s="31" cm="1">
        <f t="array" ref="AC503">IF(LEFT(_xll.BDP($C503, VOLUME_AVG_12M), 4) = "#N/A", "",  _xll.BDP($C503, VOLUME_AVG_12M))</f>
        <v>12.06374454498291</v>
      </c>
      <c r="AD503" s="41" cm="1">
        <f t="array" ref="AD503">IF(LEFT(_xll.BDP($C503, LAST_PRICE), 4) = "#N/A", "",  _xll.BDP($C503, LAST_PRICE))</f>
        <v>9.4499999999999993</v>
      </c>
    </row>
    <row r="504" spans="1:30" x14ac:dyDescent="0.35">
      <c r="A504" s="1">
        <f t="shared" si="7"/>
        <v>501</v>
      </c>
      <c r="B504" s="28">
        <v>45700</v>
      </c>
      <c r="C504" s="29" t="s">
        <v>1057</v>
      </c>
      <c r="D504" s="29" t="s">
        <v>1057</v>
      </c>
      <c r="E504" s="29" t="s">
        <v>1058</v>
      </c>
      <c r="F504" s="29" t="s">
        <v>40</v>
      </c>
      <c r="G504" s="30" t="s">
        <v>41</v>
      </c>
      <c r="H504" s="31">
        <v>22974492.481695</v>
      </c>
      <c r="I504" s="31"/>
      <c r="J504" s="32">
        <v>0.15500000119209301</v>
      </c>
      <c r="K504" s="33">
        <v>45700</v>
      </c>
      <c r="L504" s="31"/>
      <c r="M504" s="32"/>
      <c r="N504" s="31"/>
      <c r="O504" s="33">
        <v>45699</v>
      </c>
      <c r="P504" s="34">
        <v>16706.330000000002</v>
      </c>
      <c r="Q504" s="34">
        <v>21466.09</v>
      </c>
      <c r="R504" s="34">
        <v>16476.3</v>
      </c>
      <c r="S504" s="29"/>
      <c r="T504" s="33"/>
      <c r="U504" s="35" t="b">
        <v>0</v>
      </c>
      <c r="V504" s="35" t="b">
        <v>0</v>
      </c>
      <c r="W504" s="35" t="b">
        <v>1</v>
      </c>
      <c r="Y504" s="31" cm="1">
        <f t="array" ref="Y504">IF(LEFT(_xll.BDP($C504, VOLUME_AVG_10D), 4) = "#N/A", "",  _xll.BDP($C504, VOLUME_AVG_10D))</f>
        <v>36133.5</v>
      </c>
      <c r="Z504" s="31" cm="1">
        <f t="array" ref="Z504">IF(LEFT(_xll.BDP($C504, VOLUME_AVG_30D), 4) = "#N/A", "",  _xll.BDP($C504, VOLUME_AVG_30D))</f>
        <v>16706.330000000002</v>
      </c>
      <c r="AA504" s="31" cm="1">
        <f t="array" ref="AA504">IF(LEFT(_xll.BDP($C504, VOLUME_AVG_3M), 4) = "#N/A", "",  _xll.BDP($C504, VOLUME_AVG_3M))</f>
        <v>21466.09</v>
      </c>
      <c r="AB504" s="31" cm="1">
        <f t="array" ref="AB504">IF(LEFT(_xll.BDP($C504, VOLUME_AVG_6M), 4) = "#N/A", "",  _xll.BDP($C504, VOLUME_AVG_6M))</f>
        <v>16476.3</v>
      </c>
      <c r="AC504" s="31" cm="1">
        <f t="array" ref="AC504">IF(LEFT(_xll.BDP($C504, VOLUME_AVG_12M), 4) = "#N/A", "",  _xll.BDP($C504, VOLUME_AVG_12M))</f>
        <v>12571.2</v>
      </c>
      <c r="AD504" s="41" cm="1">
        <f t="array" ref="AD504">IF(LEFT(_xll.BDP($C504, LAST_PRICE), 4) = "#N/A", "",  _xll.BDP($C504, LAST_PRICE))</f>
        <v>0.155</v>
      </c>
    </row>
    <row r="505" spans="1:30" x14ac:dyDescent="0.35">
      <c r="A505" s="1">
        <f t="shared" si="7"/>
        <v>502</v>
      </c>
      <c r="B505" s="28">
        <v>45700</v>
      </c>
      <c r="C505" s="29" t="s">
        <v>1059</v>
      </c>
      <c r="D505" s="29" t="s">
        <v>1059</v>
      </c>
      <c r="E505" s="29" t="s">
        <v>1060</v>
      </c>
      <c r="F505" s="29" t="s">
        <v>33</v>
      </c>
      <c r="G505" s="30" t="s">
        <v>34</v>
      </c>
      <c r="H505" s="31">
        <v>32759236432.102299</v>
      </c>
      <c r="I505" s="31">
        <v>32858136432.102299</v>
      </c>
      <c r="J505" s="32">
        <v>83.870002746582003</v>
      </c>
      <c r="K505" s="33">
        <v>45700</v>
      </c>
      <c r="L505" s="31">
        <v>154664608</v>
      </c>
      <c r="M505" s="32">
        <v>3.88</v>
      </c>
      <c r="N505" s="31" t="s">
        <v>35</v>
      </c>
      <c r="O505" s="33">
        <v>45699</v>
      </c>
      <c r="P505" s="34">
        <v>3183163.75</v>
      </c>
      <c r="Q505" s="34">
        <v>3462269</v>
      </c>
      <c r="R505" s="34">
        <v>3894034.75</v>
      </c>
      <c r="S505" s="29"/>
      <c r="T505" s="33"/>
      <c r="U505" s="35" t="b">
        <v>0</v>
      </c>
      <c r="V505" s="35" t="b">
        <v>0</v>
      </c>
      <c r="W505" s="35" t="b">
        <v>0</v>
      </c>
      <c r="Y505" s="31" cm="1">
        <f t="array" ref="Y505">IF(LEFT(_xll.BDP($C505, VOLUME_AVG_10D), 4) = "#N/A", "",  _xll.BDP($C505, VOLUME_AVG_10D))</f>
        <v>2440137</v>
      </c>
      <c r="Z505" s="31" cm="1">
        <f t="array" ref="Z505">IF(LEFT(_xll.BDP($C505, VOLUME_AVG_30D), 4) = "#N/A", "",  _xll.BDP($C505, VOLUME_AVG_30D))</f>
        <v>3183163.75</v>
      </c>
      <c r="AA505" s="31" cm="1">
        <f t="array" ref="AA505">IF(LEFT(_xll.BDP($C505, VOLUME_AVG_3M), 4) = "#N/A", "",  _xll.BDP($C505, VOLUME_AVG_3M))</f>
        <v>3462269</v>
      </c>
      <c r="AB505" s="31" cm="1">
        <f t="array" ref="AB505">IF(LEFT(_xll.BDP($C505, VOLUME_AVG_6M), 4) = "#N/A", "",  _xll.BDP($C505, VOLUME_AVG_6M))</f>
        <v>3894034.75</v>
      </c>
      <c r="AC505" s="31" cm="1">
        <f t="array" ref="AC505">IF(LEFT(_xll.BDP($C505, VOLUME_AVG_12M), 4) = "#N/A", "",  _xll.BDP($C505, VOLUME_AVG_12M))</f>
        <v>3928613.5</v>
      </c>
      <c r="AD505" s="41" cm="1">
        <f t="array" ref="AD505">IF(LEFT(_xll.BDP($C505, LAST_PRICE), 4) = "#N/A", "",  _xll.BDP($C505, LAST_PRICE))</f>
        <v>83.87</v>
      </c>
    </row>
    <row r="506" spans="1:30" x14ac:dyDescent="0.35">
      <c r="A506" s="1">
        <f t="shared" si="7"/>
        <v>503</v>
      </c>
      <c r="B506" s="28">
        <v>45700</v>
      </c>
      <c r="C506" s="29" t="s">
        <v>1061</v>
      </c>
      <c r="D506" s="29" t="s">
        <v>1061</v>
      </c>
      <c r="E506" s="29" t="s">
        <v>1062</v>
      </c>
      <c r="F506" s="29" t="s">
        <v>40</v>
      </c>
      <c r="G506" s="30" t="s">
        <v>41</v>
      </c>
      <c r="H506" s="31">
        <v>32086837.827139702</v>
      </c>
      <c r="I506" s="31">
        <v>32847463.827139702</v>
      </c>
      <c r="J506" s="32">
        <v>0.31499999761581399</v>
      </c>
      <c r="K506" s="33">
        <v>45700</v>
      </c>
      <c r="L506" s="31"/>
      <c r="M506" s="32"/>
      <c r="N506" s="31"/>
      <c r="O506" s="33">
        <v>45699</v>
      </c>
      <c r="P506" s="34">
        <v>508966.6</v>
      </c>
      <c r="Q506" s="34">
        <v>337644.5</v>
      </c>
      <c r="R506" s="34">
        <v>267284.40000000002</v>
      </c>
      <c r="S506" s="29"/>
      <c r="T506" s="33"/>
      <c r="U506" s="35" t="b">
        <v>0</v>
      </c>
      <c r="V506" s="35" t="b">
        <v>0</v>
      </c>
      <c r="W506" s="35" t="b">
        <v>0</v>
      </c>
      <c r="Y506" s="31" cm="1">
        <f t="array" ref="Y506">IF(LEFT(_xll.BDP($C506, VOLUME_AVG_10D), 4) = "#N/A", "",  _xll.BDP($C506, VOLUME_AVG_10D))</f>
        <v>552590.30000000005</v>
      </c>
      <c r="Z506" s="31" cm="1">
        <f t="array" ref="Z506">IF(LEFT(_xll.BDP($C506, VOLUME_AVG_30D), 4) = "#N/A", "",  _xll.BDP($C506, VOLUME_AVG_30D))</f>
        <v>508966.6</v>
      </c>
      <c r="AA506" s="31" cm="1">
        <f t="array" ref="AA506">IF(LEFT(_xll.BDP($C506, VOLUME_AVG_3M), 4) = "#N/A", "",  _xll.BDP($C506, VOLUME_AVG_3M))</f>
        <v>337644.5</v>
      </c>
      <c r="AB506" s="31" cm="1">
        <f t="array" ref="AB506">IF(LEFT(_xll.BDP($C506, VOLUME_AVG_6M), 4) = "#N/A", "",  _xll.BDP($C506, VOLUME_AVG_6M))</f>
        <v>267284.40000000002</v>
      </c>
      <c r="AC506" s="31" cm="1">
        <f t="array" ref="AC506">IF(LEFT(_xll.BDP($C506, VOLUME_AVG_12M), 4) = "#N/A", "",  _xll.BDP($C506, VOLUME_AVG_12M))</f>
        <v>194687</v>
      </c>
      <c r="AD506" s="41" cm="1">
        <f t="array" ref="AD506">IF(LEFT(_xll.BDP($C506, LAST_PRICE), 4) = "#N/A", "",  _xll.BDP($C506, LAST_PRICE))</f>
        <v>0.315</v>
      </c>
    </row>
    <row r="507" spans="1:30" x14ac:dyDescent="0.35">
      <c r="A507" s="1">
        <f t="shared" si="7"/>
        <v>504</v>
      </c>
      <c r="B507" s="28">
        <v>45700</v>
      </c>
      <c r="C507" s="29" t="s">
        <v>1063</v>
      </c>
      <c r="D507" s="29" t="s">
        <v>1063</v>
      </c>
      <c r="E507" s="29" t="s">
        <v>1064</v>
      </c>
      <c r="F507" s="29" t="s">
        <v>33</v>
      </c>
      <c r="G507" s="30" t="s">
        <v>34</v>
      </c>
      <c r="H507" s="31">
        <v>268536463.93152702</v>
      </c>
      <c r="I507" s="31">
        <v>216041463.93152699</v>
      </c>
      <c r="J507" s="32">
        <v>6.2800002098083496</v>
      </c>
      <c r="K507" s="33">
        <v>45700</v>
      </c>
      <c r="L507" s="31">
        <v>2228500</v>
      </c>
      <c r="M507" s="32">
        <v>3.5</v>
      </c>
      <c r="N507" s="31" t="s">
        <v>35</v>
      </c>
      <c r="O507" s="33">
        <v>45699</v>
      </c>
      <c r="P507" s="34">
        <v>78040.765625</v>
      </c>
      <c r="Q507" s="34">
        <v>106375.890625</v>
      </c>
      <c r="R507" s="34">
        <v>77098.890625</v>
      </c>
      <c r="S507" s="29"/>
      <c r="T507" s="33"/>
      <c r="U507" s="35" t="b">
        <v>0</v>
      </c>
      <c r="V507" s="35" t="b">
        <v>0</v>
      </c>
      <c r="W507" s="35" t="b">
        <v>0</v>
      </c>
      <c r="Y507" s="31" cm="1">
        <f t="array" ref="Y507">IF(LEFT(_xll.BDP($C507, VOLUME_AVG_10D), 4) = "#N/A", "",  _xll.BDP($C507, VOLUME_AVG_10D))</f>
        <v>54421.8984375</v>
      </c>
      <c r="Z507" s="31" cm="1">
        <f t="array" ref="Z507">IF(LEFT(_xll.BDP($C507, VOLUME_AVG_30D), 4) = "#N/A", "",  _xll.BDP($C507, VOLUME_AVG_30D))</f>
        <v>78040.765625</v>
      </c>
      <c r="AA507" s="31" cm="1">
        <f t="array" ref="AA507">IF(LEFT(_xll.BDP($C507, VOLUME_AVG_3M), 4) = "#N/A", "",  _xll.BDP($C507, VOLUME_AVG_3M))</f>
        <v>106375.890625</v>
      </c>
      <c r="AB507" s="31" cm="1">
        <f t="array" ref="AB507">IF(LEFT(_xll.BDP($C507, VOLUME_AVG_6M), 4) = "#N/A", "",  _xll.BDP($C507, VOLUME_AVG_6M))</f>
        <v>77098.890625</v>
      </c>
      <c r="AC507" s="31" cm="1">
        <f t="array" ref="AC507">IF(LEFT(_xll.BDP($C507, VOLUME_AVG_12M), 4) = "#N/A", "",  _xll.BDP($C507, VOLUME_AVG_12M))</f>
        <v>64301.42578125</v>
      </c>
      <c r="AD507" s="41" cm="1">
        <f t="array" ref="AD507">IF(LEFT(_xll.BDP($C507, LAST_PRICE), 4) = "#N/A", "",  _xll.BDP($C507, LAST_PRICE))</f>
        <v>6.28</v>
      </c>
    </row>
    <row r="508" spans="1:30" x14ac:dyDescent="0.35">
      <c r="A508" s="1">
        <f t="shared" si="7"/>
        <v>505</v>
      </c>
      <c r="B508" s="28">
        <v>45700</v>
      </c>
      <c r="C508" s="29" t="s">
        <v>1065</v>
      </c>
      <c r="D508" s="29" t="s">
        <v>1065</v>
      </c>
      <c r="E508" s="29" t="s">
        <v>1066</v>
      </c>
      <c r="F508" s="29" t="s">
        <v>33</v>
      </c>
      <c r="G508" s="30" t="s">
        <v>34</v>
      </c>
      <c r="H508" s="31">
        <v>681026171.42420805</v>
      </c>
      <c r="I508" s="31">
        <v>400214171.42420799</v>
      </c>
      <c r="J508" s="32">
        <v>23.0100002288818</v>
      </c>
      <c r="K508" s="33">
        <v>45700</v>
      </c>
      <c r="L508" s="31">
        <v>1867800</v>
      </c>
      <c r="M508" s="32">
        <v>3.7</v>
      </c>
      <c r="N508" s="31" t="s">
        <v>35</v>
      </c>
      <c r="O508" s="33">
        <v>45699</v>
      </c>
      <c r="P508" s="34">
        <v>245933.90625</v>
      </c>
      <c r="Q508" s="34">
        <v>268658.3125</v>
      </c>
      <c r="R508" s="34">
        <v>229246.625</v>
      </c>
      <c r="S508" s="29" t="s">
        <v>73</v>
      </c>
      <c r="T508" s="33">
        <v>45446</v>
      </c>
      <c r="U508" s="35" t="b">
        <v>0</v>
      </c>
      <c r="V508" s="35" t="b">
        <v>0</v>
      </c>
      <c r="W508" s="35" t="b">
        <v>0</v>
      </c>
      <c r="Y508" s="31" cm="1">
        <f t="array" ref="Y508">IF(LEFT(_xll.BDP($C508, VOLUME_AVG_10D), 4) = "#N/A", "",  _xll.BDP($C508, VOLUME_AVG_10D))</f>
        <v>192868.703125</v>
      </c>
      <c r="Z508" s="31" cm="1">
        <f t="array" ref="Z508">IF(LEFT(_xll.BDP($C508, VOLUME_AVG_30D), 4) = "#N/A", "",  _xll.BDP($C508, VOLUME_AVG_30D))</f>
        <v>245933.90625</v>
      </c>
      <c r="AA508" s="31" cm="1">
        <f t="array" ref="AA508">IF(LEFT(_xll.BDP($C508, VOLUME_AVG_3M), 4) = "#N/A", "",  _xll.BDP($C508, VOLUME_AVG_3M))</f>
        <v>268658.3125</v>
      </c>
      <c r="AB508" s="31" cm="1">
        <f t="array" ref="AB508">IF(LEFT(_xll.BDP($C508, VOLUME_AVG_6M), 4) = "#N/A", "",  _xll.BDP($C508, VOLUME_AVG_6M))</f>
        <v>229246.625</v>
      </c>
      <c r="AC508" s="31" cm="1">
        <f t="array" ref="AC508">IF(LEFT(_xll.BDP($C508, VOLUME_AVG_12M), 4) = "#N/A", "",  _xll.BDP($C508, VOLUME_AVG_12M))</f>
        <v>223142.609375</v>
      </c>
      <c r="AD508" s="41" cm="1">
        <f t="array" ref="AD508">IF(LEFT(_xll.BDP($C508, LAST_PRICE), 4) = "#N/A", "",  _xll.BDP($C508, LAST_PRICE))</f>
        <v>23.01</v>
      </c>
    </row>
    <row r="509" spans="1:30" x14ac:dyDescent="0.35">
      <c r="A509" s="1">
        <f t="shared" si="7"/>
        <v>506</v>
      </c>
      <c r="B509" s="28">
        <v>45700</v>
      </c>
      <c r="C509" s="29" t="s">
        <v>1067</v>
      </c>
      <c r="D509" s="29" t="s">
        <v>1067</v>
      </c>
      <c r="E509" s="29" t="s">
        <v>1068</v>
      </c>
      <c r="F509" s="29" t="s">
        <v>33</v>
      </c>
      <c r="G509" s="30" t="s">
        <v>34</v>
      </c>
      <c r="H509" s="31"/>
      <c r="I509" s="31"/>
      <c r="J509" s="32">
        <v>9.9999999747524292E-7</v>
      </c>
      <c r="K509" s="33">
        <v>45700</v>
      </c>
      <c r="L509" s="31"/>
      <c r="M509" s="32"/>
      <c r="N509" s="31"/>
      <c r="O509" s="33">
        <v>45699</v>
      </c>
      <c r="P509" s="34">
        <v>81.833335876464801</v>
      </c>
      <c r="Q509" s="34">
        <v>154.11289978027301</v>
      </c>
      <c r="R509" s="34">
        <v>82.579368591308594</v>
      </c>
      <c r="S509" s="29"/>
      <c r="T509" s="33"/>
      <c r="U509" s="35" t="b">
        <v>1</v>
      </c>
      <c r="V509" s="35" t="b">
        <v>1</v>
      </c>
      <c r="W509" s="35" t="b">
        <v>1</v>
      </c>
      <c r="Y509" s="31" cm="1">
        <f t="array" ref="Y509">IF(LEFT(_xll.BDP($C509, VOLUME_AVG_10D), 4) = "#N/A", "",  _xll.BDP($C509, VOLUME_AVG_10D))</f>
        <v>0</v>
      </c>
      <c r="Z509" s="31" cm="1">
        <f t="array" ref="Z509">IF(LEFT(_xll.BDP($C509, VOLUME_AVG_30D), 4) = "#N/A", "",  _xll.BDP($C509, VOLUME_AVG_30D))</f>
        <v>81.833335876464844</v>
      </c>
      <c r="AA509" s="31" cm="1">
        <f t="array" ref="AA509">IF(LEFT(_xll.BDP($C509, VOLUME_AVG_3M), 4) = "#N/A", "",  _xll.BDP($C509, VOLUME_AVG_3M))</f>
        <v>154.11289978027344</v>
      </c>
      <c r="AB509" s="31" cm="1">
        <f t="array" ref="AB509">IF(LEFT(_xll.BDP($C509, VOLUME_AVG_6M), 4) = "#N/A", "",  _xll.BDP($C509, VOLUME_AVG_6M))</f>
        <v>82.579368591308594</v>
      </c>
      <c r="AC509" s="31" cm="1">
        <f t="array" ref="AC509">IF(LEFT(_xll.BDP($C509, VOLUME_AVG_12M), 4) = "#N/A", "",  _xll.BDP($C509, VOLUME_AVG_12M))</f>
        <v>62.171314239501953</v>
      </c>
      <c r="AD509" s="41" cm="1">
        <f t="array" ref="AD509">IF(LEFT(_xll.BDP($C509, LAST_PRICE), 4) = "#N/A", "",  _xll.BDP($C509, LAST_PRICE))</f>
        <v>0</v>
      </c>
    </row>
    <row r="510" spans="1:30" x14ac:dyDescent="0.35">
      <c r="A510" s="1">
        <f t="shared" si="7"/>
        <v>507</v>
      </c>
      <c r="B510" s="28">
        <v>45700</v>
      </c>
      <c r="C510" s="29" t="s">
        <v>1069</v>
      </c>
      <c r="D510" s="29" t="s">
        <v>1069</v>
      </c>
      <c r="E510" s="29" t="s">
        <v>1070</v>
      </c>
      <c r="F510" s="29" t="s">
        <v>33</v>
      </c>
      <c r="G510" s="30" t="s">
        <v>34</v>
      </c>
      <c r="H510" s="31">
        <v>24987841.5368938</v>
      </c>
      <c r="I510" s="31">
        <v>37045841.5368938</v>
      </c>
      <c r="J510" s="32">
        <v>0.60920000076293901</v>
      </c>
      <c r="K510" s="33">
        <v>45700</v>
      </c>
      <c r="L510" s="31">
        <v>2731600</v>
      </c>
      <c r="M510" s="32">
        <v>-18.5</v>
      </c>
      <c r="N510" s="31" t="s">
        <v>35</v>
      </c>
      <c r="O510" s="33">
        <v>45699</v>
      </c>
      <c r="P510" s="34">
        <v>434633.3125</v>
      </c>
      <c r="Q510" s="34">
        <v>237225.8125</v>
      </c>
      <c r="R510" s="34">
        <v>128160.9296875</v>
      </c>
      <c r="S510" s="29"/>
      <c r="T510" s="33"/>
      <c r="U510" s="35" t="b">
        <v>0</v>
      </c>
      <c r="V510" s="35" t="b">
        <v>0</v>
      </c>
      <c r="W510" s="35" t="b">
        <v>0</v>
      </c>
      <c r="Y510" s="31" cm="1">
        <f t="array" ref="Y510">IF(LEFT(_xll.BDP($C510, VOLUME_AVG_10D), 4) = "#N/A", "",  _xll.BDP($C510, VOLUME_AVG_10D))</f>
        <v>289592.3125</v>
      </c>
      <c r="Z510" s="31" cm="1">
        <f t="array" ref="Z510">IF(LEFT(_xll.BDP($C510, VOLUME_AVG_30D), 4) = "#N/A", "",  _xll.BDP($C510, VOLUME_AVG_30D))</f>
        <v>434633.3125</v>
      </c>
      <c r="AA510" s="31" cm="1">
        <f t="array" ref="AA510">IF(LEFT(_xll.BDP($C510, VOLUME_AVG_3M), 4) = "#N/A", "",  _xll.BDP($C510, VOLUME_AVG_3M))</f>
        <v>237225.8125</v>
      </c>
      <c r="AB510" s="31" cm="1">
        <f t="array" ref="AB510">IF(LEFT(_xll.BDP($C510, VOLUME_AVG_6M), 4) = "#N/A", "",  _xll.BDP($C510, VOLUME_AVG_6M))</f>
        <v>128160.9296875</v>
      </c>
      <c r="AC510" s="31" cm="1">
        <f t="array" ref="AC510">IF(LEFT(_xll.BDP($C510, VOLUME_AVG_12M), 4) = "#N/A", "",  _xll.BDP($C510, VOLUME_AVG_12M))</f>
        <v>321387.71875</v>
      </c>
      <c r="AD510" s="41" cm="1">
        <f t="array" ref="AD510">IF(LEFT(_xll.BDP($C510, LAST_PRICE), 4) = "#N/A", "",  _xll.BDP($C510, LAST_PRICE))</f>
        <v>0.60919999999999996</v>
      </c>
    </row>
    <row r="511" spans="1:30" x14ac:dyDescent="0.35">
      <c r="A511" s="1">
        <f t="shared" si="7"/>
        <v>508</v>
      </c>
      <c r="B511" s="28">
        <v>45700</v>
      </c>
      <c r="C511" s="29" t="s">
        <v>1071</v>
      </c>
      <c r="D511" s="29" t="s">
        <v>1071</v>
      </c>
      <c r="E511" s="29" t="s">
        <v>1072</v>
      </c>
      <c r="F511" s="29" t="s">
        <v>33</v>
      </c>
      <c r="G511" s="30" t="s">
        <v>34</v>
      </c>
      <c r="H511" s="31">
        <v>1839364606.0304899</v>
      </c>
      <c r="I511" s="31">
        <v>1353789606.0304899</v>
      </c>
      <c r="J511" s="32">
        <v>53.639999389648402</v>
      </c>
      <c r="K511" s="33">
        <v>45700</v>
      </c>
      <c r="L511" s="31">
        <v>6466200</v>
      </c>
      <c r="M511" s="32">
        <v>3.88</v>
      </c>
      <c r="N511" s="31" t="s">
        <v>35</v>
      </c>
      <c r="O511" s="33">
        <v>45699</v>
      </c>
      <c r="P511" s="34">
        <v>401517.78125</v>
      </c>
      <c r="Q511" s="34">
        <v>329381.9375</v>
      </c>
      <c r="R511" s="34">
        <v>298355.5625</v>
      </c>
      <c r="S511" s="29" t="s">
        <v>177</v>
      </c>
      <c r="T511" s="33">
        <v>45446</v>
      </c>
      <c r="U511" s="35" t="b">
        <v>0</v>
      </c>
      <c r="V511" s="35" t="b">
        <v>0</v>
      </c>
      <c r="W511" s="35" t="b">
        <v>0</v>
      </c>
      <c r="Y511" s="31" cm="1">
        <f t="array" ref="Y511">IF(LEFT(_xll.BDP($C511, VOLUME_AVG_10D), 4) = "#N/A", "",  _xll.BDP($C511, VOLUME_AVG_10D))</f>
        <v>312797.5</v>
      </c>
      <c r="Z511" s="31" cm="1">
        <f t="array" ref="Z511">IF(LEFT(_xll.BDP($C511, VOLUME_AVG_30D), 4) = "#N/A", "",  _xll.BDP($C511, VOLUME_AVG_30D))</f>
        <v>401517.78125</v>
      </c>
      <c r="AA511" s="31" cm="1">
        <f t="array" ref="AA511">IF(LEFT(_xll.BDP($C511, VOLUME_AVG_3M), 4) = "#N/A", "",  _xll.BDP($C511, VOLUME_AVG_3M))</f>
        <v>329381.9375</v>
      </c>
      <c r="AB511" s="31" cm="1">
        <f t="array" ref="AB511">IF(LEFT(_xll.BDP($C511, VOLUME_AVG_6M), 4) = "#N/A", "",  _xll.BDP($C511, VOLUME_AVG_6M))</f>
        <v>298355.5625</v>
      </c>
      <c r="AC511" s="31" cm="1">
        <f t="array" ref="AC511">IF(LEFT(_xll.BDP($C511, VOLUME_AVG_12M), 4) = "#N/A", "",  _xll.BDP($C511, VOLUME_AVG_12M))</f>
        <v>363178.78125</v>
      </c>
      <c r="AD511" s="41" cm="1">
        <f t="array" ref="AD511">IF(LEFT(_xll.BDP($C511, LAST_PRICE), 4) = "#N/A", "",  _xll.BDP($C511, LAST_PRICE))</f>
        <v>53.64</v>
      </c>
    </row>
    <row r="512" spans="1:30" x14ac:dyDescent="0.35">
      <c r="A512" s="1">
        <f t="shared" si="7"/>
        <v>509</v>
      </c>
      <c r="B512" s="28">
        <v>45700</v>
      </c>
      <c r="C512" s="29" t="s">
        <v>1073</v>
      </c>
      <c r="D512" s="29" t="s">
        <v>1073</v>
      </c>
      <c r="E512" s="29" t="s">
        <v>1074</v>
      </c>
      <c r="F512" s="29" t="s">
        <v>33</v>
      </c>
      <c r="G512" s="30" t="s">
        <v>34</v>
      </c>
      <c r="H512" s="31"/>
      <c r="I512" s="31"/>
      <c r="J512" s="32">
        <v>9.9999999747524292E-7</v>
      </c>
      <c r="K512" s="33">
        <v>45700</v>
      </c>
      <c r="L512" s="31"/>
      <c r="M512" s="32"/>
      <c r="N512" s="31"/>
      <c r="O512" s="33">
        <v>45699</v>
      </c>
      <c r="P512" s="34">
        <v>66158.1640625</v>
      </c>
      <c r="Q512" s="34">
        <v>199764.4375</v>
      </c>
      <c r="R512" s="34">
        <v>98542.0234375</v>
      </c>
      <c r="S512" s="29"/>
      <c r="T512" s="33"/>
      <c r="U512" s="35" t="b">
        <v>1</v>
      </c>
      <c r="V512" s="35" t="b">
        <v>1</v>
      </c>
      <c r="W512" s="35" t="b">
        <v>1</v>
      </c>
      <c r="Y512" s="31" cm="1">
        <f t="array" ref="Y512">IF(LEFT(_xll.BDP($C512, VOLUME_AVG_10D), 4) = "#N/A", "",  _xll.BDP($C512, VOLUME_AVG_10D))</f>
        <v>101732.203125</v>
      </c>
      <c r="Z512" s="31" cm="1">
        <f t="array" ref="Z512">IF(LEFT(_xll.BDP($C512, VOLUME_AVG_30D), 4) = "#N/A", "",  _xll.BDP($C512, VOLUME_AVG_30D))</f>
        <v>66158.1640625</v>
      </c>
      <c r="AA512" s="31" cm="1">
        <f t="array" ref="AA512">IF(LEFT(_xll.BDP($C512, VOLUME_AVG_3M), 4) = "#N/A", "",  _xll.BDP($C512, VOLUME_AVG_3M))</f>
        <v>199764.4375</v>
      </c>
      <c r="AB512" s="31" cm="1">
        <f t="array" ref="AB512">IF(LEFT(_xll.BDP($C512, VOLUME_AVG_6M), 4) = "#N/A", "",  _xll.BDP($C512, VOLUME_AVG_6M))</f>
        <v>98542.0234375</v>
      </c>
      <c r="AC512" s="31" cm="1">
        <f t="array" ref="AC512">IF(LEFT(_xll.BDP($C512, VOLUME_AVG_12M), 4) = "#N/A", "",  _xll.BDP($C512, VOLUME_AVG_12M))</f>
        <v>54914.0859375</v>
      </c>
      <c r="AD512" s="41" cm="1">
        <f t="array" ref="AD512">IF(LEFT(_xll.BDP($C512, LAST_PRICE), 4) = "#N/A", "",  _xll.BDP($C512, LAST_PRICE))</f>
        <v>9.9999999999999995E-7</v>
      </c>
    </row>
    <row r="513" spans="1:30" x14ac:dyDescent="0.35">
      <c r="A513" s="1">
        <f t="shared" si="7"/>
        <v>510</v>
      </c>
      <c r="B513" s="28">
        <v>45700</v>
      </c>
      <c r="C513" s="29" t="s">
        <v>1075</v>
      </c>
      <c r="D513" s="29" t="s">
        <v>1075</v>
      </c>
      <c r="E513" s="29" t="s">
        <v>1076</v>
      </c>
      <c r="F513" s="29" t="s">
        <v>33</v>
      </c>
      <c r="G513" s="30" t="s">
        <v>34</v>
      </c>
      <c r="H513" s="31">
        <v>545970218.76770496</v>
      </c>
      <c r="I513" s="31">
        <v>513188168.76770502</v>
      </c>
      <c r="J513" s="32">
        <v>5.3499999046325701</v>
      </c>
      <c r="K513" s="33">
        <v>45700</v>
      </c>
      <c r="L513" s="31">
        <v>15984800</v>
      </c>
      <c r="M513" s="32">
        <v>3.88</v>
      </c>
      <c r="N513" s="31" t="s">
        <v>35</v>
      </c>
      <c r="O513" s="33">
        <v>45699</v>
      </c>
      <c r="P513" s="34">
        <v>545585.125</v>
      </c>
      <c r="Q513" s="34">
        <v>606916.5</v>
      </c>
      <c r="R513" s="34">
        <v>556307.75</v>
      </c>
      <c r="S513" s="29"/>
      <c r="T513" s="33"/>
      <c r="U513" s="35" t="b">
        <v>0</v>
      </c>
      <c r="V513" s="35" t="b">
        <v>0</v>
      </c>
      <c r="W513" s="35" t="b">
        <v>0</v>
      </c>
      <c r="Y513" s="31" cm="1">
        <f t="array" ref="Y513">IF(LEFT(_xll.BDP($C513, VOLUME_AVG_10D), 4) = "#N/A", "",  _xll.BDP($C513, VOLUME_AVG_10D))</f>
        <v>799017</v>
      </c>
      <c r="Z513" s="31" cm="1">
        <f t="array" ref="Z513">IF(LEFT(_xll.BDP($C513, VOLUME_AVG_30D), 4) = "#N/A", "",  _xll.BDP($C513, VOLUME_AVG_30D))</f>
        <v>545585.125</v>
      </c>
      <c r="AA513" s="31" cm="1">
        <f t="array" ref="AA513">IF(LEFT(_xll.BDP($C513, VOLUME_AVG_3M), 4) = "#N/A", "",  _xll.BDP($C513, VOLUME_AVG_3M))</f>
        <v>606916.5</v>
      </c>
      <c r="AB513" s="31" cm="1">
        <f t="array" ref="AB513">IF(LEFT(_xll.BDP($C513, VOLUME_AVG_6M), 4) = "#N/A", "",  _xll.BDP($C513, VOLUME_AVG_6M))</f>
        <v>556307.75</v>
      </c>
      <c r="AC513" s="31" cm="1">
        <f t="array" ref="AC513">IF(LEFT(_xll.BDP($C513, VOLUME_AVG_12M), 4) = "#N/A", "",  _xll.BDP($C513, VOLUME_AVG_12M))</f>
        <v>769638.375</v>
      </c>
      <c r="AD513" s="41" cm="1">
        <f t="array" ref="AD513">IF(LEFT(_xll.BDP($C513, LAST_PRICE), 4) = "#N/A", "",  _xll.BDP($C513, LAST_PRICE))</f>
        <v>5.35</v>
      </c>
    </row>
    <row r="514" spans="1:30" x14ac:dyDescent="0.35">
      <c r="A514" s="1">
        <f t="shared" si="7"/>
        <v>511</v>
      </c>
      <c r="B514" s="28">
        <v>45700</v>
      </c>
      <c r="C514" s="29" t="s">
        <v>1077</v>
      </c>
      <c r="D514" s="29" t="s">
        <v>1077</v>
      </c>
      <c r="E514" s="29" t="s">
        <v>1078</v>
      </c>
      <c r="F514" s="29" t="s">
        <v>33</v>
      </c>
      <c r="G514" s="30" t="s">
        <v>34</v>
      </c>
      <c r="H514" s="31">
        <v>9565037.8113164902</v>
      </c>
      <c r="I514" s="31">
        <v>7525218.8113164902</v>
      </c>
      <c r="J514" s="32">
        <v>7.1799998283386204</v>
      </c>
      <c r="K514" s="33">
        <v>45700</v>
      </c>
      <c r="L514" s="31">
        <v>65400</v>
      </c>
      <c r="M514" s="32">
        <v>-197.2</v>
      </c>
      <c r="N514" s="31" t="s">
        <v>35</v>
      </c>
      <c r="O514" s="33">
        <v>45699</v>
      </c>
      <c r="P514" s="34">
        <v>5268014</v>
      </c>
      <c r="Q514" s="34">
        <v>2579271.75</v>
      </c>
      <c r="R514" s="34">
        <v>1316062.125</v>
      </c>
      <c r="S514" s="29"/>
      <c r="T514" s="33"/>
      <c r="U514" s="35" t="b">
        <v>1</v>
      </c>
      <c r="V514" s="35" t="b">
        <v>0</v>
      </c>
      <c r="W514" s="35" t="b">
        <v>0</v>
      </c>
      <c r="Y514" s="31" cm="1">
        <f t="array" ref="Y514">IF(LEFT(_xll.BDP($C514, VOLUME_AVG_10D), 4) = "#N/A", "",  _xll.BDP($C514, VOLUME_AVG_10D))</f>
        <v>398301.59375</v>
      </c>
      <c r="Z514" s="31" cm="1">
        <f t="array" ref="Z514">IF(LEFT(_xll.BDP($C514, VOLUME_AVG_30D), 4) = "#N/A", "",  _xll.BDP($C514, VOLUME_AVG_30D))</f>
        <v>5268014</v>
      </c>
      <c r="AA514" s="31" cm="1">
        <f t="array" ref="AA514">IF(LEFT(_xll.BDP($C514, VOLUME_AVG_3M), 4) = "#N/A", "",  _xll.BDP($C514, VOLUME_AVG_3M))</f>
        <v>2579271.75</v>
      </c>
      <c r="AB514" s="31" cm="1">
        <f t="array" ref="AB514">IF(LEFT(_xll.BDP($C514, VOLUME_AVG_6M), 4) = "#N/A", "",  _xll.BDP($C514, VOLUME_AVG_6M))</f>
        <v>1316062.125</v>
      </c>
      <c r="AC514" s="31" cm="1">
        <f t="array" ref="AC514">IF(LEFT(_xll.BDP($C514, VOLUME_AVG_12M), 4) = "#N/A", "",  _xll.BDP($C514, VOLUME_AVG_12M))</f>
        <v>680175.5625</v>
      </c>
      <c r="AD514" s="41" cm="1">
        <f t="array" ref="AD514">IF(LEFT(_xll.BDP($C514, LAST_PRICE), 4) = "#N/A", "",  _xll.BDP($C514, LAST_PRICE))</f>
        <v>7.18</v>
      </c>
    </row>
    <row r="515" spans="1:30" x14ac:dyDescent="0.35">
      <c r="A515" s="1">
        <f t="shared" si="7"/>
        <v>512</v>
      </c>
      <c r="B515" s="28">
        <v>45700</v>
      </c>
      <c r="C515" s="29" t="s">
        <v>1079</v>
      </c>
      <c r="D515" s="29" t="s">
        <v>1079</v>
      </c>
      <c r="E515" s="29" t="s">
        <v>1080</v>
      </c>
      <c r="F515" s="29" t="s">
        <v>33</v>
      </c>
      <c r="G515" s="30" t="s">
        <v>34</v>
      </c>
      <c r="H515" s="31"/>
      <c r="I515" s="31"/>
      <c r="J515" s="32"/>
      <c r="K515" s="33">
        <v>45700</v>
      </c>
      <c r="L515" s="31"/>
      <c r="M515" s="32"/>
      <c r="N515" s="31"/>
      <c r="O515" s="33">
        <v>45699</v>
      </c>
      <c r="P515" s="34"/>
      <c r="Q515" s="34"/>
      <c r="R515" s="34"/>
      <c r="S515" s="29"/>
      <c r="T515" s="33"/>
      <c r="U515" s="35" t="b">
        <v>1</v>
      </c>
      <c r="V515" s="35" t="b">
        <v>1</v>
      </c>
      <c r="W515" s="35" t="b">
        <v>1</v>
      </c>
      <c r="Y515" s="31" t="str" cm="1">
        <f t="array" ref="Y515">IF(LEFT(_xll.BDP($C515, VOLUME_AVG_10D), 4) = "#N/A", "",  _xll.BDP($C515, VOLUME_AVG_10D))</f>
        <v/>
      </c>
      <c r="Z515" s="31" t="str" cm="1">
        <f t="array" ref="Z515">IF(LEFT(_xll.BDP($C515, VOLUME_AVG_30D), 4) = "#N/A", "",  _xll.BDP($C515, VOLUME_AVG_30D))</f>
        <v/>
      </c>
      <c r="AA515" s="31" t="str" cm="1">
        <f t="array" ref="AA515">IF(LEFT(_xll.BDP($C515, VOLUME_AVG_3M), 4) = "#N/A", "",  _xll.BDP($C515, VOLUME_AVG_3M))</f>
        <v/>
      </c>
      <c r="AB515" s="31" t="str" cm="1">
        <f t="array" ref="AB515">IF(LEFT(_xll.BDP($C515, VOLUME_AVG_6M), 4) = "#N/A", "",  _xll.BDP($C515, VOLUME_AVG_6M))</f>
        <v/>
      </c>
      <c r="AC515" s="31" t="str" cm="1">
        <f t="array" ref="AC515">IF(LEFT(_xll.BDP($C515, VOLUME_AVG_12M), 4) = "#N/A", "",  _xll.BDP($C515, VOLUME_AVG_12M))</f>
        <v/>
      </c>
      <c r="AD515" s="41" t="str" cm="1">
        <f t="array" ref="AD515">IF(LEFT(_xll.BDP($C515, LAST_PRICE), 4) = "#N/A", "",  _xll.BDP($C515, LAST_PRICE))</f>
        <v/>
      </c>
    </row>
    <row r="516" spans="1:30" x14ac:dyDescent="0.35">
      <c r="A516" s="1">
        <f t="shared" si="7"/>
        <v>513</v>
      </c>
      <c r="B516" s="28">
        <v>45700</v>
      </c>
      <c r="C516" s="29" t="s">
        <v>1081</v>
      </c>
      <c r="D516" s="29" t="s">
        <v>1081</v>
      </c>
      <c r="E516" s="29" t="s">
        <v>1082</v>
      </c>
      <c r="F516" s="29" t="s">
        <v>33</v>
      </c>
      <c r="G516" s="30" t="s">
        <v>34</v>
      </c>
      <c r="H516" s="31">
        <v>14106557686.3423</v>
      </c>
      <c r="I516" s="31">
        <v>13274564686.3423</v>
      </c>
      <c r="J516" s="32">
        <v>75.180000305175795</v>
      </c>
      <c r="K516" s="33">
        <v>45700</v>
      </c>
      <c r="L516" s="31">
        <v>43694700</v>
      </c>
      <c r="M516" s="32">
        <v>3.88</v>
      </c>
      <c r="N516" s="31" t="s">
        <v>35</v>
      </c>
      <c r="O516" s="33">
        <v>45699</v>
      </c>
      <c r="P516" s="34">
        <v>2216160.5</v>
      </c>
      <c r="Q516" s="34">
        <v>2299270</v>
      </c>
      <c r="R516" s="34">
        <v>1970170.375</v>
      </c>
      <c r="S516" s="29"/>
      <c r="T516" s="33"/>
      <c r="U516" s="35" t="b">
        <v>0</v>
      </c>
      <c r="V516" s="35" t="b">
        <v>0</v>
      </c>
      <c r="W516" s="35" t="b">
        <v>0</v>
      </c>
      <c r="Y516" s="31" cm="1">
        <f t="array" ref="Y516">IF(LEFT(_xll.BDP($C516, VOLUME_AVG_10D), 4) = "#N/A", "",  _xll.BDP($C516, VOLUME_AVG_10D))</f>
        <v>3866653.5</v>
      </c>
      <c r="Z516" s="31" cm="1">
        <f t="array" ref="Z516">IF(LEFT(_xll.BDP($C516, VOLUME_AVG_30D), 4) = "#N/A", "",  _xll.BDP($C516, VOLUME_AVG_30D))</f>
        <v>2216160.5</v>
      </c>
      <c r="AA516" s="31" cm="1">
        <f t="array" ref="AA516">IF(LEFT(_xll.BDP($C516, VOLUME_AVG_3M), 4) = "#N/A", "",  _xll.BDP($C516, VOLUME_AVG_3M))</f>
        <v>2299270</v>
      </c>
      <c r="AB516" s="31" cm="1">
        <f t="array" ref="AB516">IF(LEFT(_xll.BDP($C516, VOLUME_AVG_6M), 4) = "#N/A", "",  _xll.BDP($C516, VOLUME_AVG_6M))</f>
        <v>1970170.375</v>
      </c>
      <c r="AC516" s="31" cm="1">
        <f t="array" ref="AC516">IF(LEFT(_xll.BDP($C516, VOLUME_AVG_12M), 4) = "#N/A", "",  _xll.BDP($C516, VOLUME_AVG_12M))</f>
        <v>1795563.125</v>
      </c>
      <c r="AD516" s="41" cm="1">
        <f t="array" ref="AD516">IF(LEFT(_xll.BDP($C516, LAST_PRICE), 4) = "#N/A", "",  _xll.BDP($C516, LAST_PRICE))</f>
        <v>75.180000000000007</v>
      </c>
    </row>
    <row r="517" spans="1:30" x14ac:dyDescent="0.35">
      <c r="A517" s="1">
        <f t="shared" si="7"/>
        <v>514</v>
      </c>
      <c r="B517" s="28">
        <v>45700</v>
      </c>
      <c r="C517" s="29" t="s">
        <v>1083</v>
      </c>
      <c r="D517" s="29" t="s">
        <v>1083</v>
      </c>
      <c r="E517" s="29" t="s">
        <v>1084</v>
      </c>
      <c r="F517" s="29" t="s">
        <v>33</v>
      </c>
      <c r="G517" s="30" t="s">
        <v>34</v>
      </c>
      <c r="H517" s="31"/>
      <c r="I517" s="31"/>
      <c r="J517" s="32"/>
      <c r="K517" s="33">
        <v>45700</v>
      </c>
      <c r="L517" s="31"/>
      <c r="M517" s="32"/>
      <c r="N517" s="31"/>
      <c r="O517" s="33">
        <v>45699</v>
      </c>
      <c r="P517" s="34"/>
      <c r="Q517" s="34">
        <v>1924.62902832031</v>
      </c>
      <c r="R517" s="34">
        <v>947.03967285156295</v>
      </c>
      <c r="S517" s="29"/>
      <c r="T517" s="33"/>
      <c r="U517" s="35" t="b">
        <v>1</v>
      </c>
      <c r="V517" s="35" t="b">
        <v>1</v>
      </c>
      <c r="W517" s="35" t="b">
        <v>1</v>
      </c>
      <c r="Y517" s="31" cm="1">
        <f t="array" ref="Y517">IF(LEFT(_xll.BDP($C517, VOLUME_AVG_10D), 4) = "#N/A", "",  _xll.BDP($C517, VOLUME_AVG_10D))</f>
        <v>0</v>
      </c>
      <c r="Z517" s="31" cm="1">
        <f t="array" ref="Z517">IF(LEFT(_xll.BDP($C517, VOLUME_AVG_30D), 4) = "#N/A", "",  _xll.BDP($C517, VOLUME_AVG_30D))</f>
        <v>0</v>
      </c>
      <c r="AA517" s="31" cm="1">
        <f t="array" ref="AA517">IF(LEFT(_xll.BDP($C517, VOLUME_AVG_3M), 4) = "#N/A", "",  _xll.BDP($C517, VOLUME_AVG_3M))</f>
        <v>1924.6290283203125</v>
      </c>
      <c r="AB517" s="31" cm="1">
        <f t="array" ref="AB517">IF(LEFT(_xll.BDP($C517, VOLUME_AVG_6M), 4) = "#N/A", "",  _xll.BDP($C517, VOLUME_AVG_6M))</f>
        <v>947.0396728515625</v>
      </c>
      <c r="AC517" s="31" cm="1">
        <f t="array" ref="AC517">IF(LEFT(_xll.BDP($C517, VOLUME_AVG_12M), 4) = "#N/A", "",  _xll.BDP($C517, VOLUME_AVG_12M))</f>
        <v>483.85260009765625</v>
      </c>
      <c r="AD517" s="41" t="str" cm="1">
        <f t="array" ref="AD517">IF(LEFT(_xll.BDP($C517, LAST_PRICE), 4) = "#N/A", "",  _xll.BDP($C517, LAST_PRICE))</f>
        <v/>
      </c>
    </row>
    <row r="518" spans="1:30" x14ac:dyDescent="0.35">
      <c r="A518" s="1">
        <f t="shared" ref="A518:A581" si="8">IF(B518="","", A517+1)</f>
        <v>515</v>
      </c>
      <c r="B518" s="28">
        <v>45700</v>
      </c>
      <c r="C518" s="29" t="s">
        <v>1085</v>
      </c>
      <c r="D518" s="29" t="s">
        <v>1085</v>
      </c>
      <c r="E518" s="29" t="s">
        <v>1086</v>
      </c>
      <c r="F518" s="29" t="s">
        <v>33</v>
      </c>
      <c r="G518" s="30" t="s">
        <v>34</v>
      </c>
      <c r="H518" s="31">
        <v>23200776.158301301</v>
      </c>
      <c r="I518" s="31">
        <v>26564776.158301301</v>
      </c>
      <c r="J518" s="32">
        <v>0.74739998579025302</v>
      </c>
      <c r="K518" s="33">
        <v>45700</v>
      </c>
      <c r="L518" s="31">
        <v>1753800</v>
      </c>
      <c r="M518" s="32">
        <v>3.7</v>
      </c>
      <c r="N518" s="31" t="s">
        <v>35</v>
      </c>
      <c r="O518" s="33">
        <v>45699</v>
      </c>
      <c r="P518" s="34">
        <v>86853.703125</v>
      </c>
      <c r="Q518" s="34">
        <v>105765.1796875</v>
      </c>
      <c r="R518" s="34">
        <v>84063.796875</v>
      </c>
      <c r="S518" s="29" t="s">
        <v>56</v>
      </c>
      <c r="T518" s="33">
        <v>45215</v>
      </c>
      <c r="U518" s="35" t="b">
        <v>0</v>
      </c>
      <c r="V518" s="35" t="b">
        <v>0</v>
      </c>
      <c r="W518" s="35" t="b">
        <v>0</v>
      </c>
      <c r="Y518" s="31" cm="1">
        <f t="array" ref="Y518">IF(LEFT(_xll.BDP($C518, VOLUME_AVG_10D), 4) = "#N/A", "",  _xll.BDP($C518, VOLUME_AVG_10D))</f>
        <v>50252.5</v>
      </c>
      <c r="Z518" s="31" cm="1">
        <f t="array" ref="Z518">IF(LEFT(_xll.BDP($C518, VOLUME_AVG_30D), 4) = "#N/A", "",  _xll.BDP($C518, VOLUME_AVG_30D))</f>
        <v>86853.703125</v>
      </c>
      <c r="AA518" s="31" cm="1">
        <f t="array" ref="AA518">IF(LEFT(_xll.BDP($C518, VOLUME_AVG_3M), 4) = "#N/A", "",  _xll.BDP($C518, VOLUME_AVG_3M))</f>
        <v>105765.1796875</v>
      </c>
      <c r="AB518" s="31" cm="1">
        <f t="array" ref="AB518">IF(LEFT(_xll.BDP($C518, VOLUME_AVG_6M), 4) = "#N/A", "",  _xll.BDP($C518, VOLUME_AVG_6M))</f>
        <v>84063.796875</v>
      </c>
      <c r="AC518" s="31" cm="1">
        <f t="array" ref="AC518">IF(LEFT(_xll.BDP($C518, VOLUME_AVG_12M), 4) = "#N/A", "",  _xll.BDP($C518, VOLUME_AVG_12M))</f>
        <v>118452.4921875</v>
      </c>
      <c r="AD518" s="41" cm="1">
        <f t="array" ref="AD518">IF(LEFT(_xll.BDP($C518, LAST_PRICE), 4) = "#N/A", "",  _xll.BDP($C518, LAST_PRICE))</f>
        <v>0.74739999999999995</v>
      </c>
    </row>
    <row r="519" spans="1:30" x14ac:dyDescent="0.35">
      <c r="A519" s="1">
        <f t="shared" si="8"/>
        <v>516</v>
      </c>
      <c r="B519" s="28">
        <v>45700</v>
      </c>
      <c r="C519" s="29" t="s">
        <v>1087</v>
      </c>
      <c r="D519" s="29" t="s">
        <v>1087</v>
      </c>
      <c r="E519" s="29" t="s">
        <v>1088</v>
      </c>
      <c r="F519" s="29" t="s">
        <v>33</v>
      </c>
      <c r="G519" s="30" t="s">
        <v>34</v>
      </c>
      <c r="H519" s="31">
        <v>46751207.449837998</v>
      </c>
      <c r="I519" s="31">
        <v>42198615.449837998</v>
      </c>
      <c r="J519" s="32">
        <v>1.58000004291534</v>
      </c>
      <c r="K519" s="33">
        <v>45700</v>
      </c>
      <c r="L519" s="31">
        <v>1767200</v>
      </c>
      <c r="M519" s="32">
        <v>3.15</v>
      </c>
      <c r="N519" s="31" t="s">
        <v>35</v>
      </c>
      <c r="O519" s="33">
        <v>45699</v>
      </c>
      <c r="P519" s="34">
        <v>107044.8671875</v>
      </c>
      <c r="Q519" s="34">
        <v>106187.3671875</v>
      </c>
      <c r="R519" s="34">
        <v>65947.3671875</v>
      </c>
      <c r="S519" s="29"/>
      <c r="T519" s="33"/>
      <c r="U519" s="35" t="b">
        <v>0</v>
      </c>
      <c r="V519" s="35" t="b">
        <v>0</v>
      </c>
      <c r="W519" s="35" t="b">
        <v>0</v>
      </c>
      <c r="Y519" s="31" cm="1">
        <f t="array" ref="Y519">IF(LEFT(_xll.BDP($C519, VOLUME_AVG_10D), 4) = "#N/A", "",  _xll.BDP($C519, VOLUME_AVG_10D))</f>
        <v>39416.8984375</v>
      </c>
      <c r="Z519" s="31" cm="1">
        <f t="array" ref="Z519">IF(LEFT(_xll.BDP($C519, VOLUME_AVG_30D), 4) = "#N/A", "",  _xll.BDP($C519, VOLUME_AVG_30D))</f>
        <v>107044.8671875</v>
      </c>
      <c r="AA519" s="31" cm="1">
        <f t="array" ref="AA519">IF(LEFT(_xll.BDP($C519, VOLUME_AVG_3M), 4) = "#N/A", "",  _xll.BDP($C519, VOLUME_AVG_3M))</f>
        <v>106187.3671875</v>
      </c>
      <c r="AB519" s="31" cm="1">
        <f t="array" ref="AB519">IF(LEFT(_xll.BDP($C519, VOLUME_AVG_6M), 4) = "#N/A", "",  _xll.BDP($C519, VOLUME_AVG_6M))</f>
        <v>65947.3671875</v>
      </c>
      <c r="AC519" s="31" cm="1">
        <f t="array" ref="AC519">IF(LEFT(_xll.BDP($C519, VOLUME_AVG_12M), 4) = "#N/A", "",  _xll.BDP($C519, VOLUME_AVG_12M))</f>
        <v>65664.203125</v>
      </c>
      <c r="AD519" s="41" cm="1">
        <f t="array" ref="AD519">IF(LEFT(_xll.BDP($C519, LAST_PRICE), 4) = "#N/A", "",  _xll.BDP($C519, LAST_PRICE))</f>
        <v>1.58</v>
      </c>
    </row>
    <row r="520" spans="1:30" x14ac:dyDescent="0.35">
      <c r="A520" s="1">
        <f t="shared" si="8"/>
        <v>517</v>
      </c>
      <c r="B520" s="28">
        <v>45700</v>
      </c>
      <c r="C520" s="29" t="s">
        <v>1089</v>
      </c>
      <c r="D520" s="29" t="s">
        <v>1089</v>
      </c>
      <c r="E520" s="29" t="s">
        <v>1090</v>
      </c>
      <c r="F520" s="29" t="s">
        <v>33</v>
      </c>
      <c r="G520" s="30" t="s">
        <v>34</v>
      </c>
      <c r="H520" s="31">
        <v>914200.93799999997</v>
      </c>
      <c r="I520" s="31">
        <v>15189069.937999999</v>
      </c>
      <c r="J520" s="32">
        <v>0.126</v>
      </c>
      <c r="K520" s="33">
        <v>45700</v>
      </c>
      <c r="L520" s="31">
        <v>721500</v>
      </c>
      <c r="M520" s="32">
        <v>0.55000000000000004</v>
      </c>
      <c r="N520" s="31" t="s">
        <v>35</v>
      </c>
      <c r="O520" s="33">
        <v>45699</v>
      </c>
      <c r="P520" s="34">
        <v>8246.7666015625</v>
      </c>
      <c r="Q520" s="34">
        <v>6080.2744140625</v>
      </c>
      <c r="R520" s="34">
        <v>6442.75390625</v>
      </c>
      <c r="S520" s="29"/>
      <c r="T520" s="33"/>
      <c r="U520" s="35" t="b">
        <v>1</v>
      </c>
      <c r="V520" s="35" t="b">
        <v>0</v>
      </c>
      <c r="W520" s="35" t="b">
        <v>0</v>
      </c>
      <c r="Y520" s="31" cm="1">
        <f t="array" ref="Y520">IF(LEFT(_xll.BDP($C520, VOLUME_AVG_10D), 4) = "#N/A", "",  _xll.BDP($C520, VOLUME_AVG_10D))</f>
        <v>10082.7998046875</v>
      </c>
      <c r="Z520" s="31" cm="1">
        <f t="array" ref="Z520">IF(LEFT(_xll.BDP($C520, VOLUME_AVG_30D), 4) = "#N/A", "",  _xll.BDP($C520, VOLUME_AVG_30D))</f>
        <v>8246.7666015625</v>
      </c>
      <c r="AA520" s="31" cm="1">
        <f t="array" ref="AA520">IF(LEFT(_xll.BDP($C520, VOLUME_AVG_3M), 4) = "#N/A", "",  _xll.BDP($C520, VOLUME_AVG_3M))</f>
        <v>6080.2744140625</v>
      </c>
      <c r="AB520" s="31" cm="1">
        <f t="array" ref="AB520">IF(LEFT(_xll.BDP($C520, VOLUME_AVG_6M), 4) = "#N/A", "",  _xll.BDP($C520, VOLUME_AVG_6M))</f>
        <v>6442.75390625</v>
      </c>
      <c r="AC520" s="31" cm="1">
        <f t="array" ref="AC520">IF(LEFT(_xll.BDP($C520, VOLUME_AVG_12M), 4) = "#N/A", "",  _xll.BDP($C520, VOLUME_AVG_12M))</f>
        <v>198256.046875</v>
      </c>
      <c r="AD520" s="41" cm="1">
        <f t="array" ref="AD520">IF(LEFT(_xll.BDP($C520, LAST_PRICE), 4) = "#N/A", "",  _xll.BDP($C520, LAST_PRICE))</f>
        <v>0.126</v>
      </c>
    </row>
    <row r="521" spans="1:30" x14ac:dyDescent="0.35">
      <c r="A521" s="1">
        <f t="shared" si="8"/>
        <v>518</v>
      </c>
      <c r="B521" s="28">
        <v>45700</v>
      </c>
      <c r="C521" s="29" t="s">
        <v>1091</v>
      </c>
      <c r="D521" s="29" t="s">
        <v>1091</v>
      </c>
      <c r="E521" s="29" t="s">
        <v>1092</v>
      </c>
      <c r="F521" s="29" t="s">
        <v>33</v>
      </c>
      <c r="G521" s="30" t="s">
        <v>34</v>
      </c>
      <c r="H521" s="31">
        <v>1636609259.3770299</v>
      </c>
      <c r="I521" s="31">
        <v>1127208259.3770299</v>
      </c>
      <c r="J521" s="32">
        <v>12.449999809265099</v>
      </c>
      <c r="K521" s="33">
        <v>45700</v>
      </c>
      <c r="L521" s="31">
        <v>36436400</v>
      </c>
      <c r="M521" s="32">
        <v>3.88</v>
      </c>
      <c r="N521" s="31" t="s">
        <v>35</v>
      </c>
      <c r="O521" s="33">
        <v>45699</v>
      </c>
      <c r="P521" s="34">
        <v>1766472.75</v>
      </c>
      <c r="Q521" s="34">
        <v>1896235.625</v>
      </c>
      <c r="R521" s="34">
        <v>1960803.375</v>
      </c>
      <c r="S521" s="29" t="s">
        <v>353</v>
      </c>
      <c r="T521" s="33">
        <v>45446</v>
      </c>
      <c r="U521" s="35" t="b">
        <v>0</v>
      </c>
      <c r="V521" s="35" t="b">
        <v>0</v>
      </c>
      <c r="W521" s="35" t="b">
        <v>0</v>
      </c>
      <c r="Y521" s="31" cm="1">
        <f t="array" ref="Y521">IF(LEFT(_xll.BDP($C521, VOLUME_AVG_10D), 4) = "#N/A", "",  _xll.BDP($C521, VOLUME_AVG_10D))</f>
        <v>1579661.75</v>
      </c>
      <c r="Z521" s="31" cm="1">
        <f t="array" ref="Z521">IF(LEFT(_xll.BDP($C521, VOLUME_AVG_30D), 4) = "#N/A", "",  _xll.BDP($C521, VOLUME_AVG_30D))</f>
        <v>1766472.75</v>
      </c>
      <c r="AA521" s="31" cm="1">
        <f t="array" ref="AA521">IF(LEFT(_xll.BDP($C521, VOLUME_AVG_3M), 4) = "#N/A", "",  _xll.BDP($C521, VOLUME_AVG_3M))</f>
        <v>1896235.625</v>
      </c>
      <c r="AB521" s="31" cm="1">
        <f t="array" ref="AB521">IF(LEFT(_xll.BDP($C521, VOLUME_AVG_6M), 4) = "#N/A", "",  _xll.BDP($C521, VOLUME_AVG_6M))</f>
        <v>1960803.375</v>
      </c>
      <c r="AC521" s="31" cm="1">
        <f t="array" ref="AC521">IF(LEFT(_xll.BDP($C521, VOLUME_AVG_12M), 4) = "#N/A", "",  _xll.BDP($C521, VOLUME_AVG_12M))</f>
        <v>2067812.25</v>
      </c>
      <c r="AD521" s="41" cm="1">
        <f t="array" ref="AD521">IF(LEFT(_xll.BDP($C521, LAST_PRICE), 4) = "#N/A", "",  _xll.BDP($C521, LAST_PRICE))</f>
        <v>12.45</v>
      </c>
    </row>
    <row r="522" spans="1:30" x14ac:dyDescent="0.35">
      <c r="A522" s="1">
        <f t="shared" si="8"/>
        <v>519</v>
      </c>
      <c r="B522" s="28">
        <v>45700</v>
      </c>
      <c r="C522" s="29" t="s">
        <v>1093</v>
      </c>
      <c r="D522" s="29" t="s">
        <v>1093</v>
      </c>
      <c r="E522" s="29" t="s">
        <v>1094</v>
      </c>
      <c r="F522" s="29" t="s">
        <v>33</v>
      </c>
      <c r="G522" s="30" t="s">
        <v>34</v>
      </c>
      <c r="H522" s="31">
        <v>1416582143.12413</v>
      </c>
      <c r="I522" s="31">
        <v>717766143.12412596</v>
      </c>
      <c r="J522" s="32">
        <v>13.920000076293899</v>
      </c>
      <c r="K522" s="33">
        <v>45700</v>
      </c>
      <c r="L522" s="31">
        <v>26012000</v>
      </c>
      <c r="M522" s="32">
        <v>3.88</v>
      </c>
      <c r="N522" s="31" t="s">
        <v>35</v>
      </c>
      <c r="O522" s="33">
        <v>45699</v>
      </c>
      <c r="P522" s="34">
        <v>2501457.75</v>
      </c>
      <c r="Q522" s="34">
        <v>1711854</v>
      </c>
      <c r="R522" s="34">
        <v>1467608.5</v>
      </c>
      <c r="S522" s="29" t="s">
        <v>177</v>
      </c>
      <c r="T522" s="33">
        <v>45446</v>
      </c>
      <c r="U522" s="35" t="b">
        <v>0</v>
      </c>
      <c r="V522" s="35" t="b">
        <v>0</v>
      </c>
      <c r="W522" s="35" t="b">
        <v>0</v>
      </c>
      <c r="Y522" s="31" cm="1">
        <f t="array" ref="Y522">IF(LEFT(_xll.BDP($C522, VOLUME_AVG_10D), 4) = "#N/A", "",  _xll.BDP($C522, VOLUME_AVG_10D))</f>
        <v>1711619.75</v>
      </c>
      <c r="Z522" s="31" cm="1">
        <f t="array" ref="Z522">IF(LEFT(_xll.BDP($C522, VOLUME_AVG_30D), 4) = "#N/A", "",  _xll.BDP($C522, VOLUME_AVG_30D))</f>
        <v>2501457.75</v>
      </c>
      <c r="AA522" s="31" cm="1">
        <f t="array" ref="AA522">IF(LEFT(_xll.BDP($C522, VOLUME_AVG_3M), 4) = "#N/A", "",  _xll.BDP($C522, VOLUME_AVG_3M))</f>
        <v>1711854</v>
      </c>
      <c r="AB522" s="31" cm="1">
        <f t="array" ref="AB522">IF(LEFT(_xll.BDP($C522, VOLUME_AVG_6M), 4) = "#N/A", "",  _xll.BDP($C522, VOLUME_AVG_6M))</f>
        <v>1467608.5</v>
      </c>
      <c r="AC522" s="31" cm="1">
        <f t="array" ref="AC522">IF(LEFT(_xll.BDP($C522, VOLUME_AVG_12M), 4) = "#N/A", "",  _xll.BDP($C522, VOLUME_AVG_12M))</f>
        <v>1368440.5</v>
      </c>
      <c r="AD522" s="41" cm="1">
        <f t="array" ref="AD522">IF(LEFT(_xll.BDP($C522, LAST_PRICE), 4) = "#N/A", "",  _xll.BDP($C522, LAST_PRICE))</f>
        <v>13.92</v>
      </c>
    </row>
    <row r="523" spans="1:30" x14ac:dyDescent="0.35">
      <c r="A523" s="1">
        <f t="shared" si="8"/>
        <v>520</v>
      </c>
      <c r="B523" s="28">
        <v>45700</v>
      </c>
      <c r="C523" s="29" t="s">
        <v>1095</v>
      </c>
      <c r="D523" s="29" t="s">
        <v>1095</v>
      </c>
      <c r="E523" s="29" t="s">
        <v>1096</v>
      </c>
      <c r="F523" s="29" t="s">
        <v>33</v>
      </c>
      <c r="G523" s="30" t="s">
        <v>34</v>
      </c>
      <c r="H523" s="31">
        <v>50006.735999999997</v>
      </c>
      <c r="I523" s="31">
        <v>813123.71597152797</v>
      </c>
      <c r="J523" s="32">
        <v>8.0000000000000002E-3</v>
      </c>
      <c r="K523" s="33">
        <v>45700</v>
      </c>
      <c r="L523" s="31"/>
      <c r="M523" s="32"/>
      <c r="N523" s="31"/>
      <c r="O523" s="33">
        <v>45699</v>
      </c>
      <c r="P523" s="34">
        <v>8801.400390625</v>
      </c>
      <c r="Q523" s="34">
        <v>10041</v>
      </c>
      <c r="R523" s="34">
        <v>6683.98388671875</v>
      </c>
      <c r="S523" s="29"/>
      <c r="T523" s="33"/>
      <c r="U523" s="35" t="b">
        <v>1</v>
      </c>
      <c r="V523" s="35" t="b">
        <v>1</v>
      </c>
      <c r="W523" s="35" t="b">
        <v>0</v>
      </c>
      <c r="Y523" s="31" cm="1">
        <f t="array" ref="Y523">IF(LEFT(_xll.BDP($C523, VOLUME_AVG_10D), 4) = "#N/A", "",  _xll.BDP($C523, VOLUME_AVG_10D))</f>
        <v>1654.5</v>
      </c>
      <c r="Z523" s="31" cm="1">
        <f t="array" ref="Z523">IF(LEFT(_xll.BDP($C523, VOLUME_AVG_30D), 4) = "#N/A", "",  _xll.BDP($C523, VOLUME_AVG_30D))</f>
        <v>8801.400390625</v>
      </c>
      <c r="AA523" s="31" cm="1">
        <f t="array" ref="AA523">IF(LEFT(_xll.BDP($C523, VOLUME_AVG_3M), 4) = "#N/A", "",  _xll.BDP($C523, VOLUME_AVG_3M))</f>
        <v>10041</v>
      </c>
      <c r="AB523" s="31" cm="1">
        <f t="array" ref="AB523">IF(LEFT(_xll.BDP($C523, VOLUME_AVG_6M), 4) = "#N/A", "",  _xll.BDP($C523, VOLUME_AVG_6M))</f>
        <v>6683.98388671875</v>
      </c>
      <c r="AC523" s="31" cm="1">
        <f t="array" ref="AC523">IF(LEFT(_xll.BDP($C523, VOLUME_AVG_12M), 4) = "#N/A", "",  _xll.BDP($C523, VOLUME_AVG_12M))</f>
        <v>8064.2109375</v>
      </c>
      <c r="AD523" s="41" cm="1">
        <f t="array" ref="AD523">IF(LEFT(_xll.BDP($C523, LAST_PRICE), 4) = "#N/A", "",  _xll.BDP($C523, LAST_PRICE))</f>
        <v>8.0000000000000002E-3</v>
      </c>
    </row>
    <row r="524" spans="1:30" x14ac:dyDescent="0.35">
      <c r="A524" s="1">
        <f t="shared" si="8"/>
        <v>521</v>
      </c>
      <c r="B524" s="28">
        <v>45700</v>
      </c>
      <c r="C524" s="29" t="s">
        <v>1097</v>
      </c>
      <c r="D524" s="29" t="s">
        <v>1097</v>
      </c>
      <c r="E524" s="29" t="s">
        <v>1098</v>
      </c>
      <c r="F524" s="29" t="s">
        <v>33</v>
      </c>
      <c r="G524" s="30" t="s">
        <v>34</v>
      </c>
      <c r="H524" s="31">
        <v>15324625.098806299</v>
      </c>
      <c r="I524" s="31">
        <v>72424625.098806202</v>
      </c>
      <c r="J524" s="32">
        <v>1.1799999475479099</v>
      </c>
      <c r="K524" s="33">
        <v>45700</v>
      </c>
      <c r="L524" s="31">
        <v>730100</v>
      </c>
      <c r="M524" s="32">
        <v>3.6</v>
      </c>
      <c r="N524" s="31" t="s">
        <v>35</v>
      </c>
      <c r="O524" s="33">
        <v>45699</v>
      </c>
      <c r="P524" s="34">
        <v>14662.400390625</v>
      </c>
      <c r="Q524" s="34">
        <v>21228.548828125</v>
      </c>
      <c r="R524" s="34">
        <v>106474.3515625</v>
      </c>
      <c r="S524" s="29"/>
      <c r="T524" s="33"/>
      <c r="U524" s="35" t="b">
        <v>1</v>
      </c>
      <c r="V524" s="35" t="b">
        <v>0</v>
      </c>
      <c r="W524" s="35" t="b">
        <v>0</v>
      </c>
      <c r="Y524" s="31" cm="1">
        <f t="array" ref="Y524">IF(LEFT(_xll.BDP($C524, VOLUME_AVG_10D), 4) = "#N/A", "",  _xll.BDP($C524, VOLUME_AVG_10D))</f>
        <v>7857.2998046875</v>
      </c>
      <c r="Z524" s="31" cm="1">
        <f t="array" ref="Z524">IF(LEFT(_xll.BDP($C524, VOLUME_AVG_30D), 4) = "#N/A", "",  _xll.BDP($C524, VOLUME_AVG_30D))</f>
        <v>14662.400390625</v>
      </c>
      <c r="AA524" s="31" cm="1">
        <f t="array" ref="AA524">IF(LEFT(_xll.BDP($C524, VOLUME_AVG_3M), 4) = "#N/A", "",  _xll.BDP($C524, VOLUME_AVG_3M))</f>
        <v>21228.548828125</v>
      </c>
      <c r="AB524" s="31" cm="1">
        <f t="array" ref="AB524">IF(LEFT(_xll.BDP($C524, VOLUME_AVG_6M), 4) = "#N/A", "",  _xll.BDP($C524, VOLUME_AVG_6M))</f>
        <v>106474.3515625</v>
      </c>
      <c r="AC524" s="31" cm="1">
        <f t="array" ref="AC524">IF(LEFT(_xll.BDP($C524, VOLUME_AVG_12M), 4) = "#N/A", "",  _xll.BDP($C524, VOLUME_AVG_12M))</f>
        <v>135007.21875</v>
      </c>
      <c r="AD524" s="41" cm="1">
        <f t="array" ref="AD524">IF(LEFT(_xll.BDP($C524, LAST_PRICE), 4) = "#N/A", "",  _xll.BDP($C524, LAST_PRICE))</f>
        <v>1.18</v>
      </c>
    </row>
    <row r="525" spans="1:30" x14ac:dyDescent="0.35">
      <c r="A525" s="1">
        <f t="shared" si="8"/>
        <v>522</v>
      </c>
      <c r="B525" s="28">
        <v>45700</v>
      </c>
      <c r="C525" s="29" t="s">
        <v>1099</v>
      </c>
      <c r="D525" s="29" t="s">
        <v>1099</v>
      </c>
      <c r="E525" s="29" t="s">
        <v>1100</v>
      </c>
      <c r="F525" s="29" t="s">
        <v>33</v>
      </c>
      <c r="G525" s="30" t="s">
        <v>34</v>
      </c>
      <c r="H525" s="31">
        <v>63763535.539208002</v>
      </c>
      <c r="I525" s="31"/>
      <c r="J525" s="32">
        <v>0.20999999344348899</v>
      </c>
      <c r="K525" s="33">
        <v>45700</v>
      </c>
      <c r="L525" s="31"/>
      <c r="M525" s="32"/>
      <c r="N525" s="31"/>
      <c r="O525" s="33">
        <v>45699</v>
      </c>
      <c r="P525" s="34">
        <v>192885.234375</v>
      </c>
      <c r="Q525" s="34">
        <v>141318.984375</v>
      </c>
      <c r="R525" s="34">
        <v>116129.1796875</v>
      </c>
      <c r="S525" s="29"/>
      <c r="T525" s="33"/>
      <c r="U525" s="35" t="b">
        <v>0</v>
      </c>
      <c r="V525" s="35" t="b">
        <v>0</v>
      </c>
      <c r="W525" s="35" t="b">
        <v>1</v>
      </c>
      <c r="Y525" s="31" cm="1">
        <f t="array" ref="Y525">IF(LEFT(_xll.BDP($C525, VOLUME_AVG_10D), 4) = "#N/A", "",  _xll.BDP($C525, VOLUME_AVG_10D))</f>
        <v>95220.296875</v>
      </c>
      <c r="Z525" s="31" cm="1">
        <f t="array" ref="Z525">IF(LEFT(_xll.BDP($C525, VOLUME_AVG_30D), 4) = "#N/A", "",  _xll.BDP($C525, VOLUME_AVG_30D))</f>
        <v>192885.234375</v>
      </c>
      <c r="AA525" s="31" cm="1">
        <f t="array" ref="AA525">IF(LEFT(_xll.BDP($C525, VOLUME_AVG_3M), 4) = "#N/A", "",  _xll.BDP($C525, VOLUME_AVG_3M))</f>
        <v>141318.984375</v>
      </c>
      <c r="AB525" s="31" cm="1">
        <f t="array" ref="AB525">IF(LEFT(_xll.BDP($C525, VOLUME_AVG_6M), 4) = "#N/A", "",  _xll.BDP($C525, VOLUME_AVG_6M))</f>
        <v>116129.1796875</v>
      </c>
      <c r="AC525" s="31" cm="1">
        <f t="array" ref="AC525">IF(LEFT(_xll.BDP($C525, VOLUME_AVG_12M), 4) = "#N/A", "",  _xll.BDP($C525, VOLUME_AVG_12M))</f>
        <v>129109.921875</v>
      </c>
      <c r="AD525" s="41" cm="1">
        <f t="array" ref="AD525">IF(LEFT(_xll.BDP($C525, LAST_PRICE), 4) = "#N/A", "",  _xll.BDP($C525, LAST_PRICE))</f>
        <v>0.21</v>
      </c>
    </row>
    <row r="526" spans="1:30" x14ac:dyDescent="0.35">
      <c r="A526" s="1">
        <f t="shared" si="8"/>
        <v>523</v>
      </c>
      <c r="B526" s="28">
        <v>45700</v>
      </c>
      <c r="C526" s="29" t="s">
        <v>1101</v>
      </c>
      <c r="D526" s="29" t="s">
        <v>1101</v>
      </c>
      <c r="E526" s="29" t="s">
        <v>1102</v>
      </c>
      <c r="F526" s="29" t="s">
        <v>33</v>
      </c>
      <c r="G526" s="30" t="s">
        <v>34</v>
      </c>
      <c r="H526" s="31"/>
      <c r="I526" s="31"/>
      <c r="J526" s="32">
        <v>9.9999999747524292E-7</v>
      </c>
      <c r="K526" s="33">
        <v>45700</v>
      </c>
      <c r="L526" s="31"/>
      <c r="M526" s="32"/>
      <c r="N526" s="31"/>
      <c r="O526" s="33">
        <v>45699</v>
      </c>
      <c r="P526" s="34">
        <v>146602.59375</v>
      </c>
      <c r="Q526" s="34">
        <v>87735.984375</v>
      </c>
      <c r="R526" s="34">
        <v>69828.7890625</v>
      </c>
      <c r="S526" s="29"/>
      <c r="T526" s="33"/>
      <c r="U526" s="35" t="b">
        <v>1</v>
      </c>
      <c r="V526" s="35" t="b">
        <v>1</v>
      </c>
      <c r="W526" s="35" t="b">
        <v>1</v>
      </c>
      <c r="Y526" s="31" cm="1">
        <f t="array" ref="Y526">IF(LEFT(_xll.BDP($C526, VOLUME_AVG_10D), 4) = "#N/A", "",  _xll.BDP($C526, VOLUME_AVG_10D))</f>
        <v>332394.09375</v>
      </c>
      <c r="Z526" s="31" cm="1">
        <f t="array" ref="Z526">IF(LEFT(_xll.BDP($C526, VOLUME_AVG_30D), 4) = "#N/A", "",  _xll.BDP($C526, VOLUME_AVG_30D))</f>
        <v>146602.59375</v>
      </c>
      <c r="AA526" s="31" cm="1">
        <f t="array" ref="AA526">IF(LEFT(_xll.BDP($C526, VOLUME_AVG_3M), 4) = "#N/A", "",  _xll.BDP($C526, VOLUME_AVG_3M))</f>
        <v>87735.984375</v>
      </c>
      <c r="AB526" s="31" cm="1">
        <f t="array" ref="AB526">IF(LEFT(_xll.BDP($C526, VOLUME_AVG_6M), 4) = "#N/A", "",  _xll.BDP($C526, VOLUME_AVG_6M))</f>
        <v>69828.7890625</v>
      </c>
      <c r="AC526" s="31" cm="1">
        <f t="array" ref="AC526">IF(LEFT(_xll.BDP($C526, VOLUME_AVG_12M), 4) = "#N/A", "",  _xll.BDP($C526, VOLUME_AVG_12M))</f>
        <v>42787.76953125</v>
      </c>
      <c r="AD526" s="41" cm="1">
        <f t="array" ref="AD526">IF(LEFT(_xll.BDP($C526, LAST_PRICE), 4) = "#N/A", "",  _xll.BDP($C526, LAST_PRICE))</f>
        <v>9.9999999999999995E-7</v>
      </c>
    </row>
    <row r="527" spans="1:30" x14ac:dyDescent="0.35">
      <c r="A527" s="1">
        <f t="shared" si="8"/>
        <v>524</v>
      </c>
      <c r="B527" s="28">
        <v>45700</v>
      </c>
      <c r="C527" s="29" t="s">
        <v>1103</v>
      </c>
      <c r="D527" s="29" t="s">
        <v>1103</v>
      </c>
      <c r="E527" s="29" t="s">
        <v>1104</v>
      </c>
      <c r="F527" s="29" t="s">
        <v>40</v>
      </c>
      <c r="G527" s="30" t="s">
        <v>41</v>
      </c>
      <c r="H527" s="31">
        <v>30998686.050000001</v>
      </c>
      <c r="I527" s="31">
        <v>31050667.050000001</v>
      </c>
      <c r="J527" s="32">
        <v>0.45</v>
      </c>
      <c r="K527" s="33">
        <v>45700</v>
      </c>
      <c r="L527" s="31"/>
      <c r="M527" s="32"/>
      <c r="N527" s="31"/>
      <c r="O527" s="33">
        <v>45699</v>
      </c>
      <c r="P527" s="34">
        <v>2670.2</v>
      </c>
      <c r="Q527" s="34">
        <v>2435.4690000000001</v>
      </c>
      <c r="R527" s="34">
        <v>3092.6689999999999</v>
      </c>
      <c r="S527" s="29"/>
      <c r="T527" s="33"/>
      <c r="U527" s="35" t="b">
        <v>0</v>
      </c>
      <c r="V527" s="35" t="b">
        <v>0</v>
      </c>
      <c r="W527" s="35" t="b">
        <v>0</v>
      </c>
      <c r="Y527" s="31" cm="1">
        <f t="array" ref="Y527">IF(LEFT(_xll.BDP($C527, VOLUME_AVG_10D), 4) = "#N/A", "",  _xll.BDP($C527, VOLUME_AVG_10D))</f>
        <v>3201.5</v>
      </c>
      <c r="Z527" s="31" cm="1">
        <f t="array" ref="Z527">IF(LEFT(_xll.BDP($C527, VOLUME_AVG_30D), 4) = "#N/A", "",  _xll.BDP($C527, VOLUME_AVG_30D))</f>
        <v>2670.2</v>
      </c>
      <c r="AA527" s="31" cm="1">
        <f t="array" ref="AA527">IF(LEFT(_xll.BDP($C527, VOLUME_AVG_3M), 4) = "#N/A", "",  _xll.BDP($C527, VOLUME_AVG_3M))</f>
        <v>2435.4690000000001</v>
      </c>
      <c r="AB527" s="31" cm="1">
        <f t="array" ref="AB527">IF(LEFT(_xll.BDP($C527, VOLUME_AVG_6M), 4) = "#N/A", "",  _xll.BDP($C527, VOLUME_AVG_6M))</f>
        <v>3092.6689999999999</v>
      </c>
      <c r="AC527" s="31" cm="1">
        <f t="array" ref="AC527">IF(LEFT(_xll.BDP($C527, VOLUME_AVG_12M), 4) = "#N/A", "",  _xll.BDP($C527, VOLUME_AVG_12M))</f>
        <v>1981.9480000000001</v>
      </c>
      <c r="AD527" s="41" cm="1">
        <f t="array" ref="AD527">IF(LEFT(_xll.BDP($C527, LAST_PRICE), 4) = "#N/A", "",  _xll.BDP($C527, LAST_PRICE))</f>
        <v>0.45</v>
      </c>
    </row>
    <row r="528" spans="1:30" x14ac:dyDescent="0.35">
      <c r="A528" s="1">
        <f t="shared" si="8"/>
        <v>525</v>
      </c>
      <c r="B528" s="28">
        <v>45700</v>
      </c>
      <c r="C528" s="29" t="s">
        <v>1105</v>
      </c>
      <c r="D528" s="29" t="s">
        <v>1105</v>
      </c>
      <c r="E528" s="29" t="s">
        <v>1106</v>
      </c>
      <c r="F528" s="29" t="s">
        <v>33</v>
      </c>
      <c r="G528" s="30" t="s">
        <v>34</v>
      </c>
      <c r="H528" s="31">
        <v>7823.71117160632</v>
      </c>
      <c r="I528" s="31">
        <v>1229811.71117161</v>
      </c>
      <c r="J528" s="32">
        <v>1.20000005699694E-3</v>
      </c>
      <c r="K528" s="33">
        <v>45700</v>
      </c>
      <c r="L528" s="31"/>
      <c r="M528" s="32"/>
      <c r="N528" s="31"/>
      <c r="O528" s="33">
        <v>45699</v>
      </c>
      <c r="P528" s="34">
        <v>2774409.5</v>
      </c>
      <c r="Q528" s="34">
        <v>2554907</v>
      </c>
      <c r="R528" s="34">
        <v>1727946.125</v>
      </c>
      <c r="S528" s="29"/>
      <c r="T528" s="33"/>
      <c r="U528" s="35" t="b">
        <v>1</v>
      </c>
      <c r="V528" s="35" t="b">
        <v>1</v>
      </c>
      <c r="W528" s="35" t="b">
        <v>0</v>
      </c>
      <c r="Y528" s="31" cm="1">
        <f t="array" ref="Y528">IF(LEFT(_xll.BDP($C528, VOLUME_AVG_10D), 4) = "#N/A", "",  _xll.BDP($C528, VOLUME_AVG_10D))</f>
        <v>5312661.5</v>
      </c>
      <c r="Z528" s="31" cm="1">
        <f t="array" ref="Z528">IF(LEFT(_xll.BDP($C528, VOLUME_AVG_30D), 4) = "#N/A", "",  _xll.BDP($C528, VOLUME_AVG_30D))</f>
        <v>2774409.5</v>
      </c>
      <c r="AA528" s="31" cm="1">
        <f t="array" ref="AA528">IF(LEFT(_xll.BDP($C528, VOLUME_AVG_3M), 4) = "#N/A", "",  _xll.BDP($C528, VOLUME_AVG_3M))</f>
        <v>2554907</v>
      </c>
      <c r="AB528" s="31" cm="1">
        <f t="array" ref="AB528">IF(LEFT(_xll.BDP($C528, VOLUME_AVG_6M), 4) = "#N/A", "",  _xll.BDP($C528, VOLUME_AVG_6M))</f>
        <v>1727946.125</v>
      </c>
      <c r="AC528" s="31" cm="1">
        <f t="array" ref="AC528">IF(LEFT(_xll.BDP($C528, VOLUME_AVG_12M), 4) = "#N/A", "",  _xll.BDP($C528, VOLUME_AVG_12M))</f>
        <v>1278629.875</v>
      </c>
      <c r="AD528" s="41" cm="1">
        <f t="array" ref="AD528">IF(LEFT(_xll.BDP($C528, LAST_PRICE), 4) = "#N/A", "",  _xll.BDP($C528, LAST_PRICE))</f>
        <v>1.1999999999999999E-3</v>
      </c>
    </row>
    <row r="529" spans="1:30" x14ac:dyDescent="0.35">
      <c r="A529" s="1">
        <f t="shared" si="8"/>
        <v>526</v>
      </c>
      <c r="B529" s="28">
        <v>45700</v>
      </c>
      <c r="C529" s="29" t="s">
        <v>1107</v>
      </c>
      <c r="D529" s="29" t="s">
        <v>1107</v>
      </c>
      <c r="E529" s="29" t="s">
        <v>1108</v>
      </c>
      <c r="F529" s="29" t="s">
        <v>33</v>
      </c>
      <c r="G529" s="30" t="s">
        <v>34</v>
      </c>
      <c r="H529" s="31">
        <v>31774.5447092098</v>
      </c>
      <c r="I529" s="31"/>
      <c r="J529" s="32">
        <v>6.00000028498471E-4</v>
      </c>
      <c r="K529" s="33">
        <v>45700</v>
      </c>
      <c r="L529" s="31"/>
      <c r="M529" s="32"/>
      <c r="N529" s="31"/>
      <c r="O529" s="33">
        <v>45699</v>
      </c>
      <c r="P529" s="34">
        <v>4911.2666015625</v>
      </c>
      <c r="Q529" s="34"/>
      <c r="R529" s="34"/>
      <c r="S529" s="29"/>
      <c r="T529" s="33"/>
      <c r="U529" s="35" t="b">
        <v>1</v>
      </c>
      <c r="V529" s="35" t="b">
        <v>1</v>
      </c>
      <c r="W529" s="35" t="b">
        <v>1</v>
      </c>
      <c r="Y529" s="31" cm="1">
        <f t="array" ref="Y529">IF(LEFT(_xll.BDP($C529, VOLUME_AVG_10D), 4) = "#N/A", "",  _xll.BDP($C529, VOLUME_AVG_10D))</f>
        <v>12939</v>
      </c>
      <c r="Z529" s="31" cm="1">
        <f t="array" ref="Z529">IF(LEFT(_xll.BDP($C529, VOLUME_AVG_30D), 4) = "#N/A", "",  _xll.BDP($C529, VOLUME_AVG_30D))</f>
        <v>4911.2666015625</v>
      </c>
      <c r="AA529" s="31" t="str" cm="1">
        <f t="array" ref="AA529">IF(LEFT(_xll.BDP($C529, VOLUME_AVG_3M), 4) = "#N/A", "",  _xll.BDP($C529, VOLUME_AVG_3M))</f>
        <v/>
      </c>
      <c r="AB529" s="31" t="str" cm="1">
        <f t="array" ref="AB529">IF(LEFT(_xll.BDP($C529, VOLUME_AVG_6M), 4) = "#N/A", "",  _xll.BDP($C529, VOLUME_AVG_6M))</f>
        <v/>
      </c>
      <c r="AC529" s="31" t="str" cm="1">
        <f t="array" ref="AC529">IF(LEFT(_xll.BDP($C529, VOLUME_AVG_12M), 4) = "#N/A", "",  _xll.BDP($C529, VOLUME_AVG_12M))</f>
        <v/>
      </c>
      <c r="AD529" s="41" cm="1">
        <f t="array" ref="AD529">IF(LEFT(_xll.BDP($C529, LAST_PRICE), 4) = "#N/A", "",  _xll.BDP($C529, LAST_PRICE))</f>
        <v>5.9999999999999995E-4</v>
      </c>
    </row>
    <row r="530" spans="1:30" x14ac:dyDescent="0.35">
      <c r="A530" s="1">
        <f t="shared" si="8"/>
        <v>527</v>
      </c>
      <c r="B530" s="28">
        <v>45700</v>
      </c>
      <c r="C530" s="29" t="s">
        <v>1109</v>
      </c>
      <c r="D530" s="29" t="s">
        <v>1109</v>
      </c>
      <c r="E530" s="29" t="s">
        <v>1110</v>
      </c>
      <c r="F530" s="29" t="s">
        <v>33</v>
      </c>
      <c r="G530" s="30" t="s">
        <v>34</v>
      </c>
      <c r="H530" s="31"/>
      <c r="I530" s="31"/>
      <c r="J530" s="32">
        <v>0.135000005364418</v>
      </c>
      <c r="K530" s="33">
        <v>45700</v>
      </c>
      <c r="L530" s="31"/>
      <c r="M530" s="32"/>
      <c r="N530" s="31"/>
      <c r="O530" s="33">
        <v>45699</v>
      </c>
      <c r="P530" s="34">
        <v>95278.46875</v>
      </c>
      <c r="Q530" s="34">
        <v>62440.06640625</v>
      </c>
      <c r="R530" s="34">
        <v>34486.26171875</v>
      </c>
      <c r="S530" s="29"/>
      <c r="T530" s="33"/>
      <c r="U530" s="35" t="b">
        <v>1</v>
      </c>
      <c r="V530" s="35" t="b">
        <v>0</v>
      </c>
      <c r="W530" s="35" t="b">
        <v>1</v>
      </c>
      <c r="Y530" s="31" cm="1">
        <f t="array" ref="Y530">IF(LEFT(_xll.BDP($C530, VOLUME_AVG_10D), 4) = "#N/A", "",  _xll.BDP($C530, VOLUME_AVG_10D))</f>
        <v>207540.09375</v>
      </c>
      <c r="Z530" s="31" cm="1">
        <f t="array" ref="Z530">IF(LEFT(_xll.BDP($C530, VOLUME_AVG_30D), 4) = "#N/A", "",  _xll.BDP($C530, VOLUME_AVG_30D))</f>
        <v>95278.46875</v>
      </c>
      <c r="AA530" s="31" cm="1">
        <f t="array" ref="AA530">IF(LEFT(_xll.BDP($C530, VOLUME_AVG_3M), 4) = "#N/A", "",  _xll.BDP($C530, VOLUME_AVG_3M))</f>
        <v>62440.06640625</v>
      </c>
      <c r="AB530" s="31" cm="1">
        <f t="array" ref="AB530">IF(LEFT(_xll.BDP($C530, VOLUME_AVG_6M), 4) = "#N/A", "",  _xll.BDP($C530, VOLUME_AVG_6M))</f>
        <v>34486.26171875</v>
      </c>
      <c r="AC530" s="31" cm="1">
        <f t="array" ref="AC530">IF(LEFT(_xll.BDP($C530, VOLUME_AVG_12M), 4) = "#N/A", "",  _xll.BDP($C530, VOLUME_AVG_12M))</f>
        <v>23728.2421875</v>
      </c>
      <c r="AD530" s="41" cm="1">
        <f t="array" ref="AD530">IF(LEFT(_xll.BDP($C530, LAST_PRICE), 4) = "#N/A", "",  _xll.BDP($C530, LAST_PRICE))</f>
        <v>0.13500000000000001</v>
      </c>
    </row>
    <row r="531" spans="1:30" x14ac:dyDescent="0.35">
      <c r="A531" s="1">
        <f t="shared" si="8"/>
        <v>528</v>
      </c>
      <c r="B531" s="28">
        <v>45700</v>
      </c>
      <c r="C531" s="29" t="s">
        <v>1111</v>
      </c>
      <c r="D531" s="29" t="s">
        <v>1111</v>
      </c>
      <c r="E531" s="29" t="s">
        <v>1112</v>
      </c>
      <c r="F531" s="29" t="s">
        <v>33</v>
      </c>
      <c r="G531" s="30" t="s">
        <v>34</v>
      </c>
      <c r="H531" s="31">
        <v>98325017.888492107</v>
      </c>
      <c r="I531" s="31">
        <v>74755516.532028303</v>
      </c>
      <c r="J531" s="32">
        <v>2.6500000953674299</v>
      </c>
      <c r="K531" s="33">
        <v>45700</v>
      </c>
      <c r="L531" s="31">
        <v>565400</v>
      </c>
      <c r="M531" s="32">
        <v>1.25</v>
      </c>
      <c r="N531" s="31" t="s">
        <v>35</v>
      </c>
      <c r="O531" s="33">
        <v>45699</v>
      </c>
      <c r="P531" s="34">
        <v>54335.66796875</v>
      </c>
      <c r="Q531" s="34">
        <v>111550.3515625</v>
      </c>
      <c r="R531" s="34">
        <v>116768.5625</v>
      </c>
      <c r="S531" s="29"/>
      <c r="T531" s="33"/>
      <c r="U531" s="35" t="b">
        <v>0</v>
      </c>
      <c r="V531" s="35" t="b">
        <v>0</v>
      </c>
      <c r="W531" s="35" t="b">
        <v>0</v>
      </c>
      <c r="Y531" s="31" cm="1">
        <f t="array" ref="Y531">IF(LEFT(_xll.BDP($C531, VOLUME_AVG_10D), 4) = "#N/A", "",  _xll.BDP($C531, VOLUME_AVG_10D))</f>
        <v>47346.19921875</v>
      </c>
      <c r="Z531" s="31" cm="1">
        <f t="array" ref="Z531">IF(LEFT(_xll.BDP($C531, VOLUME_AVG_30D), 4) = "#N/A", "",  _xll.BDP($C531, VOLUME_AVG_30D))</f>
        <v>54335.66796875</v>
      </c>
      <c r="AA531" s="31" cm="1">
        <f t="array" ref="AA531">IF(LEFT(_xll.BDP($C531, VOLUME_AVG_3M), 4) = "#N/A", "",  _xll.BDP($C531, VOLUME_AVG_3M))</f>
        <v>111550.3515625</v>
      </c>
      <c r="AB531" s="31" cm="1">
        <f t="array" ref="AB531">IF(LEFT(_xll.BDP($C531, VOLUME_AVG_6M), 4) = "#N/A", "",  _xll.BDP($C531, VOLUME_AVG_6M))</f>
        <v>116768.5625</v>
      </c>
      <c r="AC531" s="31" cm="1">
        <f t="array" ref="AC531">IF(LEFT(_xll.BDP($C531, VOLUME_AVG_12M), 4) = "#N/A", "",  _xll.BDP($C531, VOLUME_AVG_12M))</f>
        <v>75739.59375</v>
      </c>
      <c r="AD531" s="41" cm="1">
        <f t="array" ref="AD531">IF(LEFT(_xll.BDP($C531, LAST_PRICE), 4) = "#N/A", "",  _xll.BDP($C531, LAST_PRICE))</f>
        <v>2.65</v>
      </c>
    </row>
    <row r="532" spans="1:30" x14ac:dyDescent="0.35">
      <c r="A532" s="1">
        <f t="shared" si="8"/>
        <v>529</v>
      </c>
      <c r="B532" s="28">
        <v>45700</v>
      </c>
      <c r="C532" s="29" t="s">
        <v>1113</v>
      </c>
      <c r="D532" s="29" t="s">
        <v>1113</v>
      </c>
      <c r="E532" s="29" t="s">
        <v>1114</v>
      </c>
      <c r="F532" s="29" t="s">
        <v>33</v>
      </c>
      <c r="G532" s="30" t="s">
        <v>34</v>
      </c>
      <c r="H532" s="31">
        <v>6449843.92960524</v>
      </c>
      <c r="I532" s="31">
        <v>5432390.92960524</v>
      </c>
      <c r="J532" s="32">
        <v>1.8600000143051101</v>
      </c>
      <c r="K532" s="33">
        <v>45700</v>
      </c>
      <c r="L532" s="31">
        <v>107700</v>
      </c>
      <c r="M532" s="32">
        <v>-3.35</v>
      </c>
      <c r="N532" s="31" t="s">
        <v>35</v>
      </c>
      <c r="O532" s="33">
        <v>45699</v>
      </c>
      <c r="P532" s="34">
        <v>28279.267578125</v>
      </c>
      <c r="Q532" s="34">
        <v>26669.85546875</v>
      </c>
      <c r="R532" s="34">
        <v>23878.103515625</v>
      </c>
      <c r="S532" s="29"/>
      <c r="T532" s="33"/>
      <c r="U532" s="35" t="b">
        <v>1</v>
      </c>
      <c r="V532" s="35" t="b">
        <v>0</v>
      </c>
      <c r="W532" s="35" t="b">
        <v>0</v>
      </c>
      <c r="Y532" s="31" cm="1">
        <f t="array" ref="Y532">IF(LEFT(_xll.BDP($C532, VOLUME_AVG_10D), 4) = "#N/A", "",  _xll.BDP($C532, VOLUME_AVG_10D))</f>
        <v>18882.19921875</v>
      </c>
      <c r="Z532" s="31" cm="1">
        <f t="array" ref="Z532">IF(LEFT(_xll.BDP($C532, VOLUME_AVG_30D), 4) = "#N/A", "",  _xll.BDP($C532, VOLUME_AVG_30D))</f>
        <v>28279.267578125</v>
      </c>
      <c r="AA532" s="31" cm="1">
        <f t="array" ref="AA532">IF(LEFT(_xll.BDP($C532, VOLUME_AVG_3M), 4) = "#N/A", "",  _xll.BDP($C532, VOLUME_AVG_3M))</f>
        <v>26669.85546875</v>
      </c>
      <c r="AB532" s="31" cm="1">
        <f t="array" ref="AB532">IF(LEFT(_xll.BDP($C532, VOLUME_AVG_6M), 4) = "#N/A", "",  _xll.BDP($C532, VOLUME_AVG_6M))</f>
        <v>23878.103515625</v>
      </c>
      <c r="AC532" s="31" cm="1">
        <f t="array" ref="AC532">IF(LEFT(_xll.BDP($C532, VOLUME_AVG_12M), 4) = "#N/A", "",  _xll.BDP($C532, VOLUME_AVG_12M))</f>
        <v>17408.953125</v>
      </c>
      <c r="AD532" s="41" cm="1">
        <f t="array" ref="AD532">IF(LEFT(_xll.BDP($C532, LAST_PRICE), 4) = "#N/A", "",  _xll.BDP($C532, LAST_PRICE))</f>
        <v>1.86</v>
      </c>
    </row>
    <row r="533" spans="1:30" x14ac:dyDescent="0.35">
      <c r="A533" s="1">
        <f t="shared" si="8"/>
        <v>530</v>
      </c>
      <c r="B533" s="28">
        <v>45700</v>
      </c>
      <c r="C533" s="29" t="s">
        <v>1115</v>
      </c>
      <c r="D533" s="29" t="s">
        <v>1115</v>
      </c>
      <c r="E533" s="29" t="s">
        <v>1116</v>
      </c>
      <c r="F533" s="29" t="s">
        <v>33</v>
      </c>
      <c r="G533" s="30" t="s">
        <v>34</v>
      </c>
      <c r="H533" s="31">
        <v>2447698200.5707998</v>
      </c>
      <c r="I533" s="31">
        <v>1959602200.5708001</v>
      </c>
      <c r="J533" s="32">
        <v>25.850000381469702</v>
      </c>
      <c r="K533" s="33">
        <v>45700</v>
      </c>
      <c r="L533" s="31">
        <v>14802500</v>
      </c>
      <c r="M533" s="32">
        <v>3.88</v>
      </c>
      <c r="N533" s="31" t="s">
        <v>35</v>
      </c>
      <c r="O533" s="33">
        <v>45699</v>
      </c>
      <c r="P533" s="34">
        <v>912270.8125</v>
      </c>
      <c r="Q533" s="34">
        <v>850695.6875</v>
      </c>
      <c r="R533" s="34">
        <v>1014559.25</v>
      </c>
      <c r="S533" s="29" t="s">
        <v>177</v>
      </c>
      <c r="T533" s="33">
        <v>45446</v>
      </c>
      <c r="U533" s="35" t="b">
        <v>0</v>
      </c>
      <c r="V533" s="35" t="b">
        <v>0</v>
      </c>
      <c r="W533" s="35" t="b">
        <v>0</v>
      </c>
      <c r="Y533" s="31" cm="1">
        <f t="array" ref="Y533">IF(LEFT(_xll.BDP($C533, VOLUME_AVG_10D), 4) = "#N/A", "",  _xll.BDP($C533, VOLUME_AVG_10D))</f>
        <v>840531.5</v>
      </c>
      <c r="Z533" s="31" cm="1">
        <f t="array" ref="Z533">IF(LEFT(_xll.BDP($C533, VOLUME_AVG_30D), 4) = "#N/A", "",  _xll.BDP($C533, VOLUME_AVG_30D))</f>
        <v>912270.8125</v>
      </c>
      <c r="AA533" s="31" cm="1">
        <f t="array" ref="AA533">IF(LEFT(_xll.BDP($C533, VOLUME_AVG_3M), 4) = "#N/A", "",  _xll.BDP($C533, VOLUME_AVG_3M))</f>
        <v>850695.6875</v>
      </c>
      <c r="AB533" s="31" cm="1">
        <f t="array" ref="AB533">IF(LEFT(_xll.BDP($C533, VOLUME_AVG_6M), 4) = "#N/A", "",  _xll.BDP($C533, VOLUME_AVG_6M))</f>
        <v>1014559.25</v>
      </c>
      <c r="AC533" s="31" cm="1">
        <f t="array" ref="AC533">IF(LEFT(_xll.BDP($C533, VOLUME_AVG_12M), 4) = "#N/A", "",  _xll.BDP($C533, VOLUME_AVG_12M))</f>
        <v>897835.25</v>
      </c>
      <c r="AD533" s="41" cm="1">
        <f t="array" ref="AD533">IF(LEFT(_xll.BDP($C533, LAST_PRICE), 4) = "#N/A", "",  _xll.BDP($C533, LAST_PRICE))</f>
        <v>25.85</v>
      </c>
    </row>
    <row r="534" spans="1:30" x14ac:dyDescent="0.35">
      <c r="A534" s="1">
        <f t="shared" si="8"/>
        <v>531</v>
      </c>
      <c r="B534" s="28">
        <v>45700</v>
      </c>
      <c r="C534" s="29" t="s">
        <v>1117</v>
      </c>
      <c r="D534" s="29" t="s">
        <v>1117</v>
      </c>
      <c r="E534" s="29" t="s">
        <v>1118</v>
      </c>
      <c r="F534" s="29" t="s">
        <v>33</v>
      </c>
      <c r="G534" s="30" t="s">
        <v>34</v>
      </c>
      <c r="H534" s="31">
        <v>98232242.533440098</v>
      </c>
      <c r="I534" s="31">
        <v>-128367757.46656001</v>
      </c>
      <c r="J534" s="32">
        <v>1.1900000572204601</v>
      </c>
      <c r="K534" s="33">
        <v>45700</v>
      </c>
      <c r="L534" s="31">
        <v>12059600</v>
      </c>
      <c r="M534" s="32">
        <v>3.88</v>
      </c>
      <c r="N534" s="31" t="s">
        <v>35</v>
      </c>
      <c r="O534" s="33">
        <v>45699</v>
      </c>
      <c r="P534" s="34">
        <v>2275678.75</v>
      </c>
      <c r="Q534" s="34">
        <v>2575193.75</v>
      </c>
      <c r="R534" s="34">
        <v>2258646.5</v>
      </c>
      <c r="S534" s="29" t="s">
        <v>68</v>
      </c>
      <c r="T534" s="33">
        <v>45446</v>
      </c>
      <c r="U534" s="35" t="b">
        <v>0</v>
      </c>
      <c r="V534" s="35" t="b">
        <v>0</v>
      </c>
      <c r="W534" s="35" t="b">
        <v>1</v>
      </c>
      <c r="Y534" s="31" cm="1">
        <f t="array" ref="Y534">IF(LEFT(_xll.BDP($C534, VOLUME_AVG_10D), 4) = "#N/A", "",  _xll.BDP($C534, VOLUME_AVG_10D))</f>
        <v>1388744.25</v>
      </c>
      <c r="Z534" s="31" cm="1">
        <f t="array" ref="Z534">IF(LEFT(_xll.BDP($C534, VOLUME_AVG_30D), 4) = "#N/A", "",  _xll.BDP($C534, VOLUME_AVG_30D))</f>
        <v>2275678.75</v>
      </c>
      <c r="AA534" s="31" cm="1">
        <f t="array" ref="AA534">IF(LEFT(_xll.BDP($C534, VOLUME_AVG_3M), 4) = "#N/A", "",  _xll.BDP($C534, VOLUME_AVG_3M))</f>
        <v>2575193.75</v>
      </c>
      <c r="AB534" s="31" cm="1">
        <f t="array" ref="AB534">IF(LEFT(_xll.BDP($C534, VOLUME_AVG_6M), 4) = "#N/A", "",  _xll.BDP($C534, VOLUME_AVG_6M))</f>
        <v>2258646.5</v>
      </c>
      <c r="AC534" s="31" cm="1">
        <f t="array" ref="AC534">IF(LEFT(_xll.BDP($C534, VOLUME_AVG_12M), 4) = "#N/A", "",  _xll.BDP($C534, VOLUME_AVG_12M))</f>
        <v>2144834.25</v>
      </c>
      <c r="AD534" s="41" cm="1">
        <f t="array" ref="AD534">IF(LEFT(_xll.BDP($C534, LAST_PRICE), 4) = "#N/A", "",  _xll.BDP($C534, LAST_PRICE))</f>
        <v>1.19</v>
      </c>
    </row>
    <row r="535" spans="1:30" x14ac:dyDescent="0.35">
      <c r="A535" s="1">
        <f t="shared" si="8"/>
        <v>532</v>
      </c>
      <c r="B535" s="28">
        <v>45700</v>
      </c>
      <c r="C535" s="29" t="s">
        <v>1119</v>
      </c>
      <c r="D535" s="29" t="s">
        <v>1119</v>
      </c>
      <c r="E535" s="29" t="s">
        <v>1120</v>
      </c>
      <c r="F535" s="29" t="s">
        <v>33</v>
      </c>
      <c r="G535" s="30" t="s">
        <v>34</v>
      </c>
      <c r="H535" s="31">
        <v>940.8818</v>
      </c>
      <c r="I535" s="31">
        <v>-25329059.1182</v>
      </c>
      <c r="J535" s="32">
        <v>2.0000000000000001E-4</v>
      </c>
      <c r="K535" s="33">
        <v>45700</v>
      </c>
      <c r="L535" s="31"/>
      <c r="M535" s="32"/>
      <c r="N535" s="31"/>
      <c r="O535" s="33">
        <v>45699</v>
      </c>
      <c r="P535" s="34">
        <v>7330.13330078125</v>
      </c>
      <c r="Q535" s="34">
        <v>10084.1611328125</v>
      </c>
      <c r="R535" s="34">
        <v>23792.74609375</v>
      </c>
      <c r="S535" s="29"/>
      <c r="T535" s="33"/>
      <c r="U535" s="35" t="b">
        <v>1</v>
      </c>
      <c r="V535" s="35" t="b">
        <v>1</v>
      </c>
      <c r="W535" s="35" t="b">
        <v>1</v>
      </c>
      <c r="Y535" s="31" cm="1">
        <f t="array" ref="Y535">IF(LEFT(_xll.BDP($C535, VOLUME_AVG_10D), 4) = "#N/A", "",  _xll.BDP($C535, VOLUME_AVG_10D))</f>
        <v>711.5999755859375</v>
      </c>
      <c r="Z535" s="31" cm="1">
        <f t="array" ref="Z535">IF(LEFT(_xll.BDP($C535, VOLUME_AVG_30D), 4) = "#N/A", "",  _xll.BDP($C535, VOLUME_AVG_30D))</f>
        <v>7330.13330078125</v>
      </c>
      <c r="AA535" s="31" cm="1">
        <f t="array" ref="AA535">IF(LEFT(_xll.BDP($C535, VOLUME_AVG_3M), 4) = "#N/A", "",  _xll.BDP($C535, VOLUME_AVG_3M))</f>
        <v>10084.1611328125</v>
      </c>
      <c r="AB535" s="31" cm="1">
        <f t="array" ref="AB535">IF(LEFT(_xll.BDP($C535, VOLUME_AVG_6M), 4) = "#N/A", "",  _xll.BDP($C535, VOLUME_AVG_6M))</f>
        <v>23792.74609375</v>
      </c>
      <c r="AC535" s="31" cm="1">
        <f t="array" ref="AC535">IF(LEFT(_xll.BDP($C535, VOLUME_AVG_12M), 4) = "#N/A", "",  _xll.BDP($C535, VOLUME_AVG_12M))</f>
        <v>258610.53125</v>
      </c>
      <c r="AD535" s="41" cm="1">
        <f t="array" ref="AD535">IF(LEFT(_xll.BDP($C535, LAST_PRICE), 4) = "#N/A", "",  _xll.BDP($C535, LAST_PRICE))</f>
        <v>2.0000000000000001E-4</v>
      </c>
    </row>
    <row r="536" spans="1:30" x14ac:dyDescent="0.35">
      <c r="A536" s="1">
        <f t="shared" si="8"/>
        <v>533</v>
      </c>
      <c r="B536" s="28">
        <v>45700</v>
      </c>
      <c r="C536" s="29" t="s">
        <v>1121</v>
      </c>
      <c r="D536" s="29" t="s">
        <v>1121</v>
      </c>
      <c r="E536" s="29" t="s">
        <v>1122</v>
      </c>
      <c r="F536" s="29" t="s">
        <v>33</v>
      </c>
      <c r="G536" s="30" t="s">
        <v>34</v>
      </c>
      <c r="H536" s="31">
        <v>12209094.9523446</v>
      </c>
      <c r="I536" s="31">
        <v>10263094.9523446</v>
      </c>
      <c r="J536" s="32">
        <v>0.55500000715255704</v>
      </c>
      <c r="K536" s="33">
        <v>45700</v>
      </c>
      <c r="L536" s="31">
        <v>470000</v>
      </c>
      <c r="M536" s="32">
        <v>-6.8</v>
      </c>
      <c r="N536" s="31" t="s">
        <v>35</v>
      </c>
      <c r="O536" s="33">
        <v>45699</v>
      </c>
      <c r="P536" s="34">
        <v>2130037.25</v>
      </c>
      <c r="Q536" s="34">
        <v>1097089.25</v>
      </c>
      <c r="R536" s="34">
        <v>579134.3125</v>
      </c>
      <c r="S536" s="29"/>
      <c r="T536" s="33"/>
      <c r="U536" s="35" t="b">
        <v>1</v>
      </c>
      <c r="V536" s="35" t="b">
        <v>0</v>
      </c>
      <c r="W536" s="35" t="b">
        <v>0</v>
      </c>
      <c r="Y536" s="31" cm="1">
        <f t="array" ref="Y536">IF(LEFT(_xll.BDP($C536, VOLUME_AVG_10D), 4) = "#N/A", "",  _xll.BDP($C536, VOLUME_AVG_10D))</f>
        <v>363111.40625</v>
      </c>
      <c r="Z536" s="31" cm="1">
        <f t="array" ref="Z536">IF(LEFT(_xll.BDP($C536, VOLUME_AVG_30D), 4) = "#N/A", "",  _xll.BDP($C536, VOLUME_AVG_30D))</f>
        <v>2130037.25</v>
      </c>
      <c r="AA536" s="31" cm="1">
        <f t="array" ref="AA536">IF(LEFT(_xll.BDP($C536, VOLUME_AVG_3M), 4) = "#N/A", "",  _xll.BDP($C536, VOLUME_AVG_3M))</f>
        <v>1097089.25</v>
      </c>
      <c r="AB536" s="31" cm="1">
        <f t="array" ref="AB536">IF(LEFT(_xll.BDP($C536, VOLUME_AVG_6M), 4) = "#N/A", "",  _xll.BDP($C536, VOLUME_AVG_6M))</f>
        <v>579134.3125</v>
      </c>
      <c r="AC536" s="31" cm="1">
        <f t="array" ref="AC536">IF(LEFT(_xll.BDP($C536, VOLUME_AVG_12M), 4) = "#N/A", "",  _xll.BDP($C536, VOLUME_AVG_12M))</f>
        <v>342775.53125</v>
      </c>
      <c r="AD536" s="41" cm="1">
        <f t="array" ref="AD536">IF(LEFT(_xll.BDP($C536, LAST_PRICE), 4) = "#N/A", "",  _xll.BDP($C536, LAST_PRICE))</f>
        <v>0.55500000000000005</v>
      </c>
    </row>
    <row r="537" spans="1:30" x14ac:dyDescent="0.35">
      <c r="A537" s="1">
        <f t="shared" si="8"/>
        <v>534</v>
      </c>
      <c r="B537" s="28">
        <v>45700</v>
      </c>
      <c r="C537" s="29" t="s">
        <v>1123</v>
      </c>
      <c r="D537" s="29" t="s">
        <v>1123</v>
      </c>
      <c r="E537" s="29" t="s">
        <v>1124</v>
      </c>
      <c r="F537" s="29" t="s">
        <v>33</v>
      </c>
      <c r="G537" s="30" t="s">
        <v>34</v>
      </c>
      <c r="H537" s="31">
        <v>5625735011.6141901</v>
      </c>
      <c r="I537" s="31">
        <v>9492735011.6141891</v>
      </c>
      <c r="J537" s="32">
        <v>11.3800001144409</v>
      </c>
      <c r="K537" s="33">
        <v>45700</v>
      </c>
      <c r="L537" s="31">
        <v>189061200</v>
      </c>
      <c r="M537" s="32">
        <v>3.88</v>
      </c>
      <c r="N537" s="31" t="s">
        <v>35</v>
      </c>
      <c r="O537" s="33">
        <v>45699</v>
      </c>
      <c r="P537" s="34">
        <v>4476991</v>
      </c>
      <c r="Q537" s="34">
        <v>4550629.5</v>
      </c>
      <c r="R537" s="34">
        <v>4560938.5</v>
      </c>
      <c r="S537" s="29" t="s">
        <v>1125</v>
      </c>
      <c r="T537" s="33">
        <v>45446</v>
      </c>
      <c r="U537" s="35" t="b">
        <v>0</v>
      </c>
      <c r="V537" s="35" t="b">
        <v>0</v>
      </c>
      <c r="W537" s="35" t="b">
        <v>0</v>
      </c>
      <c r="Y537" s="31" cm="1">
        <f t="array" ref="Y537">IF(LEFT(_xll.BDP($C537, VOLUME_AVG_10D), 4) = "#N/A", "",  _xll.BDP($C537, VOLUME_AVG_10D))</f>
        <v>5166065.5</v>
      </c>
      <c r="Z537" s="31" cm="1">
        <f t="array" ref="Z537">IF(LEFT(_xll.BDP($C537, VOLUME_AVG_30D), 4) = "#N/A", "",  _xll.BDP($C537, VOLUME_AVG_30D))</f>
        <v>4476991</v>
      </c>
      <c r="AA537" s="31" cm="1">
        <f t="array" ref="AA537">IF(LEFT(_xll.BDP($C537, VOLUME_AVG_3M), 4) = "#N/A", "",  _xll.BDP($C537, VOLUME_AVG_3M))</f>
        <v>4550629.5</v>
      </c>
      <c r="AB537" s="31" cm="1">
        <f t="array" ref="AB537">IF(LEFT(_xll.BDP($C537, VOLUME_AVG_6M), 4) = "#N/A", "",  _xll.BDP($C537, VOLUME_AVG_6M))</f>
        <v>4560938.5</v>
      </c>
      <c r="AC537" s="31" cm="1">
        <f t="array" ref="AC537">IF(LEFT(_xll.BDP($C537, VOLUME_AVG_12M), 4) = "#N/A", "",  _xll.BDP($C537, VOLUME_AVG_12M))</f>
        <v>4710614.5</v>
      </c>
      <c r="AD537" s="41" cm="1">
        <f t="array" ref="AD537">IF(LEFT(_xll.BDP($C537, LAST_PRICE), 4) = "#N/A", "",  _xll.BDP($C537, LAST_PRICE))</f>
        <v>11.38</v>
      </c>
    </row>
    <row r="538" spans="1:30" x14ac:dyDescent="0.35">
      <c r="A538" s="1">
        <f t="shared" si="8"/>
        <v>535</v>
      </c>
      <c r="B538" s="28">
        <v>45700</v>
      </c>
      <c r="C538" s="29" t="s">
        <v>1126</v>
      </c>
      <c r="D538" s="29" t="s">
        <v>1126</v>
      </c>
      <c r="E538" s="29" t="s">
        <v>1127</v>
      </c>
      <c r="F538" s="29" t="s">
        <v>33</v>
      </c>
      <c r="G538" s="30" t="s">
        <v>34</v>
      </c>
      <c r="H538" s="31">
        <v>110692384.223906</v>
      </c>
      <c r="I538" s="31">
        <v>101786384.223906</v>
      </c>
      <c r="J538" s="32">
        <v>16.629999160766602</v>
      </c>
      <c r="K538" s="33">
        <v>45700</v>
      </c>
      <c r="L538" s="31">
        <v>500000</v>
      </c>
      <c r="M538" s="32">
        <v>3.88</v>
      </c>
      <c r="N538" s="31" t="s">
        <v>35</v>
      </c>
      <c r="O538" s="33">
        <v>45699</v>
      </c>
      <c r="P538" s="34">
        <v>95450.6015625</v>
      </c>
      <c r="Q538" s="34">
        <v>122444.46875</v>
      </c>
      <c r="R538" s="34">
        <v>85318.8984375</v>
      </c>
      <c r="S538" s="29"/>
      <c r="T538" s="33"/>
      <c r="U538" s="35" t="b">
        <v>0</v>
      </c>
      <c r="V538" s="35" t="b">
        <v>0</v>
      </c>
      <c r="W538" s="35" t="b">
        <v>0</v>
      </c>
      <c r="Y538" s="31" cm="1">
        <f t="array" ref="Y538">IF(LEFT(_xll.BDP($C538, VOLUME_AVG_10D), 4) = "#N/A", "",  _xll.BDP($C538, VOLUME_AVG_10D))</f>
        <v>76563.296875</v>
      </c>
      <c r="Z538" s="31" cm="1">
        <f t="array" ref="Z538">IF(LEFT(_xll.BDP($C538, VOLUME_AVG_30D), 4) = "#N/A", "",  _xll.BDP($C538, VOLUME_AVG_30D))</f>
        <v>95450.6015625</v>
      </c>
      <c r="AA538" s="31" cm="1">
        <f t="array" ref="AA538">IF(LEFT(_xll.BDP($C538, VOLUME_AVG_3M), 4) = "#N/A", "",  _xll.BDP($C538, VOLUME_AVG_3M))</f>
        <v>122444.46875</v>
      </c>
      <c r="AB538" s="31" cm="1">
        <f t="array" ref="AB538">IF(LEFT(_xll.BDP($C538, VOLUME_AVG_6M), 4) = "#N/A", "",  _xll.BDP($C538, VOLUME_AVG_6M))</f>
        <v>85318.8984375</v>
      </c>
      <c r="AC538" s="31" cm="1">
        <f t="array" ref="AC538">IF(LEFT(_xll.BDP($C538, VOLUME_AVG_12M), 4) = "#N/A", "",  _xll.BDP($C538, VOLUME_AVG_12M))</f>
        <v>47823.13671875</v>
      </c>
      <c r="AD538" s="41" cm="1">
        <f t="array" ref="AD538">IF(LEFT(_xll.BDP($C538, LAST_PRICE), 4) = "#N/A", "",  _xll.BDP($C538, LAST_PRICE))</f>
        <v>16.63</v>
      </c>
    </row>
    <row r="539" spans="1:30" x14ac:dyDescent="0.35">
      <c r="A539" s="1">
        <f t="shared" si="8"/>
        <v>536</v>
      </c>
      <c r="B539" s="28">
        <v>45700</v>
      </c>
      <c r="C539" s="29" t="s">
        <v>1128</v>
      </c>
      <c r="D539" s="29" t="s">
        <v>1128</v>
      </c>
      <c r="E539" s="29" t="s">
        <v>1129</v>
      </c>
      <c r="F539" s="29" t="s">
        <v>33</v>
      </c>
      <c r="G539" s="30" t="s">
        <v>34</v>
      </c>
      <c r="H539" s="31">
        <v>284771757.87463403</v>
      </c>
      <c r="I539" s="31">
        <v>268536757.87463403</v>
      </c>
      <c r="J539" s="32">
        <v>33.279998779296903</v>
      </c>
      <c r="K539" s="33">
        <v>45700</v>
      </c>
      <c r="L539" s="31">
        <v>1263400</v>
      </c>
      <c r="M539" s="32">
        <v>3.88</v>
      </c>
      <c r="N539" s="31" t="s">
        <v>35</v>
      </c>
      <c r="O539" s="33">
        <v>45699</v>
      </c>
      <c r="P539" s="34">
        <v>97577.1640625</v>
      </c>
      <c r="Q539" s="34">
        <v>109398.0625</v>
      </c>
      <c r="R539" s="34">
        <v>86320.046875</v>
      </c>
      <c r="S539" s="29"/>
      <c r="T539" s="33"/>
      <c r="U539" s="35" t="b">
        <v>0</v>
      </c>
      <c r="V539" s="35" t="b">
        <v>0</v>
      </c>
      <c r="W539" s="35" t="b">
        <v>0</v>
      </c>
      <c r="Y539" s="31" cm="1">
        <f t="array" ref="Y539">IF(LEFT(_xll.BDP($C539, VOLUME_AVG_10D), 4) = "#N/A", "",  _xll.BDP($C539, VOLUME_AVG_10D))</f>
        <v>109344.5</v>
      </c>
      <c r="Z539" s="31" cm="1">
        <f t="array" ref="Z539">IF(LEFT(_xll.BDP($C539, VOLUME_AVG_30D), 4) = "#N/A", "",  _xll.BDP($C539, VOLUME_AVG_30D))</f>
        <v>97577.1640625</v>
      </c>
      <c r="AA539" s="31" cm="1">
        <f t="array" ref="AA539">IF(LEFT(_xll.BDP($C539, VOLUME_AVG_3M), 4) = "#N/A", "",  _xll.BDP($C539, VOLUME_AVG_3M))</f>
        <v>109398.0625</v>
      </c>
      <c r="AB539" s="31" cm="1">
        <f t="array" ref="AB539">IF(LEFT(_xll.BDP($C539, VOLUME_AVG_6M), 4) = "#N/A", "",  _xll.BDP($C539, VOLUME_AVG_6M))</f>
        <v>86320.046875</v>
      </c>
      <c r="AC539" s="31" cm="1">
        <f t="array" ref="AC539">IF(LEFT(_xll.BDP($C539, VOLUME_AVG_12M), 4) = "#N/A", "",  _xll.BDP($C539, VOLUME_AVG_12M))</f>
        <v>59218.6875</v>
      </c>
      <c r="AD539" s="41" cm="1">
        <f t="array" ref="AD539">IF(LEFT(_xll.BDP($C539, LAST_PRICE), 4) = "#N/A", "",  _xll.BDP($C539, LAST_PRICE))</f>
        <v>33.28</v>
      </c>
    </row>
    <row r="540" spans="1:30" x14ac:dyDescent="0.35">
      <c r="A540" s="1">
        <f t="shared" si="8"/>
        <v>537</v>
      </c>
      <c r="B540" s="28">
        <v>45700</v>
      </c>
      <c r="C540" s="29" t="s">
        <v>1130</v>
      </c>
      <c r="D540" s="29" t="s">
        <v>1130</v>
      </c>
      <c r="E540" s="29" t="s">
        <v>1131</v>
      </c>
      <c r="F540" s="29" t="s">
        <v>33</v>
      </c>
      <c r="G540" s="30" t="s">
        <v>34</v>
      </c>
      <c r="H540" s="31">
        <v>268826737.5</v>
      </c>
      <c r="I540" s="31">
        <v>191136737.5</v>
      </c>
      <c r="J540" s="32">
        <v>4.5</v>
      </c>
      <c r="K540" s="33">
        <v>45700</v>
      </c>
      <c r="L540" s="31">
        <v>5908800</v>
      </c>
      <c r="M540" s="32">
        <v>3.88</v>
      </c>
      <c r="N540" s="31" t="s">
        <v>35</v>
      </c>
      <c r="O540" s="33">
        <v>45699</v>
      </c>
      <c r="P540" s="34">
        <v>333330.3125</v>
      </c>
      <c r="Q540" s="34">
        <v>407872.9375</v>
      </c>
      <c r="R540" s="34">
        <v>366225.6875</v>
      </c>
      <c r="S540" s="29"/>
      <c r="T540" s="33"/>
      <c r="U540" s="35" t="b">
        <v>0</v>
      </c>
      <c r="V540" s="35" t="b">
        <v>0</v>
      </c>
      <c r="W540" s="35" t="b">
        <v>0</v>
      </c>
      <c r="Y540" s="31" cm="1">
        <f t="array" ref="Y540">IF(LEFT(_xll.BDP($C540, VOLUME_AVG_10D), 4) = "#N/A", "",  _xll.BDP($C540, VOLUME_AVG_10D))</f>
        <v>244433.703125</v>
      </c>
      <c r="Z540" s="31" cm="1">
        <f t="array" ref="Z540">IF(LEFT(_xll.BDP($C540, VOLUME_AVG_30D), 4) = "#N/A", "",  _xll.BDP($C540, VOLUME_AVG_30D))</f>
        <v>333330.3125</v>
      </c>
      <c r="AA540" s="31" cm="1">
        <f t="array" ref="AA540">IF(LEFT(_xll.BDP($C540, VOLUME_AVG_3M), 4) = "#N/A", "",  _xll.BDP($C540, VOLUME_AVG_3M))</f>
        <v>407872.9375</v>
      </c>
      <c r="AB540" s="31" cm="1">
        <f t="array" ref="AB540">IF(LEFT(_xll.BDP($C540, VOLUME_AVG_6M), 4) = "#N/A", "",  _xll.BDP($C540, VOLUME_AVG_6M))</f>
        <v>366225.6875</v>
      </c>
      <c r="AC540" s="31" cm="1">
        <f t="array" ref="AC540">IF(LEFT(_xll.BDP($C540, VOLUME_AVG_12M), 4) = "#N/A", "",  _xll.BDP($C540, VOLUME_AVG_12M))</f>
        <v>259778.921875</v>
      </c>
      <c r="AD540" s="41" cm="1">
        <f t="array" ref="AD540">IF(LEFT(_xll.BDP($C540, LAST_PRICE), 4) = "#N/A", "",  _xll.BDP($C540, LAST_PRICE))</f>
        <v>4.5</v>
      </c>
    </row>
    <row r="541" spans="1:30" x14ac:dyDescent="0.35">
      <c r="A541" s="1">
        <f t="shared" si="8"/>
        <v>538</v>
      </c>
      <c r="B541" s="28">
        <v>45700</v>
      </c>
      <c r="C541" s="29" t="s">
        <v>1132</v>
      </c>
      <c r="D541" s="29" t="s">
        <v>1132</v>
      </c>
      <c r="E541" s="29" t="s">
        <v>1133</v>
      </c>
      <c r="F541" s="29" t="s">
        <v>33</v>
      </c>
      <c r="G541" s="30" t="s">
        <v>34</v>
      </c>
      <c r="H541" s="31">
        <v>89443353682.2267</v>
      </c>
      <c r="I541" s="31">
        <v>86105353682.2267</v>
      </c>
      <c r="J541" s="32">
        <v>385.66000366210898</v>
      </c>
      <c r="K541" s="33">
        <v>45700</v>
      </c>
      <c r="L541" s="31">
        <v>72252800</v>
      </c>
      <c r="M541" s="32">
        <v>3.88</v>
      </c>
      <c r="N541" s="31" t="s">
        <v>35</v>
      </c>
      <c r="O541" s="33">
        <v>45699</v>
      </c>
      <c r="P541" s="34">
        <v>1626932.25</v>
      </c>
      <c r="Q541" s="34">
        <v>1788555.625</v>
      </c>
      <c r="R541" s="34">
        <v>1576524.75</v>
      </c>
      <c r="S541" s="29"/>
      <c r="T541" s="33"/>
      <c r="U541" s="35" t="b">
        <v>0</v>
      </c>
      <c r="V541" s="35" t="b">
        <v>0</v>
      </c>
      <c r="W541" s="35" t="b">
        <v>0</v>
      </c>
      <c r="Y541" s="31" cm="1">
        <f t="array" ref="Y541">IF(LEFT(_xll.BDP($C541, VOLUME_AVG_10D), 4) = "#N/A", "",  _xll.BDP($C541, VOLUME_AVG_10D))</f>
        <v>1329190.625</v>
      </c>
      <c r="Z541" s="31" cm="1">
        <f t="array" ref="Z541">IF(LEFT(_xll.BDP($C541, VOLUME_AVG_30D), 4) = "#N/A", "",  _xll.BDP($C541, VOLUME_AVG_30D))</f>
        <v>1626932.25</v>
      </c>
      <c r="AA541" s="31" cm="1">
        <f t="array" ref="AA541">IF(LEFT(_xll.BDP($C541, VOLUME_AVG_3M), 4) = "#N/A", "",  _xll.BDP($C541, VOLUME_AVG_3M))</f>
        <v>1788555.625</v>
      </c>
      <c r="AB541" s="31" cm="1">
        <f t="array" ref="AB541">IF(LEFT(_xll.BDP($C541, VOLUME_AVG_6M), 4) = "#N/A", "",  _xll.BDP($C541, VOLUME_AVG_6M))</f>
        <v>1576524.75</v>
      </c>
      <c r="AC541" s="31" cm="1">
        <f t="array" ref="AC541">IF(LEFT(_xll.BDP($C541, VOLUME_AVG_12M), 4) = "#N/A", "",  _xll.BDP($C541, VOLUME_AVG_12M))</f>
        <v>1300511.875</v>
      </c>
      <c r="AD541" s="41" cm="1">
        <f t="array" ref="AD541">IF(LEFT(_xll.BDP($C541, LAST_PRICE), 4) = "#N/A", "",  _xll.BDP($C541, LAST_PRICE))</f>
        <v>385.66</v>
      </c>
    </row>
    <row r="542" spans="1:30" x14ac:dyDescent="0.35">
      <c r="A542" s="1">
        <f t="shared" si="8"/>
        <v>539</v>
      </c>
      <c r="B542" s="28">
        <v>45700</v>
      </c>
      <c r="C542" s="29" t="s">
        <v>1134</v>
      </c>
      <c r="D542" s="29" t="s">
        <v>1134</v>
      </c>
      <c r="E542" s="29" t="s">
        <v>1135</v>
      </c>
      <c r="F542" s="29" t="s">
        <v>33</v>
      </c>
      <c r="G542" s="30" t="s">
        <v>34</v>
      </c>
      <c r="H542" s="31">
        <v>36600605.450783402</v>
      </c>
      <c r="I542" s="31">
        <v>-16369394.5492166</v>
      </c>
      <c r="J542" s="32">
        <v>0.61909997463226296</v>
      </c>
      <c r="K542" s="33">
        <v>45700</v>
      </c>
      <c r="L542" s="31">
        <v>4674000</v>
      </c>
      <c r="M542" s="32">
        <v>3.55</v>
      </c>
      <c r="N542" s="31" t="s">
        <v>35</v>
      </c>
      <c r="O542" s="33">
        <v>45699</v>
      </c>
      <c r="P542" s="34">
        <v>3412744</v>
      </c>
      <c r="Q542" s="34">
        <v>2063558.125</v>
      </c>
      <c r="R542" s="34">
        <v>1406698.75</v>
      </c>
      <c r="S542" s="29" t="s">
        <v>46</v>
      </c>
      <c r="T542" s="33">
        <v>45446</v>
      </c>
      <c r="U542" s="35" t="b">
        <v>0</v>
      </c>
      <c r="V542" s="35" t="b">
        <v>0</v>
      </c>
      <c r="W542" s="35" t="b">
        <v>1</v>
      </c>
      <c r="Y542" s="31" cm="1">
        <f t="array" ref="Y542">IF(LEFT(_xll.BDP($C542, VOLUME_AVG_10D), 4) = "#N/A", "",  _xll.BDP($C542, VOLUME_AVG_10D))</f>
        <v>1298352.5</v>
      </c>
      <c r="Z542" s="31" cm="1">
        <f t="array" ref="Z542">IF(LEFT(_xll.BDP($C542, VOLUME_AVG_30D), 4) = "#N/A", "",  _xll.BDP($C542, VOLUME_AVG_30D))</f>
        <v>3412744</v>
      </c>
      <c r="AA542" s="31" cm="1">
        <f t="array" ref="AA542">IF(LEFT(_xll.BDP($C542, VOLUME_AVG_3M), 4) = "#N/A", "",  _xll.BDP($C542, VOLUME_AVG_3M))</f>
        <v>2063558.125</v>
      </c>
      <c r="AB542" s="31" cm="1">
        <f t="array" ref="AB542">IF(LEFT(_xll.BDP($C542, VOLUME_AVG_6M), 4) = "#N/A", "",  _xll.BDP($C542, VOLUME_AVG_6M))</f>
        <v>1406698.75</v>
      </c>
      <c r="AC542" s="31" cm="1">
        <f t="array" ref="AC542">IF(LEFT(_xll.BDP($C542, VOLUME_AVG_12M), 4) = "#N/A", "",  _xll.BDP($C542, VOLUME_AVG_12M))</f>
        <v>1249624.375</v>
      </c>
      <c r="AD542" s="41" cm="1">
        <f t="array" ref="AD542">IF(LEFT(_xll.BDP($C542, LAST_PRICE), 4) = "#N/A", "",  _xll.BDP($C542, LAST_PRICE))</f>
        <v>0.61909999999999998</v>
      </c>
    </row>
    <row r="543" spans="1:30" x14ac:dyDescent="0.35">
      <c r="A543" s="1">
        <f t="shared" si="8"/>
        <v>540</v>
      </c>
      <c r="B543" s="28">
        <v>45700</v>
      </c>
      <c r="C543" s="29" t="s">
        <v>1136</v>
      </c>
      <c r="D543" s="29" t="s">
        <v>1136</v>
      </c>
      <c r="E543" s="29" t="s">
        <v>1137</v>
      </c>
      <c r="F543" s="29" t="s">
        <v>33</v>
      </c>
      <c r="G543" s="30" t="s">
        <v>34</v>
      </c>
      <c r="H543" s="31">
        <v>828724093579.19702</v>
      </c>
      <c r="I543" s="31"/>
      <c r="J543" s="32">
        <v>872.969970703125</v>
      </c>
      <c r="K543" s="33">
        <v>45700</v>
      </c>
      <c r="L543" s="31">
        <v>220041104</v>
      </c>
      <c r="M543" s="32">
        <v>3.88</v>
      </c>
      <c r="N543" s="31" t="s">
        <v>35</v>
      </c>
      <c r="O543" s="33">
        <v>45699</v>
      </c>
      <c r="P543" s="34">
        <v>3716815.25</v>
      </c>
      <c r="Q543" s="34">
        <v>3857880</v>
      </c>
      <c r="R543" s="34">
        <v>3507589.25</v>
      </c>
      <c r="S543" s="29"/>
      <c r="T543" s="33"/>
      <c r="U543" s="35" t="b">
        <v>0</v>
      </c>
      <c r="V543" s="35" t="b">
        <v>0</v>
      </c>
      <c r="W543" s="35" t="b">
        <v>1</v>
      </c>
      <c r="Y543" s="31" cm="1">
        <f t="array" ref="Y543">IF(LEFT(_xll.BDP($C543, VOLUME_AVG_10D), 4) = "#N/A", "",  _xll.BDP($C543, VOLUME_AVG_10D))</f>
        <v>3529545.5</v>
      </c>
      <c r="Z543" s="31" cm="1">
        <f t="array" ref="Z543">IF(LEFT(_xll.BDP($C543, VOLUME_AVG_30D), 4) = "#N/A", "",  _xll.BDP($C543, VOLUME_AVG_30D))</f>
        <v>3716815.25</v>
      </c>
      <c r="AA543" s="31" cm="1">
        <f t="array" ref="AA543">IF(LEFT(_xll.BDP($C543, VOLUME_AVG_3M), 4) = "#N/A", "",  _xll.BDP($C543, VOLUME_AVG_3M))</f>
        <v>3857880</v>
      </c>
      <c r="AB543" s="31" cm="1">
        <f t="array" ref="AB543">IF(LEFT(_xll.BDP($C543, VOLUME_AVG_6M), 4) = "#N/A", "",  _xll.BDP($C543, VOLUME_AVG_6M))</f>
        <v>3507589.25</v>
      </c>
      <c r="AC543" s="31" cm="1">
        <f t="array" ref="AC543">IF(LEFT(_xll.BDP($C543, VOLUME_AVG_12M), 4) = "#N/A", "",  _xll.BDP($C543, VOLUME_AVG_12M))</f>
        <v>3259696.25</v>
      </c>
      <c r="AD543" s="41" cm="1">
        <f t="array" ref="AD543">IF(LEFT(_xll.BDP($C543, LAST_PRICE), 4) = "#N/A", "",  _xll.BDP($C543, LAST_PRICE))</f>
        <v>872.97</v>
      </c>
    </row>
    <row r="544" spans="1:30" x14ac:dyDescent="0.35">
      <c r="A544" s="1">
        <f t="shared" si="8"/>
        <v>541</v>
      </c>
      <c r="B544" s="28">
        <v>45700</v>
      </c>
      <c r="C544" s="29" t="s">
        <v>1138</v>
      </c>
      <c r="D544" s="29" t="s">
        <v>1138</v>
      </c>
      <c r="E544" s="29" t="s">
        <v>1139</v>
      </c>
      <c r="F544" s="29" t="s">
        <v>33</v>
      </c>
      <c r="G544" s="30" t="s">
        <v>34</v>
      </c>
      <c r="H544" s="31">
        <v>90587476.410236806</v>
      </c>
      <c r="I544" s="31">
        <v>70786476.410236806</v>
      </c>
      <c r="J544" s="32">
        <v>7.5199999809265101</v>
      </c>
      <c r="K544" s="33">
        <v>45700</v>
      </c>
      <c r="L544" s="31">
        <v>492100</v>
      </c>
      <c r="M544" s="32">
        <v>2.4</v>
      </c>
      <c r="N544" s="31" t="s">
        <v>35</v>
      </c>
      <c r="O544" s="33">
        <v>45699</v>
      </c>
      <c r="P544" s="34">
        <v>50527.80078125</v>
      </c>
      <c r="Q544" s="34">
        <v>38968.2109375</v>
      </c>
      <c r="R544" s="34">
        <v>26555.19921875</v>
      </c>
      <c r="S544" s="29"/>
      <c r="T544" s="33"/>
      <c r="U544" s="35" t="b">
        <v>0</v>
      </c>
      <c r="V544" s="35" t="b">
        <v>0</v>
      </c>
      <c r="W544" s="35" t="b">
        <v>0</v>
      </c>
      <c r="Y544" s="31" cm="1">
        <f t="array" ref="Y544">IF(LEFT(_xll.BDP($C544, VOLUME_AVG_10D), 4) = "#N/A", "",  _xll.BDP($C544, VOLUME_AVG_10D))</f>
        <v>67467.3984375</v>
      </c>
      <c r="Z544" s="31" cm="1">
        <f t="array" ref="Z544">IF(LEFT(_xll.BDP($C544, VOLUME_AVG_30D), 4) = "#N/A", "",  _xll.BDP($C544, VOLUME_AVG_30D))</f>
        <v>50527.80078125</v>
      </c>
      <c r="AA544" s="31" cm="1">
        <f t="array" ref="AA544">IF(LEFT(_xll.BDP($C544, VOLUME_AVG_3M), 4) = "#N/A", "",  _xll.BDP($C544, VOLUME_AVG_3M))</f>
        <v>38968.2109375</v>
      </c>
      <c r="AB544" s="31" cm="1">
        <f t="array" ref="AB544">IF(LEFT(_xll.BDP($C544, VOLUME_AVG_6M), 4) = "#N/A", "",  _xll.BDP($C544, VOLUME_AVG_6M))</f>
        <v>26555.19921875</v>
      </c>
      <c r="AC544" s="31" cm="1">
        <f t="array" ref="AC544">IF(LEFT(_xll.BDP($C544, VOLUME_AVG_12M), 4) = "#N/A", "",  _xll.BDP($C544, VOLUME_AVG_12M))</f>
        <v>38484.83984375</v>
      </c>
      <c r="AD544" s="41" cm="1">
        <f t="array" ref="AD544">IF(LEFT(_xll.BDP($C544, LAST_PRICE), 4) = "#N/A", "",  _xll.BDP($C544, LAST_PRICE))</f>
        <v>7.52</v>
      </c>
    </row>
    <row r="545" spans="1:30" x14ac:dyDescent="0.35">
      <c r="A545" s="1">
        <f t="shared" si="8"/>
        <v>542</v>
      </c>
      <c r="B545" s="28">
        <v>45700</v>
      </c>
      <c r="C545" s="29" t="s">
        <v>1140</v>
      </c>
      <c r="D545" s="29" t="s">
        <v>1140</v>
      </c>
      <c r="E545" s="29" t="s">
        <v>1141</v>
      </c>
      <c r="F545" s="29" t="s">
        <v>33</v>
      </c>
      <c r="G545" s="30" t="s">
        <v>34</v>
      </c>
      <c r="H545" s="31">
        <v>585200013.35068798</v>
      </c>
      <c r="I545" s="31">
        <v>583041404.35068798</v>
      </c>
      <c r="J545" s="32">
        <v>0.54780000448226895</v>
      </c>
      <c r="K545" s="33">
        <v>45700</v>
      </c>
      <c r="L545" s="31">
        <v>9424200</v>
      </c>
      <c r="M545" s="32">
        <v>-6.8</v>
      </c>
      <c r="N545" s="31" t="s">
        <v>35</v>
      </c>
      <c r="O545" s="33">
        <v>45699</v>
      </c>
      <c r="P545" s="34">
        <v>1071176.125</v>
      </c>
      <c r="Q545" s="34">
        <v>1502714.625</v>
      </c>
      <c r="R545" s="34">
        <v>2400045.5</v>
      </c>
      <c r="S545" s="29"/>
      <c r="T545" s="33"/>
      <c r="U545" s="35" t="b">
        <v>0</v>
      </c>
      <c r="V545" s="35" t="b">
        <v>0</v>
      </c>
      <c r="W545" s="35" t="b">
        <v>0</v>
      </c>
      <c r="Y545" s="31" cm="1">
        <f t="array" ref="Y545">IF(LEFT(_xll.BDP($C545, VOLUME_AVG_10D), 4) = "#N/A", "",  _xll.BDP($C545, VOLUME_AVG_10D))</f>
        <v>722410.125</v>
      </c>
      <c r="Z545" s="31" cm="1">
        <f t="array" ref="Z545">IF(LEFT(_xll.BDP($C545, VOLUME_AVG_30D), 4) = "#N/A", "",  _xll.BDP($C545, VOLUME_AVG_30D))</f>
        <v>1071176.125</v>
      </c>
      <c r="AA545" s="31" cm="1">
        <f t="array" ref="AA545">IF(LEFT(_xll.BDP($C545, VOLUME_AVG_3M), 4) = "#N/A", "",  _xll.BDP($C545, VOLUME_AVG_3M))</f>
        <v>1502714.625</v>
      </c>
      <c r="AB545" s="31" cm="1">
        <f t="array" ref="AB545">IF(LEFT(_xll.BDP($C545, VOLUME_AVG_6M), 4) = "#N/A", "",  _xll.BDP($C545, VOLUME_AVG_6M))</f>
        <v>2400045.5</v>
      </c>
      <c r="AC545" s="31" cm="1">
        <f t="array" ref="AC545">IF(LEFT(_xll.BDP($C545, VOLUME_AVG_12M), 4) = "#N/A", "",  _xll.BDP($C545, VOLUME_AVG_12M))</f>
        <v>1592364.5</v>
      </c>
      <c r="AD545" s="41" cm="1">
        <f t="array" ref="AD545">IF(LEFT(_xll.BDP($C545, LAST_PRICE), 4) = "#N/A", "",  _xll.BDP($C545, LAST_PRICE))</f>
        <v>0.54779999999999995</v>
      </c>
    </row>
    <row r="546" spans="1:30" x14ac:dyDescent="0.35">
      <c r="A546" s="1">
        <f t="shared" si="8"/>
        <v>543</v>
      </c>
      <c r="B546" s="28">
        <v>45700</v>
      </c>
      <c r="C546" s="29" t="s">
        <v>1142</v>
      </c>
      <c r="D546" s="29" t="s">
        <v>1142</v>
      </c>
      <c r="E546" s="29" t="s">
        <v>1143</v>
      </c>
      <c r="F546" s="29" t="s">
        <v>33</v>
      </c>
      <c r="G546" s="30" t="s">
        <v>34</v>
      </c>
      <c r="H546" s="31"/>
      <c r="I546" s="31"/>
      <c r="J546" s="32">
        <v>9.9999999747524292E-7</v>
      </c>
      <c r="K546" s="33">
        <v>45700</v>
      </c>
      <c r="L546" s="31"/>
      <c r="M546" s="32"/>
      <c r="N546" s="31"/>
      <c r="O546" s="33">
        <v>45699</v>
      </c>
      <c r="P546" s="34">
        <v>201.60000610351599</v>
      </c>
      <c r="Q546" s="34">
        <v>701.741943359375</v>
      </c>
      <c r="R546" s="34">
        <v>2434.26977539063</v>
      </c>
      <c r="S546" s="29"/>
      <c r="T546" s="33"/>
      <c r="U546" s="35" t="b">
        <v>1</v>
      </c>
      <c r="V546" s="35" t="b">
        <v>1</v>
      </c>
      <c r="W546" s="35" t="b">
        <v>1</v>
      </c>
      <c r="Y546" s="31" cm="1">
        <f t="array" ref="Y546">IF(LEFT(_xll.BDP($C546, VOLUME_AVG_10D), 4) = "#N/A", "",  _xll.BDP($C546, VOLUME_AVG_10D))</f>
        <v>171.89999389648438</v>
      </c>
      <c r="Z546" s="31" cm="1">
        <f t="array" ref="Z546">IF(LEFT(_xll.BDP($C546, VOLUME_AVG_30D), 4) = "#N/A", "",  _xll.BDP($C546, VOLUME_AVG_30D))</f>
        <v>201.60000610351563</v>
      </c>
      <c r="AA546" s="31" cm="1">
        <f t="array" ref="AA546">IF(LEFT(_xll.BDP($C546, VOLUME_AVG_3M), 4) = "#N/A", "",  _xll.BDP($C546, VOLUME_AVG_3M))</f>
        <v>701.741943359375</v>
      </c>
      <c r="AB546" s="31" cm="1">
        <f t="array" ref="AB546">IF(LEFT(_xll.BDP($C546, VOLUME_AVG_6M), 4) = "#N/A", "",  _xll.BDP($C546, VOLUME_AVG_6M))</f>
        <v>2434.269775390625</v>
      </c>
      <c r="AC546" s="31" cm="1">
        <f t="array" ref="AC546">IF(LEFT(_xll.BDP($C546, VOLUME_AVG_12M), 4) = "#N/A", "",  _xll.BDP($C546, VOLUME_AVG_12M))</f>
        <v>4125.17138671875</v>
      </c>
      <c r="AD546" s="41" cm="1">
        <f t="array" ref="AD546">IF(LEFT(_xll.BDP($C546, LAST_PRICE), 4) = "#N/A", "",  _xll.BDP($C546, LAST_PRICE))</f>
        <v>0</v>
      </c>
    </row>
    <row r="547" spans="1:30" x14ac:dyDescent="0.35">
      <c r="A547" s="1">
        <f t="shared" si="8"/>
        <v>544</v>
      </c>
      <c r="B547" s="28">
        <v>45700</v>
      </c>
      <c r="C547" s="29" t="s">
        <v>1144</v>
      </c>
      <c r="D547" s="29" t="s">
        <v>1144</v>
      </c>
      <c r="E547" s="29" t="s">
        <v>1145</v>
      </c>
      <c r="F547" s="29" t="s">
        <v>33</v>
      </c>
      <c r="G547" s="30" t="s">
        <v>34</v>
      </c>
      <c r="H547" s="31">
        <v>112630693.086484</v>
      </c>
      <c r="I547" s="31">
        <v>120665693.086484</v>
      </c>
      <c r="J547" s="32">
        <v>2.8099999427795401</v>
      </c>
      <c r="K547" s="33">
        <v>45700</v>
      </c>
      <c r="L547" s="31">
        <v>1584000</v>
      </c>
      <c r="M547" s="32">
        <v>-24.05</v>
      </c>
      <c r="N547" s="31" t="s">
        <v>35</v>
      </c>
      <c r="O547" s="33">
        <v>45699</v>
      </c>
      <c r="P547" s="34">
        <v>34406</v>
      </c>
      <c r="Q547" s="34">
        <v>39863.87109375</v>
      </c>
      <c r="R547" s="34">
        <v>39435.82421875</v>
      </c>
      <c r="S547" s="29"/>
      <c r="T547" s="33"/>
      <c r="U547" s="35" t="b">
        <v>0</v>
      </c>
      <c r="V547" s="35" t="b">
        <v>0</v>
      </c>
      <c r="W547" s="35" t="b">
        <v>0</v>
      </c>
      <c r="Y547" s="31" cm="1">
        <f t="array" ref="Y547">IF(LEFT(_xll.BDP($C547, VOLUME_AVG_10D), 4) = "#N/A", "",  _xll.BDP($C547, VOLUME_AVG_10D))</f>
        <v>40954.1015625</v>
      </c>
      <c r="Z547" s="31" cm="1">
        <f t="array" ref="Z547">IF(LEFT(_xll.BDP($C547, VOLUME_AVG_30D), 4) = "#N/A", "",  _xll.BDP($C547, VOLUME_AVG_30D))</f>
        <v>34406</v>
      </c>
      <c r="AA547" s="31" cm="1">
        <f t="array" ref="AA547">IF(LEFT(_xll.BDP($C547, VOLUME_AVG_3M), 4) = "#N/A", "",  _xll.BDP($C547, VOLUME_AVG_3M))</f>
        <v>39863.87109375</v>
      </c>
      <c r="AB547" s="31" cm="1">
        <f t="array" ref="AB547">IF(LEFT(_xll.BDP($C547, VOLUME_AVG_6M), 4) = "#N/A", "",  _xll.BDP($C547, VOLUME_AVG_6M))</f>
        <v>39435.82421875</v>
      </c>
      <c r="AC547" s="31" cm="1">
        <f t="array" ref="AC547">IF(LEFT(_xll.BDP($C547, VOLUME_AVG_12M), 4) = "#N/A", "",  _xll.BDP($C547, VOLUME_AVG_12M))</f>
        <v>42585.41796875</v>
      </c>
      <c r="AD547" s="41" cm="1">
        <f t="array" ref="AD547">IF(LEFT(_xll.BDP($C547, LAST_PRICE), 4) = "#N/A", "",  _xll.BDP($C547, LAST_PRICE))</f>
        <v>2.81</v>
      </c>
    </row>
    <row r="548" spans="1:30" x14ac:dyDescent="0.35">
      <c r="A548" s="1">
        <f t="shared" si="8"/>
        <v>545</v>
      </c>
      <c r="B548" s="28">
        <v>45700</v>
      </c>
      <c r="C548" s="29" t="s">
        <v>1146</v>
      </c>
      <c r="D548" s="29" t="s">
        <v>1146</v>
      </c>
      <c r="E548" s="29" t="s">
        <v>1147</v>
      </c>
      <c r="F548" s="29" t="s">
        <v>33</v>
      </c>
      <c r="G548" s="30" t="s">
        <v>34</v>
      </c>
      <c r="H548" s="31">
        <v>966194341.86835897</v>
      </c>
      <c r="I548" s="31">
        <v>2333594341.86836</v>
      </c>
      <c r="J548" s="32">
        <v>16.620000839233398</v>
      </c>
      <c r="K548" s="33">
        <v>45700</v>
      </c>
      <c r="L548" s="31">
        <v>19125600</v>
      </c>
      <c r="M548" s="32">
        <v>3.88</v>
      </c>
      <c r="N548" s="31" t="s">
        <v>35</v>
      </c>
      <c r="O548" s="33">
        <v>45699</v>
      </c>
      <c r="P548" s="34">
        <v>404189.03125</v>
      </c>
      <c r="Q548" s="34">
        <v>439259.6875</v>
      </c>
      <c r="R548" s="34">
        <v>396229.09375</v>
      </c>
      <c r="S548" s="29"/>
      <c r="T548" s="33"/>
      <c r="U548" s="35" t="b">
        <v>0</v>
      </c>
      <c r="V548" s="35" t="b">
        <v>0</v>
      </c>
      <c r="W548" s="35" t="b">
        <v>0</v>
      </c>
      <c r="Y548" s="31" cm="1">
        <f t="array" ref="Y548">IF(LEFT(_xll.BDP($C548, VOLUME_AVG_10D), 4) = "#N/A", "",  _xll.BDP($C548, VOLUME_AVG_10D))</f>
        <v>437500.09375</v>
      </c>
      <c r="Z548" s="31" cm="1">
        <f t="array" ref="Z548">IF(LEFT(_xll.BDP($C548, VOLUME_AVG_30D), 4) = "#N/A", "",  _xll.BDP($C548, VOLUME_AVG_30D))</f>
        <v>404189.03125</v>
      </c>
      <c r="AA548" s="31" cm="1">
        <f t="array" ref="AA548">IF(LEFT(_xll.BDP($C548, VOLUME_AVG_3M), 4) = "#N/A", "",  _xll.BDP($C548, VOLUME_AVG_3M))</f>
        <v>439259.6875</v>
      </c>
      <c r="AB548" s="31" cm="1">
        <f t="array" ref="AB548">IF(LEFT(_xll.BDP($C548, VOLUME_AVG_6M), 4) = "#N/A", "",  _xll.BDP($C548, VOLUME_AVG_6M))</f>
        <v>396229.09375</v>
      </c>
      <c r="AC548" s="31" cm="1">
        <f t="array" ref="AC548">IF(LEFT(_xll.BDP($C548, VOLUME_AVG_12M), 4) = "#N/A", "",  _xll.BDP($C548, VOLUME_AVG_12M))</f>
        <v>414790.09375</v>
      </c>
      <c r="AD548" s="41" cm="1">
        <f t="array" ref="AD548">IF(LEFT(_xll.BDP($C548, LAST_PRICE), 4) = "#N/A", "",  _xll.BDP($C548, LAST_PRICE))</f>
        <v>16.62</v>
      </c>
    </row>
    <row r="549" spans="1:30" x14ac:dyDescent="0.35">
      <c r="A549" s="1">
        <f t="shared" si="8"/>
        <v>546</v>
      </c>
      <c r="B549" s="28">
        <v>45700</v>
      </c>
      <c r="C549" s="29" t="s">
        <v>1148</v>
      </c>
      <c r="D549" s="29" t="s">
        <v>1148</v>
      </c>
      <c r="E549" s="29" t="s">
        <v>1149</v>
      </c>
      <c r="F549" s="29" t="s">
        <v>33</v>
      </c>
      <c r="G549" s="30" t="s">
        <v>34</v>
      </c>
      <c r="H549" s="31">
        <v>513124255.88873899</v>
      </c>
      <c r="I549" s="31">
        <v>1039224255.8887399</v>
      </c>
      <c r="J549" s="32">
        <v>9.4700002670288104</v>
      </c>
      <c r="K549" s="33">
        <v>45700</v>
      </c>
      <c r="L549" s="31">
        <v>9511700</v>
      </c>
      <c r="M549" s="32">
        <v>3.88</v>
      </c>
      <c r="N549" s="31" t="s">
        <v>35</v>
      </c>
      <c r="O549" s="33">
        <v>45699</v>
      </c>
      <c r="P549" s="34">
        <v>1007683.0625</v>
      </c>
      <c r="Q549" s="34">
        <v>1100154.25</v>
      </c>
      <c r="R549" s="34">
        <v>1773011.125</v>
      </c>
      <c r="S549" s="29" t="s">
        <v>285</v>
      </c>
      <c r="T549" s="33">
        <v>45446</v>
      </c>
      <c r="U549" s="35" t="b">
        <v>0</v>
      </c>
      <c r="V549" s="35" t="b">
        <v>0</v>
      </c>
      <c r="W549" s="35" t="b">
        <v>0</v>
      </c>
      <c r="Y549" s="31" cm="1">
        <f t="array" ref="Y549">IF(LEFT(_xll.BDP($C549, VOLUME_AVG_10D), 4) = "#N/A", "",  _xll.BDP($C549, VOLUME_AVG_10D))</f>
        <v>800534.8125</v>
      </c>
      <c r="Z549" s="31" cm="1">
        <f t="array" ref="Z549">IF(LEFT(_xll.BDP($C549, VOLUME_AVG_30D), 4) = "#N/A", "",  _xll.BDP($C549, VOLUME_AVG_30D))</f>
        <v>1007683.0625</v>
      </c>
      <c r="AA549" s="31" cm="1">
        <f t="array" ref="AA549">IF(LEFT(_xll.BDP($C549, VOLUME_AVG_3M), 4) = "#N/A", "",  _xll.BDP($C549, VOLUME_AVG_3M))</f>
        <v>1100154.25</v>
      </c>
      <c r="AB549" s="31" cm="1">
        <f t="array" ref="AB549">IF(LEFT(_xll.BDP($C549, VOLUME_AVG_6M), 4) = "#N/A", "",  _xll.BDP($C549, VOLUME_AVG_6M))</f>
        <v>1773011.125</v>
      </c>
      <c r="AC549" s="31" cm="1">
        <f t="array" ref="AC549">IF(LEFT(_xll.BDP($C549, VOLUME_AVG_12M), 4) = "#N/A", "",  _xll.BDP($C549, VOLUME_AVG_12M))</f>
        <v>3078930.75</v>
      </c>
      <c r="AD549" s="41" cm="1">
        <f t="array" ref="AD549">IF(LEFT(_xll.BDP($C549, LAST_PRICE), 4) = "#N/A", "",  _xll.BDP($C549, LAST_PRICE))</f>
        <v>9.4700000000000006</v>
      </c>
    </row>
    <row r="550" spans="1:30" x14ac:dyDescent="0.35">
      <c r="A550" s="1">
        <f t="shared" si="8"/>
        <v>547</v>
      </c>
      <c r="B550" s="28">
        <v>45700</v>
      </c>
      <c r="C550" s="29" t="s">
        <v>1150</v>
      </c>
      <c r="D550" s="29" t="s">
        <v>1150</v>
      </c>
      <c r="E550" s="29" t="s">
        <v>1151</v>
      </c>
      <c r="F550" s="29" t="s">
        <v>33</v>
      </c>
      <c r="G550" s="30" t="s">
        <v>34</v>
      </c>
      <c r="H550" s="31">
        <v>2107563.8315799502</v>
      </c>
      <c r="I550" s="31">
        <v>31672563.831579901</v>
      </c>
      <c r="J550" s="32">
        <v>3.29999998211861E-2</v>
      </c>
      <c r="K550" s="33">
        <v>45700</v>
      </c>
      <c r="L550" s="31"/>
      <c r="M550" s="32"/>
      <c r="N550" s="31"/>
      <c r="O550" s="33">
        <v>45699</v>
      </c>
      <c r="P550" s="34">
        <v>31494.400390625</v>
      </c>
      <c r="Q550" s="34">
        <v>36358.7734375</v>
      </c>
      <c r="R550" s="34">
        <v>42434.67578125</v>
      </c>
      <c r="S550" s="29"/>
      <c r="T550" s="33"/>
      <c r="U550" s="35" t="b">
        <v>1</v>
      </c>
      <c r="V550" s="35" t="b">
        <v>1</v>
      </c>
      <c r="W550" s="35" t="b">
        <v>0</v>
      </c>
      <c r="Y550" s="31" cm="1">
        <f t="array" ref="Y550">IF(LEFT(_xll.BDP($C550, VOLUME_AVG_10D), 4) = "#N/A", "",  _xll.BDP($C550, VOLUME_AVG_10D))</f>
        <v>52169.69921875</v>
      </c>
      <c r="Z550" s="31" cm="1">
        <f t="array" ref="Z550">IF(LEFT(_xll.BDP($C550, VOLUME_AVG_30D), 4) = "#N/A", "",  _xll.BDP($C550, VOLUME_AVG_30D))</f>
        <v>31494.400390625</v>
      </c>
      <c r="AA550" s="31" cm="1">
        <f t="array" ref="AA550">IF(LEFT(_xll.BDP($C550, VOLUME_AVG_3M), 4) = "#N/A", "",  _xll.BDP($C550, VOLUME_AVG_3M))</f>
        <v>36358.7734375</v>
      </c>
      <c r="AB550" s="31" cm="1">
        <f t="array" ref="AB550">IF(LEFT(_xll.BDP($C550, VOLUME_AVG_6M), 4) = "#N/A", "",  _xll.BDP($C550, VOLUME_AVG_6M))</f>
        <v>42434.67578125</v>
      </c>
      <c r="AC550" s="31" cm="1">
        <f t="array" ref="AC550">IF(LEFT(_xll.BDP($C550, VOLUME_AVG_12M), 4) = "#N/A", "",  _xll.BDP($C550, VOLUME_AVG_12M))</f>
        <v>25303.072265625</v>
      </c>
      <c r="AD550" s="41" cm="1">
        <f t="array" ref="AD550">IF(LEFT(_xll.BDP($C550, LAST_PRICE), 4) = "#N/A", "",  _xll.BDP($C550, LAST_PRICE))</f>
        <v>3.3000000000000002E-2</v>
      </c>
    </row>
    <row r="551" spans="1:30" x14ac:dyDescent="0.35">
      <c r="A551" s="1">
        <f t="shared" si="8"/>
        <v>548</v>
      </c>
      <c r="B551" s="28">
        <v>45700</v>
      </c>
      <c r="C551" s="29" t="s">
        <v>1152</v>
      </c>
      <c r="D551" s="29" t="s">
        <v>1152</v>
      </c>
      <c r="E551" s="29" t="s">
        <v>1153</v>
      </c>
      <c r="F551" s="29" t="s">
        <v>33</v>
      </c>
      <c r="G551" s="30" t="s">
        <v>34</v>
      </c>
      <c r="H551" s="31">
        <v>125008710.68820199</v>
      </c>
      <c r="I551" s="31">
        <v>-32873289.311798099</v>
      </c>
      <c r="J551" s="32">
        <v>5.8600001335143999</v>
      </c>
      <c r="K551" s="33">
        <v>45700</v>
      </c>
      <c r="L551" s="31">
        <v>6407900</v>
      </c>
      <c r="M551" s="32">
        <v>3.88</v>
      </c>
      <c r="N551" s="31" t="s">
        <v>35</v>
      </c>
      <c r="O551" s="33">
        <v>45699</v>
      </c>
      <c r="P551" s="34">
        <v>611018.3125</v>
      </c>
      <c r="Q551" s="34">
        <v>506064.03125</v>
      </c>
      <c r="R551" s="34">
        <v>328856.25</v>
      </c>
      <c r="S551" s="29" t="s">
        <v>353</v>
      </c>
      <c r="T551" s="33">
        <v>45446</v>
      </c>
      <c r="U551" s="35" t="b">
        <v>0</v>
      </c>
      <c r="V551" s="35" t="b">
        <v>0</v>
      </c>
      <c r="W551" s="35" t="b">
        <v>1</v>
      </c>
      <c r="Y551" s="31" cm="1">
        <f t="array" ref="Y551">IF(LEFT(_xll.BDP($C551, VOLUME_AVG_10D), 4) = "#N/A", "",  _xll.BDP($C551, VOLUME_AVG_10D))</f>
        <v>385299.09375</v>
      </c>
      <c r="Z551" s="31" cm="1">
        <f t="array" ref="Z551">IF(LEFT(_xll.BDP($C551, VOLUME_AVG_30D), 4) = "#N/A", "",  _xll.BDP($C551, VOLUME_AVG_30D))</f>
        <v>611018.3125</v>
      </c>
      <c r="AA551" s="31" cm="1">
        <f t="array" ref="AA551">IF(LEFT(_xll.BDP($C551, VOLUME_AVG_3M), 4) = "#N/A", "",  _xll.BDP($C551, VOLUME_AVG_3M))</f>
        <v>506064.03125</v>
      </c>
      <c r="AB551" s="31" cm="1">
        <f t="array" ref="AB551">IF(LEFT(_xll.BDP($C551, VOLUME_AVG_6M), 4) = "#N/A", "",  _xll.BDP($C551, VOLUME_AVG_6M))</f>
        <v>328856.25</v>
      </c>
      <c r="AC551" s="31" cm="1">
        <f t="array" ref="AC551">IF(LEFT(_xll.BDP($C551, VOLUME_AVG_12M), 4) = "#N/A", "",  _xll.BDP($C551, VOLUME_AVG_12M))</f>
        <v>263719.9375</v>
      </c>
      <c r="AD551" s="41" cm="1">
        <f t="array" ref="AD551">IF(LEFT(_xll.BDP($C551, LAST_PRICE), 4) = "#N/A", "",  _xll.BDP($C551, LAST_PRICE))</f>
        <v>5.86</v>
      </c>
    </row>
    <row r="552" spans="1:30" x14ac:dyDescent="0.35">
      <c r="A552" s="1">
        <f t="shared" si="8"/>
        <v>549</v>
      </c>
      <c r="B552" s="28">
        <v>45700</v>
      </c>
      <c r="C552" s="29" t="s">
        <v>1154</v>
      </c>
      <c r="D552" s="29" t="s">
        <v>1154</v>
      </c>
      <c r="E552" s="29" t="s">
        <v>1155</v>
      </c>
      <c r="F552" s="29" t="s">
        <v>33</v>
      </c>
      <c r="G552" s="30" t="s">
        <v>34</v>
      </c>
      <c r="H552" s="31">
        <v>5343815.25</v>
      </c>
      <c r="I552" s="31">
        <v>6332330.25</v>
      </c>
      <c r="J552" s="32">
        <v>0.45</v>
      </c>
      <c r="K552" s="33">
        <v>45700</v>
      </c>
      <c r="L552" s="31"/>
      <c r="M552" s="32"/>
      <c r="N552" s="31"/>
      <c r="O552" s="33">
        <v>45699</v>
      </c>
      <c r="P552" s="34">
        <v>266.43331909179699</v>
      </c>
      <c r="Q552" s="34">
        <v>680.54840087890602</v>
      </c>
      <c r="R552" s="34">
        <v>8204.880859375</v>
      </c>
      <c r="S552" s="29"/>
      <c r="T552" s="33"/>
      <c r="U552" s="35" t="b">
        <v>1</v>
      </c>
      <c r="V552" s="35" t="b">
        <v>0</v>
      </c>
      <c r="W552" s="35" t="b">
        <v>0</v>
      </c>
      <c r="Y552" s="31" cm="1">
        <f t="array" ref="Y552">IF(LEFT(_xll.BDP($C552, VOLUME_AVG_10D), 4) = "#N/A", "",  _xll.BDP($C552, VOLUME_AVG_10D))</f>
        <v>110</v>
      </c>
      <c r="Z552" s="31" cm="1">
        <f t="array" ref="Z552">IF(LEFT(_xll.BDP($C552, VOLUME_AVG_30D), 4) = "#N/A", "",  _xll.BDP($C552, VOLUME_AVG_30D))</f>
        <v>266.43331909179688</v>
      </c>
      <c r="AA552" s="31" cm="1">
        <f t="array" ref="AA552">IF(LEFT(_xll.BDP($C552, VOLUME_AVG_3M), 4) = "#N/A", "",  _xll.BDP($C552, VOLUME_AVG_3M))</f>
        <v>680.54840087890625</v>
      </c>
      <c r="AB552" s="31" cm="1">
        <f t="array" ref="AB552">IF(LEFT(_xll.BDP($C552, VOLUME_AVG_6M), 4) = "#N/A", "",  _xll.BDP($C552, VOLUME_AVG_6M))</f>
        <v>8204.880859375</v>
      </c>
      <c r="AC552" s="31" cm="1">
        <f t="array" ref="AC552">IF(LEFT(_xll.BDP($C552, VOLUME_AVG_12M), 4) = "#N/A", "",  _xll.BDP($C552, VOLUME_AVG_12M))</f>
        <v>5584.0439453125</v>
      </c>
      <c r="AD552" s="41" cm="1">
        <f t="array" ref="AD552">IF(LEFT(_xll.BDP($C552, LAST_PRICE), 4) = "#N/A", "",  _xll.BDP($C552, LAST_PRICE))</f>
        <v>0.45</v>
      </c>
    </row>
    <row r="553" spans="1:30" x14ac:dyDescent="0.35">
      <c r="A553" s="1">
        <f t="shared" si="8"/>
        <v>550</v>
      </c>
      <c r="B553" s="28">
        <v>45700</v>
      </c>
      <c r="C553" s="29" t="s">
        <v>1156</v>
      </c>
      <c r="D553" s="29" t="s">
        <v>1156</v>
      </c>
      <c r="E553" s="29" t="s">
        <v>1157</v>
      </c>
      <c r="F553" s="29" t="s">
        <v>33</v>
      </c>
      <c r="G553" s="30" t="s">
        <v>34</v>
      </c>
      <c r="H553" s="31">
        <v>9876477871.3947105</v>
      </c>
      <c r="I553" s="31">
        <v>13287077871.394699</v>
      </c>
      <c r="J553" s="32">
        <v>98.029998779296903</v>
      </c>
      <c r="K553" s="33">
        <v>45700</v>
      </c>
      <c r="L553" s="31">
        <v>39993500</v>
      </c>
      <c r="M553" s="32">
        <v>3.88</v>
      </c>
      <c r="N553" s="31" t="s">
        <v>35</v>
      </c>
      <c r="O553" s="33">
        <v>45699</v>
      </c>
      <c r="P553" s="34">
        <v>649631.875</v>
      </c>
      <c r="Q553" s="34">
        <v>635473.3125</v>
      </c>
      <c r="R553" s="34">
        <v>618770.3125</v>
      </c>
      <c r="S553" s="29"/>
      <c r="T553" s="33"/>
      <c r="U553" s="35" t="b">
        <v>0</v>
      </c>
      <c r="V553" s="35" t="b">
        <v>0</v>
      </c>
      <c r="W553" s="35" t="b">
        <v>0</v>
      </c>
      <c r="Y553" s="31" cm="1">
        <f t="array" ref="Y553">IF(LEFT(_xll.BDP($C553, VOLUME_AVG_10D), 4) = "#N/A", "",  _xll.BDP($C553, VOLUME_AVG_10D))</f>
        <v>825700.6875</v>
      </c>
      <c r="Z553" s="31" cm="1">
        <f t="array" ref="Z553">IF(LEFT(_xll.BDP($C553, VOLUME_AVG_30D), 4) = "#N/A", "",  _xll.BDP($C553, VOLUME_AVG_30D))</f>
        <v>649631.875</v>
      </c>
      <c r="AA553" s="31" cm="1">
        <f t="array" ref="AA553">IF(LEFT(_xll.BDP($C553, VOLUME_AVG_3M), 4) = "#N/A", "",  _xll.BDP($C553, VOLUME_AVG_3M))</f>
        <v>635473.3125</v>
      </c>
      <c r="AB553" s="31" cm="1">
        <f t="array" ref="AB553">IF(LEFT(_xll.BDP($C553, VOLUME_AVG_6M), 4) = "#N/A", "",  _xll.BDP($C553, VOLUME_AVG_6M))</f>
        <v>618770.3125</v>
      </c>
      <c r="AC553" s="31" cm="1">
        <f t="array" ref="AC553">IF(LEFT(_xll.BDP($C553, VOLUME_AVG_12M), 4) = "#N/A", "",  _xll.BDP($C553, VOLUME_AVG_12M))</f>
        <v>644417.0625</v>
      </c>
      <c r="AD553" s="41" cm="1">
        <f t="array" ref="AD553">IF(LEFT(_xll.BDP($C553, LAST_PRICE), 4) = "#N/A", "",  _xll.BDP($C553, LAST_PRICE))</f>
        <v>98.03</v>
      </c>
    </row>
    <row r="554" spans="1:30" x14ac:dyDescent="0.35">
      <c r="A554" s="1">
        <f t="shared" si="8"/>
        <v>551</v>
      </c>
      <c r="B554" s="28">
        <v>45700</v>
      </c>
      <c r="C554" s="29" t="s">
        <v>1158</v>
      </c>
      <c r="D554" s="29" t="s">
        <v>1158</v>
      </c>
      <c r="E554" s="29" t="s">
        <v>1159</v>
      </c>
      <c r="F554" s="29" t="s">
        <v>33</v>
      </c>
      <c r="G554" s="30" t="s">
        <v>34</v>
      </c>
      <c r="H554" s="31">
        <v>4050863.8084057001</v>
      </c>
      <c r="I554" s="31">
        <v>4269563.8084906302</v>
      </c>
      <c r="J554" s="32">
        <v>8.0000003799796104E-3</v>
      </c>
      <c r="K554" s="33">
        <v>45700</v>
      </c>
      <c r="L554" s="31"/>
      <c r="M554" s="32"/>
      <c r="N554" s="31"/>
      <c r="O554" s="33">
        <v>45699</v>
      </c>
      <c r="P554" s="34">
        <v>538624.75</v>
      </c>
      <c r="Q554" s="34">
        <v>530281.0625</v>
      </c>
      <c r="R554" s="34">
        <v>477722.65625</v>
      </c>
      <c r="S554" s="29"/>
      <c r="T554" s="33"/>
      <c r="U554" s="35" t="b">
        <v>1</v>
      </c>
      <c r="V554" s="35" t="b">
        <v>1</v>
      </c>
      <c r="W554" s="35" t="b">
        <v>0</v>
      </c>
      <c r="Y554" s="31" cm="1">
        <f t="array" ref="Y554">IF(LEFT(_xll.BDP($C554, VOLUME_AVG_10D), 4) = "#N/A", "",  _xll.BDP($C554, VOLUME_AVG_10D))</f>
        <v>148631.09375</v>
      </c>
      <c r="Z554" s="31" cm="1">
        <f t="array" ref="Z554">IF(LEFT(_xll.BDP($C554, VOLUME_AVG_30D), 4) = "#N/A", "",  _xll.BDP($C554, VOLUME_AVG_30D))</f>
        <v>538624.75</v>
      </c>
      <c r="AA554" s="31" cm="1">
        <f t="array" ref="AA554">IF(LEFT(_xll.BDP($C554, VOLUME_AVG_3M), 4) = "#N/A", "",  _xll.BDP($C554, VOLUME_AVG_3M))</f>
        <v>530281.0625</v>
      </c>
      <c r="AB554" s="31" cm="1">
        <f t="array" ref="AB554">IF(LEFT(_xll.BDP($C554, VOLUME_AVG_6M), 4) = "#N/A", "",  _xll.BDP($C554, VOLUME_AVG_6M))</f>
        <v>477722.65625</v>
      </c>
      <c r="AC554" s="31" cm="1">
        <f t="array" ref="AC554">IF(LEFT(_xll.BDP($C554, VOLUME_AVG_12M), 4) = "#N/A", "",  _xll.BDP($C554, VOLUME_AVG_12M))</f>
        <v>405555.5625</v>
      </c>
      <c r="AD554" s="41" cm="1">
        <f t="array" ref="AD554">IF(LEFT(_xll.BDP($C554, LAST_PRICE), 4) = "#N/A", "",  _xll.BDP($C554, LAST_PRICE))</f>
        <v>8.0000000000000002E-3</v>
      </c>
    </row>
    <row r="555" spans="1:30" x14ac:dyDescent="0.35">
      <c r="A555" s="1">
        <f t="shared" si="8"/>
        <v>552</v>
      </c>
      <c r="B555" s="28">
        <v>45700</v>
      </c>
      <c r="C555" s="29" t="s">
        <v>1160</v>
      </c>
      <c r="D555" s="29" t="s">
        <v>1160</v>
      </c>
      <c r="E555" s="29" t="s">
        <v>1161</v>
      </c>
      <c r="F555" s="29" t="s">
        <v>33</v>
      </c>
      <c r="G555" s="30" t="s">
        <v>34</v>
      </c>
      <c r="H555" s="31">
        <v>63750.317789531502</v>
      </c>
      <c r="I555" s="31">
        <v>7122060.3177895304</v>
      </c>
      <c r="J555" s="32">
        <v>1.9999999494757501E-4</v>
      </c>
      <c r="K555" s="33">
        <v>45700</v>
      </c>
      <c r="L555" s="31"/>
      <c r="M555" s="32"/>
      <c r="N555" s="31"/>
      <c r="O555" s="33">
        <v>45699</v>
      </c>
      <c r="P555" s="34">
        <v>25514478</v>
      </c>
      <c r="Q555" s="34">
        <v>17688654</v>
      </c>
      <c r="R555" s="34">
        <v>8847803</v>
      </c>
      <c r="S555" s="29"/>
      <c r="T555" s="33"/>
      <c r="U555" s="35" t="b">
        <v>1</v>
      </c>
      <c r="V555" s="35" t="b">
        <v>1</v>
      </c>
      <c r="W555" s="35" t="b">
        <v>0</v>
      </c>
      <c r="Y555" s="31" cm="1">
        <f t="array" ref="Y555">IF(LEFT(_xll.BDP($C555, VOLUME_AVG_10D), 4) = "#N/A", "",  _xll.BDP($C555, VOLUME_AVG_10D))</f>
        <v>28227030</v>
      </c>
      <c r="Z555" s="31" cm="1">
        <f t="array" ref="Z555">IF(LEFT(_xll.BDP($C555, VOLUME_AVG_30D), 4) = "#N/A", "",  _xll.BDP($C555, VOLUME_AVG_30D))</f>
        <v>25514478</v>
      </c>
      <c r="AA555" s="31" cm="1">
        <f t="array" ref="AA555">IF(LEFT(_xll.BDP($C555, VOLUME_AVG_3M), 4) = "#N/A", "",  _xll.BDP($C555, VOLUME_AVG_3M))</f>
        <v>17688654</v>
      </c>
      <c r="AB555" s="31" cm="1">
        <f t="array" ref="AB555">IF(LEFT(_xll.BDP($C555, VOLUME_AVG_6M), 4) = "#N/A", "",  _xll.BDP($C555, VOLUME_AVG_6M))</f>
        <v>8847803</v>
      </c>
      <c r="AC555" s="31" cm="1">
        <f t="array" ref="AC555">IF(LEFT(_xll.BDP($C555, VOLUME_AVG_12M), 4) = "#N/A", "",  _xll.BDP($C555, VOLUME_AVG_12M))</f>
        <v>5382854.5</v>
      </c>
      <c r="AD555" s="41" cm="1">
        <f t="array" ref="AD555">IF(LEFT(_xll.BDP($C555, LAST_PRICE), 4) = "#N/A", "",  _xll.BDP($C555, LAST_PRICE))</f>
        <v>2.0000000000000001E-4</v>
      </c>
    </row>
    <row r="556" spans="1:30" x14ac:dyDescent="0.35">
      <c r="A556" s="1">
        <f t="shared" si="8"/>
        <v>553</v>
      </c>
      <c r="B556" s="28">
        <v>45700</v>
      </c>
      <c r="C556" s="29" t="s">
        <v>1162</v>
      </c>
      <c r="D556" s="29" t="s">
        <v>1162</v>
      </c>
      <c r="E556" s="29" t="s">
        <v>1163</v>
      </c>
      <c r="F556" s="29" t="s">
        <v>33</v>
      </c>
      <c r="G556" s="30" t="s">
        <v>34</v>
      </c>
      <c r="H556" s="31">
        <v>2587896.6521663698</v>
      </c>
      <c r="I556" s="31">
        <v>-1920128.3478336299</v>
      </c>
      <c r="J556" s="32">
        <v>4.8200001716613796</v>
      </c>
      <c r="K556" s="33">
        <v>45700</v>
      </c>
      <c r="L556" s="31">
        <v>20100</v>
      </c>
      <c r="M556" s="32">
        <v>-45.3</v>
      </c>
      <c r="N556" s="31" t="s">
        <v>35</v>
      </c>
      <c r="O556" s="33">
        <v>45699</v>
      </c>
      <c r="P556" s="34">
        <v>24032.900390625</v>
      </c>
      <c r="Q556" s="34">
        <v>54673.82421875</v>
      </c>
      <c r="R556" s="34">
        <v>189326.453125</v>
      </c>
      <c r="S556" s="29"/>
      <c r="T556" s="33"/>
      <c r="U556" s="35" t="b">
        <v>1</v>
      </c>
      <c r="V556" s="35" t="b">
        <v>0</v>
      </c>
      <c r="W556" s="35" t="b">
        <v>1</v>
      </c>
      <c r="Y556" s="31" cm="1">
        <f t="array" ref="Y556">IF(LEFT(_xll.BDP($C556, VOLUME_AVG_10D), 4) = "#N/A", "",  _xll.BDP($C556, VOLUME_AVG_10D))</f>
        <v>11583.2001953125</v>
      </c>
      <c r="Z556" s="31" cm="1">
        <f t="array" ref="Z556">IF(LEFT(_xll.BDP($C556, VOLUME_AVG_30D), 4) = "#N/A", "",  _xll.BDP($C556, VOLUME_AVG_30D))</f>
        <v>24032.900390625</v>
      </c>
      <c r="AA556" s="31" cm="1">
        <f t="array" ref="AA556">IF(LEFT(_xll.BDP($C556, VOLUME_AVG_3M), 4) = "#N/A", "",  _xll.BDP($C556, VOLUME_AVG_3M))</f>
        <v>54673.82421875</v>
      </c>
      <c r="AB556" s="31" cm="1">
        <f t="array" ref="AB556">IF(LEFT(_xll.BDP($C556, VOLUME_AVG_6M), 4) = "#N/A", "",  _xll.BDP($C556, VOLUME_AVG_6M))</f>
        <v>189326.453125</v>
      </c>
      <c r="AC556" s="31" cm="1">
        <f t="array" ref="AC556">IF(LEFT(_xll.BDP($C556, VOLUME_AVG_12M), 4) = "#N/A", "",  _xll.BDP($C556, VOLUME_AVG_12M))</f>
        <v>98232.5546875</v>
      </c>
      <c r="AD556" s="41" cm="1">
        <f t="array" ref="AD556">IF(LEFT(_xll.BDP($C556, LAST_PRICE), 4) = "#N/A", "",  _xll.BDP($C556, LAST_PRICE))</f>
        <v>4.82</v>
      </c>
    </row>
    <row r="557" spans="1:30" x14ac:dyDescent="0.35">
      <c r="A557" s="1">
        <f t="shared" si="8"/>
        <v>554</v>
      </c>
      <c r="B557" s="28">
        <v>45700</v>
      </c>
      <c r="C557" s="29" t="s">
        <v>1164</v>
      </c>
      <c r="D557" s="29" t="s">
        <v>1164</v>
      </c>
      <c r="E557" s="29" t="s">
        <v>1165</v>
      </c>
      <c r="F557" s="29" t="s">
        <v>33</v>
      </c>
      <c r="G557" s="30" t="s">
        <v>34</v>
      </c>
      <c r="H557" s="31">
        <v>323701887.73848498</v>
      </c>
      <c r="I557" s="31">
        <v>81792687.626896501</v>
      </c>
      <c r="J557" s="32">
        <v>6.3499999046325701</v>
      </c>
      <c r="K557" s="33">
        <v>45700</v>
      </c>
      <c r="L557" s="31">
        <v>1425400</v>
      </c>
      <c r="M557" s="32">
        <v>-67</v>
      </c>
      <c r="N557" s="31" t="s">
        <v>35</v>
      </c>
      <c r="O557" s="33">
        <v>45699</v>
      </c>
      <c r="P557" s="34">
        <v>156011.203125</v>
      </c>
      <c r="Q557" s="34">
        <v>159205.21875</v>
      </c>
      <c r="R557" s="34">
        <v>165080.859375</v>
      </c>
      <c r="S557" s="29"/>
      <c r="T557" s="33"/>
      <c r="U557" s="35" t="b">
        <v>0</v>
      </c>
      <c r="V557" s="35" t="b">
        <v>0</v>
      </c>
      <c r="W557" s="35" t="b">
        <v>0</v>
      </c>
      <c r="Y557" s="31" cm="1">
        <f t="array" ref="Y557">IF(LEFT(_xll.BDP($C557, VOLUME_AVG_10D), 4) = "#N/A", "",  _xll.BDP($C557, VOLUME_AVG_10D))</f>
        <v>73530.296875</v>
      </c>
      <c r="Z557" s="31" cm="1">
        <f t="array" ref="Z557">IF(LEFT(_xll.BDP($C557, VOLUME_AVG_30D), 4) = "#N/A", "",  _xll.BDP($C557, VOLUME_AVG_30D))</f>
        <v>156011.203125</v>
      </c>
      <c r="AA557" s="31" cm="1">
        <f t="array" ref="AA557">IF(LEFT(_xll.BDP($C557, VOLUME_AVG_3M), 4) = "#N/A", "",  _xll.BDP($C557, VOLUME_AVG_3M))</f>
        <v>159205.21875</v>
      </c>
      <c r="AB557" s="31" cm="1">
        <f t="array" ref="AB557">IF(LEFT(_xll.BDP($C557, VOLUME_AVG_6M), 4) = "#N/A", "",  _xll.BDP($C557, VOLUME_AVG_6M))</f>
        <v>165080.859375</v>
      </c>
      <c r="AC557" s="31" cm="1">
        <f t="array" ref="AC557">IF(LEFT(_xll.BDP($C557, VOLUME_AVG_12M), 4) = "#N/A", "",  _xll.BDP($C557, VOLUME_AVG_12M))</f>
        <v>134967.578125</v>
      </c>
      <c r="AD557" s="41" cm="1">
        <f t="array" ref="AD557">IF(LEFT(_xll.BDP($C557, LAST_PRICE), 4) = "#N/A", "",  _xll.BDP($C557, LAST_PRICE))</f>
        <v>6.35</v>
      </c>
    </row>
    <row r="558" spans="1:30" x14ac:dyDescent="0.35">
      <c r="A558" s="1">
        <f t="shared" si="8"/>
        <v>555</v>
      </c>
      <c r="B558" s="28">
        <v>45700</v>
      </c>
      <c r="C558" s="29" t="s">
        <v>1166</v>
      </c>
      <c r="D558" s="29" t="s">
        <v>1166</v>
      </c>
      <c r="E558" s="29" t="s">
        <v>1167</v>
      </c>
      <c r="F558" s="29" t="s">
        <v>33</v>
      </c>
      <c r="G558" s="30" t="s">
        <v>34</v>
      </c>
      <c r="H558" s="31">
        <v>413838284.58175701</v>
      </c>
      <c r="I558" s="31">
        <v>980938284.58175695</v>
      </c>
      <c r="J558" s="32">
        <v>8.2299995422363299</v>
      </c>
      <c r="K558" s="33">
        <v>45700</v>
      </c>
      <c r="L558" s="31">
        <v>14182900</v>
      </c>
      <c r="M558" s="32">
        <v>3.88</v>
      </c>
      <c r="N558" s="31" t="s">
        <v>35</v>
      </c>
      <c r="O558" s="33">
        <v>45699</v>
      </c>
      <c r="P558" s="34">
        <v>269672.8125</v>
      </c>
      <c r="Q558" s="34">
        <v>351613.375</v>
      </c>
      <c r="R558" s="34">
        <v>491158.78125</v>
      </c>
      <c r="S558" s="29"/>
      <c r="T558" s="33"/>
      <c r="U558" s="35" t="b">
        <v>0</v>
      </c>
      <c r="V558" s="35" t="b">
        <v>0</v>
      </c>
      <c r="W558" s="35" t="b">
        <v>0</v>
      </c>
      <c r="Y558" s="31" cm="1">
        <f t="array" ref="Y558">IF(LEFT(_xll.BDP($C558, VOLUME_AVG_10D), 4) = "#N/A", "",  _xll.BDP($C558, VOLUME_AVG_10D))</f>
        <v>321482.1875</v>
      </c>
      <c r="Z558" s="31" cm="1">
        <f t="array" ref="Z558">IF(LEFT(_xll.BDP($C558, VOLUME_AVG_30D), 4) = "#N/A", "",  _xll.BDP($C558, VOLUME_AVG_30D))</f>
        <v>269672.8125</v>
      </c>
      <c r="AA558" s="31" cm="1">
        <f t="array" ref="AA558">IF(LEFT(_xll.BDP($C558, VOLUME_AVG_3M), 4) = "#N/A", "",  _xll.BDP($C558, VOLUME_AVG_3M))</f>
        <v>351613.375</v>
      </c>
      <c r="AB558" s="31" cm="1">
        <f t="array" ref="AB558">IF(LEFT(_xll.BDP($C558, VOLUME_AVG_6M), 4) = "#N/A", "",  _xll.BDP($C558, VOLUME_AVG_6M))</f>
        <v>491158.78125</v>
      </c>
      <c r="AC558" s="31" cm="1">
        <f t="array" ref="AC558">IF(LEFT(_xll.BDP($C558, VOLUME_AVG_12M), 4) = "#N/A", "",  _xll.BDP($C558, VOLUME_AVG_12M))</f>
        <v>536830</v>
      </c>
      <c r="AD558" s="41" cm="1">
        <f t="array" ref="AD558">IF(LEFT(_xll.BDP($C558, LAST_PRICE), 4) = "#N/A", "",  _xll.BDP($C558, LAST_PRICE))</f>
        <v>8.23</v>
      </c>
    </row>
    <row r="559" spans="1:30" x14ac:dyDescent="0.35">
      <c r="A559" s="1">
        <f t="shared" si="8"/>
        <v>556</v>
      </c>
      <c r="B559" s="28">
        <v>45700</v>
      </c>
      <c r="C559" s="29" t="s">
        <v>1168</v>
      </c>
      <c r="D559" s="29" t="s">
        <v>1168</v>
      </c>
      <c r="E559" s="29" t="s">
        <v>1169</v>
      </c>
      <c r="F559" s="29" t="s">
        <v>33</v>
      </c>
      <c r="G559" s="30" t="s">
        <v>34</v>
      </c>
      <c r="H559" s="31">
        <v>1077344573.0234101</v>
      </c>
      <c r="I559" s="31">
        <v>785510573.02341402</v>
      </c>
      <c r="J559" s="32">
        <v>22.049999237060501</v>
      </c>
      <c r="K559" s="33">
        <v>45700</v>
      </c>
      <c r="L559" s="31">
        <v>3207800</v>
      </c>
      <c r="M559" s="32">
        <v>3.75</v>
      </c>
      <c r="N559" s="31" t="s">
        <v>35</v>
      </c>
      <c r="O559" s="33">
        <v>45699</v>
      </c>
      <c r="P559" s="34">
        <v>241203.734375</v>
      </c>
      <c r="Q559" s="34">
        <v>221304.390625</v>
      </c>
      <c r="R559" s="34">
        <v>229203.90625</v>
      </c>
      <c r="S559" s="29" t="s">
        <v>46</v>
      </c>
      <c r="T559" s="33">
        <v>45446</v>
      </c>
      <c r="U559" s="35" t="b">
        <v>0</v>
      </c>
      <c r="V559" s="35" t="b">
        <v>0</v>
      </c>
      <c r="W559" s="35" t="b">
        <v>0</v>
      </c>
      <c r="Y559" s="31" cm="1">
        <f t="array" ref="Y559">IF(LEFT(_xll.BDP($C559, VOLUME_AVG_10D), 4) = "#N/A", "",  _xll.BDP($C559, VOLUME_AVG_10D))</f>
        <v>203134</v>
      </c>
      <c r="Z559" s="31" cm="1">
        <f t="array" ref="Z559">IF(LEFT(_xll.BDP($C559, VOLUME_AVG_30D), 4) = "#N/A", "",  _xll.BDP($C559, VOLUME_AVG_30D))</f>
        <v>241203.734375</v>
      </c>
      <c r="AA559" s="31" cm="1">
        <f t="array" ref="AA559">IF(LEFT(_xll.BDP($C559, VOLUME_AVG_3M), 4) = "#N/A", "",  _xll.BDP($C559, VOLUME_AVG_3M))</f>
        <v>221304.390625</v>
      </c>
      <c r="AB559" s="31" cm="1">
        <f t="array" ref="AB559">IF(LEFT(_xll.BDP($C559, VOLUME_AVG_6M), 4) = "#N/A", "",  _xll.BDP($C559, VOLUME_AVG_6M))</f>
        <v>229203.90625</v>
      </c>
      <c r="AC559" s="31" cm="1">
        <f t="array" ref="AC559">IF(LEFT(_xll.BDP($C559, VOLUME_AVG_12M), 4) = "#N/A", "",  _xll.BDP($C559, VOLUME_AVG_12M))</f>
        <v>266482.125</v>
      </c>
      <c r="AD559" s="41" cm="1">
        <f t="array" ref="AD559">IF(LEFT(_xll.BDP($C559, LAST_PRICE), 4) = "#N/A", "",  _xll.BDP($C559, LAST_PRICE))</f>
        <v>22.05</v>
      </c>
    </row>
    <row r="560" spans="1:30" x14ac:dyDescent="0.35">
      <c r="A560" s="1">
        <f t="shared" si="8"/>
        <v>557</v>
      </c>
      <c r="B560" s="28">
        <v>45700</v>
      </c>
      <c r="C560" s="29" t="s">
        <v>1170</v>
      </c>
      <c r="D560" s="29" t="s">
        <v>1170</v>
      </c>
      <c r="E560" s="29" t="s">
        <v>1171</v>
      </c>
      <c r="F560" s="29" t="s">
        <v>33</v>
      </c>
      <c r="G560" s="30" t="s">
        <v>34</v>
      </c>
      <c r="H560" s="31">
        <v>23278482.142852802</v>
      </c>
      <c r="I560" s="31">
        <v>-3009517.8571472201</v>
      </c>
      <c r="J560" s="32">
        <v>1.04999995231628</v>
      </c>
      <c r="K560" s="33">
        <v>45700</v>
      </c>
      <c r="L560" s="31"/>
      <c r="M560" s="32"/>
      <c r="N560" s="31"/>
      <c r="O560" s="33">
        <v>45699</v>
      </c>
      <c r="P560" s="34">
        <v>76937.203125</v>
      </c>
      <c r="Q560" s="34">
        <v>210627.421875</v>
      </c>
      <c r="R560" s="34">
        <v>162778.65625</v>
      </c>
      <c r="S560" s="29"/>
      <c r="T560" s="33"/>
      <c r="U560" s="35" t="b">
        <v>0</v>
      </c>
      <c r="V560" s="35" t="b">
        <v>0</v>
      </c>
      <c r="W560" s="35" t="b">
        <v>1</v>
      </c>
      <c r="Y560" s="31" cm="1">
        <f t="array" ref="Y560">IF(LEFT(_xll.BDP($C560, VOLUME_AVG_10D), 4) = "#N/A", "",  _xll.BDP($C560, VOLUME_AVG_10D))</f>
        <v>43035.1015625</v>
      </c>
      <c r="Z560" s="31" cm="1">
        <f t="array" ref="Z560">IF(LEFT(_xll.BDP($C560, VOLUME_AVG_30D), 4) = "#N/A", "",  _xll.BDP($C560, VOLUME_AVG_30D))</f>
        <v>76937.203125</v>
      </c>
      <c r="AA560" s="31" cm="1">
        <f t="array" ref="AA560">IF(LEFT(_xll.BDP($C560, VOLUME_AVG_3M), 4) = "#N/A", "",  _xll.BDP($C560, VOLUME_AVG_3M))</f>
        <v>210627.421875</v>
      </c>
      <c r="AB560" s="31" cm="1">
        <f t="array" ref="AB560">IF(LEFT(_xll.BDP($C560, VOLUME_AVG_6M), 4) = "#N/A", "",  _xll.BDP($C560, VOLUME_AVG_6M))</f>
        <v>162778.65625</v>
      </c>
      <c r="AC560" s="31" cm="1">
        <f t="array" ref="AC560">IF(LEFT(_xll.BDP($C560, VOLUME_AVG_12M), 4) = "#N/A", "",  _xll.BDP($C560, VOLUME_AVG_12M))</f>
        <v>142138.578125</v>
      </c>
      <c r="AD560" s="41" cm="1">
        <f t="array" ref="AD560">IF(LEFT(_xll.BDP($C560, LAST_PRICE), 4) = "#N/A", "",  _xll.BDP($C560, LAST_PRICE))</f>
        <v>1.05</v>
      </c>
    </row>
    <row r="561" spans="1:30" x14ac:dyDescent="0.35">
      <c r="A561" s="1">
        <f t="shared" si="8"/>
        <v>558</v>
      </c>
      <c r="B561" s="28">
        <v>45700</v>
      </c>
      <c r="C561" s="29" t="s">
        <v>1172</v>
      </c>
      <c r="D561" s="29" t="s">
        <v>1172</v>
      </c>
      <c r="E561" s="29" t="s">
        <v>1173</v>
      </c>
      <c r="F561" s="29" t="s">
        <v>33</v>
      </c>
      <c r="G561" s="30" t="s">
        <v>34</v>
      </c>
      <c r="H561" s="31">
        <v>2495549068.2659101</v>
      </c>
      <c r="I561" s="31">
        <v>3877443068.2659101</v>
      </c>
      <c r="J561" s="32">
        <v>43.889999389648402</v>
      </c>
      <c r="K561" s="33">
        <v>45700</v>
      </c>
      <c r="L561" s="31">
        <v>16642800</v>
      </c>
      <c r="M561" s="32">
        <v>3.88</v>
      </c>
      <c r="N561" s="31" t="s">
        <v>35</v>
      </c>
      <c r="O561" s="33">
        <v>45699</v>
      </c>
      <c r="P561" s="34">
        <v>1033714.5625</v>
      </c>
      <c r="Q561" s="34">
        <v>789449.1875</v>
      </c>
      <c r="R561" s="34">
        <v>714627.3125</v>
      </c>
      <c r="S561" s="29"/>
      <c r="T561" s="33"/>
      <c r="U561" s="35" t="b">
        <v>0</v>
      </c>
      <c r="V561" s="35" t="b">
        <v>0</v>
      </c>
      <c r="W561" s="35" t="b">
        <v>0</v>
      </c>
      <c r="Y561" s="31" cm="1">
        <f t="array" ref="Y561">IF(LEFT(_xll.BDP($C561, VOLUME_AVG_10D), 4) = "#N/A", "",  _xll.BDP($C561, VOLUME_AVG_10D))</f>
        <v>612667.8125</v>
      </c>
      <c r="Z561" s="31" cm="1">
        <f t="array" ref="Z561">IF(LEFT(_xll.BDP($C561, VOLUME_AVG_30D), 4) = "#N/A", "",  _xll.BDP($C561, VOLUME_AVG_30D))</f>
        <v>1033714.5625</v>
      </c>
      <c r="AA561" s="31" cm="1">
        <f t="array" ref="AA561">IF(LEFT(_xll.BDP($C561, VOLUME_AVG_3M), 4) = "#N/A", "",  _xll.BDP($C561, VOLUME_AVG_3M))</f>
        <v>789449.1875</v>
      </c>
      <c r="AB561" s="31" cm="1">
        <f t="array" ref="AB561">IF(LEFT(_xll.BDP($C561, VOLUME_AVG_6M), 4) = "#N/A", "",  _xll.BDP($C561, VOLUME_AVG_6M))</f>
        <v>714627.3125</v>
      </c>
      <c r="AC561" s="31" cm="1">
        <f t="array" ref="AC561">IF(LEFT(_xll.BDP($C561, VOLUME_AVG_12M), 4) = "#N/A", "",  _xll.BDP($C561, VOLUME_AVG_12M))</f>
        <v>649233.75</v>
      </c>
      <c r="AD561" s="41" cm="1">
        <f t="array" ref="AD561">IF(LEFT(_xll.BDP($C561, LAST_PRICE), 4) = "#N/A", "",  _xll.BDP($C561, LAST_PRICE))</f>
        <v>43.89</v>
      </c>
    </row>
    <row r="562" spans="1:30" x14ac:dyDescent="0.35">
      <c r="A562" s="1">
        <f t="shared" si="8"/>
        <v>559</v>
      </c>
      <c r="B562" s="28">
        <v>45700</v>
      </c>
      <c r="C562" s="29" t="s">
        <v>1174</v>
      </c>
      <c r="D562" s="29" t="s">
        <v>1174</v>
      </c>
      <c r="E562" s="29" t="s">
        <v>1175</v>
      </c>
      <c r="F562" s="29" t="s">
        <v>33</v>
      </c>
      <c r="G562" s="30" t="s">
        <v>34</v>
      </c>
      <c r="H562" s="31">
        <v>7246271926.6858997</v>
      </c>
      <c r="I562" s="31">
        <v>8697206926.6858997</v>
      </c>
      <c r="J562" s="32">
        <v>126.120002746582</v>
      </c>
      <c r="K562" s="33">
        <v>45700</v>
      </c>
      <c r="L562" s="31">
        <v>20838900</v>
      </c>
      <c r="M562" s="32">
        <v>3.88</v>
      </c>
      <c r="N562" s="31" t="s">
        <v>35</v>
      </c>
      <c r="O562" s="33">
        <v>45699</v>
      </c>
      <c r="P562" s="34">
        <v>452860</v>
      </c>
      <c r="Q562" s="34">
        <v>379580.0625</v>
      </c>
      <c r="R562" s="34">
        <v>473934.71875</v>
      </c>
      <c r="S562" s="29"/>
      <c r="T562" s="33"/>
      <c r="U562" s="35" t="b">
        <v>0</v>
      </c>
      <c r="V562" s="35" t="b">
        <v>0</v>
      </c>
      <c r="W562" s="35" t="b">
        <v>0</v>
      </c>
      <c r="Y562" s="31" cm="1">
        <f t="array" ref="Y562">IF(LEFT(_xll.BDP($C562, VOLUME_AVG_10D), 4) = "#N/A", "",  _xll.BDP($C562, VOLUME_AVG_10D))</f>
        <v>644354.375</v>
      </c>
      <c r="Z562" s="31" cm="1">
        <f t="array" ref="Z562">IF(LEFT(_xll.BDP($C562, VOLUME_AVG_30D), 4) = "#N/A", "",  _xll.BDP($C562, VOLUME_AVG_30D))</f>
        <v>452860</v>
      </c>
      <c r="AA562" s="31" cm="1">
        <f t="array" ref="AA562">IF(LEFT(_xll.BDP($C562, VOLUME_AVG_3M), 4) = "#N/A", "",  _xll.BDP($C562, VOLUME_AVG_3M))</f>
        <v>379580.0625</v>
      </c>
      <c r="AB562" s="31" cm="1">
        <f t="array" ref="AB562">IF(LEFT(_xll.BDP($C562, VOLUME_AVG_6M), 4) = "#N/A", "",  _xll.BDP($C562, VOLUME_AVG_6M))</f>
        <v>473934.71875</v>
      </c>
      <c r="AC562" s="31" cm="1">
        <f t="array" ref="AC562">IF(LEFT(_xll.BDP($C562, VOLUME_AVG_12M), 4) = "#N/A", "",  _xll.BDP($C562, VOLUME_AVG_12M))</f>
        <v>393399.40625</v>
      </c>
      <c r="AD562" s="41" cm="1">
        <f t="array" ref="AD562">IF(LEFT(_xll.BDP($C562, LAST_PRICE), 4) = "#N/A", "",  _xll.BDP($C562, LAST_PRICE))</f>
        <v>126.12</v>
      </c>
    </row>
    <row r="563" spans="1:30" x14ac:dyDescent="0.35">
      <c r="A563" s="1">
        <f t="shared" si="8"/>
        <v>560</v>
      </c>
      <c r="B563" s="28">
        <v>45700</v>
      </c>
      <c r="C563" s="29" t="s">
        <v>1176</v>
      </c>
      <c r="D563" s="29" t="s">
        <v>1176</v>
      </c>
      <c r="E563" s="29" t="s">
        <v>1177</v>
      </c>
      <c r="F563" s="29" t="s">
        <v>33</v>
      </c>
      <c r="G563" s="30" t="s">
        <v>34</v>
      </c>
      <c r="H563" s="31">
        <v>7920951.2226734804</v>
      </c>
      <c r="I563" s="31">
        <v>3826052.2226734799</v>
      </c>
      <c r="J563" s="32">
        <v>6.0700001716613796</v>
      </c>
      <c r="K563" s="33">
        <v>45700</v>
      </c>
      <c r="L563" s="31">
        <v>67600</v>
      </c>
      <c r="M563" s="32">
        <v>-78.599999999999994</v>
      </c>
      <c r="N563" s="31" t="s">
        <v>35</v>
      </c>
      <c r="O563" s="33">
        <v>45699</v>
      </c>
      <c r="P563" s="34">
        <v>57044.734375</v>
      </c>
      <c r="Q563" s="34">
        <v>132564.21875</v>
      </c>
      <c r="R563" s="34">
        <v>998411</v>
      </c>
      <c r="S563" s="29"/>
      <c r="T563" s="33"/>
      <c r="U563" s="35" t="b">
        <v>1</v>
      </c>
      <c r="V563" s="35" t="b">
        <v>0</v>
      </c>
      <c r="W563" s="35" t="b">
        <v>0</v>
      </c>
      <c r="Y563" s="31" cm="1">
        <f t="array" ref="Y563">IF(LEFT(_xll.BDP($C563, VOLUME_AVG_10D), 4) = "#N/A", "",  _xll.BDP($C563, VOLUME_AVG_10D))</f>
        <v>32105.80078125</v>
      </c>
      <c r="Z563" s="31" cm="1">
        <f t="array" ref="Z563">IF(LEFT(_xll.BDP($C563, VOLUME_AVG_30D), 4) = "#N/A", "",  _xll.BDP($C563, VOLUME_AVG_30D))</f>
        <v>57044.734375</v>
      </c>
      <c r="AA563" s="31" cm="1">
        <f t="array" ref="AA563">IF(LEFT(_xll.BDP($C563, VOLUME_AVG_3M), 4) = "#N/A", "",  _xll.BDP($C563, VOLUME_AVG_3M))</f>
        <v>132564.21875</v>
      </c>
      <c r="AB563" s="31" cm="1">
        <f t="array" ref="AB563">IF(LEFT(_xll.BDP($C563, VOLUME_AVG_6M), 4) = "#N/A", "",  _xll.BDP($C563, VOLUME_AVG_6M))</f>
        <v>998411</v>
      </c>
      <c r="AC563" s="31" cm="1">
        <f t="array" ref="AC563">IF(LEFT(_xll.BDP($C563, VOLUME_AVG_12M), 4) = "#N/A", "",  _xll.BDP($C563, VOLUME_AVG_12M))</f>
        <v>506583.90625</v>
      </c>
      <c r="AD563" s="41" cm="1">
        <f t="array" ref="AD563">IF(LEFT(_xll.BDP($C563, LAST_PRICE), 4) = "#N/A", "",  _xll.BDP($C563, LAST_PRICE))</f>
        <v>6.07</v>
      </c>
    </row>
    <row r="564" spans="1:30" x14ac:dyDescent="0.35">
      <c r="A564" s="1">
        <f t="shared" si="8"/>
        <v>561</v>
      </c>
      <c r="B564" s="28">
        <v>45700</v>
      </c>
      <c r="C564" s="29" t="s">
        <v>1178</v>
      </c>
      <c r="D564" s="29" t="s">
        <v>1178</v>
      </c>
      <c r="E564" s="29" t="s">
        <v>1179</v>
      </c>
      <c r="F564" s="29" t="s">
        <v>33</v>
      </c>
      <c r="G564" s="30" t="s">
        <v>34</v>
      </c>
      <c r="H564" s="31">
        <v>87660687.815113097</v>
      </c>
      <c r="I564" s="31">
        <v>81054687.815113097</v>
      </c>
      <c r="J564" s="32">
        <v>2.3800001144409202</v>
      </c>
      <c r="K564" s="33">
        <v>45700</v>
      </c>
      <c r="L564" s="31"/>
      <c r="M564" s="32"/>
      <c r="N564" s="31"/>
      <c r="O564" s="33">
        <v>45699</v>
      </c>
      <c r="P564" s="34">
        <v>188357.359375</v>
      </c>
      <c r="Q564" s="34">
        <v>150962.28125</v>
      </c>
      <c r="R564" s="34">
        <v>89869.484375</v>
      </c>
      <c r="S564" s="29"/>
      <c r="T564" s="33"/>
      <c r="U564" s="35" t="b">
        <v>0</v>
      </c>
      <c r="V564" s="35" t="b">
        <v>0</v>
      </c>
      <c r="W564" s="35" t="b">
        <v>0</v>
      </c>
      <c r="Y564" s="31" cm="1">
        <f t="array" ref="Y564">IF(LEFT(_xll.BDP($C564, VOLUME_AVG_10D), 4) = "#N/A", "",  _xll.BDP($C564, VOLUME_AVG_10D))</f>
        <v>101258.703125</v>
      </c>
      <c r="Z564" s="31" cm="1">
        <f t="array" ref="Z564">IF(LEFT(_xll.BDP($C564, VOLUME_AVG_30D), 4) = "#N/A", "",  _xll.BDP($C564, VOLUME_AVG_30D))</f>
        <v>188357.359375</v>
      </c>
      <c r="AA564" s="31" cm="1">
        <f t="array" ref="AA564">IF(LEFT(_xll.BDP($C564, VOLUME_AVG_3M), 4) = "#N/A", "",  _xll.BDP($C564, VOLUME_AVG_3M))</f>
        <v>150962.28125</v>
      </c>
      <c r="AB564" s="31" cm="1">
        <f t="array" ref="AB564">IF(LEFT(_xll.BDP($C564, VOLUME_AVG_6M), 4) = "#N/A", "",  _xll.BDP($C564, VOLUME_AVG_6M))</f>
        <v>89869.484375</v>
      </c>
      <c r="AC564" s="31" cm="1">
        <f t="array" ref="AC564">IF(LEFT(_xll.BDP($C564, VOLUME_AVG_12M), 4) = "#N/A", "",  _xll.BDP($C564, VOLUME_AVG_12M))</f>
        <v>127362.7734375</v>
      </c>
      <c r="AD564" s="41" cm="1">
        <f t="array" ref="AD564">IF(LEFT(_xll.BDP($C564, LAST_PRICE), 4) = "#N/A", "",  _xll.BDP($C564, LAST_PRICE))</f>
        <v>2.38</v>
      </c>
    </row>
    <row r="565" spans="1:30" x14ac:dyDescent="0.35">
      <c r="A565" s="1">
        <f t="shared" si="8"/>
        <v>562</v>
      </c>
      <c r="B565" s="28">
        <v>45700</v>
      </c>
      <c r="C565" s="29" t="s">
        <v>1180</v>
      </c>
      <c r="D565" s="29" t="s">
        <v>1180</v>
      </c>
      <c r="E565" s="29" t="s">
        <v>1181</v>
      </c>
      <c r="F565" s="29" t="s">
        <v>33</v>
      </c>
      <c r="G565" s="30" t="s">
        <v>34</v>
      </c>
      <c r="H565" s="31">
        <v>2338982.8246066002</v>
      </c>
      <c r="I565" s="31">
        <v>63812961.824606597</v>
      </c>
      <c r="J565" s="32">
        <v>0.49200001358985901</v>
      </c>
      <c r="K565" s="33">
        <v>45700</v>
      </c>
      <c r="L565" s="31">
        <v>190300</v>
      </c>
      <c r="M565" s="32">
        <v>-8.1</v>
      </c>
      <c r="N565" s="31" t="s">
        <v>35</v>
      </c>
      <c r="O565" s="33">
        <v>45699</v>
      </c>
      <c r="P565" s="34">
        <v>78485.796875</v>
      </c>
      <c r="Q565" s="34">
        <v>201058.234375</v>
      </c>
      <c r="R565" s="34">
        <v>491357.40625</v>
      </c>
      <c r="S565" s="29"/>
      <c r="T565" s="33"/>
      <c r="U565" s="35" t="b">
        <v>1</v>
      </c>
      <c r="V565" s="35" t="b">
        <v>0</v>
      </c>
      <c r="W565" s="35" t="b">
        <v>0</v>
      </c>
      <c r="Y565" s="31" cm="1">
        <f t="array" ref="Y565">IF(LEFT(_xll.BDP($C565, VOLUME_AVG_10D), 4) = "#N/A", "",  _xll.BDP($C565, VOLUME_AVG_10D))</f>
        <v>102061.8984375</v>
      </c>
      <c r="Z565" s="31" cm="1">
        <f t="array" ref="Z565">IF(LEFT(_xll.BDP($C565, VOLUME_AVG_30D), 4) = "#N/A", "",  _xll.BDP($C565, VOLUME_AVG_30D))</f>
        <v>78485.796875</v>
      </c>
      <c r="AA565" s="31" cm="1">
        <f t="array" ref="AA565">IF(LEFT(_xll.BDP($C565, VOLUME_AVG_3M), 4) = "#N/A", "",  _xll.BDP($C565, VOLUME_AVG_3M))</f>
        <v>201058.234375</v>
      </c>
      <c r="AB565" s="31" cm="1">
        <f t="array" ref="AB565">IF(LEFT(_xll.BDP($C565, VOLUME_AVG_6M), 4) = "#N/A", "",  _xll.BDP($C565, VOLUME_AVG_6M))</f>
        <v>491357.40625</v>
      </c>
      <c r="AC565" s="31" cm="1">
        <f t="array" ref="AC565">IF(LEFT(_xll.BDP($C565, VOLUME_AVG_12M), 4) = "#N/A", "",  _xll.BDP($C565, VOLUME_AVG_12M))</f>
        <v>303692.96875</v>
      </c>
      <c r="AD565" s="41" cm="1">
        <f t="array" ref="AD565">IF(LEFT(_xll.BDP($C565, LAST_PRICE), 4) = "#N/A", "",  _xll.BDP($C565, LAST_PRICE))</f>
        <v>0.49199999999999999</v>
      </c>
    </row>
    <row r="566" spans="1:30" x14ac:dyDescent="0.35">
      <c r="A566" s="1">
        <f t="shared" si="8"/>
        <v>563</v>
      </c>
      <c r="B566" s="28">
        <v>45700</v>
      </c>
      <c r="C566" s="29" t="s">
        <v>1182</v>
      </c>
      <c r="D566" s="29" t="s">
        <v>1182</v>
      </c>
      <c r="E566" s="29" t="s">
        <v>1183</v>
      </c>
      <c r="F566" s="29" t="s">
        <v>40</v>
      </c>
      <c r="G566" s="30" t="s">
        <v>41</v>
      </c>
      <c r="H566" s="31">
        <v>1534821.9456940601</v>
      </c>
      <c r="I566" s="31">
        <v>179823010.945694</v>
      </c>
      <c r="J566" s="32">
        <v>4.9999998882412902E-3</v>
      </c>
      <c r="K566" s="33">
        <v>45700</v>
      </c>
      <c r="L566" s="31"/>
      <c r="M566" s="32"/>
      <c r="N566" s="31"/>
      <c r="O566" s="33">
        <v>45699</v>
      </c>
      <c r="P566" s="34">
        <v>350703.3</v>
      </c>
      <c r="Q566" s="34">
        <v>315559.40000000002</v>
      </c>
      <c r="R566" s="34">
        <v>249960.1</v>
      </c>
      <c r="S566" s="29"/>
      <c r="T566" s="33"/>
      <c r="U566" s="35" t="b">
        <v>1</v>
      </c>
      <c r="V566" s="35" t="b">
        <v>1</v>
      </c>
      <c r="W566" s="35" t="b">
        <v>0</v>
      </c>
      <c r="Y566" s="31" cm="1">
        <f t="array" ref="Y566">IF(LEFT(_xll.BDP($C566, VOLUME_AVG_10D), 4) = "#N/A", "",  _xll.BDP($C566, VOLUME_AVG_10D))</f>
        <v>365238.1</v>
      </c>
      <c r="Z566" s="31" cm="1">
        <f t="array" ref="Z566">IF(LEFT(_xll.BDP($C566, VOLUME_AVG_30D), 4) = "#N/A", "",  _xll.BDP($C566, VOLUME_AVG_30D))</f>
        <v>350703.3</v>
      </c>
      <c r="AA566" s="31" cm="1">
        <f t="array" ref="AA566">IF(LEFT(_xll.BDP($C566, VOLUME_AVG_3M), 4) = "#N/A", "",  _xll.BDP($C566, VOLUME_AVG_3M))</f>
        <v>315559.40000000002</v>
      </c>
      <c r="AB566" s="31" cm="1">
        <f t="array" ref="AB566">IF(LEFT(_xll.BDP($C566, VOLUME_AVG_6M), 4) = "#N/A", "",  _xll.BDP($C566, VOLUME_AVG_6M))</f>
        <v>249960.1</v>
      </c>
      <c r="AC566" s="31" cm="1">
        <f t="array" ref="AC566">IF(LEFT(_xll.BDP($C566, VOLUME_AVG_12M), 4) = "#N/A", "",  _xll.BDP($C566, VOLUME_AVG_12M))</f>
        <v>245562</v>
      </c>
      <c r="AD566" s="41" cm="1">
        <f t="array" ref="AD566">IF(LEFT(_xll.BDP($C566, LAST_PRICE), 4) = "#N/A", "",  _xll.BDP($C566, LAST_PRICE))</f>
        <v>5.0000000000000001E-3</v>
      </c>
    </row>
    <row r="567" spans="1:30" x14ac:dyDescent="0.35">
      <c r="A567" s="1">
        <f t="shared" si="8"/>
        <v>564</v>
      </c>
      <c r="B567" s="28">
        <v>45700</v>
      </c>
      <c r="C567" s="29" t="s">
        <v>1184</v>
      </c>
      <c r="D567" s="29" t="s">
        <v>1184</v>
      </c>
      <c r="E567" s="29" t="s">
        <v>1185</v>
      </c>
      <c r="F567" s="29" t="s">
        <v>33</v>
      </c>
      <c r="G567" s="30" t="s">
        <v>34</v>
      </c>
      <c r="H567" s="31">
        <v>474859467.04795402</v>
      </c>
      <c r="I567" s="31">
        <v>191120467.04795399</v>
      </c>
      <c r="J567" s="32">
        <v>12.689999580383301</v>
      </c>
      <c r="K567" s="33">
        <v>45700</v>
      </c>
      <c r="L567" s="31">
        <v>4238500</v>
      </c>
      <c r="M567" s="32">
        <v>3.88</v>
      </c>
      <c r="N567" s="31" t="s">
        <v>35</v>
      </c>
      <c r="O567" s="33">
        <v>45699</v>
      </c>
      <c r="P567" s="34">
        <v>116782.8671875</v>
      </c>
      <c r="Q567" s="34">
        <v>120465.578125</v>
      </c>
      <c r="R567" s="34">
        <v>131064.1328125</v>
      </c>
      <c r="S567" s="29" t="s">
        <v>68</v>
      </c>
      <c r="T567" s="33">
        <v>45446</v>
      </c>
      <c r="U567" s="35" t="b">
        <v>0</v>
      </c>
      <c r="V567" s="35" t="b">
        <v>0</v>
      </c>
      <c r="W567" s="35" t="b">
        <v>0</v>
      </c>
      <c r="Y567" s="31" cm="1">
        <f t="array" ref="Y567">IF(LEFT(_xll.BDP($C567, VOLUME_AVG_10D), 4) = "#N/A", "",  _xll.BDP($C567, VOLUME_AVG_10D))</f>
        <v>101805.3984375</v>
      </c>
      <c r="Z567" s="31" cm="1">
        <f t="array" ref="Z567">IF(LEFT(_xll.BDP($C567, VOLUME_AVG_30D), 4) = "#N/A", "",  _xll.BDP($C567, VOLUME_AVG_30D))</f>
        <v>116782.8671875</v>
      </c>
      <c r="AA567" s="31" cm="1">
        <f t="array" ref="AA567">IF(LEFT(_xll.BDP($C567, VOLUME_AVG_3M), 4) = "#N/A", "",  _xll.BDP($C567, VOLUME_AVG_3M))</f>
        <v>120465.578125</v>
      </c>
      <c r="AB567" s="31" cm="1">
        <f t="array" ref="AB567">IF(LEFT(_xll.BDP($C567, VOLUME_AVG_6M), 4) = "#N/A", "",  _xll.BDP($C567, VOLUME_AVG_6M))</f>
        <v>131064.1328125</v>
      </c>
      <c r="AC567" s="31" cm="1">
        <f t="array" ref="AC567">IF(LEFT(_xll.BDP($C567, VOLUME_AVG_12M), 4) = "#N/A", "",  _xll.BDP($C567, VOLUME_AVG_12M))</f>
        <v>113676.15625</v>
      </c>
      <c r="AD567" s="41" cm="1">
        <f t="array" ref="AD567">IF(LEFT(_xll.BDP($C567, LAST_PRICE), 4) = "#N/A", "",  _xll.BDP($C567, LAST_PRICE))</f>
        <v>12.69</v>
      </c>
    </row>
    <row r="568" spans="1:30" x14ac:dyDescent="0.35">
      <c r="A568" s="1">
        <f t="shared" si="8"/>
        <v>565</v>
      </c>
      <c r="B568" s="28">
        <v>45700</v>
      </c>
      <c r="C568" s="29" t="s">
        <v>1186</v>
      </c>
      <c r="D568" s="29" t="s">
        <v>1186</v>
      </c>
      <c r="E568" s="29" t="s">
        <v>1187</v>
      </c>
      <c r="F568" s="29" t="s">
        <v>33</v>
      </c>
      <c r="G568" s="30" t="s">
        <v>34</v>
      </c>
      <c r="H568" s="31">
        <v>3727607.2012478099</v>
      </c>
      <c r="I568" s="31">
        <v>615924.20124781097</v>
      </c>
      <c r="J568" s="32">
        <v>1.58000004291534</v>
      </c>
      <c r="K568" s="33">
        <v>45700</v>
      </c>
      <c r="L568" s="31">
        <v>31600</v>
      </c>
      <c r="M568" s="32">
        <v>-21.6</v>
      </c>
      <c r="N568" s="31" t="s">
        <v>35</v>
      </c>
      <c r="O568" s="33">
        <v>45699</v>
      </c>
      <c r="P568" s="34">
        <v>328420.4375</v>
      </c>
      <c r="Q568" s="34">
        <v>167393.046875</v>
      </c>
      <c r="R568" s="34">
        <v>98956.125</v>
      </c>
      <c r="S568" s="29"/>
      <c r="T568" s="33"/>
      <c r="U568" s="35" t="b">
        <v>1</v>
      </c>
      <c r="V568" s="35" t="b">
        <v>0</v>
      </c>
      <c r="W568" s="35" t="b">
        <v>0</v>
      </c>
      <c r="Y568" s="31" cm="1">
        <f t="array" ref="Y568">IF(LEFT(_xll.BDP($C568, VOLUME_AVG_10D), 4) = "#N/A", "",  _xll.BDP($C568, VOLUME_AVG_10D))</f>
        <v>835933.625</v>
      </c>
      <c r="Z568" s="31" cm="1">
        <f t="array" ref="Z568">IF(LEFT(_xll.BDP($C568, VOLUME_AVG_30D), 4) = "#N/A", "",  _xll.BDP($C568, VOLUME_AVG_30D))</f>
        <v>328420.4375</v>
      </c>
      <c r="AA568" s="31" cm="1">
        <f t="array" ref="AA568">IF(LEFT(_xll.BDP($C568, VOLUME_AVG_3M), 4) = "#N/A", "",  _xll.BDP($C568, VOLUME_AVG_3M))</f>
        <v>167393.046875</v>
      </c>
      <c r="AB568" s="31" cm="1">
        <f t="array" ref="AB568">IF(LEFT(_xll.BDP($C568, VOLUME_AVG_6M), 4) = "#N/A", "",  _xll.BDP($C568, VOLUME_AVG_6M))</f>
        <v>98956.125</v>
      </c>
      <c r="AC568" s="31" cm="1">
        <f t="array" ref="AC568">IF(LEFT(_xll.BDP($C568, VOLUME_AVG_12M), 4) = "#N/A", "",  _xll.BDP($C568, VOLUME_AVG_12M))</f>
        <v>147052.703125</v>
      </c>
      <c r="AD568" s="41" cm="1">
        <f t="array" ref="AD568">IF(LEFT(_xll.BDP($C568, LAST_PRICE), 4) = "#N/A", "",  _xll.BDP($C568, LAST_PRICE))</f>
        <v>1.58</v>
      </c>
    </row>
    <row r="569" spans="1:30" x14ac:dyDescent="0.35">
      <c r="A569" s="1">
        <f t="shared" si="8"/>
        <v>566</v>
      </c>
      <c r="B569" s="28">
        <v>45700</v>
      </c>
      <c r="C569" s="29" t="s">
        <v>1188</v>
      </c>
      <c r="D569" s="29" t="s">
        <v>1188</v>
      </c>
      <c r="E569" s="29" t="s">
        <v>1189</v>
      </c>
      <c r="F569" s="29" t="s">
        <v>33</v>
      </c>
      <c r="G569" s="30" t="s">
        <v>34</v>
      </c>
      <c r="H569" s="31">
        <v>3589939686.7995601</v>
      </c>
      <c r="I569" s="31">
        <v>4068539686.7995601</v>
      </c>
      <c r="J569" s="32">
        <v>20.860000610351602</v>
      </c>
      <c r="K569" s="33">
        <v>45700</v>
      </c>
      <c r="L569" s="31">
        <v>60836100</v>
      </c>
      <c r="M569" s="32">
        <v>3.88</v>
      </c>
      <c r="N569" s="31" t="s">
        <v>35</v>
      </c>
      <c r="O569" s="33">
        <v>45699</v>
      </c>
      <c r="P569" s="34">
        <v>2174086.5</v>
      </c>
      <c r="Q569" s="34">
        <v>2055106.5</v>
      </c>
      <c r="R569" s="34">
        <v>2233205.75</v>
      </c>
      <c r="S569" s="29"/>
      <c r="T569" s="33"/>
      <c r="U569" s="35" t="b">
        <v>0</v>
      </c>
      <c r="V569" s="35" t="b">
        <v>0</v>
      </c>
      <c r="W569" s="35" t="b">
        <v>0</v>
      </c>
      <c r="Y569" s="31" cm="1">
        <f t="array" ref="Y569">IF(LEFT(_xll.BDP($C569, VOLUME_AVG_10D), 4) = "#N/A", "",  _xll.BDP($C569, VOLUME_AVG_10D))</f>
        <v>2880348</v>
      </c>
      <c r="Z569" s="31" cm="1">
        <f t="array" ref="Z569">IF(LEFT(_xll.BDP($C569, VOLUME_AVG_30D), 4) = "#N/A", "",  _xll.BDP($C569, VOLUME_AVG_30D))</f>
        <v>2174086.5</v>
      </c>
      <c r="AA569" s="31" cm="1">
        <f t="array" ref="AA569">IF(LEFT(_xll.BDP($C569, VOLUME_AVG_3M), 4) = "#N/A", "",  _xll.BDP($C569, VOLUME_AVG_3M))</f>
        <v>2055106.5</v>
      </c>
      <c r="AB569" s="31" cm="1">
        <f t="array" ref="AB569">IF(LEFT(_xll.BDP($C569, VOLUME_AVG_6M), 4) = "#N/A", "",  _xll.BDP($C569, VOLUME_AVG_6M))</f>
        <v>2233205.75</v>
      </c>
      <c r="AC569" s="31" cm="1">
        <f t="array" ref="AC569">IF(LEFT(_xll.BDP($C569, VOLUME_AVG_12M), 4) = "#N/A", "",  _xll.BDP($C569, VOLUME_AVG_12M))</f>
        <v>2326852.25</v>
      </c>
      <c r="AD569" s="41" cm="1">
        <f t="array" ref="AD569">IF(LEFT(_xll.BDP($C569, LAST_PRICE), 4) = "#N/A", "",  _xll.BDP($C569, LAST_PRICE))</f>
        <v>20.86</v>
      </c>
    </row>
    <row r="570" spans="1:30" x14ac:dyDescent="0.35">
      <c r="A570" s="1">
        <f t="shared" si="8"/>
        <v>567</v>
      </c>
      <c r="B570" s="28">
        <v>45700</v>
      </c>
      <c r="C570" s="29" t="s">
        <v>1190</v>
      </c>
      <c r="D570" s="29" t="s">
        <v>1190</v>
      </c>
      <c r="E570" s="29" t="s">
        <v>1191</v>
      </c>
      <c r="F570" s="29" t="s">
        <v>33</v>
      </c>
      <c r="G570" s="30" t="s">
        <v>34</v>
      </c>
      <c r="H570" s="31">
        <v>28545258.974254701</v>
      </c>
      <c r="I570" s="31">
        <v>24889258.974254701</v>
      </c>
      <c r="J570" s="32">
        <v>1.4099999666214</v>
      </c>
      <c r="K570" s="33">
        <v>45700</v>
      </c>
      <c r="L570" s="31">
        <v>103700</v>
      </c>
      <c r="M570" s="32">
        <v>-26.75</v>
      </c>
      <c r="N570" s="31" t="s">
        <v>35</v>
      </c>
      <c r="O570" s="33">
        <v>45699</v>
      </c>
      <c r="P570" s="34">
        <v>34135</v>
      </c>
      <c r="Q570" s="34">
        <v>44757.17578125</v>
      </c>
      <c r="R570" s="34">
        <v>138863.109375</v>
      </c>
      <c r="S570" s="29"/>
      <c r="T570" s="33"/>
      <c r="U570" s="35" t="b">
        <v>0</v>
      </c>
      <c r="V570" s="35" t="b">
        <v>0</v>
      </c>
      <c r="W570" s="35" t="b">
        <v>0</v>
      </c>
      <c r="Y570" s="31" cm="1">
        <f t="array" ref="Y570">IF(LEFT(_xll.BDP($C570, VOLUME_AVG_10D), 4) = "#N/A", "",  _xll.BDP($C570, VOLUME_AVG_10D))</f>
        <v>17833.30078125</v>
      </c>
      <c r="Z570" s="31" cm="1">
        <f t="array" ref="Z570">IF(LEFT(_xll.BDP($C570, VOLUME_AVG_30D), 4) = "#N/A", "",  _xll.BDP($C570, VOLUME_AVG_30D))</f>
        <v>34135</v>
      </c>
      <c r="AA570" s="31" cm="1">
        <f t="array" ref="AA570">IF(LEFT(_xll.BDP($C570, VOLUME_AVG_3M), 4) = "#N/A", "",  _xll.BDP($C570, VOLUME_AVG_3M))</f>
        <v>44757.17578125</v>
      </c>
      <c r="AB570" s="31" cm="1">
        <f t="array" ref="AB570">IF(LEFT(_xll.BDP($C570, VOLUME_AVG_6M), 4) = "#N/A", "",  _xll.BDP($C570, VOLUME_AVG_6M))</f>
        <v>138863.109375</v>
      </c>
      <c r="AC570" s="31" cm="1">
        <f t="array" ref="AC570">IF(LEFT(_xll.BDP($C570, VOLUME_AVG_12M), 4) = "#N/A", "",  _xll.BDP($C570, VOLUME_AVG_12M))</f>
        <v>188013.46875</v>
      </c>
      <c r="AD570" s="41" cm="1">
        <f t="array" ref="AD570">IF(LEFT(_xll.BDP($C570, LAST_PRICE), 4) = "#N/A", "",  _xll.BDP($C570, LAST_PRICE))</f>
        <v>1.41</v>
      </c>
    </row>
    <row r="571" spans="1:30" x14ac:dyDescent="0.35">
      <c r="A571" s="1">
        <f t="shared" si="8"/>
        <v>568</v>
      </c>
      <c r="B571" s="28">
        <v>45700</v>
      </c>
      <c r="C571" s="29" t="s">
        <v>1192</v>
      </c>
      <c r="D571" s="29" t="s">
        <v>1192</v>
      </c>
      <c r="E571" s="29" t="s">
        <v>1193</v>
      </c>
      <c r="F571" s="29" t="s">
        <v>33</v>
      </c>
      <c r="G571" s="30" t="s">
        <v>34</v>
      </c>
      <c r="H571" s="31">
        <v>58219518.829345703</v>
      </c>
      <c r="I571" s="31">
        <v>10988518.829345699</v>
      </c>
      <c r="J571" s="32">
        <v>3.3199999332428001</v>
      </c>
      <c r="K571" s="33">
        <v>45700</v>
      </c>
      <c r="L571" s="31">
        <v>1153200</v>
      </c>
      <c r="M571" s="32">
        <v>3.65</v>
      </c>
      <c r="N571" s="31" t="s">
        <v>35</v>
      </c>
      <c r="O571" s="33">
        <v>45699</v>
      </c>
      <c r="P571" s="34">
        <v>122970.3671875</v>
      </c>
      <c r="Q571" s="34">
        <v>142154.21875</v>
      </c>
      <c r="R571" s="34">
        <v>134179</v>
      </c>
      <c r="S571" s="29"/>
      <c r="T571" s="33"/>
      <c r="U571" s="35" t="b">
        <v>0</v>
      </c>
      <c r="V571" s="35" t="b">
        <v>0</v>
      </c>
      <c r="W571" s="35" t="b">
        <v>0</v>
      </c>
      <c r="Y571" s="31" cm="1">
        <f t="array" ref="Y571">IF(LEFT(_xll.BDP($C571, VOLUME_AVG_10D), 4) = "#N/A", "",  _xll.BDP($C571, VOLUME_AVG_10D))</f>
        <v>73368.203125</v>
      </c>
      <c r="Z571" s="31" cm="1">
        <f t="array" ref="Z571">IF(LEFT(_xll.BDP($C571, VOLUME_AVG_30D), 4) = "#N/A", "",  _xll.BDP($C571, VOLUME_AVG_30D))</f>
        <v>122970.3671875</v>
      </c>
      <c r="AA571" s="31" cm="1">
        <f t="array" ref="AA571">IF(LEFT(_xll.BDP($C571, VOLUME_AVG_3M), 4) = "#N/A", "",  _xll.BDP($C571, VOLUME_AVG_3M))</f>
        <v>142154.21875</v>
      </c>
      <c r="AB571" s="31" cm="1">
        <f t="array" ref="AB571">IF(LEFT(_xll.BDP($C571, VOLUME_AVG_6M), 4) = "#N/A", "",  _xll.BDP($C571, VOLUME_AVG_6M))</f>
        <v>134179</v>
      </c>
      <c r="AC571" s="31" cm="1">
        <f t="array" ref="AC571">IF(LEFT(_xll.BDP($C571, VOLUME_AVG_12M), 4) = "#N/A", "",  _xll.BDP($C571, VOLUME_AVG_12M))</f>
        <v>120132.25</v>
      </c>
      <c r="AD571" s="41" cm="1">
        <f t="array" ref="AD571">IF(LEFT(_xll.BDP($C571, LAST_PRICE), 4) = "#N/A", "",  _xll.BDP($C571, LAST_PRICE))</f>
        <v>3.32</v>
      </c>
    </row>
    <row r="572" spans="1:30" x14ac:dyDescent="0.35">
      <c r="A572" s="1">
        <f t="shared" si="8"/>
        <v>569</v>
      </c>
      <c r="B572" s="28">
        <v>45700</v>
      </c>
      <c r="C572" s="29" t="s">
        <v>1194</v>
      </c>
      <c r="D572" s="29" t="s">
        <v>1194</v>
      </c>
      <c r="E572" s="29" t="s">
        <v>1195</v>
      </c>
      <c r="F572" s="29" t="s">
        <v>33</v>
      </c>
      <c r="G572" s="30" t="s">
        <v>34</v>
      </c>
      <c r="H572" s="31">
        <v>24857730.805299498</v>
      </c>
      <c r="I572" s="31">
        <v>-19686269.194700502</v>
      </c>
      <c r="J572" s="32">
        <v>0.47580000758171098</v>
      </c>
      <c r="K572" s="33">
        <v>45700</v>
      </c>
      <c r="L572" s="31">
        <v>4264100</v>
      </c>
      <c r="M572" s="32">
        <v>3.7</v>
      </c>
      <c r="N572" s="31" t="s">
        <v>35</v>
      </c>
      <c r="O572" s="33">
        <v>45699</v>
      </c>
      <c r="P572" s="34">
        <v>131365.796875</v>
      </c>
      <c r="Q572" s="34">
        <v>163768.765625</v>
      </c>
      <c r="R572" s="34">
        <v>118061.0546875</v>
      </c>
      <c r="S572" s="29" t="s">
        <v>49</v>
      </c>
      <c r="T572" s="33">
        <v>45446</v>
      </c>
      <c r="U572" s="35" t="b">
        <v>0</v>
      </c>
      <c r="V572" s="35" t="b">
        <v>0</v>
      </c>
      <c r="W572" s="35" t="b">
        <v>1</v>
      </c>
      <c r="Y572" s="31" cm="1">
        <f t="array" ref="Y572">IF(LEFT(_xll.BDP($C572, VOLUME_AVG_10D), 4) = "#N/A", "",  _xll.BDP($C572, VOLUME_AVG_10D))</f>
        <v>142967.90625</v>
      </c>
      <c r="Z572" s="31" cm="1">
        <f t="array" ref="Z572">IF(LEFT(_xll.BDP($C572, VOLUME_AVG_30D), 4) = "#N/A", "",  _xll.BDP($C572, VOLUME_AVG_30D))</f>
        <v>131365.796875</v>
      </c>
      <c r="AA572" s="31" cm="1">
        <f t="array" ref="AA572">IF(LEFT(_xll.BDP($C572, VOLUME_AVG_3M), 4) = "#N/A", "",  _xll.BDP($C572, VOLUME_AVG_3M))</f>
        <v>163768.765625</v>
      </c>
      <c r="AB572" s="31" cm="1">
        <f t="array" ref="AB572">IF(LEFT(_xll.BDP($C572, VOLUME_AVG_6M), 4) = "#N/A", "",  _xll.BDP($C572, VOLUME_AVG_6M))</f>
        <v>118061.0546875</v>
      </c>
      <c r="AC572" s="31" cm="1">
        <f t="array" ref="AC572">IF(LEFT(_xll.BDP($C572, VOLUME_AVG_12M), 4) = "#N/A", "",  _xll.BDP($C572, VOLUME_AVG_12M))</f>
        <v>116150.8671875</v>
      </c>
      <c r="AD572" s="41" cm="1">
        <f t="array" ref="AD572">IF(LEFT(_xll.BDP($C572, LAST_PRICE), 4) = "#N/A", "",  _xll.BDP($C572, LAST_PRICE))</f>
        <v>0.4758</v>
      </c>
    </row>
    <row r="573" spans="1:30" x14ac:dyDescent="0.35">
      <c r="A573" s="1">
        <f t="shared" si="8"/>
        <v>570</v>
      </c>
      <c r="B573" s="28">
        <v>45700</v>
      </c>
      <c r="C573" s="29" t="s">
        <v>1196</v>
      </c>
      <c r="D573" s="29" t="s">
        <v>1196</v>
      </c>
      <c r="E573" s="29" t="s">
        <v>1197</v>
      </c>
      <c r="F573" s="29" t="s">
        <v>33</v>
      </c>
      <c r="G573" s="30" t="s">
        <v>34</v>
      </c>
      <c r="H573" s="31">
        <v>11132190.892353499</v>
      </c>
      <c r="I573" s="31">
        <v>8059190.8923535002</v>
      </c>
      <c r="J573" s="32">
        <v>0.15000000596046401</v>
      </c>
      <c r="K573" s="33">
        <v>45700</v>
      </c>
      <c r="L573" s="31">
        <v>350800</v>
      </c>
      <c r="M573" s="32">
        <v>-0.9</v>
      </c>
      <c r="N573" s="31" t="s">
        <v>35</v>
      </c>
      <c r="O573" s="33">
        <v>45699</v>
      </c>
      <c r="P573" s="34">
        <v>69507.734375</v>
      </c>
      <c r="Q573" s="34">
        <v>80953.3203125</v>
      </c>
      <c r="R573" s="34">
        <v>48590.16796875</v>
      </c>
      <c r="S573" s="29"/>
      <c r="T573" s="33"/>
      <c r="U573" s="35" t="b">
        <v>1</v>
      </c>
      <c r="V573" s="35" t="b">
        <v>0</v>
      </c>
      <c r="W573" s="35" t="b">
        <v>0</v>
      </c>
      <c r="Y573" s="31" cm="1">
        <f t="array" ref="Y573">IF(LEFT(_xll.BDP($C573, VOLUME_AVG_10D), 4) = "#N/A", "",  _xll.BDP($C573, VOLUME_AVG_10D))</f>
        <v>32051.5</v>
      </c>
      <c r="Z573" s="31" cm="1">
        <f t="array" ref="Z573">IF(LEFT(_xll.BDP($C573, VOLUME_AVG_30D), 4) = "#N/A", "",  _xll.BDP($C573, VOLUME_AVG_30D))</f>
        <v>69507.734375</v>
      </c>
      <c r="AA573" s="31" cm="1">
        <f t="array" ref="AA573">IF(LEFT(_xll.BDP($C573, VOLUME_AVG_3M), 4) = "#N/A", "",  _xll.BDP($C573, VOLUME_AVG_3M))</f>
        <v>80953.3203125</v>
      </c>
      <c r="AB573" s="31" cm="1">
        <f t="array" ref="AB573">IF(LEFT(_xll.BDP($C573, VOLUME_AVG_6M), 4) = "#N/A", "",  _xll.BDP($C573, VOLUME_AVG_6M))</f>
        <v>48590.16796875</v>
      </c>
      <c r="AC573" s="31" cm="1">
        <f t="array" ref="AC573">IF(LEFT(_xll.BDP($C573, VOLUME_AVG_12M), 4) = "#N/A", "",  _xll.BDP($C573, VOLUME_AVG_12M))</f>
        <v>37478.140625</v>
      </c>
      <c r="AD573" s="41" cm="1">
        <f t="array" ref="AD573">IF(LEFT(_xll.BDP($C573, LAST_PRICE), 4) = "#N/A", "",  _xll.BDP($C573, LAST_PRICE))</f>
        <v>0.15</v>
      </c>
    </row>
    <row r="574" spans="1:30" x14ac:dyDescent="0.35">
      <c r="A574" s="1">
        <f t="shared" si="8"/>
        <v>571</v>
      </c>
      <c r="B574" s="28">
        <v>45700</v>
      </c>
      <c r="C574" s="29" t="s">
        <v>1198</v>
      </c>
      <c r="D574" s="29" t="s">
        <v>1198</v>
      </c>
      <c r="E574" s="29" t="s">
        <v>1199</v>
      </c>
      <c r="F574" s="29" t="s">
        <v>33</v>
      </c>
      <c r="G574" s="30" t="s">
        <v>34</v>
      </c>
      <c r="H574" s="31">
        <v>15857905.207514601</v>
      </c>
      <c r="I574" s="31">
        <v>13005300.207514601</v>
      </c>
      <c r="J574" s="32">
        <v>0.140000000596046</v>
      </c>
      <c r="K574" s="33">
        <v>45700</v>
      </c>
      <c r="L574" s="31">
        <v>223400</v>
      </c>
      <c r="M574" s="32">
        <v>-23.7</v>
      </c>
      <c r="N574" s="31" t="s">
        <v>35</v>
      </c>
      <c r="O574" s="33">
        <v>45699</v>
      </c>
      <c r="P574" s="34">
        <v>2308.53344726563</v>
      </c>
      <c r="Q574" s="34">
        <v>2284.41943359375</v>
      </c>
      <c r="R574" s="34">
        <v>1737.15869140625</v>
      </c>
      <c r="S574" s="29"/>
      <c r="T574" s="33"/>
      <c r="U574" s="35" t="b">
        <v>1</v>
      </c>
      <c r="V574" s="35" t="b">
        <v>0</v>
      </c>
      <c r="W574" s="35" t="b">
        <v>0</v>
      </c>
      <c r="Y574" s="31" cm="1">
        <f t="array" ref="Y574">IF(LEFT(_xll.BDP($C574, VOLUME_AVG_10D), 4) = "#N/A", "",  _xll.BDP($C574, VOLUME_AVG_10D))</f>
        <v>1362</v>
      </c>
      <c r="Z574" s="31" cm="1">
        <f t="array" ref="Z574">IF(LEFT(_xll.BDP($C574, VOLUME_AVG_30D), 4) = "#N/A", "",  _xll.BDP($C574, VOLUME_AVG_30D))</f>
        <v>2308.533447265625</v>
      </c>
      <c r="AA574" s="31" cm="1">
        <f t="array" ref="AA574">IF(LEFT(_xll.BDP($C574, VOLUME_AVG_3M), 4) = "#N/A", "",  _xll.BDP($C574, VOLUME_AVG_3M))</f>
        <v>2284.41943359375</v>
      </c>
      <c r="AB574" s="31" cm="1">
        <f t="array" ref="AB574">IF(LEFT(_xll.BDP($C574, VOLUME_AVG_6M), 4) = "#N/A", "",  _xll.BDP($C574, VOLUME_AVG_6M))</f>
        <v>1737.15869140625</v>
      </c>
      <c r="AC574" s="31" cm="1">
        <f t="array" ref="AC574">IF(LEFT(_xll.BDP($C574, VOLUME_AVG_12M), 4) = "#N/A", "",  _xll.BDP($C574, VOLUME_AVG_12M))</f>
        <v>2175.737060546875</v>
      </c>
      <c r="AD574" s="41" cm="1">
        <f t="array" ref="AD574">IF(LEFT(_xll.BDP($C574, LAST_PRICE), 4) = "#N/A", "",  _xll.BDP($C574, LAST_PRICE))</f>
        <v>0.14000000000000001</v>
      </c>
    </row>
    <row r="575" spans="1:30" x14ac:dyDescent="0.35">
      <c r="A575" s="1">
        <f t="shared" si="8"/>
        <v>572</v>
      </c>
      <c r="B575" s="28">
        <v>45700</v>
      </c>
      <c r="C575" s="29" t="s">
        <v>1200</v>
      </c>
      <c r="D575" s="29" t="s">
        <v>1200</v>
      </c>
      <c r="E575" s="29" t="s">
        <v>1201</v>
      </c>
      <c r="F575" s="29" t="s">
        <v>33</v>
      </c>
      <c r="G575" s="30" t="s">
        <v>34</v>
      </c>
      <c r="H575" s="31"/>
      <c r="I575" s="31"/>
      <c r="J575" s="32">
        <v>9.9999999747524292E-7</v>
      </c>
      <c r="K575" s="33">
        <v>45700</v>
      </c>
      <c r="L575" s="31"/>
      <c r="M575" s="32"/>
      <c r="N575" s="31"/>
      <c r="O575" s="33">
        <v>45699</v>
      </c>
      <c r="P575" s="34">
        <v>67.166664123535199</v>
      </c>
      <c r="Q575" s="34">
        <v>44.080646514892599</v>
      </c>
      <c r="R575" s="34">
        <v>2109.07153320313</v>
      </c>
      <c r="S575" s="29"/>
      <c r="T575" s="33"/>
      <c r="U575" s="35" t="b">
        <v>1</v>
      </c>
      <c r="V575" s="35" t="b">
        <v>1</v>
      </c>
      <c r="W575" s="35" t="b">
        <v>1</v>
      </c>
      <c r="Y575" s="31" cm="1">
        <f t="array" ref="Y575">IF(LEFT(_xll.BDP($C575, VOLUME_AVG_10D), 4) = "#N/A", "",  _xll.BDP($C575, VOLUME_AVG_10D))</f>
        <v>201.5</v>
      </c>
      <c r="Z575" s="31" cm="1">
        <f t="array" ref="Z575">IF(LEFT(_xll.BDP($C575, VOLUME_AVG_30D), 4) = "#N/A", "",  _xll.BDP($C575, VOLUME_AVG_30D))</f>
        <v>67.166664123535156</v>
      </c>
      <c r="AA575" s="31" cm="1">
        <f t="array" ref="AA575">IF(LEFT(_xll.BDP($C575, VOLUME_AVG_3M), 4) = "#N/A", "",  _xll.BDP($C575, VOLUME_AVG_3M))</f>
        <v>44.080646514892578</v>
      </c>
      <c r="AB575" s="31" cm="1">
        <f t="array" ref="AB575">IF(LEFT(_xll.BDP($C575, VOLUME_AVG_6M), 4) = "#N/A", "",  _xll.BDP($C575, VOLUME_AVG_6M))</f>
        <v>2109.071533203125</v>
      </c>
      <c r="AC575" s="31" cm="1">
        <f t="array" ref="AC575">IF(LEFT(_xll.BDP($C575, VOLUME_AVG_12M), 4) = "#N/A", "",  _xll.BDP($C575, VOLUME_AVG_12M))</f>
        <v>42637.6328125</v>
      </c>
      <c r="AD575" s="41" cm="1">
        <f t="array" ref="AD575">IF(LEFT(_xll.BDP($C575, LAST_PRICE), 4) = "#N/A", "",  _xll.BDP($C575, LAST_PRICE))</f>
        <v>0</v>
      </c>
    </row>
    <row r="576" spans="1:30" x14ac:dyDescent="0.35">
      <c r="A576" s="1">
        <f t="shared" si="8"/>
        <v>573</v>
      </c>
      <c r="B576" s="28">
        <v>45700</v>
      </c>
      <c r="C576" s="29" t="s">
        <v>1202</v>
      </c>
      <c r="D576" s="29" t="s">
        <v>1202</v>
      </c>
      <c r="E576" s="29" t="s">
        <v>1203</v>
      </c>
      <c r="F576" s="29" t="s">
        <v>33</v>
      </c>
      <c r="G576" s="30" t="s">
        <v>34</v>
      </c>
      <c r="H576" s="31">
        <v>443881847.56963599</v>
      </c>
      <c r="I576" s="31">
        <v>187390847.56963599</v>
      </c>
      <c r="J576" s="32">
        <v>1.5700000524520901</v>
      </c>
      <c r="K576" s="33">
        <v>45700</v>
      </c>
      <c r="L576" s="31">
        <v>27956300</v>
      </c>
      <c r="M576" s="32">
        <v>3.88</v>
      </c>
      <c r="N576" s="31" t="s">
        <v>35</v>
      </c>
      <c r="O576" s="33">
        <v>45699</v>
      </c>
      <c r="P576" s="34">
        <v>1354147.25</v>
      </c>
      <c r="Q576" s="34">
        <v>1382021.875</v>
      </c>
      <c r="R576" s="34">
        <v>1701562.25</v>
      </c>
      <c r="S576" s="29" t="s">
        <v>46</v>
      </c>
      <c r="T576" s="33">
        <v>45446</v>
      </c>
      <c r="U576" s="35" t="b">
        <v>0</v>
      </c>
      <c r="V576" s="35" t="b">
        <v>0</v>
      </c>
      <c r="W576" s="35" t="b">
        <v>0</v>
      </c>
      <c r="Y576" s="31" cm="1">
        <f t="array" ref="Y576">IF(LEFT(_xll.BDP($C576, VOLUME_AVG_10D), 4) = "#N/A", "",  _xll.BDP($C576, VOLUME_AVG_10D))</f>
        <v>1487079.375</v>
      </c>
      <c r="Z576" s="31" cm="1">
        <f t="array" ref="Z576">IF(LEFT(_xll.BDP($C576, VOLUME_AVG_30D), 4) = "#N/A", "",  _xll.BDP($C576, VOLUME_AVG_30D))</f>
        <v>1354147.25</v>
      </c>
      <c r="AA576" s="31" cm="1">
        <f t="array" ref="AA576">IF(LEFT(_xll.BDP($C576, VOLUME_AVG_3M), 4) = "#N/A", "",  _xll.BDP($C576, VOLUME_AVG_3M))</f>
        <v>1382021.875</v>
      </c>
      <c r="AB576" s="31" cm="1">
        <f t="array" ref="AB576">IF(LEFT(_xll.BDP($C576, VOLUME_AVG_6M), 4) = "#N/A", "",  _xll.BDP($C576, VOLUME_AVG_6M))</f>
        <v>1701562.25</v>
      </c>
      <c r="AC576" s="31" cm="1">
        <f t="array" ref="AC576">IF(LEFT(_xll.BDP($C576, VOLUME_AVG_12M), 4) = "#N/A", "",  _xll.BDP($C576, VOLUME_AVG_12M))</f>
        <v>1683045.125</v>
      </c>
      <c r="AD576" s="41" cm="1">
        <f t="array" ref="AD576">IF(LEFT(_xll.BDP($C576, LAST_PRICE), 4) = "#N/A", "",  _xll.BDP($C576, LAST_PRICE))</f>
        <v>1.57</v>
      </c>
    </row>
    <row r="577" spans="1:30" x14ac:dyDescent="0.35">
      <c r="A577" s="1">
        <f t="shared" si="8"/>
        <v>574</v>
      </c>
      <c r="B577" s="28">
        <v>45700</v>
      </c>
      <c r="C577" s="29" t="s">
        <v>1204</v>
      </c>
      <c r="D577" s="29" t="s">
        <v>1204</v>
      </c>
      <c r="E577" s="29" t="s">
        <v>1205</v>
      </c>
      <c r="F577" s="29" t="s">
        <v>33</v>
      </c>
      <c r="G577" s="30" t="s">
        <v>34</v>
      </c>
      <c r="H577" s="31">
        <v>1149375.9950000001</v>
      </c>
      <c r="I577" s="31">
        <v>2332619.9950000001</v>
      </c>
      <c r="J577" s="32">
        <v>0.155</v>
      </c>
      <c r="K577" s="33">
        <v>45700</v>
      </c>
      <c r="L577" s="31">
        <v>3700</v>
      </c>
      <c r="M577" s="32">
        <v>3.3</v>
      </c>
      <c r="N577" s="31" t="s">
        <v>35</v>
      </c>
      <c r="O577" s="33">
        <v>45699</v>
      </c>
      <c r="P577" s="34">
        <v>5576.89990234375</v>
      </c>
      <c r="Q577" s="34">
        <v>3497.35473632813</v>
      </c>
      <c r="R577" s="34">
        <v>3273.78564453125</v>
      </c>
      <c r="S577" s="29"/>
      <c r="T577" s="33"/>
      <c r="U577" s="35" t="b">
        <v>1</v>
      </c>
      <c r="V577" s="35" t="b">
        <v>0</v>
      </c>
      <c r="W577" s="35" t="b">
        <v>0</v>
      </c>
      <c r="Y577" s="31" cm="1">
        <f t="array" ref="Y577">IF(LEFT(_xll.BDP($C577, VOLUME_AVG_10D), 4) = "#N/A", "",  _xll.BDP($C577, VOLUME_AVG_10D))</f>
        <v>11.399999618530273</v>
      </c>
      <c r="Z577" s="31" cm="1">
        <f t="array" ref="Z577">IF(LEFT(_xll.BDP($C577, VOLUME_AVG_30D), 4) = "#N/A", "",  _xll.BDP($C577, VOLUME_AVG_30D))</f>
        <v>5576.89990234375</v>
      </c>
      <c r="AA577" s="31" cm="1">
        <f t="array" ref="AA577">IF(LEFT(_xll.BDP($C577, VOLUME_AVG_3M), 4) = "#N/A", "",  _xll.BDP($C577, VOLUME_AVG_3M))</f>
        <v>3497.354736328125</v>
      </c>
      <c r="AB577" s="31" cm="1">
        <f t="array" ref="AB577">IF(LEFT(_xll.BDP($C577, VOLUME_AVG_6M), 4) = "#N/A", "",  _xll.BDP($C577, VOLUME_AVG_6M))</f>
        <v>3273.78564453125</v>
      </c>
      <c r="AC577" s="31" cm="1">
        <f t="array" ref="AC577">IF(LEFT(_xll.BDP($C577, VOLUME_AVG_12M), 4) = "#N/A", "",  _xll.BDP($C577, VOLUME_AVG_12M))</f>
        <v>4173.8564453125</v>
      </c>
      <c r="AD577" s="41" cm="1">
        <f t="array" ref="AD577">IF(LEFT(_xll.BDP($C577, LAST_PRICE), 4) = "#N/A", "",  _xll.BDP($C577, LAST_PRICE))</f>
        <v>0.155</v>
      </c>
    </row>
    <row r="578" spans="1:30" x14ac:dyDescent="0.35">
      <c r="A578" s="1">
        <f t="shared" si="8"/>
        <v>575</v>
      </c>
      <c r="B578" s="28">
        <v>45700</v>
      </c>
      <c r="C578" s="29" t="s">
        <v>1206</v>
      </c>
      <c r="D578" s="29" t="s">
        <v>1206</v>
      </c>
      <c r="E578" s="29" t="s">
        <v>1207</v>
      </c>
      <c r="F578" s="29" t="s">
        <v>33</v>
      </c>
      <c r="G578" s="30" t="s">
        <v>34</v>
      </c>
      <c r="H578" s="31">
        <v>370426120.54046297</v>
      </c>
      <c r="I578" s="31">
        <v>494671120.54046297</v>
      </c>
      <c r="J578" s="32">
        <v>1.87999999523163</v>
      </c>
      <c r="K578" s="33">
        <v>45700</v>
      </c>
      <c r="L578" s="31">
        <v>13767300</v>
      </c>
      <c r="M578" s="32">
        <v>3.6</v>
      </c>
      <c r="N578" s="31" t="s">
        <v>35</v>
      </c>
      <c r="O578" s="33">
        <v>45699</v>
      </c>
      <c r="P578" s="34">
        <v>4601990</v>
      </c>
      <c r="Q578" s="34">
        <v>6096471</v>
      </c>
      <c r="R578" s="34">
        <v>4866950.5</v>
      </c>
      <c r="S578" s="29" t="s">
        <v>254</v>
      </c>
      <c r="T578" s="33">
        <v>45446</v>
      </c>
      <c r="U578" s="35" t="b">
        <v>0</v>
      </c>
      <c r="V578" s="35" t="b">
        <v>0</v>
      </c>
      <c r="W578" s="35" t="b">
        <v>0</v>
      </c>
      <c r="Y578" s="31" cm="1">
        <f t="array" ref="Y578">IF(LEFT(_xll.BDP($C578, VOLUME_AVG_10D), 4) = "#N/A", "",  _xll.BDP($C578, VOLUME_AVG_10D))</f>
        <v>4038386.25</v>
      </c>
      <c r="Z578" s="31" cm="1">
        <f t="array" ref="Z578">IF(LEFT(_xll.BDP($C578, VOLUME_AVG_30D), 4) = "#N/A", "",  _xll.BDP($C578, VOLUME_AVG_30D))</f>
        <v>4601990</v>
      </c>
      <c r="AA578" s="31" cm="1">
        <f t="array" ref="AA578">IF(LEFT(_xll.BDP($C578, VOLUME_AVG_3M), 4) = "#N/A", "",  _xll.BDP($C578, VOLUME_AVG_3M))</f>
        <v>6096471</v>
      </c>
      <c r="AB578" s="31" cm="1">
        <f t="array" ref="AB578">IF(LEFT(_xll.BDP($C578, VOLUME_AVG_6M), 4) = "#N/A", "",  _xll.BDP($C578, VOLUME_AVG_6M))</f>
        <v>4866950.5</v>
      </c>
      <c r="AC578" s="31" cm="1">
        <f t="array" ref="AC578">IF(LEFT(_xll.BDP($C578, VOLUME_AVG_12M), 4) = "#N/A", "",  _xll.BDP($C578, VOLUME_AVG_12M))</f>
        <v>6030186.5</v>
      </c>
      <c r="AD578" s="41" cm="1">
        <f t="array" ref="AD578">IF(LEFT(_xll.BDP($C578, LAST_PRICE), 4) = "#N/A", "",  _xll.BDP($C578, LAST_PRICE))</f>
        <v>1.88</v>
      </c>
    </row>
    <row r="579" spans="1:30" x14ac:dyDescent="0.35">
      <c r="A579" s="1">
        <f t="shared" si="8"/>
        <v>576</v>
      </c>
      <c r="B579" s="28">
        <v>45700</v>
      </c>
      <c r="C579" s="29" t="s">
        <v>1208</v>
      </c>
      <c r="D579" s="29" t="s">
        <v>1208</v>
      </c>
      <c r="E579" s="29" t="s">
        <v>1209</v>
      </c>
      <c r="F579" s="29" t="s">
        <v>33</v>
      </c>
      <c r="G579" s="30" t="s">
        <v>34</v>
      </c>
      <c r="H579" s="31">
        <v>74128876.595050097</v>
      </c>
      <c r="I579" s="31">
        <v>-19002123.4049499</v>
      </c>
      <c r="J579" s="32">
        <v>1.66999995708466</v>
      </c>
      <c r="K579" s="33">
        <v>45700</v>
      </c>
      <c r="L579" s="31"/>
      <c r="M579" s="32"/>
      <c r="N579" s="31"/>
      <c r="O579" s="33">
        <v>45699</v>
      </c>
      <c r="P579" s="34">
        <v>332535.71875</v>
      </c>
      <c r="Q579" s="34">
        <v>333853.8125</v>
      </c>
      <c r="R579" s="34">
        <v>551361.3125</v>
      </c>
      <c r="S579" s="29"/>
      <c r="T579" s="33"/>
      <c r="U579" s="35" t="b">
        <v>0</v>
      </c>
      <c r="V579" s="35" t="b">
        <v>0</v>
      </c>
      <c r="W579" s="35" t="b">
        <v>1</v>
      </c>
      <c r="Y579" s="31" cm="1">
        <f t="array" ref="Y579">IF(LEFT(_xll.BDP($C579, VOLUME_AVG_10D), 4) = "#N/A", "",  _xll.BDP($C579, VOLUME_AVG_10D))</f>
        <v>216852.703125</v>
      </c>
      <c r="Z579" s="31" cm="1">
        <f t="array" ref="Z579">IF(LEFT(_xll.BDP($C579, VOLUME_AVG_30D), 4) = "#N/A", "",  _xll.BDP($C579, VOLUME_AVG_30D))</f>
        <v>332535.71875</v>
      </c>
      <c r="AA579" s="31" cm="1">
        <f t="array" ref="AA579">IF(LEFT(_xll.BDP($C579, VOLUME_AVG_3M), 4) = "#N/A", "",  _xll.BDP($C579, VOLUME_AVG_3M))</f>
        <v>333853.8125</v>
      </c>
      <c r="AB579" s="31" cm="1">
        <f t="array" ref="AB579">IF(LEFT(_xll.BDP($C579, VOLUME_AVG_6M), 4) = "#N/A", "",  _xll.BDP($C579, VOLUME_AVG_6M))</f>
        <v>551361.3125</v>
      </c>
      <c r="AC579" s="31" cm="1">
        <f t="array" ref="AC579">IF(LEFT(_xll.BDP($C579, VOLUME_AVG_12M), 4) = "#N/A", "",  _xll.BDP($C579, VOLUME_AVG_12M))</f>
        <v>308524.625</v>
      </c>
      <c r="AD579" s="41" cm="1">
        <f t="array" ref="AD579">IF(LEFT(_xll.BDP($C579, LAST_PRICE), 4) = "#N/A", "",  _xll.BDP($C579, LAST_PRICE))</f>
        <v>1.67</v>
      </c>
    </row>
    <row r="580" spans="1:30" x14ac:dyDescent="0.35">
      <c r="A580" s="1">
        <f t="shared" si="8"/>
        <v>577</v>
      </c>
      <c r="B580" s="28">
        <v>45700</v>
      </c>
      <c r="C580" s="29" t="s">
        <v>1210</v>
      </c>
      <c r="D580" s="29" t="s">
        <v>1210</v>
      </c>
      <c r="E580" s="29" t="s">
        <v>1211</v>
      </c>
      <c r="F580" s="29" t="s">
        <v>33</v>
      </c>
      <c r="G580" s="30" t="s">
        <v>34</v>
      </c>
      <c r="H580" s="31">
        <v>844416147.00786197</v>
      </c>
      <c r="I580" s="31">
        <v>1004052147.0078599</v>
      </c>
      <c r="J580" s="32">
        <v>30.159999847412099</v>
      </c>
      <c r="K580" s="33">
        <v>45700</v>
      </c>
      <c r="L580" s="31"/>
      <c r="M580" s="32"/>
      <c r="N580" s="31"/>
      <c r="O580" s="33">
        <v>45699</v>
      </c>
      <c r="P580" s="34">
        <v>618615.625</v>
      </c>
      <c r="Q580" s="34">
        <v>530207.4375</v>
      </c>
      <c r="R580" s="34">
        <v>452201.90625</v>
      </c>
      <c r="S580" s="29"/>
      <c r="T580" s="33"/>
      <c r="U580" s="35" t="b">
        <v>0</v>
      </c>
      <c r="V580" s="35" t="b">
        <v>0</v>
      </c>
      <c r="W580" s="35" t="b">
        <v>0</v>
      </c>
      <c r="Y580" s="31" cm="1">
        <f t="array" ref="Y580">IF(LEFT(_xll.BDP($C580, VOLUME_AVG_10D), 4) = "#N/A", "",  _xll.BDP($C580, VOLUME_AVG_10D))</f>
        <v>388343.5</v>
      </c>
      <c r="Z580" s="31" cm="1">
        <f t="array" ref="Z580">IF(LEFT(_xll.BDP($C580, VOLUME_AVG_30D), 4) = "#N/A", "",  _xll.BDP($C580, VOLUME_AVG_30D))</f>
        <v>618615.625</v>
      </c>
      <c r="AA580" s="31" cm="1">
        <f t="array" ref="AA580">IF(LEFT(_xll.BDP($C580, VOLUME_AVG_3M), 4) = "#N/A", "",  _xll.BDP($C580, VOLUME_AVG_3M))</f>
        <v>530207.4375</v>
      </c>
      <c r="AB580" s="31" cm="1">
        <f t="array" ref="AB580">IF(LEFT(_xll.BDP($C580, VOLUME_AVG_6M), 4) = "#N/A", "",  _xll.BDP($C580, VOLUME_AVG_6M))</f>
        <v>452201.90625</v>
      </c>
      <c r="AC580" s="31" cm="1">
        <f t="array" ref="AC580">IF(LEFT(_xll.BDP($C580, VOLUME_AVG_12M), 4) = "#N/A", "",  _xll.BDP($C580, VOLUME_AVG_12M))</f>
        <v>405833.5625</v>
      </c>
      <c r="AD580" s="41" cm="1">
        <f t="array" ref="AD580">IF(LEFT(_xll.BDP($C580, LAST_PRICE), 4) = "#N/A", "",  _xll.BDP($C580, LAST_PRICE))</f>
        <v>30.16</v>
      </c>
    </row>
    <row r="581" spans="1:30" x14ac:dyDescent="0.35">
      <c r="A581" s="1">
        <f t="shared" si="8"/>
        <v>578</v>
      </c>
      <c r="B581" s="28">
        <v>45700</v>
      </c>
      <c r="C581" s="29" t="s">
        <v>1212</v>
      </c>
      <c r="D581" s="29" t="s">
        <v>1212</v>
      </c>
      <c r="E581" s="29" t="s">
        <v>1213</v>
      </c>
      <c r="F581" s="29" t="s">
        <v>33</v>
      </c>
      <c r="G581" s="30" t="s">
        <v>34</v>
      </c>
      <c r="H581" s="31">
        <v>40882435.937484398</v>
      </c>
      <c r="I581" s="31">
        <v>40841633.937484398</v>
      </c>
      <c r="J581" s="32">
        <v>1.12999999523163</v>
      </c>
      <c r="K581" s="33">
        <v>45700</v>
      </c>
      <c r="L581" s="31">
        <v>54800</v>
      </c>
      <c r="M581" s="32">
        <v>-14.1</v>
      </c>
      <c r="N581" s="31" t="s">
        <v>35</v>
      </c>
      <c r="O581" s="33">
        <v>45699</v>
      </c>
      <c r="P581" s="34">
        <v>12692.900390625</v>
      </c>
      <c r="Q581" s="34">
        <v>27902.048828125</v>
      </c>
      <c r="R581" s="34">
        <v>79066.734375</v>
      </c>
      <c r="S581" s="29"/>
      <c r="T581" s="33"/>
      <c r="U581" s="35" t="b">
        <v>0</v>
      </c>
      <c r="V581" s="35" t="b">
        <v>0</v>
      </c>
      <c r="W581" s="35" t="b">
        <v>0</v>
      </c>
      <c r="Y581" s="31" cm="1">
        <f t="array" ref="Y581">IF(LEFT(_xll.BDP($C581, VOLUME_AVG_10D), 4) = "#N/A", "",  _xll.BDP($C581, VOLUME_AVG_10D))</f>
        <v>10551</v>
      </c>
      <c r="Z581" s="31" cm="1">
        <f t="array" ref="Z581">IF(LEFT(_xll.BDP($C581, VOLUME_AVG_30D), 4) = "#N/A", "",  _xll.BDP($C581, VOLUME_AVG_30D))</f>
        <v>12692.900390625</v>
      </c>
      <c r="AA581" s="31" cm="1">
        <f t="array" ref="AA581">IF(LEFT(_xll.BDP($C581, VOLUME_AVG_3M), 4) = "#N/A", "",  _xll.BDP($C581, VOLUME_AVG_3M))</f>
        <v>27902.048828125</v>
      </c>
      <c r="AB581" s="31" cm="1">
        <f t="array" ref="AB581">IF(LEFT(_xll.BDP($C581, VOLUME_AVG_6M), 4) = "#N/A", "",  _xll.BDP($C581, VOLUME_AVG_6M))</f>
        <v>79066.734375</v>
      </c>
      <c r="AC581" s="31" cm="1">
        <f t="array" ref="AC581">IF(LEFT(_xll.BDP($C581, VOLUME_AVG_12M), 4) = "#N/A", "",  _xll.BDP($C581, VOLUME_AVG_12M))</f>
        <v>69895.125</v>
      </c>
      <c r="AD581" s="41" cm="1">
        <f t="array" ref="AD581">IF(LEFT(_xll.BDP($C581, LAST_PRICE), 4) = "#N/A", "",  _xll.BDP($C581, LAST_PRICE))</f>
        <v>1.1299999999999999</v>
      </c>
    </row>
    <row r="582" spans="1:30" x14ac:dyDescent="0.35">
      <c r="A582" s="1">
        <f t="shared" ref="A582:A645" si="9">IF(B582="","", A581+1)</f>
        <v>579</v>
      </c>
      <c r="B582" s="28">
        <v>45700</v>
      </c>
      <c r="C582" s="29" t="s">
        <v>1214</v>
      </c>
      <c r="D582" s="29" t="s">
        <v>1214</v>
      </c>
      <c r="E582" s="29" t="s">
        <v>1215</v>
      </c>
      <c r="F582" s="29" t="s">
        <v>33</v>
      </c>
      <c r="G582" s="30" t="s">
        <v>34</v>
      </c>
      <c r="H582" s="31">
        <v>13465312.848088801</v>
      </c>
      <c r="I582" s="31">
        <v>42129312.848088801</v>
      </c>
      <c r="J582" s="32">
        <v>0.26210001111030601</v>
      </c>
      <c r="K582" s="33">
        <v>45700</v>
      </c>
      <c r="L582" s="31">
        <v>911100</v>
      </c>
      <c r="M582" s="32">
        <v>-62.8</v>
      </c>
      <c r="N582" s="31" t="s">
        <v>35</v>
      </c>
      <c r="O582" s="33">
        <v>45699</v>
      </c>
      <c r="P582" s="34">
        <v>21191588</v>
      </c>
      <c r="Q582" s="34">
        <v>10981774</v>
      </c>
      <c r="R582" s="34">
        <v>5419734.5</v>
      </c>
      <c r="S582" s="29"/>
      <c r="T582" s="33"/>
      <c r="U582" s="35" t="b">
        <v>1</v>
      </c>
      <c r="V582" s="35" t="b">
        <v>0</v>
      </c>
      <c r="W582" s="35" t="b">
        <v>0</v>
      </c>
      <c r="Y582" s="31" cm="1">
        <f t="array" ref="Y582">IF(LEFT(_xll.BDP($C582, VOLUME_AVG_10D), 4) = "#N/A", "",  _xll.BDP($C582, VOLUME_AVG_10D))</f>
        <v>630445.8125</v>
      </c>
      <c r="Z582" s="31" cm="1">
        <f t="array" ref="Z582">IF(LEFT(_xll.BDP($C582, VOLUME_AVG_30D), 4) = "#N/A", "",  _xll.BDP($C582, VOLUME_AVG_30D))</f>
        <v>21191588</v>
      </c>
      <c r="AA582" s="31" cm="1">
        <f t="array" ref="AA582">IF(LEFT(_xll.BDP($C582, VOLUME_AVG_3M), 4) = "#N/A", "",  _xll.BDP($C582, VOLUME_AVG_3M))</f>
        <v>10981774</v>
      </c>
      <c r="AB582" s="31" cm="1">
        <f t="array" ref="AB582">IF(LEFT(_xll.BDP($C582, VOLUME_AVG_6M), 4) = "#N/A", "",  _xll.BDP($C582, VOLUME_AVG_6M))</f>
        <v>5419734.5</v>
      </c>
      <c r="AC582" s="31" cm="1">
        <f t="array" ref="AC582">IF(LEFT(_xll.BDP($C582, VOLUME_AVG_12M), 4) = "#N/A", "",  _xll.BDP($C582, VOLUME_AVG_12M))</f>
        <v>2725069</v>
      </c>
      <c r="AD582" s="41" cm="1">
        <f t="array" ref="AD582">IF(LEFT(_xll.BDP($C582, LAST_PRICE), 4) = "#N/A", "",  _xll.BDP($C582, LAST_PRICE))</f>
        <v>0.2621</v>
      </c>
    </row>
    <row r="583" spans="1:30" x14ac:dyDescent="0.35">
      <c r="A583" s="1">
        <f t="shared" si="9"/>
        <v>580</v>
      </c>
      <c r="B583" s="28">
        <v>45700</v>
      </c>
      <c r="C583" s="29" t="s">
        <v>1216</v>
      </c>
      <c r="D583" s="29" t="s">
        <v>1216</v>
      </c>
      <c r="E583" s="29" t="s">
        <v>1217</v>
      </c>
      <c r="F583" s="29" t="s">
        <v>33</v>
      </c>
      <c r="G583" s="30" t="s">
        <v>34</v>
      </c>
      <c r="H583" s="31">
        <v>3864527.0860551801</v>
      </c>
      <c r="I583" s="31">
        <v>20058695.086055201</v>
      </c>
      <c r="J583" s="32">
        <v>5.0000002374872598E-4</v>
      </c>
      <c r="K583" s="33">
        <v>45700</v>
      </c>
      <c r="L583" s="31"/>
      <c r="M583" s="32"/>
      <c r="N583" s="31"/>
      <c r="O583" s="33">
        <v>45699</v>
      </c>
      <c r="P583" s="34">
        <v>9300661</v>
      </c>
      <c r="Q583" s="34">
        <v>8058891</v>
      </c>
      <c r="R583" s="34">
        <v>6412972.5</v>
      </c>
      <c r="S583" s="29"/>
      <c r="T583" s="33"/>
      <c r="U583" s="35" t="b">
        <v>1</v>
      </c>
      <c r="V583" s="35" t="b">
        <v>1</v>
      </c>
      <c r="W583" s="35" t="b">
        <v>0</v>
      </c>
      <c r="Y583" s="31" cm="1">
        <f t="array" ref="Y583">IF(LEFT(_xll.BDP($C583, VOLUME_AVG_10D), 4) = "#N/A", "",  _xll.BDP($C583, VOLUME_AVG_10D))</f>
        <v>10998004</v>
      </c>
      <c r="Z583" s="31" cm="1">
        <f t="array" ref="Z583">IF(LEFT(_xll.BDP($C583, VOLUME_AVG_30D), 4) = "#N/A", "",  _xll.BDP($C583, VOLUME_AVG_30D))</f>
        <v>9300661</v>
      </c>
      <c r="AA583" s="31" cm="1">
        <f t="array" ref="AA583">IF(LEFT(_xll.BDP($C583, VOLUME_AVG_3M), 4) = "#N/A", "",  _xll.BDP($C583, VOLUME_AVG_3M))</f>
        <v>8058891</v>
      </c>
      <c r="AB583" s="31" cm="1">
        <f t="array" ref="AB583">IF(LEFT(_xll.BDP($C583, VOLUME_AVG_6M), 4) = "#N/A", "",  _xll.BDP($C583, VOLUME_AVG_6M))</f>
        <v>6412972.5</v>
      </c>
      <c r="AC583" s="31" cm="1">
        <f t="array" ref="AC583">IF(LEFT(_xll.BDP($C583, VOLUME_AVG_12M), 4) = "#N/A", "",  _xll.BDP($C583, VOLUME_AVG_12M))</f>
        <v>7066457.5</v>
      </c>
      <c r="AD583" s="41" cm="1">
        <f t="array" ref="AD583">IF(LEFT(_xll.BDP($C583, LAST_PRICE), 4) = "#N/A", "",  _xll.BDP($C583, LAST_PRICE))</f>
        <v>5.0000000000000001E-4</v>
      </c>
    </row>
    <row r="584" spans="1:30" x14ac:dyDescent="0.35">
      <c r="A584" s="1">
        <f t="shared" si="9"/>
        <v>581</v>
      </c>
      <c r="B584" s="28">
        <v>45700</v>
      </c>
      <c r="C584" s="29" t="s">
        <v>1218</v>
      </c>
      <c r="D584" s="29" t="s">
        <v>1218</v>
      </c>
      <c r="E584" s="29" t="s">
        <v>1219</v>
      </c>
      <c r="F584" s="29" t="s">
        <v>33</v>
      </c>
      <c r="G584" s="30" t="s">
        <v>34</v>
      </c>
      <c r="H584" s="31">
        <v>438698732.09312397</v>
      </c>
      <c r="I584" s="31">
        <v>422763732.09312397</v>
      </c>
      <c r="J584" s="32">
        <v>16.9799995422363</v>
      </c>
      <c r="K584" s="33">
        <v>45700</v>
      </c>
      <c r="L584" s="31">
        <v>2406800</v>
      </c>
      <c r="M584" s="32">
        <v>3.7</v>
      </c>
      <c r="N584" s="31" t="s">
        <v>35</v>
      </c>
      <c r="O584" s="33">
        <v>45699</v>
      </c>
      <c r="P584" s="34">
        <v>326744.8125</v>
      </c>
      <c r="Q584" s="34">
        <v>291146.375</v>
      </c>
      <c r="R584" s="34">
        <v>219539.4375</v>
      </c>
      <c r="S584" s="29"/>
      <c r="T584" s="33"/>
      <c r="U584" s="35" t="b">
        <v>0</v>
      </c>
      <c r="V584" s="35" t="b">
        <v>0</v>
      </c>
      <c r="W584" s="35" t="b">
        <v>0</v>
      </c>
      <c r="Y584" s="31" cm="1">
        <f t="array" ref="Y584">IF(LEFT(_xll.BDP($C584, VOLUME_AVG_10D), 4) = "#N/A", "",  _xll.BDP($C584, VOLUME_AVG_10D))</f>
        <v>284620.5</v>
      </c>
      <c r="Z584" s="31" cm="1">
        <f t="array" ref="Z584">IF(LEFT(_xll.BDP($C584, VOLUME_AVG_30D), 4) = "#N/A", "",  _xll.BDP($C584, VOLUME_AVG_30D))</f>
        <v>326744.8125</v>
      </c>
      <c r="AA584" s="31" cm="1">
        <f t="array" ref="AA584">IF(LEFT(_xll.BDP($C584, VOLUME_AVG_3M), 4) = "#N/A", "",  _xll.BDP($C584, VOLUME_AVG_3M))</f>
        <v>291146.375</v>
      </c>
      <c r="AB584" s="31" cm="1">
        <f t="array" ref="AB584">IF(LEFT(_xll.BDP($C584, VOLUME_AVG_6M), 4) = "#N/A", "",  _xll.BDP($C584, VOLUME_AVG_6M))</f>
        <v>219539.4375</v>
      </c>
      <c r="AC584" s="31" cm="1">
        <f t="array" ref="AC584">IF(LEFT(_xll.BDP($C584, VOLUME_AVG_12M), 4) = "#N/A", "",  _xll.BDP($C584, VOLUME_AVG_12M))</f>
        <v>138551.109375</v>
      </c>
      <c r="AD584" s="41" cm="1">
        <f t="array" ref="AD584">IF(LEFT(_xll.BDP($C584, LAST_PRICE), 4) = "#N/A", "",  _xll.BDP($C584, LAST_PRICE))</f>
        <v>16.98</v>
      </c>
    </row>
    <row r="585" spans="1:30" x14ac:dyDescent="0.35">
      <c r="A585" s="1">
        <f t="shared" si="9"/>
        <v>582</v>
      </c>
      <c r="B585" s="28">
        <v>45700</v>
      </c>
      <c r="C585" s="29" t="s">
        <v>1220</v>
      </c>
      <c r="D585" s="29" t="s">
        <v>1220</v>
      </c>
      <c r="E585" s="29" t="s">
        <v>1221</v>
      </c>
      <c r="F585" s="29" t="s">
        <v>33</v>
      </c>
      <c r="G585" s="30" t="s">
        <v>34</v>
      </c>
      <c r="H585" s="31">
        <v>142617684.52998799</v>
      </c>
      <c r="I585" s="31">
        <v>56751226.529987797</v>
      </c>
      <c r="J585" s="32">
        <v>4.0599999427795401</v>
      </c>
      <c r="K585" s="33">
        <v>45700</v>
      </c>
      <c r="L585" s="31"/>
      <c r="M585" s="32"/>
      <c r="N585" s="31"/>
      <c r="O585" s="33">
        <v>45699</v>
      </c>
      <c r="P585" s="34">
        <v>104815.265625</v>
      </c>
      <c r="Q585" s="34">
        <v>104428.59375</v>
      </c>
      <c r="R585" s="34">
        <v>79325.9375</v>
      </c>
      <c r="S585" s="29"/>
      <c r="T585" s="33"/>
      <c r="U585" s="35" t="b">
        <v>0</v>
      </c>
      <c r="V585" s="35" t="b">
        <v>0</v>
      </c>
      <c r="W585" s="35" t="b">
        <v>0</v>
      </c>
      <c r="Y585" s="31" cm="1">
        <f t="array" ref="Y585">IF(LEFT(_xll.BDP($C585, VOLUME_AVG_10D), 4) = "#N/A", "",  _xll.BDP($C585, VOLUME_AVG_10D))</f>
        <v>102631.1015625</v>
      </c>
      <c r="Z585" s="31" cm="1">
        <f t="array" ref="Z585">IF(LEFT(_xll.BDP($C585, VOLUME_AVG_30D), 4) = "#N/A", "",  _xll.BDP($C585, VOLUME_AVG_30D))</f>
        <v>104815.265625</v>
      </c>
      <c r="AA585" s="31" cm="1">
        <f t="array" ref="AA585">IF(LEFT(_xll.BDP($C585, VOLUME_AVG_3M), 4) = "#N/A", "",  _xll.BDP($C585, VOLUME_AVG_3M))</f>
        <v>104428.59375</v>
      </c>
      <c r="AB585" s="31" cm="1">
        <f t="array" ref="AB585">IF(LEFT(_xll.BDP($C585, VOLUME_AVG_6M), 4) = "#N/A", "",  _xll.BDP($C585, VOLUME_AVG_6M))</f>
        <v>79325.9375</v>
      </c>
      <c r="AC585" s="31" cm="1">
        <f t="array" ref="AC585">IF(LEFT(_xll.BDP($C585, VOLUME_AVG_12M), 4) = "#N/A", "",  _xll.BDP($C585, VOLUME_AVG_12M))</f>
        <v>66274.3359375</v>
      </c>
      <c r="AD585" s="41" cm="1">
        <f t="array" ref="AD585">IF(LEFT(_xll.BDP($C585, LAST_PRICE), 4) = "#N/A", "",  _xll.BDP($C585, LAST_PRICE))</f>
        <v>4.0599999999999996</v>
      </c>
    </row>
    <row r="586" spans="1:30" x14ac:dyDescent="0.35">
      <c r="A586" s="1">
        <f t="shared" si="9"/>
        <v>583</v>
      </c>
      <c r="B586" s="28">
        <v>45700</v>
      </c>
      <c r="C586" s="29" t="s">
        <v>1222</v>
      </c>
      <c r="D586" s="29" t="s">
        <v>1222</v>
      </c>
      <c r="E586" s="29" t="s">
        <v>1223</v>
      </c>
      <c r="F586" s="29" t="s">
        <v>40</v>
      </c>
      <c r="G586" s="30" t="s">
        <v>41</v>
      </c>
      <c r="H586" s="31">
        <v>160743637.68771601</v>
      </c>
      <c r="I586" s="31">
        <v>150632441.68771601</v>
      </c>
      <c r="J586" s="32">
        <v>4.5100002288818404</v>
      </c>
      <c r="K586" s="33">
        <v>45700</v>
      </c>
      <c r="L586" s="31">
        <v>3700</v>
      </c>
      <c r="M586" s="32">
        <v>-13.15</v>
      </c>
      <c r="N586" s="31" t="s">
        <v>35</v>
      </c>
      <c r="O586" s="33">
        <v>45699</v>
      </c>
      <c r="P586" s="34">
        <v>18710</v>
      </c>
      <c r="Q586" s="34">
        <v>23229.11</v>
      </c>
      <c r="R586" s="34">
        <v>29602.86</v>
      </c>
      <c r="S586" s="29"/>
      <c r="T586" s="33"/>
      <c r="U586" s="35" t="b">
        <v>0</v>
      </c>
      <c r="V586" s="35" t="b">
        <v>0</v>
      </c>
      <c r="W586" s="35" t="b">
        <v>0</v>
      </c>
      <c r="Y586" s="31" cm="1">
        <f t="array" ref="Y586">IF(LEFT(_xll.BDP($C586, VOLUME_AVG_10D), 4) = "#N/A", "",  _xll.BDP($C586, VOLUME_AVG_10D))</f>
        <v>30462.7</v>
      </c>
      <c r="Z586" s="31" cm="1">
        <f t="array" ref="Z586">IF(LEFT(_xll.BDP($C586, VOLUME_AVG_30D), 4) = "#N/A", "",  _xll.BDP($C586, VOLUME_AVG_30D))</f>
        <v>18710</v>
      </c>
      <c r="AA586" s="31" cm="1">
        <f t="array" ref="AA586">IF(LEFT(_xll.BDP($C586, VOLUME_AVG_3M), 4) = "#N/A", "",  _xll.BDP($C586, VOLUME_AVG_3M))</f>
        <v>23229.11</v>
      </c>
      <c r="AB586" s="31" cm="1">
        <f t="array" ref="AB586">IF(LEFT(_xll.BDP($C586, VOLUME_AVG_6M), 4) = "#N/A", "",  _xll.BDP($C586, VOLUME_AVG_6M))</f>
        <v>29602.86</v>
      </c>
      <c r="AC586" s="31" cm="1">
        <f t="array" ref="AC586">IF(LEFT(_xll.BDP($C586, VOLUME_AVG_12M), 4) = "#N/A", "",  _xll.BDP($C586, VOLUME_AVG_12M))</f>
        <v>43293.48</v>
      </c>
      <c r="AD586" s="41" cm="1">
        <f t="array" ref="AD586">IF(LEFT(_xll.BDP($C586, LAST_PRICE), 4) = "#N/A", "",  _xll.BDP($C586, LAST_PRICE))</f>
        <v>4.51</v>
      </c>
    </row>
    <row r="587" spans="1:30" x14ac:dyDescent="0.35">
      <c r="A587" s="1">
        <f t="shared" si="9"/>
        <v>584</v>
      </c>
      <c r="B587" s="28">
        <v>45700</v>
      </c>
      <c r="C587" s="29" t="s">
        <v>1224</v>
      </c>
      <c r="D587" s="29" t="s">
        <v>1224</v>
      </c>
      <c r="E587" s="29" t="s">
        <v>1225</v>
      </c>
      <c r="F587" s="29" t="s">
        <v>33</v>
      </c>
      <c r="G587" s="30" t="s">
        <v>34</v>
      </c>
      <c r="H587" s="31">
        <v>15486360.8235598</v>
      </c>
      <c r="I587" s="31">
        <v>12125360.8235598</v>
      </c>
      <c r="J587" s="32">
        <v>2.6199998855590798</v>
      </c>
      <c r="K587" s="33">
        <v>45700</v>
      </c>
      <c r="L587" s="31">
        <v>109600</v>
      </c>
      <c r="M587" s="32">
        <v>-224.5</v>
      </c>
      <c r="N587" s="31" t="s">
        <v>35</v>
      </c>
      <c r="O587" s="33">
        <v>45699</v>
      </c>
      <c r="P587" s="34">
        <v>4680397</v>
      </c>
      <c r="Q587" s="34">
        <v>2296104.25</v>
      </c>
      <c r="R587" s="34">
        <v>1134694.875</v>
      </c>
      <c r="S587" s="29"/>
      <c r="T587" s="33"/>
      <c r="U587" s="35" t="b">
        <v>1</v>
      </c>
      <c r="V587" s="35" t="b">
        <v>0</v>
      </c>
      <c r="W587" s="35" t="b">
        <v>0</v>
      </c>
      <c r="Y587" s="31" cm="1">
        <f t="array" ref="Y587">IF(LEFT(_xll.BDP($C587, VOLUME_AVG_10D), 4) = "#N/A", "",  _xll.BDP($C587, VOLUME_AVG_10D))</f>
        <v>7287802</v>
      </c>
      <c r="Z587" s="31" cm="1">
        <f t="array" ref="Z587">IF(LEFT(_xll.BDP($C587, VOLUME_AVG_30D), 4) = "#N/A", "",  _xll.BDP($C587, VOLUME_AVG_30D))</f>
        <v>4680397</v>
      </c>
      <c r="AA587" s="31" cm="1">
        <f t="array" ref="AA587">IF(LEFT(_xll.BDP($C587, VOLUME_AVG_3M), 4) = "#N/A", "",  _xll.BDP($C587, VOLUME_AVG_3M))</f>
        <v>2296104.25</v>
      </c>
      <c r="AB587" s="31" cm="1">
        <f t="array" ref="AB587">IF(LEFT(_xll.BDP($C587, VOLUME_AVG_6M), 4) = "#N/A", "",  _xll.BDP($C587, VOLUME_AVG_6M))</f>
        <v>1134694.875</v>
      </c>
      <c r="AC587" s="31" cm="1">
        <f t="array" ref="AC587">IF(LEFT(_xll.BDP($C587, VOLUME_AVG_12M), 4) = "#N/A", "",  _xll.BDP($C587, VOLUME_AVG_12M))</f>
        <v>574124.4375</v>
      </c>
      <c r="AD587" s="41" cm="1">
        <f t="array" ref="AD587">IF(LEFT(_xll.BDP($C587, LAST_PRICE), 4) = "#N/A", "",  _xll.BDP($C587, LAST_PRICE))</f>
        <v>2.62</v>
      </c>
    </row>
    <row r="588" spans="1:30" x14ac:dyDescent="0.35">
      <c r="A588" s="1">
        <f t="shared" si="9"/>
        <v>585</v>
      </c>
      <c r="B588" s="28">
        <v>45700</v>
      </c>
      <c r="C588" s="29" t="s">
        <v>1226</v>
      </c>
      <c r="D588" s="29" t="s">
        <v>1226</v>
      </c>
      <c r="E588" s="29" t="s">
        <v>1227</v>
      </c>
      <c r="F588" s="29" t="s">
        <v>33</v>
      </c>
      <c r="G588" s="30" t="s">
        <v>34</v>
      </c>
      <c r="H588" s="31">
        <v>9491.4184999999998</v>
      </c>
      <c r="I588" s="31">
        <v>16695491.418500001</v>
      </c>
      <c r="J588" s="32">
        <v>5.0000000000000001E-4</v>
      </c>
      <c r="K588" s="33">
        <v>45700</v>
      </c>
      <c r="L588" s="31">
        <v>14000</v>
      </c>
      <c r="M588" s="32">
        <v>-60.4</v>
      </c>
      <c r="N588" s="31" t="s">
        <v>35</v>
      </c>
      <c r="O588" s="33">
        <v>45699</v>
      </c>
      <c r="P588" s="34">
        <v>7940.7998046875</v>
      </c>
      <c r="Q588" s="34">
        <v>4708.37109375</v>
      </c>
      <c r="R588" s="34">
        <v>2940.6826171875</v>
      </c>
      <c r="S588" s="29"/>
      <c r="T588" s="33"/>
      <c r="U588" s="35" t="b">
        <v>1</v>
      </c>
      <c r="V588" s="35" t="b">
        <v>1</v>
      </c>
      <c r="W588" s="35" t="b">
        <v>0</v>
      </c>
      <c r="Y588" s="31" cm="1">
        <f t="array" ref="Y588">IF(LEFT(_xll.BDP($C588, VOLUME_AVG_10D), 4) = "#N/A", "",  _xll.BDP($C588, VOLUME_AVG_10D))</f>
        <v>1702.199951171875</v>
      </c>
      <c r="Z588" s="31" cm="1">
        <f t="array" ref="Z588">IF(LEFT(_xll.BDP($C588, VOLUME_AVG_30D), 4) = "#N/A", "",  _xll.BDP($C588, VOLUME_AVG_30D))</f>
        <v>7940.7998046875</v>
      </c>
      <c r="AA588" s="31" cm="1">
        <f t="array" ref="AA588">IF(LEFT(_xll.BDP($C588, VOLUME_AVG_3M), 4) = "#N/A", "",  _xll.BDP($C588, VOLUME_AVG_3M))</f>
        <v>4708.37109375</v>
      </c>
      <c r="AB588" s="31" cm="1">
        <f t="array" ref="AB588">IF(LEFT(_xll.BDP($C588, VOLUME_AVG_6M), 4) = "#N/A", "",  _xll.BDP($C588, VOLUME_AVG_6M))</f>
        <v>2940.6826171875</v>
      </c>
      <c r="AC588" s="31" cm="1">
        <f t="array" ref="AC588">IF(LEFT(_xll.BDP($C588, VOLUME_AVG_12M), 4) = "#N/A", "",  _xll.BDP($C588, VOLUME_AVG_12M))</f>
        <v>11740.7451171875</v>
      </c>
      <c r="AD588" s="41" cm="1">
        <f t="array" ref="AD588">IF(LEFT(_xll.BDP($C588, LAST_PRICE), 4) = "#N/A", "",  _xll.BDP($C588, LAST_PRICE))</f>
        <v>5.0000000000000001E-4</v>
      </c>
    </row>
    <row r="589" spans="1:30" x14ac:dyDescent="0.35">
      <c r="A589" s="1">
        <f t="shared" si="9"/>
        <v>586</v>
      </c>
      <c r="B589" s="28">
        <v>45700</v>
      </c>
      <c r="C589" s="29" t="s">
        <v>1228</v>
      </c>
      <c r="D589" s="29" t="s">
        <v>1228</v>
      </c>
      <c r="E589" s="29" t="s">
        <v>1229</v>
      </c>
      <c r="F589" s="29" t="s">
        <v>33</v>
      </c>
      <c r="G589" s="30" t="s">
        <v>34</v>
      </c>
      <c r="H589" s="31"/>
      <c r="I589" s="31"/>
      <c r="J589" s="32">
        <v>9.9999999747524292E-7</v>
      </c>
      <c r="K589" s="33">
        <v>45700</v>
      </c>
      <c r="L589" s="31"/>
      <c r="M589" s="32"/>
      <c r="N589" s="31"/>
      <c r="O589" s="33">
        <v>45699</v>
      </c>
      <c r="P589" s="34">
        <v>786605.5625</v>
      </c>
      <c r="Q589" s="34">
        <v>1361718.25</v>
      </c>
      <c r="R589" s="34">
        <v>783313.0625</v>
      </c>
      <c r="S589" s="29"/>
      <c r="T589" s="33"/>
      <c r="U589" s="35" t="b">
        <v>1</v>
      </c>
      <c r="V589" s="35" t="b">
        <v>1</v>
      </c>
      <c r="W589" s="35" t="b">
        <v>1</v>
      </c>
      <c r="Y589" s="31" cm="1">
        <f t="array" ref="Y589">IF(LEFT(_xll.BDP($C589, VOLUME_AVG_10D), 4) = "#N/A", "",  _xll.BDP($C589, VOLUME_AVG_10D))</f>
        <v>322282.09375</v>
      </c>
      <c r="Z589" s="31" cm="1">
        <f t="array" ref="Z589">IF(LEFT(_xll.BDP($C589, VOLUME_AVG_30D), 4) = "#N/A", "",  _xll.BDP($C589, VOLUME_AVG_30D))</f>
        <v>786605.5625</v>
      </c>
      <c r="AA589" s="31" cm="1">
        <f t="array" ref="AA589">IF(LEFT(_xll.BDP($C589, VOLUME_AVG_3M), 4) = "#N/A", "",  _xll.BDP($C589, VOLUME_AVG_3M))</f>
        <v>1361718.25</v>
      </c>
      <c r="AB589" s="31" cm="1">
        <f t="array" ref="AB589">IF(LEFT(_xll.BDP($C589, VOLUME_AVG_6M), 4) = "#N/A", "",  _xll.BDP($C589, VOLUME_AVG_6M))</f>
        <v>783313.0625</v>
      </c>
      <c r="AC589" s="31" cm="1">
        <f t="array" ref="AC589">IF(LEFT(_xll.BDP($C589, VOLUME_AVG_12M), 4) = "#N/A", "",  _xll.BDP($C589, VOLUME_AVG_12M))</f>
        <v>1296885</v>
      </c>
      <c r="AD589" s="41" cm="1">
        <f t="array" ref="AD589">IF(LEFT(_xll.BDP($C589, LAST_PRICE), 4) = "#N/A", "",  _xll.BDP($C589, LAST_PRICE))</f>
        <v>9.9999999999999995E-7</v>
      </c>
    </row>
    <row r="590" spans="1:30" x14ac:dyDescent="0.35">
      <c r="A590" s="1">
        <f t="shared" si="9"/>
        <v>587</v>
      </c>
      <c r="B590" s="28">
        <v>45700</v>
      </c>
      <c r="C590" s="29" t="s">
        <v>1230</v>
      </c>
      <c r="D590" s="29" t="s">
        <v>1230</v>
      </c>
      <c r="E590" s="29" t="s">
        <v>1231</v>
      </c>
      <c r="F590" s="29" t="s">
        <v>33</v>
      </c>
      <c r="G590" s="30" t="s">
        <v>34</v>
      </c>
      <c r="H590" s="31">
        <v>912991.08012484899</v>
      </c>
      <c r="I590" s="31">
        <v>50450991.080124803</v>
      </c>
      <c r="J590" s="32">
        <v>9.1000003740191494E-3</v>
      </c>
      <c r="K590" s="33">
        <v>45700</v>
      </c>
      <c r="L590" s="31">
        <v>4100</v>
      </c>
      <c r="M590" s="32">
        <v>-55.85</v>
      </c>
      <c r="N590" s="31" t="s">
        <v>35</v>
      </c>
      <c r="O590" s="33">
        <v>45699</v>
      </c>
      <c r="P590" s="34">
        <v>473373.375</v>
      </c>
      <c r="Q590" s="34">
        <v>525114.125</v>
      </c>
      <c r="R590" s="34">
        <v>650060.875</v>
      </c>
      <c r="S590" s="29"/>
      <c r="T590" s="33"/>
      <c r="U590" s="35" t="b">
        <v>1</v>
      </c>
      <c r="V590" s="35" t="b">
        <v>1</v>
      </c>
      <c r="W590" s="35" t="b">
        <v>0</v>
      </c>
      <c r="Y590" s="31" cm="1">
        <f t="array" ref="Y590">IF(LEFT(_xll.BDP($C590, VOLUME_AVG_10D), 4) = "#N/A", "",  _xll.BDP($C590, VOLUME_AVG_10D))</f>
        <v>451712.40625</v>
      </c>
      <c r="Z590" s="31" cm="1">
        <f t="array" ref="Z590">IF(LEFT(_xll.BDP($C590, VOLUME_AVG_30D), 4) = "#N/A", "",  _xll.BDP($C590, VOLUME_AVG_30D))</f>
        <v>473373.375</v>
      </c>
      <c r="AA590" s="31" cm="1">
        <f t="array" ref="AA590">IF(LEFT(_xll.BDP($C590, VOLUME_AVG_3M), 4) = "#N/A", "",  _xll.BDP($C590, VOLUME_AVG_3M))</f>
        <v>525114.125</v>
      </c>
      <c r="AB590" s="31" cm="1">
        <f t="array" ref="AB590">IF(LEFT(_xll.BDP($C590, VOLUME_AVG_6M), 4) = "#N/A", "",  _xll.BDP($C590, VOLUME_AVG_6M))</f>
        <v>650060.875</v>
      </c>
      <c r="AC590" s="31" cm="1">
        <f t="array" ref="AC590">IF(LEFT(_xll.BDP($C590, VOLUME_AVG_12M), 4) = "#N/A", "",  _xll.BDP($C590, VOLUME_AVG_12M))</f>
        <v>904108.1875</v>
      </c>
      <c r="AD590" s="41" cm="1">
        <f t="array" ref="AD590">IF(LEFT(_xll.BDP($C590, LAST_PRICE), 4) = "#N/A", "",  _xll.BDP($C590, LAST_PRICE))</f>
        <v>9.1000000000000004E-3</v>
      </c>
    </row>
    <row r="591" spans="1:30" x14ac:dyDescent="0.35">
      <c r="A591" s="1">
        <f t="shared" si="9"/>
        <v>588</v>
      </c>
      <c r="B591" s="28">
        <v>45700</v>
      </c>
      <c r="C591" s="29" t="s">
        <v>1232</v>
      </c>
      <c r="D591" s="29" t="s">
        <v>1232</v>
      </c>
      <c r="E591" s="29" t="s">
        <v>1233</v>
      </c>
      <c r="F591" s="29" t="s">
        <v>40</v>
      </c>
      <c r="G591" s="30" t="s">
        <v>41</v>
      </c>
      <c r="H591" s="31">
        <v>1140823.95</v>
      </c>
      <c r="I591" s="31">
        <v>1136836.6836000001</v>
      </c>
      <c r="J591" s="32">
        <v>0.15</v>
      </c>
      <c r="K591" s="33">
        <v>45700</v>
      </c>
      <c r="L591" s="31"/>
      <c r="M591" s="32"/>
      <c r="N591" s="31"/>
      <c r="O591" s="33">
        <v>45699</v>
      </c>
      <c r="P591" s="34">
        <v>99.716669999999993</v>
      </c>
      <c r="Q591" s="34">
        <v>406.64060000000001</v>
      </c>
      <c r="R591" s="34">
        <v>687.73310000000004</v>
      </c>
      <c r="S591" s="29"/>
      <c r="T591" s="33"/>
      <c r="U591" s="35" t="b">
        <v>1</v>
      </c>
      <c r="V591" s="35" t="b">
        <v>0</v>
      </c>
      <c r="W591" s="35" t="b">
        <v>0</v>
      </c>
      <c r="Y591" s="31" cm="1">
        <f t="array" ref="Y591">IF(LEFT(_xll.BDP($C591, VOLUME_AVG_10D), 4) = "#N/A", "",  _xll.BDP($C591, VOLUME_AVG_10D))</f>
        <v>225.51</v>
      </c>
      <c r="Z591" s="31" cm="1">
        <f t="array" ref="Z591">IF(LEFT(_xll.BDP($C591, VOLUME_AVG_30D), 4) = "#N/A", "",  _xll.BDP($C591, VOLUME_AVG_30D))</f>
        <v>99.716669999999993</v>
      </c>
      <c r="AA591" s="31" cm="1">
        <f t="array" ref="AA591">IF(LEFT(_xll.BDP($C591, VOLUME_AVG_3M), 4) = "#N/A", "",  _xll.BDP($C591, VOLUME_AVG_3M))</f>
        <v>406.64060000000001</v>
      </c>
      <c r="AB591" s="31" cm="1">
        <f t="array" ref="AB591">IF(LEFT(_xll.BDP($C591, VOLUME_AVG_6M), 4) = "#N/A", "",  _xll.BDP($C591, VOLUME_AVG_6M))</f>
        <v>687.73310000000004</v>
      </c>
      <c r="AC591" s="31" cm="1">
        <f t="array" ref="AC591">IF(LEFT(_xll.BDP($C591, VOLUME_AVG_12M), 4) = "#N/A", "",  _xll.BDP($C591, VOLUME_AVG_12M))</f>
        <v>433.93810000000002</v>
      </c>
      <c r="AD591" s="41" cm="1">
        <f t="array" ref="AD591">IF(LEFT(_xll.BDP($C591, LAST_PRICE), 4) = "#N/A", "",  _xll.BDP($C591, LAST_PRICE))</f>
        <v>1.4999999999999999E-2</v>
      </c>
    </row>
    <row r="592" spans="1:30" x14ac:dyDescent="0.35">
      <c r="A592" s="1">
        <f t="shared" si="9"/>
        <v>589</v>
      </c>
      <c r="B592" s="28">
        <v>45700</v>
      </c>
      <c r="C592" s="29" t="s">
        <v>1234</v>
      </c>
      <c r="D592" s="29" t="s">
        <v>1234</v>
      </c>
      <c r="E592" s="29" t="s">
        <v>1235</v>
      </c>
      <c r="F592" s="29" t="s">
        <v>33</v>
      </c>
      <c r="G592" s="30" t="s">
        <v>34</v>
      </c>
      <c r="H592" s="31">
        <v>7415184.56987953</v>
      </c>
      <c r="I592" s="31">
        <v>1076152.56987953</v>
      </c>
      <c r="J592" s="32">
        <v>4.9899997711181596</v>
      </c>
      <c r="K592" s="33">
        <v>45700</v>
      </c>
      <c r="L592" s="31">
        <v>65100</v>
      </c>
      <c r="M592" s="32">
        <v>-40.6</v>
      </c>
      <c r="N592" s="31" t="s">
        <v>35</v>
      </c>
      <c r="O592" s="33">
        <v>45699</v>
      </c>
      <c r="P592" s="34">
        <v>11087.599609375</v>
      </c>
      <c r="Q592" s="34">
        <v>28945.919921875</v>
      </c>
      <c r="R592" s="34">
        <v>232406.375</v>
      </c>
      <c r="S592" s="29"/>
      <c r="T592" s="33"/>
      <c r="U592" s="35" t="b">
        <v>1</v>
      </c>
      <c r="V592" s="35" t="b">
        <v>0</v>
      </c>
      <c r="W592" s="35" t="b">
        <v>0</v>
      </c>
      <c r="Y592" s="31" cm="1">
        <f t="array" ref="Y592">IF(LEFT(_xll.BDP($C592, VOLUME_AVG_10D), 4) = "#N/A", "",  _xll.BDP($C592, VOLUME_AVG_10D))</f>
        <v>7683.60009765625</v>
      </c>
      <c r="Z592" s="31" cm="1">
        <f t="array" ref="Z592">IF(LEFT(_xll.BDP($C592, VOLUME_AVG_30D), 4) = "#N/A", "",  _xll.BDP($C592, VOLUME_AVG_30D))</f>
        <v>11087.599609375</v>
      </c>
      <c r="AA592" s="31" cm="1">
        <f t="array" ref="AA592">IF(LEFT(_xll.BDP($C592, VOLUME_AVG_3M), 4) = "#N/A", "",  _xll.BDP($C592, VOLUME_AVG_3M))</f>
        <v>28945.919921875</v>
      </c>
      <c r="AB592" s="31" cm="1">
        <f t="array" ref="AB592">IF(LEFT(_xll.BDP($C592, VOLUME_AVG_6M), 4) = "#N/A", "",  _xll.BDP($C592, VOLUME_AVG_6M))</f>
        <v>232406.375</v>
      </c>
      <c r="AC592" s="31" cm="1">
        <f t="array" ref="AC592">IF(LEFT(_xll.BDP($C592, VOLUME_AVG_12M), 4) = "#N/A", "",  _xll.BDP($C592, VOLUME_AVG_12M))</f>
        <v>118289.8984375</v>
      </c>
      <c r="AD592" s="41" cm="1">
        <f t="array" ref="AD592">IF(LEFT(_xll.BDP($C592, LAST_PRICE), 4) = "#N/A", "",  _xll.BDP($C592, LAST_PRICE))</f>
        <v>4.99</v>
      </c>
    </row>
    <row r="593" spans="1:30" x14ac:dyDescent="0.35">
      <c r="A593" s="1">
        <f t="shared" si="9"/>
        <v>590</v>
      </c>
      <c r="B593" s="28">
        <v>45700</v>
      </c>
      <c r="C593" s="29" t="s">
        <v>1236</v>
      </c>
      <c r="D593" s="29" t="s">
        <v>1236</v>
      </c>
      <c r="E593" s="29" t="s">
        <v>1237</v>
      </c>
      <c r="F593" s="29" t="s">
        <v>33</v>
      </c>
      <c r="G593" s="30" t="s">
        <v>34</v>
      </c>
      <c r="H593" s="31">
        <v>1119013580.4656</v>
      </c>
      <c r="I593" s="31">
        <v>1844802580.4656</v>
      </c>
      <c r="J593" s="32">
        <v>9.6000003814697301</v>
      </c>
      <c r="K593" s="33">
        <v>45700</v>
      </c>
      <c r="L593" s="31">
        <v>43460400</v>
      </c>
      <c r="M593" s="32">
        <v>3.88</v>
      </c>
      <c r="N593" s="31" t="s">
        <v>35</v>
      </c>
      <c r="O593" s="33">
        <v>45699</v>
      </c>
      <c r="P593" s="34">
        <v>2064085.125</v>
      </c>
      <c r="Q593" s="34">
        <v>2491157.5</v>
      </c>
      <c r="R593" s="34">
        <v>2400268.75</v>
      </c>
      <c r="S593" s="29"/>
      <c r="T593" s="33"/>
      <c r="U593" s="35" t="b">
        <v>0</v>
      </c>
      <c r="V593" s="35" t="b">
        <v>0</v>
      </c>
      <c r="W593" s="35" t="b">
        <v>0</v>
      </c>
      <c r="Y593" s="31" cm="1">
        <f t="array" ref="Y593">IF(LEFT(_xll.BDP($C593, VOLUME_AVG_10D), 4) = "#N/A", "",  _xll.BDP($C593, VOLUME_AVG_10D))</f>
        <v>1700204.125</v>
      </c>
      <c r="Z593" s="31" cm="1">
        <f t="array" ref="Z593">IF(LEFT(_xll.BDP($C593, VOLUME_AVG_30D), 4) = "#N/A", "",  _xll.BDP($C593, VOLUME_AVG_30D))</f>
        <v>2064085.125</v>
      </c>
      <c r="AA593" s="31" cm="1">
        <f t="array" ref="AA593">IF(LEFT(_xll.BDP($C593, VOLUME_AVG_3M), 4) = "#N/A", "",  _xll.BDP($C593, VOLUME_AVG_3M))</f>
        <v>2491157.5</v>
      </c>
      <c r="AB593" s="31" cm="1">
        <f t="array" ref="AB593">IF(LEFT(_xll.BDP($C593, VOLUME_AVG_6M), 4) = "#N/A", "",  _xll.BDP($C593, VOLUME_AVG_6M))</f>
        <v>2400268.75</v>
      </c>
      <c r="AC593" s="31" cm="1">
        <f t="array" ref="AC593">IF(LEFT(_xll.BDP($C593, VOLUME_AVG_12M), 4) = "#N/A", "",  _xll.BDP($C593, VOLUME_AVG_12M))</f>
        <v>1983175</v>
      </c>
      <c r="AD593" s="41" cm="1">
        <f t="array" ref="AD593">IF(LEFT(_xll.BDP($C593, LAST_PRICE), 4) = "#N/A", "",  _xll.BDP($C593, LAST_PRICE))</f>
        <v>9.6</v>
      </c>
    </row>
    <row r="594" spans="1:30" x14ac:dyDescent="0.35">
      <c r="A594" s="1">
        <f t="shared" si="9"/>
        <v>591</v>
      </c>
      <c r="B594" s="28">
        <v>45700</v>
      </c>
      <c r="C594" s="29" t="s">
        <v>1238</v>
      </c>
      <c r="D594" s="29" t="s">
        <v>1238</v>
      </c>
      <c r="E594" s="29" t="s">
        <v>1239</v>
      </c>
      <c r="F594" s="29" t="s">
        <v>33</v>
      </c>
      <c r="G594" s="30" t="s">
        <v>34</v>
      </c>
      <c r="H594" s="31">
        <v>902964504.67314005</v>
      </c>
      <c r="I594" s="31">
        <v>947804504.67314005</v>
      </c>
      <c r="J594" s="32">
        <v>14.2600002288818</v>
      </c>
      <c r="K594" s="33">
        <v>45700</v>
      </c>
      <c r="L594" s="31">
        <v>12956800</v>
      </c>
      <c r="M594" s="32">
        <v>3.88</v>
      </c>
      <c r="N594" s="31" t="s">
        <v>35</v>
      </c>
      <c r="O594" s="33">
        <v>45699</v>
      </c>
      <c r="P594" s="34">
        <v>854335.5625</v>
      </c>
      <c r="Q594" s="34">
        <v>718650.625</v>
      </c>
      <c r="R594" s="34">
        <v>664268.1875</v>
      </c>
      <c r="S594" s="29" t="s">
        <v>1240</v>
      </c>
      <c r="T594" s="33">
        <v>45446</v>
      </c>
      <c r="U594" s="35" t="b">
        <v>0</v>
      </c>
      <c r="V594" s="35" t="b">
        <v>0</v>
      </c>
      <c r="W594" s="35" t="b">
        <v>0</v>
      </c>
      <c r="Y594" s="31" cm="1">
        <f t="array" ref="Y594">IF(LEFT(_xll.BDP($C594, VOLUME_AVG_10D), 4) = "#N/A", "",  _xll.BDP($C594, VOLUME_AVG_10D))</f>
        <v>784901.8125</v>
      </c>
      <c r="Z594" s="31" cm="1">
        <f t="array" ref="Z594">IF(LEFT(_xll.BDP($C594, VOLUME_AVG_30D), 4) = "#N/A", "",  _xll.BDP($C594, VOLUME_AVG_30D))</f>
        <v>854335.5625</v>
      </c>
      <c r="AA594" s="31" cm="1">
        <f t="array" ref="AA594">IF(LEFT(_xll.BDP($C594, VOLUME_AVG_3M), 4) = "#N/A", "",  _xll.BDP($C594, VOLUME_AVG_3M))</f>
        <v>718650.625</v>
      </c>
      <c r="AB594" s="31" cm="1">
        <f t="array" ref="AB594">IF(LEFT(_xll.BDP($C594, VOLUME_AVG_6M), 4) = "#N/A", "",  _xll.BDP($C594, VOLUME_AVG_6M))</f>
        <v>664268.1875</v>
      </c>
      <c r="AC594" s="31" cm="1">
        <f t="array" ref="AC594">IF(LEFT(_xll.BDP($C594, VOLUME_AVG_12M), 4) = "#N/A", "",  _xll.BDP($C594, VOLUME_AVG_12M))</f>
        <v>609753.9375</v>
      </c>
      <c r="AD594" s="41" cm="1">
        <f t="array" ref="AD594">IF(LEFT(_xll.BDP($C594, LAST_PRICE), 4) = "#N/A", "",  _xll.BDP($C594, LAST_PRICE))</f>
        <v>14.26</v>
      </c>
    </row>
    <row r="595" spans="1:30" x14ac:dyDescent="0.35">
      <c r="A595" s="1">
        <f t="shared" si="9"/>
        <v>592</v>
      </c>
      <c r="B595" s="28">
        <v>45700</v>
      </c>
      <c r="C595" s="29" t="s">
        <v>1241</v>
      </c>
      <c r="D595" s="29" t="s">
        <v>1241</v>
      </c>
      <c r="E595" s="29" t="s">
        <v>1242</v>
      </c>
      <c r="F595" s="29" t="s">
        <v>40</v>
      </c>
      <c r="G595" s="30" t="s">
        <v>41</v>
      </c>
      <c r="H595" s="31">
        <v>6318309.585</v>
      </c>
      <c r="I595" s="31">
        <v>22370339.585000001</v>
      </c>
      <c r="J595" s="32">
        <v>0.105</v>
      </c>
      <c r="K595" s="33">
        <v>45700</v>
      </c>
      <c r="L595" s="31"/>
      <c r="M595" s="32"/>
      <c r="N595" s="31"/>
      <c r="O595" s="33">
        <v>45699</v>
      </c>
      <c r="P595" s="34">
        <v>154764.79999999999</v>
      </c>
      <c r="Q595" s="34">
        <v>162239</v>
      </c>
      <c r="R595" s="34">
        <v>137454.70000000001</v>
      </c>
      <c r="S595" s="29"/>
      <c r="T595" s="33"/>
      <c r="U595" s="35" t="b">
        <v>1</v>
      </c>
      <c r="V595" s="35" t="b">
        <v>0</v>
      </c>
      <c r="W595" s="35" t="b">
        <v>0</v>
      </c>
      <c r="Y595" s="31" cm="1">
        <f t="array" ref="Y595">IF(LEFT(_xll.BDP($C595, VOLUME_AVG_10D), 4) = "#N/A", "",  _xll.BDP($C595, VOLUME_AVG_10D))</f>
        <v>164728.79999999999</v>
      </c>
      <c r="Z595" s="31" cm="1">
        <f t="array" ref="Z595">IF(LEFT(_xll.BDP($C595, VOLUME_AVG_30D), 4) = "#N/A", "",  _xll.BDP($C595, VOLUME_AVG_30D))</f>
        <v>154764.79999999999</v>
      </c>
      <c r="AA595" s="31" cm="1">
        <f t="array" ref="AA595">IF(LEFT(_xll.BDP($C595, VOLUME_AVG_3M), 4) = "#N/A", "",  _xll.BDP($C595, VOLUME_AVG_3M))</f>
        <v>162239</v>
      </c>
      <c r="AB595" s="31" cm="1">
        <f t="array" ref="AB595">IF(LEFT(_xll.BDP($C595, VOLUME_AVG_6M), 4) = "#N/A", "",  _xll.BDP($C595, VOLUME_AVG_6M))</f>
        <v>137454.70000000001</v>
      </c>
      <c r="AC595" s="31" cm="1">
        <f t="array" ref="AC595">IF(LEFT(_xll.BDP($C595, VOLUME_AVG_12M), 4) = "#N/A", "",  _xll.BDP($C595, VOLUME_AVG_12M))</f>
        <v>148644.20000000001</v>
      </c>
      <c r="AD595" s="41" cm="1">
        <f t="array" ref="AD595">IF(LEFT(_xll.BDP($C595, LAST_PRICE), 4) = "#N/A", "",  _xll.BDP($C595, LAST_PRICE))</f>
        <v>0.105</v>
      </c>
    </row>
    <row r="596" spans="1:30" x14ac:dyDescent="0.35">
      <c r="A596" s="1">
        <f t="shared" si="9"/>
        <v>593</v>
      </c>
      <c r="B596" s="28">
        <v>45700</v>
      </c>
      <c r="C596" s="29" t="s">
        <v>1243</v>
      </c>
      <c r="D596" s="29" t="s">
        <v>1243</v>
      </c>
      <c r="E596" s="29" t="s">
        <v>1244</v>
      </c>
      <c r="F596" s="29" t="s">
        <v>33</v>
      </c>
      <c r="G596" s="30" t="s">
        <v>34</v>
      </c>
      <c r="H596" s="31"/>
      <c r="I596" s="31"/>
      <c r="J596" s="32">
        <v>9.9999999747524292E-7</v>
      </c>
      <c r="K596" s="33">
        <v>45700</v>
      </c>
      <c r="L596" s="31"/>
      <c r="M596" s="32"/>
      <c r="N596" s="31"/>
      <c r="O596" s="33">
        <v>45699</v>
      </c>
      <c r="P596" s="34">
        <v>534743.5625</v>
      </c>
      <c r="Q596" s="34">
        <v>850201.875</v>
      </c>
      <c r="R596" s="34">
        <v>610557.1875</v>
      </c>
      <c r="S596" s="29"/>
      <c r="T596" s="33"/>
      <c r="U596" s="35" t="b">
        <v>1</v>
      </c>
      <c r="V596" s="35" t="b">
        <v>1</v>
      </c>
      <c r="W596" s="35" t="b">
        <v>1</v>
      </c>
      <c r="Y596" s="31" cm="1">
        <f t="array" ref="Y596">IF(LEFT(_xll.BDP($C596, VOLUME_AVG_10D), 4) = "#N/A", "",  _xll.BDP($C596, VOLUME_AVG_10D))</f>
        <v>647467.375</v>
      </c>
      <c r="Z596" s="31" cm="1">
        <f t="array" ref="Z596">IF(LEFT(_xll.BDP($C596, VOLUME_AVG_30D), 4) = "#N/A", "",  _xll.BDP($C596, VOLUME_AVG_30D))</f>
        <v>534743.5625</v>
      </c>
      <c r="AA596" s="31" cm="1">
        <f t="array" ref="AA596">IF(LEFT(_xll.BDP($C596, VOLUME_AVG_3M), 4) = "#N/A", "",  _xll.BDP($C596, VOLUME_AVG_3M))</f>
        <v>850201.875</v>
      </c>
      <c r="AB596" s="31" cm="1">
        <f t="array" ref="AB596">IF(LEFT(_xll.BDP($C596, VOLUME_AVG_6M), 4) = "#N/A", "",  _xll.BDP($C596, VOLUME_AVG_6M))</f>
        <v>610557.1875</v>
      </c>
      <c r="AC596" s="31" cm="1">
        <f t="array" ref="AC596">IF(LEFT(_xll.BDP($C596, VOLUME_AVG_12M), 4) = "#N/A", "",  _xll.BDP($C596, VOLUME_AVG_12M))</f>
        <v>442673.75</v>
      </c>
      <c r="AD596" s="41" cm="1">
        <f t="array" ref="AD596">IF(LEFT(_xll.BDP($C596, LAST_PRICE), 4) = "#N/A", "",  _xll.BDP($C596, LAST_PRICE))</f>
        <v>9.9999999999999995E-7</v>
      </c>
    </row>
    <row r="597" spans="1:30" x14ac:dyDescent="0.35">
      <c r="A597" s="1">
        <f t="shared" si="9"/>
        <v>594</v>
      </c>
      <c r="B597" s="28">
        <v>45700</v>
      </c>
      <c r="C597" s="29" t="s">
        <v>1245</v>
      </c>
      <c r="D597" s="29" t="s">
        <v>1245</v>
      </c>
      <c r="E597" s="29" t="s">
        <v>1246</v>
      </c>
      <c r="F597" s="29" t="s">
        <v>33</v>
      </c>
      <c r="G597" s="30" t="s">
        <v>34</v>
      </c>
      <c r="H597" s="31">
        <v>9316740617.8603992</v>
      </c>
      <c r="I597" s="31">
        <v>11076702617.860399</v>
      </c>
      <c r="J597" s="32">
        <v>50.340000152587898</v>
      </c>
      <c r="K597" s="33">
        <v>45700</v>
      </c>
      <c r="L597" s="31">
        <v>56231500</v>
      </c>
      <c r="M597" s="32">
        <v>3.88</v>
      </c>
      <c r="N597" s="31" t="s">
        <v>35</v>
      </c>
      <c r="O597" s="33">
        <v>45699</v>
      </c>
      <c r="P597" s="34">
        <v>2067355.875</v>
      </c>
      <c r="Q597" s="34">
        <v>2267627.5</v>
      </c>
      <c r="R597" s="34">
        <v>2325276.5</v>
      </c>
      <c r="S597" s="29" t="s">
        <v>671</v>
      </c>
      <c r="T597" s="33">
        <v>45215</v>
      </c>
      <c r="U597" s="35" t="b">
        <v>0</v>
      </c>
      <c r="V597" s="35" t="b">
        <v>0</v>
      </c>
      <c r="W597" s="35" t="b">
        <v>0</v>
      </c>
      <c r="Y597" s="31" cm="1">
        <f t="array" ref="Y597">IF(LEFT(_xll.BDP($C597, VOLUME_AVG_10D), 4) = "#N/A", "",  _xll.BDP($C597, VOLUME_AVG_10D))</f>
        <v>1419459.625</v>
      </c>
      <c r="Z597" s="31" cm="1">
        <f t="array" ref="Z597">IF(LEFT(_xll.BDP($C597, VOLUME_AVG_30D), 4) = "#N/A", "",  _xll.BDP($C597, VOLUME_AVG_30D))</f>
        <v>2067355.875</v>
      </c>
      <c r="AA597" s="31" cm="1">
        <f t="array" ref="AA597">IF(LEFT(_xll.BDP($C597, VOLUME_AVG_3M), 4) = "#N/A", "",  _xll.BDP($C597, VOLUME_AVG_3M))</f>
        <v>2267627.5</v>
      </c>
      <c r="AB597" s="31" cm="1">
        <f t="array" ref="AB597">IF(LEFT(_xll.BDP($C597, VOLUME_AVG_6M), 4) = "#N/A", "",  _xll.BDP($C597, VOLUME_AVG_6M))</f>
        <v>2325276.5</v>
      </c>
      <c r="AC597" s="31" cm="1">
        <f t="array" ref="AC597">IF(LEFT(_xll.BDP($C597, VOLUME_AVG_12M), 4) = "#N/A", "",  _xll.BDP($C597, VOLUME_AVG_12M))</f>
        <v>2624061.25</v>
      </c>
      <c r="AD597" s="41" cm="1">
        <f t="array" ref="AD597">IF(LEFT(_xll.BDP($C597, LAST_PRICE), 4) = "#N/A", "",  _xll.BDP($C597, LAST_PRICE))</f>
        <v>50.34</v>
      </c>
    </row>
    <row r="598" spans="1:30" x14ac:dyDescent="0.35">
      <c r="A598" s="1">
        <f t="shared" si="9"/>
        <v>595</v>
      </c>
      <c r="B598" s="28">
        <v>45700</v>
      </c>
      <c r="C598" s="29" t="s">
        <v>1247</v>
      </c>
      <c r="D598" s="29" t="s">
        <v>1247</v>
      </c>
      <c r="E598" s="29" t="s">
        <v>1248</v>
      </c>
      <c r="F598" s="29" t="s">
        <v>33</v>
      </c>
      <c r="G598" s="30" t="s">
        <v>34</v>
      </c>
      <c r="H598" s="31">
        <v>76193043.987639397</v>
      </c>
      <c r="I598" s="31">
        <v>77428043.987639397</v>
      </c>
      <c r="J598" s="32">
        <v>4.3200001716613796</v>
      </c>
      <c r="K598" s="33">
        <v>45700</v>
      </c>
      <c r="L598" s="31">
        <v>1459100</v>
      </c>
      <c r="M598" s="32">
        <v>3.8</v>
      </c>
      <c r="N598" s="31" t="s">
        <v>35</v>
      </c>
      <c r="O598" s="33">
        <v>45699</v>
      </c>
      <c r="P598" s="34">
        <v>206537.5</v>
      </c>
      <c r="Q598" s="34">
        <v>178078.125</v>
      </c>
      <c r="R598" s="34">
        <v>106215.3046875</v>
      </c>
      <c r="S598" s="29"/>
      <c r="T598" s="33"/>
      <c r="U598" s="35" t="b">
        <v>0</v>
      </c>
      <c r="V598" s="35" t="b">
        <v>0</v>
      </c>
      <c r="W598" s="35" t="b">
        <v>0</v>
      </c>
      <c r="Y598" s="31" cm="1">
        <f t="array" ref="Y598">IF(LEFT(_xll.BDP($C598, VOLUME_AVG_10D), 4) = "#N/A", "",  _xll.BDP($C598, VOLUME_AVG_10D))</f>
        <v>210577.90625</v>
      </c>
      <c r="Z598" s="31" cm="1">
        <f t="array" ref="Z598">IF(LEFT(_xll.BDP($C598, VOLUME_AVG_30D), 4) = "#N/A", "",  _xll.BDP($C598, VOLUME_AVG_30D))</f>
        <v>206537.5</v>
      </c>
      <c r="AA598" s="31" cm="1">
        <f t="array" ref="AA598">IF(LEFT(_xll.BDP($C598, VOLUME_AVG_3M), 4) = "#N/A", "",  _xll.BDP($C598, VOLUME_AVG_3M))</f>
        <v>178078.125</v>
      </c>
      <c r="AB598" s="31" cm="1">
        <f t="array" ref="AB598">IF(LEFT(_xll.BDP($C598, VOLUME_AVG_6M), 4) = "#N/A", "",  _xll.BDP($C598, VOLUME_AVG_6M))</f>
        <v>106215.3046875</v>
      </c>
      <c r="AC598" s="31" cm="1">
        <f t="array" ref="AC598">IF(LEFT(_xll.BDP($C598, VOLUME_AVG_12M), 4) = "#N/A", "",  _xll.BDP($C598, VOLUME_AVG_12M))</f>
        <v>75421.7890625</v>
      </c>
      <c r="AD598" s="41" cm="1">
        <f t="array" ref="AD598">IF(LEFT(_xll.BDP($C598, LAST_PRICE), 4) = "#N/A", "",  _xll.BDP($C598, LAST_PRICE))</f>
        <v>4.32</v>
      </c>
    </row>
    <row r="599" spans="1:30" x14ac:dyDescent="0.35">
      <c r="A599" s="1">
        <f t="shared" si="9"/>
        <v>596</v>
      </c>
      <c r="B599" s="28">
        <v>45700</v>
      </c>
      <c r="C599" s="29" t="s">
        <v>1249</v>
      </c>
      <c r="D599" s="29" t="s">
        <v>1249</v>
      </c>
      <c r="E599" s="29" t="s">
        <v>1250</v>
      </c>
      <c r="F599" s="29" t="s">
        <v>33</v>
      </c>
      <c r="G599" s="30" t="s">
        <v>34</v>
      </c>
      <c r="H599" s="31">
        <v>9180111346.4673996</v>
      </c>
      <c r="I599" s="31">
        <v>8284669346.4673996</v>
      </c>
      <c r="J599" s="32">
        <v>32.799999237060497</v>
      </c>
      <c r="K599" s="33">
        <v>45700</v>
      </c>
      <c r="L599" s="31">
        <v>99628600</v>
      </c>
      <c r="M599" s="32">
        <v>3.88</v>
      </c>
      <c r="N599" s="31" t="s">
        <v>35</v>
      </c>
      <c r="O599" s="33">
        <v>45699</v>
      </c>
      <c r="P599" s="34">
        <v>2383956</v>
      </c>
      <c r="Q599" s="34">
        <v>2206570.75</v>
      </c>
      <c r="R599" s="34">
        <v>2124927.5</v>
      </c>
      <c r="S599" s="29" t="s">
        <v>46</v>
      </c>
      <c r="T599" s="33">
        <v>45446</v>
      </c>
      <c r="U599" s="35" t="b">
        <v>0</v>
      </c>
      <c r="V599" s="35" t="b">
        <v>0</v>
      </c>
      <c r="W599" s="35" t="b">
        <v>0</v>
      </c>
      <c r="Y599" s="31" cm="1">
        <f t="array" ref="Y599">IF(LEFT(_xll.BDP($C599, VOLUME_AVG_10D), 4) = "#N/A", "",  _xll.BDP($C599, VOLUME_AVG_10D))</f>
        <v>1970402.125</v>
      </c>
      <c r="Z599" s="31" cm="1">
        <f t="array" ref="Z599">IF(LEFT(_xll.BDP($C599, VOLUME_AVG_30D), 4) = "#N/A", "",  _xll.BDP($C599, VOLUME_AVG_30D))</f>
        <v>2383956</v>
      </c>
      <c r="AA599" s="31" cm="1">
        <f t="array" ref="AA599">IF(LEFT(_xll.BDP($C599, VOLUME_AVG_3M), 4) = "#N/A", "",  _xll.BDP($C599, VOLUME_AVG_3M))</f>
        <v>2206570.75</v>
      </c>
      <c r="AB599" s="31" cm="1">
        <f t="array" ref="AB599">IF(LEFT(_xll.BDP($C599, VOLUME_AVG_6M), 4) = "#N/A", "",  _xll.BDP($C599, VOLUME_AVG_6M))</f>
        <v>2124927.5</v>
      </c>
      <c r="AC599" s="31" cm="1">
        <f t="array" ref="AC599">IF(LEFT(_xll.BDP($C599, VOLUME_AVG_12M), 4) = "#N/A", "",  _xll.BDP($C599, VOLUME_AVG_12M))</f>
        <v>2091450.125</v>
      </c>
      <c r="AD599" s="41" cm="1">
        <f t="array" ref="AD599">IF(LEFT(_xll.BDP($C599, LAST_PRICE), 4) = "#N/A", "",  _xll.BDP($C599, LAST_PRICE))</f>
        <v>32.799999999999997</v>
      </c>
    </row>
    <row r="600" spans="1:30" x14ac:dyDescent="0.35">
      <c r="A600" s="1">
        <f t="shared" si="9"/>
        <v>597</v>
      </c>
      <c r="B600" s="28">
        <v>45700</v>
      </c>
      <c r="C600" s="29" t="s">
        <v>1251</v>
      </c>
      <c r="D600" s="29" t="s">
        <v>1251</v>
      </c>
      <c r="E600" s="29" t="s">
        <v>1252</v>
      </c>
      <c r="F600" s="29" t="s">
        <v>33</v>
      </c>
      <c r="G600" s="30" t="s">
        <v>34</v>
      </c>
      <c r="H600" s="31">
        <v>26083067.606397599</v>
      </c>
      <c r="I600" s="31">
        <v>30518067.606397599</v>
      </c>
      <c r="J600" s="32">
        <v>10.0100002288818</v>
      </c>
      <c r="K600" s="33">
        <v>45700</v>
      </c>
      <c r="L600" s="31">
        <v>21400</v>
      </c>
      <c r="M600" s="32">
        <v>-183.25</v>
      </c>
      <c r="N600" s="31" t="s">
        <v>35</v>
      </c>
      <c r="O600" s="33">
        <v>45699</v>
      </c>
      <c r="P600" s="34">
        <v>105773.234375</v>
      </c>
      <c r="Q600" s="34">
        <v>737718.8125</v>
      </c>
      <c r="R600" s="34">
        <v>895710.8125</v>
      </c>
      <c r="S600" s="29"/>
      <c r="T600" s="33"/>
      <c r="U600" s="35" t="b">
        <v>0</v>
      </c>
      <c r="V600" s="35" t="b">
        <v>0</v>
      </c>
      <c r="W600" s="35" t="b">
        <v>0</v>
      </c>
      <c r="Y600" s="31" cm="1">
        <f t="array" ref="Y600">IF(LEFT(_xll.BDP($C600, VOLUME_AVG_10D), 4) = "#N/A", "",  _xll.BDP($C600, VOLUME_AVG_10D))</f>
        <v>16599.400390625</v>
      </c>
      <c r="Z600" s="31" cm="1">
        <f t="array" ref="Z600">IF(LEFT(_xll.BDP($C600, VOLUME_AVG_30D), 4) = "#N/A", "",  _xll.BDP($C600, VOLUME_AVG_30D))</f>
        <v>105773.234375</v>
      </c>
      <c r="AA600" s="31" cm="1">
        <f t="array" ref="AA600">IF(LEFT(_xll.BDP($C600, VOLUME_AVG_3M), 4) = "#N/A", "",  _xll.BDP($C600, VOLUME_AVG_3M))</f>
        <v>737718.8125</v>
      </c>
      <c r="AB600" s="31" cm="1">
        <f t="array" ref="AB600">IF(LEFT(_xll.BDP($C600, VOLUME_AVG_6M), 4) = "#N/A", "",  _xll.BDP($C600, VOLUME_AVG_6M))</f>
        <v>895710.8125</v>
      </c>
      <c r="AC600" s="31" cm="1">
        <f t="array" ref="AC600">IF(LEFT(_xll.BDP($C600, VOLUME_AVG_12M), 4) = "#N/A", "",  _xll.BDP($C600, VOLUME_AVG_12M))</f>
        <v>563994.5625</v>
      </c>
      <c r="AD600" s="41" cm="1">
        <f t="array" ref="AD600">IF(LEFT(_xll.BDP($C600, LAST_PRICE), 4) = "#N/A", "",  _xll.BDP($C600, LAST_PRICE))</f>
        <v>10.01</v>
      </c>
    </row>
    <row r="601" spans="1:30" x14ac:dyDescent="0.35">
      <c r="A601" s="1">
        <f t="shared" si="9"/>
        <v>598</v>
      </c>
      <c r="B601" s="28">
        <v>45700</v>
      </c>
      <c r="C601" s="29" t="s">
        <v>1253</v>
      </c>
      <c r="D601" s="29" t="s">
        <v>1253</v>
      </c>
      <c r="E601" s="29" t="s">
        <v>1254</v>
      </c>
      <c r="F601" s="29" t="s">
        <v>33</v>
      </c>
      <c r="G601" s="30" t="s">
        <v>34</v>
      </c>
      <c r="H601" s="31">
        <v>32653.632000000001</v>
      </c>
      <c r="I601" s="31">
        <v>-781346.37849041703</v>
      </c>
      <c r="J601" s="32">
        <v>0.35199999999999998</v>
      </c>
      <c r="K601" s="33">
        <v>45700</v>
      </c>
      <c r="L601" s="31"/>
      <c r="M601" s="32"/>
      <c r="N601" s="31"/>
      <c r="O601" s="33">
        <v>45699</v>
      </c>
      <c r="P601" s="34">
        <v>33.166667938232401</v>
      </c>
      <c r="Q601" s="34">
        <v>23.516128540039102</v>
      </c>
      <c r="R601" s="34">
        <v>293.08731079101602</v>
      </c>
      <c r="S601" s="29"/>
      <c r="T601" s="33"/>
      <c r="U601" s="35" t="b">
        <v>1</v>
      </c>
      <c r="V601" s="35" t="b">
        <v>0</v>
      </c>
      <c r="W601" s="35" t="b">
        <v>1</v>
      </c>
      <c r="Y601" s="31" cm="1">
        <f t="array" ref="Y601">IF(LEFT(_xll.BDP($C601, VOLUME_AVG_10D), 4) = "#N/A", "",  _xll.BDP($C601, VOLUME_AVG_10D))</f>
        <v>89.099998474121094</v>
      </c>
      <c r="Z601" s="31" cm="1">
        <f t="array" ref="Z601">IF(LEFT(_xll.BDP($C601, VOLUME_AVG_30D), 4) = "#N/A", "",  _xll.BDP($C601, VOLUME_AVG_30D))</f>
        <v>33.166667938232422</v>
      </c>
      <c r="AA601" s="31" cm="1">
        <f t="array" ref="AA601">IF(LEFT(_xll.BDP($C601, VOLUME_AVG_3M), 4) = "#N/A", "",  _xll.BDP($C601, VOLUME_AVG_3M))</f>
        <v>23.516128540039063</v>
      </c>
      <c r="AB601" s="31" cm="1">
        <f t="array" ref="AB601">IF(LEFT(_xll.BDP($C601, VOLUME_AVG_6M), 4) = "#N/A", "",  _xll.BDP($C601, VOLUME_AVG_6M))</f>
        <v>293.08731079101563</v>
      </c>
      <c r="AC601" s="31" cm="1">
        <f t="array" ref="AC601">IF(LEFT(_xll.BDP($C601, VOLUME_AVG_12M), 4) = "#N/A", "",  _xll.BDP($C601, VOLUME_AVG_12M))</f>
        <v>204.59761047363281</v>
      </c>
      <c r="AD601" s="41" cm="1">
        <f t="array" ref="AD601">IF(LEFT(_xll.BDP($C601, LAST_PRICE), 4) = "#N/A", "",  _xll.BDP($C601, LAST_PRICE))</f>
        <v>0.35199999999999998</v>
      </c>
    </row>
    <row r="602" spans="1:30" x14ac:dyDescent="0.35">
      <c r="A602" s="1">
        <f t="shared" si="9"/>
        <v>599</v>
      </c>
      <c r="B602" s="28">
        <v>45700</v>
      </c>
      <c r="C602" s="29" t="s">
        <v>1631</v>
      </c>
      <c r="D602" s="29" t="s">
        <v>1631</v>
      </c>
      <c r="E602" s="29" t="s">
        <v>3312</v>
      </c>
      <c r="F602" s="29" t="s">
        <v>33</v>
      </c>
      <c r="G602" s="30" t="s">
        <v>34</v>
      </c>
      <c r="H602" s="31"/>
      <c r="I602" s="31"/>
      <c r="J602" s="32"/>
      <c r="K602" s="33">
        <v>45700</v>
      </c>
      <c r="L602" s="31"/>
      <c r="M602" s="32"/>
      <c r="N602" s="31"/>
      <c r="O602" s="33">
        <v>45699</v>
      </c>
      <c r="P602" s="34">
        <v>36045.765625</v>
      </c>
      <c r="Q602" s="34"/>
      <c r="R602" s="34"/>
      <c r="S602" s="29"/>
      <c r="T602" s="33"/>
      <c r="U602" s="35" t="b">
        <v>1</v>
      </c>
      <c r="V602" s="35" t="b">
        <v>1</v>
      </c>
      <c r="W602" s="35" t="b">
        <v>1</v>
      </c>
      <c r="Y602" s="31" cm="1">
        <f t="array" ref="Y602">IF(LEFT(_xll.BDP($C602, VOLUME_AVG_10D), 4) = "#N/A", "",  _xll.BDP($C602, VOLUME_AVG_10D))</f>
        <v>24271.400390625</v>
      </c>
      <c r="Z602" s="31" cm="1">
        <f t="array" ref="Z602">IF(LEFT(_xll.BDP($C602, VOLUME_AVG_30D), 4) = "#N/A", "",  _xll.BDP($C602, VOLUME_AVG_30D))</f>
        <v>36045.765625</v>
      </c>
      <c r="AA602" s="31" t="str" cm="1">
        <f t="array" ref="AA602">IF(LEFT(_xll.BDP($C602, VOLUME_AVG_3M), 4) = "#N/A", "",  _xll.BDP($C602, VOLUME_AVG_3M))</f>
        <v/>
      </c>
      <c r="AB602" s="31" t="str" cm="1">
        <f t="array" ref="AB602">IF(LEFT(_xll.BDP($C602, VOLUME_AVG_6M), 4) = "#N/A", "",  _xll.BDP($C602, VOLUME_AVG_6M))</f>
        <v/>
      </c>
      <c r="AC602" s="31" t="str" cm="1">
        <f t="array" ref="AC602">IF(LEFT(_xll.BDP($C602, VOLUME_AVG_12M), 4) = "#N/A", "",  _xll.BDP($C602, VOLUME_AVG_12M))</f>
        <v/>
      </c>
      <c r="AD602" s="41" t="str" cm="1">
        <f t="array" ref="AD602">IF(LEFT(_xll.BDP($C602, LAST_PRICE), 4) = "#N/A", "",  _xll.BDP($C602, LAST_PRICE))</f>
        <v/>
      </c>
    </row>
    <row r="603" spans="1:30" x14ac:dyDescent="0.35">
      <c r="A603" s="1">
        <f t="shared" si="9"/>
        <v>600</v>
      </c>
      <c r="B603" s="28">
        <v>45700</v>
      </c>
      <c r="C603" s="29" t="s">
        <v>1255</v>
      </c>
      <c r="D603" s="29" t="s">
        <v>1255</v>
      </c>
      <c r="E603" s="29" t="s">
        <v>1256</v>
      </c>
      <c r="F603" s="29" t="s">
        <v>40</v>
      </c>
      <c r="G603" s="30" t="s">
        <v>41</v>
      </c>
      <c r="H603" s="31">
        <v>895600635.73185003</v>
      </c>
      <c r="I603" s="31">
        <v>1063044635.73185</v>
      </c>
      <c r="J603" s="32">
        <v>10.7299995422363</v>
      </c>
      <c r="K603" s="33">
        <v>45700</v>
      </c>
      <c r="L603" s="31">
        <v>6271900</v>
      </c>
      <c r="M603" s="32">
        <v>3.3</v>
      </c>
      <c r="N603" s="31" t="s">
        <v>35</v>
      </c>
      <c r="O603" s="33">
        <v>45699</v>
      </c>
      <c r="P603" s="34">
        <v>259925.7</v>
      </c>
      <c r="Q603" s="34">
        <v>275453.8</v>
      </c>
      <c r="R603" s="34">
        <v>274072.59999999998</v>
      </c>
      <c r="S603" s="29"/>
      <c r="T603" s="33"/>
      <c r="U603" s="35" t="b">
        <v>0</v>
      </c>
      <c r="V603" s="35" t="b">
        <v>0</v>
      </c>
      <c r="W603" s="35" t="b">
        <v>0</v>
      </c>
      <c r="Y603" s="31" cm="1">
        <f t="array" ref="Y603">IF(LEFT(_xll.BDP($C603, VOLUME_AVG_10D), 4) = "#N/A", "",  _xll.BDP($C603, VOLUME_AVG_10D))</f>
        <v>325125.2</v>
      </c>
      <c r="Z603" s="31" cm="1">
        <f t="array" ref="Z603">IF(LEFT(_xll.BDP($C603, VOLUME_AVG_30D), 4) = "#N/A", "",  _xll.BDP($C603, VOLUME_AVG_30D))</f>
        <v>259925.7</v>
      </c>
      <c r="AA603" s="31" cm="1">
        <f t="array" ref="AA603">IF(LEFT(_xll.BDP($C603, VOLUME_AVG_3M), 4) = "#N/A", "",  _xll.BDP($C603, VOLUME_AVG_3M))</f>
        <v>275453.8</v>
      </c>
      <c r="AB603" s="31" cm="1">
        <f t="array" ref="AB603">IF(LEFT(_xll.BDP($C603, VOLUME_AVG_6M), 4) = "#N/A", "",  _xll.BDP($C603, VOLUME_AVG_6M))</f>
        <v>274072.59999999998</v>
      </c>
      <c r="AC603" s="31" cm="1">
        <f t="array" ref="AC603">IF(LEFT(_xll.BDP($C603, VOLUME_AVG_12M), 4) = "#N/A", "",  _xll.BDP($C603, VOLUME_AVG_12M))</f>
        <v>247584.1</v>
      </c>
      <c r="AD603" s="41" cm="1">
        <f t="array" ref="AD603">IF(LEFT(_xll.BDP($C603, LAST_PRICE), 4) = "#N/A", "",  _xll.BDP($C603, LAST_PRICE))</f>
        <v>10.73</v>
      </c>
    </row>
    <row r="604" spans="1:30" x14ac:dyDescent="0.35">
      <c r="A604" s="1">
        <f t="shared" si="9"/>
        <v>601</v>
      </c>
      <c r="B604" s="28">
        <v>45700</v>
      </c>
      <c r="C604" s="29" t="s">
        <v>1257</v>
      </c>
      <c r="D604" s="29" t="s">
        <v>1257</v>
      </c>
      <c r="E604" s="29" t="s">
        <v>1258</v>
      </c>
      <c r="F604" s="29" t="s">
        <v>33</v>
      </c>
      <c r="G604" s="30" t="s">
        <v>34</v>
      </c>
      <c r="H604" s="31">
        <v>2576706.1413322799</v>
      </c>
      <c r="I604" s="31">
        <v>8400232.1413322799</v>
      </c>
      <c r="J604" s="32">
        <v>1.8500000238418599</v>
      </c>
      <c r="K604" s="33">
        <v>45700</v>
      </c>
      <c r="L604" s="31">
        <v>35600</v>
      </c>
      <c r="M604" s="32">
        <v>-29.5</v>
      </c>
      <c r="N604" s="31" t="s">
        <v>35</v>
      </c>
      <c r="O604" s="33">
        <v>45699</v>
      </c>
      <c r="P604" s="34">
        <v>528196.625</v>
      </c>
      <c r="Q604" s="34">
        <v>366673.84375</v>
      </c>
      <c r="R604" s="34">
        <v>190412.5</v>
      </c>
      <c r="S604" s="29" t="s">
        <v>49</v>
      </c>
      <c r="T604" s="33">
        <v>45215</v>
      </c>
      <c r="U604" s="35" t="b">
        <v>1</v>
      </c>
      <c r="V604" s="35" t="b">
        <v>0</v>
      </c>
      <c r="W604" s="35" t="b">
        <v>0</v>
      </c>
      <c r="Y604" s="31" cm="1">
        <f t="array" ref="Y604">IF(LEFT(_xll.BDP($C604, VOLUME_AVG_10D), 4) = "#N/A", "",  _xll.BDP($C604, VOLUME_AVG_10D))</f>
        <v>326987</v>
      </c>
      <c r="Z604" s="31" cm="1">
        <f t="array" ref="Z604">IF(LEFT(_xll.BDP($C604, VOLUME_AVG_30D), 4) = "#N/A", "",  _xll.BDP($C604, VOLUME_AVG_30D))</f>
        <v>528196.625</v>
      </c>
      <c r="AA604" s="31" cm="1">
        <f t="array" ref="AA604">IF(LEFT(_xll.BDP($C604, VOLUME_AVG_3M), 4) = "#N/A", "",  _xll.BDP($C604, VOLUME_AVG_3M))</f>
        <v>366673.84375</v>
      </c>
      <c r="AB604" s="31" cm="1">
        <f t="array" ref="AB604">IF(LEFT(_xll.BDP($C604, VOLUME_AVG_6M), 4) = "#N/A", "",  _xll.BDP($C604, VOLUME_AVG_6M))</f>
        <v>190412.5</v>
      </c>
      <c r="AC604" s="31" cm="1">
        <f t="array" ref="AC604">IF(LEFT(_xll.BDP($C604, VOLUME_AVG_12M), 4) = "#N/A", "",  _xll.BDP($C604, VOLUME_AVG_12M))</f>
        <v>102874.375</v>
      </c>
      <c r="AD604" s="41" cm="1">
        <f t="array" ref="AD604">IF(LEFT(_xll.BDP($C604, LAST_PRICE), 4) = "#N/A", "",  _xll.BDP($C604, LAST_PRICE))</f>
        <v>1.85</v>
      </c>
    </row>
    <row r="605" spans="1:30" x14ac:dyDescent="0.35">
      <c r="A605" s="1">
        <f t="shared" si="9"/>
        <v>602</v>
      </c>
      <c r="B605" s="28">
        <v>45700</v>
      </c>
      <c r="C605" s="29" t="s">
        <v>1259</v>
      </c>
      <c r="D605" s="29" t="s">
        <v>1259</v>
      </c>
      <c r="E605" s="29" t="s">
        <v>1260</v>
      </c>
      <c r="F605" s="29" t="s">
        <v>33</v>
      </c>
      <c r="G605" s="30" t="s">
        <v>34</v>
      </c>
      <c r="H605" s="31">
        <v>433394040.34107399</v>
      </c>
      <c r="I605" s="31">
        <v>202812040.34107399</v>
      </c>
      <c r="J605" s="32">
        <v>6.3499999046325701</v>
      </c>
      <c r="K605" s="33">
        <v>45700</v>
      </c>
      <c r="L605" s="31">
        <v>12697700</v>
      </c>
      <c r="M605" s="32">
        <v>3.88</v>
      </c>
      <c r="N605" s="31" t="s">
        <v>35</v>
      </c>
      <c r="O605" s="33">
        <v>45699</v>
      </c>
      <c r="P605" s="34">
        <v>873712.4375</v>
      </c>
      <c r="Q605" s="34">
        <v>915444.375</v>
      </c>
      <c r="R605" s="34">
        <v>826871.3125</v>
      </c>
      <c r="S605" s="29" t="s">
        <v>49</v>
      </c>
      <c r="T605" s="33">
        <v>45446</v>
      </c>
      <c r="U605" s="35" t="b">
        <v>0</v>
      </c>
      <c r="V605" s="35" t="b">
        <v>0</v>
      </c>
      <c r="W605" s="35" t="b">
        <v>0</v>
      </c>
      <c r="Y605" s="31" cm="1">
        <f t="array" ref="Y605">IF(LEFT(_xll.BDP($C605, VOLUME_AVG_10D), 4) = "#N/A", "",  _xll.BDP($C605, VOLUME_AVG_10D))</f>
        <v>1135372.125</v>
      </c>
      <c r="Z605" s="31" cm="1">
        <f t="array" ref="Z605">IF(LEFT(_xll.BDP($C605, VOLUME_AVG_30D), 4) = "#N/A", "",  _xll.BDP($C605, VOLUME_AVG_30D))</f>
        <v>873712.4375</v>
      </c>
      <c r="AA605" s="31" cm="1">
        <f t="array" ref="AA605">IF(LEFT(_xll.BDP($C605, VOLUME_AVG_3M), 4) = "#N/A", "",  _xll.BDP($C605, VOLUME_AVG_3M))</f>
        <v>915444.375</v>
      </c>
      <c r="AB605" s="31" cm="1">
        <f t="array" ref="AB605">IF(LEFT(_xll.BDP($C605, VOLUME_AVG_6M), 4) = "#N/A", "",  _xll.BDP($C605, VOLUME_AVG_6M))</f>
        <v>826871.3125</v>
      </c>
      <c r="AC605" s="31" cm="1">
        <f t="array" ref="AC605">IF(LEFT(_xll.BDP($C605, VOLUME_AVG_12M), 4) = "#N/A", "",  _xll.BDP($C605, VOLUME_AVG_12M))</f>
        <v>921325.625</v>
      </c>
      <c r="AD605" s="41" cm="1">
        <f t="array" ref="AD605">IF(LEFT(_xll.BDP($C605, LAST_PRICE), 4) = "#N/A", "",  _xll.BDP($C605, LAST_PRICE))</f>
        <v>6.35</v>
      </c>
    </row>
    <row r="606" spans="1:30" x14ac:dyDescent="0.35">
      <c r="A606" s="1">
        <f t="shared" si="9"/>
        <v>603</v>
      </c>
      <c r="B606" s="28">
        <v>45700</v>
      </c>
      <c r="C606" s="29" t="s">
        <v>1261</v>
      </c>
      <c r="D606" s="29" t="s">
        <v>1261</v>
      </c>
      <c r="E606" s="29" t="s">
        <v>1262</v>
      </c>
      <c r="F606" s="29" t="s">
        <v>33</v>
      </c>
      <c r="G606" s="30" t="s">
        <v>34</v>
      </c>
      <c r="H606" s="31">
        <v>142367916.25</v>
      </c>
      <c r="I606" s="31">
        <v>-48232536.469999999</v>
      </c>
      <c r="J606" s="32">
        <v>1.25</v>
      </c>
      <c r="K606" s="33">
        <v>45700</v>
      </c>
      <c r="L606" s="31">
        <v>24528300</v>
      </c>
      <c r="M606" s="32">
        <v>3.88</v>
      </c>
      <c r="N606" s="31" t="s">
        <v>35</v>
      </c>
      <c r="O606" s="33">
        <v>45699</v>
      </c>
      <c r="P606" s="34">
        <v>1999289.75</v>
      </c>
      <c r="Q606" s="34">
        <v>3138838.5</v>
      </c>
      <c r="R606" s="34">
        <v>2182599.25</v>
      </c>
      <c r="S606" s="29" t="s">
        <v>73</v>
      </c>
      <c r="T606" s="33">
        <v>45446</v>
      </c>
      <c r="U606" s="35" t="b">
        <v>0</v>
      </c>
      <c r="V606" s="35" t="b">
        <v>0</v>
      </c>
      <c r="W606" s="35" t="b">
        <v>1</v>
      </c>
      <c r="Y606" s="31" cm="1">
        <f t="array" ref="Y606">IF(LEFT(_xll.BDP($C606, VOLUME_AVG_10D), 4) = "#N/A", "",  _xll.BDP($C606, VOLUME_AVG_10D))</f>
        <v>1194091.875</v>
      </c>
      <c r="Z606" s="31" cm="1">
        <f t="array" ref="Z606">IF(LEFT(_xll.BDP($C606, VOLUME_AVG_30D), 4) = "#N/A", "",  _xll.BDP($C606, VOLUME_AVG_30D))</f>
        <v>1999289.75</v>
      </c>
      <c r="AA606" s="31" cm="1">
        <f t="array" ref="AA606">IF(LEFT(_xll.BDP($C606, VOLUME_AVG_3M), 4) = "#N/A", "",  _xll.BDP($C606, VOLUME_AVG_3M))</f>
        <v>3138838.5</v>
      </c>
      <c r="AB606" s="31" cm="1">
        <f t="array" ref="AB606">IF(LEFT(_xll.BDP($C606, VOLUME_AVG_6M), 4) = "#N/A", "",  _xll.BDP($C606, VOLUME_AVG_6M))</f>
        <v>2182599.25</v>
      </c>
      <c r="AC606" s="31" cm="1">
        <f t="array" ref="AC606">IF(LEFT(_xll.BDP($C606, VOLUME_AVG_12M), 4) = "#N/A", "",  _xll.BDP($C606, VOLUME_AVG_12M))</f>
        <v>2297707</v>
      </c>
      <c r="AD606" s="41" cm="1">
        <f t="array" ref="AD606">IF(LEFT(_xll.BDP($C606, LAST_PRICE), 4) = "#N/A", "",  _xll.BDP($C606, LAST_PRICE))</f>
        <v>1.25</v>
      </c>
    </row>
    <row r="607" spans="1:30" x14ac:dyDescent="0.35">
      <c r="A607" s="1">
        <f t="shared" si="9"/>
        <v>604</v>
      </c>
      <c r="B607" s="28">
        <v>45700</v>
      </c>
      <c r="C607" s="29" t="s">
        <v>1263</v>
      </c>
      <c r="D607" s="29" t="s">
        <v>1263</v>
      </c>
      <c r="E607" s="29" t="s">
        <v>1264</v>
      </c>
      <c r="F607" s="29" t="s">
        <v>33</v>
      </c>
      <c r="G607" s="30" t="s">
        <v>34</v>
      </c>
      <c r="H607" s="31">
        <v>30225978.9610724</v>
      </c>
      <c r="I607" s="31">
        <v>29852293.9610724</v>
      </c>
      <c r="J607" s="32">
        <v>1.3200000524520901</v>
      </c>
      <c r="K607" s="33">
        <v>45700</v>
      </c>
      <c r="L607" s="31">
        <v>2100100</v>
      </c>
      <c r="M607" s="32">
        <v>3.88</v>
      </c>
      <c r="N607" s="31" t="s">
        <v>35</v>
      </c>
      <c r="O607" s="33">
        <v>45699</v>
      </c>
      <c r="P607" s="34">
        <v>201028.5</v>
      </c>
      <c r="Q607" s="34">
        <v>193379.328125</v>
      </c>
      <c r="R607" s="34">
        <v>171726.765625</v>
      </c>
      <c r="S607" s="29"/>
      <c r="T607" s="33"/>
      <c r="U607" s="35" t="b">
        <v>0</v>
      </c>
      <c r="V607" s="35" t="b">
        <v>0</v>
      </c>
      <c r="W607" s="35" t="b">
        <v>0</v>
      </c>
      <c r="Y607" s="31" cm="1">
        <f t="array" ref="Y607">IF(LEFT(_xll.BDP($C607, VOLUME_AVG_10D), 4) = "#N/A", "",  _xll.BDP($C607, VOLUME_AVG_10D))</f>
        <v>341618.59375</v>
      </c>
      <c r="Z607" s="31" cm="1">
        <f t="array" ref="Z607">IF(LEFT(_xll.BDP($C607, VOLUME_AVG_30D), 4) = "#N/A", "",  _xll.BDP($C607, VOLUME_AVG_30D))</f>
        <v>201028.5</v>
      </c>
      <c r="AA607" s="31" cm="1">
        <f t="array" ref="AA607">IF(LEFT(_xll.BDP($C607, VOLUME_AVG_3M), 4) = "#N/A", "",  _xll.BDP($C607, VOLUME_AVG_3M))</f>
        <v>193379.328125</v>
      </c>
      <c r="AB607" s="31" cm="1">
        <f t="array" ref="AB607">IF(LEFT(_xll.BDP($C607, VOLUME_AVG_6M), 4) = "#N/A", "",  _xll.BDP($C607, VOLUME_AVG_6M))</f>
        <v>171726.765625</v>
      </c>
      <c r="AC607" s="31" cm="1">
        <f t="array" ref="AC607">IF(LEFT(_xll.BDP($C607, VOLUME_AVG_12M), 4) = "#N/A", "",  _xll.BDP($C607, VOLUME_AVG_12M))</f>
        <v>285817</v>
      </c>
      <c r="AD607" s="41" cm="1">
        <f t="array" ref="AD607">IF(LEFT(_xll.BDP($C607, LAST_PRICE), 4) = "#N/A", "",  _xll.BDP($C607, LAST_PRICE))</f>
        <v>1.32</v>
      </c>
    </row>
    <row r="608" spans="1:30" x14ac:dyDescent="0.35">
      <c r="A608" s="1">
        <f t="shared" si="9"/>
        <v>605</v>
      </c>
      <c r="B608" s="28">
        <v>45700</v>
      </c>
      <c r="C608" s="29" t="s">
        <v>1265</v>
      </c>
      <c r="D608" s="29" t="s">
        <v>1265</v>
      </c>
      <c r="E608" s="29" t="s">
        <v>1266</v>
      </c>
      <c r="F608" s="29" t="s">
        <v>40</v>
      </c>
      <c r="G608" s="30" t="s">
        <v>41</v>
      </c>
      <c r="H608" s="31">
        <v>256824678.02987501</v>
      </c>
      <c r="I608" s="31">
        <v>194090197.044779</v>
      </c>
      <c r="J608" s="32">
        <v>9.3299999237060494</v>
      </c>
      <c r="K608" s="33">
        <v>45700</v>
      </c>
      <c r="L608" s="31">
        <v>1195100</v>
      </c>
      <c r="M608" s="32">
        <v>3.2</v>
      </c>
      <c r="N608" s="31" t="s">
        <v>35</v>
      </c>
      <c r="O608" s="33">
        <v>45699</v>
      </c>
      <c r="P608" s="34">
        <v>2315.7669999999998</v>
      </c>
      <c r="Q608" s="34">
        <v>3423.875</v>
      </c>
      <c r="R608" s="34">
        <v>3134.4409999999998</v>
      </c>
      <c r="S608" s="29"/>
      <c r="T608" s="33"/>
      <c r="U608" s="35" t="b">
        <v>0</v>
      </c>
      <c r="V608" s="35" t="b">
        <v>0</v>
      </c>
      <c r="W608" s="35" t="b">
        <v>0</v>
      </c>
      <c r="Y608" s="31" cm="1">
        <f t="array" ref="Y608">IF(LEFT(_xll.BDP($C608, VOLUME_AVG_10D), 4) = "#N/A", "",  _xll.BDP($C608, VOLUME_AVG_10D))</f>
        <v>2146.9</v>
      </c>
      <c r="Z608" s="31" cm="1">
        <f t="array" ref="Z608">IF(LEFT(_xll.BDP($C608, VOLUME_AVG_30D), 4) = "#N/A", "",  _xll.BDP($C608, VOLUME_AVG_30D))</f>
        <v>2315.7669999999998</v>
      </c>
      <c r="AA608" s="31" cm="1">
        <f t="array" ref="AA608">IF(LEFT(_xll.BDP($C608, VOLUME_AVG_3M), 4) = "#N/A", "",  _xll.BDP($C608, VOLUME_AVG_3M))</f>
        <v>3423.875</v>
      </c>
      <c r="AB608" s="31" cm="1">
        <f t="array" ref="AB608">IF(LEFT(_xll.BDP($C608, VOLUME_AVG_6M), 4) = "#N/A", "",  _xll.BDP($C608, VOLUME_AVG_6M))</f>
        <v>3134.4409999999998</v>
      </c>
      <c r="AC608" s="31" cm="1">
        <f t="array" ref="AC608">IF(LEFT(_xll.BDP($C608, VOLUME_AVG_12M), 4) = "#N/A", "",  _xll.BDP($C608, VOLUME_AVG_12M))</f>
        <v>2675.107</v>
      </c>
      <c r="AD608" s="41" cm="1">
        <f t="array" ref="AD608">IF(LEFT(_xll.BDP($C608, LAST_PRICE), 4) = "#N/A", "",  _xll.BDP($C608, LAST_PRICE))</f>
        <v>9.33</v>
      </c>
    </row>
    <row r="609" spans="1:30" x14ac:dyDescent="0.35">
      <c r="A609" s="1">
        <f t="shared" si="9"/>
        <v>606</v>
      </c>
      <c r="B609" s="28">
        <v>45700</v>
      </c>
      <c r="C609" s="29" t="s">
        <v>1267</v>
      </c>
      <c r="D609" s="29" t="s">
        <v>1267</v>
      </c>
      <c r="E609" s="29" t="s">
        <v>1268</v>
      </c>
      <c r="F609" s="29" t="s">
        <v>33</v>
      </c>
      <c r="G609" s="30" t="s">
        <v>34</v>
      </c>
      <c r="H609" s="31">
        <v>62986525.774434999</v>
      </c>
      <c r="I609" s="31">
        <v>55570525.774434999</v>
      </c>
      <c r="J609" s="32">
        <v>1.7300000190734901</v>
      </c>
      <c r="K609" s="33">
        <v>45700</v>
      </c>
      <c r="L609" s="31">
        <v>559100</v>
      </c>
      <c r="M609" s="32">
        <v>-5.35</v>
      </c>
      <c r="N609" s="31" t="s">
        <v>35</v>
      </c>
      <c r="O609" s="33">
        <v>45699</v>
      </c>
      <c r="P609" s="34">
        <v>315616.4375</v>
      </c>
      <c r="Q609" s="34">
        <v>229151.875</v>
      </c>
      <c r="R609" s="34">
        <v>332689.5625</v>
      </c>
      <c r="S609" s="29"/>
      <c r="T609" s="33"/>
      <c r="U609" s="35" t="b">
        <v>0</v>
      </c>
      <c r="V609" s="35" t="b">
        <v>0</v>
      </c>
      <c r="W609" s="35" t="b">
        <v>0</v>
      </c>
      <c r="Y609" s="31" cm="1">
        <f t="array" ref="Y609">IF(LEFT(_xll.BDP($C609, VOLUME_AVG_10D), 4) = "#N/A", "",  _xll.BDP($C609, VOLUME_AVG_10D))</f>
        <v>575536.125</v>
      </c>
      <c r="Z609" s="31" cm="1">
        <f t="array" ref="Z609">IF(LEFT(_xll.BDP($C609, VOLUME_AVG_30D), 4) = "#N/A", "",  _xll.BDP($C609, VOLUME_AVG_30D))</f>
        <v>315616.4375</v>
      </c>
      <c r="AA609" s="31" cm="1">
        <f t="array" ref="AA609">IF(LEFT(_xll.BDP($C609, VOLUME_AVG_3M), 4) = "#N/A", "",  _xll.BDP($C609, VOLUME_AVG_3M))</f>
        <v>229151.875</v>
      </c>
      <c r="AB609" s="31" cm="1">
        <f t="array" ref="AB609">IF(LEFT(_xll.BDP($C609, VOLUME_AVG_6M), 4) = "#N/A", "",  _xll.BDP($C609, VOLUME_AVG_6M))</f>
        <v>332689.5625</v>
      </c>
      <c r="AC609" s="31" cm="1">
        <f t="array" ref="AC609">IF(LEFT(_xll.BDP($C609, VOLUME_AVG_12M), 4) = "#N/A", "",  _xll.BDP($C609, VOLUME_AVG_12M))</f>
        <v>256551.265625</v>
      </c>
      <c r="AD609" s="41" cm="1">
        <f t="array" ref="AD609">IF(LEFT(_xll.BDP($C609, LAST_PRICE), 4) = "#N/A", "",  _xll.BDP($C609, LAST_PRICE))</f>
        <v>1.73</v>
      </c>
    </row>
    <row r="610" spans="1:30" x14ac:dyDescent="0.35">
      <c r="A610" s="1">
        <f t="shared" si="9"/>
        <v>607</v>
      </c>
      <c r="B610" s="28">
        <v>45700</v>
      </c>
      <c r="C610" s="29" t="s">
        <v>1269</v>
      </c>
      <c r="D610" s="29" t="s">
        <v>1269</v>
      </c>
      <c r="E610" s="29" t="s">
        <v>1270</v>
      </c>
      <c r="F610" s="29" t="s">
        <v>33</v>
      </c>
      <c r="G610" s="30" t="s">
        <v>34</v>
      </c>
      <c r="H610" s="31">
        <v>45951189.792025499</v>
      </c>
      <c r="I610" s="31">
        <v>31694189.792025499</v>
      </c>
      <c r="J610" s="32">
        <v>0.45600000023841902</v>
      </c>
      <c r="K610" s="33">
        <v>45700</v>
      </c>
      <c r="L610" s="31">
        <v>21038400</v>
      </c>
      <c r="M610" s="32">
        <v>3.75</v>
      </c>
      <c r="N610" s="31" t="s">
        <v>35</v>
      </c>
      <c r="O610" s="33">
        <v>45699</v>
      </c>
      <c r="P610" s="34">
        <v>1119497.25</v>
      </c>
      <c r="Q610" s="34">
        <v>1261287.75</v>
      </c>
      <c r="R610" s="34">
        <v>1206962.25</v>
      </c>
      <c r="S610" s="29" t="s">
        <v>46</v>
      </c>
      <c r="T610" s="33">
        <v>45446</v>
      </c>
      <c r="U610" s="35" t="b">
        <v>0</v>
      </c>
      <c r="V610" s="35" t="b">
        <v>0</v>
      </c>
      <c r="W610" s="35" t="b">
        <v>0</v>
      </c>
      <c r="Y610" s="31" cm="1">
        <f t="array" ref="Y610">IF(LEFT(_xll.BDP($C610, VOLUME_AVG_10D), 4) = "#N/A", "",  _xll.BDP($C610, VOLUME_AVG_10D))</f>
        <v>487811.6875</v>
      </c>
      <c r="Z610" s="31" cm="1">
        <f t="array" ref="Z610">IF(LEFT(_xll.BDP($C610, VOLUME_AVG_30D), 4) = "#N/A", "",  _xll.BDP($C610, VOLUME_AVG_30D))</f>
        <v>1119497.25</v>
      </c>
      <c r="AA610" s="31" cm="1">
        <f t="array" ref="AA610">IF(LEFT(_xll.BDP($C610, VOLUME_AVG_3M), 4) = "#N/A", "",  _xll.BDP($C610, VOLUME_AVG_3M))</f>
        <v>1261287.75</v>
      </c>
      <c r="AB610" s="31" cm="1">
        <f t="array" ref="AB610">IF(LEFT(_xll.BDP($C610, VOLUME_AVG_6M), 4) = "#N/A", "",  _xll.BDP($C610, VOLUME_AVG_6M))</f>
        <v>1206962.25</v>
      </c>
      <c r="AC610" s="31" cm="1">
        <f t="array" ref="AC610">IF(LEFT(_xll.BDP($C610, VOLUME_AVG_12M), 4) = "#N/A", "",  _xll.BDP($C610, VOLUME_AVG_12M))</f>
        <v>1840261.25</v>
      </c>
      <c r="AD610" s="41" cm="1">
        <f t="array" ref="AD610">IF(LEFT(_xll.BDP($C610, LAST_PRICE), 4) = "#N/A", "",  _xll.BDP($C610, LAST_PRICE))</f>
        <v>0.45600000000000002</v>
      </c>
    </row>
    <row r="611" spans="1:30" x14ac:dyDescent="0.35">
      <c r="A611" s="1">
        <f t="shared" si="9"/>
        <v>608</v>
      </c>
      <c r="B611" s="28">
        <v>45700</v>
      </c>
      <c r="C611" s="29" t="s">
        <v>1271</v>
      </c>
      <c r="D611" s="29" t="s">
        <v>1271</v>
      </c>
      <c r="E611" s="29" t="s">
        <v>1272</v>
      </c>
      <c r="F611" s="29" t="s">
        <v>33</v>
      </c>
      <c r="G611" s="30" t="s">
        <v>34</v>
      </c>
      <c r="H611" s="31">
        <v>24873268.502470002</v>
      </c>
      <c r="I611" s="31">
        <v>37827268.502470002</v>
      </c>
      <c r="J611" s="32">
        <v>15.4899997711182</v>
      </c>
      <c r="K611" s="33">
        <v>45700</v>
      </c>
      <c r="L611" s="31">
        <v>11400</v>
      </c>
      <c r="M611" s="32">
        <v>-7.55</v>
      </c>
      <c r="N611" s="31" t="s">
        <v>35</v>
      </c>
      <c r="O611" s="33">
        <v>45699</v>
      </c>
      <c r="P611" s="34">
        <v>2006.16662597656</v>
      </c>
      <c r="Q611" s="34">
        <v>2378.5</v>
      </c>
      <c r="R611" s="34">
        <v>5884.58740234375</v>
      </c>
      <c r="S611" s="29" t="s">
        <v>1273</v>
      </c>
      <c r="T611" s="33">
        <v>45215</v>
      </c>
      <c r="U611" s="35" t="b">
        <v>0</v>
      </c>
      <c r="V611" s="35" t="b">
        <v>0</v>
      </c>
      <c r="W611" s="35" t="b">
        <v>0</v>
      </c>
      <c r="Y611" s="31" cm="1">
        <f t="array" ref="Y611">IF(LEFT(_xll.BDP($C611, VOLUME_AVG_10D), 4) = "#N/A", "",  _xll.BDP($C611, VOLUME_AVG_10D))</f>
        <v>4198.5</v>
      </c>
      <c r="Z611" s="31" cm="1">
        <f t="array" ref="Z611">IF(LEFT(_xll.BDP($C611, VOLUME_AVG_30D), 4) = "#N/A", "",  _xll.BDP($C611, VOLUME_AVG_30D))</f>
        <v>2006.1666259765625</v>
      </c>
      <c r="AA611" s="31" cm="1">
        <f t="array" ref="AA611">IF(LEFT(_xll.BDP($C611, VOLUME_AVG_3M), 4) = "#N/A", "",  _xll.BDP($C611, VOLUME_AVG_3M))</f>
        <v>2378.5</v>
      </c>
      <c r="AB611" s="31" cm="1">
        <f t="array" ref="AB611">IF(LEFT(_xll.BDP($C611, VOLUME_AVG_6M), 4) = "#N/A", "",  _xll.BDP($C611, VOLUME_AVG_6M))</f>
        <v>5884.58740234375</v>
      </c>
      <c r="AC611" s="31" cm="1">
        <f t="array" ref="AC611">IF(LEFT(_xll.BDP($C611, VOLUME_AVG_12M), 4) = "#N/A", "",  _xll.BDP($C611, VOLUME_AVG_12M))</f>
        <v>22938.892578125</v>
      </c>
      <c r="AD611" s="41" cm="1">
        <f t="array" ref="AD611">IF(LEFT(_xll.BDP($C611, LAST_PRICE), 4) = "#N/A", "",  _xll.BDP($C611, LAST_PRICE))</f>
        <v>15.49</v>
      </c>
    </row>
    <row r="612" spans="1:30" x14ac:dyDescent="0.35">
      <c r="A612" s="1">
        <f t="shared" si="9"/>
        <v>609</v>
      </c>
      <c r="B612" s="28">
        <v>45700</v>
      </c>
      <c r="C612" s="29" t="s">
        <v>1274</v>
      </c>
      <c r="D612" s="29" t="s">
        <v>1274</v>
      </c>
      <c r="E612" s="29" t="s">
        <v>1275</v>
      </c>
      <c r="F612" s="29" t="s">
        <v>33</v>
      </c>
      <c r="G612" s="30" t="s">
        <v>34</v>
      </c>
      <c r="H612" s="31">
        <v>104687616.555328</v>
      </c>
      <c r="I612" s="31">
        <v>103457616.555328</v>
      </c>
      <c r="J612" s="32">
        <v>12.9700002670288</v>
      </c>
      <c r="K612" s="33">
        <v>45700</v>
      </c>
      <c r="L612" s="31">
        <v>127100</v>
      </c>
      <c r="M612" s="32">
        <v>-111.5</v>
      </c>
      <c r="N612" s="31" t="s">
        <v>35</v>
      </c>
      <c r="O612" s="33">
        <v>45699</v>
      </c>
      <c r="P612" s="34">
        <v>11409177</v>
      </c>
      <c r="Q612" s="34">
        <v>5551576.5</v>
      </c>
      <c r="R612" s="34">
        <v>2839265.5</v>
      </c>
      <c r="S612" s="29"/>
      <c r="T612" s="33"/>
      <c r="U612" s="35" t="b">
        <v>0</v>
      </c>
      <c r="V612" s="35" t="b">
        <v>0</v>
      </c>
      <c r="W612" s="35" t="b">
        <v>0</v>
      </c>
      <c r="Y612" s="31" cm="1">
        <f t="array" ref="Y612">IF(LEFT(_xll.BDP($C612, VOLUME_AVG_10D), 4) = "#N/A", "",  _xll.BDP($C612, VOLUME_AVG_10D))</f>
        <v>19669418</v>
      </c>
      <c r="Z612" s="31" cm="1">
        <f t="array" ref="Z612">IF(LEFT(_xll.BDP($C612, VOLUME_AVG_30D), 4) = "#N/A", "",  _xll.BDP($C612, VOLUME_AVG_30D))</f>
        <v>11409177</v>
      </c>
      <c r="AA612" s="31" cm="1">
        <f t="array" ref="AA612">IF(LEFT(_xll.BDP($C612, VOLUME_AVG_3M), 4) = "#N/A", "",  _xll.BDP($C612, VOLUME_AVG_3M))</f>
        <v>5551576.5</v>
      </c>
      <c r="AB612" s="31" cm="1">
        <f t="array" ref="AB612">IF(LEFT(_xll.BDP($C612, VOLUME_AVG_6M), 4) = "#N/A", "",  _xll.BDP($C612, VOLUME_AVG_6M))</f>
        <v>2839265.5</v>
      </c>
      <c r="AC612" s="31" cm="1">
        <f t="array" ref="AC612">IF(LEFT(_xll.BDP($C612, VOLUME_AVG_12M), 4) = "#N/A", "",  _xll.BDP($C612, VOLUME_AVG_12M))</f>
        <v>1444464.25</v>
      </c>
      <c r="AD612" s="41" cm="1">
        <f t="array" ref="AD612">IF(LEFT(_xll.BDP($C612, LAST_PRICE), 4) = "#N/A", "",  _xll.BDP($C612, LAST_PRICE))</f>
        <v>12.97</v>
      </c>
    </row>
    <row r="613" spans="1:30" x14ac:dyDescent="0.35">
      <c r="A613" s="1">
        <f t="shared" si="9"/>
        <v>610</v>
      </c>
      <c r="B613" s="28">
        <v>45700</v>
      </c>
      <c r="C613" s="29" t="s">
        <v>1276</v>
      </c>
      <c r="D613" s="29" t="s">
        <v>1276</v>
      </c>
      <c r="E613" s="29" t="s">
        <v>1277</v>
      </c>
      <c r="F613" s="29" t="s">
        <v>33</v>
      </c>
      <c r="G613" s="30" t="s">
        <v>34</v>
      </c>
      <c r="H613" s="31">
        <v>215876.78640000001</v>
      </c>
      <c r="I613" s="31"/>
      <c r="J613" s="32">
        <v>6.5500000000000003E-3</v>
      </c>
      <c r="K613" s="33">
        <v>45700</v>
      </c>
      <c r="L613" s="31"/>
      <c r="M613" s="32"/>
      <c r="N613" s="31"/>
      <c r="O613" s="33">
        <v>45699</v>
      </c>
      <c r="P613" s="34">
        <v>17799.599609375</v>
      </c>
      <c r="Q613" s="34">
        <v>11321.5322265625</v>
      </c>
      <c r="R613" s="34">
        <v>13325.357421875</v>
      </c>
      <c r="S613" s="29"/>
      <c r="T613" s="33"/>
      <c r="U613" s="35" t="b">
        <v>1</v>
      </c>
      <c r="V613" s="35" t="b">
        <v>1</v>
      </c>
      <c r="W613" s="35" t="b">
        <v>1</v>
      </c>
      <c r="Y613" s="31" cm="1">
        <f t="array" ref="Y613">IF(LEFT(_xll.BDP($C613, VOLUME_AVG_10D), 4) = "#N/A", "",  _xll.BDP($C613, VOLUME_AVG_10D))</f>
        <v>0</v>
      </c>
      <c r="Z613" s="31" cm="1">
        <f t="array" ref="Z613">IF(LEFT(_xll.BDP($C613, VOLUME_AVG_30D), 4) = "#N/A", "",  _xll.BDP($C613, VOLUME_AVG_30D))</f>
        <v>17799.599609375</v>
      </c>
      <c r="AA613" s="31" cm="1">
        <f t="array" ref="AA613">IF(LEFT(_xll.BDP($C613, VOLUME_AVG_3M), 4) = "#N/A", "",  _xll.BDP($C613, VOLUME_AVG_3M))</f>
        <v>11321.5322265625</v>
      </c>
      <c r="AB613" s="31" cm="1">
        <f t="array" ref="AB613">IF(LEFT(_xll.BDP($C613, VOLUME_AVG_6M), 4) = "#N/A", "",  _xll.BDP($C613, VOLUME_AVG_6M))</f>
        <v>13325.357421875</v>
      </c>
      <c r="AC613" s="31" cm="1">
        <f t="array" ref="AC613">IF(LEFT(_xll.BDP($C613, VOLUME_AVG_12M), 4) = "#N/A", "",  _xll.BDP($C613, VOLUME_AVG_12M))</f>
        <v>16394.119140625</v>
      </c>
      <c r="AD613" s="41" cm="1">
        <f t="array" ref="AD613">IF(LEFT(_xll.BDP($C613, LAST_PRICE), 4) = "#N/A", "",  _xll.BDP($C613, LAST_PRICE))</f>
        <v>6.5500000000000003E-3</v>
      </c>
    </row>
    <row r="614" spans="1:30" x14ac:dyDescent="0.35">
      <c r="A614" s="1">
        <f t="shared" si="9"/>
        <v>611</v>
      </c>
      <c r="B614" s="28">
        <v>45700</v>
      </c>
      <c r="C614" s="29" t="s">
        <v>1278</v>
      </c>
      <c r="D614" s="29" t="s">
        <v>1278</v>
      </c>
      <c r="E614" s="29" t="s">
        <v>1279</v>
      </c>
      <c r="F614" s="29" t="s">
        <v>33</v>
      </c>
      <c r="G614" s="30" t="s">
        <v>34</v>
      </c>
      <c r="H614" s="31"/>
      <c r="I614" s="31"/>
      <c r="J614" s="32"/>
      <c r="K614" s="33">
        <v>45700</v>
      </c>
      <c r="L614" s="31"/>
      <c r="M614" s="32"/>
      <c r="N614" s="31"/>
      <c r="O614" s="33">
        <v>45699</v>
      </c>
      <c r="P614" s="34"/>
      <c r="Q614" s="34"/>
      <c r="R614" s="34"/>
      <c r="S614" s="29"/>
      <c r="T614" s="33"/>
      <c r="U614" s="35" t="b">
        <v>1</v>
      </c>
      <c r="V614" s="35" t="b">
        <v>1</v>
      </c>
      <c r="W614" s="35" t="b">
        <v>1</v>
      </c>
      <c r="Y614" s="31" t="str" cm="1">
        <f t="array" ref="Y614">IF(LEFT(_xll.BDP($C614, VOLUME_AVG_10D), 4) = "#N/A", "",  _xll.BDP($C614, VOLUME_AVG_10D))</f>
        <v/>
      </c>
      <c r="Z614" s="31" t="str" cm="1">
        <f t="array" ref="Z614">IF(LEFT(_xll.BDP($C614, VOLUME_AVG_30D), 4) = "#N/A", "",  _xll.BDP($C614, VOLUME_AVG_30D))</f>
        <v/>
      </c>
      <c r="AA614" s="31" t="str" cm="1">
        <f t="array" ref="AA614">IF(LEFT(_xll.BDP($C614, VOLUME_AVG_3M), 4) = "#N/A", "",  _xll.BDP($C614, VOLUME_AVG_3M))</f>
        <v/>
      </c>
      <c r="AB614" s="31" t="str" cm="1">
        <f t="array" ref="AB614">IF(LEFT(_xll.BDP($C614, VOLUME_AVG_6M), 4) = "#N/A", "",  _xll.BDP($C614, VOLUME_AVG_6M))</f>
        <v/>
      </c>
      <c r="AC614" s="31" t="str" cm="1">
        <f t="array" ref="AC614">IF(LEFT(_xll.BDP($C614, VOLUME_AVG_12M), 4) = "#N/A", "",  _xll.BDP($C614, VOLUME_AVG_12M))</f>
        <v/>
      </c>
      <c r="AD614" s="41" t="str" cm="1">
        <f t="array" ref="AD614">IF(LEFT(_xll.BDP($C614, LAST_PRICE), 4) = "#N/A", "",  _xll.BDP($C614, LAST_PRICE))</f>
        <v/>
      </c>
    </row>
    <row r="615" spans="1:30" x14ac:dyDescent="0.35">
      <c r="A615" s="1">
        <f t="shared" si="9"/>
        <v>612</v>
      </c>
      <c r="B615" s="28">
        <v>45700</v>
      </c>
      <c r="C615" s="29" t="s">
        <v>1280</v>
      </c>
      <c r="D615" s="29" t="s">
        <v>1280</v>
      </c>
      <c r="E615" s="29" t="s">
        <v>1281</v>
      </c>
      <c r="F615" s="29" t="s">
        <v>33</v>
      </c>
      <c r="G615" s="30" t="s">
        <v>34</v>
      </c>
      <c r="H615" s="31">
        <v>3426.2264</v>
      </c>
      <c r="I615" s="31">
        <v>11671286.226399999</v>
      </c>
      <c r="J615" s="32">
        <v>1E-4</v>
      </c>
      <c r="K615" s="33">
        <v>45700</v>
      </c>
      <c r="L615" s="31"/>
      <c r="M615" s="32"/>
      <c r="N615" s="31"/>
      <c r="O615" s="33">
        <v>45699</v>
      </c>
      <c r="P615" s="34">
        <v>426.66665649414102</v>
      </c>
      <c r="Q615" s="34">
        <v>932.258056640625</v>
      </c>
      <c r="R615" s="34">
        <v>2026.1904296875</v>
      </c>
      <c r="S615" s="29"/>
      <c r="T615" s="33"/>
      <c r="U615" s="35" t="b">
        <v>1</v>
      </c>
      <c r="V615" s="35" t="b">
        <v>1</v>
      </c>
      <c r="W615" s="35" t="b">
        <v>0</v>
      </c>
      <c r="Y615" s="31" cm="1">
        <f t="array" ref="Y615">IF(LEFT(_xll.BDP($C615, VOLUME_AVG_10D), 4) = "#N/A", "",  _xll.BDP($C615, VOLUME_AVG_10D))</f>
        <v>450</v>
      </c>
      <c r="Z615" s="31" cm="1">
        <f t="array" ref="Z615">IF(LEFT(_xll.BDP($C615, VOLUME_AVG_30D), 4) = "#N/A", "",  _xll.BDP($C615, VOLUME_AVG_30D))</f>
        <v>426.66665649414063</v>
      </c>
      <c r="AA615" s="31" cm="1">
        <f t="array" ref="AA615">IF(LEFT(_xll.BDP($C615, VOLUME_AVG_3M), 4) = "#N/A", "",  _xll.BDP($C615, VOLUME_AVG_3M))</f>
        <v>932.258056640625</v>
      </c>
      <c r="AB615" s="31" cm="1">
        <f t="array" ref="AB615">IF(LEFT(_xll.BDP($C615, VOLUME_AVG_6M), 4) = "#N/A", "",  _xll.BDP($C615, VOLUME_AVG_6M))</f>
        <v>2026.1904296875</v>
      </c>
      <c r="AC615" s="31" cm="1">
        <f t="array" ref="AC615">IF(LEFT(_xll.BDP($C615, VOLUME_AVG_12M), 4) = "#N/A", "",  _xll.BDP($C615, VOLUME_AVG_12M))</f>
        <v>1456.4940185546875</v>
      </c>
      <c r="AD615" s="41" cm="1">
        <f t="array" ref="AD615">IF(LEFT(_xll.BDP($C615, LAST_PRICE), 4) = "#N/A", "",  _xll.BDP($C615, LAST_PRICE))</f>
        <v>1E-4</v>
      </c>
    </row>
    <row r="616" spans="1:30" x14ac:dyDescent="0.35">
      <c r="A616" s="1">
        <f t="shared" si="9"/>
        <v>613</v>
      </c>
      <c r="B616" s="28">
        <v>45700</v>
      </c>
      <c r="C616" s="29" t="s">
        <v>1282</v>
      </c>
      <c r="D616" s="29" t="s">
        <v>1282</v>
      </c>
      <c r="E616" s="29" t="s">
        <v>1283</v>
      </c>
      <c r="F616" s="29" t="s">
        <v>33</v>
      </c>
      <c r="G616" s="30" t="s">
        <v>34</v>
      </c>
      <c r="H616" s="31">
        <v>306979558.21928102</v>
      </c>
      <c r="I616" s="31">
        <v>78652558.219280705</v>
      </c>
      <c r="J616" s="32">
        <v>5.5199999809265101</v>
      </c>
      <c r="K616" s="33">
        <v>45700</v>
      </c>
      <c r="L616" s="31">
        <v>5210500</v>
      </c>
      <c r="M616" s="32">
        <v>3.88</v>
      </c>
      <c r="N616" s="31" t="s">
        <v>35</v>
      </c>
      <c r="O616" s="33">
        <v>45699</v>
      </c>
      <c r="P616" s="34">
        <v>147960.5625</v>
      </c>
      <c r="Q616" s="34">
        <v>159487.84375</v>
      </c>
      <c r="R616" s="34">
        <v>162319.34375</v>
      </c>
      <c r="S616" s="29" t="s">
        <v>46</v>
      </c>
      <c r="T616" s="33">
        <v>45215</v>
      </c>
      <c r="U616" s="35" t="b">
        <v>0</v>
      </c>
      <c r="V616" s="35" t="b">
        <v>0</v>
      </c>
      <c r="W616" s="35" t="b">
        <v>0</v>
      </c>
      <c r="Y616" s="31" cm="1">
        <f t="array" ref="Y616">IF(LEFT(_xll.BDP($C616, VOLUME_AVG_10D), 4) = "#N/A", "",  _xll.BDP($C616, VOLUME_AVG_10D))</f>
        <v>175277.296875</v>
      </c>
      <c r="Z616" s="31" cm="1">
        <f t="array" ref="Z616">IF(LEFT(_xll.BDP($C616, VOLUME_AVG_30D), 4) = "#N/A", "",  _xll.BDP($C616, VOLUME_AVG_30D))</f>
        <v>147960.5625</v>
      </c>
      <c r="AA616" s="31" cm="1">
        <f t="array" ref="AA616">IF(LEFT(_xll.BDP($C616, VOLUME_AVG_3M), 4) = "#N/A", "",  _xll.BDP($C616, VOLUME_AVG_3M))</f>
        <v>159487.84375</v>
      </c>
      <c r="AB616" s="31" cm="1">
        <f t="array" ref="AB616">IF(LEFT(_xll.BDP($C616, VOLUME_AVG_6M), 4) = "#N/A", "",  _xll.BDP($C616, VOLUME_AVG_6M))</f>
        <v>162319.34375</v>
      </c>
      <c r="AC616" s="31" cm="1">
        <f t="array" ref="AC616">IF(LEFT(_xll.BDP($C616, VOLUME_AVG_12M), 4) = "#N/A", "",  _xll.BDP($C616, VOLUME_AVG_12M))</f>
        <v>135186.921875</v>
      </c>
      <c r="AD616" s="41" cm="1">
        <f t="array" ref="AD616">IF(LEFT(_xll.BDP($C616, LAST_PRICE), 4) = "#N/A", "",  _xll.BDP($C616, LAST_PRICE))</f>
        <v>5.52</v>
      </c>
    </row>
    <row r="617" spans="1:30" x14ac:dyDescent="0.35">
      <c r="A617" s="1">
        <f t="shared" si="9"/>
        <v>614</v>
      </c>
      <c r="B617" s="28">
        <v>45700</v>
      </c>
      <c r="C617" s="29" t="s">
        <v>1284</v>
      </c>
      <c r="D617" s="29" t="s">
        <v>1284</v>
      </c>
      <c r="E617" s="29" t="s">
        <v>1285</v>
      </c>
      <c r="F617" s="29" t="s">
        <v>33</v>
      </c>
      <c r="G617" s="30" t="s">
        <v>34</v>
      </c>
      <c r="H617" s="31">
        <v>107799989.07684299</v>
      </c>
      <c r="I617" s="31">
        <v>84784989.076843306</v>
      </c>
      <c r="J617" s="32">
        <v>16.200000762939499</v>
      </c>
      <c r="K617" s="33">
        <v>45700</v>
      </c>
      <c r="L617" s="31">
        <v>1045900</v>
      </c>
      <c r="M617" s="32">
        <v>3.88</v>
      </c>
      <c r="N617" s="31" t="s">
        <v>35</v>
      </c>
      <c r="O617" s="33">
        <v>45699</v>
      </c>
      <c r="P617" s="34">
        <v>12743.7001953125</v>
      </c>
      <c r="Q617" s="34">
        <v>16043.61328125</v>
      </c>
      <c r="R617" s="34">
        <v>15336.3408203125</v>
      </c>
      <c r="S617" s="29"/>
      <c r="T617" s="33"/>
      <c r="U617" s="35" t="b">
        <v>0</v>
      </c>
      <c r="V617" s="35" t="b">
        <v>0</v>
      </c>
      <c r="W617" s="35" t="b">
        <v>0</v>
      </c>
      <c r="Y617" s="31" cm="1">
        <f t="array" ref="Y617">IF(LEFT(_xll.BDP($C617, VOLUME_AVG_10D), 4) = "#N/A", "",  _xll.BDP($C617, VOLUME_AVG_10D))</f>
        <v>17557.900390625</v>
      </c>
      <c r="Z617" s="31" cm="1">
        <f t="array" ref="Z617">IF(LEFT(_xll.BDP($C617, VOLUME_AVG_30D), 4) = "#N/A", "",  _xll.BDP($C617, VOLUME_AVG_30D))</f>
        <v>12743.7001953125</v>
      </c>
      <c r="AA617" s="31" cm="1">
        <f t="array" ref="AA617">IF(LEFT(_xll.BDP($C617, VOLUME_AVG_3M), 4) = "#N/A", "",  _xll.BDP($C617, VOLUME_AVG_3M))</f>
        <v>16043.61328125</v>
      </c>
      <c r="AB617" s="31" cm="1">
        <f t="array" ref="AB617">IF(LEFT(_xll.BDP($C617, VOLUME_AVG_6M), 4) = "#N/A", "",  _xll.BDP($C617, VOLUME_AVG_6M))</f>
        <v>15336.3408203125</v>
      </c>
      <c r="AC617" s="31" cm="1">
        <f t="array" ref="AC617">IF(LEFT(_xll.BDP($C617, VOLUME_AVG_12M), 4) = "#N/A", "",  _xll.BDP($C617, VOLUME_AVG_12M))</f>
        <v>17926.171875</v>
      </c>
      <c r="AD617" s="41" cm="1">
        <f t="array" ref="AD617">IF(LEFT(_xll.BDP($C617, LAST_PRICE), 4) = "#N/A", "",  _xll.BDP($C617, LAST_PRICE))</f>
        <v>16.2</v>
      </c>
    </row>
    <row r="618" spans="1:30" x14ac:dyDescent="0.35">
      <c r="A618" s="1">
        <f t="shared" si="9"/>
        <v>615</v>
      </c>
      <c r="B618" s="28">
        <v>45700</v>
      </c>
      <c r="C618" s="29" t="s">
        <v>1286</v>
      </c>
      <c r="D618" s="29" t="s">
        <v>1286</v>
      </c>
      <c r="E618" s="29" t="s">
        <v>1287</v>
      </c>
      <c r="F618" s="29" t="s">
        <v>33</v>
      </c>
      <c r="G618" s="30" t="s">
        <v>34</v>
      </c>
      <c r="H618" s="31">
        <v>77851110.9942047</v>
      </c>
      <c r="I618" s="31">
        <v>28534466.9942047</v>
      </c>
      <c r="J618" s="32">
        <v>2.5099999904632599</v>
      </c>
      <c r="K618" s="33">
        <v>45700</v>
      </c>
      <c r="L618" s="31">
        <v>1260100</v>
      </c>
      <c r="M618" s="32">
        <v>3</v>
      </c>
      <c r="N618" s="31" t="s">
        <v>35</v>
      </c>
      <c r="O618" s="33">
        <v>45699</v>
      </c>
      <c r="P618" s="34">
        <v>26734.69921875</v>
      </c>
      <c r="Q618" s="34">
        <v>23962.693359375</v>
      </c>
      <c r="R618" s="34">
        <v>17490.453125</v>
      </c>
      <c r="S618" s="29"/>
      <c r="T618" s="33"/>
      <c r="U618" s="35" t="b">
        <v>0</v>
      </c>
      <c r="V618" s="35" t="b">
        <v>0</v>
      </c>
      <c r="W618" s="35" t="b">
        <v>0</v>
      </c>
      <c r="Y618" s="31" cm="1">
        <f t="array" ref="Y618">IF(LEFT(_xll.BDP($C618, VOLUME_AVG_10D), 4) = "#N/A", "",  _xll.BDP($C618, VOLUME_AVG_10D))</f>
        <v>49517.8984375</v>
      </c>
      <c r="Z618" s="31" cm="1">
        <f t="array" ref="Z618">IF(LEFT(_xll.BDP($C618, VOLUME_AVG_30D), 4) = "#N/A", "",  _xll.BDP($C618, VOLUME_AVG_30D))</f>
        <v>26734.69921875</v>
      </c>
      <c r="AA618" s="31" cm="1">
        <f t="array" ref="AA618">IF(LEFT(_xll.BDP($C618, VOLUME_AVG_3M), 4) = "#N/A", "",  _xll.BDP($C618, VOLUME_AVG_3M))</f>
        <v>23962.693359375</v>
      </c>
      <c r="AB618" s="31" cm="1">
        <f t="array" ref="AB618">IF(LEFT(_xll.BDP($C618, VOLUME_AVG_6M), 4) = "#N/A", "",  _xll.BDP($C618, VOLUME_AVG_6M))</f>
        <v>17490.453125</v>
      </c>
      <c r="AC618" s="31" cm="1">
        <f t="array" ref="AC618">IF(LEFT(_xll.BDP($C618, VOLUME_AVG_12M), 4) = "#N/A", "",  _xll.BDP($C618, VOLUME_AVG_12M))</f>
        <v>17800.537109375</v>
      </c>
      <c r="AD618" s="41" cm="1">
        <f t="array" ref="AD618">IF(LEFT(_xll.BDP($C618, LAST_PRICE), 4) = "#N/A", "",  _xll.BDP($C618, LAST_PRICE))</f>
        <v>2.5099999999999998</v>
      </c>
    </row>
    <row r="619" spans="1:30" x14ac:dyDescent="0.35">
      <c r="A619" s="1">
        <f t="shared" si="9"/>
        <v>616</v>
      </c>
      <c r="B619" s="28">
        <v>45700</v>
      </c>
      <c r="C619" s="29" t="s">
        <v>1288</v>
      </c>
      <c r="D619" s="29" t="s">
        <v>1288</v>
      </c>
      <c r="E619" s="29" t="s">
        <v>1289</v>
      </c>
      <c r="F619" s="29" t="s">
        <v>33</v>
      </c>
      <c r="G619" s="30" t="s">
        <v>34</v>
      </c>
      <c r="H619" s="31">
        <v>70326553</v>
      </c>
      <c r="I619" s="31">
        <v>53963553</v>
      </c>
      <c r="J619" s="32">
        <v>11</v>
      </c>
      <c r="K619" s="33">
        <v>45700</v>
      </c>
      <c r="L619" s="31">
        <v>108700</v>
      </c>
      <c r="M619" s="32">
        <v>-40.700000000000003</v>
      </c>
      <c r="N619" s="31" t="s">
        <v>35</v>
      </c>
      <c r="O619" s="33">
        <v>45699</v>
      </c>
      <c r="P619" s="34">
        <v>46543</v>
      </c>
      <c r="Q619" s="34">
        <v>570587.375</v>
      </c>
      <c r="R619" s="34">
        <v>287034.75</v>
      </c>
      <c r="S619" s="29"/>
      <c r="T619" s="33"/>
      <c r="U619" s="35" t="b">
        <v>0</v>
      </c>
      <c r="V619" s="35" t="b">
        <v>0</v>
      </c>
      <c r="W619" s="35" t="b">
        <v>0</v>
      </c>
      <c r="Y619" s="31" cm="1">
        <f t="array" ref="Y619">IF(LEFT(_xll.BDP($C619, VOLUME_AVG_10D), 4) = "#N/A", "",  _xll.BDP($C619, VOLUME_AVG_10D))</f>
        <v>28839.80078125</v>
      </c>
      <c r="Z619" s="31" cm="1">
        <f t="array" ref="Z619">IF(LEFT(_xll.BDP($C619, VOLUME_AVG_30D), 4) = "#N/A", "",  _xll.BDP($C619, VOLUME_AVG_30D))</f>
        <v>46543</v>
      </c>
      <c r="AA619" s="31" cm="1">
        <f t="array" ref="AA619">IF(LEFT(_xll.BDP($C619, VOLUME_AVG_3M), 4) = "#N/A", "",  _xll.BDP($C619, VOLUME_AVG_3M))</f>
        <v>570587.375</v>
      </c>
      <c r="AB619" s="31" cm="1">
        <f t="array" ref="AB619">IF(LEFT(_xll.BDP($C619, VOLUME_AVG_6M), 4) = "#N/A", "",  _xll.BDP($C619, VOLUME_AVG_6M))</f>
        <v>287034.75</v>
      </c>
      <c r="AC619" s="31" cm="1">
        <f t="array" ref="AC619">IF(LEFT(_xll.BDP($C619, VOLUME_AVG_12M), 4) = "#N/A", "",  _xll.BDP($C619, VOLUME_AVG_12M))</f>
        <v>144573.359375</v>
      </c>
      <c r="AD619" s="41" cm="1">
        <f t="array" ref="AD619">IF(LEFT(_xll.BDP($C619, LAST_PRICE), 4) = "#N/A", "",  _xll.BDP($C619, LAST_PRICE))</f>
        <v>11</v>
      </c>
    </row>
    <row r="620" spans="1:30" x14ac:dyDescent="0.35">
      <c r="A620" s="1">
        <f t="shared" si="9"/>
        <v>617</v>
      </c>
      <c r="B620" s="28">
        <v>45700</v>
      </c>
      <c r="C620" s="29" t="s">
        <v>1290</v>
      </c>
      <c r="D620" s="29" t="s">
        <v>1290</v>
      </c>
      <c r="E620" s="29" t="s">
        <v>1291</v>
      </c>
      <c r="F620" s="29" t="s">
        <v>33</v>
      </c>
      <c r="G620" s="30" t="s">
        <v>34</v>
      </c>
      <c r="H620" s="31">
        <v>1317692962.3603799</v>
      </c>
      <c r="I620" s="31">
        <v>2416292962.3603802</v>
      </c>
      <c r="J620" s="32">
        <v>14.689999580383301</v>
      </c>
      <c r="K620" s="33">
        <v>45700</v>
      </c>
      <c r="L620" s="31">
        <v>30345200</v>
      </c>
      <c r="M620" s="32">
        <v>3.88</v>
      </c>
      <c r="N620" s="31" t="s">
        <v>35</v>
      </c>
      <c r="O620" s="33">
        <v>45699</v>
      </c>
      <c r="P620" s="34">
        <v>1109044.25</v>
      </c>
      <c r="Q620" s="34">
        <v>1153273.5</v>
      </c>
      <c r="R620" s="34">
        <v>1410333.625</v>
      </c>
      <c r="S620" s="29"/>
      <c r="T620" s="33"/>
      <c r="U620" s="35" t="b">
        <v>0</v>
      </c>
      <c r="V620" s="35" t="b">
        <v>0</v>
      </c>
      <c r="W620" s="35" t="b">
        <v>0</v>
      </c>
      <c r="Y620" s="31" cm="1">
        <f t="array" ref="Y620">IF(LEFT(_xll.BDP($C620, VOLUME_AVG_10D), 4) = "#N/A", "",  _xll.BDP($C620, VOLUME_AVG_10D))</f>
        <v>1598429.25</v>
      </c>
      <c r="Z620" s="31" cm="1">
        <f t="array" ref="Z620">IF(LEFT(_xll.BDP($C620, VOLUME_AVG_30D), 4) = "#N/A", "",  _xll.BDP($C620, VOLUME_AVG_30D))</f>
        <v>1109044.25</v>
      </c>
      <c r="AA620" s="31" cm="1">
        <f t="array" ref="AA620">IF(LEFT(_xll.BDP($C620, VOLUME_AVG_3M), 4) = "#N/A", "",  _xll.BDP($C620, VOLUME_AVG_3M))</f>
        <v>1153273.5</v>
      </c>
      <c r="AB620" s="31" cm="1">
        <f t="array" ref="AB620">IF(LEFT(_xll.BDP($C620, VOLUME_AVG_6M), 4) = "#N/A", "",  _xll.BDP($C620, VOLUME_AVG_6M))</f>
        <v>1410333.625</v>
      </c>
      <c r="AC620" s="31" cm="1">
        <f t="array" ref="AC620">IF(LEFT(_xll.BDP($C620, VOLUME_AVG_12M), 4) = "#N/A", "",  _xll.BDP($C620, VOLUME_AVG_12M))</f>
        <v>1305050.75</v>
      </c>
      <c r="AD620" s="41" cm="1">
        <f t="array" ref="AD620">IF(LEFT(_xll.BDP($C620, LAST_PRICE), 4) = "#N/A", "",  _xll.BDP($C620, LAST_PRICE))</f>
        <v>14.69</v>
      </c>
    </row>
    <row r="621" spans="1:30" x14ac:dyDescent="0.35">
      <c r="A621" s="1">
        <f t="shared" si="9"/>
        <v>618</v>
      </c>
      <c r="B621" s="28">
        <v>45700</v>
      </c>
      <c r="C621" s="29" t="s">
        <v>1292</v>
      </c>
      <c r="D621" s="29" t="s">
        <v>1292</v>
      </c>
      <c r="E621" s="29" t="s">
        <v>1293</v>
      </c>
      <c r="F621" s="29" t="s">
        <v>33</v>
      </c>
      <c r="G621" s="30" t="s">
        <v>34</v>
      </c>
      <c r="H621" s="31">
        <v>47756536.346522301</v>
      </c>
      <c r="I621" s="31">
        <v>112214986.346522</v>
      </c>
      <c r="J621" s="32">
        <v>1.7300000190734901</v>
      </c>
      <c r="K621" s="33">
        <v>45700</v>
      </c>
      <c r="L621" s="31">
        <v>84600</v>
      </c>
      <c r="M621" s="32">
        <v>-2.65</v>
      </c>
      <c r="N621" s="31" t="s">
        <v>35</v>
      </c>
      <c r="O621" s="33">
        <v>45699</v>
      </c>
      <c r="P621" s="34">
        <v>489330.625</v>
      </c>
      <c r="Q621" s="34">
        <v>553350.875</v>
      </c>
      <c r="R621" s="34">
        <v>562867.1875</v>
      </c>
      <c r="S621" s="29" t="s">
        <v>550</v>
      </c>
      <c r="T621" s="33">
        <v>45215</v>
      </c>
      <c r="U621" s="35" t="b">
        <v>0</v>
      </c>
      <c r="V621" s="35" t="b">
        <v>0</v>
      </c>
      <c r="W621" s="35" t="b">
        <v>0</v>
      </c>
      <c r="Y621" s="31" cm="1">
        <f t="array" ref="Y621">IF(LEFT(_xll.BDP($C621, VOLUME_AVG_10D), 4) = "#N/A", "",  _xll.BDP($C621, VOLUME_AVG_10D))</f>
        <v>276907.09375</v>
      </c>
      <c r="Z621" s="31" cm="1">
        <f t="array" ref="Z621">IF(LEFT(_xll.BDP($C621, VOLUME_AVG_30D), 4) = "#N/A", "",  _xll.BDP($C621, VOLUME_AVG_30D))</f>
        <v>489330.625</v>
      </c>
      <c r="AA621" s="31" cm="1">
        <f t="array" ref="AA621">IF(LEFT(_xll.BDP($C621, VOLUME_AVG_3M), 4) = "#N/A", "",  _xll.BDP($C621, VOLUME_AVG_3M))</f>
        <v>553350.875</v>
      </c>
      <c r="AB621" s="31" cm="1">
        <f t="array" ref="AB621">IF(LEFT(_xll.BDP($C621, VOLUME_AVG_6M), 4) = "#N/A", "",  _xll.BDP($C621, VOLUME_AVG_6M))</f>
        <v>562867.1875</v>
      </c>
      <c r="AC621" s="31" cm="1">
        <f t="array" ref="AC621">IF(LEFT(_xll.BDP($C621, VOLUME_AVG_12M), 4) = "#N/A", "",  _xll.BDP($C621, VOLUME_AVG_12M))</f>
        <v>405015.25</v>
      </c>
      <c r="AD621" s="41" cm="1">
        <f t="array" ref="AD621">IF(LEFT(_xll.BDP($C621, LAST_PRICE), 4) = "#N/A", "",  _xll.BDP($C621, LAST_PRICE))</f>
        <v>1.73</v>
      </c>
    </row>
    <row r="622" spans="1:30" x14ac:dyDescent="0.35">
      <c r="A622" s="1">
        <f t="shared" si="9"/>
        <v>619</v>
      </c>
      <c r="B622" s="28">
        <v>45700</v>
      </c>
      <c r="C622" s="29" t="s">
        <v>1294</v>
      </c>
      <c r="D622" s="29" t="s">
        <v>1294</v>
      </c>
      <c r="E622" s="29" t="s">
        <v>1295</v>
      </c>
      <c r="F622" s="29" t="s">
        <v>33</v>
      </c>
      <c r="G622" s="30" t="s">
        <v>34</v>
      </c>
      <c r="H622" s="31">
        <v>252183.04990000001</v>
      </c>
      <c r="I622" s="31">
        <v>2311413.0499</v>
      </c>
      <c r="J622" s="32">
        <v>9.9999999747524292E-7</v>
      </c>
      <c r="K622" s="33">
        <v>45700</v>
      </c>
      <c r="L622" s="31"/>
      <c r="M622" s="32"/>
      <c r="N622" s="31"/>
      <c r="O622" s="33">
        <v>45699</v>
      </c>
      <c r="P622" s="34">
        <v>74792.296875</v>
      </c>
      <c r="Q622" s="34">
        <v>210166.15625</v>
      </c>
      <c r="R622" s="34">
        <v>110708.0703125</v>
      </c>
      <c r="S622" s="29"/>
      <c r="T622" s="33"/>
      <c r="U622" s="35" t="b">
        <v>1</v>
      </c>
      <c r="V622" s="35" t="b">
        <v>1</v>
      </c>
      <c r="W622" s="35" t="b">
        <v>0</v>
      </c>
      <c r="Y622" s="31" cm="1">
        <f t="array" ref="Y622">IF(LEFT(_xll.BDP($C622, VOLUME_AVG_10D), 4) = "#N/A", "",  _xll.BDP($C622, VOLUME_AVG_10D))</f>
        <v>500</v>
      </c>
      <c r="Z622" s="31" cm="1">
        <f t="array" ref="Z622">IF(LEFT(_xll.BDP($C622, VOLUME_AVG_30D), 4) = "#N/A", "",  _xll.BDP($C622, VOLUME_AVG_30D))</f>
        <v>74792.296875</v>
      </c>
      <c r="AA622" s="31" cm="1">
        <f t="array" ref="AA622">IF(LEFT(_xll.BDP($C622, VOLUME_AVG_3M), 4) = "#N/A", "",  _xll.BDP($C622, VOLUME_AVG_3M))</f>
        <v>210166.15625</v>
      </c>
      <c r="AB622" s="31" cm="1">
        <f t="array" ref="AB622">IF(LEFT(_xll.BDP($C622, VOLUME_AVG_6M), 4) = "#N/A", "",  _xll.BDP($C622, VOLUME_AVG_6M))</f>
        <v>110708.0703125</v>
      </c>
      <c r="AC622" s="31" cm="1">
        <f t="array" ref="AC622">IF(LEFT(_xll.BDP($C622, VOLUME_AVG_12M), 4) = "#N/A", "",  _xll.BDP($C622, VOLUME_AVG_12M))</f>
        <v>5534934.5</v>
      </c>
      <c r="AD622" s="41" cm="1">
        <f t="array" ref="AD622">IF(LEFT(_xll.BDP($C622, LAST_PRICE), 4) = "#N/A", "",  _xll.BDP($C622, LAST_PRICE))</f>
        <v>9.9999999999999995E-7</v>
      </c>
    </row>
    <row r="623" spans="1:30" x14ac:dyDescent="0.35">
      <c r="A623" s="1">
        <f t="shared" si="9"/>
        <v>620</v>
      </c>
      <c r="B623" s="28">
        <v>45700</v>
      </c>
      <c r="C623" s="29" t="s">
        <v>1296</v>
      </c>
      <c r="D623" s="29" t="s">
        <v>1296</v>
      </c>
      <c r="E623" s="29" t="s">
        <v>1297</v>
      </c>
      <c r="F623" s="29" t="s">
        <v>33</v>
      </c>
      <c r="G623" s="30" t="s">
        <v>34</v>
      </c>
      <c r="H623" s="31">
        <v>71186438.037414595</v>
      </c>
      <c r="I623" s="31">
        <v>49453438.037414603</v>
      </c>
      <c r="J623" s="32">
        <v>1.4800000190734901</v>
      </c>
      <c r="K623" s="33">
        <v>45700</v>
      </c>
      <c r="L623" s="31">
        <v>1657200</v>
      </c>
      <c r="M623" s="32">
        <v>0.9</v>
      </c>
      <c r="N623" s="31" t="s">
        <v>35</v>
      </c>
      <c r="O623" s="33">
        <v>45699</v>
      </c>
      <c r="P623" s="34">
        <v>393067.28125</v>
      </c>
      <c r="Q623" s="34">
        <v>353252.6875</v>
      </c>
      <c r="R623" s="34">
        <v>364112.34375</v>
      </c>
      <c r="S623" s="29"/>
      <c r="T623" s="33"/>
      <c r="U623" s="35" t="b">
        <v>0</v>
      </c>
      <c r="V623" s="35" t="b">
        <v>0</v>
      </c>
      <c r="W623" s="35" t="b">
        <v>0</v>
      </c>
      <c r="Y623" s="31" cm="1">
        <f t="array" ref="Y623">IF(LEFT(_xll.BDP($C623, VOLUME_AVG_10D), 4) = "#N/A", "",  _xll.BDP($C623, VOLUME_AVG_10D))</f>
        <v>442353.1875</v>
      </c>
      <c r="Z623" s="31" cm="1">
        <f t="array" ref="Z623">IF(LEFT(_xll.BDP($C623, VOLUME_AVG_30D), 4) = "#N/A", "",  _xll.BDP($C623, VOLUME_AVG_30D))</f>
        <v>393067.28125</v>
      </c>
      <c r="AA623" s="31" cm="1">
        <f t="array" ref="AA623">IF(LEFT(_xll.BDP($C623, VOLUME_AVG_3M), 4) = "#N/A", "",  _xll.BDP($C623, VOLUME_AVG_3M))</f>
        <v>353252.6875</v>
      </c>
      <c r="AB623" s="31" cm="1">
        <f t="array" ref="AB623">IF(LEFT(_xll.BDP($C623, VOLUME_AVG_6M), 4) = "#N/A", "",  _xll.BDP($C623, VOLUME_AVG_6M))</f>
        <v>364112.34375</v>
      </c>
      <c r="AC623" s="31" cm="1">
        <f t="array" ref="AC623">IF(LEFT(_xll.BDP($C623, VOLUME_AVG_12M), 4) = "#N/A", "",  _xll.BDP($C623, VOLUME_AVG_12M))</f>
        <v>323522.90625</v>
      </c>
      <c r="AD623" s="41" cm="1">
        <f t="array" ref="AD623">IF(LEFT(_xll.BDP($C623, LAST_PRICE), 4) = "#N/A", "",  _xll.BDP($C623, LAST_PRICE))</f>
        <v>1.48</v>
      </c>
    </row>
    <row r="624" spans="1:30" x14ac:dyDescent="0.35">
      <c r="A624" s="1">
        <f t="shared" si="9"/>
        <v>621</v>
      </c>
      <c r="B624" s="28">
        <v>45700</v>
      </c>
      <c r="C624" s="29" t="s">
        <v>1298</v>
      </c>
      <c r="D624" s="29" t="s">
        <v>1298</v>
      </c>
      <c r="E624" s="29" t="s">
        <v>1299</v>
      </c>
      <c r="F624" s="29" t="s">
        <v>33</v>
      </c>
      <c r="G624" s="30" t="s">
        <v>34</v>
      </c>
      <c r="H624" s="31"/>
      <c r="I624" s="31"/>
      <c r="J624" s="32">
        <v>9.9999999747524292E-7</v>
      </c>
      <c r="K624" s="33">
        <v>45700</v>
      </c>
      <c r="L624" s="31"/>
      <c r="M624" s="32"/>
      <c r="N624" s="31"/>
      <c r="O624" s="33">
        <v>45699</v>
      </c>
      <c r="P624" s="34">
        <v>446.03332519531301</v>
      </c>
      <c r="Q624" s="34">
        <v>3193.70971679688</v>
      </c>
      <c r="R624" s="34">
        <v>1749.17456054688</v>
      </c>
      <c r="S624" s="29"/>
      <c r="T624" s="33"/>
      <c r="U624" s="35" t="b">
        <v>1</v>
      </c>
      <c r="V624" s="35" t="b">
        <v>1</v>
      </c>
      <c r="W624" s="35" t="b">
        <v>1</v>
      </c>
      <c r="Y624" s="31" cm="1">
        <f t="array" ref="Y624">IF(LEFT(_xll.BDP($C624, VOLUME_AVG_10D), 4) = "#N/A", "",  _xll.BDP($C624, VOLUME_AVG_10D))</f>
        <v>1288.0999755859375</v>
      </c>
      <c r="Z624" s="31" cm="1">
        <f t="array" ref="Z624">IF(LEFT(_xll.BDP($C624, VOLUME_AVG_30D), 4) = "#N/A", "",  _xll.BDP($C624, VOLUME_AVG_30D))</f>
        <v>446.0333251953125</v>
      </c>
      <c r="AA624" s="31" cm="1">
        <f t="array" ref="AA624">IF(LEFT(_xll.BDP($C624, VOLUME_AVG_3M), 4) = "#N/A", "",  _xll.BDP($C624, VOLUME_AVG_3M))</f>
        <v>3193.709716796875</v>
      </c>
      <c r="AB624" s="31" cm="1">
        <f t="array" ref="AB624">IF(LEFT(_xll.BDP($C624, VOLUME_AVG_6M), 4) = "#N/A", "",  _xll.BDP($C624, VOLUME_AVG_6M))</f>
        <v>1749.174560546875</v>
      </c>
      <c r="AC624" s="31" cm="1">
        <f t="array" ref="AC624">IF(LEFT(_xll.BDP($C624, VOLUME_AVG_12M), 4) = "#N/A", "",  _xll.BDP($C624, VOLUME_AVG_12M))</f>
        <v>1055.4661865234375</v>
      </c>
      <c r="AD624" s="41" cm="1">
        <f t="array" ref="AD624">IF(LEFT(_xll.BDP($C624, LAST_PRICE), 4) = "#N/A", "",  _xll.BDP($C624, LAST_PRICE))</f>
        <v>9.9999999999999995E-7</v>
      </c>
    </row>
    <row r="625" spans="1:30" x14ac:dyDescent="0.35">
      <c r="A625" s="1">
        <f t="shared" si="9"/>
        <v>622</v>
      </c>
      <c r="B625" s="28">
        <v>45700</v>
      </c>
      <c r="C625" s="29" t="s">
        <v>1300</v>
      </c>
      <c r="D625" s="29" t="s">
        <v>1300</v>
      </c>
      <c r="E625" s="29" t="s">
        <v>1301</v>
      </c>
      <c r="F625" s="29" t="s">
        <v>33</v>
      </c>
      <c r="G625" s="30" t="s">
        <v>34</v>
      </c>
      <c r="H625" s="31">
        <v>5555174.6227244101</v>
      </c>
      <c r="I625" s="31">
        <v>-5312825.3772755899</v>
      </c>
      <c r="J625" s="32">
        <v>0.93000000715255704</v>
      </c>
      <c r="K625" s="33">
        <v>45700</v>
      </c>
      <c r="L625" s="31">
        <v>81500</v>
      </c>
      <c r="M625" s="32">
        <v>-30.4</v>
      </c>
      <c r="N625" s="31" t="s">
        <v>35</v>
      </c>
      <c r="O625" s="33">
        <v>45699</v>
      </c>
      <c r="P625" s="34">
        <v>3030.13330078125</v>
      </c>
      <c r="Q625" s="34">
        <v>2564.5966796875</v>
      </c>
      <c r="R625" s="34">
        <v>2081.97607421875</v>
      </c>
      <c r="S625" s="29"/>
      <c r="T625" s="33"/>
      <c r="U625" s="35" t="b">
        <v>1</v>
      </c>
      <c r="V625" s="35" t="b">
        <v>0</v>
      </c>
      <c r="W625" s="35" t="b">
        <v>1</v>
      </c>
      <c r="Y625" s="31" cm="1">
        <f t="array" ref="Y625">IF(LEFT(_xll.BDP($C625, VOLUME_AVG_10D), 4) = "#N/A", "",  _xll.BDP($C625, VOLUME_AVG_10D))</f>
        <v>2644.60009765625</v>
      </c>
      <c r="Z625" s="31" cm="1">
        <f t="array" ref="Z625">IF(LEFT(_xll.BDP($C625, VOLUME_AVG_30D), 4) = "#N/A", "",  _xll.BDP($C625, VOLUME_AVG_30D))</f>
        <v>3030.13330078125</v>
      </c>
      <c r="AA625" s="31" cm="1">
        <f t="array" ref="AA625">IF(LEFT(_xll.BDP($C625, VOLUME_AVG_3M), 4) = "#N/A", "",  _xll.BDP($C625, VOLUME_AVG_3M))</f>
        <v>2564.5966796875</v>
      </c>
      <c r="AB625" s="31" cm="1">
        <f t="array" ref="AB625">IF(LEFT(_xll.BDP($C625, VOLUME_AVG_6M), 4) = "#N/A", "",  _xll.BDP($C625, VOLUME_AVG_6M))</f>
        <v>2081.97607421875</v>
      </c>
      <c r="AC625" s="31" cm="1">
        <f t="array" ref="AC625">IF(LEFT(_xll.BDP($C625, VOLUME_AVG_12M), 4) = "#N/A", "",  _xll.BDP($C625, VOLUME_AVG_12M))</f>
        <v>9179.119140625</v>
      </c>
      <c r="AD625" s="41" cm="1">
        <f t="array" ref="AD625">IF(LEFT(_xll.BDP($C625, LAST_PRICE), 4) = "#N/A", "",  _xll.BDP($C625, LAST_PRICE))</f>
        <v>0.93</v>
      </c>
    </row>
    <row r="626" spans="1:30" x14ac:dyDescent="0.35">
      <c r="A626" s="1">
        <f t="shared" si="9"/>
        <v>623</v>
      </c>
      <c r="B626" s="28">
        <v>45700</v>
      </c>
      <c r="C626" s="29" t="s">
        <v>1302</v>
      </c>
      <c r="D626" s="29" t="s">
        <v>1302</v>
      </c>
      <c r="E626" s="29" t="s">
        <v>1303</v>
      </c>
      <c r="F626" s="29" t="s">
        <v>33</v>
      </c>
      <c r="G626" s="30" t="s">
        <v>34</v>
      </c>
      <c r="H626" s="31">
        <v>192021630.073605</v>
      </c>
      <c r="I626" s="31">
        <v>-56067369.926394999</v>
      </c>
      <c r="J626" s="32">
        <v>3.5599999427795401</v>
      </c>
      <c r="K626" s="33">
        <v>45700</v>
      </c>
      <c r="L626" s="31">
        <v>9319900</v>
      </c>
      <c r="M626" s="32">
        <v>3.88</v>
      </c>
      <c r="N626" s="31" t="s">
        <v>35</v>
      </c>
      <c r="O626" s="33">
        <v>45699</v>
      </c>
      <c r="P626" s="34">
        <v>524647.0625</v>
      </c>
      <c r="Q626" s="34">
        <v>813771.1875</v>
      </c>
      <c r="R626" s="34">
        <v>1231991.875</v>
      </c>
      <c r="S626" s="29" t="s">
        <v>177</v>
      </c>
      <c r="T626" s="33">
        <v>45215</v>
      </c>
      <c r="U626" s="35" t="b">
        <v>0</v>
      </c>
      <c r="V626" s="35" t="b">
        <v>0</v>
      </c>
      <c r="W626" s="35" t="b">
        <v>1</v>
      </c>
      <c r="Y626" s="31" cm="1">
        <f t="array" ref="Y626">IF(LEFT(_xll.BDP($C626, VOLUME_AVG_10D), 4) = "#N/A", "",  _xll.BDP($C626, VOLUME_AVG_10D))</f>
        <v>339368.90625</v>
      </c>
      <c r="Z626" s="31" cm="1">
        <f t="array" ref="Z626">IF(LEFT(_xll.BDP($C626, VOLUME_AVG_30D), 4) = "#N/A", "",  _xll.BDP($C626, VOLUME_AVG_30D))</f>
        <v>524647.0625</v>
      </c>
      <c r="AA626" s="31" cm="1">
        <f t="array" ref="AA626">IF(LEFT(_xll.BDP($C626, VOLUME_AVG_3M), 4) = "#N/A", "",  _xll.BDP($C626, VOLUME_AVG_3M))</f>
        <v>813771.1875</v>
      </c>
      <c r="AB626" s="31" cm="1">
        <f t="array" ref="AB626">IF(LEFT(_xll.BDP($C626, VOLUME_AVG_6M), 4) = "#N/A", "",  _xll.BDP($C626, VOLUME_AVG_6M))</f>
        <v>1231991.875</v>
      </c>
      <c r="AC626" s="31" cm="1">
        <f t="array" ref="AC626">IF(LEFT(_xll.BDP($C626, VOLUME_AVG_12M), 4) = "#N/A", "",  _xll.BDP($C626, VOLUME_AVG_12M))</f>
        <v>992880.4375</v>
      </c>
      <c r="AD626" s="41" cm="1">
        <f t="array" ref="AD626">IF(LEFT(_xll.BDP($C626, LAST_PRICE), 4) = "#N/A", "",  _xll.BDP($C626, LAST_PRICE))</f>
        <v>3.56</v>
      </c>
    </row>
    <row r="627" spans="1:30" x14ac:dyDescent="0.35">
      <c r="A627" s="1">
        <f t="shared" si="9"/>
        <v>624</v>
      </c>
      <c r="B627" s="28">
        <v>45700</v>
      </c>
      <c r="C627" s="29" t="s">
        <v>1304</v>
      </c>
      <c r="D627" s="29" t="s">
        <v>1304</v>
      </c>
      <c r="E627" s="29" t="s">
        <v>1305</v>
      </c>
      <c r="F627" s="29" t="s">
        <v>33</v>
      </c>
      <c r="G627" s="30" t="s">
        <v>34</v>
      </c>
      <c r="H627" s="31">
        <v>496118053.41770399</v>
      </c>
      <c r="I627" s="31">
        <v>-315277946.58229601</v>
      </c>
      <c r="J627" s="32">
        <v>16.219999313354499</v>
      </c>
      <c r="K627" s="33">
        <v>45700</v>
      </c>
      <c r="L627" s="31">
        <v>5585700</v>
      </c>
      <c r="M627" s="32">
        <v>3.75</v>
      </c>
      <c r="N627" s="31" t="s">
        <v>35</v>
      </c>
      <c r="O627" s="33">
        <v>45699</v>
      </c>
      <c r="P627" s="34">
        <v>236596.140625</v>
      </c>
      <c r="Q627" s="34">
        <v>264734.96875</v>
      </c>
      <c r="R627" s="34">
        <v>205448.921875</v>
      </c>
      <c r="S627" s="29"/>
      <c r="T627" s="33"/>
      <c r="U627" s="35" t="b">
        <v>0</v>
      </c>
      <c r="V627" s="35" t="b">
        <v>0</v>
      </c>
      <c r="W627" s="35" t="b">
        <v>1</v>
      </c>
      <c r="Y627" s="31" cm="1">
        <f t="array" ref="Y627">IF(LEFT(_xll.BDP($C627, VOLUME_AVG_10D), 4) = "#N/A", "",  _xll.BDP($C627, VOLUME_AVG_10D))</f>
        <v>236801.796875</v>
      </c>
      <c r="Z627" s="31" cm="1">
        <f t="array" ref="Z627">IF(LEFT(_xll.BDP($C627, VOLUME_AVG_30D), 4) = "#N/A", "",  _xll.BDP($C627, VOLUME_AVG_30D))</f>
        <v>236596.140625</v>
      </c>
      <c r="AA627" s="31" cm="1">
        <f t="array" ref="AA627">IF(LEFT(_xll.BDP($C627, VOLUME_AVG_3M), 4) = "#N/A", "",  _xll.BDP($C627, VOLUME_AVG_3M))</f>
        <v>264734.96875</v>
      </c>
      <c r="AB627" s="31" cm="1">
        <f t="array" ref="AB627">IF(LEFT(_xll.BDP($C627, VOLUME_AVG_6M), 4) = "#N/A", "",  _xll.BDP($C627, VOLUME_AVG_6M))</f>
        <v>205448.921875</v>
      </c>
      <c r="AC627" s="31" cm="1">
        <f t="array" ref="AC627">IF(LEFT(_xll.BDP($C627, VOLUME_AVG_12M), 4) = "#N/A", "",  _xll.BDP($C627, VOLUME_AVG_12M))</f>
        <v>203303.828125</v>
      </c>
      <c r="AD627" s="41" cm="1">
        <f t="array" ref="AD627">IF(LEFT(_xll.BDP($C627, LAST_PRICE), 4) = "#N/A", "",  _xll.BDP($C627, LAST_PRICE))</f>
        <v>16.22</v>
      </c>
    </row>
    <row r="628" spans="1:30" x14ac:dyDescent="0.35">
      <c r="A628" s="1">
        <f t="shared" si="9"/>
        <v>625</v>
      </c>
      <c r="B628" s="28">
        <v>45700</v>
      </c>
      <c r="C628" s="29" t="s">
        <v>1306</v>
      </c>
      <c r="D628" s="29" t="s">
        <v>1306</v>
      </c>
      <c r="E628" s="29" t="s">
        <v>1307</v>
      </c>
      <c r="F628" s="29" t="s">
        <v>33</v>
      </c>
      <c r="G628" s="30" t="s">
        <v>34</v>
      </c>
      <c r="H628" s="31">
        <v>4507643.4340000004</v>
      </c>
      <c r="I628" s="31">
        <v>6475177.4340000004</v>
      </c>
      <c r="J628" s="32">
        <v>6.0999999999999999E-2</v>
      </c>
      <c r="K628" s="33">
        <v>45700</v>
      </c>
      <c r="L628" s="31"/>
      <c r="M628" s="32"/>
      <c r="N628" s="31"/>
      <c r="O628" s="33">
        <v>45699</v>
      </c>
      <c r="P628" s="34">
        <v>1690.96667480469</v>
      </c>
      <c r="Q628" s="34">
        <v>2765.01611328125</v>
      </c>
      <c r="R628" s="34">
        <v>1463.59521484375</v>
      </c>
      <c r="S628" s="29"/>
      <c r="T628" s="33"/>
      <c r="U628" s="35" t="b">
        <v>1</v>
      </c>
      <c r="V628" s="35" t="b">
        <v>1</v>
      </c>
      <c r="W628" s="35" t="b">
        <v>0</v>
      </c>
      <c r="Y628" s="31" cm="1">
        <f t="array" ref="Y628">IF(LEFT(_xll.BDP($C628, VOLUME_AVG_10D), 4) = "#N/A", "",  _xll.BDP($C628, VOLUME_AVG_10D))</f>
        <v>2181.10009765625</v>
      </c>
      <c r="Z628" s="31" cm="1">
        <f t="array" ref="Z628">IF(LEFT(_xll.BDP($C628, VOLUME_AVG_30D), 4) = "#N/A", "",  _xll.BDP($C628, VOLUME_AVG_30D))</f>
        <v>1690.9666748046875</v>
      </c>
      <c r="AA628" s="31" cm="1">
        <f t="array" ref="AA628">IF(LEFT(_xll.BDP($C628, VOLUME_AVG_3M), 4) = "#N/A", "",  _xll.BDP($C628, VOLUME_AVG_3M))</f>
        <v>2765.01611328125</v>
      </c>
      <c r="AB628" s="31" cm="1">
        <f t="array" ref="AB628">IF(LEFT(_xll.BDP($C628, VOLUME_AVG_6M), 4) = "#N/A", "",  _xll.BDP($C628, VOLUME_AVG_6M))</f>
        <v>1463.59521484375</v>
      </c>
      <c r="AC628" s="31" cm="1">
        <f t="array" ref="AC628">IF(LEFT(_xll.BDP($C628, VOLUME_AVG_12M), 4) = "#N/A", "",  _xll.BDP($C628, VOLUME_AVG_12M))</f>
        <v>1107.5338134765625</v>
      </c>
      <c r="AD628" s="41" cm="1">
        <f t="array" ref="AD628">IF(LEFT(_xll.BDP($C628, LAST_PRICE), 4) = "#N/A", "",  _xll.BDP($C628, LAST_PRICE))</f>
        <v>6.0999999999999999E-2</v>
      </c>
    </row>
    <row r="629" spans="1:30" x14ac:dyDescent="0.35">
      <c r="A629" s="1">
        <f t="shared" si="9"/>
        <v>626</v>
      </c>
      <c r="B629" s="28">
        <v>45700</v>
      </c>
      <c r="C629" s="29" t="s">
        <v>1308</v>
      </c>
      <c r="D629" s="29" t="s">
        <v>1308</v>
      </c>
      <c r="E629" s="29" t="s">
        <v>1309</v>
      </c>
      <c r="F629" s="29" t="s">
        <v>33</v>
      </c>
      <c r="G629" s="30" t="s">
        <v>34</v>
      </c>
      <c r="H629" s="31">
        <v>66577920.427037202</v>
      </c>
      <c r="I629" s="31">
        <v>50810665.427037202</v>
      </c>
      <c r="J629" s="32">
        <v>2.5099999904632599</v>
      </c>
      <c r="K629" s="33">
        <v>45700</v>
      </c>
      <c r="L629" s="31">
        <v>974000</v>
      </c>
      <c r="M629" s="32">
        <v>3.75</v>
      </c>
      <c r="N629" s="31" t="s">
        <v>35</v>
      </c>
      <c r="O629" s="33">
        <v>45699</v>
      </c>
      <c r="P629" s="34">
        <v>249365.4375</v>
      </c>
      <c r="Q629" s="34">
        <v>235999.625</v>
      </c>
      <c r="R629" s="34">
        <v>323182.125</v>
      </c>
      <c r="S629" s="29" t="s">
        <v>97</v>
      </c>
      <c r="T629" s="33">
        <v>45215</v>
      </c>
      <c r="U629" s="35" t="b">
        <v>0</v>
      </c>
      <c r="V629" s="35" t="b">
        <v>0</v>
      </c>
      <c r="W629" s="35" t="b">
        <v>0</v>
      </c>
      <c r="Y629" s="31" cm="1">
        <f t="array" ref="Y629">IF(LEFT(_xll.BDP($C629, VOLUME_AVG_10D), 4) = "#N/A", "",  _xll.BDP($C629, VOLUME_AVG_10D))</f>
        <v>236362</v>
      </c>
      <c r="Z629" s="31" cm="1">
        <f t="array" ref="Z629">IF(LEFT(_xll.BDP($C629, VOLUME_AVG_30D), 4) = "#N/A", "",  _xll.BDP($C629, VOLUME_AVG_30D))</f>
        <v>249365.4375</v>
      </c>
      <c r="AA629" s="31" cm="1">
        <f t="array" ref="AA629">IF(LEFT(_xll.BDP($C629, VOLUME_AVG_3M), 4) = "#N/A", "",  _xll.BDP($C629, VOLUME_AVG_3M))</f>
        <v>235999.625</v>
      </c>
      <c r="AB629" s="31" cm="1">
        <f t="array" ref="AB629">IF(LEFT(_xll.BDP($C629, VOLUME_AVG_6M), 4) = "#N/A", "",  _xll.BDP($C629, VOLUME_AVG_6M))</f>
        <v>323182.125</v>
      </c>
      <c r="AC629" s="31" cm="1">
        <f t="array" ref="AC629">IF(LEFT(_xll.BDP($C629, VOLUME_AVG_12M), 4) = "#N/A", "",  _xll.BDP($C629, VOLUME_AVG_12M))</f>
        <v>266339.09375</v>
      </c>
      <c r="AD629" s="41" cm="1">
        <f t="array" ref="AD629">IF(LEFT(_xll.BDP($C629, LAST_PRICE), 4) = "#N/A", "",  _xll.BDP($C629, LAST_PRICE))</f>
        <v>2.5099999999999998</v>
      </c>
    </row>
    <row r="630" spans="1:30" x14ac:dyDescent="0.35">
      <c r="A630" s="1">
        <f t="shared" si="9"/>
        <v>627</v>
      </c>
      <c r="B630" s="28">
        <v>45700</v>
      </c>
      <c r="C630" s="29" t="s">
        <v>1310</v>
      </c>
      <c r="D630" s="29" t="s">
        <v>1310</v>
      </c>
      <c r="E630" s="29" t="s">
        <v>1311</v>
      </c>
      <c r="F630" s="29" t="s">
        <v>33</v>
      </c>
      <c r="G630" s="30" t="s">
        <v>34</v>
      </c>
      <c r="H630" s="31">
        <v>81623574.684703305</v>
      </c>
      <c r="I630" s="31">
        <v>94507574.684703305</v>
      </c>
      <c r="J630" s="32">
        <v>1.3099999427795399</v>
      </c>
      <c r="K630" s="33">
        <v>45700</v>
      </c>
      <c r="L630" s="31">
        <v>122800</v>
      </c>
      <c r="M630" s="32">
        <v>-49.85</v>
      </c>
      <c r="N630" s="31" t="s">
        <v>35</v>
      </c>
      <c r="O630" s="33">
        <v>45699</v>
      </c>
      <c r="P630" s="34">
        <v>563745.5</v>
      </c>
      <c r="Q630" s="34">
        <v>736930.1875</v>
      </c>
      <c r="R630" s="34">
        <v>427412.1875</v>
      </c>
      <c r="S630" s="29"/>
      <c r="T630" s="33"/>
      <c r="U630" s="35" t="b">
        <v>0</v>
      </c>
      <c r="V630" s="35" t="b">
        <v>0</v>
      </c>
      <c r="W630" s="35" t="b">
        <v>0</v>
      </c>
      <c r="Y630" s="31" cm="1">
        <f t="array" ref="Y630">IF(LEFT(_xll.BDP($C630, VOLUME_AVG_10D), 4) = "#N/A", "",  _xll.BDP($C630, VOLUME_AVG_10D))</f>
        <v>256457.40625</v>
      </c>
      <c r="Z630" s="31" cm="1">
        <f t="array" ref="Z630">IF(LEFT(_xll.BDP($C630, VOLUME_AVG_30D), 4) = "#N/A", "",  _xll.BDP($C630, VOLUME_AVG_30D))</f>
        <v>563745.5</v>
      </c>
      <c r="AA630" s="31" cm="1">
        <f t="array" ref="AA630">IF(LEFT(_xll.BDP($C630, VOLUME_AVG_3M), 4) = "#N/A", "",  _xll.BDP($C630, VOLUME_AVG_3M))</f>
        <v>736930.1875</v>
      </c>
      <c r="AB630" s="31" cm="1">
        <f t="array" ref="AB630">IF(LEFT(_xll.BDP($C630, VOLUME_AVG_6M), 4) = "#N/A", "",  _xll.BDP($C630, VOLUME_AVG_6M))</f>
        <v>427412.1875</v>
      </c>
      <c r="AC630" s="31" cm="1">
        <f t="array" ref="AC630">IF(LEFT(_xll.BDP($C630, VOLUME_AVG_12M), 4) = "#N/A", "",  _xll.BDP($C630, VOLUME_AVG_12M))</f>
        <v>301759.25</v>
      </c>
      <c r="AD630" s="41" cm="1">
        <f t="array" ref="AD630">IF(LEFT(_xll.BDP($C630, LAST_PRICE), 4) = "#N/A", "",  _xll.BDP($C630, LAST_PRICE))</f>
        <v>1.31</v>
      </c>
    </row>
    <row r="631" spans="1:30" x14ac:dyDescent="0.35">
      <c r="A631" s="1">
        <f t="shared" si="9"/>
        <v>628</v>
      </c>
      <c r="B631" s="28">
        <v>45700</v>
      </c>
      <c r="C631" s="29" t="s">
        <v>1312</v>
      </c>
      <c r="D631" s="29" t="s">
        <v>1312</v>
      </c>
      <c r="E631" s="29" t="s">
        <v>1313</v>
      </c>
      <c r="F631" s="29" t="s">
        <v>33</v>
      </c>
      <c r="G631" s="30" t="s">
        <v>34</v>
      </c>
      <c r="H631" s="31">
        <v>6071319.4658369999</v>
      </c>
      <c r="I631" s="31">
        <v>-13574680.534163</v>
      </c>
      <c r="J631" s="32">
        <v>4.6100001335143999</v>
      </c>
      <c r="K631" s="33">
        <v>45700</v>
      </c>
      <c r="L631" s="31">
        <v>46500</v>
      </c>
      <c r="M631" s="32">
        <v>-0.35</v>
      </c>
      <c r="N631" s="31" t="s">
        <v>35</v>
      </c>
      <c r="O631" s="33">
        <v>45699</v>
      </c>
      <c r="P631" s="34">
        <v>20029.033203125</v>
      </c>
      <c r="Q631" s="34">
        <v>18590.208984375</v>
      </c>
      <c r="R631" s="34">
        <v>28785.240234375</v>
      </c>
      <c r="S631" s="29"/>
      <c r="T631" s="33"/>
      <c r="U631" s="35" t="b">
        <v>1</v>
      </c>
      <c r="V631" s="35" t="b">
        <v>0</v>
      </c>
      <c r="W631" s="35" t="b">
        <v>1</v>
      </c>
      <c r="Y631" s="31" cm="1">
        <f t="array" ref="Y631">IF(LEFT(_xll.BDP($C631, VOLUME_AVG_10D), 4) = "#N/A", "",  _xll.BDP($C631, VOLUME_AVG_10D))</f>
        <v>16370.2001953125</v>
      </c>
      <c r="Z631" s="31" cm="1">
        <f t="array" ref="Z631">IF(LEFT(_xll.BDP($C631, VOLUME_AVG_30D), 4) = "#N/A", "",  _xll.BDP($C631, VOLUME_AVG_30D))</f>
        <v>20029.033203125</v>
      </c>
      <c r="AA631" s="31" cm="1">
        <f t="array" ref="AA631">IF(LEFT(_xll.BDP($C631, VOLUME_AVG_3M), 4) = "#N/A", "",  _xll.BDP($C631, VOLUME_AVG_3M))</f>
        <v>18590.208984375</v>
      </c>
      <c r="AB631" s="31" cm="1">
        <f t="array" ref="AB631">IF(LEFT(_xll.BDP($C631, VOLUME_AVG_6M), 4) = "#N/A", "",  _xll.BDP($C631, VOLUME_AVG_6M))</f>
        <v>28785.240234375</v>
      </c>
      <c r="AC631" s="31" cm="1">
        <f t="array" ref="AC631">IF(LEFT(_xll.BDP($C631, VOLUME_AVG_12M), 4) = "#N/A", "",  _xll.BDP($C631, VOLUME_AVG_12M))</f>
        <v>18058.30859375</v>
      </c>
      <c r="AD631" s="41" cm="1">
        <f t="array" ref="AD631">IF(LEFT(_xll.BDP($C631, LAST_PRICE), 4) = "#N/A", "",  _xll.BDP($C631, LAST_PRICE))</f>
        <v>4.6100000000000003</v>
      </c>
    </row>
    <row r="632" spans="1:30" x14ac:dyDescent="0.35">
      <c r="A632" s="1">
        <f t="shared" si="9"/>
        <v>629</v>
      </c>
      <c r="B632" s="28">
        <v>45700</v>
      </c>
      <c r="C632" s="29" t="s">
        <v>1314</v>
      </c>
      <c r="D632" s="29" t="s">
        <v>1314</v>
      </c>
      <c r="E632" s="29" t="s">
        <v>1315</v>
      </c>
      <c r="F632" s="29" t="s">
        <v>33</v>
      </c>
      <c r="G632" s="30" t="s">
        <v>34</v>
      </c>
      <c r="H632" s="31">
        <v>3018495.5325313699</v>
      </c>
      <c r="I632" s="31">
        <v>-5436504.4674686296</v>
      </c>
      <c r="J632" s="32">
        <v>3.9999999105930301E-2</v>
      </c>
      <c r="K632" s="33">
        <v>45700</v>
      </c>
      <c r="L632" s="31">
        <v>1025500</v>
      </c>
      <c r="M632" s="32">
        <v>1.7</v>
      </c>
      <c r="N632" s="31" t="s">
        <v>35</v>
      </c>
      <c r="O632" s="33">
        <v>45699</v>
      </c>
      <c r="P632" s="34">
        <v>313247.5</v>
      </c>
      <c r="Q632" s="34">
        <v>215908</v>
      </c>
      <c r="R632" s="34">
        <v>250521.4375</v>
      </c>
      <c r="S632" s="29"/>
      <c r="T632" s="33"/>
      <c r="U632" s="35" t="b">
        <v>1</v>
      </c>
      <c r="V632" s="35" t="b">
        <v>1</v>
      </c>
      <c r="W632" s="35" t="b">
        <v>1</v>
      </c>
      <c r="Y632" s="31" cm="1">
        <f t="array" ref="Y632">IF(LEFT(_xll.BDP($C632, VOLUME_AVG_10D), 4) = "#N/A", "",  _xll.BDP($C632, VOLUME_AVG_10D))</f>
        <v>128491.703125</v>
      </c>
      <c r="Z632" s="31" cm="1">
        <f t="array" ref="Z632">IF(LEFT(_xll.BDP($C632, VOLUME_AVG_30D), 4) = "#N/A", "",  _xll.BDP($C632, VOLUME_AVG_30D))</f>
        <v>313247.5</v>
      </c>
      <c r="AA632" s="31" cm="1">
        <f t="array" ref="AA632">IF(LEFT(_xll.BDP($C632, VOLUME_AVG_3M), 4) = "#N/A", "",  _xll.BDP($C632, VOLUME_AVG_3M))</f>
        <v>215908</v>
      </c>
      <c r="AB632" s="31" cm="1">
        <f t="array" ref="AB632">IF(LEFT(_xll.BDP($C632, VOLUME_AVG_6M), 4) = "#N/A", "",  _xll.BDP($C632, VOLUME_AVG_6M))</f>
        <v>250521.4375</v>
      </c>
      <c r="AC632" s="31" cm="1">
        <f t="array" ref="AC632">IF(LEFT(_xll.BDP($C632, VOLUME_AVG_12M), 4) = "#N/A", "",  _xll.BDP($C632, VOLUME_AVG_12M))</f>
        <v>830650.1875</v>
      </c>
      <c r="AD632" s="41" cm="1">
        <f t="array" ref="AD632">IF(LEFT(_xll.BDP($C632, LAST_PRICE), 4) = "#N/A", "",  _xll.BDP($C632, LAST_PRICE))</f>
        <v>0.04</v>
      </c>
    </row>
    <row r="633" spans="1:30" x14ac:dyDescent="0.35">
      <c r="A633" s="1">
        <f t="shared" si="9"/>
        <v>630</v>
      </c>
      <c r="B633" s="28">
        <v>45700</v>
      </c>
      <c r="C633" s="29" t="s">
        <v>1316</v>
      </c>
      <c r="D633" s="29" t="s">
        <v>1316</v>
      </c>
      <c r="E633" s="29" t="s">
        <v>1317</v>
      </c>
      <c r="F633" s="29" t="s">
        <v>33</v>
      </c>
      <c r="G633" s="30" t="s">
        <v>34</v>
      </c>
      <c r="H633" s="31">
        <v>3707200.3774871798</v>
      </c>
      <c r="I633" s="31">
        <v>-8444799.6225128192</v>
      </c>
      <c r="J633" s="32">
        <v>2.46000003814697</v>
      </c>
      <c r="K633" s="33">
        <v>45700</v>
      </c>
      <c r="L633" s="31"/>
      <c r="M633" s="32"/>
      <c r="N633" s="31"/>
      <c r="O633" s="33">
        <v>45699</v>
      </c>
      <c r="P633" s="34">
        <v>28631.267578125</v>
      </c>
      <c r="Q633" s="34">
        <v>36633.3046875</v>
      </c>
      <c r="R633" s="34">
        <v>1364264.625</v>
      </c>
      <c r="S633" s="29"/>
      <c r="T633" s="33"/>
      <c r="U633" s="35" t="b">
        <v>1</v>
      </c>
      <c r="V633" s="35" t="b">
        <v>0</v>
      </c>
      <c r="W633" s="35" t="b">
        <v>1</v>
      </c>
      <c r="Y633" s="31" cm="1">
        <f t="array" ref="Y633">IF(LEFT(_xll.BDP($C633, VOLUME_AVG_10D), 4) = "#N/A", "",  _xll.BDP($C633, VOLUME_AVG_10D))</f>
        <v>19678.69921875</v>
      </c>
      <c r="Z633" s="31" cm="1">
        <f t="array" ref="Z633">IF(LEFT(_xll.BDP($C633, VOLUME_AVG_30D), 4) = "#N/A", "",  _xll.BDP($C633, VOLUME_AVG_30D))</f>
        <v>28631.267578125</v>
      </c>
      <c r="AA633" s="31" cm="1">
        <f t="array" ref="AA633">IF(LEFT(_xll.BDP($C633, VOLUME_AVG_3M), 4) = "#N/A", "",  _xll.BDP($C633, VOLUME_AVG_3M))</f>
        <v>36633.3046875</v>
      </c>
      <c r="AB633" s="31" cm="1">
        <f t="array" ref="AB633">IF(LEFT(_xll.BDP($C633, VOLUME_AVG_6M), 4) = "#N/A", "",  _xll.BDP($C633, VOLUME_AVG_6M))</f>
        <v>1364264.625</v>
      </c>
      <c r="AC633" s="31" cm="1">
        <f t="array" ref="AC633">IF(LEFT(_xll.BDP($C633, VOLUME_AVG_12M), 4) = "#N/A", "",  _xll.BDP($C633, VOLUME_AVG_12M))</f>
        <v>690289.8125</v>
      </c>
      <c r="AD633" s="41" cm="1">
        <f t="array" ref="AD633">IF(LEFT(_xll.BDP($C633, LAST_PRICE), 4) = "#N/A", "",  _xll.BDP($C633, LAST_PRICE))</f>
        <v>2.46</v>
      </c>
    </row>
    <row r="634" spans="1:30" x14ac:dyDescent="0.35">
      <c r="A634" s="1">
        <f t="shared" si="9"/>
        <v>631</v>
      </c>
      <c r="B634" s="28">
        <v>45700</v>
      </c>
      <c r="C634" s="29" t="s">
        <v>1318</v>
      </c>
      <c r="D634" s="29" t="s">
        <v>1318</v>
      </c>
      <c r="E634" s="29" t="s">
        <v>1319</v>
      </c>
      <c r="F634" s="29" t="s">
        <v>33</v>
      </c>
      <c r="G634" s="30" t="s">
        <v>34</v>
      </c>
      <c r="H634" s="31">
        <v>1953941.02720721</v>
      </c>
      <c r="I634" s="31">
        <v>3820928.0272072102</v>
      </c>
      <c r="J634" s="32">
        <v>4.8000002279877697E-3</v>
      </c>
      <c r="K634" s="33">
        <v>45700</v>
      </c>
      <c r="L634" s="31"/>
      <c r="M634" s="32"/>
      <c r="N634" s="31"/>
      <c r="O634" s="33">
        <v>45699</v>
      </c>
      <c r="P634" s="34">
        <v>183966.4375</v>
      </c>
      <c r="Q634" s="34">
        <v>232200.140625</v>
      </c>
      <c r="R634" s="34">
        <v>149767.34375</v>
      </c>
      <c r="S634" s="29"/>
      <c r="T634" s="33"/>
      <c r="U634" s="35" t="b">
        <v>1</v>
      </c>
      <c r="V634" s="35" t="b">
        <v>1</v>
      </c>
      <c r="W634" s="35" t="b">
        <v>0</v>
      </c>
      <c r="Y634" s="31" cm="1">
        <f t="array" ref="Y634">IF(LEFT(_xll.BDP($C634, VOLUME_AVG_10D), 4) = "#N/A", "",  _xll.BDP($C634, VOLUME_AVG_10D))</f>
        <v>119746.203125</v>
      </c>
      <c r="Z634" s="31" cm="1">
        <f t="array" ref="Z634">IF(LEFT(_xll.BDP($C634, VOLUME_AVG_30D), 4) = "#N/A", "",  _xll.BDP($C634, VOLUME_AVG_30D))</f>
        <v>183966.4375</v>
      </c>
      <c r="AA634" s="31" cm="1">
        <f t="array" ref="AA634">IF(LEFT(_xll.BDP($C634, VOLUME_AVG_3M), 4) = "#N/A", "",  _xll.BDP($C634, VOLUME_AVG_3M))</f>
        <v>232200.140625</v>
      </c>
      <c r="AB634" s="31" cm="1">
        <f t="array" ref="AB634">IF(LEFT(_xll.BDP($C634, VOLUME_AVG_6M), 4) = "#N/A", "",  _xll.BDP($C634, VOLUME_AVG_6M))</f>
        <v>149767.34375</v>
      </c>
      <c r="AC634" s="31" cm="1">
        <f t="array" ref="AC634">IF(LEFT(_xll.BDP($C634, VOLUME_AVG_12M), 4) = "#N/A", "",  _xll.BDP($C634, VOLUME_AVG_12M))</f>
        <v>133294.78125</v>
      </c>
      <c r="AD634" s="41" cm="1">
        <f t="array" ref="AD634">IF(LEFT(_xll.BDP($C634, LAST_PRICE), 4) = "#N/A", "",  _xll.BDP($C634, LAST_PRICE))</f>
        <v>4.7999999999999996E-3</v>
      </c>
    </row>
    <row r="635" spans="1:30" x14ac:dyDescent="0.35">
      <c r="A635" s="1">
        <f t="shared" si="9"/>
        <v>632</v>
      </c>
      <c r="B635" s="28">
        <v>45700</v>
      </c>
      <c r="C635" s="29" t="s">
        <v>1320</v>
      </c>
      <c r="D635" s="29" t="s">
        <v>1320</v>
      </c>
      <c r="E635" s="29" t="s">
        <v>1321</v>
      </c>
      <c r="F635" s="29" t="s">
        <v>33</v>
      </c>
      <c r="G635" s="30" t="s">
        <v>34</v>
      </c>
      <c r="H635" s="31">
        <v>39245389593.232803</v>
      </c>
      <c r="I635" s="31">
        <v>46562389593.232803</v>
      </c>
      <c r="J635" s="32">
        <v>85.900001525878906</v>
      </c>
      <c r="K635" s="33">
        <v>45700</v>
      </c>
      <c r="L635" s="31">
        <v>172473904</v>
      </c>
      <c r="M635" s="32">
        <v>3.88</v>
      </c>
      <c r="N635" s="31" t="s">
        <v>35</v>
      </c>
      <c r="O635" s="33">
        <v>45699</v>
      </c>
      <c r="P635" s="34">
        <v>2520933.25</v>
      </c>
      <c r="Q635" s="34">
        <v>2939617</v>
      </c>
      <c r="R635" s="34">
        <v>2892590</v>
      </c>
      <c r="S635" s="29"/>
      <c r="T635" s="33"/>
      <c r="U635" s="35" t="b">
        <v>0</v>
      </c>
      <c r="V635" s="35" t="b">
        <v>0</v>
      </c>
      <c r="W635" s="35" t="b">
        <v>0</v>
      </c>
      <c r="Y635" s="31" cm="1">
        <f t="array" ref="Y635">IF(LEFT(_xll.BDP($C635, VOLUME_AVG_10D), 4) = "#N/A", "",  _xll.BDP($C635, VOLUME_AVG_10D))</f>
        <v>2106226.5</v>
      </c>
      <c r="Z635" s="31" cm="1">
        <f t="array" ref="Z635">IF(LEFT(_xll.BDP($C635, VOLUME_AVG_30D), 4) = "#N/A", "",  _xll.BDP($C635, VOLUME_AVG_30D))</f>
        <v>2520933.25</v>
      </c>
      <c r="AA635" s="31" cm="1">
        <f t="array" ref="AA635">IF(LEFT(_xll.BDP($C635, VOLUME_AVG_3M), 4) = "#N/A", "",  _xll.BDP($C635, VOLUME_AVG_3M))</f>
        <v>2939617</v>
      </c>
      <c r="AB635" s="31" cm="1">
        <f t="array" ref="AB635">IF(LEFT(_xll.BDP($C635, VOLUME_AVG_6M), 4) = "#N/A", "",  _xll.BDP($C635, VOLUME_AVG_6M))</f>
        <v>2892590</v>
      </c>
      <c r="AC635" s="31" cm="1">
        <f t="array" ref="AC635">IF(LEFT(_xll.BDP($C635, VOLUME_AVG_12M), 4) = "#N/A", "",  _xll.BDP($C635, VOLUME_AVG_12M))</f>
        <v>3009169.5</v>
      </c>
      <c r="AD635" s="41" cm="1">
        <f t="array" ref="AD635">IF(LEFT(_xll.BDP($C635, LAST_PRICE), 4) = "#N/A", "",  _xll.BDP($C635, LAST_PRICE))</f>
        <v>85.9</v>
      </c>
    </row>
    <row r="636" spans="1:30" x14ac:dyDescent="0.35">
      <c r="A636" s="1">
        <f t="shared" si="9"/>
        <v>633</v>
      </c>
      <c r="B636" s="28">
        <v>45700</v>
      </c>
      <c r="C636" s="29" t="s">
        <v>1322</v>
      </c>
      <c r="D636" s="29" t="s">
        <v>1322</v>
      </c>
      <c r="E636" s="29" t="s">
        <v>1323</v>
      </c>
      <c r="F636" s="29" t="s">
        <v>33</v>
      </c>
      <c r="G636" s="30" t="s">
        <v>34</v>
      </c>
      <c r="H636" s="31">
        <v>20575004.130059499</v>
      </c>
      <c r="I636" s="31">
        <v>36462271.2601927</v>
      </c>
      <c r="J636" s="32">
        <v>2.1800000667571999</v>
      </c>
      <c r="K636" s="33">
        <v>45700</v>
      </c>
      <c r="L636" s="31"/>
      <c r="M636" s="32"/>
      <c r="N636" s="31"/>
      <c r="O636" s="33">
        <v>45699</v>
      </c>
      <c r="P636" s="34">
        <v>332087.0625</v>
      </c>
      <c r="Q636" s="34">
        <v>504516.46875</v>
      </c>
      <c r="R636" s="34"/>
      <c r="S636" s="29"/>
      <c r="T636" s="33"/>
      <c r="U636" s="35" t="b">
        <v>0</v>
      </c>
      <c r="V636" s="35" t="b">
        <v>0</v>
      </c>
      <c r="W636" s="35" t="b">
        <v>0</v>
      </c>
      <c r="Y636" s="31" cm="1">
        <f t="array" ref="Y636">IF(LEFT(_xll.BDP($C636, VOLUME_AVG_10D), 4) = "#N/A", "",  _xll.BDP($C636, VOLUME_AVG_10D))</f>
        <v>65568.5</v>
      </c>
      <c r="Z636" s="31" cm="1">
        <f t="array" ref="Z636">IF(LEFT(_xll.BDP($C636, VOLUME_AVG_30D), 4) = "#N/A", "",  _xll.BDP($C636, VOLUME_AVG_30D))</f>
        <v>332087.0625</v>
      </c>
      <c r="AA636" s="31" cm="1">
        <f t="array" ref="AA636">IF(LEFT(_xll.BDP($C636, VOLUME_AVG_3M), 4) = "#N/A", "",  _xll.BDP($C636, VOLUME_AVG_3M))</f>
        <v>504516.46875</v>
      </c>
      <c r="AB636" s="31" t="str" cm="1">
        <f t="array" ref="AB636">IF(LEFT(_xll.BDP($C636, VOLUME_AVG_6M), 4) = "#N/A", "",  _xll.BDP($C636, VOLUME_AVG_6M))</f>
        <v/>
      </c>
      <c r="AC636" s="31" t="str" cm="1">
        <f t="array" ref="AC636">IF(LEFT(_xll.BDP($C636, VOLUME_AVG_12M), 4) = "#N/A", "",  _xll.BDP($C636, VOLUME_AVG_12M))</f>
        <v/>
      </c>
      <c r="AD636" s="41" cm="1">
        <f t="array" ref="AD636">IF(LEFT(_xll.BDP($C636, LAST_PRICE), 4) = "#N/A", "",  _xll.BDP($C636, LAST_PRICE))</f>
        <v>2.1800000000000002</v>
      </c>
    </row>
    <row r="637" spans="1:30" x14ac:dyDescent="0.35">
      <c r="A637" s="1">
        <f t="shared" si="9"/>
        <v>634</v>
      </c>
      <c r="B637" s="28">
        <v>45700</v>
      </c>
      <c r="C637" s="29" t="s">
        <v>1324</v>
      </c>
      <c r="D637" s="29" t="s">
        <v>1324</v>
      </c>
      <c r="E637" s="29" t="s">
        <v>1325</v>
      </c>
      <c r="F637" s="29" t="s">
        <v>33</v>
      </c>
      <c r="G637" s="30" t="s">
        <v>34</v>
      </c>
      <c r="H637" s="31">
        <v>1949645078.6244199</v>
      </c>
      <c r="I637" s="31">
        <v>1949286078.6244199</v>
      </c>
      <c r="J637" s="32">
        <v>70.970001220703097</v>
      </c>
      <c r="K637" s="33">
        <v>45700</v>
      </c>
      <c r="L637" s="31">
        <v>4553600</v>
      </c>
      <c r="M637" s="32">
        <v>3.88</v>
      </c>
      <c r="N637" s="31" t="s">
        <v>35</v>
      </c>
      <c r="O637" s="33">
        <v>45699</v>
      </c>
      <c r="P637" s="34">
        <v>1011925.625</v>
      </c>
      <c r="Q637" s="34">
        <v>770790.9375</v>
      </c>
      <c r="R637" s="34">
        <v>654588</v>
      </c>
      <c r="S637" s="29"/>
      <c r="T637" s="33"/>
      <c r="U637" s="35" t="b">
        <v>0</v>
      </c>
      <c r="V637" s="35" t="b">
        <v>0</v>
      </c>
      <c r="W637" s="35" t="b">
        <v>0</v>
      </c>
      <c r="Y637" s="31" cm="1">
        <f t="array" ref="Y637">IF(LEFT(_xll.BDP($C637, VOLUME_AVG_10D), 4) = "#N/A", "",  _xll.BDP($C637, VOLUME_AVG_10D))</f>
        <v>1334538.25</v>
      </c>
      <c r="Z637" s="31" cm="1">
        <f t="array" ref="Z637">IF(LEFT(_xll.BDP($C637, VOLUME_AVG_30D), 4) = "#N/A", "",  _xll.BDP($C637, VOLUME_AVG_30D))</f>
        <v>1011925.625</v>
      </c>
      <c r="AA637" s="31" cm="1">
        <f t="array" ref="AA637">IF(LEFT(_xll.BDP($C637, VOLUME_AVG_3M), 4) = "#N/A", "",  _xll.BDP($C637, VOLUME_AVG_3M))</f>
        <v>770790.9375</v>
      </c>
      <c r="AB637" s="31" cm="1">
        <f t="array" ref="AB637">IF(LEFT(_xll.BDP($C637, VOLUME_AVG_6M), 4) = "#N/A", "",  _xll.BDP($C637, VOLUME_AVG_6M))</f>
        <v>654588</v>
      </c>
      <c r="AC637" s="31" cm="1">
        <f t="array" ref="AC637">IF(LEFT(_xll.BDP($C637, VOLUME_AVG_12M), 4) = "#N/A", "",  _xll.BDP($C637, VOLUME_AVG_12M))</f>
        <v>540285.3125</v>
      </c>
      <c r="AD637" s="41" cm="1">
        <f t="array" ref="AD637">IF(LEFT(_xll.BDP($C637, LAST_PRICE), 4) = "#N/A", "",  _xll.BDP($C637, LAST_PRICE))</f>
        <v>70.97</v>
      </c>
    </row>
    <row r="638" spans="1:30" x14ac:dyDescent="0.35">
      <c r="A638" s="1">
        <f t="shared" si="9"/>
        <v>635</v>
      </c>
      <c r="B638" s="28">
        <v>45700</v>
      </c>
      <c r="C638" s="29" t="s">
        <v>1326</v>
      </c>
      <c r="D638" s="29" t="s">
        <v>1326</v>
      </c>
      <c r="E638" s="29" t="s">
        <v>1327</v>
      </c>
      <c r="F638" s="29" t="s">
        <v>33</v>
      </c>
      <c r="G638" s="30" t="s">
        <v>34</v>
      </c>
      <c r="H638" s="31">
        <v>193413832.706182</v>
      </c>
      <c r="I638" s="31">
        <v>161395832.706182</v>
      </c>
      <c r="J638" s="32">
        <v>5.5999999046325701</v>
      </c>
      <c r="K638" s="33">
        <v>45700</v>
      </c>
      <c r="L638" s="31"/>
      <c r="M638" s="32"/>
      <c r="N638" s="31"/>
      <c r="O638" s="33">
        <v>45699</v>
      </c>
      <c r="P638" s="34">
        <v>264916.625</v>
      </c>
      <c r="Q638" s="34">
        <v>213927.890625</v>
      </c>
      <c r="R638" s="34">
        <v>183498.03125</v>
      </c>
      <c r="S638" s="29"/>
      <c r="T638" s="33"/>
      <c r="U638" s="35" t="b">
        <v>0</v>
      </c>
      <c r="V638" s="35" t="b">
        <v>0</v>
      </c>
      <c r="W638" s="35" t="b">
        <v>0</v>
      </c>
      <c r="Y638" s="31" cm="1">
        <f t="array" ref="Y638">IF(LEFT(_xll.BDP($C638, VOLUME_AVG_10D), 4) = "#N/A", "",  _xll.BDP($C638, VOLUME_AVG_10D))</f>
        <v>277266.5</v>
      </c>
      <c r="Z638" s="31" cm="1">
        <f t="array" ref="Z638">IF(LEFT(_xll.BDP($C638, VOLUME_AVG_30D), 4) = "#N/A", "",  _xll.BDP($C638, VOLUME_AVG_30D))</f>
        <v>264916.625</v>
      </c>
      <c r="AA638" s="31" cm="1">
        <f t="array" ref="AA638">IF(LEFT(_xll.BDP($C638, VOLUME_AVG_3M), 4) = "#N/A", "",  _xll.BDP($C638, VOLUME_AVG_3M))</f>
        <v>213927.890625</v>
      </c>
      <c r="AB638" s="31" cm="1">
        <f t="array" ref="AB638">IF(LEFT(_xll.BDP($C638, VOLUME_AVG_6M), 4) = "#N/A", "",  _xll.BDP($C638, VOLUME_AVG_6M))</f>
        <v>183498.03125</v>
      </c>
      <c r="AC638" s="31" cm="1">
        <f t="array" ref="AC638">IF(LEFT(_xll.BDP($C638, VOLUME_AVG_12M), 4) = "#N/A", "",  _xll.BDP($C638, VOLUME_AVG_12M))</f>
        <v>197570.34375</v>
      </c>
      <c r="AD638" s="41" cm="1">
        <f t="array" ref="AD638">IF(LEFT(_xll.BDP($C638, LAST_PRICE), 4) = "#N/A", "",  _xll.BDP($C638, LAST_PRICE))</f>
        <v>5.6</v>
      </c>
    </row>
    <row r="639" spans="1:30" x14ac:dyDescent="0.35">
      <c r="A639" s="1">
        <f t="shared" si="9"/>
        <v>636</v>
      </c>
      <c r="B639" s="28">
        <v>45700</v>
      </c>
      <c r="C639" s="29" t="s">
        <v>1328</v>
      </c>
      <c r="D639" s="29" t="s">
        <v>1328</v>
      </c>
      <c r="E639" s="29" t="s">
        <v>1329</v>
      </c>
      <c r="F639" s="29" t="s">
        <v>33</v>
      </c>
      <c r="G639" s="30" t="s">
        <v>34</v>
      </c>
      <c r="H639" s="31">
        <v>69952733.156434506</v>
      </c>
      <c r="I639" s="31"/>
      <c r="J639" s="32">
        <v>3.8399999141693102</v>
      </c>
      <c r="K639" s="33">
        <v>45700</v>
      </c>
      <c r="L639" s="31">
        <v>92200</v>
      </c>
      <c r="M639" s="32">
        <v>-16.399999999999999</v>
      </c>
      <c r="N639" s="31" t="s">
        <v>35</v>
      </c>
      <c r="O639" s="33">
        <v>45699</v>
      </c>
      <c r="P639" s="34">
        <v>16085.93359375</v>
      </c>
      <c r="Q639" s="34">
        <v>10696.9189453125</v>
      </c>
      <c r="R639" s="34">
        <v>11947.3251953125</v>
      </c>
      <c r="S639" s="29"/>
      <c r="T639" s="33"/>
      <c r="U639" s="35" t="b">
        <v>0</v>
      </c>
      <c r="V639" s="35" t="b">
        <v>0</v>
      </c>
      <c r="W639" s="35" t="b">
        <v>1</v>
      </c>
      <c r="Y639" s="31" cm="1">
        <f t="array" ref="Y639">IF(LEFT(_xll.BDP($C639, VOLUME_AVG_10D), 4) = "#N/A", "",  _xll.BDP($C639, VOLUME_AVG_10D))</f>
        <v>7513.5</v>
      </c>
      <c r="Z639" s="31" cm="1">
        <f t="array" ref="Z639">IF(LEFT(_xll.BDP($C639, VOLUME_AVG_30D), 4) = "#N/A", "",  _xll.BDP($C639, VOLUME_AVG_30D))</f>
        <v>16085.93359375</v>
      </c>
      <c r="AA639" s="31" cm="1">
        <f t="array" ref="AA639">IF(LEFT(_xll.BDP($C639, VOLUME_AVG_3M), 4) = "#N/A", "",  _xll.BDP($C639, VOLUME_AVG_3M))</f>
        <v>10696.9189453125</v>
      </c>
      <c r="AB639" s="31" cm="1">
        <f t="array" ref="AB639">IF(LEFT(_xll.BDP($C639, VOLUME_AVG_6M), 4) = "#N/A", "",  _xll.BDP($C639, VOLUME_AVG_6M))</f>
        <v>11947.3251953125</v>
      </c>
      <c r="AC639" s="31" cm="1">
        <f t="array" ref="AC639">IF(LEFT(_xll.BDP($C639, VOLUME_AVG_12M), 4) = "#N/A", "",  _xll.BDP($C639, VOLUME_AVG_12M))</f>
        <v>10446.716796875</v>
      </c>
      <c r="AD639" s="41" cm="1">
        <f t="array" ref="AD639">IF(LEFT(_xll.BDP($C639, LAST_PRICE), 4) = "#N/A", "",  _xll.BDP($C639, LAST_PRICE))</f>
        <v>3.84</v>
      </c>
    </row>
    <row r="640" spans="1:30" x14ac:dyDescent="0.35">
      <c r="A640" s="1">
        <f t="shared" si="9"/>
        <v>637</v>
      </c>
      <c r="B640" s="28">
        <v>45700</v>
      </c>
      <c r="C640" s="29" t="s">
        <v>1330</v>
      </c>
      <c r="D640" s="29" t="s">
        <v>1330</v>
      </c>
      <c r="E640" s="29" t="s">
        <v>1331</v>
      </c>
      <c r="F640" s="29" t="s">
        <v>33</v>
      </c>
      <c r="G640" s="30" t="s">
        <v>34</v>
      </c>
      <c r="H640" s="31">
        <v>41344757.996424101</v>
      </c>
      <c r="I640" s="31">
        <v>-49646242.003575899</v>
      </c>
      <c r="J640" s="32">
        <v>0.61900001764297496</v>
      </c>
      <c r="K640" s="33">
        <v>45700</v>
      </c>
      <c r="L640" s="31">
        <v>7982300</v>
      </c>
      <c r="M640" s="32">
        <v>3.88</v>
      </c>
      <c r="N640" s="31" t="s">
        <v>35</v>
      </c>
      <c r="O640" s="33">
        <v>45699</v>
      </c>
      <c r="P640" s="34">
        <v>581662.5625</v>
      </c>
      <c r="Q640" s="34">
        <v>457205.5625</v>
      </c>
      <c r="R640" s="34">
        <v>279585.90625</v>
      </c>
      <c r="S640" s="29" t="s">
        <v>68</v>
      </c>
      <c r="T640" s="33">
        <v>45446</v>
      </c>
      <c r="U640" s="35" t="b">
        <v>0</v>
      </c>
      <c r="V640" s="35" t="b">
        <v>0</v>
      </c>
      <c r="W640" s="35" t="b">
        <v>1</v>
      </c>
      <c r="Y640" s="31" cm="1">
        <f t="array" ref="Y640">IF(LEFT(_xll.BDP($C640, VOLUME_AVG_10D), 4) = "#N/A", "",  _xll.BDP($C640, VOLUME_AVG_10D))</f>
        <v>477421.40625</v>
      </c>
      <c r="Z640" s="31" cm="1">
        <f t="array" ref="Z640">IF(LEFT(_xll.BDP($C640, VOLUME_AVG_30D), 4) = "#N/A", "",  _xll.BDP($C640, VOLUME_AVG_30D))</f>
        <v>581662.5625</v>
      </c>
      <c r="AA640" s="31" cm="1">
        <f t="array" ref="AA640">IF(LEFT(_xll.BDP($C640, VOLUME_AVG_3M), 4) = "#N/A", "",  _xll.BDP($C640, VOLUME_AVG_3M))</f>
        <v>457205.5625</v>
      </c>
      <c r="AB640" s="31" cm="1">
        <f t="array" ref="AB640">IF(LEFT(_xll.BDP($C640, VOLUME_AVG_6M), 4) = "#N/A", "",  _xll.BDP($C640, VOLUME_AVG_6M))</f>
        <v>279585.90625</v>
      </c>
      <c r="AC640" s="31" cm="1">
        <f t="array" ref="AC640">IF(LEFT(_xll.BDP($C640, VOLUME_AVG_12M), 4) = "#N/A", "",  _xll.BDP($C640, VOLUME_AVG_12M))</f>
        <v>235731.0625</v>
      </c>
      <c r="AD640" s="41" cm="1">
        <f t="array" ref="AD640">IF(LEFT(_xll.BDP($C640, LAST_PRICE), 4) = "#N/A", "",  _xll.BDP($C640, LAST_PRICE))</f>
        <v>0.61899999999999999</v>
      </c>
    </row>
    <row r="641" spans="1:30" x14ac:dyDescent="0.35">
      <c r="A641" s="1">
        <f t="shared" si="9"/>
        <v>638</v>
      </c>
      <c r="B641" s="28">
        <v>45700</v>
      </c>
      <c r="C641" s="29" t="s">
        <v>1332</v>
      </c>
      <c r="D641" s="29" t="s">
        <v>1332</v>
      </c>
      <c r="E641" s="29" t="s">
        <v>1333</v>
      </c>
      <c r="F641" s="29" t="s">
        <v>33</v>
      </c>
      <c r="G641" s="30" t="s">
        <v>34</v>
      </c>
      <c r="H641" s="31">
        <v>33470.220600000001</v>
      </c>
      <c r="I641" s="31">
        <v>3216579470.2206001</v>
      </c>
      <c r="J641" s="32">
        <v>2.0000000000000001E-4</v>
      </c>
      <c r="K641" s="33">
        <v>45700</v>
      </c>
      <c r="L641" s="31">
        <v>762400</v>
      </c>
      <c r="M641" s="32">
        <v>2.35</v>
      </c>
      <c r="N641" s="31" t="s">
        <v>35</v>
      </c>
      <c r="O641" s="33">
        <v>45699</v>
      </c>
      <c r="P641" s="34">
        <v>11124.2333984375</v>
      </c>
      <c r="Q641" s="34">
        <v>21650.935546875</v>
      </c>
      <c r="R641" s="34">
        <v>22467.73046875</v>
      </c>
      <c r="S641" s="29"/>
      <c r="T641" s="33"/>
      <c r="U641" s="35" t="b">
        <v>1</v>
      </c>
      <c r="V641" s="35" t="b">
        <v>1</v>
      </c>
      <c r="W641" s="35" t="b">
        <v>0</v>
      </c>
      <c r="Y641" s="31" cm="1">
        <f t="array" ref="Y641">IF(LEFT(_xll.BDP($C641, VOLUME_AVG_10D), 4) = "#N/A", "",  _xll.BDP($C641, VOLUME_AVG_10D))</f>
        <v>6986.2001953125</v>
      </c>
      <c r="Z641" s="31" cm="1">
        <f t="array" ref="Z641">IF(LEFT(_xll.BDP($C641, VOLUME_AVG_30D), 4) = "#N/A", "",  _xll.BDP($C641, VOLUME_AVG_30D))</f>
        <v>11124.2333984375</v>
      </c>
      <c r="AA641" s="31" cm="1">
        <f t="array" ref="AA641">IF(LEFT(_xll.BDP($C641, VOLUME_AVG_3M), 4) = "#N/A", "",  _xll.BDP($C641, VOLUME_AVG_3M))</f>
        <v>21650.935546875</v>
      </c>
      <c r="AB641" s="31" cm="1">
        <f t="array" ref="AB641">IF(LEFT(_xll.BDP($C641, VOLUME_AVG_6M), 4) = "#N/A", "",  _xll.BDP($C641, VOLUME_AVG_6M))</f>
        <v>22467.73046875</v>
      </c>
      <c r="AC641" s="31" cm="1">
        <f t="array" ref="AC641">IF(LEFT(_xll.BDP($C641, VOLUME_AVG_12M), 4) = "#N/A", "",  _xll.BDP($C641, VOLUME_AVG_12M))</f>
        <v>15941.8447265625</v>
      </c>
      <c r="AD641" s="41" cm="1">
        <f t="array" ref="AD641">IF(LEFT(_xll.BDP($C641, LAST_PRICE), 4) = "#N/A", "",  _xll.BDP($C641, LAST_PRICE))</f>
        <v>2.0000000000000001E-4</v>
      </c>
    </row>
    <row r="642" spans="1:30" x14ac:dyDescent="0.35">
      <c r="A642" s="1">
        <f t="shared" si="9"/>
        <v>639</v>
      </c>
      <c r="B642" s="28">
        <v>45700</v>
      </c>
      <c r="C642" s="29" t="s">
        <v>1334</v>
      </c>
      <c r="D642" s="29" t="s">
        <v>1334</v>
      </c>
      <c r="E642" s="29" t="s">
        <v>1335</v>
      </c>
      <c r="F642" s="29" t="s">
        <v>33</v>
      </c>
      <c r="G642" s="30" t="s">
        <v>34</v>
      </c>
      <c r="H642" s="31"/>
      <c r="I642" s="31"/>
      <c r="J642" s="32"/>
      <c r="K642" s="33">
        <v>45700</v>
      </c>
      <c r="L642" s="31"/>
      <c r="M642" s="32"/>
      <c r="N642" s="31"/>
      <c r="O642" s="33">
        <v>45699</v>
      </c>
      <c r="P642" s="34"/>
      <c r="Q642" s="34"/>
      <c r="R642" s="34"/>
      <c r="S642" s="29"/>
      <c r="T642" s="33"/>
      <c r="U642" s="35" t="b">
        <v>1</v>
      </c>
      <c r="V642" s="35" t="b">
        <v>1</v>
      </c>
      <c r="W642" s="35" t="b">
        <v>1</v>
      </c>
      <c r="Y642" s="31" t="str" cm="1">
        <f t="array" ref="Y642">IF(LEFT(_xll.BDP($C642, VOLUME_AVG_10D), 4) = "#N/A", "",  _xll.BDP($C642, VOLUME_AVG_10D))</f>
        <v/>
      </c>
      <c r="Z642" s="31" t="str" cm="1">
        <f t="array" ref="Z642">IF(LEFT(_xll.BDP($C642, VOLUME_AVG_30D), 4) = "#N/A", "",  _xll.BDP($C642, VOLUME_AVG_30D))</f>
        <v/>
      </c>
      <c r="AA642" s="31" t="str" cm="1">
        <f t="array" ref="AA642">IF(LEFT(_xll.BDP($C642, VOLUME_AVG_3M), 4) = "#N/A", "",  _xll.BDP($C642, VOLUME_AVG_3M))</f>
        <v/>
      </c>
      <c r="AB642" s="31" t="str" cm="1">
        <f t="array" ref="AB642">IF(LEFT(_xll.BDP($C642, VOLUME_AVG_6M), 4) = "#N/A", "",  _xll.BDP($C642, VOLUME_AVG_6M))</f>
        <v/>
      </c>
      <c r="AC642" s="31" t="str" cm="1">
        <f t="array" ref="AC642">IF(LEFT(_xll.BDP($C642, VOLUME_AVG_12M), 4) = "#N/A", "",  _xll.BDP($C642, VOLUME_AVG_12M))</f>
        <v/>
      </c>
      <c r="AD642" s="41" t="str" cm="1">
        <f t="array" ref="AD642">IF(LEFT(_xll.BDP($C642, LAST_PRICE), 4) = "#N/A", "",  _xll.BDP($C642, LAST_PRICE))</f>
        <v/>
      </c>
    </row>
    <row r="643" spans="1:30" x14ac:dyDescent="0.35">
      <c r="A643" s="1">
        <f t="shared" si="9"/>
        <v>640</v>
      </c>
      <c r="B643" s="28">
        <v>45700</v>
      </c>
      <c r="C643" s="29" t="s">
        <v>1336</v>
      </c>
      <c r="D643" s="29" t="s">
        <v>1336</v>
      </c>
      <c r="E643" s="29" t="s">
        <v>1337</v>
      </c>
      <c r="F643" s="29" t="s">
        <v>33</v>
      </c>
      <c r="G643" s="30" t="s">
        <v>34</v>
      </c>
      <c r="H643" s="31"/>
      <c r="I643" s="31"/>
      <c r="J643" s="32"/>
      <c r="K643" s="33">
        <v>45700</v>
      </c>
      <c r="L643" s="31"/>
      <c r="M643" s="32"/>
      <c r="N643" s="31"/>
      <c r="O643" s="33">
        <v>45699</v>
      </c>
      <c r="P643" s="34"/>
      <c r="Q643" s="34"/>
      <c r="R643" s="34"/>
      <c r="S643" s="29"/>
      <c r="T643" s="33"/>
      <c r="U643" s="35" t="b">
        <v>1</v>
      </c>
      <c r="V643" s="35" t="b">
        <v>1</v>
      </c>
      <c r="W643" s="35" t="b">
        <v>1</v>
      </c>
      <c r="Y643" s="31" t="str" cm="1">
        <f t="array" ref="Y643">IF(LEFT(_xll.BDP($C643, VOLUME_AVG_10D), 4) = "#N/A", "",  _xll.BDP($C643, VOLUME_AVG_10D))</f>
        <v/>
      </c>
      <c r="Z643" s="31" t="str" cm="1">
        <f t="array" ref="Z643">IF(LEFT(_xll.BDP($C643, VOLUME_AVG_30D), 4) = "#N/A", "",  _xll.BDP($C643, VOLUME_AVG_30D))</f>
        <v/>
      </c>
      <c r="AA643" s="31" t="str" cm="1">
        <f t="array" ref="AA643">IF(LEFT(_xll.BDP($C643, VOLUME_AVG_3M), 4) = "#N/A", "",  _xll.BDP($C643, VOLUME_AVG_3M))</f>
        <v/>
      </c>
      <c r="AB643" s="31" t="str" cm="1">
        <f t="array" ref="AB643">IF(LEFT(_xll.BDP($C643, VOLUME_AVG_6M), 4) = "#N/A", "",  _xll.BDP($C643, VOLUME_AVG_6M))</f>
        <v/>
      </c>
      <c r="AC643" s="31" t="str" cm="1">
        <f t="array" ref="AC643">IF(LEFT(_xll.BDP($C643, VOLUME_AVG_12M), 4) = "#N/A", "",  _xll.BDP($C643, VOLUME_AVG_12M))</f>
        <v/>
      </c>
      <c r="AD643" s="41" t="str" cm="1">
        <f t="array" ref="AD643">IF(LEFT(_xll.BDP($C643, LAST_PRICE), 4) = "#N/A", "",  _xll.BDP($C643, LAST_PRICE))</f>
        <v/>
      </c>
    </row>
    <row r="644" spans="1:30" x14ac:dyDescent="0.35">
      <c r="A644" s="1">
        <f t="shared" si="9"/>
        <v>641</v>
      </c>
      <c r="B644" s="28">
        <v>45700</v>
      </c>
      <c r="C644" s="29" t="s">
        <v>1338</v>
      </c>
      <c r="D644" s="29" t="s">
        <v>1338</v>
      </c>
      <c r="E644" s="29" t="s">
        <v>1339</v>
      </c>
      <c r="F644" s="29" t="s">
        <v>33</v>
      </c>
      <c r="G644" s="30" t="s">
        <v>34</v>
      </c>
      <c r="H644" s="31">
        <v>4048138.8189057098</v>
      </c>
      <c r="I644" s="31">
        <v>2559857.8189057098</v>
      </c>
      <c r="J644" s="32">
        <v>0.47580000758171098</v>
      </c>
      <c r="K644" s="33">
        <v>45700</v>
      </c>
      <c r="L644" s="31">
        <v>524900</v>
      </c>
      <c r="M644" s="32">
        <v>-16.2</v>
      </c>
      <c r="N644" s="31" t="s">
        <v>35</v>
      </c>
      <c r="O644" s="33">
        <v>45699</v>
      </c>
      <c r="P644" s="34">
        <v>341638.65625</v>
      </c>
      <c r="Q644" s="34">
        <v>948347.5</v>
      </c>
      <c r="R644" s="34">
        <v>5093885</v>
      </c>
      <c r="S644" s="29"/>
      <c r="T644" s="33"/>
      <c r="U644" s="35" t="b">
        <v>1</v>
      </c>
      <c r="V644" s="35" t="b">
        <v>0</v>
      </c>
      <c r="W644" s="35" t="b">
        <v>0</v>
      </c>
      <c r="Y644" s="31" cm="1">
        <f t="array" ref="Y644">IF(LEFT(_xll.BDP($C644, VOLUME_AVG_10D), 4) = "#N/A", "",  _xll.BDP($C644, VOLUME_AVG_10D))</f>
        <v>231969.90625</v>
      </c>
      <c r="Z644" s="31" cm="1">
        <f t="array" ref="Z644">IF(LEFT(_xll.BDP($C644, VOLUME_AVG_30D), 4) = "#N/A", "",  _xll.BDP($C644, VOLUME_AVG_30D))</f>
        <v>341638.65625</v>
      </c>
      <c r="AA644" s="31" cm="1">
        <f t="array" ref="AA644">IF(LEFT(_xll.BDP($C644, VOLUME_AVG_3M), 4) = "#N/A", "",  _xll.BDP($C644, VOLUME_AVG_3M))</f>
        <v>948347.5</v>
      </c>
      <c r="AB644" s="31" cm="1">
        <f t="array" ref="AB644">IF(LEFT(_xll.BDP($C644, VOLUME_AVG_6M), 4) = "#N/A", "",  _xll.BDP($C644, VOLUME_AVG_6M))</f>
        <v>5093885</v>
      </c>
      <c r="AC644" s="31" cm="1">
        <f t="array" ref="AC644">IF(LEFT(_xll.BDP($C644, VOLUME_AVG_12M), 4) = "#N/A", "",  _xll.BDP($C644, VOLUME_AVG_12M))</f>
        <v>2595367.75</v>
      </c>
      <c r="AD644" s="41" cm="1">
        <f t="array" ref="AD644">IF(LEFT(_xll.BDP($C644, LAST_PRICE), 4) = "#N/A", "",  _xll.BDP($C644, LAST_PRICE))</f>
        <v>0.4758</v>
      </c>
    </row>
    <row r="645" spans="1:30" x14ac:dyDescent="0.35">
      <c r="A645" s="1">
        <f t="shared" si="9"/>
        <v>642</v>
      </c>
      <c r="B645" s="28">
        <v>45700</v>
      </c>
      <c r="C645" s="29" t="s">
        <v>1340</v>
      </c>
      <c r="D645" s="29" t="s">
        <v>1340</v>
      </c>
      <c r="E645" s="29" t="s">
        <v>1341</v>
      </c>
      <c r="F645" s="29" t="s">
        <v>33</v>
      </c>
      <c r="G645" s="30" t="s">
        <v>34</v>
      </c>
      <c r="H645" s="31">
        <v>16324399.5499787</v>
      </c>
      <c r="I645" s="31">
        <v>7731876.5499787303</v>
      </c>
      <c r="J645" s="32">
        <v>1.7300000190734901</v>
      </c>
      <c r="K645" s="33">
        <v>45700</v>
      </c>
      <c r="L645" s="31">
        <v>222300</v>
      </c>
      <c r="M645" s="32">
        <v>-9.1999999999999993</v>
      </c>
      <c r="N645" s="31" t="s">
        <v>35</v>
      </c>
      <c r="O645" s="33">
        <v>45699</v>
      </c>
      <c r="P645" s="34">
        <v>678097.125</v>
      </c>
      <c r="Q645" s="34">
        <v>1648019.25</v>
      </c>
      <c r="R645" s="34">
        <v>3181187.5</v>
      </c>
      <c r="S645" s="29"/>
      <c r="T645" s="33"/>
      <c r="U645" s="35" t="b">
        <v>1</v>
      </c>
      <c r="V645" s="35" t="b">
        <v>0</v>
      </c>
      <c r="W645" s="35" t="b">
        <v>0</v>
      </c>
      <c r="Y645" s="31" cm="1">
        <f t="array" ref="Y645">IF(LEFT(_xll.BDP($C645, VOLUME_AVG_10D), 4) = "#N/A", "",  _xll.BDP($C645, VOLUME_AVG_10D))</f>
        <v>683516.8125</v>
      </c>
      <c r="Z645" s="31" cm="1">
        <f t="array" ref="Z645">IF(LEFT(_xll.BDP($C645, VOLUME_AVG_30D), 4) = "#N/A", "",  _xll.BDP($C645, VOLUME_AVG_30D))</f>
        <v>678097.125</v>
      </c>
      <c r="AA645" s="31" cm="1">
        <f t="array" ref="AA645">IF(LEFT(_xll.BDP($C645, VOLUME_AVG_3M), 4) = "#N/A", "",  _xll.BDP($C645, VOLUME_AVG_3M))</f>
        <v>1648019.25</v>
      </c>
      <c r="AB645" s="31" cm="1">
        <f t="array" ref="AB645">IF(LEFT(_xll.BDP($C645, VOLUME_AVG_6M), 4) = "#N/A", "",  _xll.BDP($C645, VOLUME_AVG_6M))</f>
        <v>3181187.5</v>
      </c>
      <c r="AC645" s="31" cm="1">
        <f t="array" ref="AC645">IF(LEFT(_xll.BDP($C645, VOLUME_AVG_12M), 4) = "#N/A", "",  _xll.BDP($C645, VOLUME_AVG_12M))</f>
        <v>2389336</v>
      </c>
      <c r="AD645" s="41" cm="1">
        <f t="array" ref="AD645">IF(LEFT(_xll.BDP($C645, LAST_PRICE), 4) = "#N/A", "",  _xll.BDP($C645, LAST_PRICE))</f>
        <v>1.73</v>
      </c>
    </row>
    <row r="646" spans="1:30" x14ac:dyDescent="0.35">
      <c r="A646" s="1">
        <f t="shared" ref="A646:A709" si="10">IF(B646="","", A645+1)</f>
        <v>643</v>
      </c>
      <c r="B646" s="28">
        <v>45700</v>
      </c>
      <c r="C646" s="29" t="s">
        <v>1342</v>
      </c>
      <c r="D646" s="29" t="s">
        <v>1342</v>
      </c>
      <c r="E646" s="29" t="s">
        <v>1343</v>
      </c>
      <c r="F646" s="29" t="s">
        <v>33</v>
      </c>
      <c r="G646" s="30" t="s">
        <v>34</v>
      </c>
      <c r="H646" s="31">
        <v>1686557811.5801201</v>
      </c>
      <c r="I646" s="31">
        <v>1325172811.5801201</v>
      </c>
      <c r="J646" s="32">
        <v>2.78999996185303</v>
      </c>
      <c r="K646" s="33">
        <v>45700</v>
      </c>
      <c r="L646" s="31">
        <v>125283296</v>
      </c>
      <c r="M646" s="32">
        <v>3.88</v>
      </c>
      <c r="N646" s="31" t="s">
        <v>35</v>
      </c>
      <c r="O646" s="33">
        <v>45699</v>
      </c>
      <c r="P646" s="34">
        <v>12390079</v>
      </c>
      <c r="Q646" s="34">
        <v>10640748</v>
      </c>
      <c r="R646" s="34">
        <v>9349935</v>
      </c>
      <c r="S646" s="29" t="s">
        <v>46</v>
      </c>
      <c r="T646" s="33">
        <v>45446</v>
      </c>
      <c r="U646" s="35" t="b">
        <v>0</v>
      </c>
      <c r="V646" s="35" t="b">
        <v>0</v>
      </c>
      <c r="W646" s="35" t="b">
        <v>0</v>
      </c>
      <c r="Y646" s="31" cm="1">
        <f t="array" ref="Y646">IF(LEFT(_xll.BDP($C646, VOLUME_AVG_10D), 4) = "#N/A", "",  _xll.BDP($C646, VOLUME_AVG_10D))</f>
        <v>12579280</v>
      </c>
      <c r="Z646" s="31" cm="1">
        <f t="array" ref="Z646">IF(LEFT(_xll.BDP($C646, VOLUME_AVG_30D), 4) = "#N/A", "",  _xll.BDP($C646, VOLUME_AVG_30D))</f>
        <v>12390079</v>
      </c>
      <c r="AA646" s="31" cm="1">
        <f t="array" ref="AA646">IF(LEFT(_xll.BDP($C646, VOLUME_AVG_3M), 4) = "#N/A", "",  _xll.BDP($C646, VOLUME_AVG_3M))</f>
        <v>10640748</v>
      </c>
      <c r="AB646" s="31" cm="1">
        <f t="array" ref="AB646">IF(LEFT(_xll.BDP($C646, VOLUME_AVG_6M), 4) = "#N/A", "",  _xll.BDP($C646, VOLUME_AVG_6M))</f>
        <v>9349935</v>
      </c>
      <c r="AC646" s="31" cm="1">
        <f t="array" ref="AC646">IF(LEFT(_xll.BDP($C646, VOLUME_AVG_12M), 4) = "#N/A", "",  _xll.BDP($C646, VOLUME_AVG_12M))</f>
        <v>10999907</v>
      </c>
      <c r="AD646" s="41" cm="1">
        <f t="array" ref="AD646">IF(LEFT(_xll.BDP($C646, LAST_PRICE), 4) = "#N/A", "",  _xll.BDP($C646, LAST_PRICE))</f>
        <v>2.79</v>
      </c>
    </row>
    <row r="647" spans="1:30" x14ac:dyDescent="0.35">
      <c r="A647" s="1">
        <f t="shared" si="10"/>
        <v>644</v>
      </c>
      <c r="B647" s="28">
        <v>45700</v>
      </c>
      <c r="C647" s="29" t="s">
        <v>1344</v>
      </c>
      <c r="D647" s="29" t="s">
        <v>1344</v>
      </c>
      <c r="E647" s="29" t="s">
        <v>1345</v>
      </c>
      <c r="F647" s="29" t="s">
        <v>33</v>
      </c>
      <c r="G647" s="30" t="s">
        <v>34</v>
      </c>
      <c r="H647" s="31">
        <v>868394030</v>
      </c>
      <c r="I647" s="31">
        <v>707808030</v>
      </c>
      <c r="J647" s="32">
        <v>14</v>
      </c>
      <c r="K647" s="33">
        <v>45700</v>
      </c>
      <c r="L647" s="31"/>
      <c r="M647" s="32"/>
      <c r="N647" s="31"/>
      <c r="O647" s="33">
        <v>45699</v>
      </c>
      <c r="P647" s="34">
        <v>729022.3125</v>
      </c>
      <c r="Q647" s="34">
        <v>386579.875</v>
      </c>
      <c r="R647" s="34">
        <v>214884.203125</v>
      </c>
      <c r="S647" s="29"/>
      <c r="T647" s="33"/>
      <c r="U647" s="35" t="b">
        <v>0</v>
      </c>
      <c r="V647" s="35" t="b">
        <v>0</v>
      </c>
      <c r="W647" s="35" t="b">
        <v>0</v>
      </c>
      <c r="Y647" s="31" cm="1">
        <f t="array" ref="Y647">IF(LEFT(_xll.BDP($C647, VOLUME_AVG_10D), 4) = "#N/A", "",  _xll.BDP($C647, VOLUME_AVG_10D))</f>
        <v>1987154.25</v>
      </c>
      <c r="Z647" s="31" cm="1">
        <f t="array" ref="Z647">IF(LEFT(_xll.BDP($C647, VOLUME_AVG_30D), 4) = "#N/A", "",  _xll.BDP($C647, VOLUME_AVG_30D))</f>
        <v>729022.3125</v>
      </c>
      <c r="AA647" s="31" cm="1">
        <f t="array" ref="AA647">IF(LEFT(_xll.BDP($C647, VOLUME_AVG_3M), 4) = "#N/A", "",  _xll.BDP($C647, VOLUME_AVG_3M))</f>
        <v>386579.875</v>
      </c>
      <c r="AB647" s="31" cm="1">
        <f t="array" ref="AB647">IF(LEFT(_xll.BDP($C647, VOLUME_AVG_6M), 4) = "#N/A", "",  _xll.BDP($C647, VOLUME_AVG_6M))</f>
        <v>214884.203125</v>
      </c>
      <c r="AC647" s="31" cm="1">
        <f t="array" ref="AC647">IF(LEFT(_xll.BDP($C647, VOLUME_AVG_12M), 4) = "#N/A", "",  _xll.BDP($C647, VOLUME_AVG_12M))</f>
        <v>148706.015625</v>
      </c>
      <c r="AD647" s="41" cm="1">
        <f t="array" ref="AD647">IF(LEFT(_xll.BDP($C647, LAST_PRICE), 4) = "#N/A", "",  _xll.BDP($C647, LAST_PRICE))</f>
        <v>14</v>
      </c>
    </row>
    <row r="648" spans="1:30" x14ac:dyDescent="0.35">
      <c r="A648" s="1">
        <f t="shared" si="10"/>
        <v>645</v>
      </c>
      <c r="B648" s="28">
        <v>45700</v>
      </c>
      <c r="C648" s="29" t="s">
        <v>1346</v>
      </c>
      <c r="D648" s="29" t="s">
        <v>1346</v>
      </c>
      <c r="E648" s="29" t="s">
        <v>1347</v>
      </c>
      <c r="F648" s="29" t="s">
        <v>33</v>
      </c>
      <c r="G648" s="30" t="s">
        <v>34</v>
      </c>
      <c r="H648" s="31">
        <v>128751722644.02901</v>
      </c>
      <c r="I648" s="31"/>
      <c r="J648" s="32">
        <v>103.30999755859401</v>
      </c>
      <c r="K648" s="33">
        <v>45700</v>
      </c>
      <c r="L648" s="31">
        <v>449670208</v>
      </c>
      <c r="M648" s="32">
        <v>3.88</v>
      </c>
      <c r="N648" s="31" t="s">
        <v>35</v>
      </c>
      <c r="O648" s="33">
        <v>45699</v>
      </c>
      <c r="P648" s="34">
        <v>6641570</v>
      </c>
      <c r="Q648" s="34">
        <v>7002953</v>
      </c>
      <c r="R648" s="34">
        <v>6603771</v>
      </c>
      <c r="S648" s="29" t="s">
        <v>353</v>
      </c>
      <c r="T648" s="33">
        <v>45215</v>
      </c>
      <c r="U648" s="35" t="b">
        <v>0</v>
      </c>
      <c r="V648" s="35" t="b">
        <v>0</v>
      </c>
      <c r="W648" s="35" t="b">
        <v>1</v>
      </c>
      <c r="Y648" s="31" cm="1">
        <f t="array" ref="Y648">IF(LEFT(_xll.BDP($C648, VOLUME_AVG_10D), 4) = "#N/A", "",  _xll.BDP($C648, VOLUME_AVG_10D))</f>
        <v>7203403</v>
      </c>
      <c r="Z648" s="31" cm="1">
        <f t="array" ref="Z648">IF(LEFT(_xll.BDP($C648, VOLUME_AVG_30D), 4) = "#N/A", "",  _xll.BDP($C648, VOLUME_AVG_30D))</f>
        <v>6641570</v>
      </c>
      <c r="AA648" s="31" cm="1">
        <f t="array" ref="AA648">IF(LEFT(_xll.BDP($C648, VOLUME_AVG_3M), 4) = "#N/A", "",  _xll.BDP($C648, VOLUME_AVG_3M))</f>
        <v>7002953</v>
      </c>
      <c r="AB648" s="31" cm="1">
        <f t="array" ref="AB648">IF(LEFT(_xll.BDP($C648, VOLUME_AVG_6M), 4) = "#N/A", "",  _xll.BDP($C648, VOLUME_AVG_6M))</f>
        <v>6603771</v>
      </c>
      <c r="AC648" s="31" cm="1">
        <f t="array" ref="AC648">IF(LEFT(_xll.BDP($C648, VOLUME_AVG_12M), 4) = "#N/A", "",  _xll.BDP($C648, VOLUME_AVG_12M))</f>
        <v>6939492</v>
      </c>
      <c r="AD648" s="41" cm="1">
        <f t="array" ref="AD648">IF(LEFT(_xll.BDP($C648, LAST_PRICE), 4) = "#N/A", "",  _xll.BDP($C648, LAST_PRICE))</f>
        <v>103.31</v>
      </c>
    </row>
    <row r="649" spans="1:30" x14ac:dyDescent="0.35">
      <c r="A649" s="1">
        <f t="shared" si="10"/>
        <v>646</v>
      </c>
      <c r="B649" s="28">
        <v>45700</v>
      </c>
      <c r="C649" s="29" t="s">
        <v>1348</v>
      </c>
      <c r="D649" s="29" t="s">
        <v>1348</v>
      </c>
      <c r="E649" s="29" t="s">
        <v>1349</v>
      </c>
      <c r="F649" s="29" t="s">
        <v>33</v>
      </c>
      <c r="G649" s="30" t="s">
        <v>34</v>
      </c>
      <c r="H649" s="31">
        <v>7919940267.9067802</v>
      </c>
      <c r="I649" s="31">
        <v>7817222267.9067802</v>
      </c>
      <c r="J649" s="32">
        <v>143.63999938964801</v>
      </c>
      <c r="K649" s="33">
        <v>45700</v>
      </c>
      <c r="L649" s="31">
        <v>24106800</v>
      </c>
      <c r="M649" s="32">
        <v>3.88</v>
      </c>
      <c r="N649" s="31" t="s">
        <v>35</v>
      </c>
      <c r="O649" s="33">
        <v>45699</v>
      </c>
      <c r="P649" s="34">
        <v>541943.25</v>
      </c>
      <c r="Q649" s="34">
        <v>533596.4375</v>
      </c>
      <c r="R649" s="34">
        <v>532113.9375</v>
      </c>
      <c r="S649" s="29"/>
      <c r="T649" s="33"/>
      <c r="U649" s="35" t="b">
        <v>0</v>
      </c>
      <c r="V649" s="35" t="b">
        <v>0</v>
      </c>
      <c r="W649" s="35" t="b">
        <v>0</v>
      </c>
      <c r="Y649" s="31" cm="1">
        <f t="array" ref="Y649">IF(LEFT(_xll.BDP($C649, VOLUME_AVG_10D), 4) = "#N/A", "",  _xll.BDP($C649, VOLUME_AVG_10D))</f>
        <v>452108.1875</v>
      </c>
      <c r="Z649" s="31" cm="1">
        <f t="array" ref="Z649">IF(LEFT(_xll.BDP($C649, VOLUME_AVG_30D), 4) = "#N/A", "",  _xll.BDP($C649, VOLUME_AVG_30D))</f>
        <v>541943.25</v>
      </c>
      <c r="AA649" s="31" cm="1">
        <f t="array" ref="AA649">IF(LEFT(_xll.BDP($C649, VOLUME_AVG_3M), 4) = "#N/A", "",  _xll.BDP($C649, VOLUME_AVG_3M))</f>
        <v>533596.4375</v>
      </c>
      <c r="AB649" s="31" cm="1">
        <f t="array" ref="AB649">IF(LEFT(_xll.BDP($C649, VOLUME_AVG_6M), 4) = "#N/A", "",  _xll.BDP($C649, VOLUME_AVG_6M))</f>
        <v>532113.9375</v>
      </c>
      <c r="AC649" s="31" cm="1">
        <f t="array" ref="AC649">IF(LEFT(_xll.BDP($C649, VOLUME_AVG_12M), 4) = "#N/A", "",  _xll.BDP($C649, VOLUME_AVG_12M))</f>
        <v>531030.6875</v>
      </c>
      <c r="AD649" s="41" cm="1">
        <f t="array" ref="AD649">IF(LEFT(_xll.BDP($C649, LAST_PRICE), 4) = "#N/A", "",  _xll.BDP($C649, LAST_PRICE))</f>
        <v>143.63999999999999</v>
      </c>
    </row>
    <row r="650" spans="1:30" x14ac:dyDescent="0.35">
      <c r="A650" s="1">
        <f t="shared" si="10"/>
        <v>647</v>
      </c>
      <c r="B650" s="28">
        <v>45700</v>
      </c>
      <c r="C650" s="29" t="s">
        <v>1350</v>
      </c>
      <c r="D650" s="29" t="s">
        <v>1350</v>
      </c>
      <c r="E650" s="29" t="s">
        <v>1351</v>
      </c>
      <c r="F650" s="29" t="s">
        <v>40</v>
      </c>
      <c r="G650" s="30" t="s">
        <v>41</v>
      </c>
      <c r="H650" s="31">
        <v>38365.81</v>
      </c>
      <c r="I650" s="31">
        <v>100425.81</v>
      </c>
      <c r="J650" s="32">
        <v>0.01</v>
      </c>
      <c r="K650" s="33">
        <v>45700</v>
      </c>
      <c r="L650" s="31"/>
      <c r="M650" s="32"/>
      <c r="N650" s="31"/>
      <c r="O650" s="33">
        <v>45699</v>
      </c>
      <c r="P650" s="34">
        <v>516</v>
      </c>
      <c r="Q650" s="34">
        <v>955.35940000000005</v>
      </c>
      <c r="R650" s="34">
        <v>1762.6610000000001</v>
      </c>
      <c r="S650" s="29"/>
      <c r="T650" s="33"/>
      <c r="U650" s="35" t="b">
        <v>1</v>
      </c>
      <c r="V650" s="35" t="b">
        <v>1</v>
      </c>
      <c r="W650" s="35" t="b">
        <v>0</v>
      </c>
      <c r="Y650" s="31" cm="1">
        <f t="array" ref="Y650">IF(LEFT(_xll.BDP($C650, VOLUME_AVG_10D), 4) = "#N/A", "",  _xll.BDP($C650, VOLUME_AVG_10D))</f>
        <v>1434.2</v>
      </c>
      <c r="Z650" s="31" cm="1">
        <f t="array" ref="Z650">IF(LEFT(_xll.BDP($C650, VOLUME_AVG_30D), 4) = "#N/A", "",  _xll.BDP($C650, VOLUME_AVG_30D))</f>
        <v>516</v>
      </c>
      <c r="AA650" s="31" cm="1">
        <f t="array" ref="AA650">IF(LEFT(_xll.BDP($C650, VOLUME_AVG_3M), 4) = "#N/A", "",  _xll.BDP($C650, VOLUME_AVG_3M))</f>
        <v>955.35940000000005</v>
      </c>
      <c r="AB650" s="31" cm="1">
        <f t="array" ref="AB650">IF(LEFT(_xll.BDP($C650, VOLUME_AVG_6M), 4) = "#N/A", "",  _xll.BDP($C650, VOLUME_AVG_6M))</f>
        <v>1762.6610000000001</v>
      </c>
      <c r="AC650" s="31" cm="1">
        <f t="array" ref="AC650">IF(LEFT(_xll.BDP($C650, VOLUME_AVG_12M), 4) = "#N/A", "",  _xll.BDP($C650, VOLUME_AVG_12M))</f>
        <v>1609.444</v>
      </c>
      <c r="AD650" s="41" cm="1">
        <f t="array" ref="AD650">IF(LEFT(_xll.BDP($C650, LAST_PRICE), 4) = "#N/A", "",  _xll.BDP($C650, LAST_PRICE))</f>
        <v>0.01</v>
      </c>
    </row>
    <row r="651" spans="1:30" x14ac:dyDescent="0.35">
      <c r="A651" s="1">
        <f t="shared" si="10"/>
        <v>648</v>
      </c>
      <c r="B651" s="28">
        <v>45700</v>
      </c>
      <c r="C651" s="29" t="s">
        <v>1352</v>
      </c>
      <c r="D651" s="29" t="s">
        <v>1352</v>
      </c>
      <c r="E651" s="29" t="s">
        <v>1353</v>
      </c>
      <c r="F651" s="29" t="s">
        <v>33</v>
      </c>
      <c r="G651" s="30" t="s">
        <v>34</v>
      </c>
      <c r="H651" s="31"/>
      <c r="I651" s="31"/>
      <c r="J651" s="32"/>
      <c r="K651" s="33">
        <v>45700</v>
      </c>
      <c r="L651" s="31"/>
      <c r="M651" s="32"/>
      <c r="N651" s="31"/>
      <c r="O651" s="33">
        <v>45699</v>
      </c>
      <c r="P651" s="34"/>
      <c r="Q651" s="34">
        <v>48.387096405029297</v>
      </c>
      <c r="R651" s="34">
        <v>23.817461013793899</v>
      </c>
      <c r="S651" s="29"/>
      <c r="T651" s="33"/>
      <c r="U651" s="35" t="b">
        <v>1</v>
      </c>
      <c r="V651" s="35" t="b">
        <v>1</v>
      </c>
      <c r="W651" s="35" t="b">
        <v>1</v>
      </c>
      <c r="Y651" s="31" cm="1">
        <f t="array" ref="Y651">IF(LEFT(_xll.BDP($C651, VOLUME_AVG_10D), 4) = "#N/A", "",  _xll.BDP($C651, VOLUME_AVG_10D))</f>
        <v>0</v>
      </c>
      <c r="Z651" s="31" cm="1">
        <f t="array" ref="Z651">IF(LEFT(_xll.BDP($C651, VOLUME_AVG_30D), 4) = "#N/A", "",  _xll.BDP($C651, VOLUME_AVG_30D))</f>
        <v>0</v>
      </c>
      <c r="AA651" s="31" cm="1">
        <f t="array" ref="AA651">IF(LEFT(_xll.BDP($C651, VOLUME_AVG_3M), 4) = "#N/A", "",  _xll.BDP($C651, VOLUME_AVG_3M))</f>
        <v>48.387096405029297</v>
      </c>
      <c r="AB651" s="31" cm="1">
        <f t="array" ref="AB651">IF(LEFT(_xll.BDP($C651, VOLUME_AVG_6M), 4) = "#N/A", "",  _xll.BDP($C651, VOLUME_AVG_6M))</f>
        <v>23.817461013793945</v>
      </c>
      <c r="AC651" s="31" cm="1">
        <f t="array" ref="AC651">IF(LEFT(_xll.BDP($C651, VOLUME_AVG_12M), 4) = "#N/A", "",  _xll.BDP($C651, VOLUME_AVG_12M))</f>
        <v>11.956174850463867</v>
      </c>
      <c r="AD651" s="41" t="str" cm="1">
        <f t="array" ref="AD651">IF(LEFT(_xll.BDP($C651, LAST_PRICE), 4) = "#N/A", "",  _xll.BDP($C651, LAST_PRICE))</f>
        <v/>
      </c>
    </row>
    <row r="652" spans="1:30" x14ac:dyDescent="0.35">
      <c r="A652" s="1">
        <f t="shared" si="10"/>
        <v>649</v>
      </c>
      <c r="B652" s="28">
        <v>45700</v>
      </c>
      <c r="C652" s="29" t="s">
        <v>1354</v>
      </c>
      <c r="D652" s="29" t="s">
        <v>1354</v>
      </c>
      <c r="E652" s="29" t="s">
        <v>1355</v>
      </c>
      <c r="F652" s="29" t="s">
        <v>33</v>
      </c>
      <c r="G652" s="30" t="s">
        <v>34</v>
      </c>
      <c r="H652" s="31"/>
      <c r="I652" s="31"/>
      <c r="J652" s="32"/>
      <c r="K652" s="33">
        <v>45700</v>
      </c>
      <c r="L652" s="31"/>
      <c r="M652" s="32"/>
      <c r="N652" s="31"/>
      <c r="O652" s="33">
        <v>45699</v>
      </c>
      <c r="P652" s="34">
        <v>100</v>
      </c>
      <c r="Q652" s="34">
        <v>50</v>
      </c>
      <c r="R652" s="34">
        <v>42.857143402099602</v>
      </c>
      <c r="S652" s="29"/>
      <c r="T652" s="33"/>
      <c r="U652" s="35" t="b">
        <v>1</v>
      </c>
      <c r="V652" s="35" t="b">
        <v>1</v>
      </c>
      <c r="W652" s="35" t="b">
        <v>1</v>
      </c>
      <c r="Y652" s="31" cm="1">
        <f t="array" ref="Y652">IF(LEFT(_xll.BDP($C652, VOLUME_AVG_10D), 4) = "#N/A", "",  _xll.BDP($C652, VOLUME_AVG_10D))</f>
        <v>0</v>
      </c>
      <c r="Z652" s="31" cm="1">
        <f t="array" ref="Z652">IF(LEFT(_xll.BDP($C652, VOLUME_AVG_30D), 4) = "#N/A", "",  _xll.BDP($C652, VOLUME_AVG_30D))</f>
        <v>100</v>
      </c>
      <c r="AA652" s="31" cm="1">
        <f t="array" ref="AA652">IF(LEFT(_xll.BDP($C652, VOLUME_AVG_3M), 4) = "#N/A", "",  _xll.BDP($C652, VOLUME_AVG_3M))</f>
        <v>50</v>
      </c>
      <c r="AB652" s="31" cm="1">
        <f t="array" ref="AB652">IF(LEFT(_xll.BDP($C652, VOLUME_AVG_6M), 4) = "#N/A", "",  _xll.BDP($C652, VOLUME_AVG_6M))</f>
        <v>42.857143402099609</v>
      </c>
      <c r="AC652" s="31" cm="1">
        <f t="array" ref="AC652">IF(LEFT(_xll.BDP($C652, VOLUME_AVG_12M), 4) = "#N/A", "",  _xll.BDP($C652, VOLUME_AVG_12M))</f>
        <v>67.059761047363281</v>
      </c>
      <c r="AD652" s="41" cm="1">
        <f t="array" ref="AD652">IF(LEFT(_xll.BDP($C652, LAST_PRICE), 4) = "#N/A", "",  _xll.BDP($C652, LAST_PRICE))</f>
        <v>9.9999999999999995E-7</v>
      </c>
    </row>
    <row r="653" spans="1:30" x14ac:dyDescent="0.35">
      <c r="A653" s="1">
        <f t="shared" si="10"/>
        <v>650</v>
      </c>
      <c r="B653" s="28">
        <v>45700</v>
      </c>
      <c r="C653" s="29" t="s">
        <v>1356</v>
      </c>
      <c r="D653" s="29" t="s">
        <v>1356</v>
      </c>
      <c r="E653" s="29" t="s">
        <v>1357</v>
      </c>
      <c r="F653" s="29" t="s">
        <v>33</v>
      </c>
      <c r="G653" s="30" t="s">
        <v>34</v>
      </c>
      <c r="H653" s="31">
        <v>372331.72618480702</v>
      </c>
      <c r="I653" s="31">
        <v>6907364.2261848096</v>
      </c>
      <c r="J653" s="32">
        <v>3.0000001424923501E-4</v>
      </c>
      <c r="K653" s="33">
        <v>45700</v>
      </c>
      <c r="L653" s="31"/>
      <c r="M653" s="32"/>
      <c r="N653" s="31"/>
      <c r="O653" s="33">
        <v>45699</v>
      </c>
      <c r="P653" s="34">
        <v>3671266.5</v>
      </c>
      <c r="Q653" s="34">
        <v>3590829.75</v>
      </c>
      <c r="R653" s="34">
        <v>8883816</v>
      </c>
      <c r="S653" s="29"/>
      <c r="T653" s="33"/>
      <c r="U653" s="35" t="b">
        <v>1</v>
      </c>
      <c r="V653" s="35" t="b">
        <v>1</v>
      </c>
      <c r="W653" s="35" t="b">
        <v>0</v>
      </c>
      <c r="Y653" s="31" cm="1">
        <f t="array" ref="Y653">IF(LEFT(_xll.BDP($C653, VOLUME_AVG_10D), 4) = "#N/A", "",  _xll.BDP($C653, VOLUME_AVG_10D))</f>
        <v>3113303.25</v>
      </c>
      <c r="Z653" s="31" cm="1">
        <f t="array" ref="Z653">IF(LEFT(_xll.BDP($C653, VOLUME_AVG_30D), 4) = "#N/A", "",  _xll.BDP($C653, VOLUME_AVG_30D))</f>
        <v>3671266.5</v>
      </c>
      <c r="AA653" s="31" cm="1">
        <f t="array" ref="AA653">IF(LEFT(_xll.BDP($C653, VOLUME_AVG_3M), 4) = "#N/A", "",  _xll.BDP($C653, VOLUME_AVG_3M))</f>
        <v>3590829.75</v>
      </c>
      <c r="AB653" s="31" cm="1">
        <f t="array" ref="AB653">IF(LEFT(_xll.BDP($C653, VOLUME_AVG_6M), 4) = "#N/A", "",  _xll.BDP($C653, VOLUME_AVG_6M))</f>
        <v>8883816</v>
      </c>
      <c r="AC653" s="31" cm="1">
        <f t="array" ref="AC653">IF(LEFT(_xll.BDP($C653, VOLUME_AVG_12M), 4) = "#N/A", "",  _xll.BDP($C653, VOLUME_AVG_12M))</f>
        <v>7664758.5</v>
      </c>
      <c r="AD653" s="41" cm="1">
        <f t="array" ref="AD653">IF(LEFT(_xll.BDP($C653, LAST_PRICE), 4) = "#N/A", "",  _xll.BDP($C653, LAST_PRICE))</f>
        <v>2.9999999999999997E-4</v>
      </c>
    </row>
    <row r="654" spans="1:30" x14ac:dyDescent="0.35">
      <c r="A654" s="1">
        <f t="shared" si="10"/>
        <v>651</v>
      </c>
      <c r="B654" s="28">
        <v>45700</v>
      </c>
      <c r="C654" s="29" t="s">
        <v>1358</v>
      </c>
      <c r="D654" s="29" t="s">
        <v>1358</v>
      </c>
      <c r="E654" s="29" t="s">
        <v>1359</v>
      </c>
      <c r="F654" s="29" t="s">
        <v>33</v>
      </c>
      <c r="G654" s="30" t="s">
        <v>34</v>
      </c>
      <c r="H654" s="31">
        <v>11439418692.3048</v>
      </c>
      <c r="I654" s="31">
        <v>11380831692.3048</v>
      </c>
      <c r="J654" s="32">
        <v>84.010002136230497</v>
      </c>
      <c r="K654" s="33">
        <v>45700</v>
      </c>
      <c r="L654" s="31">
        <v>43421800</v>
      </c>
      <c r="M654" s="32">
        <v>3.88</v>
      </c>
      <c r="N654" s="31" t="s">
        <v>35</v>
      </c>
      <c r="O654" s="33">
        <v>45699</v>
      </c>
      <c r="P654" s="34">
        <v>1229327.875</v>
      </c>
      <c r="Q654" s="34">
        <v>1081262.5</v>
      </c>
      <c r="R654" s="34">
        <v>943881.9375</v>
      </c>
      <c r="S654" s="29"/>
      <c r="T654" s="33"/>
      <c r="U654" s="35" t="b">
        <v>0</v>
      </c>
      <c r="V654" s="35" t="b">
        <v>0</v>
      </c>
      <c r="W654" s="35" t="b">
        <v>0</v>
      </c>
      <c r="Y654" s="31" cm="1">
        <f t="array" ref="Y654">IF(LEFT(_xll.BDP($C654, VOLUME_AVG_10D), 4) = "#N/A", "",  _xll.BDP($C654, VOLUME_AVG_10D))</f>
        <v>1345860.25</v>
      </c>
      <c r="Z654" s="31" cm="1">
        <f t="array" ref="Z654">IF(LEFT(_xll.BDP($C654, VOLUME_AVG_30D), 4) = "#N/A", "",  _xll.BDP($C654, VOLUME_AVG_30D))</f>
        <v>1229327.875</v>
      </c>
      <c r="AA654" s="31" cm="1">
        <f t="array" ref="AA654">IF(LEFT(_xll.BDP($C654, VOLUME_AVG_3M), 4) = "#N/A", "",  _xll.BDP($C654, VOLUME_AVG_3M))</f>
        <v>1081262.5</v>
      </c>
      <c r="AB654" s="31" cm="1">
        <f t="array" ref="AB654">IF(LEFT(_xll.BDP($C654, VOLUME_AVG_6M), 4) = "#N/A", "",  _xll.BDP($C654, VOLUME_AVG_6M))</f>
        <v>943881.9375</v>
      </c>
      <c r="AC654" s="31" cm="1">
        <f t="array" ref="AC654">IF(LEFT(_xll.BDP($C654, VOLUME_AVG_12M), 4) = "#N/A", "",  _xll.BDP($C654, VOLUME_AVG_12M))</f>
        <v>998008.8125</v>
      </c>
      <c r="AD654" s="41" cm="1">
        <f t="array" ref="AD654">IF(LEFT(_xll.BDP($C654, LAST_PRICE), 4) = "#N/A", "",  _xll.BDP($C654, LAST_PRICE))</f>
        <v>84.01</v>
      </c>
    </row>
    <row r="655" spans="1:30" x14ac:dyDescent="0.35">
      <c r="A655" s="1">
        <f t="shared" si="10"/>
        <v>652</v>
      </c>
      <c r="B655" s="28">
        <v>45700</v>
      </c>
      <c r="C655" s="29" t="s">
        <v>1360</v>
      </c>
      <c r="D655" s="29" t="s">
        <v>1360</v>
      </c>
      <c r="E655" s="29" t="s">
        <v>1361</v>
      </c>
      <c r="F655" s="29" t="s">
        <v>33</v>
      </c>
      <c r="G655" s="30" t="s">
        <v>34</v>
      </c>
      <c r="H655" s="31">
        <v>5522851.2989974003</v>
      </c>
      <c r="I655" s="31">
        <v>5438851.2989974003</v>
      </c>
      <c r="J655" s="32">
        <v>0.53039997816085804</v>
      </c>
      <c r="K655" s="33">
        <v>45700</v>
      </c>
      <c r="L655" s="31">
        <v>712700</v>
      </c>
      <c r="M655" s="32">
        <v>-97.1</v>
      </c>
      <c r="N655" s="31" t="s">
        <v>35</v>
      </c>
      <c r="O655" s="33">
        <v>45699</v>
      </c>
      <c r="P655" s="34">
        <v>6611959.5</v>
      </c>
      <c r="Q655" s="34">
        <v>3220863.75</v>
      </c>
      <c r="R655" s="34">
        <v>1586864.5</v>
      </c>
      <c r="S655" s="29"/>
      <c r="T655" s="33"/>
      <c r="U655" s="35" t="b">
        <v>1</v>
      </c>
      <c r="V655" s="35" t="b">
        <v>0</v>
      </c>
      <c r="W655" s="35" t="b">
        <v>0</v>
      </c>
      <c r="Y655" s="31" cm="1">
        <f t="array" ref="Y655">IF(LEFT(_xll.BDP($C655, VOLUME_AVG_10D), 4) = "#N/A", "",  _xll.BDP($C655, VOLUME_AVG_10D))</f>
        <v>6616178</v>
      </c>
      <c r="Z655" s="31" cm="1">
        <f t="array" ref="Z655">IF(LEFT(_xll.BDP($C655, VOLUME_AVG_30D), 4) = "#N/A", "",  _xll.BDP($C655, VOLUME_AVG_30D))</f>
        <v>6611959.5</v>
      </c>
      <c r="AA655" s="31" cm="1">
        <f t="array" ref="AA655">IF(LEFT(_xll.BDP($C655, VOLUME_AVG_3M), 4) = "#N/A", "",  _xll.BDP($C655, VOLUME_AVG_3M))</f>
        <v>3220863.75</v>
      </c>
      <c r="AB655" s="31" cm="1">
        <f t="array" ref="AB655">IF(LEFT(_xll.BDP($C655, VOLUME_AVG_6M), 4) = "#N/A", "",  _xll.BDP($C655, VOLUME_AVG_6M))</f>
        <v>1586864.5</v>
      </c>
      <c r="AC655" s="31" cm="1">
        <f t="array" ref="AC655">IF(LEFT(_xll.BDP($C655, VOLUME_AVG_12M), 4) = "#N/A", "",  _xll.BDP($C655, VOLUME_AVG_12M))</f>
        <v>797318.4375</v>
      </c>
      <c r="AD655" s="41" cm="1">
        <f t="array" ref="AD655">IF(LEFT(_xll.BDP($C655, LAST_PRICE), 4) = "#N/A", "",  _xll.BDP($C655, LAST_PRICE))</f>
        <v>0.53039999999999998</v>
      </c>
    </row>
    <row r="656" spans="1:30" x14ac:dyDescent="0.35">
      <c r="A656" s="1">
        <f t="shared" si="10"/>
        <v>653</v>
      </c>
      <c r="B656" s="28">
        <v>45700</v>
      </c>
      <c r="C656" s="29" t="s">
        <v>1362</v>
      </c>
      <c r="D656" s="29" t="s">
        <v>1362</v>
      </c>
      <c r="E656" s="29" t="s">
        <v>1363</v>
      </c>
      <c r="F656" s="29" t="s">
        <v>33</v>
      </c>
      <c r="G656" s="30" t="s">
        <v>34</v>
      </c>
      <c r="H656" s="31">
        <v>16752931.4551198</v>
      </c>
      <c r="I656" s="31">
        <v>2623400.45511979</v>
      </c>
      <c r="J656" s="32">
        <v>0.25979998707771301</v>
      </c>
      <c r="K656" s="33">
        <v>45700</v>
      </c>
      <c r="L656" s="31">
        <v>2464200</v>
      </c>
      <c r="M656" s="32">
        <v>-11.05</v>
      </c>
      <c r="N656" s="31" t="s">
        <v>35</v>
      </c>
      <c r="O656" s="33">
        <v>45699</v>
      </c>
      <c r="P656" s="34">
        <v>355162.125</v>
      </c>
      <c r="Q656" s="34">
        <v>798890.6875</v>
      </c>
      <c r="R656" s="34">
        <v>10317782</v>
      </c>
      <c r="S656" s="29" t="s">
        <v>46</v>
      </c>
      <c r="T656" s="33">
        <v>45446</v>
      </c>
      <c r="U656" s="35" t="b">
        <v>1</v>
      </c>
      <c r="V656" s="35" t="b">
        <v>0</v>
      </c>
      <c r="W656" s="35" t="b">
        <v>0</v>
      </c>
      <c r="Y656" s="31" cm="1">
        <f t="array" ref="Y656">IF(LEFT(_xll.BDP($C656, VOLUME_AVG_10D), 4) = "#N/A", "",  _xll.BDP($C656, VOLUME_AVG_10D))</f>
        <v>333284.5</v>
      </c>
      <c r="Z656" s="31" cm="1">
        <f t="array" ref="Z656">IF(LEFT(_xll.BDP($C656, VOLUME_AVG_30D), 4) = "#N/A", "",  _xll.BDP($C656, VOLUME_AVG_30D))</f>
        <v>355162.125</v>
      </c>
      <c r="AA656" s="31" cm="1">
        <f t="array" ref="AA656">IF(LEFT(_xll.BDP($C656, VOLUME_AVG_3M), 4) = "#N/A", "",  _xll.BDP($C656, VOLUME_AVG_3M))</f>
        <v>798890.6875</v>
      </c>
      <c r="AB656" s="31" cm="1">
        <f t="array" ref="AB656">IF(LEFT(_xll.BDP($C656, VOLUME_AVG_6M), 4) = "#N/A", "",  _xll.BDP($C656, VOLUME_AVG_6M))</f>
        <v>10317782</v>
      </c>
      <c r="AC656" s="31" cm="1">
        <f t="array" ref="AC656">IF(LEFT(_xll.BDP($C656, VOLUME_AVG_12M), 4) = "#N/A", "",  _xll.BDP($C656, VOLUME_AVG_12M))</f>
        <v>6482229</v>
      </c>
      <c r="AD656" s="41" cm="1">
        <f t="array" ref="AD656">IF(LEFT(_xll.BDP($C656, LAST_PRICE), 4) = "#N/A", "",  _xll.BDP($C656, LAST_PRICE))</f>
        <v>0.25979999999999998</v>
      </c>
    </row>
    <row r="657" spans="1:30" x14ac:dyDescent="0.35">
      <c r="A657" s="1">
        <f t="shared" si="10"/>
        <v>654</v>
      </c>
      <c r="B657" s="28">
        <v>45700</v>
      </c>
      <c r="C657" s="29" t="s">
        <v>1364</v>
      </c>
      <c r="D657" s="29" t="s">
        <v>1364</v>
      </c>
      <c r="E657" s="29" t="s">
        <v>1365</v>
      </c>
      <c r="F657" s="29" t="s">
        <v>33</v>
      </c>
      <c r="G657" s="30" t="s">
        <v>34</v>
      </c>
      <c r="H657" s="31">
        <v>1860236777.29598</v>
      </c>
      <c r="I657" s="31">
        <v>1981026777.29598</v>
      </c>
      <c r="J657" s="32">
        <v>4.8299999237060502</v>
      </c>
      <c r="K657" s="33">
        <v>45700</v>
      </c>
      <c r="L657" s="31">
        <v>15527300</v>
      </c>
      <c r="M657" s="32">
        <v>3.8</v>
      </c>
      <c r="N657" s="31" t="s">
        <v>35</v>
      </c>
      <c r="O657" s="33">
        <v>45699</v>
      </c>
      <c r="P657" s="34">
        <v>1082073.125</v>
      </c>
      <c r="Q657" s="34">
        <v>1317969.25</v>
      </c>
      <c r="R657" s="34">
        <v>1281566.5</v>
      </c>
      <c r="S657" s="29"/>
      <c r="T657" s="33"/>
      <c r="U657" s="35" t="b">
        <v>0</v>
      </c>
      <c r="V657" s="35" t="b">
        <v>0</v>
      </c>
      <c r="W657" s="35" t="b">
        <v>0</v>
      </c>
      <c r="Y657" s="31" cm="1">
        <f t="array" ref="Y657">IF(LEFT(_xll.BDP($C657, VOLUME_AVG_10D), 4) = "#N/A", "",  _xll.BDP($C657, VOLUME_AVG_10D))</f>
        <v>888301.8125</v>
      </c>
      <c r="Z657" s="31" cm="1">
        <f t="array" ref="Z657">IF(LEFT(_xll.BDP($C657, VOLUME_AVG_30D), 4) = "#N/A", "",  _xll.BDP($C657, VOLUME_AVG_30D))</f>
        <v>1082073.125</v>
      </c>
      <c r="AA657" s="31" cm="1">
        <f t="array" ref="AA657">IF(LEFT(_xll.BDP($C657, VOLUME_AVG_3M), 4) = "#N/A", "",  _xll.BDP($C657, VOLUME_AVG_3M))</f>
        <v>1317969.25</v>
      </c>
      <c r="AB657" s="31" cm="1">
        <f t="array" ref="AB657">IF(LEFT(_xll.BDP($C657, VOLUME_AVG_6M), 4) = "#N/A", "",  _xll.BDP($C657, VOLUME_AVG_6M))</f>
        <v>1281566.5</v>
      </c>
      <c r="AC657" s="31" cm="1">
        <f t="array" ref="AC657">IF(LEFT(_xll.BDP($C657, VOLUME_AVG_12M), 4) = "#N/A", "",  _xll.BDP($C657, VOLUME_AVG_12M))</f>
        <v>1348581.5</v>
      </c>
      <c r="AD657" s="41" cm="1">
        <f t="array" ref="AD657">IF(LEFT(_xll.BDP($C657, LAST_PRICE), 4) = "#N/A", "",  _xll.BDP($C657, LAST_PRICE))</f>
        <v>4.83</v>
      </c>
    </row>
    <row r="658" spans="1:30" x14ac:dyDescent="0.35">
      <c r="A658" s="1">
        <f t="shared" si="10"/>
        <v>655</v>
      </c>
      <c r="B658" s="28">
        <v>45700</v>
      </c>
      <c r="C658" s="29" t="s">
        <v>1366</v>
      </c>
      <c r="D658" s="29" t="s">
        <v>1366</v>
      </c>
      <c r="E658" s="29" t="s">
        <v>1367</v>
      </c>
      <c r="F658" s="29" t="s">
        <v>33</v>
      </c>
      <c r="G658" s="30" t="s">
        <v>34</v>
      </c>
      <c r="H658" s="31">
        <v>287787249.66786897</v>
      </c>
      <c r="I658" s="31">
        <v>164379249.667869</v>
      </c>
      <c r="J658" s="32">
        <v>1.2699999809265099</v>
      </c>
      <c r="K658" s="33">
        <v>45700</v>
      </c>
      <c r="L658" s="31">
        <v>26343800</v>
      </c>
      <c r="M658" s="32">
        <v>3.55</v>
      </c>
      <c r="N658" s="31" t="s">
        <v>35</v>
      </c>
      <c r="O658" s="33">
        <v>45699</v>
      </c>
      <c r="P658" s="34">
        <v>1106371.375</v>
      </c>
      <c r="Q658" s="34">
        <v>1480282.5</v>
      </c>
      <c r="R658" s="34">
        <v>1139930.75</v>
      </c>
      <c r="S658" s="29" t="s">
        <v>164</v>
      </c>
      <c r="T658" s="33">
        <v>45446</v>
      </c>
      <c r="U658" s="35" t="b">
        <v>0</v>
      </c>
      <c r="V658" s="35" t="b">
        <v>0</v>
      </c>
      <c r="W658" s="35" t="b">
        <v>0</v>
      </c>
      <c r="Y658" s="31" cm="1">
        <f t="array" ref="Y658">IF(LEFT(_xll.BDP($C658, VOLUME_AVG_10D), 4) = "#N/A", "",  _xll.BDP($C658, VOLUME_AVG_10D))</f>
        <v>1374261.125</v>
      </c>
      <c r="Z658" s="31" cm="1">
        <f t="array" ref="Z658">IF(LEFT(_xll.BDP($C658, VOLUME_AVG_30D), 4) = "#N/A", "",  _xll.BDP($C658, VOLUME_AVG_30D))</f>
        <v>1106371.375</v>
      </c>
      <c r="AA658" s="31" cm="1">
        <f t="array" ref="AA658">IF(LEFT(_xll.BDP($C658, VOLUME_AVG_3M), 4) = "#N/A", "",  _xll.BDP($C658, VOLUME_AVG_3M))</f>
        <v>1480282.5</v>
      </c>
      <c r="AB658" s="31" cm="1">
        <f t="array" ref="AB658">IF(LEFT(_xll.BDP($C658, VOLUME_AVG_6M), 4) = "#N/A", "",  _xll.BDP($C658, VOLUME_AVG_6M))</f>
        <v>1139930.75</v>
      </c>
      <c r="AC658" s="31" cm="1">
        <f t="array" ref="AC658">IF(LEFT(_xll.BDP($C658, VOLUME_AVG_12M), 4) = "#N/A", "",  _xll.BDP($C658, VOLUME_AVG_12M))</f>
        <v>1545267.375</v>
      </c>
      <c r="AD658" s="41" cm="1">
        <f t="array" ref="AD658">IF(LEFT(_xll.BDP($C658, LAST_PRICE), 4) = "#N/A", "",  _xll.BDP($C658, LAST_PRICE))</f>
        <v>1.27</v>
      </c>
    </row>
    <row r="659" spans="1:30" x14ac:dyDescent="0.35">
      <c r="A659" s="1">
        <f t="shared" si="10"/>
        <v>656</v>
      </c>
      <c r="B659" s="28">
        <v>45700</v>
      </c>
      <c r="C659" s="29" t="s">
        <v>1368</v>
      </c>
      <c r="D659" s="29" t="s">
        <v>1368</v>
      </c>
      <c r="E659" s="29" t="s">
        <v>1369</v>
      </c>
      <c r="F659" s="29" t="s">
        <v>33</v>
      </c>
      <c r="G659" s="30" t="s">
        <v>34</v>
      </c>
      <c r="H659" s="31">
        <v>35236016.007987499</v>
      </c>
      <c r="I659" s="31">
        <v>18249124.007987499</v>
      </c>
      <c r="J659" s="32">
        <v>3.4749999046325701</v>
      </c>
      <c r="K659" s="33">
        <v>45700</v>
      </c>
      <c r="L659" s="31">
        <v>620300</v>
      </c>
      <c r="M659" s="32">
        <v>-13.9</v>
      </c>
      <c r="N659" s="31" t="s">
        <v>35</v>
      </c>
      <c r="O659" s="33">
        <v>45699</v>
      </c>
      <c r="P659" s="34">
        <v>125153.8984375</v>
      </c>
      <c r="Q659" s="34">
        <v>91749.8359375</v>
      </c>
      <c r="R659" s="34">
        <v>61271.421875</v>
      </c>
      <c r="S659" s="29"/>
      <c r="T659" s="33"/>
      <c r="U659" s="35" t="b">
        <v>0</v>
      </c>
      <c r="V659" s="35" t="b">
        <v>0</v>
      </c>
      <c r="W659" s="35" t="b">
        <v>0</v>
      </c>
      <c r="Y659" s="31" cm="1">
        <f t="array" ref="Y659">IF(LEFT(_xll.BDP($C659, VOLUME_AVG_10D), 4) = "#N/A", "",  _xll.BDP($C659, VOLUME_AVG_10D))</f>
        <v>211235.09375</v>
      </c>
      <c r="Z659" s="31" cm="1">
        <f t="array" ref="Z659">IF(LEFT(_xll.BDP($C659, VOLUME_AVG_30D), 4) = "#N/A", "",  _xll.BDP($C659, VOLUME_AVG_30D))</f>
        <v>125153.8984375</v>
      </c>
      <c r="AA659" s="31" cm="1">
        <f t="array" ref="AA659">IF(LEFT(_xll.BDP($C659, VOLUME_AVG_3M), 4) = "#N/A", "",  _xll.BDP($C659, VOLUME_AVG_3M))</f>
        <v>91749.8359375</v>
      </c>
      <c r="AB659" s="31" cm="1">
        <f t="array" ref="AB659">IF(LEFT(_xll.BDP($C659, VOLUME_AVG_6M), 4) = "#N/A", "",  _xll.BDP($C659, VOLUME_AVG_6M))</f>
        <v>61271.421875</v>
      </c>
      <c r="AC659" s="31" cm="1">
        <f t="array" ref="AC659">IF(LEFT(_xll.BDP($C659, VOLUME_AVG_12M), 4) = "#N/A", "",  _xll.BDP($C659, VOLUME_AVG_12M))</f>
        <v>40564.27734375</v>
      </c>
      <c r="AD659" s="41" cm="1">
        <f t="array" ref="AD659">IF(LEFT(_xll.BDP($C659, LAST_PRICE), 4) = "#N/A", "",  _xll.BDP($C659, LAST_PRICE))</f>
        <v>3.4750000000000001</v>
      </c>
    </row>
    <row r="660" spans="1:30" x14ac:dyDescent="0.35">
      <c r="A660" s="1">
        <f t="shared" si="10"/>
        <v>657</v>
      </c>
      <c r="B660" s="28">
        <v>45700</v>
      </c>
      <c r="C660" s="29" t="s">
        <v>1370</v>
      </c>
      <c r="D660" s="29" t="s">
        <v>1370</v>
      </c>
      <c r="E660" s="29" t="s">
        <v>1371</v>
      </c>
      <c r="F660" s="29" t="s">
        <v>33</v>
      </c>
      <c r="G660" s="30" t="s">
        <v>34</v>
      </c>
      <c r="H660" s="31">
        <v>1319166252.3222201</v>
      </c>
      <c r="I660" s="31">
        <v>1306286252.3222201</v>
      </c>
      <c r="J660" s="32">
        <v>39.259998321533203</v>
      </c>
      <c r="K660" s="33">
        <v>45700</v>
      </c>
      <c r="L660" s="31">
        <v>243300</v>
      </c>
      <c r="M660" s="32">
        <v>-1.4</v>
      </c>
      <c r="N660" s="31" t="s">
        <v>35</v>
      </c>
      <c r="O660" s="33">
        <v>45699</v>
      </c>
      <c r="P660" s="34">
        <v>1030288.125</v>
      </c>
      <c r="Q660" s="34">
        <v>1031188.375</v>
      </c>
      <c r="R660" s="34">
        <v>887817.6875</v>
      </c>
      <c r="S660" s="29"/>
      <c r="T660" s="33"/>
      <c r="U660" s="35" t="b">
        <v>0</v>
      </c>
      <c r="V660" s="35" t="b">
        <v>0</v>
      </c>
      <c r="W660" s="35" t="b">
        <v>0</v>
      </c>
      <c r="Y660" s="31" cm="1">
        <f t="array" ref="Y660">IF(LEFT(_xll.BDP($C660, VOLUME_AVG_10D), 4) = "#N/A", "",  _xll.BDP($C660, VOLUME_AVG_10D))</f>
        <v>1135610.875</v>
      </c>
      <c r="Z660" s="31" cm="1">
        <f t="array" ref="Z660">IF(LEFT(_xll.BDP($C660, VOLUME_AVG_30D), 4) = "#N/A", "",  _xll.BDP($C660, VOLUME_AVG_30D))</f>
        <v>1030288.125</v>
      </c>
      <c r="AA660" s="31" cm="1">
        <f t="array" ref="AA660">IF(LEFT(_xll.BDP($C660, VOLUME_AVG_3M), 4) = "#N/A", "",  _xll.BDP($C660, VOLUME_AVG_3M))</f>
        <v>1031188.375</v>
      </c>
      <c r="AB660" s="31" cm="1">
        <f t="array" ref="AB660">IF(LEFT(_xll.BDP($C660, VOLUME_AVG_6M), 4) = "#N/A", "",  _xll.BDP($C660, VOLUME_AVG_6M))</f>
        <v>887817.6875</v>
      </c>
      <c r="AC660" s="31" t="str" cm="1">
        <f t="array" ref="AC660">IF(LEFT(_xll.BDP($C660, VOLUME_AVG_12M), 4) = "#N/A", "",  _xll.BDP($C660, VOLUME_AVG_12M))</f>
        <v/>
      </c>
      <c r="AD660" s="41" cm="1">
        <f t="array" ref="AD660">IF(LEFT(_xll.BDP($C660, LAST_PRICE), 4) = "#N/A", "",  _xll.BDP($C660, LAST_PRICE))</f>
        <v>39.26</v>
      </c>
    </row>
    <row r="661" spans="1:30" x14ac:dyDescent="0.35">
      <c r="A661" s="1">
        <f t="shared" si="10"/>
        <v>658</v>
      </c>
      <c r="B661" s="28">
        <v>45700</v>
      </c>
      <c r="C661" s="29" t="s">
        <v>1372</v>
      </c>
      <c r="D661" s="29" t="s">
        <v>1372</v>
      </c>
      <c r="E661" s="29" t="s">
        <v>1373</v>
      </c>
      <c r="F661" s="29" t="s">
        <v>33</v>
      </c>
      <c r="G661" s="30" t="s">
        <v>34</v>
      </c>
      <c r="H661" s="31">
        <v>502181.51159404003</v>
      </c>
      <c r="I661" s="31">
        <v>4566456.5115940403</v>
      </c>
      <c r="J661" s="32">
        <v>6.99999975040555E-4</v>
      </c>
      <c r="K661" s="33">
        <v>45700</v>
      </c>
      <c r="L661" s="31"/>
      <c r="M661" s="32"/>
      <c r="N661" s="31"/>
      <c r="O661" s="33">
        <v>45699</v>
      </c>
      <c r="P661" s="34">
        <v>508331.59375</v>
      </c>
      <c r="Q661" s="34">
        <v>465148.21875</v>
      </c>
      <c r="R661" s="34">
        <v>598170.4375</v>
      </c>
      <c r="S661" s="29"/>
      <c r="T661" s="33"/>
      <c r="U661" s="35" t="b">
        <v>1</v>
      </c>
      <c r="V661" s="35" t="b">
        <v>1</v>
      </c>
      <c r="W661" s="35" t="b">
        <v>0</v>
      </c>
      <c r="Y661" s="31" cm="1">
        <f t="array" ref="Y661">IF(LEFT(_xll.BDP($C661, VOLUME_AVG_10D), 4) = "#N/A", "",  _xll.BDP($C661, VOLUME_AVG_10D))</f>
        <v>423341.09375</v>
      </c>
      <c r="Z661" s="31" cm="1">
        <f t="array" ref="Z661">IF(LEFT(_xll.BDP($C661, VOLUME_AVG_30D), 4) = "#N/A", "",  _xll.BDP($C661, VOLUME_AVG_30D))</f>
        <v>508331.59375</v>
      </c>
      <c r="AA661" s="31" cm="1">
        <f t="array" ref="AA661">IF(LEFT(_xll.BDP($C661, VOLUME_AVG_3M), 4) = "#N/A", "",  _xll.BDP($C661, VOLUME_AVG_3M))</f>
        <v>465148.21875</v>
      </c>
      <c r="AB661" s="31" cm="1">
        <f t="array" ref="AB661">IF(LEFT(_xll.BDP($C661, VOLUME_AVG_6M), 4) = "#N/A", "",  _xll.BDP($C661, VOLUME_AVG_6M))</f>
        <v>598170.4375</v>
      </c>
      <c r="AC661" s="31" cm="1">
        <f t="array" ref="AC661">IF(LEFT(_xll.BDP($C661, VOLUME_AVG_12M), 4) = "#N/A", "",  _xll.BDP($C661, VOLUME_AVG_12M))</f>
        <v>581167.4375</v>
      </c>
      <c r="AD661" s="41" cm="1">
        <f t="array" ref="AD661">IF(LEFT(_xll.BDP($C661, LAST_PRICE), 4) = "#N/A", "",  _xll.BDP($C661, LAST_PRICE))</f>
        <v>6.9999999999999999E-4</v>
      </c>
    </row>
    <row r="662" spans="1:30" x14ac:dyDescent="0.35">
      <c r="A662" s="1">
        <f t="shared" si="10"/>
        <v>659</v>
      </c>
      <c r="B662" s="28">
        <v>45700</v>
      </c>
      <c r="C662" s="29" t="s">
        <v>1374</v>
      </c>
      <c r="D662" s="29" t="s">
        <v>1374</v>
      </c>
      <c r="E662" s="29" t="s">
        <v>1375</v>
      </c>
      <c r="F662" s="29" t="s">
        <v>40</v>
      </c>
      <c r="G662" s="30" t="s">
        <v>41</v>
      </c>
      <c r="H662" s="31">
        <v>2197253963.0850201</v>
      </c>
      <c r="I662" s="31">
        <v>1896586193.81846</v>
      </c>
      <c r="J662" s="32">
        <v>10.3800001144409</v>
      </c>
      <c r="K662" s="33">
        <v>45700</v>
      </c>
      <c r="L662" s="31"/>
      <c r="M662" s="32"/>
      <c r="N662" s="31"/>
      <c r="O662" s="33">
        <v>45699</v>
      </c>
      <c r="P662" s="34">
        <v>366088</v>
      </c>
      <c r="Q662" s="34">
        <v>434026</v>
      </c>
      <c r="R662" s="34">
        <v>364106.5</v>
      </c>
      <c r="S662" s="29"/>
      <c r="T662" s="33"/>
      <c r="U662" s="35" t="b">
        <v>0</v>
      </c>
      <c r="V662" s="35" t="b">
        <v>0</v>
      </c>
      <c r="W662" s="35" t="b">
        <v>0</v>
      </c>
      <c r="Y662" s="31" cm="1">
        <f t="array" ref="Y662">IF(LEFT(_xll.BDP($C662, VOLUME_AVG_10D), 4) = "#N/A", "",  _xll.BDP($C662, VOLUME_AVG_10D))</f>
        <v>417906.6</v>
      </c>
      <c r="Z662" s="31" cm="1">
        <f t="array" ref="Z662">IF(LEFT(_xll.BDP($C662, VOLUME_AVG_30D), 4) = "#N/A", "",  _xll.BDP($C662, VOLUME_AVG_30D))</f>
        <v>366088</v>
      </c>
      <c r="AA662" s="31" cm="1">
        <f t="array" ref="AA662">IF(LEFT(_xll.BDP($C662, VOLUME_AVG_3M), 4) = "#N/A", "",  _xll.BDP($C662, VOLUME_AVG_3M))</f>
        <v>434026</v>
      </c>
      <c r="AB662" s="31" cm="1">
        <f t="array" ref="AB662">IF(LEFT(_xll.BDP($C662, VOLUME_AVG_6M), 4) = "#N/A", "",  _xll.BDP($C662, VOLUME_AVG_6M))</f>
        <v>364106.5</v>
      </c>
      <c r="AC662" s="31" cm="1">
        <f t="array" ref="AC662">IF(LEFT(_xll.BDP($C662, VOLUME_AVG_12M), 4) = "#N/A", "",  _xll.BDP($C662, VOLUME_AVG_12M))</f>
        <v>341324.4</v>
      </c>
      <c r="AD662" s="41" cm="1">
        <f t="array" ref="AD662">IF(LEFT(_xll.BDP($C662, LAST_PRICE), 4) = "#N/A", "",  _xll.BDP($C662, LAST_PRICE))</f>
        <v>10.38</v>
      </c>
    </row>
    <row r="663" spans="1:30" x14ac:dyDescent="0.35">
      <c r="A663" s="1">
        <f t="shared" si="10"/>
        <v>660</v>
      </c>
      <c r="B663" s="28">
        <v>45700</v>
      </c>
      <c r="C663" s="29" t="s">
        <v>1376</v>
      </c>
      <c r="D663" s="29" t="s">
        <v>1376</v>
      </c>
      <c r="E663" s="29" t="s">
        <v>1377</v>
      </c>
      <c r="F663" s="29" t="s">
        <v>40</v>
      </c>
      <c r="G663" s="30" t="s">
        <v>41</v>
      </c>
      <c r="H663" s="31">
        <v>236180.19500000001</v>
      </c>
      <c r="I663" s="31">
        <v>2643066.4774691602</v>
      </c>
      <c r="J663" s="32">
        <v>5.0000000000000001E-3</v>
      </c>
      <c r="K663" s="33">
        <v>45700</v>
      </c>
      <c r="L663" s="31"/>
      <c r="M663" s="32"/>
      <c r="N663" s="31"/>
      <c r="O663" s="33">
        <v>45699</v>
      </c>
      <c r="P663" s="34">
        <v>484.83330000000001</v>
      </c>
      <c r="Q663" s="34">
        <v>9793.3909999999996</v>
      </c>
      <c r="R663" s="34">
        <v>6474.4960000000001</v>
      </c>
      <c r="S663" s="29"/>
      <c r="T663" s="33"/>
      <c r="U663" s="35" t="b">
        <v>1</v>
      </c>
      <c r="V663" s="35" t="b">
        <v>1</v>
      </c>
      <c r="W663" s="35" t="b">
        <v>0</v>
      </c>
      <c r="Y663" s="31" cm="1">
        <f t="array" ref="Y663">IF(LEFT(_xll.BDP($C663, VOLUME_AVG_10D), 4) = "#N/A", "",  _xll.BDP($C663, VOLUME_AVG_10D))</f>
        <v>100</v>
      </c>
      <c r="Z663" s="31" cm="1">
        <f t="array" ref="Z663">IF(LEFT(_xll.BDP($C663, VOLUME_AVG_30D), 4) = "#N/A", "",  _xll.BDP($C663, VOLUME_AVG_30D))</f>
        <v>484.83330000000001</v>
      </c>
      <c r="AA663" s="31" cm="1">
        <f t="array" ref="AA663">IF(LEFT(_xll.BDP($C663, VOLUME_AVG_3M), 4) = "#N/A", "",  _xll.BDP($C663, VOLUME_AVG_3M))</f>
        <v>9793.3909999999996</v>
      </c>
      <c r="AB663" s="31" cm="1">
        <f t="array" ref="AB663">IF(LEFT(_xll.BDP($C663, VOLUME_AVG_6M), 4) = "#N/A", "",  _xll.BDP($C663, VOLUME_AVG_6M))</f>
        <v>6474.4960000000001</v>
      </c>
      <c r="AC663" s="31" cm="1">
        <f t="array" ref="AC663">IF(LEFT(_xll.BDP($C663, VOLUME_AVG_12M), 4) = "#N/A", "",  _xll.BDP($C663, VOLUME_AVG_12M))</f>
        <v>6863.0559999999996</v>
      </c>
      <c r="AD663" s="41" cm="1">
        <f t="array" ref="AD663">IF(LEFT(_xll.BDP($C663, LAST_PRICE), 4) = "#N/A", "",  _xll.BDP($C663, LAST_PRICE))</f>
        <v>5.0000000000000001E-3</v>
      </c>
    </row>
    <row r="664" spans="1:30" x14ac:dyDescent="0.35">
      <c r="A664" s="1">
        <f t="shared" si="10"/>
        <v>661</v>
      </c>
      <c r="B664" s="28">
        <v>45700</v>
      </c>
      <c r="C664" s="29" t="s">
        <v>1378</v>
      </c>
      <c r="D664" s="29" t="s">
        <v>1378</v>
      </c>
      <c r="E664" s="29" t="s">
        <v>1379</v>
      </c>
      <c r="F664" s="29" t="s">
        <v>33</v>
      </c>
      <c r="G664" s="30" t="s">
        <v>34</v>
      </c>
      <c r="H664" s="31">
        <v>157341499.920001</v>
      </c>
      <c r="I664" s="31">
        <v>151519132.920001</v>
      </c>
      <c r="J664" s="32">
        <v>11.9700002670288</v>
      </c>
      <c r="K664" s="33">
        <v>45700</v>
      </c>
      <c r="L664" s="31">
        <v>49600</v>
      </c>
      <c r="M664" s="32">
        <v>-3.5</v>
      </c>
      <c r="N664" s="31" t="s">
        <v>35</v>
      </c>
      <c r="O664" s="33">
        <v>45699</v>
      </c>
      <c r="P664" s="34">
        <v>36735.69921875</v>
      </c>
      <c r="Q664" s="34">
        <v>33884.7265625</v>
      </c>
      <c r="R664" s="34">
        <v>31845.572265625</v>
      </c>
      <c r="S664" s="29"/>
      <c r="T664" s="33"/>
      <c r="U664" s="35" t="b">
        <v>0</v>
      </c>
      <c r="V664" s="35" t="b">
        <v>0</v>
      </c>
      <c r="W664" s="35" t="b">
        <v>0</v>
      </c>
      <c r="Y664" s="31" cm="1">
        <f t="array" ref="Y664">IF(LEFT(_xll.BDP($C664, VOLUME_AVG_10D), 4) = "#N/A", "",  _xll.BDP($C664, VOLUME_AVG_10D))</f>
        <v>21271.400390625</v>
      </c>
      <c r="Z664" s="31" cm="1">
        <f t="array" ref="Z664">IF(LEFT(_xll.BDP($C664, VOLUME_AVG_30D), 4) = "#N/A", "",  _xll.BDP($C664, VOLUME_AVG_30D))</f>
        <v>36735.69921875</v>
      </c>
      <c r="AA664" s="31" cm="1">
        <f t="array" ref="AA664">IF(LEFT(_xll.BDP($C664, VOLUME_AVG_3M), 4) = "#N/A", "",  _xll.BDP($C664, VOLUME_AVG_3M))</f>
        <v>33884.7265625</v>
      </c>
      <c r="AB664" s="31" cm="1">
        <f t="array" ref="AB664">IF(LEFT(_xll.BDP($C664, VOLUME_AVG_6M), 4) = "#N/A", "",  _xll.BDP($C664, VOLUME_AVG_6M))</f>
        <v>31845.572265625</v>
      </c>
      <c r="AC664" s="31" cm="1">
        <f t="array" ref="AC664">IF(LEFT(_xll.BDP($C664, VOLUME_AVG_12M), 4) = "#N/A", "",  _xll.BDP($C664, VOLUME_AVG_12M))</f>
        <v>40705.90234375</v>
      </c>
      <c r="AD664" s="41" cm="1">
        <f t="array" ref="AD664">IF(LEFT(_xll.BDP($C664, LAST_PRICE), 4) = "#N/A", "",  _xll.BDP($C664, LAST_PRICE))</f>
        <v>11.97</v>
      </c>
    </row>
    <row r="665" spans="1:30" x14ac:dyDescent="0.35">
      <c r="A665" s="1">
        <f t="shared" si="10"/>
        <v>662</v>
      </c>
      <c r="B665" s="28">
        <v>45700</v>
      </c>
      <c r="C665" s="29" t="s">
        <v>1380</v>
      </c>
      <c r="D665" s="29" t="s">
        <v>1380</v>
      </c>
      <c r="E665" s="29" t="s">
        <v>1381</v>
      </c>
      <c r="F665" s="29" t="s">
        <v>33</v>
      </c>
      <c r="G665" s="30" t="s">
        <v>34</v>
      </c>
      <c r="H665" s="31">
        <v>4913351.4064940196</v>
      </c>
      <c r="I665" s="31">
        <v>298351.40649402101</v>
      </c>
      <c r="J665" s="32">
        <v>0.55000001192092896</v>
      </c>
      <c r="K665" s="33">
        <v>45700</v>
      </c>
      <c r="L665" s="31">
        <v>168300</v>
      </c>
      <c r="M665" s="32">
        <v>-20.149999999999999</v>
      </c>
      <c r="N665" s="31" t="s">
        <v>35</v>
      </c>
      <c r="O665" s="33">
        <v>45699</v>
      </c>
      <c r="P665" s="34">
        <v>174155.5625</v>
      </c>
      <c r="Q665" s="34">
        <v>276639.1875</v>
      </c>
      <c r="R665" s="34">
        <v>2384954.5</v>
      </c>
      <c r="S665" s="29"/>
      <c r="T665" s="33"/>
      <c r="U665" s="35" t="b">
        <v>1</v>
      </c>
      <c r="V665" s="35" t="b">
        <v>0</v>
      </c>
      <c r="W665" s="35" t="b">
        <v>0</v>
      </c>
      <c r="Y665" s="31" cm="1">
        <f t="array" ref="Y665">IF(LEFT(_xll.BDP($C665, VOLUME_AVG_10D), 4) = "#N/A", "",  _xll.BDP($C665, VOLUME_AVG_10D))</f>
        <v>155426</v>
      </c>
      <c r="Z665" s="31" cm="1">
        <f t="array" ref="Z665">IF(LEFT(_xll.BDP($C665, VOLUME_AVG_30D), 4) = "#N/A", "",  _xll.BDP($C665, VOLUME_AVG_30D))</f>
        <v>174155.5625</v>
      </c>
      <c r="AA665" s="31" cm="1">
        <f t="array" ref="AA665">IF(LEFT(_xll.BDP($C665, VOLUME_AVG_3M), 4) = "#N/A", "",  _xll.BDP($C665, VOLUME_AVG_3M))</f>
        <v>276639.1875</v>
      </c>
      <c r="AB665" s="31" cm="1">
        <f t="array" ref="AB665">IF(LEFT(_xll.BDP($C665, VOLUME_AVG_6M), 4) = "#N/A", "",  _xll.BDP($C665, VOLUME_AVG_6M))</f>
        <v>2384954.5</v>
      </c>
      <c r="AC665" s="31" cm="1">
        <f t="array" ref="AC665">IF(LEFT(_xll.BDP($C665, VOLUME_AVG_12M), 4) = "#N/A", "",  _xll.BDP($C665, VOLUME_AVG_12M))</f>
        <v>1320980.125</v>
      </c>
      <c r="AD665" s="41" cm="1">
        <f t="array" ref="AD665">IF(LEFT(_xll.BDP($C665, LAST_PRICE), 4) = "#N/A", "",  _xll.BDP($C665, LAST_PRICE))</f>
        <v>0.55000000000000004</v>
      </c>
    </row>
    <row r="666" spans="1:30" x14ac:dyDescent="0.35">
      <c r="A666" s="1">
        <f t="shared" si="10"/>
        <v>663</v>
      </c>
      <c r="B666" s="28">
        <v>45700</v>
      </c>
      <c r="C666" s="29" t="s">
        <v>1382</v>
      </c>
      <c r="D666" s="29" t="s">
        <v>1382</v>
      </c>
      <c r="E666" s="29" t="s">
        <v>1383</v>
      </c>
      <c r="F666" s="29" t="s">
        <v>33</v>
      </c>
      <c r="G666" s="30" t="s">
        <v>34</v>
      </c>
      <c r="H666" s="31">
        <v>11918782.000373799</v>
      </c>
      <c r="I666" s="31">
        <v>5501782.0003738403</v>
      </c>
      <c r="J666" s="32">
        <v>2.1300001144409202</v>
      </c>
      <c r="K666" s="33">
        <v>45700</v>
      </c>
      <c r="L666" s="31">
        <v>80100</v>
      </c>
      <c r="M666" s="32">
        <v>-114.95</v>
      </c>
      <c r="N666" s="31" t="s">
        <v>35</v>
      </c>
      <c r="O666" s="33">
        <v>45699</v>
      </c>
      <c r="P666" s="34">
        <v>176713</v>
      </c>
      <c r="Q666" s="34">
        <v>450557.0625</v>
      </c>
      <c r="R666" s="34">
        <v>229966.234375</v>
      </c>
      <c r="S666" s="29"/>
      <c r="T666" s="33"/>
      <c r="U666" s="35" t="b">
        <v>1</v>
      </c>
      <c r="V666" s="35" t="b">
        <v>0</v>
      </c>
      <c r="W666" s="35" t="b">
        <v>0</v>
      </c>
      <c r="Y666" s="31" cm="1">
        <f t="array" ref="Y666">IF(LEFT(_xll.BDP($C666, VOLUME_AVG_10D), 4) = "#N/A", "",  _xll.BDP($C666, VOLUME_AVG_10D))</f>
        <v>27112.19921875</v>
      </c>
      <c r="Z666" s="31" cm="1">
        <f t="array" ref="Z666">IF(LEFT(_xll.BDP($C666, VOLUME_AVG_30D), 4) = "#N/A", "",  _xll.BDP($C666, VOLUME_AVG_30D))</f>
        <v>176713</v>
      </c>
      <c r="AA666" s="31" cm="1">
        <f t="array" ref="AA666">IF(LEFT(_xll.BDP($C666, VOLUME_AVG_3M), 4) = "#N/A", "",  _xll.BDP($C666, VOLUME_AVG_3M))</f>
        <v>450557.0625</v>
      </c>
      <c r="AB666" s="31" cm="1">
        <f t="array" ref="AB666">IF(LEFT(_xll.BDP($C666, VOLUME_AVG_6M), 4) = "#N/A", "",  _xll.BDP($C666, VOLUME_AVG_6M))</f>
        <v>229966.234375</v>
      </c>
      <c r="AC666" s="31" cm="1">
        <f t="array" ref="AC666">IF(LEFT(_xll.BDP($C666, VOLUME_AVG_12M), 4) = "#N/A", "",  _xll.BDP($C666, VOLUME_AVG_12M))</f>
        <v>466940.5625</v>
      </c>
      <c r="AD666" s="41" cm="1">
        <f t="array" ref="AD666">IF(LEFT(_xll.BDP($C666, LAST_PRICE), 4) = "#N/A", "",  _xll.BDP($C666, LAST_PRICE))</f>
        <v>2.13</v>
      </c>
    </row>
    <row r="667" spans="1:30" x14ac:dyDescent="0.35">
      <c r="A667" s="1">
        <f t="shared" si="10"/>
        <v>664</v>
      </c>
      <c r="B667" s="28">
        <v>45700</v>
      </c>
      <c r="C667" s="29" t="s">
        <v>1384</v>
      </c>
      <c r="D667" s="29" t="s">
        <v>1384</v>
      </c>
      <c r="E667" s="29" t="s">
        <v>1385</v>
      </c>
      <c r="F667" s="29" t="s">
        <v>33</v>
      </c>
      <c r="G667" s="30" t="s">
        <v>34</v>
      </c>
      <c r="H667" s="31">
        <v>7931980.5190566797</v>
      </c>
      <c r="I667" s="31">
        <v>16963980.5190567</v>
      </c>
      <c r="J667" s="32">
        <v>0.129999995231628</v>
      </c>
      <c r="K667" s="33">
        <v>45700</v>
      </c>
      <c r="L667" s="31">
        <v>68900</v>
      </c>
      <c r="M667" s="32">
        <v>3.3</v>
      </c>
      <c r="N667" s="31" t="s">
        <v>35</v>
      </c>
      <c r="O667" s="33">
        <v>45699</v>
      </c>
      <c r="P667" s="34">
        <v>8623.5</v>
      </c>
      <c r="Q667" s="34">
        <v>8578.5166015625</v>
      </c>
      <c r="R667" s="34">
        <v>9255.4521484375</v>
      </c>
      <c r="S667" s="29"/>
      <c r="T667" s="33"/>
      <c r="U667" s="35" t="b">
        <v>1</v>
      </c>
      <c r="V667" s="35" t="b">
        <v>0</v>
      </c>
      <c r="W667" s="35" t="b">
        <v>0</v>
      </c>
      <c r="Y667" s="31" cm="1">
        <f t="array" ref="Y667">IF(LEFT(_xll.BDP($C667, VOLUME_AVG_10D), 4) = "#N/A", "",  _xll.BDP($C667, VOLUME_AVG_10D))</f>
        <v>8893.7001953125</v>
      </c>
      <c r="Z667" s="31" cm="1">
        <f t="array" ref="Z667">IF(LEFT(_xll.BDP($C667, VOLUME_AVG_30D), 4) = "#N/A", "",  _xll.BDP($C667, VOLUME_AVG_30D))</f>
        <v>8623.5</v>
      </c>
      <c r="AA667" s="31" cm="1">
        <f t="array" ref="AA667">IF(LEFT(_xll.BDP($C667, VOLUME_AVG_3M), 4) = "#N/A", "",  _xll.BDP($C667, VOLUME_AVG_3M))</f>
        <v>8578.5166015625</v>
      </c>
      <c r="AB667" s="31" cm="1">
        <f t="array" ref="AB667">IF(LEFT(_xll.BDP($C667, VOLUME_AVG_6M), 4) = "#N/A", "",  _xll.BDP($C667, VOLUME_AVG_6M))</f>
        <v>9255.4521484375</v>
      </c>
      <c r="AC667" s="31" cm="1">
        <f t="array" ref="AC667">IF(LEFT(_xll.BDP($C667, VOLUME_AVG_12M), 4) = "#N/A", "",  _xll.BDP($C667, VOLUME_AVG_12M))</f>
        <v>15386.58984375</v>
      </c>
      <c r="AD667" s="41" cm="1">
        <f t="array" ref="AD667">IF(LEFT(_xll.BDP($C667, LAST_PRICE), 4) = "#N/A", "",  _xll.BDP($C667, LAST_PRICE))</f>
        <v>0.13</v>
      </c>
    </row>
    <row r="668" spans="1:30" x14ac:dyDescent="0.35">
      <c r="A668" s="1">
        <f t="shared" si="10"/>
        <v>665</v>
      </c>
      <c r="B668" s="28">
        <v>45700</v>
      </c>
      <c r="C668" s="29" t="s">
        <v>1386</v>
      </c>
      <c r="D668" s="29" t="s">
        <v>1386</v>
      </c>
      <c r="E668" s="29" t="s">
        <v>1387</v>
      </c>
      <c r="F668" s="29" t="s">
        <v>33</v>
      </c>
      <c r="G668" s="30" t="s">
        <v>34</v>
      </c>
      <c r="H668" s="31">
        <v>1086719052.3773201</v>
      </c>
      <c r="I668" s="31">
        <v>1098717052.3773201</v>
      </c>
      <c r="J668" s="32">
        <v>11.6199998855591</v>
      </c>
      <c r="K668" s="33">
        <v>45700</v>
      </c>
      <c r="L668" s="31">
        <v>64200</v>
      </c>
      <c r="M668" s="32">
        <v>-9.3000000000000007</v>
      </c>
      <c r="N668" s="31" t="s">
        <v>35</v>
      </c>
      <c r="O668" s="33">
        <v>45699</v>
      </c>
      <c r="P668" s="34">
        <v>90974</v>
      </c>
      <c r="Q668" s="34">
        <v>109977.40625</v>
      </c>
      <c r="R668" s="34">
        <v>78013.7890625</v>
      </c>
      <c r="S668" s="29"/>
      <c r="T668" s="33"/>
      <c r="U668" s="35" t="b">
        <v>0</v>
      </c>
      <c r="V668" s="35" t="b">
        <v>0</v>
      </c>
      <c r="W668" s="35" t="b">
        <v>0</v>
      </c>
      <c r="Y668" s="31" cm="1">
        <f t="array" ref="Y668">IF(LEFT(_xll.BDP($C668, VOLUME_AVG_10D), 4) = "#N/A", "",  _xll.BDP($C668, VOLUME_AVG_10D))</f>
        <v>55555.6015625</v>
      </c>
      <c r="Z668" s="31" cm="1">
        <f t="array" ref="Z668">IF(LEFT(_xll.BDP($C668, VOLUME_AVG_30D), 4) = "#N/A", "",  _xll.BDP($C668, VOLUME_AVG_30D))</f>
        <v>90974</v>
      </c>
      <c r="AA668" s="31" cm="1">
        <f t="array" ref="AA668">IF(LEFT(_xll.BDP($C668, VOLUME_AVG_3M), 4) = "#N/A", "",  _xll.BDP($C668, VOLUME_AVG_3M))</f>
        <v>109977.40625</v>
      </c>
      <c r="AB668" s="31" cm="1">
        <f t="array" ref="AB668">IF(LEFT(_xll.BDP($C668, VOLUME_AVG_6M), 4) = "#N/A", "",  _xll.BDP($C668, VOLUME_AVG_6M))</f>
        <v>78013.7890625</v>
      </c>
      <c r="AC668" s="31" cm="1">
        <f t="array" ref="AC668">IF(LEFT(_xll.BDP($C668, VOLUME_AVG_12M), 4) = "#N/A", "",  _xll.BDP($C668, VOLUME_AVG_12M))</f>
        <v>75085.71875</v>
      </c>
      <c r="AD668" s="41" cm="1">
        <f t="array" ref="AD668">IF(LEFT(_xll.BDP($C668, LAST_PRICE), 4) = "#N/A", "",  _xll.BDP($C668, LAST_PRICE))</f>
        <v>11.62</v>
      </c>
    </row>
    <row r="669" spans="1:30" x14ac:dyDescent="0.35">
      <c r="A669" s="1">
        <f t="shared" si="10"/>
        <v>666</v>
      </c>
      <c r="B669" s="28">
        <v>45700</v>
      </c>
      <c r="C669" s="29" t="s">
        <v>1388</v>
      </c>
      <c r="D669" s="29" t="s">
        <v>1388</v>
      </c>
      <c r="E669" s="29" t="s">
        <v>1389</v>
      </c>
      <c r="F669" s="29" t="s">
        <v>33</v>
      </c>
      <c r="G669" s="30" t="s">
        <v>34</v>
      </c>
      <c r="H669" s="31">
        <v>3080059109.4506602</v>
      </c>
      <c r="I669" s="31">
        <v>3984050109.4506602</v>
      </c>
      <c r="J669" s="32">
        <v>61.310001373291001</v>
      </c>
      <c r="K669" s="33">
        <v>45700</v>
      </c>
      <c r="L669" s="31">
        <v>17701900</v>
      </c>
      <c r="M669" s="32">
        <v>3.88</v>
      </c>
      <c r="N669" s="31" t="s">
        <v>35</v>
      </c>
      <c r="O669" s="33">
        <v>45699</v>
      </c>
      <c r="P669" s="34">
        <v>950560.9375</v>
      </c>
      <c r="Q669" s="34">
        <v>758677.1875</v>
      </c>
      <c r="R669" s="34">
        <v>680867</v>
      </c>
      <c r="S669" s="29"/>
      <c r="T669" s="33"/>
      <c r="U669" s="35" t="b">
        <v>0</v>
      </c>
      <c r="V669" s="35" t="b">
        <v>0</v>
      </c>
      <c r="W669" s="35" t="b">
        <v>0</v>
      </c>
      <c r="Y669" s="31" cm="1">
        <f t="array" ref="Y669">IF(LEFT(_xll.BDP($C669, VOLUME_AVG_10D), 4) = "#N/A", "",  _xll.BDP($C669, VOLUME_AVG_10D))</f>
        <v>1690583.75</v>
      </c>
      <c r="Z669" s="31" cm="1">
        <f t="array" ref="Z669">IF(LEFT(_xll.BDP($C669, VOLUME_AVG_30D), 4) = "#N/A", "",  _xll.BDP($C669, VOLUME_AVG_30D))</f>
        <v>950560.9375</v>
      </c>
      <c r="AA669" s="31" cm="1">
        <f t="array" ref="AA669">IF(LEFT(_xll.BDP($C669, VOLUME_AVG_3M), 4) = "#N/A", "",  _xll.BDP($C669, VOLUME_AVG_3M))</f>
        <v>758677.1875</v>
      </c>
      <c r="AB669" s="31" cm="1">
        <f t="array" ref="AB669">IF(LEFT(_xll.BDP($C669, VOLUME_AVG_6M), 4) = "#N/A", "",  _xll.BDP($C669, VOLUME_AVG_6M))</f>
        <v>680867</v>
      </c>
      <c r="AC669" s="31" cm="1">
        <f t="array" ref="AC669">IF(LEFT(_xll.BDP($C669, VOLUME_AVG_12M), 4) = "#N/A", "",  _xll.BDP($C669, VOLUME_AVG_12M))</f>
        <v>614228</v>
      </c>
      <c r="AD669" s="41" cm="1">
        <f t="array" ref="AD669">IF(LEFT(_xll.BDP($C669, LAST_PRICE), 4) = "#N/A", "",  _xll.BDP($C669, LAST_PRICE))</f>
        <v>61.31</v>
      </c>
    </row>
    <row r="670" spans="1:30" x14ac:dyDescent="0.35">
      <c r="A670" s="1">
        <f t="shared" si="10"/>
        <v>667</v>
      </c>
      <c r="B670" s="28">
        <v>45700</v>
      </c>
      <c r="C670" s="29" t="s">
        <v>1390</v>
      </c>
      <c r="D670" s="29" t="s">
        <v>1390</v>
      </c>
      <c r="E670" s="29" t="s">
        <v>1391</v>
      </c>
      <c r="F670" s="29" t="s">
        <v>33</v>
      </c>
      <c r="G670" s="30" t="s">
        <v>34</v>
      </c>
      <c r="H670" s="31">
        <v>7393161047.6532001</v>
      </c>
      <c r="I670" s="31">
        <v>8231009047.6532001</v>
      </c>
      <c r="J670" s="32">
        <v>58.110000610351598</v>
      </c>
      <c r="K670" s="33">
        <v>45700</v>
      </c>
      <c r="L670" s="31">
        <v>49263100</v>
      </c>
      <c r="M670" s="32">
        <v>3.88</v>
      </c>
      <c r="N670" s="31" t="s">
        <v>35</v>
      </c>
      <c r="O670" s="33">
        <v>45699</v>
      </c>
      <c r="P670" s="34">
        <v>1260687.75</v>
      </c>
      <c r="Q670" s="34">
        <v>1614748.25</v>
      </c>
      <c r="R670" s="34">
        <v>1492430.5</v>
      </c>
      <c r="S670" s="29" t="s">
        <v>46</v>
      </c>
      <c r="T670" s="33">
        <v>45446</v>
      </c>
      <c r="U670" s="35" t="b">
        <v>0</v>
      </c>
      <c r="V670" s="35" t="b">
        <v>0</v>
      </c>
      <c r="W670" s="35" t="b">
        <v>0</v>
      </c>
      <c r="Y670" s="31" cm="1">
        <f t="array" ref="Y670">IF(LEFT(_xll.BDP($C670, VOLUME_AVG_10D), 4) = "#N/A", "",  _xll.BDP($C670, VOLUME_AVG_10D))</f>
        <v>1041376.125</v>
      </c>
      <c r="Z670" s="31" cm="1">
        <f t="array" ref="Z670">IF(LEFT(_xll.BDP($C670, VOLUME_AVG_30D), 4) = "#N/A", "",  _xll.BDP($C670, VOLUME_AVG_30D))</f>
        <v>1260687.75</v>
      </c>
      <c r="AA670" s="31" cm="1">
        <f t="array" ref="AA670">IF(LEFT(_xll.BDP($C670, VOLUME_AVG_3M), 4) = "#N/A", "",  _xll.BDP($C670, VOLUME_AVG_3M))</f>
        <v>1614748.25</v>
      </c>
      <c r="AB670" s="31" cm="1">
        <f t="array" ref="AB670">IF(LEFT(_xll.BDP($C670, VOLUME_AVG_6M), 4) = "#N/A", "",  _xll.BDP($C670, VOLUME_AVG_6M))</f>
        <v>1492430.5</v>
      </c>
      <c r="AC670" s="31" cm="1">
        <f t="array" ref="AC670">IF(LEFT(_xll.BDP($C670, VOLUME_AVG_12M), 4) = "#N/A", "",  _xll.BDP($C670, VOLUME_AVG_12M))</f>
        <v>1328285.5</v>
      </c>
      <c r="AD670" s="41" cm="1">
        <f t="array" ref="AD670">IF(LEFT(_xll.BDP($C670, LAST_PRICE), 4) = "#N/A", "",  _xll.BDP($C670, LAST_PRICE))</f>
        <v>58.11</v>
      </c>
    </row>
    <row r="671" spans="1:30" x14ac:dyDescent="0.35">
      <c r="A671" s="1">
        <f t="shared" si="10"/>
        <v>668</v>
      </c>
      <c r="B671" s="28">
        <v>45700</v>
      </c>
      <c r="C671" s="29" t="s">
        <v>1392</v>
      </c>
      <c r="D671" s="29" t="s">
        <v>1392</v>
      </c>
      <c r="E671" s="29" t="s">
        <v>1393</v>
      </c>
      <c r="F671" s="29" t="s">
        <v>33</v>
      </c>
      <c r="G671" s="30" t="s">
        <v>34</v>
      </c>
      <c r="H671" s="31">
        <v>2158064287.1822901</v>
      </c>
      <c r="I671" s="31">
        <v>1930435287.1822901</v>
      </c>
      <c r="J671" s="32">
        <v>37.840000152587898</v>
      </c>
      <c r="K671" s="33">
        <v>45700</v>
      </c>
      <c r="L671" s="31">
        <v>17521800</v>
      </c>
      <c r="M671" s="32">
        <v>3.88</v>
      </c>
      <c r="N671" s="31" t="s">
        <v>35</v>
      </c>
      <c r="O671" s="33">
        <v>45699</v>
      </c>
      <c r="P671" s="34">
        <v>525633.625</v>
      </c>
      <c r="Q671" s="34">
        <v>536222.6875</v>
      </c>
      <c r="R671" s="34">
        <v>612826.5</v>
      </c>
      <c r="S671" s="29" t="s">
        <v>82</v>
      </c>
      <c r="T671" s="33">
        <v>45446</v>
      </c>
      <c r="U671" s="35" t="b">
        <v>0</v>
      </c>
      <c r="V671" s="35" t="b">
        <v>0</v>
      </c>
      <c r="W671" s="35" t="b">
        <v>0</v>
      </c>
      <c r="Y671" s="31" cm="1">
        <f t="array" ref="Y671">IF(LEFT(_xll.BDP($C671, VOLUME_AVG_10D), 4) = "#N/A", "",  _xll.BDP($C671, VOLUME_AVG_10D))</f>
        <v>481946.3125</v>
      </c>
      <c r="Z671" s="31" cm="1">
        <f t="array" ref="Z671">IF(LEFT(_xll.BDP($C671, VOLUME_AVG_30D), 4) = "#N/A", "",  _xll.BDP($C671, VOLUME_AVG_30D))</f>
        <v>525633.625</v>
      </c>
      <c r="AA671" s="31" cm="1">
        <f t="array" ref="AA671">IF(LEFT(_xll.BDP($C671, VOLUME_AVG_3M), 4) = "#N/A", "",  _xll.BDP($C671, VOLUME_AVG_3M))</f>
        <v>536222.6875</v>
      </c>
      <c r="AB671" s="31" cm="1">
        <f t="array" ref="AB671">IF(LEFT(_xll.BDP($C671, VOLUME_AVG_6M), 4) = "#N/A", "",  _xll.BDP($C671, VOLUME_AVG_6M))</f>
        <v>612826.5</v>
      </c>
      <c r="AC671" s="31" cm="1">
        <f t="array" ref="AC671">IF(LEFT(_xll.BDP($C671, VOLUME_AVG_12M), 4) = "#N/A", "",  _xll.BDP($C671, VOLUME_AVG_12M))</f>
        <v>507548.78125</v>
      </c>
      <c r="AD671" s="41" cm="1">
        <f t="array" ref="AD671">IF(LEFT(_xll.BDP($C671, LAST_PRICE), 4) = "#N/A", "",  _xll.BDP($C671, LAST_PRICE))</f>
        <v>37.840000000000003</v>
      </c>
    </row>
    <row r="672" spans="1:30" x14ac:dyDescent="0.35">
      <c r="A672" s="1">
        <f t="shared" si="10"/>
        <v>669</v>
      </c>
      <c r="B672" s="28">
        <v>45700</v>
      </c>
      <c r="C672" s="29" t="s">
        <v>1394</v>
      </c>
      <c r="D672" s="29" t="s">
        <v>1394</v>
      </c>
      <c r="E672" s="29" t="s">
        <v>1395</v>
      </c>
      <c r="F672" s="29" t="s">
        <v>33</v>
      </c>
      <c r="G672" s="30" t="s">
        <v>34</v>
      </c>
      <c r="H672" s="31">
        <v>1066304675.94031</v>
      </c>
      <c r="I672" s="31">
        <v>1189412675.94031</v>
      </c>
      <c r="J672" s="32">
        <v>29.940000534057599</v>
      </c>
      <c r="K672" s="33">
        <v>45700</v>
      </c>
      <c r="L672" s="31">
        <v>5440700</v>
      </c>
      <c r="M672" s="32">
        <v>3.88</v>
      </c>
      <c r="N672" s="31" t="s">
        <v>35</v>
      </c>
      <c r="O672" s="33">
        <v>45699</v>
      </c>
      <c r="P672" s="34">
        <v>336409.875</v>
      </c>
      <c r="Q672" s="34">
        <v>433463.3125</v>
      </c>
      <c r="R672" s="34">
        <v>481642.40625</v>
      </c>
      <c r="S672" s="29" t="s">
        <v>285</v>
      </c>
      <c r="T672" s="33">
        <v>45446</v>
      </c>
      <c r="U672" s="35" t="b">
        <v>0</v>
      </c>
      <c r="V672" s="35" t="b">
        <v>0</v>
      </c>
      <c r="W672" s="35" t="b">
        <v>0</v>
      </c>
      <c r="Y672" s="31" cm="1">
        <f t="array" ref="Y672">IF(LEFT(_xll.BDP($C672, VOLUME_AVG_10D), 4) = "#N/A", "",  _xll.BDP($C672, VOLUME_AVG_10D))</f>
        <v>380352.90625</v>
      </c>
      <c r="Z672" s="31" cm="1">
        <f t="array" ref="Z672">IF(LEFT(_xll.BDP($C672, VOLUME_AVG_30D), 4) = "#N/A", "",  _xll.BDP($C672, VOLUME_AVG_30D))</f>
        <v>336409.875</v>
      </c>
      <c r="AA672" s="31" cm="1">
        <f t="array" ref="AA672">IF(LEFT(_xll.BDP($C672, VOLUME_AVG_3M), 4) = "#N/A", "",  _xll.BDP($C672, VOLUME_AVG_3M))</f>
        <v>433463.3125</v>
      </c>
      <c r="AB672" s="31" cm="1">
        <f t="array" ref="AB672">IF(LEFT(_xll.BDP($C672, VOLUME_AVG_6M), 4) = "#N/A", "",  _xll.BDP($C672, VOLUME_AVG_6M))</f>
        <v>481642.40625</v>
      </c>
      <c r="AC672" s="31" cm="1">
        <f t="array" ref="AC672">IF(LEFT(_xll.BDP($C672, VOLUME_AVG_12M), 4) = "#N/A", "",  _xll.BDP($C672, VOLUME_AVG_12M))</f>
        <v>496747.625</v>
      </c>
      <c r="AD672" s="41" cm="1">
        <f t="array" ref="AD672">IF(LEFT(_xll.BDP($C672, LAST_PRICE), 4) = "#N/A", "",  _xll.BDP($C672, LAST_PRICE))</f>
        <v>29.94</v>
      </c>
    </row>
    <row r="673" spans="1:30" x14ac:dyDescent="0.35">
      <c r="A673" s="1">
        <f t="shared" si="10"/>
        <v>670</v>
      </c>
      <c r="B673" s="28">
        <v>45700</v>
      </c>
      <c r="C673" s="29" t="s">
        <v>1396</v>
      </c>
      <c r="D673" s="29" t="s">
        <v>1396</v>
      </c>
      <c r="E673" s="29" t="s">
        <v>1397</v>
      </c>
      <c r="F673" s="29" t="s">
        <v>33</v>
      </c>
      <c r="G673" s="30" t="s">
        <v>34</v>
      </c>
      <c r="H673" s="31">
        <v>45528279.939999998</v>
      </c>
      <c r="I673" s="31">
        <v>42264279.939999998</v>
      </c>
      <c r="J673" s="32">
        <v>2.86</v>
      </c>
      <c r="K673" s="33">
        <v>45700</v>
      </c>
      <c r="L673" s="31">
        <v>23300</v>
      </c>
      <c r="M673" s="32">
        <v>0.7</v>
      </c>
      <c r="N673" s="31" t="s">
        <v>35</v>
      </c>
      <c r="O673" s="33">
        <v>45699</v>
      </c>
      <c r="P673" s="34">
        <v>763.03332519531295</v>
      </c>
      <c r="Q673" s="34">
        <v>1439.45166015625</v>
      </c>
      <c r="R673" s="34">
        <v>2587.26977539063</v>
      </c>
      <c r="S673" s="29"/>
      <c r="T673" s="33"/>
      <c r="U673" s="35" t="b">
        <v>0</v>
      </c>
      <c r="V673" s="35" t="b">
        <v>0</v>
      </c>
      <c r="W673" s="35" t="b">
        <v>0</v>
      </c>
      <c r="Y673" s="31" cm="1">
        <f t="array" ref="Y673">IF(LEFT(_xll.BDP($C673, VOLUME_AVG_10D), 4) = "#N/A", "",  _xll.BDP($C673, VOLUME_AVG_10D))</f>
        <v>755.29998779296875</v>
      </c>
      <c r="Z673" s="31" cm="1">
        <f t="array" ref="Z673">IF(LEFT(_xll.BDP($C673, VOLUME_AVG_30D), 4) = "#N/A", "",  _xll.BDP($C673, VOLUME_AVG_30D))</f>
        <v>763.0333251953125</v>
      </c>
      <c r="AA673" s="31" cm="1">
        <f t="array" ref="AA673">IF(LEFT(_xll.BDP($C673, VOLUME_AVG_3M), 4) = "#N/A", "",  _xll.BDP($C673, VOLUME_AVG_3M))</f>
        <v>1439.45166015625</v>
      </c>
      <c r="AB673" s="31" cm="1">
        <f t="array" ref="AB673">IF(LEFT(_xll.BDP($C673, VOLUME_AVG_6M), 4) = "#N/A", "",  _xll.BDP($C673, VOLUME_AVG_6M))</f>
        <v>2587.269775390625</v>
      </c>
      <c r="AC673" s="31" cm="1">
        <f t="array" ref="AC673">IF(LEFT(_xll.BDP($C673, VOLUME_AVG_12M), 4) = "#N/A", "",  _xll.BDP($C673, VOLUME_AVG_12M))</f>
        <v>4607.56982421875</v>
      </c>
      <c r="AD673" s="41" cm="1">
        <f t="array" ref="AD673">IF(LEFT(_xll.BDP($C673, LAST_PRICE), 4) = "#N/A", "",  _xll.BDP($C673, LAST_PRICE))</f>
        <v>2.86</v>
      </c>
    </row>
    <row r="674" spans="1:30" x14ac:dyDescent="0.35">
      <c r="A674" s="1">
        <f t="shared" si="10"/>
        <v>671</v>
      </c>
      <c r="B674" s="28">
        <v>45700</v>
      </c>
      <c r="C674" s="29" t="s">
        <v>1398</v>
      </c>
      <c r="D674" s="29" t="s">
        <v>1398</v>
      </c>
      <c r="E674" s="29" t="s">
        <v>1399</v>
      </c>
      <c r="F674" s="29" t="s">
        <v>33</v>
      </c>
      <c r="G674" s="30" t="s">
        <v>34</v>
      </c>
      <c r="H674" s="31">
        <v>57137771.014236897</v>
      </c>
      <c r="I674" s="31">
        <v>98259771.014236897</v>
      </c>
      <c r="J674" s="32">
        <v>1.3099999427795399</v>
      </c>
      <c r="K674" s="33">
        <v>45700</v>
      </c>
      <c r="L674" s="31">
        <v>9794400</v>
      </c>
      <c r="M674" s="32">
        <v>3.88</v>
      </c>
      <c r="N674" s="31" t="s">
        <v>35</v>
      </c>
      <c r="O674" s="33">
        <v>45699</v>
      </c>
      <c r="P674" s="34">
        <v>255594</v>
      </c>
      <c r="Q674" s="34">
        <v>218382.953125</v>
      </c>
      <c r="R674" s="34">
        <v>166228.203125</v>
      </c>
      <c r="S674" s="29" t="s">
        <v>198</v>
      </c>
      <c r="T674" s="33">
        <v>45215</v>
      </c>
      <c r="U674" s="35" t="b">
        <v>0</v>
      </c>
      <c r="V674" s="35" t="b">
        <v>0</v>
      </c>
      <c r="W674" s="35" t="b">
        <v>0</v>
      </c>
      <c r="Y674" s="31" cm="1">
        <f t="array" ref="Y674">IF(LEFT(_xll.BDP($C674, VOLUME_AVG_10D), 4) = "#N/A", "",  _xll.BDP($C674, VOLUME_AVG_10D))</f>
        <v>236932.5</v>
      </c>
      <c r="Z674" s="31" cm="1">
        <f t="array" ref="Z674">IF(LEFT(_xll.BDP($C674, VOLUME_AVG_30D), 4) = "#N/A", "",  _xll.BDP($C674, VOLUME_AVG_30D))</f>
        <v>255594</v>
      </c>
      <c r="AA674" s="31" cm="1">
        <f t="array" ref="AA674">IF(LEFT(_xll.BDP($C674, VOLUME_AVG_3M), 4) = "#N/A", "",  _xll.BDP($C674, VOLUME_AVG_3M))</f>
        <v>218382.953125</v>
      </c>
      <c r="AB674" s="31" cm="1">
        <f t="array" ref="AB674">IF(LEFT(_xll.BDP($C674, VOLUME_AVG_6M), 4) = "#N/A", "",  _xll.BDP($C674, VOLUME_AVG_6M))</f>
        <v>166228.203125</v>
      </c>
      <c r="AC674" s="31" cm="1">
        <f t="array" ref="AC674">IF(LEFT(_xll.BDP($C674, VOLUME_AVG_12M), 4) = "#N/A", "",  _xll.BDP($C674, VOLUME_AVG_12M))</f>
        <v>144629.5625</v>
      </c>
      <c r="AD674" s="41" cm="1">
        <f t="array" ref="AD674">IF(LEFT(_xll.BDP($C674, LAST_PRICE), 4) = "#N/A", "",  _xll.BDP($C674, LAST_PRICE))</f>
        <v>1.31</v>
      </c>
    </row>
    <row r="675" spans="1:30" x14ac:dyDescent="0.35">
      <c r="A675" s="1">
        <f t="shared" si="10"/>
        <v>672</v>
      </c>
      <c r="B675" s="28">
        <v>45700</v>
      </c>
      <c r="C675" s="29" t="s">
        <v>1400</v>
      </c>
      <c r="D675" s="29" t="s">
        <v>1400</v>
      </c>
      <c r="E675" s="29" t="s">
        <v>1401</v>
      </c>
      <c r="F675" s="29" t="s">
        <v>33</v>
      </c>
      <c r="G675" s="30" t="s">
        <v>34</v>
      </c>
      <c r="H675" s="31">
        <v>79124949334.8022</v>
      </c>
      <c r="I675" s="31">
        <v>125139949334.802</v>
      </c>
      <c r="J675" s="32">
        <v>312.38000488281301</v>
      </c>
      <c r="K675" s="33">
        <v>45700</v>
      </c>
      <c r="L675" s="31">
        <v>55556300</v>
      </c>
      <c r="M675" s="32">
        <v>3.88</v>
      </c>
      <c r="N675" s="31" t="s">
        <v>35</v>
      </c>
      <c r="O675" s="33">
        <v>45699</v>
      </c>
      <c r="P675" s="34">
        <v>1591516.375</v>
      </c>
      <c r="Q675" s="34">
        <v>1511098.875</v>
      </c>
      <c r="R675" s="34">
        <v>1367968.125</v>
      </c>
      <c r="S675" s="29"/>
      <c r="T675" s="33"/>
      <c r="U675" s="35" t="b">
        <v>0</v>
      </c>
      <c r="V675" s="35" t="b">
        <v>0</v>
      </c>
      <c r="W675" s="35" t="b">
        <v>0</v>
      </c>
      <c r="Y675" s="31" cm="1">
        <f t="array" ref="Y675">IF(LEFT(_xll.BDP($C675, VOLUME_AVG_10D), 4) = "#N/A", "",  _xll.BDP($C675, VOLUME_AVG_10D))</f>
        <v>1400704.375</v>
      </c>
      <c r="Z675" s="31" cm="1">
        <f t="array" ref="Z675">IF(LEFT(_xll.BDP($C675, VOLUME_AVG_30D), 4) = "#N/A", "",  _xll.BDP($C675, VOLUME_AVG_30D))</f>
        <v>1591516.375</v>
      </c>
      <c r="AA675" s="31" cm="1">
        <f t="array" ref="AA675">IF(LEFT(_xll.BDP($C675, VOLUME_AVG_3M), 4) = "#N/A", "",  _xll.BDP($C675, VOLUME_AVG_3M))</f>
        <v>1511098.875</v>
      </c>
      <c r="AB675" s="31" cm="1">
        <f t="array" ref="AB675">IF(LEFT(_xll.BDP($C675, VOLUME_AVG_6M), 4) = "#N/A", "",  _xll.BDP($C675, VOLUME_AVG_6M))</f>
        <v>1367968.125</v>
      </c>
      <c r="AC675" s="31" cm="1">
        <f t="array" ref="AC675">IF(LEFT(_xll.BDP($C675, VOLUME_AVG_12M), 4) = "#N/A", "",  _xll.BDP($C675, VOLUME_AVG_12M))</f>
        <v>1256209.375</v>
      </c>
      <c r="AD675" s="41" cm="1">
        <f t="array" ref="AD675">IF(LEFT(_xll.BDP($C675, LAST_PRICE), 4) = "#N/A", "",  _xll.BDP($C675, LAST_PRICE))</f>
        <v>312.38</v>
      </c>
    </row>
    <row r="676" spans="1:30" x14ac:dyDescent="0.35">
      <c r="A676" s="1">
        <f t="shared" si="10"/>
        <v>673</v>
      </c>
      <c r="B676" s="28">
        <v>45700</v>
      </c>
      <c r="C676" s="29" t="s">
        <v>1402</v>
      </c>
      <c r="D676" s="29" t="s">
        <v>1402</v>
      </c>
      <c r="E676" s="29" t="s">
        <v>1403</v>
      </c>
      <c r="F676" s="29" t="s">
        <v>33</v>
      </c>
      <c r="G676" s="30" t="s">
        <v>34</v>
      </c>
      <c r="H676" s="31">
        <v>16797555.635107499</v>
      </c>
      <c r="I676" s="31">
        <v>19534833.635107499</v>
      </c>
      <c r="J676" s="32">
        <v>0.40009999275207497</v>
      </c>
      <c r="K676" s="33">
        <v>45700</v>
      </c>
      <c r="L676" s="31">
        <v>362900</v>
      </c>
      <c r="M676" s="32">
        <v>-161.4</v>
      </c>
      <c r="N676" s="31" t="s">
        <v>35</v>
      </c>
      <c r="O676" s="33">
        <v>45699</v>
      </c>
      <c r="P676" s="34">
        <v>12278479</v>
      </c>
      <c r="Q676" s="34">
        <v>15450629</v>
      </c>
      <c r="R676" s="34">
        <v>7616740.5</v>
      </c>
      <c r="S676" s="29"/>
      <c r="T676" s="33"/>
      <c r="U676" s="35" t="b">
        <v>1</v>
      </c>
      <c r="V676" s="35" t="b">
        <v>0</v>
      </c>
      <c r="W676" s="35" t="b">
        <v>0</v>
      </c>
      <c r="Y676" s="31" cm="1">
        <f t="array" ref="Y676">IF(LEFT(_xll.BDP($C676, VOLUME_AVG_10D), 4) = "#N/A", "",  _xll.BDP($C676, VOLUME_AVG_10D))</f>
        <v>36384660</v>
      </c>
      <c r="Z676" s="31" cm="1">
        <f t="array" ref="Z676">IF(LEFT(_xll.BDP($C676, VOLUME_AVG_30D), 4) = "#N/A", "",  _xll.BDP($C676, VOLUME_AVG_30D))</f>
        <v>12278479</v>
      </c>
      <c r="AA676" s="31" cm="1">
        <f t="array" ref="AA676">IF(LEFT(_xll.BDP($C676, VOLUME_AVG_3M), 4) = "#N/A", "",  _xll.BDP($C676, VOLUME_AVG_3M))</f>
        <v>15450629</v>
      </c>
      <c r="AB676" s="31" cm="1">
        <f t="array" ref="AB676">IF(LEFT(_xll.BDP($C676, VOLUME_AVG_6M), 4) = "#N/A", "",  _xll.BDP($C676, VOLUME_AVG_6M))</f>
        <v>7616740.5</v>
      </c>
      <c r="AC676" s="31" cm="1">
        <f t="array" ref="AC676">IF(LEFT(_xll.BDP($C676, VOLUME_AVG_12M), 4) = "#N/A", "",  _xll.BDP($C676, VOLUME_AVG_12M))</f>
        <v>3832820.75</v>
      </c>
      <c r="AD676" s="41" cm="1">
        <f t="array" ref="AD676">IF(LEFT(_xll.BDP($C676, LAST_PRICE), 4) = "#N/A", "",  _xll.BDP($C676, LAST_PRICE))</f>
        <v>0.40010000000000001</v>
      </c>
    </row>
    <row r="677" spans="1:30" x14ac:dyDescent="0.35">
      <c r="A677" s="1">
        <f t="shared" si="10"/>
        <v>674</v>
      </c>
      <c r="B677" s="28">
        <v>45700</v>
      </c>
      <c r="C677" s="29" t="s">
        <v>1404</v>
      </c>
      <c r="D677" s="29" t="s">
        <v>1404</v>
      </c>
      <c r="E677" s="29" t="s">
        <v>1405</v>
      </c>
      <c r="F677" s="29" t="s">
        <v>33</v>
      </c>
      <c r="G677" s="30" t="s">
        <v>34</v>
      </c>
      <c r="H677" s="31">
        <v>331011263.00173098</v>
      </c>
      <c r="I677" s="31">
        <v>308087263.00173098</v>
      </c>
      <c r="J677" s="32">
        <v>5.4400000572204599</v>
      </c>
      <c r="K677" s="33">
        <v>45700</v>
      </c>
      <c r="L677" s="31">
        <v>16566300</v>
      </c>
      <c r="M677" s="32">
        <v>0.9</v>
      </c>
      <c r="N677" s="31" t="s">
        <v>35</v>
      </c>
      <c r="O677" s="33">
        <v>45699</v>
      </c>
      <c r="P677" s="34">
        <v>761416.5625</v>
      </c>
      <c r="Q677" s="34">
        <v>654280.0625</v>
      </c>
      <c r="R677" s="34">
        <v>561811.9375</v>
      </c>
      <c r="S677" s="29"/>
      <c r="T677" s="33"/>
      <c r="U677" s="35" t="b">
        <v>0</v>
      </c>
      <c r="V677" s="35" t="b">
        <v>0</v>
      </c>
      <c r="W677" s="35" t="b">
        <v>0</v>
      </c>
      <c r="Y677" s="31" cm="1">
        <f t="array" ref="Y677">IF(LEFT(_xll.BDP($C677, VOLUME_AVG_10D), 4) = "#N/A", "",  _xll.BDP($C677, VOLUME_AVG_10D))</f>
        <v>708713.1875</v>
      </c>
      <c r="Z677" s="31" cm="1">
        <f t="array" ref="Z677">IF(LEFT(_xll.BDP($C677, VOLUME_AVG_30D), 4) = "#N/A", "",  _xll.BDP($C677, VOLUME_AVG_30D))</f>
        <v>761416.5625</v>
      </c>
      <c r="AA677" s="31" cm="1">
        <f t="array" ref="AA677">IF(LEFT(_xll.BDP($C677, VOLUME_AVG_3M), 4) = "#N/A", "",  _xll.BDP($C677, VOLUME_AVG_3M))</f>
        <v>654280.0625</v>
      </c>
      <c r="AB677" s="31" cm="1">
        <f t="array" ref="AB677">IF(LEFT(_xll.BDP($C677, VOLUME_AVG_6M), 4) = "#N/A", "",  _xll.BDP($C677, VOLUME_AVG_6M))</f>
        <v>561811.9375</v>
      </c>
      <c r="AC677" s="31" cm="1">
        <f t="array" ref="AC677">IF(LEFT(_xll.BDP($C677, VOLUME_AVG_12M), 4) = "#N/A", "",  _xll.BDP($C677, VOLUME_AVG_12M))</f>
        <v>587996.8125</v>
      </c>
      <c r="AD677" s="41" cm="1">
        <f t="array" ref="AD677">IF(LEFT(_xll.BDP($C677, LAST_PRICE), 4) = "#N/A", "",  _xll.BDP($C677, LAST_PRICE))</f>
        <v>5.44</v>
      </c>
    </row>
    <row r="678" spans="1:30" x14ac:dyDescent="0.35">
      <c r="A678" s="1">
        <f t="shared" si="10"/>
        <v>675</v>
      </c>
      <c r="B678" s="28">
        <v>45700</v>
      </c>
      <c r="C678" s="29" t="s">
        <v>1406</v>
      </c>
      <c r="D678" s="29" t="s">
        <v>1406</v>
      </c>
      <c r="E678" s="29" t="s">
        <v>1407</v>
      </c>
      <c r="F678" s="29" t="s">
        <v>33</v>
      </c>
      <c r="G678" s="30" t="s">
        <v>34</v>
      </c>
      <c r="H678" s="31"/>
      <c r="I678" s="31"/>
      <c r="J678" s="32">
        <v>9.9999999747524292E-7</v>
      </c>
      <c r="K678" s="33">
        <v>45700</v>
      </c>
      <c r="L678" s="31"/>
      <c r="M678" s="32"/>
      <c r="N678" s="31"/>
      <c r="O678" s="33">
        <v>45699</v>
      </c>
      <c r="P678" s="34">
        <v>11363.599609375</v>
      </c>
      <c r="Q678" s="34">
        <v>34415.484375</v>
      </c>
      <c r="R678" s="34">
        <v>23182.619140625</v>
      </c>
      <c r="S678" s="29"/>
      <c r="T678" s="33"/>
      <c r="U678" s="35" t="b">
        <v>1</v>
      </c>
      <c r="V678" s="35" t="b">
        <v>1</v>
      </c>
      <c r="W678" s="35" t="b">
        <v>1</v>
      </c>
      <c r="Y678" s="31" cm="1">
        <f t="array" ref="Y678">IF(LEFT(_xll.BDP($C678, VOLUME_AVG_10D), 4) = "#N/A", "",  _xll.BDP($C678, VOLUME_AVG_10D))</f>
        <v>193.10000610351563</v>
      </c>
      <c r="Z678" s="31" cm="1">
        <f t="array" ref="Z678">IF(LEFT(_xll.BDP($C678, VOLUME_AVG_30D), 4) = "#N/A", "",  _xll.BDP($C678, VOLUME_AVG_30D))</f>
        <v>11363.599609375</v>
      </c>
      <c r="AA678" s="31" cm="1">
        <f t="array" ref="AA678">IF(LEFT(_xll.BDP($C678, VOLUME_AVG_3M), 4) = "#N/A", "",  _xll.BDP($C678, VOLUME_AVG_3M))</f>
        <v>34415.484375</v>
      </c>
      <c r="AB678" s="31" cm="1">
        <f t="array" ref="AB678">IF(LEFT(_xll.BDP($C678, VOLUME_AVG_6M), 4) = "#N/A", "",  _xll.BDP($C678, VOLUME_AVG_6M))</f>
        <v>23182.619140625</v>
      </c>
      <c r="AC678" s="31" cm="1">
        <f t="array" ref="AC678">IF(LEFT(_xll.BDP($C678, VOLUME_AVG_12M), 4) = "#N/A", "",  _xll.BDP($C678, VOLUME_AVG_12M))</f>
        <v>13907.322265625</v>
      </c>
      <c r="AD678" s="41" cm="1">
        <f t="array" ref="AD678">IF(LEFT(_xll.BDP($C678, LAST_PRICE), 4) = "#N/A", "",  _xll.BDP($C678, LAST_PRICE))</f>
        <v>9.9999999999999995E-7</v>
      </c>
    </row>
    <row r="679" spans="1:30" x14ac:dyDescent="0.35">
      <c r="A679" s="1">
        <f t="shared" si="10"/>
        <v>676</v>
      </c>
      <c r="B679" s="28">
        <v>45700</v>
      </c>
      <c r="C679" s="29" t="s">
        <v>1408</v>
      </c>
      <c r="D679" s="29" t="s">
        <v>1408</v>
      </c>
      <c r="E679" s="29" t="s">
        <v>1409</v>
      </c>
      <c r="F679" s="29" t="s">
        <v>33</v>
      </c>
      <c r="G679" s="30" t="s">
        <v>34</v>
      </c>
      <c r="H679" s="31">
        <v>43401675.1353807</v>
      </c>
      <c r="I679" s="31"/>
      <c r="J679" s="32">
        <v>0.37999999523162797</v>
      </c>
      <c r="K679" s="33">
        <v>45700</v>
      </c>
      <c r="L679" s="31">
        <v>116000</v>
      </c>
      <c r="M679" s="32">
        <v>-0.9</v>
      </c>
      <c r="N679" s="31" t="s">
        <v>35</v>
      </c>
      <c r="O679" s="33">
        <v>45699</v>
      </c>
      <c r="P679" s="34">
        <v>231328.234375</v>
      </c>
      <c r="Q679" s="34">
        <v>185184.078125</v>
      </c>
      <c r="R679" s="34">
        <v>130970.0859375</v>
      </c>
      <c r="S679" s="29"/>
      <c r="T679" s="33"/>
      <c r="U679" s="35" t="b">
        <v>0</v>
      </c>
      <c r="V679" s="35" t="b">
        <v>0</v>
      </c>
      <c r="W679" s="35" t="b">
        <v>1</v>
      </c>
      <c r="Y679" s="31" cm="1">
        <f t="array" ref="Y679">IF(LEFT(_xll.BDP($C679, VOLUME_AVG_10D), 4) = "#N/A", "",  _xll.BDP($C679, VOLUME_AVG_10D))</f>
        <v>149690</v>
      </c>
      <c r="Z679" s="31" cm="1">
        <f t="array" ref="Z679">IF(LEFT(_xll.BDP($C679, VOLUME_AVG_30D), 4) = "#N/A", "",  _xll.BDP($C679, VOLUME_AVG_30D))</f>
        <v>231328.234375</v>
      </c>
      <c r="AA679" s="31" cm="1">
        <f t="array" ref="AA679">IF(LEFT(_xll.BDP($C679, VOLUME_AVG_3M), 4) = "#N/A", "",  _xll.BDP($C679, VOLUME_AVG_3M))</f>
        <v>185184.078125</v>
      </c>
      <c r="AB679" s="31" cm="1">
        <f t="array" ref="AB679">IF(LEFT(_xll.BDP($C679, VOLUME_AVG_6M), 4) = "#N/A", "",  _xll.BDP($C679, VOLUME_AVG_6M))</f>
        <v>130970.0859375</v>
      </c>
      <c r="AC679" s="31" cm="1">
        <f t="array" ref="AC679">IF(LEFT(_xll.BDP($C679, VOLUME_AVG_12M), 4) = "#N/A", "",  _xll.BDP($C679, VOLUME_AVG_12M))</f>
        <v>90622.6796875</v>
      </c>
      <c r="AD679" s="41" cm="1">
        <f t="array" ref="AD679">IF(LEFT(_xll.BDP($C679, LAST_PRICE), 4) = "#N/A", "",  _xll.BDP($C679, LAST_PRICE))</f>
        <v>0.38</v>
      </c>
    </row>
    <row r="680" spans="1:30" x14ac:dyDescent="0.35">
      <c r="A680" s="1">
        <f t="shared" si="10"/>
        <v>677</v>
      </c>
      <c r="B680" s="28">
        <v>45700</v>
      </c>
      <c r="C680" s="29" t="s">
        <v>1410</v>
      </c>
      <c r="D680" s="29" t="s">
        <v>1410</v>
      </c>
      <c r="E680" s="29" t="s">
        <v>1411</v>
      </c>
      <c r="F680" s="29" t="s">
        <v>33</v>
      </c>
      <c r="G680" s="30" t="s">
        <v>34</v>
      </c>
      <c r="H680" s="31">
        <v>3105395.86370194</v>
      </c>
      <c r="I680" s="31">
        <v>5300395.8637019396</v>
      </c>
      <c r="J680" s="32">
        <v>0.54799997806549094</v>
      </c>
      <c r="K680" s="33">
        <v>45700</v>
      </c>
      <c r="L680" s="31">
        <v>99900</v>
      </c>
      <c r="M680" s="32">
        <v>-148.15</v>
      </c>
      <c r="N680" s="31" t="s">
        <v>35</v>
      </c>
      <c r="O680" s="33">
        <v>45699</v>
      </c>
      <c r="P680" s="34">
        <v>591984.3125</v>
      </c>
      <c r="Q680" s="34">
        <v>399493.25</v>
      </c>
      <c r="R680" s="34">
        <v>1781366.125</v>
      </c>
      <c r="S680" s="29"/>
      <c r="T680" s="33"/>
      <c r="U680" s="35" t="b">
        <v>1</v>
      </c>
      <c r="V680" s="35" t="b">
        <v>0</v>
      </c>
      <c r="W680" s="35" t="b">
        <v>0</v>
      </c>
      <c r="Y680" s="31" cm="1">
        <f t="array" ref="Y680">IF(LEFT(_xll.BDP($C680, VOLUME_AVG_10D), 4) = "#N/A", "",  _xll.BDP($C680, VOLUME_AVG_10D))</f>
        <v>124394.796875</v>
      </c>
      <c r="Z680" s="31" cm="1">
        <f t="array" ref="Z680">IF(LEFT(_xll.BDP($C680, VOLUME_AVG_30D), 4) = "#N/A", "",  _xll.BDP($C680, VOLUME_AVG_30D))</f>
        <v>591984.3125</v>
      </c>
      <c r="AA680" s="31" cm="1">
        <f t="array" ref="AA680">IF(LEFT(_xll.BDP($C680, VOLUME_AVG_3M), 4) = "#N/A", "",  _xll.BDP($C680, VOLUME_AVG_3M))</f>
        <v>399493.25</v>
      </c>
      <c r="AB680" s="31" cm="1">
        <f t="array" ref="AB680">IF(LEFT(_xll.BDP($C680, VOLUME_AVG_6M), 4) = "#N/A", "",  _xll.BDP($C680, VOLUME_AVG_6M))</f>
        <v>1781366.125</v>
      </c>
      <c r="AC680" s="31" cm="1">
        <f t="array" ref="AC680">IF(LEFT(_xll.BDP($C680, VOLUME_AVG_12M), 4) = "#N/A", "",  _xll.BDP($C680, VOLUME_AVG_12M))</f>
        <v>1063342.125</v>
      </c>
      <c r="AD680" s="41" cm="1">
        <f t="array" ref="AD680">IF(LEFT(_xll.BDP($C680, LAST_PRICE), 4) = "#N/A", "",  _xll.BDP($C680, LAST_PRICE))</f>
        <v>0.54800000000000004</v>
      </c>
    </row>
    <row r="681" spans="1:30" x14ac:dyDescent="0.35">
      <c r="A681" s="1">
        <f t="shared" si="10"/>
        <v>678</v>
      </c>
      <c r="B681" s="28">
        <v>45700</v>
      </c>
      <c r="C681" s="29" t="s">
        <v>1412</v>
      </c>
      <c r="D681" s="29" t="s">
        <v>1412</v>
      </c>
      <c r="E681" s="29" t="s">
        <v>1413</v>
      </c>
      <c r="F681" s="29" t="s">
        <v>33</v>
      </c>
      <c r="G681" s="30" t="s">
        <v>34</v>
      </c>
      <c r="H681" s="31">
        <v>9923741725.2614193</v>
      </c>
      <c r="I681" s="31">
        <v>10736767725.2614</v>
      </c>
      <c r="J681" s="32">
        <v>114.51000213623</v>
      </c>
      <c r="K681" s="33">
        <v>45700</v>
      </c>
      <c r="L681" s="31">
        <v>32354500</v>
      </c>
      <c r="M681" s="32">
        <v>3.88</v>
      </c>
      <c r="N681" s="31" t="s">
        <v>35</v>
      </c>
      <c r="O681" s="33">
        <v>45699</v>
      </c>
      <c r="P681" s="34">
        <v>718958.3125</v>
      </c>
      <c r="Q681" s="34">
        <v>784218.125</v>
      </c>
      <c r="R681" s="34">
        <v>677935.5</v>
      </c>
      <c r="S681" s="29"/>
      <c r="T681" s="33"/>
      <c r="U681" s="35" t="b">
        <v>0</v>
      </c>
      <c r="V681" s="35" t="b">
        <v>0</v>
      </c>
      <c r="W681" s="35" t="b">
        <v>0</v>
      </c>
      <c r="Y681" s="31" cm="1">
        <f t="array" ref="Y681">IF(LEFT(_xll.BDP($C681, VOLUME_AVG_10D), 4) = "#N/A", "",  _xll.BDP($C681, VOLUME_AVG_10D))</f>
        <v>749161.5</v>
      </c>
      <c r="Z681" s="31" cm="1">
        <f t="array" ref="Z681">IF(LEFT(_xll.BDP($C681, VOLUME_AVG_30D), 4) = "#N/A", "",  _xll.BDP($C681, VOLUME_AVG_30D))</f>
        <v>718958.3125</v>
      </c>
      <c r="AA681" s="31" cm="1">
        <f t="array" ref="AA681">IF(LEFT(_xll.BDP($C681, VOLUME_AVG_3M), 4) = "#N/A", "",  _xll.BDP($C681, VOLUME_AVG_3M))</f>
        <v>784218.125</v>
      </c>
      <c r="AB681" s="31" cm="1">
        <f t="array" ref="AB681">IF(LEFT(_xll.BDP($C681, VOLUME_AVG_6M), 4) = "#N/A", "",  _xll.BDP($C681, VOLUME_AVG_6M))</f>
        <v>677935.5</v>
      </c>
      <c r="AC681" s="31" cm="1">
        <f t="array" ref="AC681">IF(LEFT(_xll.BDP($C681, VOLUME_AVG_12M), 4) = "#N/A", "",  _xll.BDP($C681, VOLUME_AVG_12M))</f>
        <v>652041.1875</v>
      </c>
      <c r="AD681" s="41" cm="1">
        <f t="array" ref="AD681">IF(LEFT(_xll.BDP($C681, LAST_PRICE), 4) = "#N/A", "",  _xll.BDP($C681, LAST_PRICE))</f>
        <v>114.51</v>
      </c>
    </row>
    <row r="682" spans="1:30" x14ac:dyDescent="0.35">
      <c r="A682" s="1">
        <f t="shared" si="10"/>
        <v>679</v>
      </c>
      <c r="B682" s="28">
        <v>45700</v>
      </c>
      <c r="C682" s="29" t="s">
        <v>1414</v>
      </c>
      <c r="D682" s="29" t="s">
        <v>1414</v>
      </c>
      <c r="E682" s="29" t="s">
        <v>1415</v>
      </c>
      <c r="F682" s="29" t="s">
        <v>33</v>
      </c>
      <c r="G682" s="30" t="s">
        <v>34</v>
      </c>
      <c r="H682" s="31">
        <v>20102831.852855701</v>
      </c>
      <c r="I682" s="31">
        <v>21503573.852855701</v>
      </c>
      <c r="J682" s="32">
        <v>7.1299999952316298E-2</v>
      </c>
      <c r="K682" s="33">
        <v>45700</v>
      </c>
      <c r="L682" s="31">
        <v>2475500</v>
      </c>
      <c r="M682" s="32">
        <v>3.3</v>
      </c>
      <c r="N682" s="31" t="s">
        <v>35</v>
      </c>
      <c r="O682" s="33">
        <v>45699</v>
      </c>
      <c r="P682" s="34">
        <v>395957.78125</v>
      </c>
      <c r="Q682" s="34">
        <v>314785.40625</v>
      </c>
      <c r="R682" s="34">
        <v>210890.6875</v>
      </c>
      <c r="S682" s="29"/>
      <c r="T682" s="33"/>
      <c r="U682" s="35" t="b">
        <v>0</v>
      </c>
      <c r="V682" s="35" t="b">
        <v>1</v>
      </c>
      <c r="W682" s="35" t="b">
        <v>0</v>
      </c>
      <c r="Y682" s="31" cm="1">
        <f t="array" ref="Y682">IF(LEFT(_xll.BDP($C682, VOLUME_AVG_10D), 4) = "#N/A", "",  _xll.BDP($C682, VOLUME_AVG_10D))</f>
        <v>308790.3125</v>
      </c>
      <c r="Z682" s="31" cm="1">
        <f t="array" ref="Z682">IF(LEFT(_xll.BDP($C682, VOLUME_AVG_30D), 4) = "#N/A", "",  _xll.BDP($C682, VOLUME_AVG_30D))</f>
        <v>395957.78125</v>
      </c>
      <c r="AA682" s="31" cm="1">
        <f t="array" ref="AA682">IF(LEFT(_xll.BDP($C682, VOLUME_AVG_3M), 4) = "#N/A", "",  _xll.BDP($C682, VOLUME_AVG_3M))</f>
        <v>314785.40625</v>
      </c>
      <c r="AB682" s="31" cm="1">
        <f t="array" ref="AB682">IF(LEFT(_xll.BDP($C682, VOLUME_AVG_6M), 4) = "#N/A", "",  _xll.BDP($C682, VOLUME_AVG_6M))</f>
        <v>210890.6875</v>
      </c>
      <c r="AC682" s="31" cm="1">
        <f t="array" ref="AC682">IF(LEFT(_xll.BDP($C682, VOLUME_AVG_12M), 4) = "#N/A", "",  _xll.BDP($C682, VOLUME_AVG_12M))</f>
        <v>148100.421875</v>
      </c>
      <c r="AD682" s="41" cm="1">
        <f t="array" ref="AD682">IF(LEFT(_xll.BDP($C682, LAST_PRICE), 4) = "#N/A", "",  _xll.BDP($C682, LAST_PRICE))</f>
        <v>7.1300000000000002E-2</v>
      </c>
    </row>
    <row r="683" spans="1:30" x14ac:dyDescent="0.35">
      <c r="A683" s="1">
        <f t="shared" si="10"/>
        <v>680</v>
      </c>
      <c r="B683" s="28">
        <v>45700</v>
      </c>
      <c r="C683" s="29" t="s">
        <v>1416</v>
      </c>
      <c r="D683" s="29" t="s">
        <v>1416</v>
      </c>
      <c r="E683" s="29" t="s">
        <v>1417</v>
      </c>
      <c r="F683" s="29" t="s">
        <v>33</v>
      </c>
      <c r="G683" s="30" t="s">
        <v>34</v>
      </c>
      <c r="H683" s="31">
        <v>1010382450.38754</v>
      </c>
      <c r="I683" s="31">
        <v>929449450.38754296</v>
      </c>
      <c r="J683" s="32">
        <v>33.220001220703097</v>
      </c>
      <c r="K683" s="33">
        <v>45700</v>
      </c>
      <c r="L683" s="31">
        <v>8344900</v>
      </c>
      <c r="M683" s="32">
        <v>3.88</v>
      </c>
      <c r="N683" s="31" t="s">
        <v>35</v>
      </c>
      <c r="O683" s="33">
        <v>45699</v>
      </c>
      <c r="P683" s="34">
        <v>114380.8984375</v>
      </c>
      <c r="Q683" s="34">
        <v>126204.2109375</v>
      </c>
      <c r="R683" s="34">
        <v>124973.7734375</v>
      </c>
      <c r="S683" s="29"/>
      <c r="T683" s="33"/>
      <c r="U683" s="35" t="b">
        <v>0</v>
      </c>
      <c r="V683" s="35" t="b">
        <v>0</v>
      </c>
      <c r="W683" s="35" t="b">
        <v>0</v>
      </c>
      <c r="Y683" s="31" cm="1">
        <f t="array" ref="Y683">IF(LEFT(_xll.BDP($C683, VOLUME_AVG_10D), 4) = "#N/A", "",  _xll.BDP($C683, VOLUME_AVG_10D))</f>
        <v>125494.3984375</v>
      </c>
      <c r="Z683" s="31" cm="1">
        <f t="array" ref="Z683">IF(LEFT(_xll.BDP($C683, VOLUME_AVG_30D), 4) = "#N/A", "",  _xll.BDP($C683, VOLUME_AVG_30D))</f>
        <v>114380.8984375</v>
      </c>
      <c r="AA683" s="31" cm="1">
        <f t="array" ref="AA683">IF(LEFT(_xll.BDP($C683, VOLUME_AVG_3M), 4) = "#N/A", "",  _xll.BDP($C683, VOLUME_AVG_3M))</f>
        <v>126204.2109375</v>
      </c>
      <c r="AB683" s="31" cm="1">
        <f t="array" ref="AB683">IF(LEFT(_xll.BDP($C683, VOLUME_AVG_6M), 4) = "#N/A", "",  _xll.BDP($C683, VOLUME_AVG_6M))</f>
        <v>124973.7734375</v>
      </c>
      <c r="AC683" s="31" cm="1">
        <f t="array" ref="AC683">IF(LEFT(_xll.BDP($C683, VOLUME_AVG_12M), 4) = "#N/A", "",  _xll.BDP($C683, VOLUME_AVG_12M))</f>
        <v>122358.15625</v>
      </c>
      <c r="AD683" s="41" cm="1">
        <f t="array" ref="AD683">IF(LEFT(_xll.BDP($C683, LAST_PRICE), 4) = "#N/A", "",  _xll.BDP($C683, LAST_PRICE))</f>
        <v>33.22</v>
      </c>
    </row>
    <row r="684" spans="1:30" x14ac:dyDescent="0.35">
      <c r="A684" s="1">
        <f t="shared" si="10"/>
        <v>681</v>
      </c>
      <c r="B684" s="28">
        <v>45700</v>
      </c>
      <c r="C684" s="29" t="s">
        <v>1418</v>
      </c>
      <c r="D684" s="29" t="s">
        <v>1418</v>
      </c>
      <c r="E684" s="29" t="s">
        <v>1419</v>
      </c>
      <c r="F684" s="29" t="s">
        <v>40</v>
      </c>
      <c r="G684" s="30" t="s">
        <v>41</v>
      </c>
      <c r="H684" s="31">
        <v>293762529.470079</v>
      </c>
      <c r="I684" s="31">
        <v>288688529.470079</v>
      </c>
      <c r="J684" s="32">
        <v>1.7400000095367401</v>
      </c>
      <c r="K684" s="33">
        <v>45700</v>
      </c>
      <c r="L684" s="31">
        <v>2300</v>
      </c>
      <c r="M684" s="32">
        <v>-30.75</v>
      </c>
      <c r="N684" s="31" t="s">
        <v>35</v>
      </c>
      <c r="O684" s="33">
        <v>45699</v>
      </c>
      <c r="P684" s="34">
        <v>826528.8</v>
      </c>
      <c r="Q684" s="34">
        <v>1250430</v>
      </c>
      <c r="R684" s="34">
        <v>1024602</v>
      </c>
      <c r="S684" s="29"/>
      <c r="T684" s="33"/>
      <c r="U684" s="35" t="b">
        <v>0</v>
      </c>
      <c r="V684" s="35" t="b">
        <v>0</v>
      </c>
      <c r="W684" s="35" t="b">
        <v>0</v>
      </c>
      <c r="Y684" s="31" cm="1">
        <f t="array" ref="Y684">IF(LEFT(_xll.BDP($C684, VOLUME_AVG_10D), 4) = "#N/A", "",  _xll.BDP($C684, VOLUME_AVG_10D))</f>
        <v>746421.6</v>
      </c>
      <c r="Z684" s="31" cm="1">
        <f t="array" ref="Z684">IF(LEFT(_xll.BDP($C684, VOLUME_AVG_30D), 4) = "#N/A", "",  _xll.BDP($C684, VOLUME_AVG_30D))</f>
        <v>826528.8</v>
      </c>
      <c r="AA684" s="31" cm="1">
        <f t="array" ref="AA684">IF(LEFT(_xll.BDP($C684, VOLUME_AVG_3M), 4) = "#N/A", "",  _xll.BDP($C684, VOLUME_AVG_3M))</f>
        <v>1250430</v>
      </c>
      <c r="AB684" s="31" cm="1">
        <f t="array" ref="AB684">IF(LEFT(_xll.BDP($C684, VOLUME_AVG_6M), 4) = "#N/A", "",  _xll.BDP($C684, VOLUME_AVG_6M))</f>
        <v>1024602</v>
      </c>
      <c r="AC684" s="31" cm="1">
        <f t="array" ref="AC684">IF(LEFT(_xll.BDP($C684, VOLUME_AVG_12M), 4) = "#N/A", "",  _xll.BDP($C684, VOLUME_AVG_12M))</f>
        <v>1216740</v>
      </c>
      <c r="AD684" s="41" cm="1">
        <f t="array" ref="AD684">IF(LEFT(_xll.BDP($C684, LAST_PRICE), 4) = "#N/A", "",  _xll.BDP($C684, LAST_PRICE))</f>
        <v>1.74</v>
      </c>
    </row>
    <row r="685" spans="1:30" x14ac:dyDescent="0.35">
      <c r="A685" s="1">
        <f t="shared" si="10"/>
        <v>682</v>
      </c>
      <c r="B685" s="28">
        <v>45700</v>
      </c>
      <c r="C685" s="29" t="s">
        <v>1420</v>
      </c>
      <c r="D685" s="29" t="s">
        <v>1420</v>
      </c>
      <c r="E685" s="29" t="s">
        <v>1421</v>
      </c>
      <c r="F685" s="29" t="s">
        <v>33</v>
      </c>
      <c r="G685" s="30" t="s">
        <v>34</v>
      </c>
      <c r="H685" s="31"/>
      <c r="I685" s="31"/>
      <c r="J685" s="32"/>
      <c r="K685" s="33">
        <v>45700</v>
      </c>
      <c r="L685" s="31"/>
      <c r="M685" s="32"/>
      <c r="N685" s="31"/>
      <c r="O685" s="33">
        <v>45699</v>
      </c>
      <c r="P685" s="34"/>
      <c r="Q685" s="34">
        <v>1.61290317773819E-2</v>
      </c>
      <c r="R685" s="34">
        <v>3.1825397014617902</v>
      </c>
      <c r="S685" s="29"/>
      <c r="T685" s="33"/>
      <c r="U685" s="35" t="b">
        <v>1</v>
      </c>
      <c r="V685" s="35" t="b">
        <v>1</v>
      </c>
      <c r="W685" s="35" t="b">
        <v>1</v>
      </c>
      <c r="Y685" s="31" cm="1">
        <f t="array" ref="Y685">IF(LEFT(_xll.BDP($C685, VOLUME_AVG_10D), 4) = "#N/A", "",  _xll.BDP($C685, VOLUME_AVG_10D))</f>
        <v>0</v>
      </c>
      <c r="Z685" s="31" cm="1">
        <f t="array" ref="Z685">IF(LEFT(_xll.BDP($C685, VOLUME_AVG_30D), 4) = "#N/A", "",  _xll.BDP($C685, VOLUME_AVG_30D))</f>
        <v>0</v>
      </c>
      <c r="AA685" s="31" cm="1">
        <f t="array" ref="AA685">IF(LEFT(_xll.BDP($C685, VOLUME_AVG_3M), 4) = "#N/A", "",  _xll.BDP($C685, VOLUME_AVG_3M))</f>
        <v>1.6129031777381897E-2</v>
      </c>
      <c r="AB685" s="31" cm="1">
        <f t="array" ref="AB685">IF(LEFT(_xll.BDP($C685, VOLUME_AVG_6M), 4) = "#N/A", "",  _xll.BDP($C685, VOLUME_AVG_6M))</f>
        <v>3.182539701461792</v>
      </c>
      <c r="AC685" s="31" cm="1">
        <f t="array" ref="AC685">IF(LEFT(_xll.BDP($C685, VOLUME_AVG_12M), 4) = "#N/A", "",  _xll.BDP($C685, VOLUME_AVG_12M))</f>
        <v>1.5976095199584961</v>
      </c>
      <c r="AD685" s="41" t="str" cm="1">
        <f t="array" ref="AD685">IF(LEFT(_xll.BDP($C685, LAST_PRICE), 4) = "#N/A", "",  _xll.BDP($C685, LAST_PRICE))</f>
        <v/>
      </c>
    </row>
    <row r="686" spans="1:30" x14ac:dyDescent="0.35">
      <c r="A686" s="1">
        <f t="shared" si="10"/>
        <v>683</v>
      </c>
      <c r="B686" s="28">
        <v>45700</v>
      </c>
      <c r="C686" s="29" t="s">
        <v>1422</v>
      </c>
      <c r="D686" s="29" t="s">
        <v>1422</v>
      </c>
      <c r="E686" s="29" t="s">
        <v>1423</v>
      </c>
      <c r="F686" s="29" t="s">
        <v>33</v>
      </c>
      <c r="G686" s="30" t="s">
        <v>34</v>
      </c>
      <c r="H686" s="31">
        <v>59730653.054301701</v>
      </c>
      <c r="I686" s="31">
        <v>43541653.054301701</v>
      </c>
      <c r="J686" s="32">
        <v>2.2400000095367401</v>
      </c>
      <c r="K686" s="33">
        <v>45700</v>
      </c>
      <c r="L686" s="31">
        <v>1335900</v>
      </c>
      <c r="M686" s="32">
        <v>0.8</v>
      </c>
      <c r="N686" s="31" t="s">
        <v>35</v>
      </c>
      <c r="O686" s="33">
        <v>45699</v>
      </c>
      <c r="P686" s="34">
        <v>111526.3671875</v>
      </c>
      <c r="Q686" s="34">
        <v>167844.875</v>
      </c>
      <c r="R686" s="34">
        <v>118877.1953125</v>
      </c>
      <c r="S686" s="29"/>
      <c r="T686" s="33"/>
      <c r="U686" s="35" t="b">
        <v>0</v>
      </c>
      <c r="V686" s="35" t="b">
        <v>0</v>
      </c>
      <c r="W686" s="35" t="b">
        <v>0</v>
      </c>
      <c r="Y686" s="31" cm="1">
        <f t="array" ref="Y686">IF(LEFT(_xll.BDP($C686, VOLUME_AVG_10D), 4) = "#N/A", "",  _xll.BDP($C686, VOLUME_AVG_10D))</f>
        <v>122957.796875</v>
      </c>
      <c r="Z686" s="31" cm="1">
        <f t="array" ref="Z686">IF(LEFT(_xll.BDP($C686, VOLUME_AVG_30D), 4) = "#N/A", "",  _xll.BDP($C686, VOLUME_AVG_30D))</f>
        <v>111526.3671875</v>
      </c>
      <c r="AA686" s="31" cm="1">
        <f t="array" ref="AA686">IF(LEFT(_xll.BDP($C686, VOLUME_AVG_3M), 4) = "#N/A", "",  _xll.BDP($C686, VOLUME_AVG_3M))</f>
        <v>167844.875</v>
      </c>
      <c r="AB686" s="31" cm="1">
        <f t="array" ref="AB686">IF(LEFT(_xll.BDP($C686, VOLUME_AVG_6M), 4) = "#N/A", "",  _xll.BDP($C686, VOLUME_AVG_6M))</f>
        <v>118877.1953125</v>
      </c>
      <c r="AC686" s="31" cm="1">
        <f t="array" ref="AC686">IF(LEFT(_xll.BDP($C686, VOLUME_AVG_12M), 4) = "#N/A", "",  _xll.BDP($C686, VOLUME_AVG_12M))</f>
        <v>120992.015625</v>
      </c>
      <c r="AD686" s="41" cm="1">
        <f t="array" ref="AD686">IF(LEFT(_xll.BDP($C686, LAST_PRICE), 4) = "#N/A", "",  _xll.BDP($C686, LAST_PRICE))</f>
        <v>2.2400000000000002</v>
      </c>
    </row>
    <row r="687" spans="1:30" x14ac:dyDescent="0.35">
      <c r="A687" s="1">
        <f t="shared" si="10"/>
        <v>684</v>
      </c>
      <c r="B687" s="28">
        <v>45700</v>
      </c>
      <c r="C687" s="29" t="s">
        <v>1424</v>
      </c>
      <c r="D687" s="29" t="s">
        <v>1424</v>
      </c>
      <c r="E687" s="29" t="s">
        <v>1425</v>
      </c>
      <c r="F687" s="29" t="s">
        <v>33</v>
      </c>
      <c r="G687" s="30" t="s">
        <v>34</v>
      </c>
      <c r="H687" s="31">
        <v>3743845.9046094399</v>
      </c>
      <c r="I687" s="31">
        <v>-1027084.09539056</v>
      </c>
      <c r="J687" s="32">
        <v>3.8190000057220499</v>
      </c>
      <c r="K687" s="33">
        <v>45700</v>
      </c>
      <c r="L687" s="31">
        <v>70100</v>
      </c>
      <c r="M687" s="32">
        <v>-8.5500000000000007</v>
      </c>
      <c r="N687" s="31" t="s">
        <v>35</v>
      </c>
      <c r="O687" s="33">
        <v>45699</v>
      </c>
      <c r="P687" s="34">
        <v>19145.1328125</v>
      </c>
      <c r="Q687" s="34">
        <v>34831.38671875</v>
      </c>
      <c r="R687" s="34">
        <v>201156.625</v>
      </c>
      <c r="S687" s="29"/>
      <c r="T687" s="33"/>
      <c r="U687" s="35" t="b">
        <v>1</v>
      </c>
      <c r="V687" s="35" t="b">
        <v>0</v>
      </c>
      <c r="W687" s="35" t="b">
        <v>1</v>
      </c>
      <c r="Y687" s="31" cm="1">
        <f t="array" ref="Y687">IF(LEFT(_xll.BDP($C687, VOLUME_AVG_10D), 4) = "#N/A", "",  _xll.BDP($C687, VOLUME_AVG_10D))</f>
        <v>23455.5</v>
      </c>
      <c r="Z687" s="31" cm="1">
        <f t="array" ref="Z687">IF(LEFT(_xll.BDP($C687, VOLUME_AVG_30D), 4) = "#N/A", "",  _xll.BDP($C687, VOLUME_AVG_30D))</f>
        <v>19145.1328125</v>
      </c>
      <c r="AA687" s="31" cm="1">
        <f t="array" ref="AA687">IF(LEFT(_xll.BDP($C687, VOLUME_AVG_3M), 4) = "#N/A", "",  _xll.BDP($C687, VOLUME_AVG_3M))</f>
        <v>34831.38671875</v>
      </c>
      <c r="AB687" s="31" cm="1">
        <f t="array" ref="AB687">IF(LEFT(_xll.BDP($C687, VOLUME_AVG_6M), 4) = "#N/A", "",  _xll.BDP($C687, VOLUME_AVG_6M))</f>
        <v>201156.625</v>
      </c>
      <c r="AC687" s="31" cm="1">
        <f t="array" ref="AC687">IF(LEFT(_xll.BDP($C687, VOLUME_AVG_12M), 4) = "#N/A", "",  _xll.BDP($C687, VOLUME_AVG_12M))</f>
        <v>127577.640625</v>
      </c>
      <c r="AD687" s="41" cm="1">
        <f t="array" ref="AD687">IF(LEFT(_xll.BDP($C687, LAST_PRICE), 4) = "#N/A", "",  _xll.BDP($C687, LAST_PRICE))</f>
        <v>3.819</v>
      </c>
    </row>
    <row r="688" spans="1:30" x14ac:dyDescent="0.35">
      <c r="A688" s="1">
        <f t="shared" si="10"/>
        <v>685</v>
      </c>
      <c r="B688" s="28">
        <v>45700</v>
      </c>
      <c r="C688" s="29" t="s">
        <v>1426</v>
      </c>
      <c r="D688" s="29" t="s">
        <v>1426</v>
      </c>
      <c r="E688" s="29" t="s">
        <v>1427</v>
      </c>
      <c r="F688" s="29" t="s">
        <v>33</v>
      </c>
      <c r="G688" s="30" t="s">
        <v>34</v>
      </c>
      <c r="H688" s="31">
        <v>3080535.2704478502</v>
      </c>
      <c r="I688" s="31">
        <v>-364464.72955215001</v>
      </c>
      <c r="J688" s="32">
        <v>0.54290002584457397</v>
      </c>
      <c r="K688" s="33">
        <v>45700</v>
      </c>
      <c r="L688" s="31">
        <v>799500</v>
      </c>
      <c r="M688" s="32">
        <v>-293.8</v>
      </c>
      <c r="N688" s="31" t="s">
        <v>35</v>
      </c>
      <c r="O688" s="33">
        <v>45699</v>
      </c>
      <c r="P688" s="34">
        <v>5116084.5</v>
      </c>
      <c r="Q688" s="34">
        <v>4627040.5</v>
      </c>
      <c r="R688" s="34">
        <v>2501903.75</v>
      </c>
      <c r="S688" s="29"/>
      <c r="T688" s="33"/>
      <c r="U688" s="35" t="b">
        <v>1</v>
      </c>
      <c r="V688" s="35" t="b">
        <v>0</v>
      </c>
      <c r="W688" s="35" t="b">
        <v>1</v>
      </c>
      <c r="Y688" s="31" cm="1">
        <f t="array" ref="Y688">IF(LEFT(_xll.BDP($C688, VOLUME_AVG_10D), 4) = "#N/A", "",  _xll.BDP($C688, VOLUME_AVG_10D))</f>
        <v>225318.703125</v>
      </c>
      <c r="Z688" s="31" cm="1">
        <f t="array" ref="Z688">IF(LEFT(_xll.BDP($C688, VOLUME_AVG_30D), 4) = "#N/A", "",  _xll.BDP($C688, VOLUME_AVG_30D))</f>
        <v>5116084.5</v>
      </c>
      <c r="AA688" s="31" cm="1">
        <f t="array" ref="AA688">IF(LEFT(_xll.BDP($C688, VOLUME_AVG_3M), 4) = "#N/A", "",  _xll.BDP($C688, VOLUME_AVG_3M))</f>
        <v>4627040.5</v>
      </c>
      <c r="AB688" s="31" cm="1">
        <f t="array" ref="AB688">IF(LEFT(_xll.BDP($C688, VOLUME_AVG_6M), 4) = "#N/A", "",  _xll.BDP($C688, VOLUME_AVG_6M))</f>
        <v>2501903.75</v>
      </c>
      <c r="AC688" s="31" cm="1">
        <f t="array" ref="AC688">IF(LEFT(_xll.BDP($C688, VOLUME_AVG_12M), 4) = "#N/A", "",  _xll.BDP($C688, VOLUME_AVG_12M))</f>
        <v>1418624.25</v>
      </c>
      <c r="AD688" s="41" cm="1">
        <f t="array" ref="AD688">IF(LEFT(_xll.BDP($C688, LAST_PRICE), 4) = "#N/A", "",  _xll.BDP($C688, LAST_PRICE))</f>
        <v>0.54290000000000005</v>
      </c>
    </row>
    <row r="689" spans="1:30" x14ac:dyDescent="0.35">
      <c r="A689" s="1">
        <f t="shared" si="10"/>
        <v>686</v>
      </c>
      <c r="B689" s="28">
        <v>45700</v>
      </c>
      <c r="C689" s="29" t="s">
        <v>1428</v>
      </c>
      <c r="D689" s="29" t="s">
        <v>1428</v>
      </c>
      <c r="E689" s="29" t="s">
        <v>1429</v>
      </c>
      <c r="F689" s="29" t="s">
        <v>33</v>
      </c>
      <c r="G689" s="30" t="s">
        <v>34</v>
      </c>
      <c r="H689" s="31">
        <v>1191627.46</v>
      </c>
      <c r="I689" s="31">
        <v>975093.46</v>
      </c>
      <c r="J689" s="32">
        <v>7.19</v>
      </c>
      <c r="K689" s="33">
        <v>45700</v>
      </c>
      <c r="L689" s="31"/>
      <c r="M689" s="32"/>
      <c r="N689" s="31"/>
      <c r="O689" s="33">
        <v>45699</v>
      </c>
      <c r="P689" s="34">
        <v>14.3333330154419</v>
      </c>
      <c r="Q689" s="34">
        <v>23.983871459960898</v>
      </c>
      <c r="R689" s="34">
        <v>19.230157852172901</v>
      </c>
      <c r="S689" s="29"/>
      <c r="T689" s="33"/>
      <c r="U689" s="35" t="b">
        <v>1</v>
      </c>
      <c r="V689" s="35" t="b">
        <v>0</v>
      </c>
      <c r="W689" s="35" t="b">
        <v>0</v>
      </c>
      <c r="Y689" s="31" cm="1">
        <f t="array" ref="Y689">IF(LEFT(_xll.BDP($C689, VOLUME_AVG_10D), 4) = "#N/A", "",  _xll.BDP($C689, VOLUME_AVG_10D))</f>
        <v>19</v>
      </c>
      <c r="Z689" s="31" cm="1">
        <f t="array" ref="Z689">IF(LEFT(_xll.BDP($C689, VOLUME_AVG_30D), 4) = "#N/A", "",  _xll.BDP($C689, VOLUME_AVG_30D))</f>
        <v>14.333333015441895</v>
      </c>
      <c r="AA689" s="31" cm="1">
        <f t="array" ref="AA689">IF(LEFT(_xll.BDP($C689, VOLUME_AVG_3M), 4) = "#N/A", "",  _xll.BDP($C689, VOLUME_AVG_3M))</f>
        <v>23.983871459960938</v>
      </c>
      <c r="AB689" s="31" cm="1">
        <f t="array" ref="AB689">IF(LEFT(_xll.BDP($C689, VOLUME_AVG_6M), 4) = "#N/A", "",  _xll.BDP($C689, VOLUME_AVG_6M))</f>
        <v>19.230157852172852</v>
      </c>
      <c r="AC689" s="31" cm="1">
        <f t="array" ref="AC689">IF(LEFT(_xll.BDP($C689, VOLUME_AVG_12M), 4) = "#N/A", "",  _xll.BDP($C689, VOLUME_AVG_12M))</f>
        <v>10.621514320373535</v>
      </c>
      <c r="AD689" s="41" cm="1">
        <f t="array" ref="AD689">IF(LEFT(_xll.BDP($C689, LAST_PRICE), 4) = "#N/A", "",  _xll.BDP($C689, LAST_PRICE))</f>
        <v>7.19</v>
      </c>
    </row>
    <row r="690" spans="1:30" x14ac:dyDescent="0.35">
      <c r="A690" s="1">
        <f t="shared" si="10"/>
        <v>687</v>
      </c>
      <c r="B690" s="28">
        <v>45700</v>
      </c>
      <c r="C690" s="29" t="s">
        <v>1430</v>
      </c>
      <c r="D690" s="29" t="s">
        <v>1430</v>
      </c>
      <c r="E690" s="29" t="s">
        <v>1431</v>
      </c>
      <c r="F690" s="29" t="s">
        <v>40</v>
      </c>
      <c r="G690" s="30" t="s">
        <v>41</v>
      </c>
      <c r="H690" s="31">
        <v>44538088.849454902</v>
      </c>
      <c r="I690" s="31">
        <v>44310088.849454902</v>
      </c>
      <c r="J690" s="32">
        <v>0.83999997377395597</v>
      </c>
      <c r="K690" s="33">
        <v>45700</v>
      </c>
      <c r="L690" s="31"/>
      <c r="M690" s="32"/>
      <c r="N690" s="31"/>
      <c r="O690" s="33">
        <v>45699</v>
      </c>
      <c r="P690" s="34">
        <v>1240.7</v>
      </c>
      <c r="Q690" s="34">
        <v>9342.6720000000005</v>
      </c>
      <c r="R690" s="34">
        <v>10096.67</v>
      </c>
      <c r="S690" s="29"/>
      <c r="T690" s="33"/>
      <c r="U690" s="35" t="b">
        <v>0</v>
      </c>
      <c r="V690" s="35" t="b">
        <v>0</v>
      </c>
      <c r="W690" s="35" t="b">
        <v>0</v>
      </c>
      <c r="Y690" s="31" cm="1">
        <f t="array" ref="Y690">IF(LEFT(_xll.BDP($C690, VOLUME_AVG_10D), 4) = "#N/A", "",  _xll.BDP($C690, VOLUME_AVG_10D))</f>
        <v>1239.7</v>
      </c>
      <c r="Z690" s="31" cm="1">
        <f t="array" ref="Z690">IF(LEFT(_xll.BDP($C690, VOLUME_AVG_30D), 4) = "#N/A", "",  _xll.BDP($C690, VOLUME_AVG_30D))</f>
        <v>1240.7</v>
      </c>
      <c r="AA690" s="31" cm="1">
        <f t="array" ref="AA690">IF(LEFT(_xll.BDP($C690, VOLUME_AVG_3M), 4) = "#N/A", "",  _xll.BDP($C690, VOLUME_AVG_3M))</f>
        <v>9342.6720000000005</v>
      </c>
      <c r="AB690" s="31" cm="1">
        <f t="array" ref="AB690">IF(LEFT(_xll.BDP($C690, VOLUME_AVG_6M), 4) = "#N/A", "",  _xll.BDP($C690, VOLUME_AVG_6M))</f>
        <v>10096.67</v>
      </c>
      <c r="AC690" s="31" cm="1">
        <f t="array" ref="AC690">IF(LEFT(_xll.BDP($C690, VOLUME_AVG_12M), 4) = "#N/A", "",  _xll.BDP($C690, VOLUME_AVG_12M))</f>
        <v>6494.8760000000002</v>
      </c>
      <c r="AD690" s="41" cm="1">
        <f t="array" ref="AD690">IF(LEFT(_xll.BDP($C690, LAST_PRICE), 4) = "#N/A", "",  _xll.BDP($C690, LAST_PRICE))</f>
        <v>0.84</v>
      </c>
    </row>
    <row r="691" spans="1:30" x14ac:dyDescent="0.35">
      <c r="A691" s="1">
        <f t="shared" si="10"/>
        <v>688</v>
      </c>
      <c r="B691" s="28">
        <v>45700</v>
      </c>
      <c r="C691" s="29" t="s">
        <v>1432</v>
      </c>
      <c r="D691" s="29" t="s">
        <v>1432</v>
      </c>
      <c r="E691" s="29" t="s">
        <v>1433</v>
      </c>
      <c r="F691" s="29" t="s">
        <v>33</v>
      </c>
      <c r="G691" s="30" t="s">
        <v>34</v>
      </c>
      <c r="H691" s="31"/>
      <c r="I691" s="31"/>
      <c r="J691" s="32"/>
      <c r="K691" s="33">
        <v>45700</v>
      </c>
      <c r="L691" s="31"/>
      <c r="M691" s="32"/>
      <c r="N691" s="31"/>
      <c r="O691" s="33">
        <v>45699</v>
      </c>
      <c r="P691" s="34"/>
      <c r="Q691" s="34">
        <v>171.53225708007801</v>
      </c>
      <c r="R691" s="34">
        <v>1651.16662597656</v>
      </c>
      <c r="S691" s="29"/>
      <c r="T691" s="33"/>
      <c r="U691" s="35" t="b">
        <v>1</v>
      </c>
      <c r="V691" s="35" t="b">
        <v>1</v>
      </c>
      <c r="W691" s="35" t="b">
        <v>1</v>
      </c>
      <c r="Y691" s="31" cm="1">
        <f t="array" ref="Y691">IF(LEFT(_xll.BDP($C691, VOLUME_AVG_10D), 4) = "#N/A", "",  _xll.BDP($C691, VOLUME_AVG_10D))</f>
        <v>0</v>
      </c>
      <c r="Z691" s="31" cm="1">
        <f t="array" ref="Z691">IF(LEFT(_xll.BDP($C691, VOLUME_AVG_30D), 4) = "#N/A", "",  _xll.BDP($C691, VOLUME_AVG_30D))</f>
        <v>0</v>
      </c>
      <c r="AA691" s="31" cm="1">
        <f t="array" ref="AA691">IF(LEFT(_xll.BDP($C691, VOLUME_AVG_3M), 4) = "#N/A", "",  _xll.BDP($C691, VOLUME_AVG_3M))</f>
        <v>171.53225708007813</v>
      </c>
      <c r="AB691" s="31" cm="1">
        <f t="array" ref="AB691">IF(LEFT(_xll.BDP($C691, VOLUME_AVG_6M), 4) = "#N/A", "",  _xll.BDP($C691, VOLUME_AVG_6M))</f>
        <v>1651.1666259765625</v>
      </c>
      <c r="AC691" s="31" cm="1">
        <f t="array" ref="AC691">IF(LEFT(_xll.BDP($C691, VOLUME_AVG_12M), 4) = "#N/A", "",  _xll.BDP($C691, VOLUME_AVG_12M))</f>
        <v>1073.589599609375</v>
      </c>
      <c r="AD691" s="41" t="str" cm="1">
        <f t="array" ref="AD691">IF(LEFT(_xll.BDP($C691, LAST_PRICE), 4) = "#N/A", "",  _xll.BDP($C691, LAST_PRICE))</f>
        <v/>
      </c>
    </row>
    <row r="692" spans="1:30" x14ac:dyDescent="0.35">
      <c r="A692" s="1">
        <f t="shared" si="10"/>
        <v>689</v>
      </c>
      <c r="B692" s="28">
        <v>45700</v>
      </c>
      <c r="C692" s="29" t="s">
        <v>1434</v>
      </c>
      <c r="D692" s="29" t="s">
        <v>1434</v>
      </c>
      <c r="E692" s="29" t="s">
        <v>1435</v>
      </c>
      <c r="F692" s="29" t="s">
        <v>40</v>
      </c>
      <c r="G692" s="30" t="s">
        <v>41</v>
      </c>
      <c r="H692" s="31">
        <v>34974582.418257102</v>
      </c>
      <c r="I692" s="31">
        <v>39685260.418257102</v>
      </c>
      <c r="J692" s="32">
        <v>0.239999994635582</v>
      </c>
      <c r="K692" s="33">
        <v>45700</v>
      </c>
      <c r="L692" s="31">
        <v>40200</v>
      </c>
      <c r="M692" s="32">
        <v>1.65</v>
      </c>
      <c r="N692" s="31" t="s">
        <v>35</v>
      </c>
      <c r="O692" s="33">
        <v>45699</v>
      </c>
      <c r="P692" s="34">
        <v>824175.8</v>
      </c>
      <c r="Q692" s="34">
        <v>455482</v>
      </c>
      <c r="R692" s="34">
        <v>347777.9</v>
      </c>
      <c r="S692" s="29"/>
      <c r="T692" s="33"/>
      <c r="U692" s="35" t="b">
        <v>0</v>
      </c>
      <c r="V692" s="35" t="b">
        <v>0</v>
      </c>
      <c r="W692" s="35" t="b">
        <v>0</v>
      </c>
      <c r="Y692" s="31" cm="1">
        <f t="array" ref="Y692">IF(LEFT(_xll.BDP($C692, VOLUME_AVG_10D), 4) = "#N/A", "",  _xll.BDP($C692, VOLUME_AVG_10D))</f>
        <v>485085.2</v>
      </c>
      <c r="Z692" s="31" cm="1">
        <f t="array" ref="Z692">IF(LEFT(_xll.BDP($C692, VOLUME_AVG_30D), 4) = "#N/A", "",  _xll.BDP($C692, VOLUME_AVG_30D))</f>
        <v>824175.8</v>
      </c>
      <c r="AA692" s="31" cm="1">
        <f t="array" ref="AA692">IF(LEFT(_xll.BDP($C692, VOLUME_AVG_3M), 4) = "#N/A", "",  _xll.BDP($C692, VOLUME_AVG_3M))</f>
        <v>455482</v>
      </c>
      <c r="AB692" s="31" cm="1">
        <f t="array" ref="AB692">IF(LEFT(_xll.BDP($C692, VOLUME_AVG_6M), 4) = "#N/A", "",  _xll.BDP($C692, VOLUME_AVG_6M))</f>
        <v>347777.9</v>
      </c>
      <c r="AC692" s="31" cm="1">
        <f t="array" ref="AC692">IF(LEFT(_xll.BDP($C692, VOLUME_AVG_12M), 4) = "#N/A", "",  _xll.BDP($C692, VOLUME_AVG_12M))</f>
        <v>221453.5</v>
      </c>
      <c r="AD692" s="41" cm="1">
        <f t="array" ref="AD692">IF(LEFT(_xll.BDP($C692, LAST_PRICE), 4) = "#N/A", "",  _xll.BDP($C692, LAST_PRICE))</f>
        <v>0.24</v>
      </c>
    </row>
    <row r="693" spans="1:30" x14ac:dyDescent="0.35">
      <c r="A693" s="1">
        <f t="shared" si="10"/>
        <v>690</v>
      </c>
      <c r="B693" s="28">
        <v>45700</v>
      </c>
      <c r="C693" s="29" t="s">
        <v>1436</v>
      </c>
      <c r="D693" s="29" t="s">
        <v>1436</v>
      </c>
      <c r="E693" s="29" t="s">
        <v>1437</v>
      </c>
      <c r="F693" s="29" t="s">
        <v>33</v>
      </c>
      <c r="G693" s="30" t="s">
        <v>34</v>
      </c>
      <c r="H693" s="31">
        <v>9625395516.3028908</v>
      </c>
      <c r="I693" s="31">
        <v>13959395516.3029</v>
      </c>
      <c r="J693" s="32">
        <v>77.199996948242202</v>
      </c>
      <c r="K693" s="33">
        <v>45700</v>
      </c>
      <c r="L693" s="31">
        <v>38299400</v>
      </c>
      <c r="M693" s="32">
        <v>3.88</v>
      </c>
      <c r="N693" s="31" t="s">
        <v>35</v>
      </c>
      <c r="O693" s="33">
        <v>45699</v>
      </c>
      <c r="P693" s="34">
        <v>1364257.25</v>
      </c>
      <c r="Q693" s="34">
        <v>1559307.75</v>
      </c>
      <c r="R693" s="34">
        <v>1613920.75</v>
      </c>
      <c r="S693" s="29"/>
      <c r="T693" s="33"/>
      <c r="U693" s="35" t="b">
        <v>0</v>
      </c>
      <c r="V693" s="35" t="b">
        <v>0</v>
      </c>
      <c r="W693" s="35" t="b">
        <v>0</v>
      </c>
      <c r="Y693" s="31" cm="1">
        <f t="array" ref="Y693">IF(LEFT(_xll.BDP($C693, VOLUME_AVG_10D), 4) = "#N/A", "",  _xll.BDP($C693, VOLUME_AVG_10D))</f>
        <v>2136827.5</v>
      </c>
      <c r="Z693" s="31" cm="1">
        <f t="array" ref="Z693">IF(LEFT(_xll.BDP($C693, VOLUME_AVG_30D), 4) = "#N/A", "",  _xll.BDP($C693, VOLUME_AVG_30D))</f>
        <v>1364257.25</v>
      </c>
      <c r="AA693" s="31" cm="1">
        <f t="array" ref="AA693">IF(LEFT(_xll.BDP($C693, VOLUME_AVG_3M), 4) = "#N/A", "",  _xll.BDP($C693, VOLUME_AVG_3M))</f>
        <v>1559307.75</v>
      </c>
      <c r="AB693" s="31" cm="1">
        <f t="array" ref="AB693">IF(LEFT(_xll.BDP($C693, VOLUME_AVG_6M), 4) = "#N/A", "",  _xll.BDP($C693, VOLUME_AVG_6M))</f>
        <v>1613920.75</v>
      </c>
      <c r="AC693" s="31" cm="1">
        <f t="array" ref="AC693">IF(LEFT(_xll.BDP($C693, VOLUME_AVG_12M), 4) = "#N/A", "",  _xll.BDP($C693, VOLUME_AVG_12M))</f>
        <v>1447079.125</v>
      </c>
      <c r="AD693" s="41" cm="1">
        <f t="array" ref="AD693">IF(LEFT(_xll.BDP($C693, LAST_PRICE), 4) = "#N/A", "",  _xll.BDP($C693, LAST_PRICE))</f>
        <v>77.2</v>
      </c>
    </row>
    <row r="694" spans="1:30" x14ac:dyDescent="0.35">
      <c r="A694" s="1">
        <f t="shared" si="10"/>
        <v>691</v>
      </c>
      <c r="B694" s="28">
        <v>45700</v>
      </c>
      <c r="C694" s="29" t="s">
        <v>1438</v>
      </c>
      <c r="D694" s="29" t="s">
        <v>1438</v>
      </c>
      <c r="E694" s="29" t="s">
        <v>1439</v>
      </c>
      <c r="F694" s="29" t="s">
        <v>33</v>
      </c>
      <c r="G694" s="30" t="s">
        <v>34</v>
      </c>
      <c r="H694" s="31">
        <v>6947461.4207101902</v>
      </c>
      <c r="I694" s="31">
        <v>9369188.4207101893</v>
      </c>
      <c r="J694" s="32">
        <v>0.20049999654293099</v>
      </c>
      <c r="K694" s="33">
        <v>45700</v>
      </c>
      <c r="L694" s="31">
        <v>519700</v>
      </c>
      <c r="M694" s="32">
        <v>-42.1</v>
      </c>
      <c r="N694" s="31" t="s">
        <v>35</v>
      </c>
      <c r="O694" s="33">
        <v>45699</v>
      </c>
      <c r="P694" s="34">
        <v>37545128</v>
      </c>
      <c r="Q694" s="34">
        <v>18182126</v>
      </c>
      <c r="R694" s="34">
        <v>8968416</v>
      </c>
      <c r="S694" s="29"/>
      <c r="T694" s="33"/>
      <c r="U694" s="35" t="b">
        <v>1</v>
      </c>
      <c r="V694" s="35" t="b">
        <v>0</v>
      </c>
      <c r="W694" s="35" t="b">
        <v>0</v>
      </c>
      <c r="Y694" s="31" cm="1">
        <f t="array" ref="Y694">IF(LEFT(_xll.BDP($C694, VOLUME_AVG_10D), 4) = "#N/A", "",  _xll.BDP($C694, VOLUME_AVG_10D))</f>
        <v>15822172</v>
      </c>
      <c r="Z694" s="31" cm="1">
        <f t="array" ref="Z694">IF(LEFT(_xll.BDP($C694, VOLUME_AVG_30D), 4) = "#N/A", "",  _xll.BDP($C694, VOLUME_AVG_30D))</f>
        <v>37545128</v>
      </c>
      <c r="AA694" s="31" cm="1">
        <f t="array" ref="AA694">IF(LEFT(_xll.BDP($C694, VOLUME_AVG_3M), 4) = "#N/A", "",  _xll.BDP($C694, VOLUME_AVG_3M))</f>
        <v>18182126</v>
      </c>
      <c r="AB694" s="31" cm="1">
        <f t="array" ref="AB694">IF(LEFT(_xll.BDP($C694, VOLUME_AVG_6M), 4) = "#N/A", "",  _xll.BDP($C694, VOLUME_AVG_6M))</f>
        <v>8968416</v>
      </c>
      <c r="AC694" s="31" cm="1">
        <f t="array" ref="AC694">IF(LEFT(_xll.BDP($C694, VOLUME_AVG_12M), 4) = "#N/A", "",  _xll.BDP($C694, VOLUME_AVG_12M))</f>
        <v>4559493.5</v>
      </c>
      <c r="AD694" s="41" cm="1">
        <f t="array" ref="AD694">IF(LEFT(_xll.BDP($C694, LAST_PRICE), 4) = "#N/A", "",  _xll.BDP($C694, LAST_PRICE))</f>
        <v>0.20050000000000001</v>
      </c>
    </row>
    <row r="695" spans="1:30" x14ac:dyDescent="0.35">
      <c r="A695" s="1">
        <f t="shared" si="10"/>
        <v>692</v>
      </c>
      <c r="B695" s="28">
        <v>45700</v>
      </c>
      <c r="C695" s="29" t="s">
        <v>1440</v>
      </c>
      <c r="D695" s="29" t="s">
        <v>1440</v>
      </c>
      <c r="E695" s="29" t="s">
        <v>1441</v>
      </c>
      <c r="F695" s="29" t="s">
        <v>40</v>
      </c>
      <c r="G695" s="30" t="s">
        <v>41</v>
      </c>
      <c r="H695" s="31">
        <v>5315745.2400196204</v>
      </c>
      <c r="I695" s="31">
        <v>6617156.2400196204</v>
      </c>
      <c r="J695" s="32">
        <v>6.4999997615814195E-2</v>
      </c>
      <c r="K695" s="33">
        <v>45700</v>
      </c>
      <c r="L695" s="31"/>
      <c r="M695" s="32"/>
      <c r="N695" s="31"/>
      <c r="O695" s="33">
        <v>45699</v>
      </c>
      <c r="P695" s="34">
        <v>38697.33</v>
      </c>
      <c r="Q695" s="34">
        <v>33625.47</v>
      </c>
      <c r="R695" s="34">
        <v>38056.019999999997</v>
      </c>
      <c r="S695" s="29"/>
      <c r="T695" s="33"/>
      <c r="U695" s="35" t="b">
        <v>1</v>
      </c>
      <c r="V695" s="35" t="b">
        <v>1</v>
      </c>
      <c r="W695" s="35" t="b">
        <v>0</v>
      </c>
      <c r="Y695" s="31" cm="1">
        <f t="array" ref="Y695">IF(LEFT(_xll.BDP($C695, VOLUME_AVG_10D), 4) = "#N/A", "",  _xll.BDP($C695, VOLUME_AVG_10D))</f>
        <v>31958</v>
      </c>
      <c r="Z695" s="31" cm="1">
        <f t="array" ref="Z695">IF(LEFT(_xll.BDP($C695, VOLUME_AVG_30D), 4) = "#N/A", "",  _xll.BDP($C695, VOLUME_AVG_30D))</f>
        <v>38697.33</v>
      </c>
      <c r="AA695" s="31" cm="1">
        <f t="array" ref="AA695">IF(LEFT(_xll.BDP($C695, VOLUME_AVG_3M), 4) = "#N/A", "",  _xll.BDP($C695, VOLUME_AVG_3M))</f>
        <v>33625.47</v>
      </c>
      <c r="AB695" s="31" cm="1">
        <f t="array" ref="AB695">IF(LEFT(_xll.BDP($C695, VOLUME_AVG_6M), 4) = "#N/A", "",  _xll.BDP($C695, VOLUME_AVG_6M))</f>
        <v>38056.019999999997</v>
      </c>
      <c r="AC695" s="31" cm="1">
        <f t="array" ref="AC695">IF(LEFT(_xll.BDP($C695, VOLUME_AVG_12M), 4) = "#N/A", "",  _xll.BDP($C695, VOLUME_AVG_12M))</f>
        <v>43873.2</v>
      </c>
      <c r="AD695" s="41" cm="1">
        <f t="array" ref="AD695">IF(LEFT(_xll.BDP($C695, LAST_PRICE), 4) = "#N/A", "",  _xll.BDP($C695, LAST_PRICE))</f>
        <v>6.5000000000000002E-2</v>
      </c>
    </row>
    <row r="696" spans="1:30" x14ac:dyDescent="0.35">
      <c r="A696" s="1">
        <f t="shared" si="10"/>
        <v>693</v>
      </c>
      <c r="B696" s="28">
        <v>45700</v>
      </c>
      <c r="C696" s="29" t="s">
        <v>1442</v>
      </c>
      <c r="D696" s="29" t="s">
        <v>1442</v>
      </c>
      <c r="E696" s="29" t="s">
        <v>1443</v>
      </c>
      <c r="F696" s="29" t="s">
        <v>33</v>
      </c>
      <c r="G696" s="30" t="s">
        <v>34</v>
      </c>
      <c r="H696" s="31">
        <v>55269.244400000003</v>
      </c>
      <c r="I696" s="31">
        <v>-25743.7556</v>
      </c>
      <c r="J696" s="32">
        <v>9.9999999747524292E-7</v>
      </c>
      <c r="K696" s="33">
        <v>45700</v>
      </c>
      <c r="L696" s="31"/>
      <c r="M696" s="32"/>
      <c r="N696" s="31"/>
      <c r="O696" s="33">
        <v>45699</v>
      </c>
      <c r="P696" s="34">
        <v>19364.099609375</v>
      </c>
      <c r="Q696" s="34">
        <v>24091.2578125</v>
      </c>
      <c r="R696" s="34">
        <v>15047.2138671875</v>
      </c>
      <c r="S696" s="29"/>
      <c r="T696" s="33"/>
      <c r="U696" s="35" t="b">
        <v>1</v>
      </c>
      <c r="V696" s="35" t="b">
        <v>1</v>
      </c>
      <c r="W696" s="35" t="b">
        <v>1</v>
      </c>
      <c r="Y696" s="31" cm="1">
        <f t="array" ref="Y696">IF(LEFT(_xll.BDP($C696, VOLUME_AVG_10D), 4) = "#N/A", "",  _xll.BDP($C696, VOLUME_AVG_10D))</f>
        <v>40040</v>
      </c>
      <c r="Z696" s="31" cm="1">
        <f t="array" ref="Z696">IF(LEFT(_xll.BDP($C696, VOLUME_AVG_30D), 4) = "#N/A", "",  _xll.BDP($C696, VOLUME_AVG_30D))</f>
        <v>19364.099609375</v>
      </c>
      <c r="AA696" s="31" cm="1">
        <f t="array" ref="AA696">IF(LEFT(_xll.BDP($C696, VOLUME_AVG_3M), 4) = "#N/A", "",  _xll.BDP($C696, VOLUME_AVG_3M))</f>
        <v>24091.2578125</v>
      </c>
      <c r="AB696" s="31" cm="1">
        <f t="array" ref="AB696">IF(LEFT(_xll.BDP($C696, VOLUME_AVG_6M), 4) = "#N/A", "",  _xll.BDP($C696, VOLUME_AVG_6M))</f>
        <v>15047.2138671875</v>
      </c>
      <c r="AC696" s="31" cm="1">
        <f t="array" ref="AC696">IF(LEFT(_xll.BDP($C696, VOLUME_AVG_12M), 4) = "#N/A", "",  _xll.BDP($C696, VOLUME_AVG_12M))</f>
        <v>64252.3046875</v>
      </c>
      <c r="AD696" s="41" cm="1">
        <f t="array" ref="AD696">IF(LEFT(_xll.BDP($C696, LAST_PRICE), 4) = "#N/A", "",  _xll.BDP($C696, LAST_PRICE))</f>
        <v>9.9999999999999995E-7</v>
      </c>
    </row>
    <row r="697" spans="1:30" x14ac:dyDescent="0.35">
      <c r="A697" s="1">
        <f t="shared" si="10"/>
        <v>694</v>
      </c>
      <c r="B697" s="28">
        <v>45700</v>
      </c>
      <c r="C697" s="29" t="s">
        <v>1444</v>
      </c>
      <c r="D697" s="29" t="s">
        <v>1444</v>
      </c>
      <c r="E697" s="29" t="s">
        <v>1445</v>
      </c>
      <c r="F697" s="29" t="s">
        <v>33</v>
      </c>
      <c r="G697" s="30" t="s">
        <v>34</v>
      </c>
      <c r="H697" s="31">
        <v>266667870.97795099</v>
      </c>
      <c r="I697" s="31">
        <v>374023870.97795099</v>
      </c>
      <c r="J697" s="32">
        <v>1.6599999666214</v>
      </c>
      <c r="K697" s="33">
        <v>45700</v>
      </c>
      <c r="L697" s="31">
        <v>5891300</v>
      </c>
      <c r="M697" s="32">
        <v>1.85</v>
      </c>
      <c r="N697" s="31" t="s">
        <v>35</v>
      </c>
      <c r="O697" s="33">
        <v>45699</v>
      </c>
      <c r="P697" s="34">
        <v>1385750.625</v>
      </c>
      <c r="Q697" s="34">
        <v>3158626</v>
      </c>
      <c r="R697" s="34">
        <v>2477154.75</v>
      </c>
      <c r="S697" s="29" t="s">
        <v>285</v>
      </c>
      <c r="T697" s="33">
        <v>45446</v>
      </c>
      <c r="U697" s="35" t="b">
        <v>0</v>
      </c>
      <c r="V697" s="35" t="b">
        <v>0</v>
      </c>
      <c r="W697" s="35" t="b">
        <v>0</v>
      </c>
      <c r="Y697" s="31" cm="1">
        <f t="array" ref="Y697">IF(LEFT(_xll.BDP($C697, VOLUME_AVG_10D), 4) = "#N/A", "",  _xll.BDP($C697, VOLUME_AVG_10D))</f>
        <v>1187091.25</v>
      </c>
      <c r="Z697" s="31" cm="1">
        <f t="array" ref="Z697">IF(LEFT(_xll.BDP($C697, VOLUME_AVG_30D), 4) = "#N/A", "",  _xll.BDP($C697, VOLUME_AVG_30D))</f>
        <v>1385750.625</v>
      </c>
      <c r="AA697" s="31" cm="1">
        <f t="array" ref="AA697">IF(LEFT(_xll.BDP($C697, VOLUME_AVG_3M), 4) = "#N/A", "",  _xll.BDP($C697, VOLUME_AVG_3M))</f>
        <v>3158626</v>
      </c>
      <c r="AB697" s="31" cm="1">
        <f t="array" ref="AB697">IF(LEFT(_xll.BDP($C697, VOLUME_AVG_6M), 4) = "#N/A", "",  _xll.BDP($C697, VOLUME_AVG_6M))</f>
        <v>2477154.75</v>
      </c>
      <c r="AC697" s="31" cm="1">
        <f t="array" ref="AC697">IF(LEFT(_xll.BDP($C697, VOLUME_AVG_12M), 4) = "#N/A", "",  _xll.BDP($C697, VOLUME_AVG_12M))</f>
        <v>2430416.25</v>
      </c>
      <c r="AD697" s="41" cm="1">
        <f t="array" ref="AD697">IF(LEFT(_xll.BDP($C697, LAST_PRICE), 4) = "#N/A", "",  _xll.BDP($C697, LAST_PRICE))</f>
        <v>1.66</v>
      </c>
    </row>
    <row r="698" spans="1:30" x14ac:dyDescent="0.35">
      <c r="A698" s="1">
        <f t="shared" si="10"/>
        <v>695</v>
      </c>
      <c r="B698" s="28">
        <v>45700</v>
      </c>
      <c r="C698" s="29" t="s">
        <v>1446</v>
      </c>
      <c r="D698" s="29" t="s">
        <v>1446</v>
      </c>
      <c r="E698" s="29" t="s">
        <v>1447</v>
      </c>
      <c r="F698" s="29" t="s">
        <v>40</v>
      </c>
      <c r="G698" s="30" t="s">
        <v>41</v>
      </c>
      <c r="H698" s="31">
        <v>304179882.02848798</v>
      </c>
      <c r="I698" s="31">
        <v>320162882.02848798</v>
      </c>
      <c r="J698" s="32">
        <v>3.7599999904632599</v>
      </c>
      <c r="K698" s="33">
        <v>45700</v>
      </c>
      <c r="L698" s="31">
        <v>3213800</v>
      </c>
      <c r="M698" s="32">
        <v>-6.3</v>
      </c>
      <c r="N698" s="31" t="s">
        <v>35</v>
      </c>
      <c r="O698" s="33">
        <v>45699</v>
      </c>
      <c r="P698" s="34">
        <v>130614.5</v>
      </c>
      <c r="Q698" s="34">
        <v>197580.9</v>
      </c>
      <c r="R698" s="34">
        <v>200666.7</v>
      </c>
      <c r="S698" s="29"/>
      <c r="T698" s="33"/>
      <c r="U698" s="35" t="b">
        <v>0</v>
      </c>
      <c r="V698" s="35" t="b">
        <v>0</v>
      </c>
      <c r="W698" s="35" t="b">
        <v>0</v>
      </c>
      <c r="Y698" s="31" cm="1">
        <f t="array" ref="Y698">IF(LEFT(_xll.BDP($C698, VOLUME_AVG_10D), 4) = "#N/A", "",  _xll.BDP($C698, VOLUME_AVG_10D))</f>
        <v>159062.6</v>
      </c>
      <c r="Z698" s="31" cm="1">
        <f t="array" ref="Z698">IF(LEFT(_xll.BDP($C698, VOLUME_AVG_30D), 4) = "#N/A", "",  _xll.BDP($C698, VOLUME_AVG_30D))</f>
        <v>130614.5</v>
      </c>
      <c r="AA698" s="31" cm="1">
        <f t="array" ref="AA698">IF(LEFT(_xll.BDP($C698, VOLUME_AVG_3M), 4) = "#N/A", "",  _xll.BDP($C698, VOLUME_AVG_3M))</f>
        <v>197580.9</v>
      </c>
      <c r="AB698" s="31" cm="1">
        <f t="array" ref="AB698">IF(LEFT(_xll.BDP($C698, VOLUME_AVG_6M), 4) = "#N/A", "",  _xll.BDP($C698, VOLUME_AVG_6M))</f>
        <v>200666.7</v>
      </c>
      <c r="AC698" s="31" cm="1">
        <f t="array" ref="AC698">IF(LEFT(_xll.BDP($C698, VOLUME_AVG_12M), 4) = "#N/A", "",  _xll.BDP($C698, VOLUME_AVG_12M))</f>
        <v>204517.2</v>
      </c>
      <c r="AD698" s="41" cm="1">
        <f t="array" ref="AD698">IF(LEFT(_xll.BDP($C698, LAST_PRICE), 4) = "#N/A", "",  _xll.BDP($C698, LAST_PRICE))</f>
        <v>3.76</v>
      </c>
    </row>
    <row r="699" spans="1:30" x14ac:dyDescent="0.35">
      <c r="A699" s="1">
        <f t="shared" si="10"/>
        <v>696</v>
      </c>
      <c r="B699" s="28">
        <v>45700</v>
      </c>
      <c r="C699" s="29" t="s">
        <v>1448</v>
      </c>
      <c r="D699" s="29" t="s">
        <v>1448</v>
      </c>
      <c r="E699" s="29" t="s">
        <v>1449</v>
      </c>
      <c r="F699" s="29" t="s">
        <v>33</v>
      </c>
      <c r="G699" s="30" t="s">
        <v>34</v>
      </c>
      <c r="H699" s="31">
        <v>86662562.274987698</v>
      </c>
      <c r="I699" s="31">
        <v>-77674437.725012302</v>
      </c>
      <c r="J699" s="32">
        <v>1.7400000095367401</v>
      </c>
      <c r="K699" s="33">
        <v>45700</v>
      </c>
      <c r="L699" s="31">
        <v>5005900</v>
      </c>
      <c r="M699" s="32">
        <v>3.45</v>
      </c>
      <c r="N699" s="31" t="s">
        <v>35</v>
      </c>
      <c r="O699" s="33">
        <v>45699</v>
      </c>
      <c r="P699" s="34">
        <v>237588.140625</v>
      </c>
      <c r="Q699" s="34">
        <v>246355.765625</v>
      </c>
      <c r="R699" s="34">
        <v>253865.359375</v>
      </c>
      <c r="S699" s="29" t="s">
        <v>353</v>
      </c>
      <c r="T699" s="33">
        <v>45446</v>
      </c>
      <c r="U699" s="35" t="b">
        <v>0</v>
      </c>
      <c r="V699" s="35" t="b">
        <v>0</v>
      </c>
      <c r="W699" s="35" t="b">
        <v>1</v>
      </c>
      <c r="Y699" s="31" cm="1">
        <f t="array" ref="Y699">IF(LEFT(_xll.BDP($C699, VOLUME_AVG_10D), 4) = "#N/A", "",  _xll.BDP($C699, VOLUME_AVG_10D))</f>
        <v>201937.09375</v>
      </c>
      <c r="Z699" s="31" cm="1">
        <f t="array" ref="Z699">IF(LEFT(_xll.BDP($C699, VOLUME_AVG_30D), 4) = "#N/A", "",  _xll.BDP($C699, VOLUME_AVG_30D))</f>
        <v>237588.140625</v>
      </c>
      <c r="AA699" s="31" cm="1">
        <f t="array" ref="AA699">IF(LEFT(_xll.BDP($C699, VOLUME_AVG_3M), 4) = "#N/A", "",  _xll.BDP($C699, VOLUME_AVG_3M))</f>
        <v>246355.765625</v>
      </c>
      <c r="AB699" s="31" cm="1">
        <f t="array" ref="AB699">IF(LEFT(_xll.BDP($C699, VOLUME_AVG_6M), 4) = "#N/A", "",  _xll.BDP($C699, VOLUME_AVG_6M))</f>
        <v>253865.359375</v>
      </c>
      <c r="AC699" s="31" cm="1">
        <f t="array" ref="AC699">IF(LEFT(_xll.BDP($C699, VOLUME_AVG_12M), 4) = "#N/A", "",  _xll.BDP($C699, VOLUME_AVG_12M))</f>
        <v>427257.53125</v>
      </c>
      <c r="AD699" s="41" cm="1">
        <f t="array" ref="AD699">IF(LEFT(_xll.BDP($C699, LAST_PRICE), 4) = "#N/A", "",  _xll.BDP($C699, LAST_PRICE))</f>
        <v>1.74</v>
      </c>
    </row>
    <row r="700" spans="1:30" x14ac:dyDescent="0.35">
      <c r="A700" s="1">
        <f t="shared" si="10"/>
        <v>697</v>
      </c>
      <c r="B700" s="28">
        <v>45700</v>
      </c>
      <c r="C700" s="29" t="s">
        <v>1450</v>
      </c>
      <c r="D700" s="29" t="s">
        <v>1450</v>
      </c>
      <c r="E700" s="29" t="s">
        <v>1451</v>
      </c>
      <c r="F700" s="29" t="s">
        <v>33</v>
      </c>
      <c r="G700" s="30" t="s">
        <v>34</v>
      </c>
      <c r="H700" s="31">
        <v>10124322176.0973</v>
      </c>
      <c r="I700" s="31">
        <v>9881609176.0972691</v>
      </c>
      <c r="J700" s="32">
        <v>46.340000152587898</v>
      </c>
      <c r="K700" s="33">
        <v>45700</v>
      </c>
      <c r="L700" s="31">
        <v>51831600</v>
      </c>
      <c r="M700" s="32">
        <v>3.88</v>
      </c>
      <c r="N700" s="31" t="s">
        <v>35</v>
      </c>
      <c r="O700" s="33">
        <v>45699</v>
      </c>
      <c r="P700" s="34">
        <v>11564451</v>
      </c>
      <c r="Q700" s="34">
        <v>15602321</v>
      </c>
      <c r="R700" s="34">
        <v>13037693</v>
      </c>
      <c r="S700" s="29"/>
      <c r="T700" s="33"/>
      <c r="U700" s="35" t="b">
        <v>0</v>
      </c>
      <c r="V700" s="35" t="b">
        <v>0</v>
      </c>
      <c r="W700" s="35" t="b">
        <v>0</v>
      </c>
      <c r="Y700" s="31" cm="1">
        <f t="array" ref="Y700">IF(LEFT(_xll.BDP($C700, VOLUME_AVG_10D), 4) = "#N/A", "",  _xll.BDP($C700, VOLUME_AVG_10D))</f>
        <v>14806240</v>
      </c>
      <c r="Z700" s="31" cm="1">
        <f t="array" ref="Z700">IF(LEFT(_xll.BDP($C700, VOLUME_AVG_30D), 4) = "#N/A", "",  _xll.BDP($C700, VOLUME_AVG_30D))</f>
        <v>11564451</v>
      </c>
      <c r="AA700" s="31" cm="1">
        <f t="array" ref="AA700">IF(LEFT(_xll.BDP($C700, VOLUME_AVG_3M), 4) = "#N/A", "",  _xll.BDP($C700, VOLUME_AVG_3M))</f>
        <v>15602321</v>
      </c>
      <c r="AB700" s="31" cm="1">
        <f t="array" ref="AB700">IF(LEFT(_xll.BDP($C700, VOLUME_AVG_6M), 4) = "#N/A", "",  _xll.BDP($C700, VOLUME_AVG_6M))</f>
        <v>13037693</v>
      </c>
      <c r="AC700" s="31" cm="1">
        <f t="array" ref="AC700">IF(LEFT(_xll.BDP($C700, VOLUME_AVG_12M), 4) = "#N/A", "",  _xll.BDP($C700, VOLUME_AVG_12M))</f>
        <v>11056883</v>
      </c>
      <c r="AD700" s="41" cm="1">
        <f t="array" ref="AD700">IF(LEFT(_xll.BDP($C700, LAST_PRICE), 4) = "#N/A", "",  _xll.BDP($C700, LAST_PRICE))</f>
        <v>46.34</v>
      </c>
    </row>
    <row r="701" spans="1:30" x14ac:dyDescent="0.35">
      <c r="A701" s="1">
        <f t="shared" si="10"/>
        <v>698</v>
      </c>
      <c r="B701" s="28">
        <v>45700</v>
      </c>
      <c r="C701" s="29" t="s">
        <v>1452</v>
      </c>
      <c r="D701" s="29" t="s">
        <v>1452</v>
      </c>
      <c r="E701" s="29" t="s">
        <v>1453</v>
      </c>
      <c r="F701" s="29" t="s">
        <v>40</v>
      </c>
      <c r="G701" s="30" t="s">
        <v>41</v>
      </c>
      <c r="H701" s="31">
        <v>134166651.669553</v>
      </c>
      <c r="I701" s="31">
        <v>145617814.9188</v>
      </c>
      <c r="J701" s="32">
        <v>4.2199997901916504</v>
      </c>
      <c r="K701" s="33">
        <v>45700</v>
      </c>
      <c r="L701" s="31">
        <v>3209800</v>
      </c>
      <c r="M701" s="32">
        <v>3.4</v>
      </c>
      <c r="N701" s="31" t="s">
        <v>35</v>
      </c>
      <c r="O701" s="33">
        <v>45699</v>
      </c>
      <c r="P701" s="34">
        <v>29663.83</v>
      </c>
      <c r="Q701" s="34">
        <v>84079.72</v>
      </c>
      <c r="R701" s="34">
        <v>60578.76</v>
      </c>
      <c r="S701" s="29"/>
      <c r="T701" s="33"/>
      <c r="U701" s="35" t="b">
        <v>0</v>
      </c>
      <c r="V701" s="35" t="b">
        <v>0</v>
      </c>
      <c r="W701" s="35" t="b">
        <v>0</v>
      </c>
      <c r="Y701" s="31" cm="1">
        <f t="array" ref="Y701">IF(LEFT(_xll.BDP($C701, VOLUME_AVG_10D), 4) = "#N/A", "",  _xll.BDP($C701, VOLUME_AVG_10D))</f>
        <v>38522</v>
      </c>
      <c r="Z701" s="31" cm="1">
        <f t="array" ref="Z701">IF(LEFT(_xll.BDP($C701, VOLUME_AVG_30D), 4) = "#N/A", "",  _xll.BDP($C701, VOLUME_AVG_30D))</f>
        <v>29663.83</v>
      </c>
      <c r="AA701" s="31" cm="1">
        <f t="array" ref="AA701">IF(LEFT(_xll.BDP($C701, VOLUME_AVG_3M), 4) = "#N/A", "",  _xll.BDP($C701, VOLUME_AVG_3M))</f>
        <v>84079.72</v>
      </c>
      <c r="AB701" s="31" cm="1">
        <f t="array" ref="AB701">IF(LEFT(_xll.BDP($C701, VOLUME_AVG_6M), 4) = "#N/A", "",  _xll.BDP($C701, VOLUME_AVG_6M))</f>
        <v>60578.76</v>
      </c>
      <c r="AC701" s="31" cm="1">
        <f t="array" ref="AC701">IF(LEFT(_xll.BDP($C701, VOLUME_AVG_12M), 4) = "#N/A", "",  _xll.BDP($C701, VOLUME_AVG_12M))</f>
        <v>45114.71</v>
      </c>
      <c r="AD701" s="41" cm="1">
        <f t="array" ref="AD701">IF(LEFT(_xll.BDP($C701, LAST_PRICE), 4) = "#N/A", "",  _xll.BDP($C701, LAST_PRICE))</f>
        <v>4.22</v>
      </c>
    </row>
    <row r="702" spans="1:30" x14ac:dyDescent="0.35">
      <c r="A702" s="1">
        <f t="shared" si="10"/>
        <v>699</v>
      </c>
      <c r="B702" s="28">
        <v>45700</v>
      </c>
      <c r="C702" s="29" t="s">
        <v>1454</v>
      </c>
      <c r="D702" s="29" t="s">
        <v>1454</v>
      </c>
      <c r="E702" s="29" t="s">
        <v>1455</v>
      </c>
      <c r="F702" s="29" t="s">
        <v>33</v>
      </c>
      <c r="G702" s="30" t="s">
        <v>34</v>
      </c>
      <c r="H702" s="31">
        <v>14255471776.446899</v>
      </c>
      <c r="I702" s="31">
        <v>14823171776.446899</v>
      </c>
      <c r="J702" s="32">
        <v>63.529998779296903</v>
      </c>
      <c r="K702" s="33">
        <v>45700</v>
      </c>
      <c r="L702" s="31">
        <v>82399104</v>
      </c>
      <c r="M702" s="32">
        <v>3.88</v>
      </c>
      <c r="N702" s="31" t="s">
        <v>35</v>
      </c>
      <c r="O702" s="33">
        <v>45699</v>
      </c>
      <c r="P702" s="34">
        <v>2471736</v>
      </c>
      <c r="Q702" s="34">
        <v>2337398</v>
      </c>
      <c r="R702" s="34">
        <v>1891056.375</v>
      </c>
      <c r="S702" s="29" t="s">
        <v>671</v>
      </c>
      <c r="T702" s="33">
        <v>45215</v>
      </c>
      <c r="U702" s="35" t="b">
        <v>0</v>
      </c>
      <c r="V702" s="35" t="b">
        <v>0</v>
      </c>
      <c r="W702" s="35" t="b">
        <v>0</v>
      </c>
      <c r="Y702" s="31" cm="1">
        <f t="array" ref="Y702">IF(LEFT(_xll.BDP($C702, VOLUME_AVG_10D), 4) = "#N/A", "",  _xll.BDP($C702, VOLUME_AVG_10D))</f>
        <v>2745127</v>
      </c>
      <c r="Z702" s="31" cm="1">
        <f t="array" ref="Z702">IF(LEFT(_xll.BDP($C702, VOLUME_AVG_30D), 4) = "#N/A", "",  _xll.BDP($C702, VOLUME_AVG_30D))</f>
        <v>2471736</v>
      </c>
      <c r="AA702" s="31" cm="1">
        <f t="array" ref="AA702">IF(LEFT(_xll.BDP($C702, VOLUME_AVG_3M), 4) = "#N/A", "",  _xll.BDP($C702, VOLUME_AVG_3M))</f>
        <v>2337398</v>
      </c>
      <c r="AB702" s="31" cm="1">
        <f t="array" ref="AB702">IF(LEFT(_xll.BDP($C702, VOLUME_AVG_6M), 4) = "#N/A", "",  _xll.BDP($C702, VOLUME_AVG_6M))</f>
        <v>1891056.375</v>
      </c>
      <c r="AC702" s="31" cm="1">
        <f t="array" ref="AC702">IF(LEFT(_xll.BDP($C702, VOLUME_AVG_12M), 4) = "#N/A", "",  _xll.BDP($C702, VOLUME_AVG_12M))</f>
        <v>1736233.25</v>
      </c>
      <c r="AD702" s="41" cm="1">
        <f t="array" ref="AD702">IF(LEFT(_xll.BDP($C702, LAST_PRICE), 4) = "#N/A", "",  _xll.BDP($C702, LAST_PRICE))</f>
        <v>63.53</v>
      </c>
    </row>
    <row r="703" spans="1:30" x14ac:dyDescent="0.35">
      <c r="A703" s="1">
        <f t="shared" si="10"/>
        <v>700</v>
      </c>
      <c r="B703" s="28">
        <v>45700</v>
      </c>
      <c r="C703" s="29" t="s">
        <v>1456</v>
      </c>
      <c r="D703" s="29" t="s">
        <v>1456</v>
      </c>
      <c r="E703" s="29" t="s">
        <v>1457</v>
      </c>
      <c r="F703" s="29" t="s">
        <v>33</v>
      </c>
      <c r="G703" s="30" t="s">
        <v>34</v>
      </c>
      <c r="H703" s="31">
        <v>18701500.718451299</v>
      </c>
      <c r="I703" s="31">
        <v>-38223499.281548701</v>
      </c>
      <c r="J703" s="32">
        <v>1.8899999856948899</v>
      </c>
      <c r="K703" s="33">
        <v>45700</v>
      </c>
      <c r="L703" s="31">
        <v>775000</v>
      </c>
      <c r="M703" s="32">
        <v>3.75</v>
      </c>
      <c r="N703" s="31" t="s">
        <v>35</v>
      </c>
      <c r="O703" s="33">
        <v>45699</v>
      </c>
      <c r="P703" s="34">
        <v>186624.203125</v>
      </c>
      <c r="Q703" s="34">
        <v>126810.046875</v>
      </c>
      <c r="R703" s="34">
        <v>78359.359375</v>
      </c>
      <c r="S703" s="29" t="s">
        <v>46</v>
      </c>
      <c r="T703" s="33">
        <v>45446</v>
      </c>
      <c r="U703" s="35" t="b">
        <v>1</v>
      </c>
      <c r="V703" s="35" t="b">
        <v>0</v>
      </c>
      <c r="W703" s="35" t="b">
        <v>1</v>
      </c>
      <c r="Y703" s="31" cm="1">
        <f t="array" ref="Y703">IF(LEFT(_xll.BDP($C703, VOLUME_AVG_10D), 4) = "#N/A", "",  _xll.BDP($C703, VOLUME_AVG_10D))</f>
        <v>38401.30078125</v>
      </c>
      <c r="Z703" s="31" cm="1">
        <f t="array" ref="Z703">IF(LEFT(_xll.BDP($C703, VOLUME_AVG_30D), 4) = "#N/A", "",  _xll.BDP($C703, VOLUME_AVG_30D))</f>
        <v>186624.203125</v>
      </c>
      <c r="AA703" s="31" cm="1">
        <f t="array" ref="AA703">IF(LEFT(_xll.BDP($C703, VOLUME_AVG_3M), 4) = "#N/A", "",  _xll.BDP($C703, VOLUME_AVG_3M))</f>
        <v>126810.046875</v>
      </c>
      <c r="AB703" s="31" cm="1">
        <f t="array" ref="AB703">IF(LEFT(_xll.BDP($C703, VOLUME_AVG_6M), 4) = "#N/A", "",  _xll.BDP($C703, VOLUME_AVG_6M))</f>
        <v>78359.359375</v>
      </c>
      <c r="AC703" s="31" cm="1">
        <f t="array" ref="AC703">IF(LEFT(_xll.BDP($C703, VOLUME_AVG_12M), 4) = "#N/A", "",  _xll.BDP($C703, VOLUME_AVG_12M))</f>
        <v>74007.265625</v>
      </c>
      <c r="AD703" s="41" cm="1">
        <f t="array" ref="AD703">IF(LEFT(_xll.BDP($C703, LAST_PRICE), 4) = "#N/A", "",  _xll.BDP($C703, LAST_PRICE))</f>
        <v>1.89</v>
      </c>
    </row>
    <row r="704" spans="1:30" x14ac:dyDescent="0.35">
      <c r="A704" s="1">
        <f t="shared" si="10"/>
        <v>701</v>
      </c>
      <c r="B704" s="28">
        <v>45700</v>
      </c>
      <c r="C704" s="29" t="s">
        <v>1458</v>
      </c>
      <c r="D704" s="29" t="s">
        <v>1458</v>
      </c>
      <c r="E704" s="29" t="s">
        <v>1459</v>
      </c>
      <c r="F704" s="29" t="s">
        <v>33</v>
      </c>
      <c r="G704" s="30" t="s">
        <v>34</v>
      </c>
      <c r="H704" s="31">
        <v>7456108.6162791299</v>
      </c>
      <c r="I704" s="31">
        <v>-566654.38372087397</v>
      </c>
      <c r="J704" s="32">
        <v>1.08000004291534</v>
      </c>
      <c r="K704" s="33">
        <v>45700</v>
      </c>
      <c r="L704" s="31">
        <v>1043000</v>
      </c>
      <c r="M704" s="32">
        <v>-58.45</v>
      </c>
      <c r="N704" s="31" t="s">
        <v>35</v>
      </c>
      <c r="O704" s="33">
        <v>45699</v>
      </c>
      <c r="P704" s="34">
        <v>17297250</v>
      </c>
      <c r="Q704" s="34">
        <v>8927724</v>
      </c>
      <c r="R704" s="34">
        <v>6223230.5</v>
      </c>
      <c r="S704" s="29"/>
      <c r="T704" s="33"/>
      <c r="U704" s="35" t="b">
        <v>1</v>
      </c>
      <c r="V704" s="35" t="b">
        <v>0</v>
      </c>
      <c r="W704" s="35" t="b">
        <v>1</v>
      </c>
      <c r="Y704" s="31" cm="1">
        <f t="array" ref="Y704">IF(LEFT(_xll.BDP($C704, VOLUME_AVG_10D), 4) = "#N/A", "",  _xll.BDP($C704, VOLUME_AVG_10D))</f>
        <v>474744</v>
      </c>
      <c r="Z704" s="31" cm="1">
        <f t="array" ref="Z704">IF(LEFT(_xll.BDP($C704, VOLUME_AVG_30D), 4) = "#N/A", "",  _xll.BDP($C704, VOLUME_AVG_30D))</f>
        <v>17297250</v>
      </c>
      <c r="AA704" s="31" cm="1">
        <f t="array" ref="AA704">IF(LEFT(_xll.BDP($C704, VOLUME_AVG_3M), 4) = "#N/A", "",  _xll.BDP($C704, VOLUME_AVG_3M))</f>
        <v>8927724</v>
      </c>
      <c r="AB704" s="31" cm="1">
        <f t="array" ref="AB704">IF(LEFT(_xll.BDP($C704, VOLUME_AVG_6M), 4) = "#N/A", "",  _xll.BDP($C704, VOLUME_AVG_6M))</f>
        <v>6223230.5</v>
      </c>
      <c r="AC704" s="31" cm="1">
        <f t="array" ref="AC704">IF(LEFT(_xll.BDP($C704, VOLUME_AVG_12M), 4) = "#N/A", "",  _xll.BDP($C704, VOLUME_AVG_12M))</f>
        <v>3415712.5</v>
      </c>
      <c r="AD704" s="41" cm="1">
        <f t="array" ref="AD704">IF(LEFT(_xll.BDP($C704, LAST_PRICE), 4) = "#N/A", "",  _xll.BDP($C704, LAST_PRICE))</f>
        <v>1.08</v>
      </c>
    </row>
    <row r="705" spans="1:30" x14ac:dyDescent="0.35">
      <c r="A705" s="1">
        <f t="shared" si="10"/>
        <v>702</v>
      </c>
      <c r="B705" s="28">
        <v>45700</v>
      </c>
      <c r="C705" s="29" t="s">
        <v>1460</v>
      </c>
      <c r="D705" s="29" t="s">
        <v>1460</v>
      </c>
      <c r="E705" s="29" t="s">
        <v>1461</v>
      </c>
      <c r="F705" s="29" t="s">
        <v>33</v>
      </c>
      <c r="G705" s="30" t="s">
        <v>34</v>
      </c>
      <c r="H705" s="31">
        <v>31223108.859999999</v>
      </c>
      <c r="I705" s="31">
        <v>31254302.859999999</v>
      </c>
      <c r="J705" s="32">
        <v>0.73</v>
      </c>
      <c r="K705" s="33">
        <v>45700</v>
      </c>
      <c r="L705" s="31"/>
      <c r="M705" s="32"/>
      <c r="N705" s="31"/>
      <c r="O705" s="33">
        <v>45699</v>
      </c>
      <c r="P705" s="34">
        <v>277.26666259765602</v>
      </c>
      <c r="Q705" s="34">
        <v>514.03228759765602</v>
      </c>
      <c r="R705" s="34">
        <v>357.66665649414102</v>
      </c>
      <c r="S705" s="29"/>
      <c r="T705" s="33"/>
      <c r="U705" s="35" t="b">
        <v>0</v>
      </c>
      <c r="V705" s="35" t="b">
        <v>0</v>
      </c>
      <c r="W705" s="35" t="b">
        <v>0</v>
      </c>
      <c r="Y705" s="31" cm="1">
        <f t="array" ref="Y705">IF(LEFT(_xll.BDP($C705, VOLUME_AVG_10D), 4) = "#N/A", "",  _xll.BDP($C705, VOLUME_AVG_10D))</f>
        <v>80</v>
      </c>
      <c r="Z705" s="31" cm="1">
        <f t="array" ref="Z705">IF(LEFT(_xll.BDP($C705, VOLUME_AVG_30D), 4) = "#N/A", "",  _xll.BDP($C705, VOLUME_AVG_30D))</f>
        <v>277.26666259765625</v>
      </c>
      <c r="AA705" s="31" cm="1">
        <f t="array" ref="AA705">IF(LEFT(_xll.BDP($C705, VOLUME_AVG_3M), 4) = "#N/A", "",  _xll.BDP($C705, VOLUME_AVG_3M))</f>
        <v>514.03228759765625</v>
      </c>
      <c r="AB705" s="31" cm="1">
        <f t="array" ref="AB705">IF(LEFT(_xll.BDP($C705, VOLUME_AVG_6M), 4) = "#N/A", "",  _xll.BDP($C705, VOLUME_AVG_6M))</f>
        <v>357.66665649414063</v>
      </c>
      <c r="AC705" s="31" cm="1">
        <f t="array" ref="AC705">IF(LEFT(_xll.BDP($C705, VOLUME_AVG_12M), 4) = "#N/A", "",  _xll.BDP($C705, VOLUME_AVG_12M))</f>
        <v>352.262939453125</v>
      </c>
      <c r="AD705" s="41" cm="1">
        <f t="array" ref="AD705">IF(LEFT(_xll.BDP($C705, LAST_PRICE), 4) = "#N/A", "",  _xll.BDP($C705, LAST_PRICE))</f>
        <v>0.73</v>
      </c>
    </row>
    <row r="706" spans="1:30" x14ac:dyDescent="0.35">
      <c r="A706" s="1">
        <f t="shared" si="10"/>
        <v>703</v>
      </c>
      <c r="B706" s="28">
        <v>45700</v>
      </c>
      <c r="C706" s="29" t="s">
        <v>1462</v>
      </c>
      <c r="D706" s="29" t="s">
        <v>1462</v>
      </c>
      <c r="E706" s="29" t="s">
        <v>1463</v>
      </c>
      <c r="F706" s="29" t="s">
        <v>33</v>
      </c>
      <c r="G706" s="30" t="s">
        <v>34</v>
      </c>
      <c r="H706" s="31">
        <v>498403608.96115899</v>
      </c>
      <c r="I706" s="31">
        <v>495156608.96115899</v>
      </c>
      <c r="J706" s="32">
        <v>3.96000003814697</v>
      </c>
      <c r="K706" s="33">
        <v>45700</v>
      </c>
      <c r="L706" s="31">
        <v>849200</v>
      </c>
      <c r="M706" s="32">
        <v>-7.5</v>
      </c>
      <c r="N706" s="31" t="s">
        <v>35</v>
      </c>
      <c r="O706" s="33">
        <v>45699</v>
      </c>
      <c r="P706" s="34">
        <v>2700913.25</v>
      </c>
      <c r="Q706" s="34">
        <v>4330224.5</v>
      </c>
      <c r="R706" s="34">
        <v>3636154.25</v>
      </c>
      <c r="S706" s="29" t="s">
        <v>1464</v>
      </c>
      <c r="T706" s="33">
        <v>45446</v>
      </c>
      <c r="U706" s="35" t="b">
        <v>0</v>
      </c>
      <c r="V706" s="35" t="b">
        <v>0</v>
      </c>
      <c r="W706" s="35" t="b">
        <v>0</v>
      </c>
      <c r="Y706" s="31" cm="1">
        <f t="array" ref="Y706">IF(LEFT(_xll.BDP($C706, VOLUME_AVG_10D), 4) = "#N/A", "",  _xll.BDP($C706, VOLUME_AVG_10D))</f>
        <v>1520347.75</v>
      </c>
      <c r="Z706" s="31" cm="1">
        <f t="array" ref="Z706">IF(LEFT(_xll.BDP($C706, VOLUME_AVG_30D), 4) = "#N/A", "",  _xll.BDP($C706, VOLUME_AVG_30D))</f>
        <v>2700913.25</v>
      </c>
      <c r="AA706" s="31" cm="1">
        <f t="array" ref="AA706">IF(LEFT(_xll.BDP($C706, VOLUME_AVG_3M), 4) = "#N/A", "",  _xll.BDP($C706, VOLUME_AVG_3M))</f>
        <v>4330224.5</v>
      </c>
      <c r="AB706" s="31" cm="1">
        <f t="array" ref="AB706">IF(LEFT(_xll.BDP($C706, VOLUME_AVG_6M), 4) = "#N/A", "",  _xll.BDP($C706, VOLUME_AVG_6M))</f>
        <v>3636154.25</v>
      </c>
      <c r="AC706" s="31" cm="1">
        <f t="array" ref="AC706">IF(LEFT(_xll.BDP($C706, VOLUME_AVG_12M), 4) = "#N/A", "",  _xll.BDP($C706, VOLUME_AVG_12M))</f>
        <v>3056334</v>
      </c>
      <c r="AD706" s="41" cm="1">
        <f t="array" ref="AD706">IF(LEFT(_xll.BDP($C706, LAST_PRICE), 4) = "#N/A", "",  _xll.BDP($C706, LAST_PRICE))</f>
        <v>3.96</v>
      </c>
    </row>
    <row r="707" spans="1:30" x14ac:dyDescent="0.35">
      <c r="A707" s="1">
        <f t="shared" si="10"/>
        <v>704</v>
      </c>
      <c r="B707" s="28">
        <v>45700</v>
      </c>
      <c r="C707" s="29" t="s">
        <v>1465</v>
      </c>
      <c r="D707" s="29" t="s">
        <v>1465</v>
      </c>
      <c r="E707" s="29" t="s">
        <v>1466</v>
      </c>
      <c r="F707" s="29" t="s">
        <v>33</v>
      </c>
      <c r="G707" s="30" t="s">
        <v>34</v>
      </c>
      <c r="H707" s="31">
        <v>31310561373.303501</v>
      </c>
      <c r="I707" s="31">
        <v>22372561373.303501</v>
      </c>
      <c r="J707" s="32">
        <v>260.02999877929699</v>
      </c>
      <c r="K707" s="33">
        <v>45700</v>
      </c>
      <c r="L707" s="31">
        <v>39019900</v>
      </c>
      <c r="M707" s="32">
        <v>3.88</v>
      </c>
      <c r="N707" s="31" t="s">
        <v>35</v>
      </c>
      <c r="O707" s="33">
        <v>45699</v>
      </c>
      <c r="P707" s="34">
        <v>1586647.625</v>
      </c>
      <c r="Q707" s="34">
        <v>1720953.75</v>
      </c>
      <c r="R707" s="34">
        <v>1980016.25</v>
      </c>
      <c r="S707" s="29"/>
      <c r="T707" s="33"/>
      <c r="U707" s="35" t="b">
        <v>0</v>
      </c>
      <c r="V707" s="35" t="b">
        <v>0</v>
      </c>
      <c r="W707" s="35" t="b">
        <v>0</v>
      </c>
      <c r="Y707" s="31" cm="1">
        <f t="array" ref="Y707">IF(LEFT(_xll.BDP($C707, VOLUME_AVG_10D), 4) = "#N/A", "",  _xll.BDP($C707, VOLUME_AVG_10D))</f>
        <v>1800940.5</v>
      </c>
      <c r="Z707" s="31" cm="1">
        <f t="array" ref="Z707">IF(LEFT(_xll.BDP($C707, VOLUME_AVG_30D), 4) = "#N/A", "",  _xll.BDP($C707, VOLUME_AVG_30D))</f>
        <v>1586647.625</v>
      </c>
      <c r="AA707" s="31" cm="1">
        <f t="array" ref="AA707">IF(LEFT(_xll.BDP($C707, VOLUME_AVG_3M), 4) = "#N/A", "",  _xll.BDP($C707, VOLUME_AVG_3M))</f>
        <v>1720953.75</v>
      </c>
      <c r="AB707" s="31" cm="1">
        <f t="array" ref="AB707">IF(LEFT(_xll.BDP($C707, VOLUME_AVG_6M), 4) = "#N/A", "",  _xll.BDP($C707, VOLUME_AVG_6M))</f>
        <v>1980016.25</v>
      </c>
      <c r="AC707" s="31" cm="1">
        <f t="array" ref="AC707">IF(LEFT(_xll.BDP($C707, VOLUME_AVG_12M), 4) = "#N/A", "",  _xll.BDP($C707, VOLUME_AVG_12M))</f>
        <v>1740981.625</v>
      </c>
      <c r="AD707" s="41" cm="1">
        <f t="array" ref="AD707">IF(LEFT(_xll.BDP($C707, LAST_PRICE), 4) = "#N/A", "",  _xll.BDP($C707, LAST_PRICE))</f>
        <v>260.02999999999997</v>
      </c>
    </row>
    <row r="708" spans="1:30" x14ac:dyDescent="0.35">
      <c r="A708" s="1">
        <f t="shared" si="10"/>
        <v>705</v>
      </c>
      <c r="B708" s="28">
        <v>45700</v>
      </c>
      <c r="C708" s="29" t="s">
        <v>1467</v>
      </c>
      <c r="D708" s="29" t="s">
        <v>1467</v>
      </c>
      <c r="E708" s="29" t="s">
        <v>1468</v>
      </c>
      <c r="F708" s="29" t="s">
        <v>33</v>
      </c>
      <c r="G708" s="30" t="s">
        <v>34</v>
      </c>
      <c r="H708" s="31">
        <v>92952032.493581802</v>
      </c>
      <c r="I708" s="31">
        <v>17769032.493581802</v>
      </c>
      <c r="J708" s="32">
        <v>1.20000004768372</v>
      </c>
      <c r="K708" s="33">
        <v>45700</v>
      </c>
      <c r="L708" s="31">
        <v>7823700</v>
      </c>
      <c r="M708" s="32">
        <v>1.3</v>
      </c>
      <c r="N708" s="31" t="s">
        <v>35</v>
      </c>
      <c r="O708" s="33">
        <v>45699</v>
      </c>
      <c r="P708" s="34">
        <v>389001</v>
      </c>
      <c r="Q708" s="34">
        <v>253732.90625</v>
      </c>
      <c r="R708" s="34">
        <v>178073.234375</v>
      </c>
      <c r="S708" s="29"/>
      <c r="T708" s="33"/>
      <c r="U708" s="35" t="b">
        <v>0</v>
      </c>
      <c r="V708" s="35" t="b">
        <v>0</v>
      </c>
      <c r="W708" s="35" t="b">
        <v>0</v>
      </c>
      <c r="Y708" s="31" cm="1">
        <f t="array" ref="Y708">IF(LEFT(_xll.BDP($C708, VOLUME_AVG_10D), 4) = "#N/A", "",  _xll.BDP($C708, VOLUME_AVG_10D))</f>
        <v>917268.375</v>
      </c>
      <c r="Z708" s="31" cm="1">
        <f t="array" ref="Z708">IF(LEFT(_xll.BDP($C708, VOLUME_AVG_30D), 4) = "#N/A", "",  _xll.BDP($C708, VOLUME_AVG_30D))</f>
        <v>389001</v>
      </c>
      <c r="AA708" s="31" cm="1">
        <f t="array" ref="AA708">IF(LEFT(_xll.BDP($C708, VOLUME_AVG_3M), 4) = "#N/A", "",  _xll.BDP($C708, VOLUME_AVG_3M))</f>
        <v>253732.90625</v>
      </c>
      <c r="AB708" s="31" cm="1">
        <f t="array" ref="AB708">IF(LEFT(_xll.BDP($C708, VOLUME_AVG_6M), 4) = "#N/A", "",  _xll.BDP($C708, VOLUME_AVG_6M))</f>
        <v>178073.234375</v>
      </c>
      <c r="AC708" s="31" cm="1">
        <f t="array" ref="AC708">IF(LEFT(_xll.BDP($C708, VOLUME_AVG_12M), 4) = "#N/A", "",  _xll.BDP($C708, VOLUME_AVG_12M))</f>
        <v>143081.84375</v>
      </c>
      <c r="AD708" s="41" cm="1">
        <f t="array" ref="AD708">IF(LEFT(_xll.BDP($C708, LAST_PRICE), 4) = "#N/A", "",  _xll.BDP($C708, LAST_PRICE))</f>
        <v>1.2</v>
      </c>
    </row>
    <row r="709" spans="1:30" x14ac:dyDescent="0.35">
      <c r="A709" s="1">
        <f t="shared" si="10"/>
        <v>706</v>
      </c>
      <c r="B709" s="28">
        <v>45700</v>
      </c>
      <c r="C709" s="29" t="s">
        <v>1469</v>
      </c>
      <c r="D709" s="29" t="s">
        <v>1469</v>
      </c>
      <c r="E709" s="29" t="s">
        <v>1470</v>
      </c>
      <c r="F709" s="29" t="s">
        <v>33</v>
      </c>
      <c r="G709" s="30" t="s">
        <v>34</v>
      </c>
      <c r="H709" s="31"/>
      <c r="I709" s="31"/>
      <c r="J709" s="32">
        <v>9.9999999747524292E-7</v>
      </c>
      <c r="K709" s="33">
        <v>45700</v>
      </c>
      <c r="L709" s="31"/>
      <c r="M709" s="32"/>
      <c r="N709" s="31"/>
      <c r="O709" s="33">
        <v>45699</v>
      </c>
      <c r="P709" s="34">
        <v>3833.36669921875</v>
      </c>
      <c r="Q709" s="34">
        <v>3282.27416992188</v>
      </c>
      <c r="R709" s="34">
        <v>6172.89697265625</v>
      </c>
      <c r="S709" s="29"/>
      <c r="T709" s="33"/>
      <c r="U709" s="35" t="b">
        <v>1</v>
      </c>
      <c r="V709" s="35" t="b">
        <v>1</v>
      </c>
      <c r="W709" s="35" t="b">
        <v>1</v>
      </c>
      <c r="Y709" s="31" cm="1">
        <f t="array" ref="Y709">IF(LEFT(_xll.BDP($C709, VOLUME_AVG_10D), 4) = "#N/A", "",  _xll.BDP($C709, VOLUME_AVG_10D))</f>
        <v>2000.0999755859375</v>
      </c>
      <c r="Z709" s="31" cm="1">
        <f t="array" ref="Z709">IF(LEFT(_xll.BDP($C709, VOLUME_AVG_30D), 4) = "#N/A", "",  _xll.BDP($C709, VOLUME_AVG_30D))</f>
        <v>3833.36669921875</v>
      </c>
      <c r="AA709" s="31" cm="1">
        <f t="array" ref="AA709">IF(LEFT(_xll.BDP($C709, VOLUME_AVG_3M), 4) = "#N/A", "",  _xll.BDP($C709, VOLUME_AVG_3M))</f>
        <v>3282.274169921875</v>
      </c>
      <c r="AB709" s="31" cm="1">
        <f t="array" ref="AB709">IF(LEFT(_xll.BDP($C709, VOLUME_AVG_6M), 4) = "#N/A", "",  _xll.BDP($C709, VOLUME_AVG_6M))</f>
        <v>6172.89697265625</v>
      </c>
      <c r="AC709" s="31" cm="1">
        <f t="array" ref="AC709">IF(LEFT(_xll.BDP($C709, VOLUME_AVG_12M), 4) = "#N/A", "",  _xll.BDP($C709, VOLUME_AVG_12M))</f>
        <v>6155.03173828125</v>
      </c>
      <c r="AD709" s="41" cm="1">
        <f t="array" ref="AD709">IF(LEFT(_xll.BDP($C709, LAST_PRICE), 4) = "#N/A", "",  _xll.BDP($C709, LAST_PRICE))</f>
        <v>9.9999999999999995E-7</v>
      </c>
    </row>
    <row r="710" spans="1:30" x14ac:dyDescent="0.35">
      <c r="A710" s="1">
        <f t="shared" ref="A710:A773" si="11">IF(B710="","", A709+1)</f>
        <v>707</v>
      </c>
      <c r="B710" s="28">
        <v>45700</v>
      </c>
      <c r="C710" s="29" t="s">
        <v>1471</v>
      </c>
      <c r="D710" s="29" t="s">
        <v>1471</v>
      </c>
      <c r="E710" s="29" t="s">
        <v>1472</v>
      </c>
      <c r="F710" s="29" t="s">
        <v>33</v>
      </c>
      <c r="G710" s="30" t="s">
        <v>34</v>
      </c>
      <c r="H710" s="31">
        <v>4429138.8938569501</v>
      </c>
      <c r="I710" s="31">
        <v>5617628.0938569503</v>
      </c>
      <c r="J710" s="32">
        <v>3.5000000149011598E-2</v>
      </c>
      <c r="K710" s="33">
        <v>45700</v>
      </c>
      <c r="L710" s="31"/>
      <c r="M710" s="32"/>
      <c r="N710" s="31"/>
      <c r="O710" s="33">
        <v>45699</v>
      </c>
      <c r="P710" s="34">
        <v>56351.5</v>
      </c>
      <c r="Q710" s="34">
        <v>41614.56640625</v>
      </c>
      <c r="R710" s="34">
        <v>49894.9765625</v>
      </c>
      <c r="S710" s="29"/>
      <c r="T710" s="33"/>
      <c r="U710" s="35" t="b">
        <v>1</v>
      </c>
      <c r="V710" s="35" t="b">
        <v>1</v>
      </c>
      <c r="W710" s="35" t="b">
        <v>0</v>
      </c>
      <c r="Y710" s="31" cm="1">
        <f t="array" ref="Y710">IF(LEFT(_xll.BDP($C710, VOLUME_AVG_10D), 4) = "#N/A", "",  _xll.BDP($C710, VOLUME_AVG_10D))</f>
        <v>73705.1015625</v>
      </c>
      <c r="Z710" s="31" cm="1">
        <f t="array" ref="Z710">IF(LEFT(_xll.BDP($C710, VOLUME_AVG_30D), 4) = "#N/A", "",  _xll.BDP($C710, VOLUME_AVG_30D))</f>
        <v>56351.5</v>
      </c>
      <c r="AA710" s="31" cm="1">
        <f t="array" ref="AA710">IF(LEFT(_xll.BDP($C710, VOLUME_AVG_3M), 4) = "#N/A", "",  _xll.BDP($C710, VOLUME_AVG_3M))</f>
        <v>41614.56640625</v>
      </c>
      <c r="AB710" s="31" cm="1">
        <f t="array" ref="AB710">IF(LEFT(_xll.BDP($C710, VOLUME_AVG_6M), 4) = "#N/A", "",  _xll.BDP($C710, VOLUME_AVG_6M))</f>
        <v>49894.9765625</v>
      </c>
      <c r="AC710" s="31" cm="1">
        <f t="array" ref="AC710">IF(LEFT(_xll.BDP($C710, VOLUME_AVG_12M), 4) = "#N/A", "",  _xll.BDP($C710, VOLUME_AVG_12M))</f>
        <v>57949.15234375</v>
      </c>
      <c r="AD710" s="41" cm="1">
        <f t="array" ref="AD710">IF(LEFT(_xll.BDP($C710, LAST_PRICE), 4) = "#N/A", "",  _xll.BDP($C710, LAST_PRICE))</f>
        <v>3.5000000000000003E-2</v>
      </c>
    </row>
    <row r="711" spans="1:30" x14ac:dyDescent="0.35">
      <c r="A711" s="1">
        <f t="shared" si="11"/>
        <v>708</v>
      </c>
      <c r="B711" s="28">
        <v>45700</v>
      </c>
      <c r="C711" s="29" t="s">
        <v>1473</v>
      </c>
      <c r="D711" s="29" t="s">
        <v>1473</v>
      </c>
      <c r="E711" s="29" t="s">
        <v>1474</v>
      </c>
      <c r="F711" s="29" t="s">
        <v>33</v>
      </c>
      <c r="G711" s="30" t="s">
        <v>34</v>
      </c>
      <c r="H711" s="31">
        <v>77417035.720213398</v>
      </c>
      <c r="I711" s="31">
        <v>-126109964.279787</v>
      </c>
      <c r="J711" s="32">
        <v>0.95929998159408603</v>
      </c>
      <c r="K711" s="33">
        <v>45700</v>
      </c>
      <c r="L711" s="31">
        <v>3071100</v>
      </c>
      <c r="M711" s="32">
        <v>3.6</v>
      </c>
      <c r="N711" s="31" t="s">
        <v>35</v>
      </c>
      <c r="O711" s="33">
        <v>45699</v>
      </c>
      <c r="P711" s="34">
        <v>439830.59375</v>
      </c>
      <c r="Q711" s="34">
        <v>421443.78125</v>
      </c>
      <c r="R711" s="34">
        <v>393743.21875</v>
      </c>
      <c r="S711" s="29" t="s">
        <v>46</v>
      </c>
      <c r="T711" s="33">
        <v>45215</v>
      </c>
      <c r="U711" s="35" t="b">
        <v>0</v>
      </c>
      <c r="V711" s="35" t="b">
        <v>0</v>
      </c>
      <c r="W711" s="35" t="b">
        <v>1</v>
      </c>
      <c r="Y711" s="31" cm="1">
        <f t="array" ref="Y711">IF(LEFT(_xll.BDP($C711, VOLUME_AVG_10D), 4) = "#N/A", "",  _xll.BDP($C711, VOLUME_AVG_10D))</f>
        <v>280882.8125</v>
      </c>
      <c r="Z711" s="31" cm="1">
        <f t="array" ref="Z711">IF(LEFT(_xll.BDP($C711, VOLUME_AVG_30D), 4) = "#N/A", "",  _xll.BDP($C711, VOLUME_AVG_30D))</f>
        <v>439830.59375</v>
      </c>
      <c r="AA711" s="31" cm="1">
        <f t="array" ref="AA711">IF(LEFT(_xll.BDP($C711, VOLUME_AVG_3M), 4) = "#N/A", "",  _xll.BDP($C711, VOLUME_AVG_3M))</f>
        <v>421443.78125</v>
      </c>
      <c r="AB711" s="31" cm="1">
        <f t="array" ref="AB711">IF(LEFT(_xll.BDP($C711, VOLUME_AVG_6M), 4) = "#N/A", "",  _xll.BDP($C711, VOLUME_AVG_6M))</f>
        <v>393743.21875</v>
      </c>
      <c r="AC711" s="31" cm="1">
        <f t="array" ref="AC711">IF(LEFT(_xll.BDP($C711, VOLUME_AVG_12M), 4) = "#N/A", "",  _xll.BDP($C711, VOLUME_AVG_12M))</f>
        <v>325688.28125</v>
      </c>
      <c r="AD711" s="41" cm="1">
        <f t="array" ref="AD711">IF(LEFT(_xll.BDP($C711, LAST_PRICE), 4) = "#N/A", "",  _xll.BDP($C711, LAST_PRICE))</f>
        <v>0.95930000000000004</v>
      </c>
    </row>
    <row r="712" spans="1:30" x14ac:dyDescent="0.35">
      <c r="A712" s="1">
        <f t="shared" si="11"/>
        <v>709</v>
      </c>
      <c r="B712" s="28">
        <v>45700</v>
      </c>
      <c r="C712" s="29" t="s">
        <v>1475</v>
      </c>
      <c r="D712" s="29" t="s">
        <v>1475</v>
      </c>
      <c r="E712" s="29" t="s">
        <v>1476</v>
      </c>
      <c r="F712" s="29" t="s">
        <v>40</v>
      </c>
      <c r="G712" s="30" t="s">
        <v>41</v>
      </c>
      <c r="H712" s="31">
        <v>33728469.831109896</v>
      </c>
      <c r="I712" s="31">
        <v>212140185.99691299</v>
      </c>
      <c r="J712" s="32">
        <v>4.9999998882412902E-3</v>
      </c>
      <c r="K712" s="33">
        <v>45700</v>
      </c>
      <c r="L712" s="31"/>
      <c r="M712" s="32"/>
      <c r="N712" s="31"/>
      <c r="O712" s="33">
        <v>45699</v>
      </c>
      <c r="P712" s="34">
        <v>97390.84</v>
      </c>
      <c r="Q712" s="34">
        <v>173463.8</v>
      </c>
      <c r="R712" s="34">
        <v>148208.1</v>
      </c>
      <c r="S712" s="29"/>
      <c r="T712" s="33"/>
      <c r="U712" s="35" t="b">
        <v>0</v>
      </c>
      <c r="V712" s="35" t="b">
        <v>1</v>
      </c>
      <c r="W712" s="35" t="b">
        <v>0</v>
      </c>
      <c r="Y712" s="31" cm="1">
        <f t="array" ref="Y712">IF(LEFT(_xll.BDP($C712, VOLUME_AVG_10D), 4) = "#N/A", "",  _xll.BDP($C712, VOLUME_AVG_10D))</f>
        <v>102788.5</v>
      </c>
      <c r="Z712" s="31" cm="1">
        <f t="array" ref="Z712">IF(LEFT(_xll.BDP($C712, VOLUME_AVG_30D), 4) = "#N/A", "",  _xll.BDP($C712, VOLUME_AVG_30D))</f>
        <v>97390.84</v>
      </c>
      <c r="AA712" s="31" cm="1">
        <f t="array" ref="AA712">IF(LEFT(_xll.BDP($C712, VOLUME_AVG_3M), 4) = "#N/A", "",  _xll.BDP($C712, VOLUME_AVG_3M))</f>
        <v>173463.8</v>
      </c>
      <c r="AB712" s="31" cm="1">
        <f t="array" ref="AB712">IF(LEFT(_xll.BDP($C712, VOLUME_AVG_6M), 4) = "#N/A", "",  _xll.BDP($C712, VOLUME_AVG_6M))</f>
        <v>148208.1</v>
      </c>
      <c r="AC712" s="31" cm="1">
        <f t="array" ref="AC712">IF(LEFT(_xll.BDP($C712, VOLUME_AVG_12M), 4) = "#N/A", "",  _xll.BDP($C712, VOLUME_AVG_12M))</f>
        <v>106273.60000000001</v>
      </c>
      <c r="AD712" s="41" cm="1">
        <f t="array" ref="AD712">IF(LEFT(_xll.BDP($C712, LAST_PRICE), 4) = "#N/A", "",  _xll.BDP($C712, LAST_PRICE))</f>
        <v>5.0000000000000001E-3</v>
      </c>
    </row>
    <row r="713" spans="1:30" x14ac:dyDescent="0.35">
      <c r="A713" s="1">
        <f t="shared" si="11"/>
        <v>710</v>
      </c>
      <c r="B713" s="28">
        <v>45700</v>
      </c>
      <c r="C713" s="29" t="s">
        <v>1477</v>
      </c>
      <c r="D713" s="29" t="s">
        <v>1477</v>
      </c>
      <c r="E713" s="29" t="s">
        <v>1478</v>
      </c>
      <c r="F713" s="29" t="s">
        <v>33</v>
      </c>
      <c r="G713" s="30" t="s">
        <v>34</v>
      </c>
      <c r="H713" s="31">
        <v>36338808.339205697</v>
      </c>
      <c r="I713" s="31">
        <v>33320808.339205701</v>
      </c>
      <c r="J713" s="32">
        <v>3.6800000667571999</v>
      </c>
      <c r="K713" s="33">
        <v>45700</v>
      </c>
      <c r="L713" s="31">
        <v>501700</v>
      </c>
      <c r="M713" s="32">
        <v>-3.7</v>
      </c>
      <c r="N713" s="31" t="s">
        <v>35</v>
      </c>
      <c r="O713" s="33">
        <v>45699</v>
      </c>
      <c r="P713" s="34">
        <v>262612.15625</v>
      </c>
      <c r="Q713" s="34">
        <v>179670.171875</v>
      </c>
      <c r="R713" s="34">
        <v>150463.859375</v>
      </c>
      <c r="S713" s="29"/>
      <c r="T713" s="33"/>
      <c r="U713" s="35" t="b">
        <v>0</v>
      </c>
      <c r="V713" s="35" t="b">
        <v>0</v>
      </c>
      <c r="W713" s="35" t="b">
        <v>0</v>
      </c>
      <c r="Y713" s="31" cm="1">
        <f t="array" ref="Y713">IF(LEFT(_xll.BDP($C713, VOLUME_AVG_10D), 4) = "#N/A", "",  _xll.BDP($C713, VOLUME_AVG_10D))</f>
        <v>288623.8125</v>
      </c>
      <c r="Z713" s="31" cm="1">
        <f t="array" ref="Z713">IF(LEFT(_xll.BDP($C713, VOLUME_AVG_30D), 4) = "#N/A", "",  _xll.BDP($C713, VOLUME_AVG_30D))</f>
        <v>262612.15625</v>
      </c>
      <c r="AA713" s="31" cm="1">
        <f t="array" ref="AA713">IF(LEFT(_xll.BDP($C713, VOLUME_AVG_3M), 4) = "#N/A", "",  _xll.BDP($C713, VOLUME_AVG_3M))</f>
        <v>179670.171875</v>
      </c>
      <c r="AB713" s="31" cm="1">
        <f t="array" ref="AB713">IF(LEFT(_xll.BDP($C713, VOLUME_AVG_6M), 4) = "#N/A", "",  _xll.BDP($C713, VOLUME_AVG_6M))</f>
        <v>150463.859375</v>
      </c>
      <c r="AC713" s="31" cm="1">
        <f t="array" ref="AC713">IF(LEFT(_xll.BDP($C713, VOLUME_AVG_12M), 4) = "#N/A", "",  _xll.BDP($C713, VOLUME_AVG_12M))</f>
        <v>1074993</v>
      </c>
      <c r="AD713" s="41" cm="1">
        <f t="array" ref="AD713">IF(LEFT(_xll.BDP($C713, LAST_PRICE), 4) = "#N/A", "",  _xll.BDP($C713, LAST_PRICE))</f>
        <v>3.68</v>
      </c>
    </row>
    <row r="714" spans="1:30" x14ac:dyDescent="0.35">
      <c r="A714" s="1">
        <f t="shared" si="11"/>
        <v>711</v>
      </c>
      <c r="B714" s="28">
        <v>45700</v>
      </c>
      <c r="C714" s="29" t="s">
        <v>1479</v>
      </c>
      <c r="D714" s="29" t="s">
        <v>1479</v>
      </c>
      <c r="E714" s="29" t="s">
        <v>1480</v>
      </c>
      <c r="F714" s="29" t="s">
        <v>33</v>
      </c>
      <c r="G714" s="30" t="s">
        <v>34</v>
      </c>
      <c r="H714" s="31">
        <v>93686305.140683696</v>
      </c>
      <c r="I714" s="31">
        <v>75308305.140683696</v>
      </c>
      <c r="J714" s="32">
        <v>3.5299999713897701</v>
      </c>
      <c r="K714" s="33">
        <v>45700</v>
      </c>
      <c r="L714" s="31">
        <v>2449200</v>
      </c>
      <c r="M714" s="32">
        <v>3.75</v>
      </c>
      <c r="N714" s="31" t="s">
        <v>35</v>
      </c>
      <c r="O714" s="33">
        <v>45699</v>
      </c>
      <c r="P714" s="34">
        <v>587287</v>
      </c>
      <c r="Q714" s="34">
        <v>463854.21875</v>
      </c>
      <c r="R714" s="34">
        <v>314339.125</v>
      </c>
      <c r="S714" s="29"/>
      <c r="T714" s="33"/>
      <c r="U714" s="35" t="b">
        <v>0</v>
      </c>
      <c r="V714" s="35" t="b">
        <v>0</v>
      </c>
      <c r="W714" s="35" t="b">
        <v>0</v>
      </c>
      <c r="Y714" s="31" cm="1">
        <f t="array" ref="Y714">IF(LEFT(_xll.BDP($C714, VOLUME_AVG_10D), 4) = "#N/A", "",  _xll.BDP($C714, VOLUME_AVG_10D))</f>
        <v>794525.625</v>
      </c>
      <c r="Z714" s="31" cm="1">
        <f t="array" ref="Z714">IF(LEFT(_xll.BDP($C714, VOLUME_AVG_30D), 4) = "#N/A", "",  _xll.BDP($C714, VOLUME_AVG_30D))</f>
        <v>587287</v>
      </c>
      <c r="AA714" s="31" cm="1">
        <f t="array" ref="AA714">IF(LEFT(_xll.BDP($C714, VOLUME_AVG_3M), 4) = "#N/A", "",  _xll.BDP($C714, VOLUME_AVG_3M))</f>
        <v>463854.21875</v>
      </c>
      <c r="AB714" s="31" cm="1">
        <f t="array" ref="AB714">IF(LEFT(_xll.BDP($C714, VOLUME_AVG_6M), 4) = "#N/A", "",  _xll.BDP($C714, VOLUME_AVG_6M))</f>
        <v>314339.125</v>
      </c>
      <c r="AC714" s="31" cm="1">
        <f t="array" ref="AC714">IF(LEFT(_xll.BDP($C714, VOLUME_AVG_12M), 4) = "#N/A", "",  _xll.BDP($C714, VOLUME_AVG_12M))</f>
        <v>240319.671875</v>
      </c>
      <c r="AD714" s="41" cm="1">
        <f t="array" ref="AD714">IF(LEFT(_xll.BDP($C714, LAST_PRICE), 4) = "#N/A", "",  _xll.BDP($C714, LAST_PRICE))</f>
        <v>3.53</v>
      </c>
    </row>
    <row r="715" spans="1:30" x14ac:dyDescent="0.35">
      <c r="A715" s="1">
        <f t="shared" si="11"/>
        <v>712</v>
      </c>
      <c r="B715" s="28">
        <v>45700</v>
      </c>
      <c r="C715" s="29" t="s">
        <v>1481</v>
      </c>
      <c r="D715" s="29" t="s">
        <v>1481</v>
      </c>
      <c r="E715" s="29" t="s">
        <v>1482</v>
      </c>
      <c r="F715" s="29" t="s">
        <v>33</v>
      </c>
      <c r="G715" s="30" t="s">
        <v>34</v>
      </c>
      <c r="H715" s="31">
        <v>74927159.973261207</v>
      </c>
      <c r="I715" s="31">
        <v>230411194.36444399</v>
      </c>
      <c r="J715" s="32">
        <v>1.3500000238418599</v>
      </c>
      <c r="K715" s="33">
        <v>45700</v>
      </c>
      <c r="L715" s="31"/>
      <c r="M715" s="32"/>
      <c r="N715" s="31"/>
      <c r="O715" s="33">
        <v>45699</v>
      </c>
      <c r="P715" s="34">
        <v>345089.15625</v>
      </c>
      <c r="Q715" s="34">
        <v>525044.25</v>
      </c>
      <c r="R715" s="34">
        <v>629270.4375</v>
      </c>
      <c r="S715" s="29"/>
      <c r="T715" s="33"/>
      <c r="U715" s="35" t="b">
        <v>0</v>
      </c>
      <c r="V715" s="35" t="b">
        <v>0</v>
      </c>
      <c r="W715" s="35" t="b">
        <v>0</v>
      </c>
      <c r="Y715" s="31" cm="1">
        <f t="array" ref="Y715">IF(LEFT(_xll.BDP($C715, VOLUME_AVG_10D), 4) = "#N/A", "",  _xll.BDP($C715, VOLUME_AVG_10D))</f>
        <v>249140.59375</v>
      </c>
      <c r="Z715" s="31" cm="1">
        <f t="array" ref="Z715">IF(LEFT(_xll.BDP($C715, VOLUME_AVG_30D), 4) = "#N/A", "",  _xll.BDP($C715, VOLUME_AVG_30D))</f>
        <v>345089.15625</v>
      </c>
      <c r="AA715" s="31" cm="1">
        <f t="array" ref="AA715">IF(LEFT(_xll.BDP($C715, VOLUME_AVG_3M), 4) = "#N/A", "",  _xll.BDP($C715, VOLUME_AVG_3M))</f>
        <v>525044.25</v>
      </c>
      <c r="AB715" s="31" cm="1">
        <f t="array" ref="AB715">IF(LEFT(_xll.BDP($C715, VOLUME_AVG_6M), 4) = "#N/A", "",  _xll.BDP($C715, VOLUME_AVG_6M))</f>
        <v>629270.4375</v>
      </c>
      <c r="AC715" s="31" cm="1">
        <f t="array" ref="AC715">IF(LEFT(_xll.BDP($C715, VOLUME_AVG_12M), 4) = "#N/A", "",  _xll.BDP($C715, VOLUME_AVG_12M))</f>
        <v>513920.90625</v>
      </c>
      <c r="AD715" s="41" cm="1">
        <f t="array" ref="AD715">IF(LEFT(_xll.BDP($C715, LAST_PRICE), 4) = "#N/A", "",  _xll.BDP($C715, LAST_PRICE))</f>
        <v>1.35</v>
      </c>
    </row>
    <row r="716" spans="1:30" x14ac:dyDescent="0.35">
      <c r="A716" s="1">
        <f t="shared" si="11"/>
        <v>713</v>
      </c>
      <c r="B716" s="28">
        <v>45700</v>
      </c>
      <c r="C716" s="29" t="s">
        <v>1483</v>
      </c>
      <c r="D716" s="29" t="s">
        <v>1483</v>
      </c>
      <c r="E716" s="29" t="s">
        <v>1484</v>
      </c>
      <c r="F716" s="29" t="s">
        <v>33</v>
      </c>
      <c r="G716" s="30" t="s">
        <v>34</v>
      </c>
      <c r="H716" s="31">
        <v>15399798439.199499</v>
      </c>
      <c r="I716" s="31">
        <v>18282135439.199501</v>
      </c>
      <c r="J716" s="32">
        <v>186.52999877929699</v>
      </c>
      <c r="K716" s="33">
        <v>45700</v>
      </c>
      <c r="L716" s="31"/>
      <c r="M716" s="32"/>
      <c r="N716" s="31"/>
      <c r="O716" s="33">
        <v>45699</v>
      </c>
      <c r="P716" s="34">
        <v>832145.3125</v>
      </c>
      <c r="Q716" s="34">
        <v>1069086.375</v>
      </c>
      <c r="R716" s="34">
        <v>1000828.0625</v>
      </c>
      <c r="S716" s="29"/>
      <c r="T716" s="33"/>
      <c r="U716" s="35" t="b">
        <v>0</v>
      </c>
      <c r="V716" s="35" t="b">
        <v>0</v>
      </c>
      <c r="W716" s="35" t="b">
        <v>0</v>
      </c>
      <c r="Y716" s="31" cm="1">
        <f t="array" ref="Y716">IF(LEFT(_xll.BDP($C716, VOLUME_AVG_10D), 4) = "#N/A", "",  _xll.BDP($C716, VOLUME_AVG_10D))</f>
        <v>634749.625</v>
      </c>
      <c r="Z716" s="31" cm="1">
        <f t="array" ref="Z716">IF(LEFT(_xll.BDP($C716, VOLUME_AVG_30D), 4) = "#N/A", "",  _xll.BDP($C716, VOLUME_AVG_30D))</f>
        <v>832145.3125</v>
      </c>
      <c r="AA716" s="31" cm="1">
        <f t="array" ref="AA716">IF(LEFT(_xll.BDP($C716, VOLUME_AVG_3M), 4) = "#N/A", "",  _xll.BDP($C716, VOLUME_AVG_3M))</f>
        <v>1069086.375</v>
      </c>
      <c r="AB716" s="31" cm="1">
        <f t="array" ref="AB716">IF(LEFT(_xll.BDP($C716, VOLUME_AVG_6M), 4) = "#N/A", "",  _xll.BDP($C716, VOLUME_AVG_6M))</f>
        <v>1000828.0625</v>
      </c>
      <c r="AC716" s="31" cm="1">
        <f t="array" ref="AC716">IF(LEFT(_xll.BDP($C716, VOLUME_AVG_12M), 4) = "#N/A", "",  _xll.BDP($C716, VOLUME_AVG_12M))</f>
        <v>791739.6875</v>
      </c>
      <c r="AD716" s="41" cm="1">
        <f t="array" ref="AD716">IF(LEFT(_xll.BDP($C716, LAST_PRICE), 4) = "#N/A", "",  _xll.BDP($C716, LAST_PRICE))</f>
        <v>186.53</v>
      </c>
    </row>
    <row r="717" spans="1:30" x14ac:dyDescent="0.35">
      <c r="A717" s="1">
        <f t="shared" si="11"/>
        <v>714</v>
      </c>
      <c r="B717" s="28">
        <v>45700</v>
      </c>
      <c r="C717" s="29" t="s">
        <v>1485</v>
      </c>
      <c r="D717" s="29" t="s">
        <v>1485</v>
      </c>
      <c r="E717" s="29" t="s">
        <v>1486</v>
      </c>
      <c r="F717" s="29" t="s">
        <v>33</v>
      </c>
      <c r="G717" s="30" t="s">
        <v>34</v>
      </c>
      <c r="H717" s="31">
        <v>4187504.40046024</v>
      </c>
      <c r="I717" s="31">
        <v>15297552.4004602</v>
      </c>
      <c r="J717" s="32">
        <v>2.0199999809265101</v>
      </c>
      <c r="K717" s="33">
        <v>45700</v>
      </c>
      <c r="L717" s="31">
        <v>50000</v>
      </c>
      <c r="M717" s="32">
        <v>-70.150000000000006</v>
      </c>
      <c r="N717" s="31" t="s">
        <v>35</v>
      </c>
      <c r="O717" s="33">
        <v>45699</v>
      </c>
      <c r="P717" s="34">
        <v>446184.03125</v>
      </c>
      <c r="Q717" s="34">
        <v>536982.75</v>
      </c>
      <c r="R717" s="34">
        <v>355053.5625</v>
      </c>
      <c r="S717" s="29"/>
      <c r="T717" s="33"/>
      <c r="U717" s="35" t="b">
        <v>1</v>
      </c>
      <c r="V717" s="35" t="b">
        <v>0</v>
      </c>
      <c r="W717" s="35" t="b">
        <v>0</v>
      </c>
      <c r="Y717" s="31" cm="1">
        <f t="array" ref="Y717">IF(LEFT(_xll.BDP($C717, VOLUME_AVG_10D), 4) = "#N/A", "",  _xll.BDP($C717, VOLUME_AVG_10D))</f>
        <v>55137</v>
      </c>
      <c r="Z717" s="31" cm="1">
        <f t="array" ref="Z717">IF(LEFT(_xll.BDP($C717, VOLUME_AVG_30D), 4) = "#N/A", "",  _xll.BDP($C717, VOLUME_AVG_30D))</f>
        <v>446184.03125</v>
      </c>
      <c r="AA717" s="31" cm="1">
        <f t="array" ref="AA717">IF(LEFT(_xll.BDP($C717, VOLUME_AVG_3M), 4) = "#N/A", "",  _xll.BDP($C717, VOLUME_AVG_3M))</f>
        <v>536982.75</v>
      </c>
      <c r="AB717" s="31" cm="1">
        <f t="array" ref="AB717">IF(LEFT(_xll.BDP($C717, VOLUME_AVG_6M), 4) = "#N/A", "",  _xll.BDP($C717, VOLUME_AVG_6M))</f>
        <v>355053.5625</v>
      </c>
      <c r="AC717" s="31" cm="1">
        <f t="array" ref="AC717">IF(LEFT(_xll.BDP($C717, VOLUME_AVG_12M), 4) = "#N/A", "",  _xll.BDP($C717, VOLUME_AVG_12M))</f>
        <v>183532.90625</v>
      </c>
      <c r="AD717" s="41" cm="1">
        <f t="array" ref="AD717">IF(LEFT(_xll.BDP($C717, LAST_PRICE), 4) = "#N/A", "",  _xll.BDP($C717, LAST_PRICE))</f>
        <v>2.02</v>
      </c>
    </row>
    <row r="718" spans="1:30" x14ac:dyDescent="0.35">
      <c r="A718" s="1">
        <f t="shared" si="11"/>
        <v>715</v>
      </c>
      <c r="B718" s="28">
        <v>45700</v>
      </c>
      <c r="C718" s="29" t="s">
        <v>1487</v>
      </c>
      <c r="D718" s="29" t="s">
        <v>1487</v>
      </c>
      <c r="E718" s="29" t="s">
        <v>1488</v>
      </c>
      <c r="F718" s="29" t="s">
        <v>33</v>
      </c>
      <c r="G718" s="30" t="s">
        <v>34</v>
      </c>
      <c r="H718" s="31">
        <v>3842560765.81604</v>
      </c>
      <c r="I718" s="31">
        <v>5190091765.81604</v>
      </c>
      <c r="J718" s="32">
        <v>156.94000244140599</v>
      </c>
      <c r="K718" s="33">
        <v>45700</v>
      </c>
      <c r="L718" s="31">
        <v>10596500</v>
      </c>
      <c r="M718" s="32">
        <v>3.88</v>
      </c>
      <c r="N718" s="31" t="s">
        <v>35</v>
      </c>
      <c r="O718" s="33">
        <v>45699</v>
      </c>
      <c r="P718" s="34">
        <v>194600.9375</v>
      </c>
      <c r="Q718" s="34">
        <v>224295.53125</v>
      </c>
      <c r="R718" s="34">
        <v>238945.734375</v>
      </c>
      <c r="S718" s="29"/>
      <c r="T718" s="33"/>
      <c r="U718" s="35" t="b">
        <v>0</v>
      </c>
      <c r="V718" s="35" t="b">
        <v>0</v>
      </c>
      <c r="W718" s="35" t="b">
        <v>0</v>
      </c>
      <c r="Y718" s="31" cm="1">
        <f t="array" ref="Y718">IF(LEFT(_xll.BDP($C718, VOLUME_AVG_10D), 4) = "#N/A", "",  _xll.BDP($C718, VOLUME_AVG_10D))</f>
        <v>217443.203125</v>
      </c>
      <c r="Z718" s="31" cm="1">
        <f t="array" ref="Z718">IF(LEFT(_xll.BDP($C718, VOLUME_AVG_30D), 4) = "#N/A", "",  _xll.BDP($C718, VOLUME_AVG_30D))</f>
        <v>194600.9375</v>
      </c>
      <c r="AA718" s="31" cm="1">
        <f t="array" ref="AA718">IF(LEFT(_xll.BDP($C718, VOLUME_AVG_3M), 4) = "#N/A", "",  _xll.BDP($C718, VOLUME_AVG_3M))</f>
        <v>224295.53125</v>
      </c>
      <c r="AB718" s="31" cm="1">
        <f t="array" ref="AB718">IF(LEFT(_xll.BDP($C718, VOLUME_AVG_6M), 4) = "#N/A", "",  _xll.BDP($C718, VOLUME_AVG_6M))</f>
        <v>238945.734375</v>
      </c>
      <c r="AC718" s="31" cm="1">
        <f t="array" ref="AC718">IF(LEFT(_xll.BDP($C718, VOLUME_AVG_12M), 4) = "#N/A", "",  _xll.BDP($C718, VOLUME_AVG_12M))</f>
        <v>262672.28125</v>
      </c>
      <c r="AD718" s="41" cm="1">
        <f t="array" ref="AD718">IF(LEFT(_xll.BDP($C718, LAST_PRICE), 4) = "#N/A", "",  _xll.BDP($C718, LAST_PRICE))</f>
        <v>156.94</v>
      </c>
    </row>
    <row r="719" spans="1:30" x14ac:dyDescent="0.35">
      <c r="A719" s="1">
        <f t="shared" si="11"/>
        <v>716</v>
      </c>
      <c r="B719" s="28">
        <v>45700</v>
      </c>
      <c r="C719" s="29" t="s">
        <v>1489</v>
      </c>
      <c r="D719" s="29" t="s">
        <v>1489</v>
      </c>
      <c r="E719" s="29" t="s">
        <v>1490</v>
      </c>
      <c r="F719" s="29" t="s">
        <v>33</v>
      </c>
      <c r="G719" s="30" t="s">
        <v>34</v>
      </c>
      <c r="H719" s="31">
        <v>1897178053.9922299</v>
      </c>
      <c r="I719" s="31">
        <v>995945053.99222898</v>
      </c>
      <c r="J719" s="32">
        <v>21.950000762939499</v>
      </c>
      <c r="K719" s="33">
        <v>45700</v>
      </c>
      <c r="L719" s="31">
        <v>23235900</v>
      </c>
      <c r="M719" s="32">
        <v>3.88</v>
      </c>
      <c r="N719" s="31" t="s">
        <v>35</v>
      </c>
      <c r="O719" s="33">
        <v>45699</v>
      </c>
      <c r="P719" s="34">
        <v>840680.9375</v>
      </c>
      <c r="Q719" s="34">
        <v>931924.1875</v>
      </c>
      <c r="R719" s="34">
        <v>816881.9375</v>
      </c>
      <c r="S719" s="29" t="s">
        <v>46</v>
      </c>
      <c r="T719" s="33">
        <v>45446</v>
      </c>
      <c r="U719" s="35" t="b">
        <v>0</v>
      </c>
      <c r="V719" s="35" t="b">
        <v>0</v>
      </c>
      <c r="W719" s="35" t="b">
        <v>0</v>
      </c>
      <c r="Y719" s="31" cm="1">
        <f t="array" ref="Y719">IF(LEFT(_xll.BDP($C719, VOLUME_AVG_10D), 4) = "#N/A", "",  _xll.BDP($C719, VOLUME_AVG_10D))</f>
        <v>797770.125</v>
      </c>
      <c r="Z719" s="31" cm="1">
        <f t="array" ref="Z719">IF(LEFT(_xll.BDP($C719, VOLUME_AVG_30D), 4) = "#N/A", "",  _xll.BDP($C719, VOLUME_AVG_30D))</f>
        <v>840680.9375</v>
      </c>
      <c r="AA719" s="31" cm="1">
        <f t="array" ref="AA719">IF(LEFT(_xll.BDP($C719, VOLUME_AVG_3M), 4) = "#N/A", "",  _xll.BDP($C719, VOLUME_AVG_3M))</f>
        <v>931924.1875</v>
      </c>
      <c r="AB719" s="31" cm="1">
        <f t="array" ref="AB719">IF(LEFT(_xll.BDP($C719, VOLUME_AVG_6M), 4) = "#N/A", "",  _xll.BDP($C719, VOLUME_AVG_6M))</f>
        <v>816881.9375</v>
      </c>
      <c r="AC719" s="31" cm="1">
        <f t="array" ref="AC719">IF(LEFT(_xll.BDP($C719, VOLUME_AVG_12M), 4) = "#N/A", "",  _xll.BDP($C719, VOLUME_AVG_12M))</f>
        <v>837430.4375</v>
      </c>
      <c r="AD719" s="41" cm="1">
        <f t="array" ref="AD719">IF(LEFT(_xll.BDP($C719, LAST_PRICE), 4) = "#N/A", "",  _xll.BDP($C719, LAST_PRICE))</f>
        <v>21.95</v>
      </c>
    </row>
    <row r="720" spans="1:30" x14ac:dyDescent="0.35">
      <c r="A720" s="1">
        <f t="shared" si="11"/>
        <v>717</v>
      </c>
      <c r="B720" s="28">
        <v>45700</v>
      </c>
      <c r="C720" s="29" t="s">
        <v>1491</v>
      </c>
      <c r="D720" s="29" t="s">
        <v>1491</v>
      </c>
      <c r="E720" s="29" t="s">
        <v>1492</v>
      </c>
      <c r="F720" s="29" t="s">
        <v>33</v>
      </c>
      <c r="G720" s="30" t="s">
        <v>34</v>
      </c>
      <c r="H720" s="31">
        <v>37449951580.184303</v>
      </c>
      <c r="I720" s="31">
        <v>38029258580.184303</v>
      </c>
      <c r="J720" s="32">
        <v>457.35000610351602</v>
      </c>
      <c r="K720" s="33">
        <v>45700</v>
      </c>
      <c r="L720" s="31">
        <v>25759800</v>
      </c>
      <c r="M720" s="32">
        <v>3.88</v>
      </c>
      <c r="N720" s="31" t="s">
        <v>35</v>
      </c>
      <c r="O720" s="33">
        <v>45699</v>
      </c>
      <c r="P720" s="34">
        <v>692970.0625</v>
      </c>
      <c r="Q720" s="34">
        <v>652918.9375</v>
      </c>
      <c r="R720" s="34">
        <v>583004.8125</v>
      </c>
      <c r="S720" s="29"/>
      <c r="T720" s="33"/>
      <c r="U720" s="35" t="b">
        <v>0</v>
      </c>
      <c r="V720" s="35" t="b">
        <v>0</v>
      </c>
      <c r="W720" s="35" t="b">
        <v>0</v>
      </c>
      <c r="Y720" s="31" cm="1">
        <f t="array" ref="Y720">IF(LEFT(_xll.BDP($C720, VOLUME_AVG_10D), 4) = "#N/A", "",  _xll.BDP($C720, VOLUME_AVG_10D))</f>
        <v>800796.8125</v>
      </c>
      <c r="Z720" s="31" cm="1">
        <f t="array" ref="Z720">IF(LEFT(_xll.BDP($C720, VOLUME_AVG_30D), 4) = "#N/A", "",  _xll.BDP($C720, VOLUME_AVG_30D))</f>
        <v>692970.0625</v>
      </c>
      <c r="AA720" s="31" cm="1">
        <f t="array" ref="AA720">IF(LEFT(_xll.BDP($C720, VOLUME_AVG_3M), 4) = "#N/A", "",  _xll.BDP($C720, VOLUME_AVG_3M))</f>
        <v>652918.9375</v>
      </c>
      <c r="AB720" s="31" cm="1">
        <f t="array" ref="AB720">IF(LEFT(_xll.BDP($C720, VOLUME_AVG_6M), 4) = "#N/A", "",  _xll.BDP($C720, VOLUME_AVG_6M))</f>
        <v>583004.8125</v>
      </c>
      <c r="AC720" s="31" cm="1">
        <f t="array" ref="AC720">IF(LEFT(_xll.BDP($C720, VOLUME_AVG_12M), 4) = "#N/A", "",  _xll.BDP($C720, VOLUME_AVG_12M))</f>
        <v>537700.5</v>
      </c>
      <c r="AD720" s="41" cm="1">
        <f t="array" ref="AD720">IF(LEFT(_xll.BDP($C720, LAST_PRICE), 4) = "#N/A", "",  _xll.BDP($C720, LAST_PRICE))</f>
        <v>457.35</v>
      </c>
    </row>
    <row r="721" spans="1:30" x14ac:dyDescent="0.35">
      <c r="A721" s="1">
        <f t="shared" si="11"/>
        <v>718</v>
      </c>
      <c r="B721" s="28">
        <v>45700</v>
      </c>
      <c r="C721" s="29" t="s">
        <v>1493</v>
      </c>
      <c r="D721" s="29" t="s">
        <v>1493</v>
      </c>
      <c r="E721" s="29" t="s">
        <v>1494</v>
      </c>
      <c r="F721" s="29" t="s">
        <v>33</v>
      </c>
      <c r="G721" s="30" t="s">
        <v>34</v>
      </c>
      <c r="H721" s="31">
        <v>23312261.500138499</v>
      </c>
      <c r="I721" s="31">
        <v>22070261.500138499</v>
      </c>
      <c r="J721" s="32">
        <v>0.30099999904632602</v>
      </c>
      <c r="K721" s="33">
        <v>45700</v>
      </c>
      <c r="L721" s="31">
        <v>4863900</v>
      </c>
      <c r="M721" s="32">
        <v>3.88</v>
      </c>
      <c r="N721" s="31" t="s">
        <v>35</v>
      </c>
      <c r="O721" s="33">
        <v>45699</v>
      </c>
      <c r="P721" s="34">
        <v>413360.875</v>
      </c>
      <c r="Q721" s="34">
        <v>413160.84375</v>
      </c>
      <c r="R721" s="34">
        <v>419180.5</v>
      </c>
      <c r="S721" s="29"/>
      <c r="T721" s="33"/>
      <c r="U721" s="35" t="b">
        <v>0</v>
      </c>
      <c r="V721" s="35" t="b">
        <v>0</v>
      </c>
      <c r="W721" s="35" t="b">
        <v>0</v>
      </c>
      <c r="Y721" s="31" cm="1">
        <f t="array" ref="Y721">IF(LEFT(_xll.BDP($C721, VOLUME_AVG_10D), 4) = "#N/A", "",  _xll.BDP($C721, VOLUME_AVG_10D))</f>
        <v>436172.8125</v>
      </c>
      <c r="Z721" s="31" cm="1">
        <f t="array" ref="Z721">IF(LEFT(_xll.BDP($C721, VOLUME_AVG_30D), 4) = "#N/A", "",  _xll.BDP($C721, VOLUME_AVG_30D))</f>
        <v>413360.875</v>
      </c>
      <c r="AA721" s="31" cm="1">
        <f t="array" ref="AA721">IF(LEFT(_xll.BDP($C721, VOLUME_AVG_3M), 4) = "#N/A", "",  _xll.BDP($C721, VOLUME_AVG_3M))</f>
        <v>413160.84375</v>
      </c>
      <c r="AB721" s="31" cm="1">
        <f t="array" ref="AB721">IF(LEFT(_xll.BDP($C721, VOLUME_AVG_6M), 4) = "#N/A", "",  _xll.BDP($C721, VOLUME_AVG_6M))</f>
        <v>419180.5</v>
      </c>
      <c r="AC721" s="31" cm="1">
        <f t="array" ref="AC721">IF(LEFT(_xll.BDP($C721, VOLUME_AVG_12M), 4) = "#N/A", "",  _xll.BDP($C721, VOLUME_AVG_12M))</f>
        <v>520323.8125</v>
      </c>
      <c r="AD721" s="41" cm="1">
        <f t="array" ref="AD721">IF(LEFT(_xll.BDP($C721, LAST_PRICE), 4) = "#N/A", "",  _xll.BDP($C721, LAST_PRICE))</f>
        <v>0.30099999999999999</v>
      </c>
    </row>
    <row r="722" spans="1:30" x14ac:dyDescent="0.35">
      <c r="A722" s="1">
        <f t="shared" si="11"/>
        <v>719</v>
      </c>
      <c r="B722" s="28">
        <v>45700</v>
      </c>
      <c r="C722" s="29" t="s">
        <v>1495</v>
      </c>
      <c r="D722" s="29" t="s">
        <v>1495</v>
      </c>
      <c r="E722" s="29" t="s">
        <v>1496</v>
      </c>
      <c r="F722" s="29" t="s">
        <v>33</v>
      </c>
      <c r="G722" s="30" t="s">
        <v>34</v>
      </c>
      <c r="H722" s="31">
        <v>82060569.496452704</v>
      </c>
      <c r="I722" s="31">
        <v>-90869430.503547296</v>
      </c>
      <c r="J722" s="32">
        <v>1.37999999523163</v>
      </c>
      <c r="K722" s="33">
        <v>45700</v>
      </c>
      <c r="L722" s="31">
        <v>717600</v>
      </c>
      <c r="M722" s="32">
        <v>-12.8</v>
      </c>
      <c r="N722" s="31" t="s">
        <v>35</v>
      </c>
      <c r="O722" s="33">
        <v>45699</v>
      </c>
      <c r="P722" s="34">
        <v>714358.4375</v>
      </c>
      <c r="Q722" s="34">
        <v>468560.15625</v>
      </c>
      <c r="R722" s="34">
        <v>376642.34375</v>
      </c>
      <c r="S722" s="29" t="s">
        <v>73</v>
      </c>
      <c r="T722" s="33">
        <v>45446</v>
      </c>
      <c r="U722" s="35" t="b">
        <v>0</v>
      </c>
      <c r="V722" s="35" t="b">
        <v>0</v>
      </c>
      <c r="W722" s="35" t="b">
        <v>1</v>
      </c>
      <c r="Y722" s="31" cm="1">
        <f t="array" ref="Y722">IF(LEFT(_xll.BDP($C722, VOLUME_AVG_10D), 4) = "#N/A", "",  _xll.BDP($C722, VOLUME_AVG_10D))</f>
        <v>328966.1875</v>
      </c>
      <c r="Z722" s="31" cm="1">
        <f t="array" ref="Z722">IF(LEFT(_xll.BDP($C722, VOLUME_AVG_30D), 4) = "#N/A", "",  _xll.BDP($C722, VOLUME_AVG_30D))</f>
        <v>714358.4375</v>
      </c>
      <c r="AA722" s="31" cm="1">
        <f t="array" ref="AA722">IF(LEFT(_xll.BDP($C722, VOLUME_AVG_3M), 4) = "#N/A", "",  _xll.BDP($C722, VOLUME_AVG_3M))</f>
        <v>468560.15625</v>
      </c>
      <c r="AB722" s="31" cm="1">
        <f t="array" ref="AB722">IF(LEFT(_xll.BDP($C722, VOLUME_AVG_6M), 4) = "#N/A", "",  _xll.BDP($C722, VOLUME_AVG_6M))</f>
        <v>376642.34375</v>
      </c>
      <c r="AC722" s="31" cm="1">
        <f t="array" ref="AC722">IF(LEFT(_xll.BDP($C722, VOLUME_AVG_12M), 4) = "#N/A", "",  _xll.BDP($C722, VOLUME_AVG_12M))</f>
        <v>353127.84375</v>
      </c>
      <c r="AD722" s="41" cm="1">
        <f t="array" ref="AD722">IF(LEFT(_xll.BDP($C722, LAST_PRICE), 4) = "#N/A", "",  _xll.BDP($C722, LAST_PRICE))</f>
        <v>1.38</v>
      </c>
    </row>
    <row r="723" spans="1:30" x14ac:dyDescent="0.35">
      <c r="A723" s="1">
        <f t="shared" si="11"/>
        <v>720</v>
      </c>
      <c r="B723" s="28">
        <v>45700</v>
      </c>
      <c r="C723" s="29" t="s">
        <v>1497</v>
      </c>
      <c r="D723" s="29" t="s">
        <v>1497</v>
      </c>
      <c r="E723" s="29" t="s">
        <v>1498</v>
      </c>
      <c r="F723" s="29" t="s">
        <v>33</v>
      </c>
      <c r="G723" s="30" t="s">
        <v>34</v>
      </c>
      <c r="H723" s="31">
        <v>79754979.703843102</v>
      </c>
      <c r="I723" s="31">
        <v>-49884020.296156898</v>
      </c>
      <c r="J723" s="32">
        <v>1.46000003814697</v>
      </c>
      <c r="K723" s="33">
        <v>45700</v>
      </c>
      <c r="L723" s="31">
        <v>994100</v>
      </c>
      <c r="M723" s="32">
        <v>2.95</v>
      </c>
      <c r="N723" s="31" t="s">
        <v>35</v>
      </c>
      <c r="O723" s="33">
        <v>45699</v>
      </c>
      <c r="P723" s="34">
        <v>177992.703125</v>
      </c>
      <c r="Q723" s="34">
        <v>233499.5625</v>
      </c>
      <c r="R723" s="34">
        <v>140573.90625</v>
      </c>
      <c r="S723" s="29" t="s">
        <v>46</v>
      </c>
      <c r="T723" s="33">
        <v>45215</v>
      </c>
      <c r="U723" s="35" t="b">
        <v>0</v>
      </c>
      <c r="V723" s="35" t="b">
        <v>0</v>
      </c>
      <c r="W723" s="35" t="b">
        <v>1</v>
      </c>
      <c r="Y723" s="31" cm="1">
        <f t="array" ref="Y723">IF(LEFT(_xll.BDP($C723, VOLUME_AVG_10D), 4) = "#N/A", "",  _xll.BDP($C723, VOLUME_AVG_10D))</f>
        <v>249781.59375</v>
      </c>
      <c r="Z723" s="31" cm="1">
        <f t="array" ref="Z723">IF(LEFT(_xll.BDP($C723, VOLUME_AVG_30D), 4) = "#N/A", "",  _xll.BDP($C723, VOLUME_AVG_30D))</f>
        <v>177992.703125</v>
      </c>
      <c r="AA723" s="31" cm="1">
        <f t="array" ref="AA723">IF(LEFT(_xll.BDP($C723, VOLUME_AVG_3M), 4) = "#N/A", "",  _xll.BDP($C723, VOLUME_AVG_3M))</f>
        <v>233499.5625</v>
      </c>
      <c r="AB723" s="31" cm="1">
        <f t="array" ref="AB723">IF(LEFT(_xll.BDP($C723, VOLUME_AVG_6M), 4) = "#N/A", "",  _xll.BDP($C723, VOLUME_AVG_6M))</f>
        <v>140573.90625</v>
      </c>
      <c r="AC723" s="31" cm="1">
        <f t="array" ref="AC723">IF(LEFT(_xll.BDP($C723, VOLUME_AVG_12M), 4) = "#N/A", "",  _xll.BDP($C723, VOLUME_AVG_12M))</f>
        <v>244530.984375</v>
      </c>
      <c r="AD723" s="41" cm="1">
        <f t="array" ref="AD723">IF(LEFT(_xll.BDP($C723, LAST_PRICE), 4) = "#N/A", "",  _xll.BDP($C723, LAST_PRICE))</f>
        <v>1.46</v>
      </c>
    </row>
    <row r="724" spans="1:30" x14ac:dyDescent="0.35">
      <c r="A724" s="1">
        <f t="shared" si="11"/>
        <v>721</v>
      </c>
      <c r="B724" s="28">
        <v>45700</v>
      </c>
      <c r="C724" s="29" t="s">
        <v>1499</v>
      </c>
      <c r="D724" s="29" t="s">
        <v>1499</v>
      </c>
      <c r="E724" s="29" t="s">
        <v>1500</v>
      </c>
      <c r="F724" s="29" t="s">
        <v>33</v>
      </c>
      <c r="G724" s="30" t="s">
        <v>34</v>
      </c>
      <c r="H724" s="31">
        <v>16426201951.5991</v>
      </c>
      <c r="I724" s="31">
        <v>17749201951.599098</v>
      </c>
      <c r="J724" s="32">
        <v>103.56999969482401</v>
      </c>
      <c r="K724" s="33">
        <v>45700</v>
      </c>
      <c r="L724" s="31">
        <v>55805700</v>
      </c>
      <c r="M724" s="32">
        <v>3.88</v>
      </c>
      <c r="N724" s="31" t="s">
        <v>35</v>
      </c>
      <c r="O724" s="33">
        <v>45699</v>
      </c>
      <c r="P724" s="34">
        <v>2174433.75</v>
      </c>
      <c r="Q724" s="34">
        <v>2233800.25</v>
      </c>
      <c r="R724" s="34">
        <v>1981885.375</v>
      </c>
      <c r="S724" s="29"/>
      <c r="T724" s="33"/>
      <c r="U724" s="35" t="b">
        <v>0</v>
      </c>
      <c r="V724" s="35" t="b">
        <v>0</v>
      </c>
      <c r="W724" s="35" t="b">
        <v>0</v>
      </c>
      <c r="Y724" s="31" cm="1">
        <f t="array" ref="Y724">IF(LEFT(_xll.BDP($C724, VOLUME_AVG_10D), 4) = "#N/A", "",  _xll.BDP($C724, VOLUME_AVG_10D))</f>
        <v>3384711.75</v>
      </c>
      <c r="Z724" s="31" cm="1">
        <f t="array" ref="Z724">IF(LEFT(_xll.BDP($C724, VOLUME_AVG_30D), 4) = "#N/A", "",  _xll.BDP($C724, VOLUME_AVG_30D))</f>
        <v>2174433.75</v>
      </c>
      <c r="AA724" s="31" cm="1">
        <f t="array" ref="AA724">IF(LEFT(_xll.BDP($C724, VOLUME_AVG_3M), 4) = "#N/A", "",  _xll.BDP($C724, VOLUME_AVG_3M))</f>
        <v>2233800.25</v>
      </c>
      <c r="AB724" s="31" cm="1">
        <f t="array" ref="AB724">IF(LEFT(_xll.BDP($C724, VOLUME_AVG_6M), 4) = "#N/A", "",  _xll.BDP($C724, VOLUME_AVG_6M))</f>
        <v>1981885.375</v>
      </c>
      <c r="AC724" s="31" cm="1">
        <f t="array" ref="AC724">IF(LEFT(_xll.BDP($C724, VOLUME_AVG_12M), 4) = "#N/A", "",  _xll.BDP($C724, VOLUME_AVG_12M))</f>
        <v>2071153.25</v>
      </c>
      <c r="AD724" s="41" cm="1">
        <f t="array" ref="AD724">IF(LEFT(_xll.BDP($C724, LAST_PRICE), 4) = "#N/A", "",  _xll.BDP($C724, LAST_PRICE))</f>
        <v>103.57</v>
      </c>
    </row>
    <row r="725" spans="1:30" x14ac:dyDescent="0.35">
      <c r="A725" s="1">
        <f t="shared" si="11"/>
        <v>722</v>
      </c>
      <c r="B725" s="28">
        <v>45700</v>
      </c>
      <c r="C725" s="29" t="s">
        <v>1501</v>
      </c>
      <c r="D725" s="29" t="s">
        <v>1501</v>
      </c>
      <c r="E725" s="29" t="s">
        <v>1502</v>
      </c>
      <c r="F725" s="29" t="s">
        <v>40</v>
      </c>
      <c r="G725" s="30" t="s">
        <v>41</v>
      </c>
      <c r="H725" s="31">
        <v>9410628.4528741799</v>
      </c>
      <c r="I725" s="31">
        <v>8135628.4528741799</v>
      </c>
      <c r="J725" s="32">
        <v>3.0499999523162802</v>
      </c>
      <c r="K725" s="33">
        <v>45700</v>
      </c>
      <c r="L725" s="31">
        <v>83300</v>
      </c>
      <c r="M725" s="32">
        <v>-84.3</v>
      </c>
      <c r="N725" s="31" t="s">
        <v>35</v>
      </c>
      <c r="O725" s="33">
        <v>45699</v>
      </c>
      <c r="P725" s="34">
        <v>865.2</v>
      </c>
      <c r="Q725" s="34">
        <v>1524.3589999999999</v>
      </c>
      <c r="R725" s="34">
        <v>1165.2760000000001</v>
      </c>
      <c r="S725" s="29"/>
      <c r="T725" s="33"/>
      <c r="U725" s="35" t="b">
        <v>1</v>
      </c>
      <c r="V725" s="35" t="b">
        <v>0</v>
      </c>
      <c r="W725" s="35" t="b">
        <v>0</v>
      </c>
      <c r="Y725" s="31" cm="1">
        <f t="array" ref="Y725">IF(LEFT(_xll.BDP($C725, VOLUME_AVG_10D), 4) = "#N/A", "",  _xll.BDP($C725, VOLUME_AVG_10D))</f>
        <v>869.1</v>
      </c>
      <c r="Z725" s="31" cm="1">
        <f t="array" ref="Z725">IF(LEFT(_xll.BDP($C725, VOLUME_AVG_30D), 4) = "#N/A", "",  _xll.BDP($C725, VOLUME_AVG_30D))</f>
        <v>865.2</v>
      </c>
      <c r="AA725" s="31" cm="1">
        <f t="array" ref="AA725">IF(LEFT(_xll.BDP($C725, VOLUME_AVG_3M), 4) = "#N/A", "",  _xll.BDP($C725, VOLUME_AVG_3M))</f>
        <v>1524.3589999999999</v>
      </c>
      <c r="AB725" s="31" cm="1">
        <f t="array" ref="AB725">IF(LEFT(_xll.BDP($C725, VOLUME_AVG_6M), 4) = "#N/A", "",  _xll.BDP($C725, VOLUME_AVG_6M))</f>
        <v>1165.2760000000001</v>
      </c>
      <c r="AC725" s="31" cm="1">
        <f t="array" ref="AC725">IF(LEFT(_xll.BDP($C725, VOLUME_AVG_12M), 4) = "#N/A", "",  _xll.BDP($C725, VOLUME_AVG_12M))</f>
        <v>2190.1770000000001</v>
      </c>
      <c r="AD725" s="41" cm="1">
        <f t="array" ref="AD725">IF(LEFT(_xll.BDP($C725, LAST_PRICE), 4) = "#N/A", "",  _xll.BDP($C725, LAST_PRICE))</f>
        <v>3.05</v>
      </c>
    </row>
    <row r="726" spans="1:30" x14ac:dyDescent="0.35">
      <c r="A726" s="1">
        <f t="shared" si="11"/>
        <v>723</v>
      </c>
      <c r="B726" s="28">
        <v>45700</v>
      </c>
      <c r="C726" s="29" t="s">
        <v>1503</v>
      </c>
      <c r="D726" s="29" t="s">
        <v>1503</v>
      </c>
      <c r="E726" s="29" t="s">
        <v>1504</v>
      </c>
      <c r="F726" s="29" t="s">
        <v>33</v>
      </c>
      <c r="G726" s="30" t="s">
        <v>34</v>
      </c>
      <c r="H726" s="31">
        <v>2053178.3081491</v>
      </c>
      <c r="I726" s="31">
        <v>55619748.308149099</v>
      </c>
      <c r="J726" s="32">
        <v>0.61000001430511497</v>
      </c>
      <c r="K726" s="33">
        <v>45700</v>
      </c>
      <c r="L726" s="31">
        <v>62600</v>
      </c>
      <c r="M726" s="32">
        <v>-136.1</v>
      </c>
      <c r="N726" s="31" t="s">
        <v>35</v>
      </c>
      <c r="O726" s="33">
        <v>45699</v>
      </c>
      <c r="P726" s="34">
        <v>2702918.25</v>
      </c>
      <c r="Q726" s="34">
        <v>1325596.5</v>
      </c>
      <c r="R726" s="34">
        <v>688251.375</v>
      </c>
      <c r="S726" s="29"/>
      <c r="T726" s="33"/>
      <c r="U726" s="35" t="b">
        <v>1</v>
      </c>
      <c r="V726" s="35" t="b">
        <v>0</v>
      </c>
      <c r="W726" s="35" t="b">
        <v>0</v>
      </c>
      <c r="Y726" s="31" cm="1">
        <f t="array" ref="Y726">IF(LEFT(_xll.BDP($C726, VOLUME_AVG_10D), 4) = "#N/A", "",  _xll.BDP($C726, VOLUME_AVG_10D))</f>
        <v>1448596.375</v>
      </c>
      <c r="Z726" s="31" cm="1">
        <f t="array" ref="Z726">IF(LEFT(_xll.BDP($C726, VOLUME_AVG_30D), 4) = "#N/A", "",  _xll.BDP($C726, VOLUME_AVG_30D))</f>
        <v>2702918.25</v>
      </c>
      <c r="AA726" s="31" cm="1">
        <f t="array" ref="AA726">IF(LEFT(_xll.BDP($C726, VOLUME_AVG_3M), 4) = "#N/A", "",  _xll.BDP($C726, VOLUME_AVG_3M))</f>
        <v>1325596.5</v>
      </c>
      <c r="AB726" s="31" cm="1">
        <f t="array" ref="AB726">IF(LEFT(_xll.BDP($C726, VOLUME_AVG_6M), 4) = "#N/A", "",  _xll.BDP($C726, VOLUME_AVG_6M))</f>
        <v>688251.375</v>
      </c>
      <c r="AC726" s="31" cm="1">
        <f t="array" ref="AC726">IF(LEFT(_xll.BDP($C726, VOLUME_AVG_12M), 4) = "#N/A", "",  _xll.BDP($C726, VOLUME_AVG_12M))</f>
        <v>621170.25</v>
      </c>
      <c r="AD726" s="41" cm="1">
        <f t="array" ref="AD726">IF(LEFT(_xll.BDP($C726, LAST_PRICE), 4) = "#N/A", "",  _xll.BDP($C726, LAST_PRICE))</f>
        <v>0.61</v>
      </c>
    </row>
    <row r="727" spans="1:30" x14ac:dyDescent="0.35">
      <c r="A727" s="1">
        <f t="shared" si="11"/>
        <v>724</v>
      </c>
      <c r="B727" s="28">
        <v>45700</v>
      </c>
      <c r="C727" s="29" t="s">
        <v>1505</v>
      </c>
      <c r="D727" s="29" t="s">
        <v>1505</v>
      </c>
      <c r="E727" s="29" t="s">
        <v>1506</v>
      </c>
      <c r="F727" s="29" t="s">
        <v>40</v>
      </c>
      <c r="G727" s="30" t="s">
        <v>41</v>
      </c>
      <c r="H727" s="31"/>
      <c r="I727" s="31"/>
      <c r="J727" s="32"/>
      <c r="K727" s="33">
        <v>45700</v>
      </c>
      <c r="L727" s="31"/>
      <c r="M727" s="32"/>
      <c r="N727" s="31"/>
      <c r="O727" s="33">
        <v>45699</v>
      </c>
      <c r="P727" s="34"/>
      <c r="Q727" s="34"/>
      <c r="R727" s="34"/>
      <c r="S727" s="29"/>
      <c r="T727" s="33"/>
      <c r="U727" s="35" t="b">
        <v>1</v>
      </c>
      <c r="V727" s="35" t="b">
        <v>1</v>
      </c>
      <c r="W727" s="35" t="b">
        <v>1</v>
      </c>
      <c r="Y727" s="31" t="str" cm="1">
        <f t="array" ref="Y727">IF(LEFT(_xll.BDP($C727, VOLUME_AVG_10D), 4) = "#N/A", "",  _xll.BDP($C727, VOLUME_AVG_10D))</f>
        <v/>
      </c>
      <c r="Z727" s="31" t="str" cm="1">
        <f t="array" ref="Z727">IF(LEFT(_xll.BDP($C727, VOLUME_AVG_30D), 4) = "#N/A", "",  _xll.BDP($C727, VOLUME_AVG_30D))</f>
        <v/>
      </c>
      <c r="AA727" s="31" t="str" cm="1">
        <f t="array" ref="AA727">IF(LEFT(_xll.BDP($C727, VOLUME_AVG_3M), 4) = "#N/A", "",  _xll.BDP($C727, VOLUME_AVG_3M))</f>
        <v/>
      </c>
      <c r="AB727" s="31" t="str" cm="1">
        <f t="array" ref="AB727">IF(LEFT(_xll.BDP($C727, VOLUME_AVG_6M), 4) = "#N/A", "",  _xll.BDP($C727, VOLUME_AVG_6M))</f>
        <v/>
      </c>
      <c r="AC727" s="31" t="str" cm="1">
        <f t="array" ref="AC727">IF(LEFT(_xll.BDP($C727, VOLUME_AVG_12M), 4) = "#N/A", "",  _xll.BDP($C727, VOLUME_AVG_12M))</f>
        <v/>
      </c>
      <c r="AD727" s="41" t="str" cm="1">
        <f t="array" ref="AD727">IF(LEFT(_xll.BDP($C727, LAST_PRICE), 4) = "#N/A", "",  _xll.BDP($C727, LAST_PRICE))</f>
        <v/>
      </c>
    </row>
    <row r="728" spans="1:30" x14ac:dyDescent="0.35">
      <c r="A728" s="1">
        <f t="shared" si="11"/>
        <v>725</v>
      </c>
      <c r="B728" s="28">
        <v>45700</v>
      </c>
      <c r="C728" s="29" t="s">
        <v>1507</v>
      </c>
      <c r="D728" s="29" t="s">
        <v>1507</v>
      </c>
      <c r="E728" s="29" t="s">
        <v>1508</v>
      </c>
      <c r="F728" s="29" t="s">
        <v>40</v>
      </c>
      <c r="G728" s="30" t="s">
        <v>41</v>
      </c>
      <c r="H728" s="31">
        <v>310036.5</v>
      </c>
      <c r="I728" s="31">
        <v>4486547.5</v>
      </c>
      <c r="J728" s="32">
        <v>0.03</v>
      </c>
      <c r="K728" s="33">
        <v>45700</v>
      </c>
      <c r="L728" s="31"/>
      <c r="M728" s="32"/>
      <c r="N728" s="31"/>
      <c r="O728" s="33">
        <v>45699</v>
      </c>
      <c r="P728" s="34">
        <v>261.16669999999999</v>
      </c>
      <c r="Q728" s="34">
        <v>193.59379999999999</v>
      </c>
      <c r="R728" s="34">
        <v>157.18899999999999</v>
      </c>
      <c r="S728" s="29"/>
      <c r="T728" s="33"/>
      <c r="U728" s="35" t="b">
        <v>1</v>
      </c>
      <c r="V728" s="35" t="b">
        <v>1</v>
      </c>
      <c r="W728" s="35" t="b">
        <v>0</v>
      </c>
      <c r="Y728" s="31" cm="1">
        <f t="array" ref="Y728">IF(LEFT(_xll.BDP($C728, VOLUME_AVG_10D), 4) = "#N/A", "",  _xll.BDP($C728, VOLUME_AVG_10D))</f>
        <v>736.2</v>
      </c>
      <c r="Z728" s="31" cm="1">
        <f t="array" ref="Z728">IF(LEFT(_xll.BDP($C728, VOLUME_AVG_30D), 4) = "#N/A", "",  _xll.BDP($C728, VOLUME_AVG_30D))</f>
        <v>261.16669999999999</v>
      </c>
      <c r="AA728" s="31" cm="1">
        <f t="array" ref="AA728">IF(LEFT(_xll.BDP($C728, VOLUME_AVG_3M), 4) = "#N/A", "",  _xll.BDP($C728, VOLUME_AVG_3M))</f>
        <v>193.59379999999999</v>
      </c>
      <c r="AB728" s="31" cm="1">
        <f t="array" ref="AB728">IF(LEFT(_xll.BDP($C728, VOLUME_AVG_6M), 4) = "#N/A", "",  _xll.BDP($C728, VOLUME_AVG_6M))</f>
        <v>157.18899999999999</v>
      </c>
      <c r="AC728" s="31" cm="1">
        <f t="array" ref="AC728">IF(LEFT(_xll.BDP($C728, VOLUME_AVG_12M), 4) = "#N/A", "",  _xll.BDP($C728, VOLUME_AVG_12M))</f>
        <v>118.27379999999999</v>
      </c>
      <c r="AD728" s="41" cm="1">
        <f t="array" ref="AD728">IF(LEFT(_xll.BDP($C728, LAST_PRICE), 4) = "#N/A", "",  _xll.BDP($C728, LAST_PRICE))</f>
        <v>0.03</v>
      </c>
    </row>
    <row r="729" spans="1:30" x14ac:dyDescent="0.35">
      <c r="A729" s="1">
        <f t="shared" si="11"/>
        <v>726</v>
      </c>
      <c r="B729" s="28">
        <v>45700</v>
      </c>
      <c r="C729" s="29" t="s">
        <v>1509</v>
      </c>
      <c r="D729" s="29" t="s">
        <v>1509</v>
      </c>
      <c r="E729" s="29" t="s">
        <v>1510</v>
      </c>
      <c r="F729" s="29" t="s">
        <v>33</v>
      </c>
      <c r="G729" s="30" t="s">
        <v>34</v>
      </c>
      <c r="H729" s="31">
        <v>616216896.16403103</v>
      </c>
      <c r="I729" s="31">
        <v>180545642.76139799</v>
      </c>
      <c r="J729" s="32">
        <v>5.0700001716613796</v>
      </c>
      <c r="K729" s="33">
        <v>45700</v>
      </c>
      <c r="L729" s="31"/>
      <c r="M729" s="32"/>
      <c r="N729" s="31"/>
      <c r="O729" s="33">
        <v>45699</v>
      </c>
      <c r="P729" s="34">
        <v>1290173.625</v>
      </c>
      <c r="Q729" s="34">
        <v>931384.25</v>
      </c>
      <c r="R729" s="34">
        <v>716341.1875</v>
      </c>
      <c r="S729" s="29" t="s">
        <v>46</v>
      </c>
      <c r="T729" s="33">
        <v>45446</v>
      </c>
      <c r="U729" s="35" t="b">
        <v>0</v>
      </c>
      <c r="V729" s="35" t="b">
        <v>0</v>
      </c>
      <c r="W729" s="35" t="b">
        <v>0</v>
      </c>
      <c r="Y729" s="31" cm="1">
        <f t="array" ref="Y729">IF(LEFT(_xll.BDP($C729, VOLUME_AVG_10D), 4) = "#N/A", "",  _xll.BDP($C729, VOLUME_AVG_10D))</f>
        <v>1262304</v>
      </c>
      <c r="Z729" s="31" cm="1">
        <f t="array" ref="Z729">IF(LEFT(_xll.BDP($C729, VOLUME_AVG_30D), 4) = "#N/A", "",  _xll.BDP($C729, VOLUME_AVG_30D))</f>
        <v>1290173.625</v>
      </c>
      <c r="AA729" s="31" cm="1">
        <f t="array" ref="AA729">IF(LEFT(_xll.BDP($C729, VOLUME_AVG_3M), 4) = "#N/A", "",  _xll.BDP($C729, VOLUME_AVG_3M))</f>
        <v>931384.25</v>
      </c>
      <c r="AB729" s="31" cm="1">
        <f t="array" ref="AB729">IF(LEFT(_xll.BDP($C729, VOLUME_AVG_6M), 4) = "#N/A", "",  _xll.BDP($C729, VOLUME_AVG_6M))</f>
        <v>716341.1875</v>
      </c>
      <c r="AC729" s="31" cm="1">
        <f t="array" ref="AC729">IF(LEFT(_xll.BDP($C729, VOLUME_AVG_12M), 4) = "#N/A", "",  _xll.BDP($C729, VOLUME_AVG_12M))</f>
        <v>585511.0625</v>
      </c>
      <c r="AD729" s="41" cm="1">
        <f t="array" ref="AD729">IF(LEFT(_xll.BDP($C729, LAST_PRICE), 4) = "#N/A", "",  _xll.BDP($C729, LAST_PRICE))</f>
        <v>5.07</v>
      </c>
    </row>
    <row r="730" spans="1:30" x14ac:dyDescent="0.35">
      <c r="A730" s="1">
        <f t="shared" si="11"/>
        <v>727</v>
      </c>
      <c r="B730" s="28">
        <v>45700</v>
      </c>
      <c r="C730" s="29" t="s">
        <v>1511</v>
      </c>
      <c r="D730" s="29" t="s">
        <v>1511</v>
      </c>
      <c r="E730" s="29" t="s">
        <v>1512</v>
      </c>
      <c r="F730" s="29" t="s">
        <v>33</v>
      </c>
      <c r="G730" s="30" t="s">
        <v>34</v>
      </c>
      <c r="H730" s="31">
        <v>54740197.892333299</v>
      </c>
      <c r="I730" s="31">
        <v>37028669.892333299</v>
      </c>
      <c r="J730" s="32">
        <v>1.9900000095367401</v>
      </c>
      <c r="K730" s="33">
        <v>45700</v>
      </c>
      <c r="L730" s="31">
        <v>1007100</v>
      </c>
      <c r="M730" s="32">
        <v>3.7</v>
      </c>
      <c r="N730" s="31" t="s">
        <v>35</v>
      </c>
      <c r="O730" s="33">
        <v>45699</v>
      </c>
      <c r="P730" s="34">
        <v>105234.8984375</v>
      </c>
      <c r="Q730" s="34">
        <v>164239.4375</v>
      </c>
      <c r="R730" s="34">
        <v>138146.203125</v>
      </c>
      <c r="S730" s="29"/>
      <c r="T730" s="33"/>
      <c r="U730" s="35" t="b">
        <v>0</v>
      </c>
      <c r="V730" s="35" t="b">
        <v>0</v>
      </c>
      <c r="W730" s="35" t="b">
        <v>0</v>
      </c>
      <c r="Y730" s="31" cm="1">
        <f t="array" ref="Y730">IF(LEFT(_xll.BDP($C730, VOLUME_AVG_10D), 4) = "#N/A", "",  _xll.BDP($C730, VOLUME_AVG_10D))</f>
        <v>86748</v>
      </c>
      <c r="Z730" s="31" cm="1">
        <f t="array" ref="Z730">IF(LEFT(_xll.BDP($C730, VOLUME_AVG_30D), 4) = "#N/A", "",  _xll.BDP($C730, VOLUME_AVG_30D))</f>
        <v>105234.8984375</v>
      </c>
      <c r="AA730" s="31" cm="1">
        <f t="array" ref="AA730">IF(LEFT(_xll.BDP($C730, VOLUME_AVG_3M), 4) = "#N/A", "",  _xll.BDP($C730, VOLUME_AVG_3M))</f>
        <v>164239.4375</v>
      </c>
      <c r="AB730" s="31" cm="1">
        <f t="array" ref="AB730">IF(LEFT(_xll.BDP($C730, VOLUME_AVG_6M), 4) = "#N/A", "",  _xll.BDP($C730, VOLUME_AVG_6M))</f>
        <v>138146.203125</v>
      </c>
      <c r="AC730" s="31" cm="1">
        <f t="array" ref="AC730">IF(LEFT(_xll.BDP($C730, VOLUME_AVG_12M), 4) = "#N/A", "",  _xll.BDP($C730, VOLUME_AVG_12M))</f>
        <v>156289.15625</v>
      </c>
      <c r="AD730" s="41" cm="1">
        <f t="array" ref="AD730">IF(LEFT(_xll.BDP($C730, LAST_PRICE), 4) = "#N/A", "",  _xll.BDP($C730, LAST_PRICE))</f>
        <v>1.99</v>
      </c>
    </row>
    <row r="731" spans="1:30" x14ac:dyDescent="0.35">
      <c r="A731" s="1">
        <f t="shared" si="11"/>
        <v>728</v>
      </c>
      <c r="B731" s="28">
        <v>45700</v>
      </c>
      <c r="C731" s="29" t="s">
        <v>1513</v>
      </c>
      <c r="D731" s="29" t="s">
        <v>1513</v>
      </c>
      <c r="E731" s="29" t="s">
        <v>1514</v>
      </c>
      <c r="F731" s="29" t="s">
        <v>33</v>
      </c>
      <c r="G731" s="30" t="s">
        <v>34</v>
      </c>
      <c r="H731" s="31">
        <v>45003526.149750702</v>
      </c>
      <c r="I731" s="31">
        <v>56727560.149750702</v>
      </c>
      <c r="J731" s="32">
        <v>5.0500001907348597</v>
      </c>
      <c r="K731" s="33">
        <v>45700</v>
      </c>
      <c r="L731" s="31">
        <v>441600</v>
      </c>
      <c r="M731" s="32">
        <v>3.75</v>
      </c>
      <c r="N731" s="31" t="s">
        <v>35</v>
      </c>
      <c r="O731" s="33">
        <v>45699</v>
      </c>
      <c r="P731" s="34">
        <v>7468.10009765625</v>
      </c>
      <c r="Q731" s="34">
        <v>12988.4189453125</v>
      </c>
      <c r="R731" s="34">
        <v>27280.5546875</v>
      </c>
      <c r="S731" s="29"/>
      <c r="T731" s="33"/>
      <c r="U731" s="35" t="b">
        <v>0</v>
      </c>
      <c r="V731" s="35" t="b">
        <v>0</v>
      </c>
      <c r="W731" s="35" t="b">
        <v>0</v>
      </c>
      <c r="Y731" s="31" cm="1">
        <f t="array" ref="Y731">IF(LEFT(_xll.BDP($C731, VOLUME_AVG_10D), 4) = "#N/A", "",  _xll.BDP($C731, VOLUME_AVG_10D))</f>
        <v>4715.60009765625</v>
      </c>
      <c r="Z731" s="31" cm="1">
        <f t="array" ref="Z731">IF(LEFT(_xll.BDP($C731, VOLUME_AVG_30D), 4) = "#N/A", "",  _xll.BDP($C731, VOLUME_AVG_30D))</f>
        <v>7468.10009765625</v>
      </c>
      <c r="AA731" s="31" cm="1">
        <f t="array" ref="AA731">IF(LEFT(_xll.BDP($C731, VOLUME_AVG_3M), 4) = "#N/A", "",  _xll.BDP($C731, VOLUME_AVG_3M))</f>
        <v>12988.4189453125</v>
      </c>
      <c r="AB731" s="31" cm="1">
        <f t="array" ref="AB731">IF(LEFT(_xll.BDP($C731, VOLUME_AVG_6M), 4) = "#N/A", "",  _xll.BDP($C731, VOLUME_AVG_6M))</f>
        <v>27280.5546875</v>
      </c>
      <c r="AC731" s="31" cm="1">
        <f t="array" ref="AC731">IF(LEFT(_xll.BDP($C731, VOLUME_AVG_12M), 4) = "#N/A", "",  _xll.BDP($C731, VOLUME_AVG_12M))</f>
        <v>18614.134765625</v>
      </c>
      <c r="AD731" s="41" cm="1">
        <f t="array" ref="AD731">IF(LEFT(_xll.BDP($C731, LAST_PRICE), 4) = "#N/A", "",  _xll.BDP($C731, LAST_PRICE))</f>
        <v>5.05</v>
      </c>
    </row>
    <row r="732" spans="1:30" x14ac:dyDescent="0.35">
      <c r="A732" s="1">
        <f t="shared" si="11"/>
        <v>729</v>
      </c>
      <c r="B732" s="28">
        <v>45700</v>
      </c>
      <c r="C732" s="29" t="s">
        <v>1515</v>
      </c>
      <c r="D732" s="29" t="s">
        <v>1515</v>
      </c>
      <c r="E732" s="29" t="s">
        <v>1516</v>
      </c>
      <c r="F732" s="29" t="s">
        <v>33</v>
      </c>
      <c r="G732" s="30" t="s">
        <v>34</v>
      </c>
      <c r="H732" s="31">
        <v>56511816.988660797</v>
      </c>
      <c r="I732" s="31">
        <v>-24690909.011339199</v>
      </c>
      <c r="J732" s="32">
        <v>1.8200000524520901</v>
      </c>
      <c r="K732" s="33">
        <v>45700</v>
      </c>
      <c r="L732" s="31">
        <v>686300</v>
      </c>
      <c r="M732" s="32">
        <v>-11.7</v>
      </c>
      <c r="N732" s="31" t="s">
        <v>35</v>
      </c>
      <c r="O732" s="33">
        <v>45699</v>
      </c>
      <c r="P732" s="34">
        <v>3369940</v>
      </c>
      <c r="Q732" s="34">
        <v>1989925.5</v>
      </c>
      <c r="R732" s="34">
        <v>3793401.5</v>
      </c>
      <c r="S732" s="29"/>
      <c r="T732" s="33"/>
      <c r="U732" s="35" t="b">
        <v>0</v>
      </c>
      <c r="V732" s="35" t="b">
        <v>0</v>
      </c>
      <c r="W732" s="35" t="b">
        <v>1</v>
      </c>
      <c r="Y732" s="31" cm="1">
        <f t="array" ref="Y732">IF(LEFT(_xll.BDP($C732, VOLUME_AVG_10D), 4) = "#N/A", "",  _xll.BDP($C732, VOLUME_AVG_10D))</f>
        <v>354720.09375</v>
      </c>
      <c r="Z732" s="31" cm="1">
        <f t="array" ref="Z732">IF(LEFT(_xll.BDP($C732, VOLUME_AVG_30D), 4) = "#N/A", "",  _xll.BDP($C732, VOLUME_AVG_30D))</f>
        <v>3369940</v>
      </c>
      <c r="AA732" s="31" cm="1">
        <f t="array" ref="AA732">IF(LEFT(_xll.BDP($C732, VOLUME_AVG_3M), 4) = "#N/A", "",  _xll.BDP($C732, VOLUME_AVG_3M))</f>
        <v>1989925.5</v>
      </c>
      <c r="AB732" s="31" cm="1">
        <f t="array" ref="AB732">IF(LEFT(_xll.BDP($C732, VOLUME_AVG_6M), 4) = "#N/A", "",  _xll.BDP($C732, VOLUME_AVG_6M))</f>
        <v>3793401.5</v>
      </c>
      <c r="AC732" s="31" cm="1">
        <f t="array" ref="AC732">IF(LEFT(_xll.BDP($C732, VOLUME_AVG_12M), 4) = "#N/A", "",  _xll.BDP($C732, VOLUME_AVG_12M))</f>
        <v>2475337.25</v>
      </c>
      <c r="AD732" s="41" cm="1">
        <f t="array" ref="AD732">IF(LEFT(_xll.BDP($C732, LAST_PRICE), 4) = "#N/A", "",  _xll.BDP($C732, LAST_PRICE))</f>
        <v>1.82</v>
      </c>
    </row>
    <row r="733" spans="1:30" x14ac:dyDescent="0.35">
      <c r="A733" s="1">
        <f t="shared" si="11"/>
        <v>730</v>
      </c>
      <c r="B733" s="28">
        <v>45700</v>
      </c>
      <c r="C733" s="29" t="s">
        <v>1517</v>
      </c>
      <c r="D733" s="29" t="s">
        <v>1517</v>
      </c>
      <c r="E733" s="29" t="s">
        <v>1518</v>
      </c>
      <c r="F733" s="29" t="s">
        <v>33</v>
      </c>
      <c r="G733" s="30" t="s">
        <v>34</v>
      </c>
      <c r="H733" s="31">
        <v>84494119.112698093</v>
      </c>
      <c r="I733" s="31">
        <v>25609119.112698101</v>
      </c>
      <c r="J733" s="32">
        <v>0.93800002336502097</v>
      </c>
      <c r="K733" s="33">
        <v>45700</v>
      </c>
      <c r="L733" s="31">
        <v>6352100</v>
      </c>
      <c r="M733" s="32">
        <v>3.75</v>
      </c>
      <c r="N733" s="31" t="s">
        <v>35</v>
      </c>
      <c r="O733" s="33">
        <v>45699</v>
      </c>
      <c r="P733" s="34">
        <v>981685.375</v>
      </c>
      <c r="Q733" s="34">
        <v>926903.0625</v>
      </c>
      <c r="R733" s="34">
        <v>801556.1875</v>
      </c>
      <c r="S733" s="29"/>
      <c r="T733" s="33"/>
      <c r="U733" s="35" t="b">
        <v>0</v>
      </c>
      <c r="V733" s="35" t="b">
        <v>0</v>
      </c>
      <c r="W733" s="35" t="b">
        <v>0</v>
      </c>
      <c r="Y733" s="31" cm="1">
        <f t="array" ref="Y733">IF(LEFT(_xll.BDP($C733, VOLUME_AVG_10D), 4) = "#N/A", "",  _xll.BDP($C733, VOLUME_AVG_10D))</f>
        <v>578828.375</v>
      </c>
      <c r="Z733" s="31" cm="1">
        <f t="array" ref="Z733">IF(LEFT(_xll.BDP($C733, VOLUME_AVG_30D), 4) = "#N/A", "",  _xll.BDP($C733, VOLUME_AVG_30D))</f>
        <v>981685.375</v>
      </c>
      <c r="AA733" s="31" cm="1">
        <f t="array" ref="AA733">IF(LEFT(_xll.BDP($C733, VOLUME_AVG_3M), 4) = "#N/A", "",  _xll.BDP($C733, VOLUME_AVG_3M))</f>
        <v>926903.0625</v>
      </c>
      <c r="AB733" s="31" cm="1">
        <f t="array" ref="AB733">IF(LEFT(_xll.BDP($C733, VOLUME_AVG_6M), 4) = "#N/A", "",  _xll.BDP($C733, VOLUME_AVG_6M))</f>
        <v>801556.1875</v>
      </c>
      <c r="AC733" s="31" cm="1">
        <f t="array" ref="AC733">IF(LEFT(_xll.BDP($C733, VOLUME_AVG_12M), 4) = "#N/A", "",  _xll.BDP($C733, VOLUME_AVG_12M))</f>
        <v>595710.25</v>
      </c>
      <c r="AD733" s="41" cm="1">
        <f t="array" ref="AD733">IF(LEFT(_xll.BDP($C733, LAST_PRICE), 4) = "#N/A", "",  _xll.BDP($C733, LAST_PRICE))</f>
        <v>0.93799999999999994</v>
      </c>
    </row>
    <row r="734" spans="1:30" x14ac:dyDescent="0.35">
      <c r="A734" s="1">
        <f t="shared" si="11"/>
        <v>731</v>
      </c>
      <c r="B734" s="28">
        <v>45700</v>
      </c>
      <c r="C734" s="29" t="s">
        <v>1519</v>
      </c>
      <c r="D734" s="29" t="s">
        <v>1519</v>
      </c>
      <c r="E734" s="29" t="s">
        <v>1520</v>
      </c>
      <c r="F734" s="29" t="s">
        <v>33</v>
      </c>
      <c r="G734" s="30" t="s">
        <v>34</v>
      </c>
      <c r="H734" s="31">
        <v>2743248706.3545899</v>
      </c>
      <c r="I734" s="31">
        <v>3356779706.3545899</v>
      </c>
      <c r="J734" s="32">
        <v>3.2400000095367401</v>
      </c>
      <c r="K734" s="33">
        <v>45700</v>
      </c>
      <c r="L734" s="31">
        <v>801300</v>
      </c>
      <c r="M734" s="32">
        <v>-2.65</v>
      </c>
      <c r="N734" s="31" t="s">
        <v>35</v>
      </c>
      <c r="O734" s="33">
        <v>45699</v>
      </c>
      <c r="P734" s="34">
        <v>6128585</v>
      </c>
      <c r="Q734" s="34">
        <v>5863555.5</v>
      </c>
      <c r="R734" s="34">
        <v>5373611.5</v>
      </c>
      <c r="S734" s="29"/>
      <c r="T734" s="33"/>
      <c r="U734" s="35" t="b">
        <v>0</v>
      </c>
      <c r="V734" s="35" t="b">
        <v>0</v>
      </c>
      <c r="W734" s="35" t="b">
        <v>0</v>
      </c>
      <c r="Y734" s="31" cm="1">
        <f t="array" ref="Y734">IF(LEFT(_xll.BDP($C734, VOLUME_AVG_10D), 4) = "#N/A", "",  _xll.BDP($C734, VOLUME_AVG_10D))</f>
        <v>5305442.5</v>
      </c>
      <c r="Z734" s="31" cm="1">
        <f t="array" ref="Z734">IF(LEFT(_xll.BDP($C734, VOLUME_AVG_30D), 4) = "#N/A", "",  _xll.BDP($C734, VOLUME_AVG_30D))</f>
        <v>6128585</v>
      </c>
      <c r="AA734" s="31" cm="1">
        <f t="array" ref="AA734">IF(LEFT(_xll.BDP($C734, VOLUME_AVG_3M), 4) = "#N/A", "",  _xll.BDP($C734, VOLUME_AVG_3M))</f>
        <v>5863555.5</v>
      </c>
      <c r="AB734" s="31" cm="1">
        <f t="array" ref="AB734">IF(LEFT(_xll.BDP($C734, VOLUME_AVG_6M), 4) = "#N/A", "",  _xll.BDP($C734, VOLUME_AVG_6M))</f>
        <v>5373611.5</v>
      </c>
      <c r="AC734" s="31" cm="1">
        <f t="array" ref="AC734">IF(LEFT(_xll.BDP($C734, VOLUME_AVG_12M), 4) = "#N/A", "",  _xll.BDP($C734, VOLUME_AVG_12M))</f>
        <v>5363755</v>
      </c>
      <c r="AD734" s="41" cm="1">
        <f t="array" ref="AD734">IF(LEFT(_xll.BDP($C734, LAST_PRICE), 4) = "#N/A", "",  _xll.BDP($C734, LAST_PRICE))</f>
        <v>3.24</v>
      </c>
    </row>
    <row r="735" spans="1:30" x14ac:dyDescent="0.35">
      <c r="A735" s="1">
        <f t="shared" si="11"/>
        <v>732</v>
      </c>
      <c r="B735" s="28">
        <v>45700</v>
      </c>
      <c r="C735" s="29" t="s">
        <v>1521</v>
      </c>
      <c r="D735" s="29" t="s">
        <v>1521</v>
      </c>
      <c r="E735" s="29" t="s">
        <v>1522</v>
      </c>
      <c r="F735" s="29" t="s">
        <v>33</v>
      </c>
      <c r="G735" s="30" t="s">
        <v>34</v>
      </c>
      <c r="H735" s="31">
        <v>1478968654.47962</v>
      </c>
      <c r="I735" s="31">
        <v>1120374654.47962</v>
      </c>
      <c r="J735" s="32">
        <v>29.559999465942401</v>
      </c>
      <c r="K735" s="33">
        <v>45700</v>
      </c>
      <c r="L735" s="31">
        <v>9430400</v>
      </c>
      <c r="M735" s="32">
        <v>3.88</v>
      </c>
      <c r="N735" s="31" t="s">
        <v>35</v>
      </c>
      <c r="O735" s="33">
        <v>45699</v>
      </c>
      <c r="P735" s="34">
        <v>220613.203125</v>
      </c>
      <c r="Q735" s="34">
        <v>265962</v>
      </c>
      <c r="R735" s="34">
        <v>319048</v>
      </c>
      <c r="S735" s="29" t="s">
        <v>46</v>
      </c>
      <c r="T735" s="33">
        <v>45446</v>
      </c>
      <c r="U735" s="35" t="b">
        <v>0</v>
      </c>
      <c r="V735" s="35" t="b">
        <v>0</v>
      </c>
      <c r="W735" s="35" t="b">
        <v>0</v>
      </c>
      <c r="Y735" s="31" cm="1">
        <f t="array" ref="Y735">IF(LEFT(_xll.BDP($C735, VOLUME_AVG_10D), 4) = "#N/A", "",  _xll.BDP($C735, VOLUME_AVG_10D))</f>
        <v>160250.296875</v>
      </c>
      <c r="Z735" s="31" cm="1">
        <f t="array" ref="Z735">IF(LEFT(_xll.BDP($C735, VOLUME_AVG_30D), 4) = "#N/A", "",  _xll.BDP($C735, VOLUME_AVG_30D))</f>
        <v>220613.203125</v>
      </c>
      <c r="AA735" s="31" cm="1">
        <f t="array" ref="AA735">IF(LEFT(_xll.BDP($C735, VOLUME_AVG_3M), 4) = "#N/A", "",  _xll.BDP($C735, VOLUME_AVG_3M))</f>
        <v>265962</v>
      </c>
      <c r="AB735" s="31" cm="1">
        <f t="array" ref="AB735">IF(LEFT(_xll.BDP($C735, VOLUME_AVG_6M), 4) = "#N/A", "",  _xll.BDP($C735, VOLUME_AVG_6M))</f>
        <v>319048</v>
      </c>
      <c r="AC735" s="31" cm="1">
        <f t="array" ref="AC735">IF(LEFT(_xll.BDP($C735, VOLUME_AVG_12M), 4) = "#N/A", "",  _xll.BDP($C735, VOLUME_AVG_12M))</f>
        <v>452965.3125</v>
      </c>
      <c r="AD735" s="41" cm="1">
        <f t="array" ref="AD735">IF(LEFT(_xll.BDP($C735, LAST_PRICE), 4) = "#N/A", "",  _xll.BDP($C735, LAST_PRICE))</f>
        <v>29.56</v>
      </c>
    </row>
    <row r="736" spans="1:30" x14ac:dyDescent="0.35">
      <c r="A736" s="1">
        <f t="shared" si="11"/>
        <v>733</v>
      </c>
      <c r="B736" s="28">
        <v>45700</v>
      </c>
      <c r="C736" s="29" t="s">
        <v>1523</v>
      </c>
      <c r="D736" s="29" t="s">
        <v>1523</v>
      </c>
      <c r="E736" s="29" t="s">
        <v>1524</v>
      </c>
      <c r="F736" s="29" t="s">
        <v>33</v>
      </c>
      <c r="G736" s="30" t="s">
        <v>34</v>
      </c>
      <c r="H736" s="31">
        <v>859873278.86003494</v>
      </c>
      <c r="I736" s="31">
        <v>622131278.86003494</v>
      </c>
      <c r="J736" s="32">
        <v>10.3999996185303</v>
      </c>
      <c r="K736" s="33">
        <v>45700</v>
      </c>
      <c r="L736" s="31">
        <v>12523600</v>
      </c>
      <c r="M736" s="32">
        <v>3.88</v>
      </c>
      <c r="N736" s="31" t="s">
        <v>35</v>
      </c>
      <c r="O736" s="33">
        <v>45699</v>
      </c>
      <c r="P736" s="34">
        <v>1091816.5</v>
      </c>
      <c r="Q736" s="34">
        <v>1020292.9375</v>
      </c>
      <c r="R736" s="34">
        <v>811081</v>
      </c>
      <c r="S736" s="29" t="s">
        <v>46</v>
      </c>
      <c r="T736" s="33">
        <v>45446</v>
      </c>
      <c r="U736" s="35" t="b">
        <v>0</v>
      </c>
      <c r="V736" s="35" t="b">
        <v>0</v>
      </c>
      <c r="W736" s="35" t="b">
        <v>0</v>
      </c>
      <c r="Y736" s="31" cm="1">
        <f t="array" ref="Y736">IF(LEFT(_xll.BDP($C736, VOLUME_AVG_10D), 4) = "#N/A", "",  _xll.BDP($C736, VOLUME_AVG_10D))</f>
        <v>1739150.375</v>
      </c>
      <c r="Z736" s="31" cm="1">
        <f t="array" ref="Z736">IF(LEFT(_xll.BDP($C736, VOLUME_AVG_30D), 4) = "#N/A", "",  _xll.BDP($C736, VOLUME_AVG_30D))</f>
        <v>1091816.5</v>
      </c>
      <c r="AA736" s="31" cm="1">
        <f t="array" ref="AA736">IF(LEFT(_xll.BDP($C736, VOLUME_AVG_3M), 4) = "#N/A", "",  _xll.BDP($C736, VOLUME_AVG_3M))</f>
        <v>1020292.9375</v>
      </c>
      <c r="AB736" s="31" cm="1">
        <f t="array" ref="AB736">IF(LEFT(_xll.BDP($C736, VOLUME_AVG_6M), 4) = "#N/A", "",  _xll.BDP($C736, VOLUME_AVG_6M))</f>
        <v>811081</v>
      </c>
      <c r="AC736" s="31" cm="1">
        <f t="array" ref="AC736">IF(LEFT(_xll.BDP($C736, VOLUME_AVG_12M), 4) = "#N/A", "",  _xll.BDP($C736, VOLUME_AVG_12M))</f>
        <v>840411.125</v>
      </c>
      <c r="AD736" s="41" cm="1">
        <f t="array" ref="AD736">IF(LEFT(_xll.BDP($C736, LAST_PRICE), 4) = "#N/A", "",  _xll.BDP($C736, LAST_PRICE))</f>
        <v>10.4</v>
      </c>
    </row>
    <row r="737" spans="1:30" x14ac:dyDescent="0.35">
      <c r="A737" s="1">
        <f t="shared" si="11"/>
        <v>734</v>
      </c>
      <c r="B737" s="28">
        <v>45700</v>
      </c>
      <c r="C737" s="29" t="s">
        <v>1525</v>
      </c>
      <c r="D737" s="29" t="s">
        <v>1525</v>
      </c>
      <c r="E737" s="29" t="s">
        <v>1526</v>
      </c>
      <c r="F737" s="29" t="s">
        <v>33</v>
      </c>
      <c r="G737" s="30" t="s">
        <v>34</v>
      </c>
      <c r="H737" s="31">
        <v>20731598.868627701</v>
      </c>
      <c r="I737" s="31">
        <v>39789406.974703103</v>
      </c>
      <c r="J737" s="32">
        <v>0.45300000905990601</v>
      </c>
      <c r="K737" s="33">
        <v>45700</v>
      </c>
      <c r="L737" s="31"/>
      <c r="M737" s="32"/>
      <c r="N737" s="31"/>
      <c r="O737" s="33">
        <v>45699</v>
      </c>
      <c r="P737" s="34">
        <v>12252857</v>
      </c>
      <c r="Q737" s="34">
        <v>6111110</v>
      </c>
      <c r="R737" s="34">
        <v>3247899</v>
      </c>
      <c r="S737" s="29"/>
      <c r="T737" s="33"/>
      <c r="U737" s="35" t="b">
        <v>0</v>
      </c>
      <c r="V737" s="35" t="b">
        <v>0</v>
      </c>
      <c r="W737" s="35" t="b">
        <v>0</v>
      </c>
      <c r="Y737" s="31" cm="1">
        <f t="array" ref="Y737">IF(LEFT(_xll.BDP($C737, VOLUME_AVG_10D), 4) = "#N/A", "",  _xll.BDP($C737, VOLUME_AVG_10D))</f>
        <v>996885.625</v>
      </c>
      <c r="Z737" s="31" cm="1">
        <f t="array" ref="Z737">IF(LEFT(_xll.BDP($C737, VOLUME_AVG_30D), 4) = "#N/A", "",  _xll.BDP($C737, VOLUME_AVG_30D))</f>
        <v>12252857</v>
      </c>
      <c r="AA737" s="31" cm="1">
        <f t="array" ref="AA737">IF(LEFT(_xll.BDP($C737, VOLUME_AVG_3M), 4) = "#N/A", "",  _xll.BDP($C737, VOLUME_AVG_3M))</f>
        <v>6111110</v>
      </c>
      <c r="AB737" s="31" cm="1">
        <f t="array" ref="AB737">IF(LEFT(_xll.BDP($C737, VOLUME_AVG_6M), 4) = "#N/A", "",  _xll.BDP($C737, VOLUME_AVG_6M))</f>
        <v>3247899</v>
      </c>
      <c r="AC737" s="31" cm="1">
        <f t="array" ref="AC737">IF(LEFT(_xll.BDP($C737, VOLUME_AVG_12M), 4) = "#N/A", "",  _xll.BDP($C737, VOLUME_AVG_12M))</f>
        <v>1795588.125</v>
      </c>
      <c r="AD737" s="41" cm="1">
        <f t="array" ref="AD737">IF(LEFT(_xll.BDP($C737, LAST_PRICE), 4) = "#N/A", "",  _xll.BDP($C737, LAST_PRICE))</f>
        <v>0.45300000000000001</v>
      </c>
    </row>
    <row r="738" spans="1:30" x14ac:dyDescent="0.35">
      <c r="A738" s="1">
        <f t="shared" si="11"/>
        <v>735</v>
      </c>
      <c r="B738" s="28">
        <v>45700</v>
      </c>
      <c r="C738" s="29" t="s">
        <v>1527</v>
      </c>
      <c r="D738" s="29" t="s">
        <v>1527</v>
      </c>
      <c r="E738" s="29" t="s">
        <v>1528</v>
      </c>
      <c r="F738" s="29" t="s">
        <v>33</v>
      </c>
      <c r="G738" s="30" t="s">
        <v>34</v>
      </c>
      <c r="H738" s="31">
        <v>6055.5688</v>
      </c>
      <c r="I738" s="31">
        <v>475264.55762672197</v>
      </c>
      <c r="J738" s="32"/>
      <c r="K738" s="33">
        <v>45700</v>
      </c>
      <c r="L738" s="31"/>
      <c r="M738" s="32"/>
      <c r="N738" s="31"/>
      <c r="O738" s="33">
        <v>45699</v>
      </c>
      <c r="P738" s="34"/>
      <c r="Q738" s="34">
        <v>1200.20971679688</v>
      </c>
      <c r="R738" s="34">
        <v>947.73016357421898</v>
      </c>
      <c r="S738" s="29"/>
      <c r="T738" s="33"/>
      <c r="U738" s="35" t="b">
        <v>1</v>
      </c>
      <c r="V738" s="35" t="b">
        <v>1</v>
      </c>
      <c r="W738" s="35" t="b">
        <v>0</v>
      </c>
      <c r="Y738" s="31" cm="1">
        <f t="array" ref="Y738">IF(LEFT(_xll.BDP($C738, VOLUME_AVG_10D), 4) = "#N/A", "",  _xll.BDP($C738, VOLUME_AVG_10D))</f>
        <v>0</v>
      </c>
      <c r="Z738" s="31" cm="1">
        <f t="array" ref="Z738">IF(LEFT(_xll.BDP($C738, VOLUME_AVG_30D), 4) = "#N/A", "",  _xll.BDP($C738, VOLUME_AVG_30D))</f>
        <v>0</v>
      </c>
      <c r="AA738" s="31" cm="1">
        <f t="array" ref="AA738">IF(LEFT(_xll.BDP($C738, VOLUME_AVG_3M), 4) = "#N/A", "",  _xll.BDP($C738, VOLUME_AVG_3M))</f>
        <v>1200.209716796875</v>
      </c>
      <c r="AB738" s="31" cm="1">
        <f t="array" ref="AB738">IF(LEFT(_xll.BDP($C738, VOLUME_AVG_6M), 4) = "#N/A", "",  _xll.BDP($C738, VOLUME_AVG_6M))</f>
        <v>947.73016357421875</v>
      </c>
      <c r="AC738" s="31" cm="1">
        <f t="array" ref="AC738">IF(LEFT(_xll.BDP($C738, VOLUME_AVG_12M), 4) = "#N/A", "",  _xll.BDP($C738, VOLUME_AVG_12M))</f>
        <v>490.286865234375</v>
      </c>
      <c r="AD738" s="41" t="str" cm="1">
        <f t="array" ref="AD738">IF(LEFT(_xll.BDP($C738, LAST_PRICE), 4) = "#N/A", "",  _xll.BDP($C738, LAST_PRICE))</f>
        <v/>
      </c>
    </row>
    <row r="739" spans="1:30" x14ac:dyDescent="0.35">
      <c r="A739" s="1">
        <f t="shared" si="11"/>
        <v>736</v>
      </c>
      <c r="B739" s="28">
        <v>45700</v>
      </c>
      <c r="C739" s="29" t="s">
        <v>1529</v>
      </c>
      <c r="D739" s="29" t="s">
        <v>1529</v>
      </c>
      <c r="E739" s="29" t="s">
        <v>1530</v>
      </c>
      <c r="F739" s="29" t="s">
        <v>33</v>
      </c>
      <c r="G739" s="30" t="s">
        <v>34</v>
      </c>
      <c r="H739" s="31">
        <v>3264722210.6259298</v>
      </c>
      <c r="I739" s="31">
        <v>2629495210.6259298</v>
      </c>
      <c r="J739" s="32">
        <v>19.219999313354499</v>
      </c>
      <c r="K739" s="33">
        <v>45700</v>
      </c>
      <c r="L739" s="31">
        <v>14026400</v>
      </c>
      <c r="M739" s="32">
        <v>3.88</v>
      </c>
      <c r="N739" s="31" t="s">
        <v>35</v>
      </c>
      <c r="O739" s="33">
        <v>45699</v>
      </c>
      <c r="P739" s="34">
        <v>1299828.25</v>
      </c>
      <c r="Q739" s="34">
        <v>1133009.125</v>
      </c>
      <c r="R739" s="34">
        <v>986730</v>
      </c>
      <c r="S739" s="29" t="s">
        <v>73</v>
      </c>
      <c r="T739" s="33">
        <v>45446</v>
      </c>
      <c r="U739" s="35" t="b">
        <v>0</v>
      </c>
      <c r="V739" s="35" t="b">
        <v>0</v>
      </c>
      <c r="W739" s="35" t="b">
        <v>0</v>
      </c>
      <c r="Y739" s="31" cm="1">
        <f t="array" ref="Y739">IF(LEFT(_xll.BDP($C739, VOLUME_AVG_10D), 4) = "#N/A", "",  _xll.BDP($C739, VOLUME_AVG_10D))</f>
        <v>1763688.875</v>
      </c>
      <c r="Z739" s="31" cm="1">
        <f t="array" ref="Z739">IF(LEFT(_xll.BDP($C739, VOLUME_AVG_30D), 4) = "#N/A", "",  _xll.BDP($C739, VOLUME_AVG_30D))</f>
        <v>1299828.25</v>
      </c>
      <c r="AA739" s="31" cm="1">
        <f t="array" ref="AA739">IF(LEFT(_xll.BDP($C739, VOLUME_AVG_3M), 4) = "#N/A", "",  _xll.BDP($C739, VOLUME_AVG_3M))</f>
        <v>1133009.125</v>
      </c>
      <c r="AB739" s="31" cm="1">
        <f t="array" ref="AB739">IF(LEFT(_xll.BDP($C739, VOLUME_AVG_6M), 4) = "#N/A", "",  _xll.BDP($C739, VOLUME_AVG_6M))</f>
        <v>986730</v>
      </c>
      <c r="AC739" s="31" cm="1">
        <f t="array" ref="AC739">IF(LEFT(_xll.BDP($C739, VOLUME_AVG_12M), 4) = "#N/A", "",  _xll.BDP($C739, VOLUME_AVG_12M))</f>
        <v>1067556.75</v>
      </c>
      <c r="AD739" s="41" cm="1">
        <f t="array" ref="AD739">IF(LEFT(_xll.BDP($C739, LAST_PRICE), 4) = "#N/A", "",  _xll.BDP($C739, LAST_PRICE))</f>
        <v>19.22</v>
      </c>
    </row>
    <row r="740" spans="1:30" x14ac:dyDescent="0.35">
      <c r="A740" s="1">
        <f t="shared" si="11"/>
        <v>737</v>
      </c>
      <c r="B740" s="28">
        <v>45700</v>
      </c>
      <c r="C740" s="29" t="s">
        <v>1531</v>
      </c>
      <c r="D740" s="29" t="s">
        <v>1531</v>
      </c>
      <c r="E740" s="29" t="s">
        <v>1532</v>
      </c>
      <c r="F740" s="29" t="s">
        <v>33</v>
      </c>
      <c r="G740" s="30" t="s">
        <v>34</v>
      </c>
      <c r="H740" s="31">
        <v>12904159.9977508</v>
      </c>
      <c r="I740" s="31">
        <v>3858400.9977508201</v>
      </c>
      <c r="J740" s="32">
        <v>0.88990002870559703</v>
      </c>
      <c r="K740" s="33">
        <v>45700</v>
      </c>
      <c r="L740" s="31">
        <v>416400</v>
      </c>
      <c r="M740" s="32">
        <v>-1.1499999999999999</v>
      </c>
      <c r="N740" s="31" t="s">
        <v>35</v>
      </c>
      <c r="O740" s="33">
        <v>45699</v>
      </c>
      <c r="P740" s="34">
        <v>170596.96875</v>
      </c>
      <c r="Q740" s="34">
        <v>254246.890625</v>
      </c>
      <c r="R740" s="34">
        <v>299150.90625</v>
      </c>
      <c r="S740" s="29"/>
      <c r="T740" s="33"/>
      <c r="U740" s="35" t="b">
        <v>1</v>
      </c>
      <c r="V740" s="35" t="b">
        <v>0</v>
      </c>
      <c r="W740" s="35" t="b">
        <v>0</v>
      </c>
      <c r="Y740" s="31" cm="1">
        <f t="array" ref="Y740">IF(LEFT(_xll.BDP($C740, VOLUME_AVG_10D), 4) = "#N/A", "",  _xll.BDP($C740, VOLUME_AVG_10D))</f>
        <v>94947.796875</v>
      </c>
      <c r="Z740" s="31" cm="1">
        <f t="array" ref="Z740">IF(LEFT(_xll.BDP($C740, VOLUME_AVG_30D), 4) = "#N/A", "",  _xll.BDP($C740, VOLUME_AVG_30D))</f>
        <v>170596.96875</v>
      </c>
      <c r="AA740" s="31" cm="1">
        <f t="array" ref="AA740">IF(LEFT(_xll.BDP($C740, VOLUME_AVG_3M), 4) = "#N/A", "",  _xll.BDP($C740, VOLUME_AVG_3M))</f>
        <v>254246.890625</v>
      </c>
      <c r="AB740" s="31" cm="1">
        <f t="array" ref="AB740">IF(LEFT(_xll.BDP($C740, VOLUME_AVG_6M), 4) = "#N/A", "",  _xll.BDP($C740, VOLUME_AVG_6M))</f>
        <v>299150.90625</v>
      </c>
      <c r="AC740" s="31" cm="1">
        <f t="array" ref="AC740">IF(LEFT(_xll.BDP($C740, VOLUME_AVG_12M), 4) = "#N/A", "",  _xll.BDP($C740, VOLUME_AVG_12M))</f>
        <v>909334.8125</v>
      </c>
      <c r="AD740" s="41" cm="1">
        <f t="array" ref="AD740">IF(LEFT(_xll.BDP($C740, LAST_PRICE), 4) = "#N/A", "",  _xll.BDP($C740, LAST_PRICE))</f>
        <v>0.88990000000000002</v>
      </c>
    </row>
    <row r="741" spans="1:30" x14ac:dyDescent="0.35">
      <c r="A741" s="1">
        <f t="shared" si="11"/>
        <v>738</v>
      </c>
      <c r="B741" s="28">
        <v>45700</v>
      </c>
      <c r="C741" s="29" t="s">
        <v>1533</v>
      </c>
      <c r="D741" s="29" t="s">
        <v>1533</v>
      </c>
      <c r="E741" s="29" t="s">
        <v>1534</v>
      </c>
      <c r="F741" s="29" t="s">
        <v>33</v>
      </c>
      <c r="G741" s="30" t="s">
        <v>34</v>
      </c>
      <c r="H741" s="31">
        <v>21085377.717046499</v>
      </c>
      <c r="I741" s="31">
        <v>22556377.717046499</v>
      </c>
      <c r="J741" s="32">
        <v>0.29089999198913602</v>
      </c>
      <c r="K741" s="33">
        <v>45700</v>
      </c>
      <c r="L741" s="31">
        <v>756200</v>
      </c>
      <c r="M741" s="32">
        <v>-0.45</v>
      </c>
      <c r="N741" s="31" t="s">
        <v>35</v>
      </c>
      <c r="O741" s="33">
        <v>45699</v>
      </c>
      <c r="P741" s="34">
        <v>8251360</v>
      </c>
      <c r="Q741" s="34">
        <v>4323570</v>
      </c>
      <c r="R741" s="34">
        <v>2685074.75</v>
      </c>
      <c r="S741" s="29"/>
      <c r="T741" s="33"/>
      <c r="U741" s="35" t="b">
        <v>0</v>
      </c>
      <c r="V741" s="35" t="b">
        <v>0</v>
      </c>
      <c r="W741" s="35" t="b">
        <v>0</v>
      </c>
      <c r="Y741" s="31" cm="1">
        <f t="array" ref="Y741">IF(LEFT(_xll.BDP($C741, VOLUME_AVG_10D), 4) = "#N/A", "",  _xll.BDP($C741, VOLUME_AVG_10D))</f>
        <v>23100464</v>
      </c>
      <c r="Z741" s="31" cm="1">
        <f t="array" ref="Z741">IF(LEFT(_xll.BDP($C741, VOLUME_AVG_30D), 4) = "#N/A", "",  _xll.BDP($C741, VOLUME_AVG_30D))</f>
        <v>8251360</v>
      </c>
      <c r="AA741" s="31" cm="1">
        <f t="array" ref="AA741">IF(LEFT(_xll.BDP($C741, VOLUME_AVG_3M), 4) = "#N/A", "",  _xll.BDP($C741, VOLUME_AVG_3M))</f>
        <v>4323570</v>
      </c>
      <c r="AB741" s="31" cm="1">
        <f t="array" ref="AB741">IF(LEFT(_xll.BDP($C741, VOLUME_AVG_6M), 4) = "#N/A", "",  _xll.BDP($C741, VOLUME_AVG_6M))</f>
        <v>2685074.75</v>
      </c>
      <c r="AC741" s="31" cm="1">
        <f t="array" ref="AC741">IF(LEFT(_xll.BDP($C741, VOLUME_AVG_12M), 4) = "#N/A", "",  _xll.BDP($C741, VOLUME_AVG_12M))</f>
        <v>1524747.375</v>
      </c>
      <c r="AD741" s="41" cm="1">
        <f t="array" ref="AD741">IF(LEFT(_xll.BDP($C741, LAST_PRICE), 4) = "#N/A", "",  _xll.BDP($C741, LAST_PRICE))</f>
        <v>0.29089999999999999</v>
      </c>
    </row>
    <row r="742" spans="1:30" x14ac:dyDescent="0.35">
      <c r="A742" s="1">
        <f t="shared" si="11"/>
        <v>739</v>
      </c>
      <c r="B742" s="28">
        <v>45700</v>
      </c>
      <c r="C742" s="29" t="s">
        <v>1535</v>
      </c>
      <c r="D742" s="29" t="s">
        <v>1535</v>
      </c>
      <c r="E742" s="29" t="s">
        <v>1536</v>
      </c>
      <c r="F742" s="29" t="s">
        <v>33</v>
      </c>
      <c r="G742" s="30" t="s">
        <v>34</v>
      </c>
      <c r="H742" s="31">
        <v>4680402165.4068604</v>
      </c>
      <c r="I742" s="31">
        <v>4601588165.4068604</v>
      </c>
      <c r="J742" s="32">
        <v>79.919998168945298</v>
      </c>
      <c r="K742" s="33">
        <v>45700</v>
      </c>
      <c r="L742" s="31">
        <v>9226700</v>
      </c>
      <c r="M742" s="32">
        <v>3.88</v>
      </c>
      <c r="N742" s="31" t="s">
        <v>35</v>
      </c>
      <c r="O742" s="33">
        <v>45699</v>
      </c>
      <c r="P742" s="34">
        <v>3500157.5</v>
      </c>
      <c r="Q742" s="34">
        <v>2177987.25</v>
      </c>
      <c r="R742" s="34">
        <v>1523527.125</v>
      </c>
      <c r="S742" s="29"/>
      <c r="T742" s="33"/>
      <c r="U742" s="35" t="b">
        <v>0</v>
      </c>
      <c r="V742" s="35" t="b">
        <v>0</v>
      </c>
      <c r="W742" s="35" t="b">
        <v>0</v>
      </c>
      <c r="Y742" s="31" cm="1">
        <f t="array" ref="Y742">IF(LEFT(_xll.BDP($C742, VOLUME_AVG_10D), 4) = "#N/A", "",  _xll.BDP($C742, VOLUME_AVG_10D))</f>
        <v>1091579.75</v>
      </c>
      <c r="Z742" s="31" cm="1">
        <f t="array" ref="Z742">IF(LEFT(_xll.BDP($C742, VOLUME_AVG_30D), 4) = "#N/A", "",  _xll.BDP($C742, VOLUME_AVG_30D))</f>
        <v>3500157.5</v>
      </c>
      <c r="AA742" s="31" cm="1">
        <f t="array" ref="AA742">IF(LEFT(_xll.BDP($C742, VOLUME_AVG_3M), 4) = "#N/A", "",  _xll.BDP($C742, VOLUME_AVG_3M))</f>
        <v>2177987.25</v>
      </c>
      <c r="AB742" s="31" cm="1">
        <f t="array" ref="AB742">IF(LEFT(_xll.BDP($C742, VOLUME_AVG_6M), 4) = "#N/A", "",  _xll.BDP($C742, VOLUME_AVG_6M))</f>
        <v>1523527.125</v>
      </c>
      <c r="AC742" s="31" cm="1">
        <f t="array" ref="AC742">IF(LEFT(_xll.BDP($C742, VOLUME_AVG_12M), 4) = "#N/A", "",  _xll.BDP($C742, VOLUME_AVG_12M))</f>
        <v>1327009.125</v>
      </c>
      <c r="AD742" s="41" cm="1">
        <f t="array" ref="AD742">IF(LEFT(_xll.BDP($C742, LAST_PRICE), 4) = "#N/A", "",  _xll.BDP($C742, LAST_PRICE))</f>
        <v>79.92</v>
      </c>
    </row>
    <row r="743" spans="1:30" x14ac:dyDescent="0.35">
      <c r="A743" s="1">
        <f t="shared" si="11"/>
        <v>740</v>
      </c>
      <c r="B743" s="28">
        <v>45700</v>
      </c>
      <c r="C743" s="29" t="s">
        <v>1537</v>
      </c>
      <c r="D743" s="29" t="s">
        <v>1537</v>
      </c>
      <c r="E743" s="29" t="s">
        <v>1538</v>
      </c>
      <c r="F743" s="29" t="s">
        <v>33</v>
      </c>
      <c r="G743" s="30" t="s">
        <v>34</v>
      </c>
      <c r="H743" s="31">
        <v>30467406.254384998</v>
      </c>
      <c r="I743" s="31">
        <v>27251406.254384998</v>
      </c>
      <c r="J743" s="32">
        <v>1.72689998149872</v>
      </c>
      <c r="K743" s="33">
        <v>45700</v>
      </c>
      <c r="L743" s="31">
        <v>266500</v>
      </c>
      <c r="M743" s="32">
        <v>-52.05</v>
      </c>
      <c r="N743" s="31" t="s">
        <v>35</v>
      </c>
      <c r="O743" s="33">
        <v>45699</v>
      </c>
      <c r="P743" s="34">
        <v>87510.6640625</v>
      </c>
      <c r="Q743" s="34">
        <v>56100.41796875</v>
      </c>
      <c r="R743" s="34">
        <v>42120.078125</v>
      </c>
      <c r="S743" s="29"/>
      <c r="T743" s="33"/>
      <c r="U743" s="35" t="b">
        <v>0</v>
      </c>
      <c r="V743" s="35" t="b">
        <v>0</v>
      </c>
      <c r="W743" s="35" t="b">
        <v>0</v>
      </c>
      <c r="Y743" s="31" cm="1">
        <f t="array" ref="Y743">IF(LEFT(_xll.BDP($C743, VOLUME_AVG_10D), 4) = "#N/A", "",  _xll.BDP($C743, VOLUME_AVG_10D))</f>
        <v>56890.80078125</v>
      </c>
      <c r="Z743" s="31" cm="1">
        <f t="array" ref="Z743">IF(LEFT(_xll.BDP($C743, VOLUME_AVG_30D), 4) = "#N/A", "",  _xll.BDP($C743, VOLUME_AVG_30D))</f>
        <v>87510.6640625</v>
      </c>
      <c r="AA743" s="31" cm="1">
        <f t="array" ref="AA743">IF(LEFT(_xll.BDP($C743, VOLUME_AVG_3M), 4) = "#N/A", "",  _xll.BDP($C743, VOLUME_AVG_3M))</f>
        <v>56100.41796875</v>
      </c>
      <c r="AB743" s="31" cm="1">
        <f t="array" ref="AB743">IF(LEFT(_xll.BDP($C743, VOLUME_AVG_6M), 4) = "#N/A", "",  _xll.BDP($C743, VOLUME_AVG_6M))</f>
        <v>42120.078125</v>
      </c>
      <c r="AC743" s="31" cm="1">
        <f t="array" ref="AC743">IF(LEFT(_xll.BDP($C743, VOLUME_AVG_12M), 4) = "#N/A", "",  _xll.BDP($C743, VOLUME_AVG_12M))</f>
        <v>108334.53125</v>
      </c>
      <c r="AD743" s="41" cm="1">
        <f t="array" ref="AD743">IF(LEFT(_xll.BDP($C743, LAST_PRICE), 4) = "#N/A", "",  _xll.BDP($C743, LAST_PRICE))</f>
        <v>1.7269000000000001</v>
      </c>
    </row>
    <row r="744" spans="1:30" x14ac:dyDescent="0.35">
      <c r="A744" s="1">
        <f t="shared" si="11"/>
        <v>741</v>
      </c>
      <c r="B744" s="28">
        <v>45700</v>
      </c>
      <c r="C744" s="29" t="s">
        <v>1539</v>
      </c>
      <c r="D744" s="29" t="s">
        <v>1539</v>
      </c>
      <c r="E744" s="29" t="s">
        <v>1540</v>
      </c>
      <c r="F744" s="29" t="s">
        <v>33</v>
      </c>
      <c r="G744" s="30" t="s">
        <v>34</v>
      </c>
      <c r="H744" s="31">
        <v>13362856958.089399</v>
      </c>
      <c r="I744" s="31">
        <v>11265101958.089399</v>
      </c>
      <c r="J744" s="32">
        <v>69.050003051757798</v>
      </c>
      <c r="K744" s="33">
        <v>45700</v>
      </c>
      <c r="L744" s="31">
        <v>57395200</v>
      </c>
      <c r="M744" s="32">
        <v>3.88</v>
      </c>
      <c r="N744" s="31" t="s">
        <v>35</v>
      </c>
      <c r="O744" s="33">
        <v>45699</v>
      </c>
      <c r="P744" s="34">
        <v>1499790.375</v>
      </c>
      <c r="Q744" s="34">
        <v>1897624.875</v>
      </c>
      <c r="R744" s="34">
        <v>1883408.25</v>
      </c>
      <c r="S744" s="29" t="s">
        <v>46</v>
      </c>
      <c r="T744" s="33">
        <v>45446</v>
      </c>
      <c r="U744" s="35" t="b">
        <v>0</v>
      </c>
      <c r="V744" s="35" t="b">
        <v>0</v>
      </c>
      <c r="W744" s="35" t="b">
        <v>0</v>
      </c>
      <c r="Y744" s="31" cm="1">
        <f t="array" ref="Y744">IF(LEFT(_xll.BDP($C744, VOLUME_AVG_10D), 4) = "#N/A", "",  _xll.BDP($C744, VOLUME_AVG_10D))</f>
        <v>1835482.25</v>
      </c>
      <c r="Z744" s="31" cm="1">
        <f t="array" ref="Z744">IF(LEFT(_xll.BDP($C744, VOLUME_AVG_30D), 4) = "#N/A", "",  _xll.BDP($C744, VOLUME_AVG_30D))</f>
        <v>1499790.375</v>
      </c>
      <c r="AA744" s="31" cm="1">
        <f t="array" ref="AA744">IF(LEFT(_xll.BDP($C744, VOLUME_AVG_3M), 4) = "#N/A", "",  _xll.BDP($C744, VOLUME_AVG_3M))</f>
        <v>1897624.875</v>
      </c>
      <c r="AB744" s="31" cm="1">
        <f t="array" ref="AB744">IF(LEFT(_xll.BDP($C744, VOLUME_AVG_6M), 4) = "#N/A", "",  _xll.BDP($C744, VOLUME_AVG_6M))</f>
        <v>1883408.25</v>
      </c>
      <c r="AC744" s="31" cm="1">
        <f t="array" ref="AC744">IF(LEFT(_xll.BDP($C744, VOLUME_AVG_12M), 4) = "#N/A", "",  _xll.BDP($C744, VOLUME_AVG_12M))</f>
        <v>2321042.5</v>
      </c>
      <c r="AD744" s="41" cm="1">
        <f t="array" ref="AD744">IF(LEFT(_xll.BDP($C744, LAST_PRICE), 4) = "#N/A", "",  _xll.BDP($C744, LAST_PRICE))</f>
        <v>69.05</v>
      </c>
    </row>
    <row r="745" spans="1:30" x14ac:dyDescent="0.35">
      <c r="A745" s="1">
        <f t="shared" si="11"/>
        <v>742</v>
      </c>
      <c r="B745" s="28">
        <v>45700</v>
      </c>
      <c r="C745" s="29" t="s">
        <v>1541</v>
      </c>
      <c r="D745" s="29" t="s">
        <v>1541</v>
      </c>
      <c r="E745" s="29" t="s">
        <v>1542</v>
      </c>
      <c r="F745" s="29" t="s">
        <v>33</v>
      </c>
      <c r="G745" s="30" t="s">
        <v>34</v>
      </c>
      <c r="H745" s="31">
        <v>10571277.925840899</v>
      </c>
      <c r="I745" s="31">
        <v>3298580.92584085</v>
      </c>
      <c r="J745" s="32">
        <v>0.74849998950958296</v>
      </c>
      <c r="K745" s="33">
        <v>45700</v>
      </c>
      <c r="L745" s="31">
        <v>382000</v>
      </c>
      <c r="M745" s="32">
        <v>-1.2</v>
      </c>
      <c r="N745" s="31" t="s">
        <v>35</v>
      </c>
      <c r="O745" s="33">
        <v>45699</v>
      </c>
      <c r="P745" s="34">
        <v>24726.900390625</v>
      </c>
      <c r="Q745" s="34">
        <v>24628.14453125</v>
      </c>
      <c r="R745" s="34">
        <v>67587.46875</v>
      </c>
      <c r="S745" s="29"/>
      <c r="T745" s="33"/>
      <c r="U745" s="35" t="b">
        <v>1</v>
      </c>
      <c r="V745" s="35" t="b">
        <v>0</v>
      </c>
      <c r="W745" s="35" t="b">
        <v>0</v>
      </c>
      <c r="Y745" s="31" cm="1">
        <f t="array" ref="Y745">IF(LEFT(_xll.BDP($C745, VOLUME_AVG_10D), 4) = "#N/A", "",  _xll.BDP($C745, VOLUME_AVG_10D))</f>
        <v>31015.599609375</v>
      </c>
      <c r="Z745" s="31" cm="1">
        <f t="array" ref="Z745">IF(LEFT(_xll.BDP($C745, VOLUME_AVG_30D), 4) = "#N/A", "",  _xll.BDP($C745, VOLUME_AVG_30D))</f>
        <v>24726.900390625</v>
      </c>
      <c r="AA745" s="31" cm="1">
        <f t="array" ref="AA745">IF(LEFT(_xll.BDP($C745, VOLUME_AVG_3M), 4) = "#N/A", "",  _xll.BDP($C745, VOLUME_AVG_3M))</f>
        <v>24628.14453125</v>
      </c>
      <c r="AB745" s="31" cm="1">
        <f t="array" ref="AB745">IF(LEFT(_xll.BDP($C745, VOLUME_AVG_6M), 4) = "#N/A", "",  _xll.BDP($C745, VOLUME_AVG_6M))</f>
        <v>67587.46875</v>
      </c>
      <c r="AC745" s="31" cm="1">
        <f t="array" ref="AC745">IF(LEFT(_xll.BDP($C745, VOLUME_AVG_12M), 4) = "#N/A", "",  _xll.BDP($C745, VOLUME_AVG_12M))</f>
        <v>61178.72265625</v>
      </c>
      <c r="AD745" s="41" cm="1">
        <f t="array" ref="AD745">IF(LEFT(_xll.BDP($C745, LAST_PRICE), 4) = "#N/A", "",  _xll.BDP($C745, LAST_PRICE))</f>
        <v>0.74850000000000005</v>
      </c>
    </row>
    <row r="746" spans="1:30" x14ac:dyDescent="0.35">
      <c r="A746" s="1">
        <f t="shared" si="11"/>
        <v>743</v>
      </c>
      <c r="B746" s="28">
        <v>45700</v>
      </c>
      <c r="C746" s="29" t="s">
        <v>1543</v>
      </c>
      <c r="D746" s="29" t="s">
        <v>1543</v>
      </c>
      <c r="E746" s="29" t="s">
        <v>1544</v>
      </c>
      <c r="F746" s="29" t="s">
        <v>33</v>
      </c>
      <c r="G746" s="30" t="s">
        <v>34</v>
      </c>
      <c r="H746" s="31">
        <v>151330005.10911801</v>
      </c>
      <c r="I746" s="31">
        <v>119838720.712825</v>
      </c>
      <c r="J746" s="32">
        <v>2.5699999332428001</v>
      </c>
      <c r="K746" s="33">
        <v>45700</v>
      </c>
      <c r="L746" s="31"/>
      <c r="M746" s="32"/>
      <c r="N746" s="31"/>
      <c r="O746" s="33">
        <v>45699</v>
      </c>
      <c r="P746" s="34">
        <v>210311.640625</v>
      </c>
      <c r="Q746" s="34">
        <v>315646.125</v>
      </c>
      <c r="R746" s="34">
        <v>192721.1875</v>
      </c>
      <c r="S746" s="29" t="s">
        <v>217</v>
      </c>
      <c r="T746" s="33">
        <v>45215</v>
      </c>
      <c r="U746" s="35" t="b">
        <v>0</v>
      </c>
      <c r="V746" s="35" t="b">
        <v>0</v>
      </c>
      <c r="W746" s="35" t="b">
        <v>0</v>
      </c>
      <c r="Y746" s="31" cm="1">
        <f t="array" ref="Y746">IF(LEFT(_xll.BDP($C746, VOLUME_AVG_10D), 4) = "#N/A", "",  _xll.BDP($C746, VOLUME_AVG_10D))</f>
        <v>252828.90625</v>
      </c>
      <c r="Z746" s="31" cm="1">
        <f t="array" ref="Z746">IF(LEFT(_xll.BDP($C746, VOLUME_AVG_30D), 4) = "#N/A", "",  _xll.BDP($C746, VOLUME_AVG_30D))</f>
        <v>210311.640625</v>
      </c>
      <c r="AA746" s="31" cm="1">
        <f t="array" ref="AA746">IF(LEFT(_xll.BDP($C746, VOLUME_AVG_3M), 4) = "#N/A", "",  _xll.BDP($C746, VOLUME_AVG_3M))</f>
        <v>315646.125</v>
      </c>
      <c r="AB746" s="31" cm="1">
        <f t="array" ref="AB746">IF(LEFT(_xll.BDP($C746, VOLUME_AVG_6M), 4) = "#N/A", "",  _xll.BDP($C746, VOLUME_AVG_6M))</f>
        <v>192721.1875</v>
      </c>
      <c r="AC746" s="31" cm="1">
        <f t="array" ref="AC746">IF(LEFT(_xll.BDP($C746, VOLUME_AVG_12M), 4) = "#N/A", "",  _xll.BDP($C746, VOLUME_AVG_12M))</f>
        <v>188329.265625</v>
      </c>
      <c r="AD746" s="41" cm="1">
        <f t="array" ref="AD746">IF(LEFT(_xll.BDP($C746, LAST_PRICE), 4) = "#N/A", "",  _xll.BDP($C746, LAST_PRICE))</f>
        <v>2.57</v>
      </c>
    </row>
    <row r="747" spans="1:30" x14ac:dyDescent="0.35">
      <c r="A747" s="1">
        <f t="shared" si="11"/>
        <v>744</v>
      </c>
      <c r="B747" s="28">
        <v>45700</v>
      </c>
      <c r="C747" s="29" t="s">
        <v>1545</v>
      </c>
      <c r="D747" s="29" t="s">
        <v>1545</v>
      </c>
      <c r="E747" s="29" t="s">
        <v>1546</v>
      </c>
      <c r="F747" s="29" t="s">
        <v>33</v>
      </c>
      <c r="G747" s="30" t="s">
        <v>34</v>
      </c>
      <c r="H747" s="31">
        <v>170746678.232007</v>
      </c>
      <c r="I747" s="31">
        <v>203220678.232007</v>
      </c>
      <c r="J747" s="32">
        <v>8.0299997329711896</v>
      </c>
      <c r="K747" s="33">
        <v>45700</v>
      </c>
      <c r="L747" s="31">
        <v>4687800</v>
      </c>
      <c r="M747" s="32">
        <v>3.7</v>
      </c>
      <c r="N747" s="31" t="s">
        <v>35</v>
      </c>
      <c r="O747" s="33">
        <v>45699</v>
      </c>
      <c r="P747" s="34">
        <v>96337.234375</v>
      </c>
      <c r="Q747" s="34">
        <v>90376.1484375</v>
      </c>
      <c r="R747" s="34">
        <v>81368.421875</v>
      </c>
      <c r="S747" s="29"/>
      <c r="T747" s="33"/>
      <c r="U747" s="35" t="b">
        <v>0</v>
      </c>
      <c r="V747" s="35" t="b">
        <v>0</v>
      </c>
      <c r="W747" s="35" t="b">
        <v>0</v>
      </c>
      <c r="Y747" s="31" cm="1">
        <f t="array" ref="Y747">IF(LEFT(_xll.BDP($C747, VOLUME_AVG_10D), 4) = "#N/A", "",  _xll.BDP($C747, VOLUME_AVG_10D))</f>
        <v>132473.09375</v>
      </c>
      <c r="Z747" s="31" cm="1">
        <f t="array" ref="Z747">IF(LEFT(_xll.BDP($C747, VOLUME_AVG_30D), 4) = "#N/A", "",  _xll.BDP($C747, VOLUME_AVG_30D))</f>
        <v>96337.234375</v>
      </c>
      <c r="AA747" s="31" cm="1">
        <f t="array" ref="AA747">IF(LEFT(_xll.BDP($C747, VOLUME_AVG_3M), 4) = "#N/A", "",  _xll.BDP($C747, VOLUME_AVG_3M))</f>
        <v>90376.1484375</v>
      </c>
      <c r="AB747" s="31" cm="1">
        <f t="array" ref="AB747">IF(LEFT(_xll.BDP($C747, VOLUME_AVG_6M), 4) = "#N/A", "",  _xll.BDP($C747, VOLUME_AVG_6M))</f>
        <v>81368.421875</v>
      </c>
      <c r="AC747" s="31" cm="1">
        <f t="array" ref="AC747">IF(LEFT(_xll.BDP($C747, VOLUME_AVG_12M), 4) = "#N/A", "",  _xll.BDP($C747, VOLUME_AVG_12M))</f>
        <v>67983.15625</v>
      </c>
      <c r="AD747" s="41" cm="1">
        <f t="array" ref="AD747">IF(LEFT(_xll.BDP($C747, LAST_PRICE), 4) = "#N/A", "",  _xll.BDP($C747, LAST_PRICE))</f>
        <v>8.0299999999999994</v>
      </c>
    </row>
    <row r="748" spans="1:30" x14ac:dyDescent="0.35">
      <c r="A748" s="1">
        <f t="shared" si="11"/>
        <v>745</v>
      </c>
      <c r="B748" s="28">
        <v>45700</v>
      </c>
      <c r="C748" s="29" t="s">
        <v>1547</v>
      </c>
      <c r="D748" s="29" t="s">
        <v>1547</v>
      </c>
      <c r="E748" s="29" t="s">
        <v>1548</v>
      </c>
      <c r="F748" s="29" t="s">
        <v>33</v>
      </c>
      <c r="G748" s="30" t="s">
        <v>34</v>
      </c>
      <c r="H748" s="31"/>
      <c r="I748" s="31"/>
      <c r="J748" s="32">
        <v>9.9999999747524292E-7</v>
      </c>
      <c r="K748" s="33">
        <v>45700</v>
      </c>
      <c r="L748" s="31"/>
      <c r="M748" s="32"/>
      <c r="N748" s="31"/>
      <c r="O748" s="33">
        <v>45699</v>
      </c>
      <c r="P748" s="34">
        <v>573.29998779296898</v>
      </c>
      <c r="Q748" s="34">
        <v>952.98388671875</v>
      </c>
      <c r="R748" s="34">
        <v>909.19842529296898</v>
      </c>
      <c r="S748" s="29"/>
      <c r="T748" s="33"/>
      <c r="U748" s="35" t="b">
        <v>1</v>
      </c>
      <c r="V748" s="35" t="b">
        <v>1</v>
      </c>
      <c r="W748" s="35" t="b">
        <v>1</v>
      </c>
      <c r="Y748" s="31" cm="1">
        <f t="array" ref="Y748">IF(LEFT(_xll.BDP($C748, VOLUME_AVG_10D), 4) = "#N/A", "",  _xll.BDP($C748, VOLUME_AVG_10D))</f>
        <v>1719.9000244140625</v>
      </c>
      <c r="Z748" s="31" cm="1">
        <f t="array" ref="Z748">IF(LEFT(_xll.BDP($C748, VOLUME_AVG_30D), 4) = "#N/A", "",  _xll.BDP($C748, VOLUME_AVG_30D))</f>
        <v>573.29998779296875</v>
      </c>
      <c r="AA748" s="31" cm="1">
        <f t="array" ref="AA748">IF(LEFT(_xll.BDP($C748, VOLUME_AVG_3M), 4) = "#N/A", "",  _xll.BDP($C748, VOLUME_AVG_3M))</f>
        <v>952.98388671875</v>
      </c>
      <c r="AB748" s="31" cm="1">
        <f t="array" ref="AB748">IF(LEFT(_xll.BDP($C748, VOLUME_AVG_6M), 4) = "#N/A", "",  _xll.BDP($C748, VOLUME_AVG_6M))</f>
        <v>909.19842529296875</v>
      </c>
      <c r="AC748" s="31" cm="1">
        <f t="array" ref="AC748">IF(LEFT(_xll.BDP($C748, VOLUME_AVG_12M), 4) = "#N/A", "",  _xll.BDP($C748, VOLUME_AVG_12M))</f>
        <v>734.8924560546875</v>
      </c>
      <c r="AD748" s="41" cm="1">
        <f t="array" ref="AD748">IF(LEFT(_xll.BDP($C748, LAST_PRICE), 4) = "#N/A", "",  _xll.BDP($C748, LAST_PRICE))</f>
        <v>9.9999999999999995E-7</v>
      </c>
    </row>
    <row r="749" spans="1:30" x14ac:dyDescent="0.35">
      <c r="A749" s="1">
        <f t="shared" si="11"/>
        <v>746</v>
      </c>
      <c r="B749" s="28">
        <v>45700</v>
      </c>
      <c r="C749" s="29" t="s">
        <v>1549</v>
      </c>
      <c r="D749" s="29" t="s">
        <v>1549</v>
      </c>
      <c r="E749" s="29" t="s">
        <v>1550</v>
      </c>
      <c r="F749" s="29" t="s">
        <v>33</v>
      </c>
      <c r="G749" s="30" t="s">
        <v>34</v>
      </c>
      <c r="H749" s="31">
        <v>206445211.268843</v>
      </c>
      <c r="I749" s="31">
        <v>203346775.268843</v>
      </c>
      <c r="J749" s="32">
        <v>2.2599999904632599</v>
      </c>
      <c r="K749" s="33">
        <v>45700</v>
      </c>
      <c r="L749" s="31">
        <v>3146600</v>
      </c>
      <c r="M749" s="32">
        <v>-1.35</v>
      </c>
      <c r="N749" s="31" t="s">
        <v>35</v>
      </c>
      <c r="O749" s="33">
        <v>45699</v>
      </c>
      <c r="P749" s="34">
        <v>188916</v>
      </c>
      <c r="Q749" s="34">
        <v>288320.625</v>
      </c>
      <c r="R749" s="34">
        <v>373586.8125</v>
      </c>
      <c r="S749" s="29"/>
      <c r="T749" s="33"/>
      <c r="U749" s="35" t="b">
        <v>0</v>
      </c>
      <c r="V749" s="35" t="b">
        <v>0</v>
      </c>
      <c r="W749" s="35" t="b">
        <v>0</v>
      </c>
      <c r="Y749" s="31" cm="1">
        <f t="array" ref="Y749">IF(LEFT(_xll.BDP($C749, VOLUME_AVG_10D), 4) = "#N/A", "",  _xll.BDP($C749, VOLUME_AVG_10D))</f>
        <v>320647.5</v>
      </c>
      <c r="Z749" s="31" cm="1">
        <f t="array" ref="Z749">IF(LEFT(_xll.BDP($C749, VOLUME_AVG_30D), 4) = "#N/A", "",  _xll.BDP($C749, VOLUME_AVG_30D))</f>
        <v>188916</v>
      </c>
      <c r="AA749" s="31" cm="1">
        <f t="array" ref="AA749">IF(LEFT(_xll.BDP($C749, VOLUME_AVG_3M), 4) = "#N/A", "",  _xll.BDP($C749, VOLUME_AVG_3M))</f>
        <v>288320.625</v>
      </c>
      <c r="AB749" s="31" cm="1">
        <f t="array" ref="AB749">IF(LEFT(_xll.BDP($C749, VOLUME_AVG_6M), 4) = "#N/A", "",  _xll.BDP($C749, VOLUME_AVG_6M))</f>
        <v>373586.8125</v>
      </c>
      <c r="AC749" s="31" cm="1">
        <f t="array" ref="AC749">IF(LEFT(_xll.BDP($C749, VOLUME_AVG_12M), 4) = "#N/A", "",  _xll.BDP($C749, VOLUME_AVG_12M))</f>
        <v>212874.21875</v>
      </c>
      <c r="AD749" s="41" cm="1">
        <f t="array" ref="AD749">IF(LEFT(_xll.BDP($C749, LAST_PRICE), 4) = "#N/A", "",  _xll.BDP($C749, LAST_PRICE))</f>
        <v>2.2599999999999998</v>
      </c>
    </row>
    <row r="750" spans="1:30" x14ac:dyDescent="0.35">
      <c r="A750" s="1">
        <f t="shared" si="11"/>
        <v>747</v>
      </c>
      <c r="B750" s="28">
        <v>45700</v>
      </c>
      <c r="C750" s="29" t="s">
        <v>1551</v>
      </c>
      <c r="D750" s="29" t="s">
        <v>1551</v>
      </c>
      <c r="E750" s="29" t="s">
        <v>1552</v>
      </c>
      <c r="F750" s="29" t="s">
        <v>33</v>
      </c>
      <c r="G750" s="30" t="s">
        <v>34</v>
      </c>
      <c r="H750" s="31">
        <v>11373353.9083723</v>
      </c>
      <c r="I750" s="31">
        <v>4995049.9083722997</v>
      </c>
      <c r="J750" s="32">
        <v>6.5999999642372104E-2</v>
      </c>
      <c r="K750" s="33">
        <v>45700</v>
      </c>
      <c r="L750" s="31">
        <v>720500</v>
      </c>
      <c r="M750" s="32">
        <v>-0.95</v>
      </c>
      <c r="N750" s="31" t="s">
        <v>35</v>
      </c>
      <c r="O750" s="33">
        <v>45699</v>
      </c>
      <c r="P750" s="34">
        <v>21469.466796875</v>
      </c>
      <c r="Q750" s="34">
        <v>36705.88671875</v>
      </c>
      <c r="R750" s="34">
        <v>28722.927734375</v>
      </c>
      <c r="S750" s="29"/>
      <c r="T750" s="33"/>
      <c r="U750" s="35" t="b">
        <v>1</v>
      </c>
      <c r="V750" s="35" t="b">
        <v>1</v>
      </c>
      <c r="W750" s="35" t="b">
        <v>0</v>
      </c>
      <c r="Y750" s="31" cm="1">
        <f t="array" ref="Y750">IF(LEFT(_xll.BDP($C750, VOLUME_AVG_10D), 4) = "#N/A", "",  _xll.BDP($C750, VOLUME_AVG_10D))</f>
        <v>24153.900390625</v>
      </c>
      <c r="Z750" s="31" cm="1">
        <f t="array" ref="Z750">IF(LEFT(_xll.BDP($C750, VOLUME_AVG_30D), 4) = "#N/A", "",  _xll.BDP($C750, VOLUME_AVG_30D))</f>
        <v>21469.466796875</v>
      </c>
      <c r="AA750" s="31" cm="1">
        <f t="array" ref="AA750">IF(LEFT(_xll.BDP($C750, VOLUME_AVG_3M), 4) = "#N/A", "",  _xll.BDP($C750, VOLUME_AVG_3M))</f>
        <v>36705.88671875</v>
      </c>
      <c r="AB750" s="31" cm="1">
        <f t="array" ref="AB750">IF(LEFT(_xll.BDP($C750, VOLUME_AVG_6M), 4) = "#N/A", "",  _xll.BDP($C750, VOLUME_AVG_6M))</f>
        <v>28722.927734375</v>
      </c>
      <c r="AC750" s="31" cm="1">
        <f t="array" ref="AC750">IF(LEFT(_xll.BDP($C750, VOLUME_AVG_12M), 4) = "#N/A", "",  _xll.BDP($C750, VOLUME_AVG_12M))</f>
        <v>18486.748046875</v>
      </c>
      <c r="AD750" s="41" cm="1">
        <f t="array" ref="AD750">IF(LEFT(_xll.BDP($C750, LAST_PRICE), 4) = "#N/A", "",  _xll.BDP($C750, LAST_PRICE))</f>
        <v>6.6000000000000003E-2</v>
      </c>
    </row>
    <row r="751" spans="1:30" x14ac:dyDescent="0.35">
      <c r="A751" s="1">
        <f t="shared" si="11"/>
        <v>748</v>
      </c>
      <c r="B751" s="28">
        <v>45700</v>
      </c>
      <c r="C751" s="29" t="s">
        <v>1553</v>
      </c>
      <c r="D751" s="29" t="s">
        <v>1553</v>
      </c>
      <c r="E751" s="29" t="s">
        <v>1554</v>
      </c>
      <c r="F751" s="29" t="s">
        <v>33</v>
      </c>
      <c r="G751" s="30" t="s">
        <v>34</v>
      </c>
      <c r="H751" s="31">
        <v>185725847.21557599</v>
      </c>
      <c r="I751" s="31">
        <v>-8771152.78442383</v>
      </c>
      <c r="J751" s="32">
        <v>12.829999923706101</v>
      </c>
      <c r="K751" s="33">
        <v>45700</v>
      </c>
      <c r="L751" s="31">
        <v>1896200</v>
      </c>
      <c r="M751" s="32">
        <v>3.88</v>
      </c>
      <c r="N751" s="31" t="s">
        <v>35</v>
      </c>
      <c r="O751" s="33">
        <v>45699</v>
      </c>
      <c r="P751" s="34">
        <v>89422.765625</v>
      </c>
      <c r="Q751" s="34">
        <v>86646.578125</v>
      </c>
      <c r="R751" s="34">
        <v>88438.9296875</v>
      </c>
      <c r="S751" s="29" t="s">
        <v>46</v>
      </c>
      <c r="T751" s="33">
        <v>45446</v>
      </c>
      <c r="U751" s="35" t="b">
        <v>0</v>
      </c>
      <c r="V751" s="35" t="b">
        <v>0</v>
      </c>
      <c r="W751" s="35" t="b">
        <v>1</v>
      </c>
      <c r="Y751" s="31" cm="1">
        <f t="array" ref="Y751">IF(LEFT(_xll.BDP($C751, VOLUME_AVG_10D), 4) = "#N/A", "",  _xll.BDP($C751, VOLUME_AVG_10D))</f>
        <v>101906.6015625</v>
      </c>
      <c r="Z751" s="31" cm="1">
        <f t="array" ref="Z751">IF(LEFT(_xll.BDP($C751, VOLUME_AVG_30D), 4) = "#N/A", "",  _xll.BDP($C751, VOLUME_AVG_30D))</f>
        <v>89422.765625</v>
      </c>
      <c r="AA751" s="31" cm="1">
        <f t="array" ref="AA751">IF(LEFT(_xll.BDP($C751, VOLUME_AVG_3M), 4) = "#N/A", "",  _xll.BDP($C751, VOLUME_AVG_3M))</f>
        <v>86646.578125</v>
      </c>
      <c r="AB751" s="31" cm="1">
        <f t="array" ref="AB751">IF(LEFT(_xll.BDP($C751, VOLUME_AVG_6M), 4) = "#N/A", "",  _xll.BDP($C751, VOLUME_AVG_6M))</f>
        <v>88438.9296875</v>
      </c>
      <c r="AC751" s="31" t="str" cm="1">
        <f t="array" ref="AC751">IF(LEFT(_xll.BDP($C751, VOLUME_AVG_12M), 4) = "#N/A", "",  _xll.BDP($C751, VOLUME_AVG_12M))</f>
        <v/>
      </c>
      <c r="AD751" s="41" cm="1">
        <f t="array" ref="AD751">IF(LEFT(_xll.BDP($C751, LAST_PRICE), 4) = "#N/A", "",  _xll.BDP($C751, LAST_PRICE))</f>
        <v>12.83</v>
      </c>
    </row>
    <row r="752" spans="1:30" x14ac:dyDescent="0.35">
      <c r="A752" s="1">
        <f t="shared" si="11"/>
        <v>749</v>
      </c>
      <c r="B752" s="28">
        <v>45700</v>
      </c>
      <c r="C752" s="29" t="s">
        <v>1555</v>
      </c>
      <c r="D752" s="29" t="s">
        <v>1555</v>
      </c>
      <c r="E752" s="29" t="s">
        <v>1556</v>
      </c>
      <c r="F752" s="29" t="s">
        <v>33</v>
      </c>
      <c r="G752" s="30" t="s">
        <v>34</v>
      </c>
      <c r="H752" s="31">
        <v>2317286.43453026</v>
      </c>
      <c r="I752" s="31">
        <v>-3334725.56546974</v>
      </c>
      <c r="J752" s="32">
        <v>3.2000000476837198</v>
      </c>
      <c r="K752" s="33">
        <v>45700</v>
      </c>
      <c r="L752" s="31">
        <v>57500</v>
      </c>
      <c r="M752" s="32">
        <v>-82.05</v>
      </c>
      <c r="N752" s="31" t="s">
        <v>35</v>
      </c>
      <c r="O752" s="33">
        <v>45699</v>
      </c>
      <c r="P752" s="34">
        <v>952438.125</v>
      </c>
      <c r="Q752" s="34">
        <v>480953.9375</v>
      </c>
      <c r="R752" s="34">
        <v>401793.46875</v>
      </c>
      <c r="S752" s="29"/>
      <c r="T752" s="33"/>
      <c r="U752" s="35" t="b">
        <v>1</v>
      </c>
      <c r="V752" s="35" t="b">
        <v>0</v>
      </c>
      <c r="W752" s="35" t="b">
        <v>1</v>
      </c>
      <c r="Y752" s="31" cm="1">
        <f t="array" ref="Y752">IF(LEFT(_xll.BDP($C752, VOLUME_AVG_10D), 4) = "#N/A", "",  _xll.BDP($C752, VOLUME_AVG_10D))</f>
        <v>81914</v>
      </c>
      <c r="Z752" s="31" cm="1">
        <f t="array" ref="Z752">IF(LEFT(_xll.BDP($C752, VOLUME_AVG_30D), 4) = "#N/A", "",  _xll.BDP($C752, VOLUME_AVG_30D))</f>
        <v>952438.125</v>
      </c>
      <c r="AA752" s="31" cm="1">
        <f t="array" ref="AA752">IF(LEFT(_xll.BDP($C752, VOLUME_AVG_3M), 4) = "#N/A", "",  _xll.BDP($C752, VOLUME_AVG_3M))</f>
        <v>480953.9375</v>
      </c>
      <c r="AB752" s="31" cm="1">
        <f t="array" ref="AB752">IF(LEFT(_xll.BDP($C752, VOLUME_AVG_6M), 4) = "#N/A", "",  _xll.BDP($C752, VOLUME_AVG_6M))</f>
        <v>401793.46875</v>
      </c>
      <c r="AC752" s="31" cm="1">
        <f t="array" ref="AC752">IF(LEFT(_xll.BDP($C752, VOLUME_AVG_12M), 4) = "#N/A", "",  _xll.BDP($C752, VOLUME_AVG_12M))</f>
        <v>224761.640625</v>
      </c>
      <c r="AD752" s="41" cm="1">
        <f t="array" ref="AD752">IF(LEFT(_xll.BDP($C752, LAST_PRICE), 4) = "#N/A", "",  _xll.BDP($C752, LAST_PRICE))</f>
        <v>3.2</v>
      </c>
    </row>
    <row r="753" spans="1:30" x14ac:dyDescent="0.35">
      <c r="A753" s="1">
        <f t="shared" si="11"/>
        <v>750</v>
      </c>
      <c r="B753" s="28">
        <v>45700</v>
      </c>
      <c r="C753" s="29" t="s">
        <v>1557</v>
      </c>
      <c r="D753" s="29" t="s">
        <v>1557</v>
      </c>
      <c r="E753" s="29" t="s">
        <v>1558</v>
      </c>
      <c r="F753" s="29" t="s">
        <v>33</v>
      </c>
      <c r="G753" s="30" t="s">
        <v>34</v>
      </c>
      <c r="H753" s="31">
        <v>1313963233.8447599</v>
      </c>
      <c r="I753" s="31">
        <v>725313233.84475696</v>
      </c>
      <c r="J753" s="32">
        <v>18.889999389648398</v>
      </c>
      <c r="K753" s="33">
        <v>45700</v>
      </c>
      <c r="L753" s="31"/>
      <c r="M753" s="32"/>
      <c r="N753" s="31"/>
      <c r="O753" s="33">
        <v>45699</v>
      </c>
      <c r="P753" s="34">
        <v>900336.25</v>
      </c>
      <c r="Q753" s="34">
        <v>927507.8125</v>
      </c>
      <c r="R753" s="34">
        <v>1029634.0625</v>
      </c>
      <c r="S753" s="29"/>
      <c r="T753" s="33"/>
      <c r="U753" s="35" t="b">
        <v>0</v>
      </c>
      <c r="V753" s="35" t="b">
        <v>0</v>
      </c>
      <c r="W753" s="35" t="b">
        <v>0</v>
      </c>
      <c r="Y753" s="31" cm="1">
        <f t="array" ref="Y753">IF(LEFT(_xll.BDP($C753, VOLUME_AVG_10D), 4) = "#N/A", "",  _xll.BDP($C753, VOLUME_AVG_10D))</f>
        <v>1017511.125</v>
      </c>
      <c r="Z753" s="31" cm="1">
        <f t="array" ref="Z753">IF(LEFT(_xll.BDP($C753, VOLUME_AVG_30D), 4) = "#N/A", "",  _xll.BDP($C753, VOLUME_AVG_30D))</f>
        <v>900336.25</v>
      </c>
      <c r="AA753" s="31" cm="1">
        <f t="array" ref="AA753">IF(LEFT(_xll.BDP($C753, VOLUME_AVG_3M), 4) = "#N/A", "",  _xll.BDP($C753, VOLUME_AVG_3M))</f>
        <v>927507.8125</v>
      </c>
      <c r="AB753" s="31" cm="1">
        <f t="array" ref="AB753">IF(LEFT(_xll.BDP($C753, VOLUME_AVG_6M), 4) = "#N/A", "",  _xll.BDP($C753, VOLUME_AVG_6M))</f>
        <v>1029634.0625</v>
      </c>
      <c r="AC753" s="31" cm="1">
        <f t="array" ref="AC753">IF(LEFT(_xll.BDP($C753, VOLUME_AVG_12M), 4) = "#N/A", "",  _xll.BDP($C753, VOLUME_AVG_12M))</f>
        <v>1226132.5</v>
      </c>
      <c r="AD753" s="41" cm="1">
        <f t="array" ref="AD753">IF(LEFT(_xll.BDP($C753, LAST_PRICE), 4) = "#N/A", "",  _xll.BDP($C753, LAST_PRICE))</f>
        <v>18.89</v>
      </c>
    </row>
    <row r="754" spans="1:30" x14ac:dyDescent="0.35">
      <c r="A754" s="1">
        <f t="shared" si="11"/>
        <v>751</v>
      </c>
      <c r="B754" s="28">
        <v>45700</v>
      </c>
      <c r="C754" s="29" t="s">
        <v>1559</v>
      </c>
      <c r="D754" s="29" t="s">
        <v>1559</v>
      </c>
      <c r="E754" s="29" t="s">
        <v>1560</v>
      </c>
      <c r="F754" s="29" t="s">
        <v>33</v>
      </c>
      <c r="G754" s="30" t="s">
        <v>34</v>
      </c>
      <c r="H754" s="31">
        <v>202434480.167436</v>
      </c>
      <c r="I754" s="31">
        <v>171795480.167436</v>
      </c>
      <c r="J754" s="32">
        <v>9.1300001144409197</v>
      </c>
      <c r="K754" s="33">
        <v>45700</v>
      </c>
      <c r="L754" s="31">
        <v>70700</v>
      </c>
      <c r="M754" s="32">
        <v>-3.2</v>
      </c>
      <c r="N754" s="31" t="s">
        <v>35</v>
      </c>
      <c r="O754" s="33">
        <v>45699</v>
      </c>
      <c r="P754" s="34">
        <v>472726.125</v>
      </c>
      <c r="Q754" s="34">
        <v>337687.09375</v>
      </c>
      <c r="R754" s="34">
        <v>293653.6875</v>
      </c>
      <c r="S754" s="29" t="s">
        <v>82</v>
      </c>
      <c r="T754" s="33">
        <v>45446</v>
      </c>
      <c r="U754" s="35" t="b">
        <v>0</v>
      </c>
      <c r="V754" s="35" t="b">
        <v>0</v>
      </c>
      <c r="W754" s="35" t="b">
        <v>0</v>
      </c>
      <c r="Y754" s="31" cm="1">
        <f t="array" ref="Y754">IF(LEFT(_xll.BDP($C754, VOLUME_AVG_10D), 4) = "#N/A", "",  _xll.BDP($C754, VOLUME_AVG_10D))</f>
        <v>514661</v>
      </c>
      <c r="Z754" s="31" cm="1">
        <f t="array" ref="Z754">IF(LEFT(_xll.BDP($C754, VOLUME_AVG_30D), 4) = "#N/A", "",  _xll.BDP($C754, VOLUME_AVG_30D))</f>
        <v>472726.125</v>
      </c>
      <c r="AA754" s="31" cm="1">
        <f t="array" ref="AA754">IF(LEFT(_xll.BDP($C754, VOLUME_AVG_3M), 4) = "#N/A", "",  _xll.BDP($C754, VOLUME_AVG_3M))</f>
        <v>337687.09375</v>
      </c>
      <c r="AB754" s="31" cm="1">
        <f t="array" ref="AB754">IF(LEFT(_xll.BDP($C754, VOLUME_AVG_6M), 4) = "#N/A", "",  _xll.BDP($C754, VOLUME_AVG_6M))</f>
        <v>293653.6875</v>
      </c>
      <c r="AC754" s="31" cm="1">
        <f t="array" ref="AC754">IF(LEFT(_xll.BDP($C754, VOLUME_AVG_12M), 4) = "#N/A", "",  _xll.BDP($C754, VOLUME_AVG_12M))</f>
        <v>215930.609375</v>
      </c>
      <c r="AD754" s="41" cm="1">
        <f t="array" ref="AD754">IF(LEFT(_xll.BDP($C754, LAST_PRICE), 4) = "#N/A", "",  _xll.BDP($C754, LAST_PRICE))</f>
        <v>9.1300000000000008</v>
      </c>
    </row>
    <row r="755" spans="1:30" x14ac:dyDescent="0.35">
      <c r="A755" s="1">
        <f t="shared" si="11"/>
        <v>752</v>
      </c>
      <c r="B755" s="28">
        <v>45700</v>
      </c>
      <c r="C755" s="29" t="s">
        <v>1561</v>
      </c>
      <c r="D755" s="29" t="s">
        <v>1561</v>
      </c>
      <c r="E755" s="29" t="s">
        <v>1562</v>
      </c>
      <c r="F755" s="29" t="s">
        <v>40</v>
      </c>
      <c r="G755" s="30" t="s">
        <v>41</v>
      </c>
      <c r="H755" s="31">
        <v>54518270.805885904</v>
      </c>
      <c r="I755" s="31">
        <v>50105533.905885898</v>
      </c>
      <c r="J755" s="32">
        <v>0.18999999761581399</v>
      </c>
      <c r="K755" s="33">
        <v>45700</v>
      </c>
      <c r="L755" s="31"/>
      <c r="M755" s="32"/>
      <c r="N755" s="31"/>
      <c r="O755" s="33">
        <v>45699</v>
      </c>
      <c r="P755" s="34">
        <v>28649.23</v>
      </c>
      <c r="Q755" s="34">
        <v>40545.39</v>
      </c>
      <c r="R755" s="34">
        <v>50564.36</v>
      </c>
      <c r="S755" s="29"/>
      <c r="T755" s="33"/>
      <c r="U755" s="35" t="b">
        <v>0</v>
      </c>
      <c r="V755" s="35" t="b">
        <v>0</v>
      </c>
      <c r="W755" s="35" t="b">
        <v>0</v>
      </c>
      <c r="Y755" s="31" cm="1">
        <f t="array" ref="Y755">IF(LEFT(_xll.BDP($C755, VOLUME_AVG_10D), 4) = "#N/A", "",  _xll.BDP($C755, VOLUME_AVG_10D))</f>
        <v>26828.799999999999</v>
      </c>
      <c r="Z755" s="31" cm="1">
        <f t="array" ref="Z755">IF(LEFT(_xll.BDP($C755, VOLUME_AVG_30D), 4) = "#N/A", "",  _xll.BDP($C755, VOLUME_AVG_30D))</f>
        <v>28649.23</v>
      </c>
      <c r="AA755" s="31" cm="1">
        <f t="array" ref="AA755">IF(LEFT(_xll.BDP($C755, VOLUME_AVG_3M), 4) = "#N/A", "",  _xll.BDP($C755, VOLUME_AVG_3M))</f>
        <v>40545.39</v>
      </c>
      <c r="AB755" s="31" cm="1">
        <f t="array" ref="AB755">IF(LEFT(_xll.BDP($C755, VOLUME_AVG_6M), 4) = "#N/A", "",  _xll.BDP($C755, VOLUME_AVG_6M))</f>
        <v>50564.36</v>
      </c>
      <c r="AC755" s="31" cm="1">
        <f t="array" ref="AC755">IF(LEFT(_xll.BDP($C755, VOLUME_AVG_12M), 4) = "#N/A", "",  _xll.BDP($C755, VOLUME_AVG_12M))</f>
        <v>79860.98</v>
      </c>
      <c r="AD755" s="41" cm="1">
        <f t="array" ref="AD755">IF(LEFT(_xll.BDP($C755, LAST_PRICE), 4) = "#N/A", "",  _xll.BDP($C755, LAST_PRICE))</f>
        <v>0.19</v>
      </c>
    </row>
    <row r="756" spans="1:30" x14ac:dyDescent="0.35">
      <c r="A756" s="1">
        <f t="shared" si="11"/>
        <v>753</v>
      </c>
      <c r="B756" s="28">
        <v>45700</v>
      </c>
      <c r="C756" s="29" t="s">
        <v>1563</v>
      </c>
      <c r="D756" s="29" t="s">
        <v>1563</v>
      </c>
      <c r="E756" s="29" t="s">
        <v>1564</v>
      </c>
      <c r="F756" s="29" t="s">
        <v>33</v>
      </c>
      <c r="G756" s="30" t="s">
        <v>34</v>
      </c>
      <c r="H756" s="31">
        <v>457123880.33741802</v>
      </c>
      <c r="I756" s="31">
        <v>506175880.33741802</v>
      </c>
      <c r="J756" s="32">
        <v>3.3800001144409202</v>
      </c>
      <c r="K756" s="33">
        <v>45700</v>
      </c>
      <c r="L756" s="31">
        <v>8161700</v>
      </c>
      <c r="M756" s="32">
        <v>3.85</v>
      </c>
      <c r="N756" s="31" t="s">
        <v>35</v>
      </c>
      <c r="O756" s="33">
        <v>45699</v>
      </c>
      <c r="P756" s="34">
        <v>57834.5</v>
      </c>
      <c r="Q756" s="34">
        <v>64839.7265625</v>
      </c>
      <c r="R756" s="34">
        <v>51647.23046875</v>
      </c>
      <c r="S756" s="29"/>
      <c r="T756" s="33"/>
      <c r="U756" s="35" t="b">
        <v>0</v>
      </c>
      <c r="V756" s="35" t="b">
        <v>0</v>
      </c>
      <c r="W756" s="35" t="b">
        <v>0</v>
      </c>
      <c r="Y756" s="31" cm="1">
        <f t="array" ref="Y756">IF(LEFT(_xll.BDP($C756, VOLUME_AVG_10D), 4) = "#N/A", "",  _xll.BDP($C756, VOLUME_AVG_10D))</f>
        <v>77856.8984375</v>
      </c>
      <c r="Z756" s="31" cm="1">
        <f t="array" ref="Z756">IF(LEFT(_xll.BDP($C756, VOLUME_AVG_30D), 4) = "#N/A", "",  _xll.BDP($C756, VOLUME_AVG_30D))</f>
        <v>57834.5</v>
      </c>
      <c r="AA756" s="31" cm="1">
        <f t="array" ref="AA756">IF(LEFT(_xll.BDP($C756, VOLUME_AVG_3M), 4) = "#N/A", "",  _xll.BDP($C756, VOLUME_AVG_3M))</f>
        <v>64839.7265625</v>
      </c>
      <c r="AB756" s="31" cm="1">
        <f t="array" ref="AB756">IF(LEFT(_xll.BDP($C756, VOLUME_AVG_6M), 4) = "#N/A", "",  _xll.BDP($C756, VOLUME_AVG_6M))</f>
        <v>51647.23046875</v>
      </c>
      <c r="AC756" s="31" cm="1">
        <f t="array" ref="AC756">IF(LEFT(_xll.BDP($C756, VOLUME_AVG_12M), 4) = "#N/A", "",  _xll.BDP($C756, VOLUME_AVG_12M))</f>
        <v>45980.78515625</v>
      </c>
      <c r="AD756" s="41" cm="1">
        <f t="array" ref="AD756">IF(LEFT(_xll.BDP($C756, LAST_PRICE), 4) = "#N/A", "",  _xll.BDP($C756, LAST_PRICE))</f>
        <v>3.38</v>
      </c>
    </row>
    <row r="757" spans="1:30" x14ac:dyDescent="0.35">
      <c r="A757" s="1">
        <f t="shared" si="11"/>
        <v>754</v>
      </c>
      <c r="B757" s="28">
        <v>45700</v>
      </c>
      <c r="C757" s="29" t="s">
        <v>1565</v>
      </c>
      <c r="D757" s="29" t="s">
        <v>1565</v>
      </c>
      <c r="E757" s="29" t="s">
        <v>1566</v>
      </c>
      <c r="F757" s="29" t="s">
        <v>33</v>
      </c>
      <c r="G757" s="30" t="s">
        <v>34</v>
      </c>
      <c r="H757" s="31"/>
      <c r="I757" s="31"/>
      <c r="J757" s="32"/>
      <c r="K757" s="33">
        <v>45700</v>
      </c>
      <c r="L757" s="31"/>
      <c r="M757" s="32"/>
      <c r="N757" s="31"/>
      <c r="O757" s="33">
        <v>45699</v>
      </c>
      <c r="P757" s="34"/>
      <c r="Q757" s="34">
        <v>290.32257080078102</v>
      </c>
      <c r="R757" s="34">
        <v>1314.28576660156</v>
      </c>
      <c r="S757" s="29"/>
      <c r="T757" s="33"/>
      <c r="U757" s="35" t="b">
        <v>1</v>
      </c>
      <c r="V757" s="35" t="b">
        <v>1</v>
      </c>
      <c r="W757" s="35" t="b">
        <v>1</v>
      </c>
      <c r="Y757" s="31" cm="1">
        <f t="array" ref="Y757">IF(LEFT(_xll.BDP($C757, VOLUME_AVG_10D), 4) = "#N/A", "",  _xll.BDP($C757, VOLUME_AVG_10D))</f>
        <v>0</v>
      </c>
      <c r="Z757" s="31" cm="1">
        <f t="array" ref="Z757">IF(LEFT(_xll.BDP($C757, VOLUME_AVG_30D), 4) = "#N/A", "",  _xll.BDP($C757, VOLUME_AVG_30D))</f>
        <v>0</v>
      </c>
      <c r="AA757" s="31" cm="1">
        <f t="array" ref="AA757">IF(LEFT(_xll.BDP($C757, VOLUME_AVG_3M), 4) = "#N/A", "",  _xll.BDP($C757, VOLUME_AVG_3M))</f>
        <v>290.32257080078125</v>
      </c>
      <c r="AB757" s="31" cm="1">
        <f t="array" ref="AB757">IF(LEFT(_xll.BDP($C757, VOLUME_AVG_6M), 4) = "#N/A", "",  _xll.BDP($C757, VOLUME_AVG_6M))</f>
        <v>1314.2857666015625</v>
      </c>
      <c r="AC757" s="31" cm="1">
        <f t="array" ref="AC757">IF(LEFT(_xll.BDP($C757, VOLUME_AVG_12M), 4) = "#N/A", "",  _xll.BDP($C757, VOLUME_AVG_12M))</f>
        <v>34141.515625</v>
      </c>
      <c r="AD757" s="41" t="str" cm="1">
        <f t="array" ref="AD757">IF(LEFT(_xll.BDP($C757, LAST_PRICE), 4) = "#N/A", "",  _xll.BDP($C757, LAST_PRICE))</f>
        <v/>
      </c>
    </row>
    <row r="758" spans="1:30" x14ac:dyDescent="0.35">
      <c r="A758" s="1">
        <f t="shared" si="11"/>
        <v>755</v>
      </c>
      <c r="B758" s="28">
        <v>45700</v>
      </c>
      <c r="C758" s="29" t="s">
        <v>1567</v>
      </c>
      <c r="D758" s="29" t="s">
        <v>1567</v>
      </c>
      <c r="E758" s="29" t="s">
        <v>1568</v>
      </c>
      <c r="F758" s="29" t="s">
        <v>33</v>
      </c>
      <c r="G758" s="30" t="s">
        <v>34</v>
      </c>
      <c r="H758" s="31">
        <v>51834.769099999998</v>
      </c>
      <c r="I758" s="31">
        <v>-117165.2309</v>
      </c>
      <c r="J758" s="32">
        <v>9.9999999747524292E-7</v>
      </c>
      <c r="K758" s="33">
        <v>45700</v>
      </c>
      <c r="L758" s="31"/>
      <c r="M758" s="32"/>
      <c r="N758" s="31"/>
      <c r="O758" s="33">
        <v>45699</v>
      </c>
      <c r="P758" s="34">
        <v>128006.3671875</v>
      </c>
      <c r="Q758" s="34">
        <v>268553.46875</v>
      </c>
      <c r="R758" s="34">
        <v>263540.1875</v>
      </c>
      <c r="S758" s="29"/>
      <c r="T758" s="33"/>
      <c r="U758" s="35" t="b">
        <v>1</v>
      </c>
      <c r="V758" s="35" t="b">
        <v>1</v>
      </c>
      <c r="W758" s="35" t="b">
        <v>1</v>
      </c>
      <c r="Y758" s="31" cm="1">
        <f t="array" ref="Y758">IF(LEFT(_xll.BDP($C758, VOLUME_AVG_10D), 4) = "#N/A", "",  _xll.BDP($C758, VOLUME_AVG_10D))</f>
        <v>54116.3984375</v>
      </c>
      <c r="Z758" s="31" cm="1">
        <f t="array" ref="Z758">IF(LEFT(_xll.BDP($C758, VOLUME_AVG_30D), 4) = "#N/A", "",  _xll.BDP($C758, VOLUME_AVG_30D))</f>
        <v>128006.3671875</v>
      </c>
      <c r="AA758" s="31" cm="1">
        <f t="array" ref="AA758">IF(LEFT(_xll.BDP($C758, VOLUME_AVG_3M), 4) = "#N/A", "",  _xll.BDP($C758, VOLUME_AVG_3M))</f>
        <v>268553.46875</v>
      </c>
      <c r="AB758" s="31" cm="1">
        <f t="array" ref="AB758">IF(LEFT(_xll.BDP($C758, VOLUME_AVG_6M), 4) = "#N/A", "",  _xll.BDP($C758, VOLUME_AVG_6M))</f>
        <v>263540.1875</v>
      </c>
      <c r="AC758" s="31" cm="1">
        <f t="array" ref="AC758">IF(LEFT(_xll.BDP($C758, VOLUME_AVG_12M), 4) = "#N/A", "",  _xll.BDP($C758, VOLUME_AVG_12M))</f>
        <v>276212.125</v>
      </c>
      <c r="AD758" s="41" cm="1">
        <f t="array" ref="AD758">IF(LEFT(_xll.BDP($C758, LAST_PRICE), 4) = "#N/A", "",  _xll.BDP($C758, LAST_PRICE))</f>
        <v>9.9999999999999995E-7</v>
      </c>
    </row>
    <row r="759" spans="1:30" x14ac:dyDescent="0.35">
      <c r="A759" s="1">
        <f t="shared" si="11"/>
        <v>756</v>
      </c>
      <c r="B759" s="28">
        <v>45700</v>
      </c>
      <c r="C759" s="29" t="s">
        <v>1569</v>
      </c>
      <c r="D759" s="29" t="s">
        <v>1569</v>
      </c>
      <c r="E759" s="29" t="s">
        <v>1570</v>
      </c>
      <c r="F759" s="29" t="s">
        <v>33</v>
      </c>
      <c r="G759" s="30" t="s">
        <v>34</v>
      </c>
      <c r="H759" s="31"/>
      <c r="I759" s="31"/>
      <c r="J759" s="32"/>
      <c r="K759" s="33">
        <v>45700</v>
      </c>
      <c r="L759" s="31"/>
      <c r="M759" s="32"/>
      <c r="N759" s="31"/>
      <c r="O759" s="33">
        <v>45699</v>
      </c>
      <c r="P759" s="34"/>
      <c r="Q759" s="34"/>
      <c r="R759" s="34"/>
      <c r="S759" s="29"/>
      <c r="T759" s="33"/>
      <c r="U759" s="35" t="b">
        <v>1</v>
      </c>
      <c r="V759" s="35" t="b">
        <v>1</v>
      </c>
      <c r="W759" s="35" t="b">
        <v>1</v>
      </c>
      <c r="Y759" s="31" t="str" cm="1">
        <f t="array" ref="Y759">IF(LEFT(_xll.BDP($C759, VOLUME_AVG_10D), 4) = "#N/A", "",  _xll.BDP($C759, VOLUME_AVG_10D))</f>
        <v/>
      </c>
      <c r="Z759" s="31" t="str" cm="1">
        <f t="array" ref="Z759">IF(LEFT(_xll.BDP($C759, VOLUME_AVG_30D), 4) = "#N/A", "",  _xll.BDP($C759, VOLUME_AVG_30D))</f>
        <v/>
      </c>
      <c r="AA759" s="31" t="str" cm="1">
        <f t="array" ref="AA759">IF(LEFT(_xll.BDP($C759, VOLUME_AVG_3M), 4) = "#N/A", "",  _xll.BDP($C759, VOLUME_AVG_3M))</f>
        <v/>
      </c>
      <c r="AB759" s="31" t="str" cm="1">
        <f t="array" ref="AB759">IF(LEFT(_xll.BDP($C759, VOLUME_AVG_6M), 4) = "#N/A", "",  _xll.BDP($C759, VOLUME_AVG_6M))</f>
        <v/>
      </c>
      <c r="AC759" s="31" t="str" cm="1">
        <f t="array" ref="AC759">IF(LEFT(_xll.BDP($C759, VOLUME_AVG_12M), 4) = "#N/A", "",  _xll.BDP($C759, VOLUME_AVG_12M))</f>
        <v/>
      </c>
      <c r="AD759" s="41" t="str" cm="1">
        <f t="array" ref="AD759">IF(LEFT(_xll.BDP($C759, LAST_PRICE), 4) = "#N/A", "",  _xll.BDP($C759, LAST_PRICE))</f>
        <v/>
      </c>
    </row>
    <row r="760" spans="1:30" x14ac:dyDescent="0.35">
      <c r="A760" s="1">
        <f t="shared" si="11"/>
        <v>757</v>
      </c>
      <c r="B760" s="28">
        <v>45700</v>
      </c>
      <c r="C760" s="29" t="s">
        <v>1571</v>
      </c>
      <c r="D760" s="29" t="s">
        <v>1571</v>
      </c>
      <c r="E760" s="29" t="s">
        <v>1572</v>
      </c>
      <c r="F760" s="29" t="s">
        <v>33</v>
      </c>
      <c r="G760" s="30" t="s">
        <v>34</v>
      </c>
      <c r="H760" s="31">
        <v>79.336399999999998</v>
      </c>
      <c r="I760" s="31">
        <v>18396.339203087198</v>
      </c>
      <c r="J760" s="32">
        <v>4.9399999999999999E-2</v>
      </c>
      <c r="K760" s="33">
        <v>45700</v>
      </c>
      <c r="L760" s="31">
        <v>288600</v>
      </c>
      <c r="M760" s="32">
        <v>3.3</v>
      </c>
      <c r="N760" s="31" t="s">
        <v>35</v>
      </c>
      <c r="O760" s="33">
        <v>45699</v>
      </c>
      <c r="P760" s="34">
        <v>21427.1328125</v>
      </c>
      <c r="Q760" s="34">
        <v>52831.67578125</v>
      </c>
      <c r="R760" s="34">
        <v>34163.4609375</v>
      </c>
      <c r="S760" s="29"/>
      <c r="T760" s="33"/>
      <c r="U760" s="35" t="b">
        <v>1</v>
      </c>
      <c r="V760" s="35" t="b">
        <v>1</v>
      </c>
      <c r="W760" s="35" t="b">
        <v>0</v>
      </c>
      <c r="Y760" s="31" cm="1">
        <f t="array" ref="Y760">IF(LEFT(_xll.BDP($C760, VOLUME_AVG_10D), 4) = "#N/A", "",  _xll.BDP($C760, VOLUME_AVG_10D))</f>
        <v>22544</v>
      </c>
      <c r="Z760" s="31" cm="1">
        <f t="array" ref="Z760">IF(LEFT(_xll.BDP($C760, VOLUME_AVG_30D), 4) = "#N/A", "",  _xll.BDP($C760, VOLUME_AVG_30D))</f>
        <v>21427.1328125</v>
      </c>
      <c r="AA760" s="31" cm="1">
        <f t="array" ref="AA760">IF(LEFT(_xll.BDP($C760, VOLUME_AVG_3M), 4) = "#N/A", "",  _xll.BDP($C760, VOLUME_AVG_3M))</f>
        <v>52831.67578125</v>
      </c>
      <c r="AB760" s="31" cm="1">
        <f t="array" ref="AB760">IF(LEFT(_xll.BDP($C760, VOLUME_AVG_6M), 4) = "#N/A", "",  _xll.BDP($C760, VOLUME_AVG_6M))</f>
        <v>34163.4609375</v>
      </c>
      <c r="AC760" s="31" cm="1">
        <f t="array" ref="AC760">IF(LEFT(_xll.BDP($C760, VOLUME_AVG_12M), 4) = "#N/A", "",  _xll.BDP($C760, VOLUME_AVG_12M))</f>
        <v>20357.505859375</v>
      </c>
      <c r="AD760" s="41" cm="1">
        <f t="array" ref="AD760">IF(LEFT(_xll.BDP($C760, LAST_PRICE), 4) = "#N/A", "",  _xll.BDP($C760, LAST_PRICE))</f>
        <v>4.9399999999999999E-2</v>
      </c>
    </row>
    <row r="761" spans="1:30" x14ac:dyDescent="0.35">
      <c r="A761" s="1">
        <f t="shared" si="11"/>
        <v>758</v>
      </c>
      <c r="B761" s="28">
        <v>45700</v>
      </c>
      <c r="C761" s="29" t="s">
        <v>1573</v>
      </c>
      <c r="D761" s="29" t="s">
        <v>1573</v>
      </c>
      <c r="E761" s="29" t="s">
        <v>1574</v>
      </c>
      <c r="F761" s="29" t="s">
        <v>33</v>
      </c>
      <c r="G761" s="30" t="s">
        <v>34</v>
      </c>
      <c r="H761" s="31">
        <v>13191710.0175</v>
      </c>
      <c r="I761" s="31">
        <v>15200713.0175</v>
      </c>
      <c r="J761" s="32">
        <v>0.47249999999999998</v>
      </c>
      <c r="K761" s="33">
        <v>45700</v>
      </c>
      <c r="L761" s="31">
        <v>9500</v>
      </c>
      <c r="M761" s="32">
        <v>3.3</v>
      </c>
      <c r="N761" s="31" t="s">
        <v>35</v>
      </c>
      <c r="O761" s="33">
        <v>45699</v>
      </c>
      <c r="P761" s="34">
        <v>158.96665954589801</v>
      </c>
      <c r="Q761" s="34">
        <v>87.064514160156307</v>
      </c>
      <c r="R761" s="34">
        <v>86.452377319335895</v>
      </c>
      <c r="S761" s="29"/>
      <c r="T761" s="33"/>
      <c r="U761" s="35" t="b">
        <v>1</v>
      </c>
      <c r="V761" s="35" t="b">
        <v>0</v>
      </c>
      <c r="W761" s="35" t="b">
        <v>0</v>
      </c>
      <c r="Y761" s="31" cm="1">
        <f t="array" ref="Y761">IF(LEFT(_xll.BDP($C761, VOLUME_AVG_10D), 4) = "#N/A", "",  _xll.BDP($C761, VOLUME_AVG_10D))</f>
        <v>180.39999389648438</v>
      </c>
      <c r="Z761" s="31" cm="1">
        <f t="array" ref="Z761">IF(LEFT(_xll.BDP($C761, VOLUME_AVG_30D), 4) = "#N/A", "",  _xll.BDP($C761, VOLUME_AVG_30D))</f>
        <v>158.96665954589844</v>
      </c>
      <c r="AA761" s="31" cm="1">
        <f t="array" ref="AA761">IF(LEFT(_xll.BDP($C761, VOLUME_AVG_3M), 4) = "#N/A", "",  _xll.BDP($C761, VOLUME_AVG_3M))</f>
        <v>87.06451416015625</v>
      </c>
      <c r="AB761" s="31" cm="1">
        <f t="array" ref="AB761">IF(LEFT(_xll.BDP($C761, VOLUME_AVG_6M), 4) = "#N/A", "",  _xll.BDP($C761, VOLUME_AVG_6M))</f>
        <v>86.452377319335938</v>
      </c>
      <c r="AC761" s="31" cm="1">
        <f t="array" ref="AC761">IF(LEFT(_xll.BDP($C761, VOLUME_AVG_12M), 4) = "#N/A", "",  _xll.BDP($C761, VOLUME_AVG_12M))</f>
        <v>406.51791381835938</v>
      </c>
      <c r="AD761" s="41" cm="1">
        <f t="array" ref="AD761">IF(LEFT(_xll.BDP($C761, LAST_PRICE), 4) = "#N/A", "",  _xll.BDP($C761, LAST_PRICE))</f>
        <v>0.47249999999999998</v>
      </c>
    </row>
    <row r="762" spans="1:30" x14ac:dyDescent="0.35">
      <c r="A762" s="1">
        <f t="shared" si="11"/>
        <v>759</v>
      </c>
      <c r="B762" s="28">
        <v>45700</v>
      </c>
      <c r="C762" s="29" t="s">
        <v>1575</v>
      </c>
      <c r="D762" s="29" t="s">
        <v>1575</v>
      </c>
      <c r="E762" s="29" t="s">
        <v>1576</v>
      </c>
      <c r="F762" s="29" t="s">
        <v>33</v>
      </c>
      <c r="G762" s="30" t="s">
        <v>34</v>
      </c>
      <c r="H762" s="31">
        <v>356.35500000000002</v>
      </c>
      <c r="I762" s="31">
        <v>4333623.3550000004</v>
      </c>
      <c r="J762" s="32">
        <v>9.9999999747524292E-7</v>
      </c>
      <c r="K762" s="33">
        <v>45700</v>
      </c>
      <c r="L762" s="31"/>
      <c r="M762" s="32"/>
      <c r="N762" s="31"/>
      <c r="O762" s="33">
        <v>45699</v>
      </c>
      <c r="P762" s="34">
        <v>896.70001220703102</v>
      </c>
      <c r="Q762" s="34">
        <v>1041.82263183594</v>
      </c>
      <c r="R762" s="34">
        <v>513.5</v>
      </c>
      <c r="S762" s="29"/>
      <c r="T762" s="33"/>
      <c r="U762" s="35" t="b">
        <v>1</v>
      </c>
      <c r="V762" s="35" t="b">
        <v>1</v>
      </c>
      <c r="W762" s="35" t="b">
        <v>0</v>
      </c>
      <c r="Y762" s="31" cm="1">
        <f t="array" ref="Y762">IF(LEFT(_xll.BDP($C762, VOLUME_AVG_10D), 4) = "#N/A", "",  _xll.BDP($C762, VOLUME_AVG_10D))</f>
        <v>60.099998474121094</v>
      </c>
      <c r="Z762" s="31" cm="1">
        <f t="array" ref="Z762">IF(LEFT(_xll.BDP($C762, VOLUME_AVG_30D), 4) = "#N/A", "",  _xll.BDP($C762, VOLUME_AVG_30D))</f>
        <v>896.70001220703125</v>
      </c>
      <c r="AA762" s="31" cm="1">
        <f t="array" ref="AA762">IF(LEFT(_xll.BDP($C762, VOLUME_AVG_3M), 4) = "#N/A", "",  _xll.BDP($C762, VOLUME_AVG_3M))</f>
        <v>1041.8226318359375</v>
      </c>
      <c r="AB762" s="31" cm="1">
        <f t="array" ref="AB762">IF(LEFT(_xll.BDP($C762, VOLUME_AVG_6M), 4) = "#N/A", "",  _xll.BDP($C762, VOLUME_AVG_6M))</f>
        <v>513.5</v>
      </c>
      <c r="AC762" s="31" cm="1">
        <f t="array" ref="AC762">IF(LEFT(_xll.BDP($C762, VOLUME_AVG_12M), 4) = "#N/A", "",  _xll.BDP($C762, VOLUME_AVG_12M))</f>
        <v>27287.9609375</v>
      </c>
      <c r="AD762" s="41" cm="1">
        <f t="array" ref="AD762">IF(LEFT(_xll.BDP($C762, LAST_PRICE), 4) = "#N/A", "",  _xll.BDP($C762, LAST_PRICE))</f>
        <v>9.9999999999999995E-7</v>
      </c>
    </row>
    <row r="763" spans="1:30" x14ac:dyDescent="0.35">
      <c r="A763" s="1">
        <f t="shared" si="11"/>
        <v>760</v>
      </c>
      <c r="B763" s="28">
        <v>45700</v>
      </c>
      <c r="C763" s="29" t="s">
        <v>1577</v>
      </c>
      <c r="D763" s="29" t="s">
        <v>1577</v>
      </c>
      <c r="E763" s="29" t="s">
        <v>1578</v>
      </c>
      <c r="F763" s="29" t="s">
        <v>33</v>
      </c>
      <c r="G763" s="30" t="s">
        <v>34</v>
      </c>
      <c r="H763" s="31">
        <v>1125567407.7235</v>
      </c>
      <c r="I763" s="31">
        <v>1124005407.7235</v>
      </c>
      <c r="J763" s="32">
        <v>17.9799995422363</v>
      </c>
      <c r="K763" s="33">
        <v>45700</v>
      </c>
      <c r="L763" s="31">
        <v>26261700</v>
      </c>
      <c r="M763" s="32">
        <v>3.88</v>
      </c>
      <c r="N763" s="31" t="s">
        <v>35</v>
      </c>
      <c r="O763" s="33">
        <v>45699</v>
      </c>
      <c r="P763" s="34">
        <v>549801.9375</v>
      </c>
      <c r="Q763" s="34">
        <v>677735.4375</v>
      </c>
      <c r="R763" s="34">
        <v>571652.0625</v>
      </c>
      <c r="S763" s="29" t="s">
        <v>353</v>
      </c>
      <c r="T763" s="33">
        <v>45446</v>
      </c>
      <c r="U763" s="35" t="b">
        <v>0</v>
      </c>
      <c r="V763" s="35" t="b">
        <v>0</v>
      </c>
      <c r="W763" s="35" t="b">
        <v>0</v>
      </c>
      <c r="Y763" s="31" cm="1">
        <f t="array" ref="Y763">IF(LEFT(_xll.BDP($C763, VOLUME_AVG_10D), 4) = "#N/A", "",  _xll.BDP($C763, VOLUME_AVG_10D))</f>
        <v>422968.09375</v>
      </c>
      <c r="Z763" s="31" cm="1">
        <f t="array" ref="Z763">IF(LEFT(_xll.BDP($C763, VOLUME_AVG_30D), 4) = "#N/A", "",  _xll.BDP($C763, VOLUME_AVG_30D))</f>
        <v>549801.9375</v>
      </c>
      <c r="AA763" s="31" cm="1">
        <f t="array" ref="AA763">IF(LEFT(_xll.BDP($C763, VOLUME_AVG_3M), 4) = "#N/A", "",  _xll.BDP($C763, VOLUME_AVG_3M))</f>
        <v>677735.4375</v>
      </c>
      <c r="AB763" s="31" cm="1">
        <f t="array" ref="AB763">IF(LEFT(_xll.BDP($C763, VOLUME_AVG_6M), 4) = "#N/A", "",  _xll.BDP($C763, VOLUME_AVG_6M))</f>
        <v>571652.0625</v>
      </c>
      <c r="AC763" s="31" cm="1">
        <f t="array" ref="AC763">IF(LEFT(_xll.BDP($C763, VOLUME_AVG_12M), 4) = "#N/A", "",  _xll.BDP($C763, VOLUME_AVG_12M))</f>
        <v>597503.125</v>
      </c>
      <c r="AD763" s="41" cm="1">
        <f t="array" ref="AD763">IF(LEFT(_xll.BDP($C763, LAST_PRICE), 4) = "#N/A", "",  _xll.BDP($C763, LAST_PRICE))</f>
        <v>17.98</v>
      </c>
    </row>
    <row r="764" spans="1:30" x14ac:dyDescent="0.35">
      <c r="A764" s="1">
        <f t="shared" si="11"/>
        <v>761</v>
      </c>
      <c r="B764" s="28">
        <v>45700</v>
      </c>
      <c r="C764" s="29" t="s">
        <v>1579</v>
      </c>
      <c r="D764" s="29" t="s">
        <v>1579</v>
      </c>
      <c r="E764" s="29" t="s">
        <v>1580</v>
      </c>
      <c r="F764" s="29" t="s">
        <v>40</v>
      </c>
      <c r="G764" s="30" t="s">
        <v>41</v>
      </c>
      <c r="H764" s="31">
        <v>10692849.522863301</v>
      </c>
      <c r="I764" s="31">
        <v>10315705.522863301</v>
      </c>
      <c r="J764" s="32">
        <v>0.21500000357627899</v>
      </c>
      <c r="K764" s="33">
        <v>45700</v>
      </c>
      <c r="L764" s="31"/>
      <c r="M764" s="32"/>
      <c r="N764" s="31"/>
      <c r="O764" s="33">
        <v>45699</v>
      </c>
      <c r="P764" s="34">
        <v>2200.4</v>
      </c>
      <c r="Q764" s="34">
        <v>6917.875</v>
      </c>
      <c r="R764" s="34">
        <v>6618.1490000000003</v>
      </c>
      <c r="S764" s="29"/>
      <c r="T764" s="33"/>
      <c r="U764" s="35" t="b">
        <v>1</v>
      </c>
      <c r="V764" s="35" t="b">
        <v>0</v>
      </c>
      <c r="W764" s="35" t="b">
        <v>0</v>
      </c>
      <c r="Y764" s="31" cm="1">
        <f t="array" ref="Y764">IF(LEFT(_xll.BDP($C764, VOLUME_AVG_10D), 4) = "#N/A", "",  _xll.BDP($C764, VOLUME_AVG_10D))</f>
        <v>3846.1</v>
      </c>
      <c r="Z764" s="31" cm="1">
        <f t="array" ref="Z764">IF(LEFT(_xll.BDP($C764, VOLUME_AVG_30D), 4) = "#N/A", "",  _xll.BDP($C764, VOLUME_AVG_30D))</f>
        <v>2200.4</v>
      </c>
      <c r="AA764" s="31" cm="1">
        <f t="array" ref="AA764">IF(LEFT(_xll.BDP($C764, VOLUME_AVG_3M), 4) = "#N/A", "",  _xll.BDP($C764, VOLUME_AVG_3M))</f>
        <v>6917.875</v>
      </c>
      <c r="AB764" s="31" cm="1">
        <f t="array" ref="AB764">IF(LEFT(_xll.BDP($C764, VOLUME_AVG_6M), 4) = "#N/A", "",  _xll.BDP($C764, VOLUME_AVG_6M))</f>
        <v>6618.1490000000003</v>
      </c>
      <c r="AC764" s="31" cm="1">
        <f t="array" ref="AC764">IF(LEFT(_xll.BDP($C764, VOLUME_AVG_12M), 4) = "#N/A", "",  _xll.BDP($C764, VOLUME_AVG_12M))</f>
        <v>5558.9009999999998</v>
      </c>
      <c r="AD764" s="41" cm="1">
        <f t="array" ref="AD764">IF(LEFT(_xll.BDP($C764, LAST_PRICE), 4) = "#N/A", "",  _xll.BDP($C764, LAST_PRICE))</f>
        <v>0.215</v>
      </c>
    </row>
    <row r="765" spans="1:30" x14ac:dyDescent="0.35">
      <c r="A765" s="1">
        <f t="shared" si="11"/>
        <v>762</v>
      </c>
      <c r="B765" s="28">
        <v>45700</v>
      </c>
      <c r="C765" s="29" t="s">
        <v>1581</v>
      </c>
      <c r="D765" s="29" t="s">
        <v>1581</v>
      </c>
      <c r="E765" s="29" t="s">
        <v>1582</v>
      </c>
      <c r="F765" s="29" t="s">
        <v>33</v>
      </c>
      <c r="G765" s="30" t="s">
        <v>34</v>
      </c>
      <c r="H765" s="31">
        <v>241518715.997403</v>
      </c>
      <c r="I765" s="31">
        <v>141002715.997403</v>
      </c>
      <c r="J765" s="32">
        <v>10.1400003433228</v>
      </c>
      <c r="K765" s="33">
        <v>45700</v>
      </c>
      <c r="L765" s="31">
        <v>7121500</v>
      </c>
      <c r="M765" s="32">
        <v>3.88</v>
      </c>
      <c r="N765" s="31" t="s">
        <v>35</v>
      </c>
      <c r="O765" s="33">
        <v>45699</v>
      </c>
      <c r="P765" s="34">
        <v>248229.640625</v>
      </c>
      <c r="Q765" s="34">
        <v>211299.703125</v>
      </c>
      <c r="R765" s="34">
        <v>199958.765625</v>
      </c>
      <c r="S765" s="29"/>
      <c r="T765" s="33"/>
      <c r="U765" s="35" t="b">
        <v>0</v>
      </c>
      <c r="V765" s="35" t="b">
        <v>0</v>
      </c>
      <c r="W765" s="35" t="b">
        <v>0</v>
      </c>
      <c r="Y765" s="31" cm="1">
        <f t="array" ref="Y765">IF(LEFT(_xll.BDP($C765, VOLUME_AVG_10D), 4) = "#N/A", "",  _xll.BDP($C765, VOLUME_AVG_10D))</f>
        <v>305882.09375</v>
      </c>
      <c r="Z765" s="31" cm="1">
        <f t="array" ref="Z765">IF(LEFT(_xll.BDP($C765, VOLUME_AVG_30D), 4) = "#N/A", "",  _xll.BDP($C765, VOLUME_AVG_30D))</f>
        <v>248229.640625</v>
      </c>
      <c r="AA765" s="31" cm="1">
        <f t="array" ref="AA765">IF(LEFT(_xll.BDP($C765, VOLUME_AVG_3M), 4) = "#N/A", "",  _xll.BDP($C765, VOLUME_AVG_3M))</f>
        <v>211299.703125</v>
      </c>
      <c r="AB765" s="31" cm="1">
        <f t="array" ref="AB765">IF(LEFT(_xll.BDP($C765, VOLUME_AVG_6M), 4) = "#N/A", "",  _xll.BDP($C765, VOLUME_AVG_6M))</f>
        <v>199958.765625</v>
      </c>
      <c r="AC765" s="31" cm="1">
        <f t="array" ref="AC765">IF(LEFT(_xll.BDP($C765, VOLUME_AVG_12M), 4) = "#N/A", "",  _xll.BDP($C765, VOLUME_AVG_12M))</f>
        <v>264930.375</v>
      </c>
      <c r="AD765" s="41" cm="1">
        <f t="array" ref="AD765">IF(LEFT(_xll.BDP($C765, LAST_PRICE), 4) = "#N/A", "",  _xll.BDP($C765, LAST_PRICE))</f>
        <v>10.14</v>
      </c>
    </row>
    <row r="766" spans="1:30" x14ac:dyDescent="0.35">
      <c r="A766" s="1">
        <f t="shared" si="11"/>
        <v>763</v>
      </c>
      <c r="B766" s="28">
        <v>45700</v>
      </c>
      <c r="C766" s="29" t="s">
        <v>1583</v>
      </c>
      <c r="D766" s="29" t="s">
        <v>1583</v>
      </c>
      <c r="E766" s="29" t="s">
        <v>1584</v>
      </c>
      <c r="F766" s="29" t="s">
        <v>33</v>
      </c>
      <c r="G766" s="30" t="s">
        <v>34</v>
      </c>
      <c r="H766" s="31">
        <v>126671066.383002</v>
      </c>
      <c r="I766" s="31">
        <v>535736066.38300198</v>
      </c>
      <c r="J766" s="32">
        <v>3.7400000095367401</v>
      </c>
      <c r="K766" s="33">
        <v>45700</v>
      </c>
      <c r="L766" s="31">
        <v>1845200</v>
      </c>
      <c r="M766" s="32">
        <v>3.88</v>
      </c>
      <c r="N766" s="31" t="s">
        <v>35</v>
      </c>
      <c r="O766" s="33">
        <v>45699</v>
      </c>
      <c r="P766" s="34">
        <v>709775.0625</v>
      </c>
      <c r="Q766" s="34">
        <v>979901.1875</v>
      </c>
      <c r="R766" s="34">
        <v>575294.25</v>
      </c>
      <c r="S766" s="29"/>
      <c r="T766" s="33"/>
      <c r="U766" s="35" t="b">
        <v>0</v>
      </c>
      <c r="V766" s="35" t="b">
        <v>0</v>
      </c>
      <c r="W766" s="35" t="b">
        <v>0</v>
      </c>
      <c r="Y766" s="31" cm="1">
        <f t="array" ref="Y766">IF(LEFT(_xll.BDP($C766, VOLUME_AVG_10D), 4) = "#N/A", "",  _xll.BDP($C766, VOLUME_AVG_10D))</f>
        <v>834960</v>
      </c>
      <c r="Z766" s="31" cm="1">
        <f t="array" ref="Z766">IF(LEFT(_xll.BDP($C766, VOLUME_AVG_30D), 4) = "#N/A", "",  _xll.BDP($C766, VOLUME_AVG_30D))</f>
        <v>709775.0625</v>
      </c>
      <c r="AA766" s="31" cm="1">
        <f t="array" ref="AA766">IF(LEFT(_xll.BDP($C766, VOLUME_AVG_3M), 4) = "#N/A", "",  _xll.BDP($C766, VOLUME_AVG_3M))</f>
        <v>979901.1875</v>
      </c>
      <c r="AB766" s="31" cm="1">
        <f t="array" ref="AB766">IF(LEFT(_xll.BDP($C766, VOLUME_AVG_6M), 4) = "#N/A", "",  _xll.BDP($C766, VOLUME_AVG_6M))</f>
        <v>575294.25</v>
      </c>
      <c r="AC766" s="31" cm="1">
        <f t="array" ref="AC766">IF(LEFT(_xll.BDP($C766, VOLUME_AVG_12M), 4) = "#N/A", "",  _xll.BDP($C766, VOLUME_AVG_12M))</f>
        <v>502345.25</v>
      </c>
      <c r="AD766" s="41" cm="1">
        <f t="array" ref="AD766">IF(LEFT(_xll.BDP($C766, LAST_PRICE), 4) = "#N/A", "",  _xll.BDP($C766, LAST_PRICE))</f>
        <v>3.74</v>
      </c>
    </row>
    <row r="767" spans="1:30" x14ac:dyDescent="0.35">
      <c r="A767" s="1">
        <f t="shared" si="11"/>
        <v>764</v>
      </c>
      <c r="B767" s="28">
        <v>45700</v>
      </c>
      <c r="C767" s="29" t="s">
        <v>1585</v>
      </c>
      <c r="D767" s="29" t="s">
        <v>1585</v>
      </c>
      <c r="E767" s="29" t="s">
        <v>1586</v>
      </c>
      <c r="F767" s="29" t="s">
        <v>33</v>
      </c>
      <c r="G767" s="30" t="s">
        <v>34</v>
      </c>
      <c r="H767" s="31">
        <v>76791726.885875702</v>
      </c>
      <c r="I767" s="31">
        <v>4432297.8858757</v>
      </c>
      <c r="J767" s="32">
        <v>2.1300001144409202</v>
      </c>
      <c r="K767" s="33">
        <v>45700</v>
      </c>
      <c r="L767" s="31">
        <v>1822700</v>
      </c>
      <c r="M767" s="32">
        <v>3.6</v>
      </c>
      <c r="N767" s="31" t="s">
        <v>35</v>
      </c>
      <c r="O767" s="33">
        <v>45699</v>
      </c>
      <c r="P767" s="34">
        <v>1000390.1875</v>
      </c>
      <c r="Q767" s="34">
        <v>1020875.3125</v>
      </c>
      <c r="R767" s="34">
        <v>650205.3125</v>
      </c>
      <c r="S767" s="29" t="s">
        <v>353</v>
      </c>
      <c r="T767" s="33">
        <v>45446</v>
      </c>
      <c r="U767" s="35" t="b">
        <v>0</v>
      </c>
      <c r="V767" s="35" t="b">
        <v>0</v>
      </c>
      <c r="W767" s="35" t="b">
        <v>0</v>
      </c>
      <c r="Y767" s="31" cm="1">
        <f t="array" ref="Y767">IF(LEFT(_xll.BDP($C767, VOLUME_AVG_10D), 4) = "#N/A", "",  _xll.BDP($C767, VOLUME_AVG_10D))</f>
        <v>575404.125</v>
      </c>
      <c r="Z767" s="31" cm="1">
        <f t="array" ref="Z767">IF(LEFT(_xll.BDP($C767, VOLUME_AVG_30D), 4) = "#N/A", "",  _xll.BDP($C767, VOLUME_AVG_30D))</f>
        <v>1000390.1875</v>
      </c>
      <c r="AA767" s="31" cm="1">
        <f t="array" ref="AA767">IF(LEFT(_xll.BDP($C767, VOLUME_AVG_3M), 4) = "#N/A", "",  _xll.BDP($C767, VOLUME_AVG_3M))</f>
        <v>1020875.3125</v>
      </c>
      <c r="AB767" s="31" cm="1">
        <f t="array" ref="AB767">IF(LEFT(_xll.BDP($C767, VOLUME_AVG_6M), 4) = "#N/A", "",  _xll.BDP($C767, VOLUME_AVG_6M))</f>
        <v>650205.3125</v>
      </c>
      <c r="AC767" s="31" cm="1">
        <f t="array" ref="AC767">IF(LEFT(_xll.BDP($C767, VOLUME_AVG_12M), 4) = "#N/A", "",  _xll.BDP($C767, VOLUME_AVG_12M))</f>
        <v>534673.3125</v>
      </c>
      <c r="AD767" s="41" cm="1">
        <f t="array" ref="AD767">IF(LEFT(_xll.BDP($C767, LAST_PRICE), 4) = "#N/A", "",  _xll.BDP($C767, LAST_PRICE))</f>
        <v>2.13</v>
      </c>
    </row>
    <row r="768" spans="1:30" x14ac:dyDescent="0.35">
      <c r="A768" s="1">
        <f t="shared" si="11"/>
        <v>765</v>
      </c>
      <c r="B768" s="28">
        <v>45700</v>
      </c>
      <c r="C768" s="29" t="s">
        <v>1587</v>
      </c>
      <c r="D768" s="29" t="s">
        <v>1587</v>
      </c>
      <c r="E768" s="29" t="s">
        <v>1588</v>
      </c>
      <c r="F768" s="29" t="s">
        <v>33</v>
      </c>
      <c r="G768" s="30" t="s">
        <v>34</v>
      </c>
      <c r="H768" s="31">
        <v>86724268.831605703</v>
      </c>
      <c r="I768" s="31">
        <v>1908268.8316056901</v>
      </c>
      <c r="J768" s="32">
        <v>1.3500000238418599</v>
      </c>
      <c r="K768" s="33">
        <v>45700</v>
      </c>
      <c r="L768" s="31">
        <v>5567000</v>
      </c>
      <c r="M768" s="32">
        <v>3.88</v>
      </c>
      <c r="N768" s="31" t="s">
        <v>35</v>
      </c>
      <c r="O768" s="33">
        <v>45699</v>
      </c>
      <c r="P768" s="34">
        <v>862002.5</v>
      </c>
      <c r="Q768" s="34">
        <v>784781.75</v>
      </c>
      <c r="R768" s="34">
        <v>519972.625</v>
      </c>
      <c r="S768" s="29" t="s">
        <v>177</v>
      </c>
      <c r="T768" s="33">
        <v>45446</v>
      </c>
      <c r="U768" s="35" t="b">
        <v>0</v>
      </c>
      <c r="V768" s="35" t="b">
        <v>0</v>
      </c>
      <c r="W768" s="35" t="b">
        <v>0</v>
      </c>
      <c r="Y768" s="31" cm="1">
        <f t="array" ref="Y768">IF(LEFT(_xll.BDP($C768, VOLUME_AVG_10D), 4) = "#N/A", "",  _xll.BDP($C768, VOLUME_AVG_10D))</f>
        <v>680991.6875</v>
      </c>
      <c r="Z768" s="31" cm="1">
        <f t="array" ref="Z768">IF(LEFT(_xll.BDP($C768, VOLUME_AVG_30D), 4) = "#N/A", "",  _xll.BDP($C768, VOLUME_AVG_30D))</f>
        <v>862002.5</v>
      </c>
      <c r="AA768" s="31" cm="1">
        <f t="array" ref="AA768">IF(LEFT(_xll.BDP($C768, VOLUME_AVG_3M), 4) = "#N/A", "",  _xll.BDP($C768, VOLUME_AVG_3M))</f>
        <v>784781.75</v>
      </c>
      <c r="AB768" s="31" cm="1">
        <f t="array" ref="AB768">IF(LEFT(_xll.BDP($C768, VOLUME_AVG_6M), 4) = "#N/A", "",  _xll.BDP($C768, VOLUME_AVG_6M))</f>
        <v>519972.625</v>
      </c>
      <c r="AC768" s="31" cm="1">
        <f t="array" ref="AC768">IF(LEFT(_xll.BDP($C768, VOLUME_AVG_12M), 4) = "#N/A", "",  _xll.BDP($C768, VOLUME_AVG_12M))</f>
        <v>510058.5625</v>
      </c>
      <c r="AD768" s="41" cm="1">
        <f t="array" ref="AD768">IF(LEFT(_xll.BDP($C768, LAST_PRICE), 4) = "#N/A", "",  _xll.BDP($C768, LAST_PRICE))</f>
        <v>1.35</v>
      </c>
    </row>
    <row r="769" spans="1:30" x14ac:dyDescent="0.35">
      <c r="A769" s="1">
        <f t="shared" si="11"/>
        <v>766</v>
      </c>
      <c r="B769" s="28">
        <v>45700</v>
      </c>
      <c r="C769" s="29" t="s">
        <v>1589</v>
      </c>
      <c r="D769" s="29" t="s">
        <v>1589</v>
      </c>
      <c r="E769" s="29" t="s">
        <v>1590</v>
      </c>
      <c r="F769" s="29" t="s">
        <v>33</v>
      </c>
      <c r="G769" s="30" t="s">
        <v>34</v>
      </c>
      <c r="H769" s="31">
        <v>14240656318.6161</v>
      </c>
      <c r="I769" s="31">
        <v>13772616318.6161</v>
      </c>
      <c r="J769" s="32">
        <v>79.599998474121094</v>
      </c>
      <c r="K769" s="33">
        <v>45700</v>
      </c>
      <c r="L769" s="31">
        <v>64314800</v>
      </c>
      <c r="M769" s="32">
        <v>3.88</v>
      </c>
      <c r="N769" s="31" t="s">
        <v>35</v>
      </c>
      <c r="O769" s="33">
        <v>45699</v>
      </c>
      <c r="P769" s="34">
        <v>1835327.5</v>
      </c>
      <c r="Q769" s="34">
        <v>1819469</v>
      </c>
      <c r="R769" s="34">
        <v>1768033.375</v>
      </c>
      <c r="S769" s="29" t="s">
        <v>164</v>
      </c>
      <c r="T769" s="33">
        <v>45446</v>
      </c>
      <c r="U769" s="35" t="b">
        <v>0</v>
      </c>
      <c r="V769" s="35" t="b">
        <v>0</v>
      </c>
      <c r="W769" s="35" t="b">
        <v>0</v>
      </c>
      <c r="Y769" s="31" cm="1">
        <f t="array" ref="Y769">IF(LEFT(_xll.BDP($C769, VOLUME_AVG_10D), 4) = "#N/A", "",  _xll.BDP($C769, VOLUME_AVG_10D))</f>
        <v>1751576.25</v>
      </c>
      <c r="Z769" s="31" cm="1">
        <f t="array" ref="Z769">IF(LEFT(_xll.BDP($C769, VOLUME_AVG_30D), 4) = "#N/A", "",  _xll.BDP($C769, VOLUME_AVG_30D))</f>
        <v>1835327.5</v>
      </c>
      <c r="AA769" s="31" cm="1">
        <f t="array" ref="AA769">IF(LEFT(_xll.BDP($C769, VOLUME_AVG_3M), 4) = "#N/A", "",  _xll.BDP($C769, VOLUME_AVG_3M))</f>
        <v>1819469</v>
      </c>
      <c r="AB769" s="31" cm="1">
        <f t="array" ref="AB769">IF(LEFT(_xll.BDP($C769, VOLUME_AVG_6M), 4) = "#N/A", "",  _xll.BDP($C769, VOLUME_AVG_6M))</f>
        <v>1768033.375</v>
      </c>
      <c r="AC769" s="31" cm="1">
        <f t="array" ref="AC769">IF(LEFT(_xll.BDP($C769, VOLUME_AVG_12M), 4) = "#N/A", "",  _xll.BDP($C769, VOLUME_AVG_12M))</f>
        <v>2217452.5</v>
      </c>
      <c r="AD769" s="41" cm="1">
        <f t="array" ref="AD769">IF(LEFT(_xll.BDP($C769, LAST_PRICE), 4) = "#N/A", "",  _xll.BDP($C769, LAST_PRICE))</f>
        <v>79.599999999999994</v>
      </c>
    </row>
    <row r="770" spans="1:30" x14ac:dyDescent="0.35">
      <c r="A770" s="1">
        <f t="shared" si="11"/>
        <v>767</v>
      </c>
      <c r="B770" s="28">
        <v>45700</v>
      </c>
      <c r="C770" s="29" t="s">
        <v>1591</v>
      </c>
      <c r="D770" s="29" t="s">
        <v>1591</v>
      </c>
      <c r="E770" s="29" t="s">
        <v>1592</v>
      </c>
      <c r="F770" s="29" t="s">
        <v>33</v>
      </c>
      <c r="G770" s="30" t="s">
        <v>34</v>
      </c>
      <c r="H770" s="31">
        <v>14086834.726826301</v>
      </c>
      <c r="I770" s="31">
        <v>7581834.7268263102</v>
      </c>
      <c r="J770" s="32">
        <v>0.89999997615814198</v>
      </c>
      <c r="K770" s="33">
        <v>45700</v>
      </c>
      <c r="L770" s="31"/>
      <c r="M770" s="32"/>
      <c r="N770" s="31"/>
      <c r="O770" s="33">
        <v>45699</v>
      </c>
      <c r="P770" s="34">
        <v>2056175.25</v>
      </c>
      <c r="Q770" s="34">
        <v>1083613.125</v>
      </c>
      <c r="R770" s="34">
        <v>594732.875</v>
      </c>
      <c r="S770" s="29"/>
      <c r="T770" s="33"/>
      <c r="U770" s="35" t="b">
        <v>1</v>
      </c>
      <c r="V770" s="35" t="b">
        <v>0</v>
      </c>
      <c r="W770" s="35" t="b">
        <v>0</v>
      </c>
      <c r="Y770" s="31" cm="1">
        <f t="array" ref="Y770">IF(LEFT(_xll.BDP($C770, VOLUME_AVG_10D), 4) = "#N/A", "",  _xll.BDP($C770, VOLUME_AVG_10D))</f>
        <v>2656233.25</v>
      </c>
      <c r="Z770" s="31" cm="1">
        <f t="array" ref="Z770">IF(LEFT(_xll.BDP($C770, VOLUME_AVG_30D), 4) = "#N/A", "",  _xll.BDP($C770, VOLUME_AVG_30D))</f>
        <v>2056175.25</v>
      </c>
      <c r="AA770" s="31" cm="1">
        <f t="array" ref="AA770">IF(LEFT(_xll.BDP($C770, VOLUME_AVG_3M), 4) = "#N/A", "",  _xll.BDP($C770, VOLUME_AVG_3M))</f>
        <v>1083613.125</v>
      </c>
      <c r="AB770" s="31" cm="1">
        <f t="array" ref="AB770">IF(LEFT(_xll.BDP($C770, VOLUME_AVG_6M), 4) = "#N/A", "",  _xll.BDP($C770, VOLUME_AVG_6M))</f>
        <v>594732.875</v>
      </c>
      <c r="AC770" s="31" cm="1">
        <f t="array" ref="AC770">IF(LEFT(_xll.BDP($C770, VOLUME_AVG_12M), 4) = "#N/A", "",  _xll.BDP($C770, VOLUME_AVG_12M))</f>
        <v>626093.25</v>
      </c>
      <c r="AD770" s="41" cm="1">
        <f t="array" ref="AD770">IF(LEFT(_xll.BDP($C770, LAST_PRICE), 4) = "#N/A", "",  _xll.BDP($C770, LAST_PRICE))</f>
        <v>0.9</v>
      </c>
    </row>
    <row r="771" spans="1:30" x14ac:dyDescent="0.35">
      <c r="A771" s="1">
        <f t="shared" si="11"/>
        <v>768</v>
      </c>
      <c r="B771" s="28">
        <v>45700</v>
      </c>
      <c r="C771" s="29" t="s">
        <v>1593</v>
      </c>
      <c r="D771" s="29" t="s">
        <v>1593</v>
      </c>
      <c r="E771" s="29" t="s">
        <v>1594</v>
      </c>
      <c r="F771" s="29" t="s">
        <v>33</v>
      </c>
      <c r="G771" s="30" t="s">
        <v>34</v>
      </c>
      <c r="H771" s="31">
        <v>5548475640.0910797</v>
      </c>
      <c r="I771" s="31">
        <v>5134722640.0910797</v>
      </c>
      <c r="J771" s="32">
        <v>187.00999450683599</v>
      </c>
      <c r="K771" s="33">
        <v>45700</v>
      </c>
      <c r="L771" s="31">
        <v>9726000</v>
      </c>
      <c r="M771" s="32">
        <v>3.88</v>
      </c>
      <c r="N771" s="31" t="s">
        <v>35</v>
      </c>
      <c r="O771" s="33">
        <v>45699</v>
      </c>
      <c r="P771" s="34">
        <v>592545.375</v>
      </c>
      <c r="Q771" s="34">
        <v>536476.9375</v>
      </c>
      <c r="R771" s="34">
        <v>556512.75</v>
      </c>
      <c r="S771" s="29"/>
      <c r="T771" s="33"/>
      <c r="U771" s="35" t="b">
        <v>0</v>
      </c>
      <c r="V771" s="35" t="b">
        <v>0</v>
      </c>
      <c r="W771" s="35" t="b">
        <v>0</v>
      </c>
      <c r="Y771" s="31" cm="1">
        <f t="array" ref="Y771">IF(LEFT(_xll.BDP($C771, VOLUME_AVG_10D), 4) = "#N/A", "",  _xll.BDP($C771, VOLUME_AVG_10D))</f>
        <v>558769</v>
      </c>
      <c r="Z771" s="31" cm="1">
        <f t="array" ref="Z771">IF(LEFT(_xll.BDP($C771, VOLUME_AVG_30D), 4) = "#N/A", "",  _xll.BDP($C771, VOLUME_AVG_30D))</f>
        <v>592545.375</v>
      </c>
      <c r="AA771" s="31" cm="1">
        <f t="array" ref="AA771">IF(LEFT(_xll.BDP($C771, VOLUME_AVG_3M), 4) = "#N/A", "",  _xll.BDP($C771, VOLUME_AVG_3M))</f>
        <v>536476.9375</v>
      </c>
      <c r="AB771" s="31" cm="1">
        <f t="array" ref="AB771">IF(LEFT(_xll.BDP($C771, VOLUME_AVG_6M), 4) = "#N/A", "",  _xll.BDP($C771, VOLUME_AVG_6M))</f>
        <v>556512.75</v>
      </c>
      <c r="AC771" s="31" cm="1">
        <f t="array" ref="AC771">IF(LEFT(_xll.BDP($C771, VOLUME_AVG_12M), 4) = "#N/A", "",  _xll.BDP($C771, VOLUME_AVG_12M))</f>
        <v>581354.5</v>
      </c>
      <c r="AD771" s="41" cm="1">
        <f t="array" ref="AD771">IF(LEFT(_xll.BDP($C771, LAST_PRICE), 4) = "#N/A", "",  _xll.BDP($C771, LAST_PRICE))</f>
        <v>187.01</v>
      </c>
    </row>
    <row r="772" spans="1:30" x14ac:dyDescent="0.35">
      <c r="A772" s="1">
        <f t="shared" si="11"/>
        <v>769</v>
      </c>
      <c r="B772" s="28">
        <v>45700</v>
      </c>
      <c r="C772" s="29" t="s">
        <v>1595</v>
      </c>
      <c r="D772" s="29" t="s">
        <v>1595</v>
      </c>
      <c r="E772" s="29" t="s">
        <v>1596</v>
      </c>
      <c r="F772" s="29" t="s">
        <v>33</v>
      </c>
      <c r="G772" s="30" t="s">
        <v>34</v>
      </c>
      <c r="H772" s="31">
        <v>3218838.9794316301</v>
      </c>
      <c r="I772" s="31">
        <v>21461901.979431599</v>
      </c>
      <c r="J772" s="32">
        <v>2.1749999523162802</v>
      </c>
      <c r="K772" s="33">
        <v>45700</v>
      </c>
      <c r="L772" s="31">
        <v>74600</v>
      </c>
      <c r="M772" s="32">
        <v>-49.05</v>
      </c>
      <c r="N772" s="31" t="s">
        <v>35</v>
      </c>
      <c r="O772" s="33">
        <v>45699</v>
      </c>
      <c r="P772" s="34">
        <v>228707.859375</v>
      </c>
      <c r="Q772" s="34">
        <v>141709.296875</v>
      </c>
      <c r="R772" s="34">
        <v>283695.28125</v>
      </c>
      <c r="S772" s="29"/>
      <c r="T772" s="33"/>
      <c r="U772" s="35" t="b">
        <v>1</v>
      </c>
      <c r="V772" s="35" t="b">
        <v>0</v>
      </c>
      <c r="W772" s="35" t="b">
        <v>0</v>
      </c>
      <c r="Y772" s="31" cm="1">
        <f t="array" ref="Y772">IF(LEFT(_xll.BDP($C772, VOLUME_AVG_10D), 4) = "#N/A", "",  _xll.BDP($C772, VOLUME_AVG_10D))</f>
        <v>162849.59375</v>
      </c>
      <c r="Z772" s="31" cm="1">
        <f t="array" ref="Z772">IF(LEFT(_xll.BDP($C772, VOLUME_AVG_30D), 4) = "#N/A", "",  _xll.BDP($C772, VOLUME_AVG_30D))</f>
        <v>228707.859375</v>
      </c>
      <c r="AA772" s="31" cm="1">
        <f t="array" ref="AA772">IF(LEFT(_xll.BDP($C772, VOLUME_AVG_3M), 4) = "#N/A", "",  _xll.BDP($C772, VOLUME_AVG_3M))</f>
        <v>141709.296875</v>
      </c>
      <c r="AB772" s="31" cm="1">
        <f t="array" ref="AB772">IF(LEFT(_xll.BDP($C772, VOLUME_AVG_6M), 4) = "#N/A", "",  _xll.BDP($C772, VOLUME_AVG_6M))</f>
        <v>283695.28125</v>
      </c>
      <c r="AC772" s="31" cm="1">
        <f t="array" ref="AC772">IF(LEFT(_xll.BDP($C772, VOLUME_AVG_12M), 4) = "#N/A", "",  _xll.BDP($C772, VOLUME_AVG_12M))</f>
        <v>180900.96875</v>
      </c>
      <c r="AD772" s="41" cm="1">
        <f t="array" ref="AD772">IF(LEFT(_xll.BDP($C772, LAST_PRICE), 4) = "#N/A", "",  _xll.BDP($C772, LAST_PRICE))</f>
        <v>2.1749999999999998</v>
      </c>
    </row>
    <row r="773" spans="1:30" x14ac:dyDescent="0.35">
      <c r="A773" s="1">
        <f t="shared" si="11"/>
        <v>770</v>
      </c>
      <c r="B773" s="28">
        <v>45700</v>
      </c>
      <c r="C773" s="29" t="s">
        <v>1597</v>
      </c>
      <c r="D773" s="29" t="s">
        <v>1597</v>
      </c>
      <c r="E773" s="29" t="s">
        <v>1598</v>
      </c>
      <c r="F773" s="29" t="s">
        <v>33</v>
      </c>
      <c r="G773" s="30" t="s">
        <v>34</v>
      </c>
      <c r="H773" s="31">
        <v>73295372.537475094</v>
      </c>
      <c r="I773" s="31">
        <v>34121372.537475102</v>
      </c>
      <c r="J773" s="32">
        <v>2.8099999427795401</v>
      </c>
      <c r="K773" s="33">
        <v>45700</v>
      </c>
      <c r="L773" s="31">
        <v>788700</v>
      </c>
      <c r="M773" s="32">
        <v>-7.25</v>
      </c>
      <c r="N773" s="31" t="s">
        <v>35</v>
      </c>
      <c r="O773" s="33">
        <v>45699</v>
      </c>
      <c r="P773" s="34">
        <v>33895.30078125</v>
      </c>
      <c r="Q773" s="34">
        <v>49731.953125</v>
      </c>
      <c r="R773" s="34">
        <v>33149.76171875</v>
      </c>
      <c r="S773" s="29"/>
      <c r="T773" s="33"/>
      <c r="U773" s="35" t="b">
        <v>0</v>
      </c>
      <c r="V773" s="35" t="b">
        <v>0</v>
      </c>
      <c r="W773" s="35" t="b">
        <v>0</v>
      </c>
      <c r="Y773" s="31" cm="1">
        <f t="array" ref="Y773">IF(LEFT(_xll.BDP($C773, VOLUME_AVG_10D), 4) = "#N/A", "",  _xll.BDP($C773, VOLUME_AVG_10D))</f>
        <v>43307.6015625</v>
      </c>
      <c r="Z773" s="31" cm="1">
        <f t="array" ref="Z773">IF(LEFT(_xll.BDP($C773, VOLUME_AVG_30D), 4) = "#N/A", "",  _xll.BDP($C773, VOLUME_AVG_30D))</f>
        <v>33895.30078125</v>
      </c>
      <c r="AA773" s="31" cm="1">
        <f t="array" ref="AA773">IF(LEFT(_xll.BDP($C773, VOLUME_AVG_3M), 4) = "#N/A", "",  _xll.BDP($C773, VOLUME_AVG_3M))</f>
        <v>49731.953125</v>
      </c>
      <c r="AB773" s="31" cm="1">
        <f t="array" ref="AB773">IF(LEFT(_xll.BDP($C773, VOLUME_AVG_6M), 4) = "#N/A", "",  _xll.BDP($C773, VOLUME_AVG_6M))</f>
        <v>33149.76171875</v>
      </c>
      <c r="AC773" s="31" cm="1">
        <f t="array" ref="AC773">IF(LEFT(_xll.BDP($C773, VOLUME_AVG_12M), 4) = "#N/A", "",  _xll.BDP($C773, VOLUME_AVG_12M))</f>
        <v>30103.4453125</v>
      </c>
      <c r="AD773" s="41" cm="1">
        <f t="array" ref="AD773">IF(LEFT(_xll.BDP($C773, LAST_PRICE), 4) = "#N/A", "",  _xll.BDP($C773, LAST_PRICE))</f>
        <v>2.81</v>
      </c>
    </row>
    <row r="774" spans="1:30" x14ac:dyDescent="0.35">
      <c r="A774" s="1">
        <f t="shared" ref="A774:A837" si="12">IF(B774="","", A773+1)</f>
        <v>771</v>
      </c>
      <c r="B774" s="28">
        <v>45700</v>
      </c>
      <c r="C774" s="29" t="s">
        <v>1599</v>
      </c>
      <c r="D774" s="29" t="s">
        <v>1599</v>
      </c>
      <c r="E774" s="29" t="s">
        <v>1600</v>
      </c>
      <c r="F774" s="29" t="s">
        <v>33</v>
      </c>
      <c r="G774" s="30" t="s">
        <v>34</v>
      </c>
      <c r="H774" s="31">
        <v>125101254.28788599</v>
      </c>
      <c r="I774" s="31">
        <v>90093254.287885696</v>
      </c>
      <c r="J774" s="32">
        <v>19.170000076293899</v>
      </c>
      <c r="K774" s="33">
        <v>45700</v>
      </c>
      <c r="L774" s="31">
        <v>292400</v>
      </c>
      <c r="M774" s="32">
        <v>3.85</v>
      </c>
      <c r="N774" s="31" t="s">
        <v>35</v>
      </c>
      <c r="O774" s="33">
        <v>45699</v>
      </c>
      <c r="P774" s="34">
        <v>93602.8984375</v>
      </c>
      <c r="Q774" s="34">
        <v>105205.2578125</v>
      </c>
      <c r="R774" s="34">
        <v>195634.984375</v>
      </c>
      <c r="S774" s="29" t="s">
        <v>46</v>
      </c>
      <c r="T774" s="33">
        <v>45215</v>
      </c>
      <c r="U774" s="35" t="b">
        <v>0</v>
      </c>
      <c r="V774" s="35" t="b">
        <v>0</v>
      </c>
      <c r="W774" s="35" t="b">
        <v>0</v>
      </c>
      <c r="Y774" s="31" cm="1">
        <f t="array" ref="Y774">IF(LEFT(_xll.BDP($C774, VOLUME_AVG_10D), 4) = "#N/A", "",  _xll.BDP($C774, VOLUME_AVG_10D))</f>
        <v>62797</v>
      </c>
      <c r="Z774" s="31" cm="1">
        <f t="array" ref="Z774">IF(LEFT(_xll.BDP($C774, VOLUME_AVG_30D), 4) = "#N/A", "",  _xll.BDP($C774, VOLUME_AVG_30D))</f>
        <v>93602.8984375</v>
      </c>
      <c r="AA774" s="31" cm="1">
        <f t="array" ref="AA774">IF(LEFT(_xll.BDP($C774, VOLUME_AVG_3M), 4) = "#N/A", "",  _xll.BDP($C774, VOLUME_AVG_3M))</f>
        <v>105205.2578125</v>
      </c>
      <c r="AB774" s="31" cm="1">
        <f t="array" ref="AB774">IF(LEFT(_xll.BDP($C774, VOLUME_AVG_6M), 4) = "#N/A", "",  _xll.BDP($C774, VOLUME_AVG_6M))</f>
        <v>195634.984375</v>
      </c>
      <c r="AC774" s="31" cm="1">
        <f t="array" ref="AC774">IF(LEFT(_xll.BDP($C774, VOLUME_AVG_12M), 4) = "#N/A", "",  _xll.BDP($C774, VOLUME_AVG_12M))</f>
        <v>106771.7890625</v>
      </c>
      <c r="AD774" s="41" cm="1">
        <f t="array" ref="AD774">IF(LEFT(_xll.BDP($C774, LAST_PRICE), 4) = "#N/A", "",  _xll.BDP($C774, LAST_PRICE))</f>
        <v>19.170000000000002</v>
      </c>
    </row>
    <row r="775" spans="1:30" x14ac:dyDescent="0.35">
      <c r="A775" s="1">
        <f t="shared" si="12"/>
        <v>772</v>
      </c>
      <c r="B775" s="28">
        <v>45700</v>
      </c>
      <c r="C775" s="29" t="s">
        <v>1601</v>
      </c>
      <c r="D775" s="29" t="s">
        <v>1601</v>
      </c>
      <c r="E775" s="29" t="s">
        <v>1602</v>
      </c>
      <c r="F775" s="29" t="s">
        <v>33</v>
      </c>
      <c r="G775" s="30" t="s">
        <v>34</v>
      </c>
      <c r="H775" s="31">
        <v>19608970994.990501</v>
      </c>
      <c r="I775" s="31">
        <v>20104670994.990501</v>
      </c>
      <c r="J775" s="32">
        <v>279.54998779296898</v>
      </c>
      <c r="K775" s="33">
        <v>45700</v>
      </c>
      <c r="L775" s="31">
        <v>28551300</v>
      </c>
      <c r="M775" s="32">
        <v>3.88</v>
      </c>
      <c r="N775" s="31" t="s">
        <v>35</v>
      </c>
      <c r="O775" s="33">
        <v>45699</v>
      </c>
      <c r="P775" s="34">
        <v>501783.15625</v>
      </c>
      <c r="Q775" s="34">
        <v>549418.375</v>
      </c>
      <c r="R775" s="34">
        <v>590949.6875</v>
      </c>
      <c r="S775" s="29"/>
      <c r="T775" s="33"/>
      <c r="U775" s="35" t="b">
        <v>0</v>
      </c>
      <c r="V775" s="35" t="b">
        <v>0</v>
      </c>
      <c r="W775" s="35" t="b">
        <v>0</v>
      </c>
      <c r="Y775" s="31" cm="1">
        <f t="array" ref="Y775">IF(LEFT(_xll.BDP($C775, VOLUME_AVG_10D), 4) = "#N/A", "",  _xll.BDP($C775, VOLUME_AVG_10D))</f>
        <v>470130.5</v>
      </c>
      <c r="Z775" s="31" cm="1">
        <f t="array" ref="Z775">IF(LEFT(_xll.BDP($C775, VOLUME_AVG_30D), 4) = "#N/A", "",  _xll.BDP($C775, VOLUME_AVG_30D))</f>
        <v>501783.15625</v>
      </c>
      <c r="AA775" s="31" cm="1">
        <f t="array" ref="AA775">IF(LEFT(_xll.BDP($C775, VOLUME_AVG_3M), 4) = "#N/A", "",  _xll.BDP($C775, VOLUME_AVG_3M))</f>
        <v>549418.375</v>
      </c>
      <c r="AB775" s="31" cm="1">
        <f t="array" ref="AB775">IF(LEFT(_xll.BDP($C775, VOLUME_AVG_6M), 4) = "#N/A", "",  _xll.BDP($C775, VOLUME_AVG_6M))</f>
        <v>590949.6875</v>
      </c>
      <c r="AC775" s="31" cm="1">
        <f t="array" ref="AC775">IF(LEFT(_xll.BDP($C775, VOLUME_AVG_12M), 4) = "#N/A", "",  _xll.BDP($C775, VOLUME_AVG_12M))</f>
        <v>720353.8125</v>
      </c>
      <c r="AD775" s="41" cm="1">
        <f t="array" ref="AD775">IF(LEFT(_xll.BDP($C775, LAST_PRICE), 4) = "#N/A", "",  _xll.BDP($C775, LAST_PRICE))</f>
        <v>279.55</v>
      </c>
    </row>
    <row r="776" spans="1:30" x14ac:dyDescent="0.35">
      <c r="A776" s="1">
        <f t="shared" si="12"/>
        <v>773</v>
      </c>
      <c r="B776" s="28">
        <v>45700</v>
      </c>
      <c r="C776" s="29" t="s">
        <v>1603</v>
      </c>
      <c r="D776" s="29" t="s">
        <v>1603</v>
      </c>
      <c r="E776" s="29" t="s">
        <v>1604</v>
      </c>
      <c r="F776" s="29" t="s">
        <v>33</v>
      </c>
      <c r="G776" s="30" t="s">
        <v>34</v>
      </c>
      <c r="H776" s="31">
        <v>4606661178.6454496</v>
      </c>
      <c r="I776" s="31">
        <v>5742420178.6454496</v>
      </c>
      <c r="J776" s="32">
        <v>137.33999633789099</v>
      </c>
      <c r="K776" s="33">
        <v>45700</v>
      </c>
      <c r="L776" s="31">
        <v>11242900</v>
      </c>
      <c r="M776" s="32">
        <v>3.88</v>
      </c>
      <c r="N776" s="31" t="s">
        <v>35</v>
      </c>
      <c r="O776" s="33">
        <v>45699</v>
      </c>
      <c r="P776" s="34">
        <v>201580.4375</v>
      </c>
      <c r="Q776" s="34">
        <v>209033.875</v>
      </c>
      <c r="R776" s="34">
        <v>236187.109375</v>
      </c>
      <c r="S776" s="29"/>
      <c r="T776" s="33"/>
      <c r="U776" s="35" t="b">
        <v>0</v>
      </c>
      <c r="V776" s="35" t="b">
        <v>0</v>
      </c>
      <c r="W776" s="35" t="b">
        <v>0</v>
      </c>
      <c r="Y776" s="31" cm="1">
        <f t="array" ref="Y776">IF(LEFT(_xll.BDP($C776, VOLUME_AVG_10D), 4) = "#N/A", "",  _xll.BDP($C776, VOLUME_AVG_10D))</f>
        <v>232473.09375</v>
      </c>
      <c r="Z776" s="31" cm="1">
        <f t="array" ref="Z776">IF(LEFT(_xll.BDP($C776, VOLUME_AVG_30D), 4) = "#N/A", "",  _xll.BDP($C776, VOLUME_AVG_30D))</f>
        <v>201580.4375</v>
      </c>
      <c r="AA776" s="31" cm="1">
        <f t="array" ref="AA776">IF(LEFT(_xll.BDP($C776, VOLUME_AVG_3M), 4) = "#N/A", "",  _xll.BDP($C776, VOLUME_AVG_3M))</f>
        <v>209033.875</v>
      </c>
      <c r="AB776" s="31" cm="1">
        <f t="array" ref="AB776">IF(LEFT(_xll.BDP($C776, VOLUME_AVG_6M), 4) = "#N/A", "",  _xll.BDP($C776, VOLUME_AVG_6M))</f>
        <v>236187.109375</v>
      </c>
      <c r="AC776" s="31" cm="1">
        <f t="array" ref="AC776">IF(LEFT(_xll.BDP($C776, VOLUME_AVG_12M), 4) = "#N/A", "",  _xll.BDP($C776, VOLUME_AVG_12M))</f>
        <v>296907.3125</v>
      </c>
      <c r="AD776" s="41" cm="1">
        <f t="array" ref="AD776">IF(LEFT(_xll.BDP($C776, LAST_PRICE), 4) = "#N/A", "",  _xll.BDP($C776, LAST_PRICE))</f>
        <v>137.34</v>
      </c>
    </row>
    <row r="777" spans="1:30" x14ac:dyDescent="0.35">
      <c r="A777" s="1">
        <f t="shared" si="12"/>
        <v>774</v>
      </c>
      <c r="B777" s="28">
        <v>45700</v>
      </c>
      <c r="C777" s="29" t="s">
        <v>1605</v>
      </c>
      <c r="D777" s="29" t="s">
        <v>1605</v>
      </c>
      <c r="E777" s="29" t="s">
        <v>1606</v>
      </c>
      <c r="F777" s="29" t="s">
        <v>33</v>
      </c>
      <c r="G777" s="30" t="s">
        <v>34</v>
      </c>
      <c r="H777" s="31">
        <v>1858097652.0328901</v>
      </c>
      <c r="I777" s="31">
        <v>2997501652.0328898</v>
      </c>
      <c r="J777" s="32">
        <v>24.079999923706101</v>
      </c>
      <c r="K777" s="33">
        <v>45700</v>
      </c>
      <c r="L777" s="31">
        <v>31783500</v>
      </c>
      <c r="M777" s="32">
        <v>3.88</v>
      </c>
      <c r="N777" s="31" t="s">
        <v>35</v>
      </c>
      <c r="O777" s="33">
        <v>45699</v>
      </c>
      <c r="P777" s="34">
        <v>533608.6875</v>
      </c>
      <c r="Q777" s="34">
        <v>612538.3125</v>
      </c>
      <c r="R777" s="34">
        <v>785759.3125</v>
      </c>
      <c r="S777" s="29"/>
      <c r="T777" s="33"/>
      <c r="U777" s="35" t="b">
        <v>0</v>
      </c>
      <c r="V777" s="35" t="b">
        <v>0</v>
      </c>
      <c r="W777" s="35" t="b">
        <v>0</v>
      </c>
      <c r="Y777" s="31" cm="1">
        <f t="array" ref="Y777">IF(LEFT(_xll.BDP($C777, VOLUME_AVG_10D), 4) = "#N/A", "",  _xll.BDP($C777, VOLUME_AVG_10D))</f>
        <v>525813.6875</v>
      </c>
      <c r="Z777" s="31" cm="1">
        <f t="array" ref="Z777">IF(LEFT(_xll.BDP($C777, VOLUME_AVG_30D), 4) = "#N/A", "",  _xll.BDP($C777, VOLUME_AVG_30D))</f>
        <v>533608.6875</v>
      </c>
      <c r="AA777" s="31" cm="1">
        <f t="array" ref="AA777">IF(LEFT(_xll.BDP($C777, VOLUME_AVG_3M), 4) = "#N/A", "",  _xll.BDP($C777, VOLUME_AVG_3M))</f>
        <v>612538.3125</v>
      </c>
      <c r="AB777" s="31" cm="1">
        <f t="array" ref="AB777">IF(LEFT(_xll.BDP($C777, VOLUME_AVG_6M), 4) = "#N/A", "",  _xll.BDP($C777, VOLUME_AVG_6M))</f>
        <v>785759.3125</v>
      </c>
      <c r="AC777" s="31" cm="1">
        <f t="array" ref="AC777">IF(LEFT(_xll.BDP($C777, VOLUME_AVG_12M), 4) = "#N/A", "",  _xll.BDP($C777, VOLUME_AVG_12M))</f>
        <v>1055101.125</v>
      </c>
      <c r="AD777" s="41" cm="1">
        <f t="array" ref="AD777">IF(LEFT(_xll.BDP($C777, LAST_PRICE), 4) = "#N/A", "",  _xll.BDP($C777, LAST_PRICE))</f>
        <v>24.08</v>
      </c>
    </row>
    <row r="778" spans="1:30" x14ac:dyDescent="0.35">
      <c r="A778" s="1">
        <f t="shared" si="12"/>
        <v>775</v>
      </c>
      <c r="B778" s="28">
        <v>45700</v>
      </c>
      <c r="C778" s="29" t="s">
        <v>1607</v>
      </c>
      <c r="D778" s="29" t="s">
        <v>1607</v>
      </c>
      <c r="E778" s="29" t="s">
        <v>1608</v>
      </c>
      <c r="F778" s="29" t="s">
        <v>33</v>
      </c>
      <c r="G778" s="30" t="s">
        <v>34</v>
      </c>
      <c r="H778" s="31"/>
      <c r="I778" s="31"/>
      <c r="J778" s="32"/>
      <c r="K778" s="33">
        <v>45700</v>
      </c>
      <c r="L778" s="31"/>
      <c r="M778" s="32"/>
      <c r="N778" s="31"/>
      <c r="O778" s="33">
        <v>45699</v>
      </c>
      <c r="P778" s="34"/>
      <c r="Q778" s="34">
        <v>0.12903225421905501</v>
      </c>
      <c r="R778" s="34">
        <v>44.674602508544901</v>
      </c>
      <c r="S778" s="29"/>
      <c r="T778" s="33"/>
      <c r="U778" s="35" t="b">
        <v>1</v>
      </c>
      <c r="V778" s="35" t="b">
        <v>1</v>
      </c>
      <c r="W778" s="35" t="b">
        <v>1</v>
      </c>
      <c r="Y778" s="31" cm="1">
        <f t="array" ref="Y778">IF(LEFT(_xll.BDP($C778, VOLUME_AVG_10D), 4) = "#N/A", "",  _xll.BDP($C778, VOLUME_AVG_10D))</f>
        <v>0</v>
      </c>
      <c r="Z778" s="31" cm="1">
        <f t="array" ref="Z778">IF(LEFT(_xll.BDP($C778, VOLUME_AVG_30D), 4) = "#N/A", "",  _xll.BDP($C778, VOLUME_AVG_30D))</f>
        <v>0</v>
      </c>
      <c r="AA778" s="31" cm="1">
        <f t="array" ref="AA778">IF(LEFT(_xll.BDP($C778, VOLUME_AVG_3M), 4) = "#N/A", "",  _xll.BDP($C778, VOLUME_AVG_3M))</f>
        <v>0.12903225421905518</v>
      </c>
      <c r="AB778" s="31" cm="1">
        <f t="array" ref="AB778">IF(LEFT(_xll.BDP($C778, VOLUME_AVG_6M), 4) = "#N/A", "",  _xll.BDP($C778, VOLUME_AVG_6M))</f>
        <v>44.674602508544922</v>
      </c>
      <c r="AC778" s="31" cm="1">
        <f t="array" ref="AC778">IF(LEFT(_xll.BDP($C778, VOLUME_AVG_12M), 4) = "#N/A", "",  _xll.BDP($C778, VOLUME_AVG_12M))</f>
        <v>56.326694488525391</v>
      </c>
      <c r="AD778" s="41" t="str" cm="1">
        <f t="array" ref="AD778">IF(LEFT(_xll.BDP($C778, LAST_PRICE), 4) = "#N/A", "",  _xll.BDP($C778, LAST_PRICE))</f>
        <v/>
      </c>
    </row>
    <row r="779" spans="1:30" x14ac:dyDescent="0.35">
      <c r="A779" s="1">
        <f t="shared" si="12"/>
        <v>776</v>
      </c>
      <c r="B779" s="28">
        <v>45700</v>
      </c>
      <c r="C779" s="29" t="s">
        <v>1609</v>
      </c>
      <c r="D779" s="29" t="s">
        <v>1609</v>
      </c>
      <c r="E779" s="29" t="s">
        <v>1610</v>
      </c>
      <c r="F779" s="29" t="s">
        <v>33</v>
      </c>
      <c r="G779" s="30" t="s">
        <v>34</v>
      </c>
      <c r="H779" s="31"/>
      <c r="I779" s="31"/>
      <c r="J779" s="32"/>
      <c r="K779" s="33">
        <v>45700</v>
      </c>
      <c r="L779" s="31"/>
      <c r="M779" s="32"/>
      <c r="N779" s="31"/>
      <c r="O779" s="33">
        <v>45699</v>
      </c>
      <c r="P779" s="34"/>
      <c r="Q779" s="34"/>
      <c r="R779" s="34"/>
      <c r="S779" s="29"/>
      <c r="T779" s="33"/>
      <c r="U779" s="35" t="b">
        <v>1</v>
      </c>
      <c r="V779" s="35" t="b">
        <v>1</v>
      </c>
      <c r="W779" s="35" t="b">
        <v>1</v>
      </c>
      <c r="Y779" s="31" t="str" cm="1">
        <f t="array" ref="Y779">IF(LEFT(_xll.BDP($C779, VOLUME_AVG_10D), 4) = "#N/A", "",  _xll.BDP($C779, VOLUME_AVG_10D))</f>
        <v/>
      </c>
      <c r="Z779" s="31" t="str" cm="1">
        <f t="array" ref="Z779">IF(LEFT(_xll.BDP($C779, VOLUME_AVG_30D), 4) = "#N/A", "",  _xll.BDP($C779, VOLUME_AVG_30D))</f>
        <v/>
      </c>
      <c r="AA779" s="31" t="str" cm="1">
        <f t="array" ref="AA779">IF(LEFT(_xll.BDP($C779, VOLUME_AVG_3M), 4) = "#N/A", "",  _xll.BDP($C779, VOLUME_AVG_3M))</f>
        <v/>
      </c>
      <c r="AB779" s="31" t="str" cm="1">
        <f t="array" ref="AB779">IF(LEFT(_xll.BDP($C779, VOLUME_AVG_6M), 4) = "#N/A", "",  _xll.BDP($C779, VOLUME_AVG_6M))</f>
        <v/>
      </c>
      <c r="AC779" s="31" t="str" cm="1">
        <f t="array" ref="AC779">IF(LEFT(_xll.BDP($C779, VOLUME_AVG_12M), 4) = "#N/A", "",  _xll.BDP($C779, VOLUME_AVG_12M))</f>
        <v/>
      </c>
      <c r="AD779" s="41" t="str" cm="1">
        <f t="array" ref="AD779">IF(LEFT(_xll.BDP($C779, LAST_PRICE), 4) = "#N/A", "",  _xll.BDP($C779, LAST_PRICE))</f>
        <v/>
      </c>
    </row>
    <row r="780" spans="1:30" x14ac:dyDescent="0.35">
      <c r="A780" s="1">
        <f t="shared" si="12"/>
        <v>777</v>
      </c>
      <c r="B780" s="28">
        <v>45700</v>
      </c>
      <c r="C780" s="29" t="s">
        <v>1611</v>
      </c>
      <c r="D780" s="29" t="s">
        <v>1611</v>
      </c>
      <c r="E780" s="29" t="s">
        <v>1612</v>
      </c>
      <c r="F780" s="29" t="s">
        <v>33</v>
      </c>
      <c r="G780" s="30" t="s">
        <v>34</v>
      </c>
      <c r="H780" s="31">
        <v>968579943.03128803</v>
      </c>
      <c r="I780" s="31">
        <v>125521943.031288</v>
      </c>
      <c r="J780" s="32">
        <v>9.5100002288818395</v>
      </c>
      <c r="K780" s="33">
        <v>45700</v>
      </c>
      <c r="L780" s="31">
        <v>19227200</v>
      </c>
      <c r="M780" s="32">
        <v>3.88</v>
      </c>
      <c r="N780" s="31" t="s">
        <v>35</v>
      </c>
      <c r="O780" s="33">
        <v>45699</v>
      </c>
      <c r="P780" s="34">
        <v>2933086</v>
      </c>
      <c r="Q780" s="34">
        <v>2761862.25</v>
      </c>
      <c r="R780" s="34">
        <v>2324145.75</v>
      </c>
      <c r="S780" s="29" t="s">
        <v>177</v>
      </c>
      <c r="T780" s="33">
        <v>45446</v>
      </c>
      <c r="U780" s="35" t="b">
        <v>0</v>
      </c>
      <c r="V780" s="35" t="b">
        <v>0</v>
      </c>
      <c r="W780" s="35" t="b">
        <v>0</v>
      </c>
      <c r="Y780" s="31" cm="1">
        <f t="array" ref="Y780">IF(LEFT(_xll.BDP($C780, VOLUME_AVG_10D), 4) = "#N/A", "",  _xll.BDP($C780, VOLUME_AVG_10D))</f>
        <v>2386945.5</v>
      </c>
      <c r="Z780" s="31" cm="1">
        <f t="array" ref="Z780">IF(LEFT(_xll.BDP($C780, VOLUME_AVG_30D), 4) = "#N/A", "",  _xll.BDP($C780, VOLUME_AVG_30D))</f>
        <v>2933086</v>
      </c>
      <c r="AA780" s="31" cm="1">
        <f t="array" ref="AA780">IF(LEFT(_xll.BDP($C780, VOLUME_AVG_3M), 4) = "#N/A", "",  _xll.BDP($C780, VOLUME_AVG_3M))</f>
        <v>2761862.25</v>
      </c>
      <c r="AB780" s="31" cm="1">
        <f t="array" ref="AB780">IF(LEFT(_xll.BDP($C780, VOLUME_AVG_6M), 4) = "#N/A", "",  _xll.BDP($C780, VOLUME_AVG_6M))</f>
        <v>2324145.75</v>
      </c>
      <c r="AC780" s="31" cm="1">
        <f t="array" ref="AC780">IF(LEFT(_xll.BDP($C780, VOLUME_AVG_12M), 4) = "#N/A", "",  _xll.BDP($C780, VOLUME_AVG_12M))</f>
        <v>1957186.5</v>
      </c>
      <c r="AD780" s="41" cm="1">
        <f t="array" ref="AD780">IF(LEFT(_xll.BDP($C780, LAST_PRICE), 4) = "#N/A", "",  _xll.BDP($C780, LAST_PRICE))</f>
        <v>9.51</v>
      </c>
    </row>
    <row r="781" spans="1:30" x14ac:dyDescent="0.35">
      <c r="A781" s="1">
        <f t="shared" si="12"/>
        <v>778</v>
      </c>
      <c r="B781" s="28">
        <v>45700</v>
      </c>
      <c r="C781" s="29" t="s">
        <v>1613</v>
      </c>
      <c r="D781" s="29" t="s">
        <v>1613</v>
      </c>
      <c r="E781" s="29" t="s">
        <v>1614</v>
      </c>
      <c r="F781" s="29" t="s">
        <v>33</v>
      </c>
      <c r="G781" s="30" t="s">
        <v>34</v>
      </c>
      <c r="H781" s="31">
        <v>10923171.8818359</v>
      </c>
      <c r="I781" s="31">
        <v>7587696.8818359403</v>
      </c>
      <c r="J781" s="32">
        <v>2.4900000095367401</v>
      </c>
      <c r="K781" s="33">
        <v>45700</v>
      </c>
      <c r="L781" s="31">
        <v>8500</v>
      </c>
      <c r="M781" s="32">
        <v>-25.45</v>
      </c>
      <c r="N781" s="31" t="s">
        <v>35</v>
      </c>
      <c r="O781" s="33">
        <v>45699</v>
      </c>
      <c r="P781" s="34">
        <v>176063.828125</v>
      </c>
      <c r="Q781" s="34">
        <v>158157.90625</v>
      </c>
      <c r="R781" s="34">
        <v>974642.625</v>
      </c>
      <c r="S781" s="29"/>
      <c r="T781" s="33"/>
      <c r="U781" s="35" t="b">
        <v>1</v>
      </c>
      <c r="V781" s="35" t="b">
        <v>0</v>
      </c>
      <c r="W781" s="35" t="b">
        <v>0</v>
      </c>
      <c r="Y781" s="31" cm="1">
        <f t="array" ref="Y781">IF(LEFT(_xll.BDP($C781, VOLUME_AVG_10D), 4) = "#N/A", "",  _xll.BDP($C781, VOLUME_AVG_10D))</f>
        <v>360598</v>
      </c>
      <c r="Z781" s="31" cm="1">
        <f t="array" ref="Z781">IF(LEFT(_xll.BDP($C781, VOLUME_AVG_30D), 4) = "#N/A", "",  _xll.BDP($C781, VOLUME_AVG_30D))</f>
        <v>176063.828125</v>
      </c>
      <c r="AA781" s="31" cm="1">
        <f t="array" ref="AA781">IF(LEFT(_xll.BDP($C781, VOLUME_AVG_3M), 4) = "#N/A", "",  _xll.BDP($C781, VOLUME_AVG_3M))</f>
        <v>158157.90625</v>
      </c>
      <c r="AB781" s="31" cm="1">
        <f t="array" ref="AB781">IF(LEFT(_xll.BDP($C781, VOLUME_AVG_6M), 4) = "#N/A", "",  _xll.BDP($C781, VOLUME_AVG_6M))</f>
        <v>974642.625</v>
      </c>
      <c r="AC781" s="31" cm="1">
        <f t="array" ref="AC781">IF(LEFT(_xll.BDP($C781, VOLUME_AVG_12M), 4) = "#N/A", "",  _xll.BDP($C781, VOLUME_AVG_12M))</f>
        <v>560473.6875</v>
      </c>
      <c r="AD781" s="41" cm="1">
        <f t="array" ref="AD781">IF(LEFT(_xll.BDP($C781, LAST_PRICE), 4) = "#N/A", "",  _xll.BDP($C781, LAST_PRICE))</f>
        <v>2.4900000000000002</v>
      </c>
    </row>
    <row r="782" spans="1:30" x14ac:dyDescent="0.35">
      <c r="A782" s="1">
        <f t="shared" si="12"/>
        <v>779</v>
      </c>
      <c r="B782" s="28">
        <v>45700</v>
      </c>
      <c r="C782" s="29" t="s">
        <v>1615</v>
      </c>
      <c r="D782" s="29" t="s">
        <v>1615</v>
      </c>
      <c r="E782" s="29" t="s">
        <v>1616</v>
      </c>
      <c r="F782" s="29" t="s">
        <v>33</v>
      </c>
      <c r="G782" s="30" t="s">
        <v>34</v>
      </c>
      <c r="H782" s="31">
        <v>32173247.0286083</v>
      </c>
      <c r="I782" s="31">
        <v>17555247.0286083</v>
      </c>
      <c r="J782" s="32">
        <v>2.1300001144409202</v>
      </c>
      <c r="K782" s="33">
        <v>45700</v>
      </c>
      <c r="L782" s="31">
        <v>685700</v>
      </c>
      <c r="M782" s="32">
        <v>-25</v>
      </c>
      <c r="N782" s="31" t="s">
        <v>35</v>
      </c>
      <c r="O782" s="33">
        <v>45699</v>
      </c>
      <c r="P782" s="34">
        <v>40196.234375</v>
      </c>
      <c r="Q782" s="34">
        <v>38027.87109375</v>
      </c>
      <c r="R782" s="34">
        <v>25396.515625</v>
      </c>
      <c r="S782" s="29"/>
      <c r="T782" s="33"/>
      <c r="U782" s="35" t="b">
        <v>0</v>
      </c>
      <c r="V782" s="35" t="b">
        <v>0</v>
      </c>
      <c r="W782" s="35" t="b">
        <v>0</v>
      </c>
      <c r="Y782" s="31" cm="1">
        <f t="array" ref="Y782">IF(LEFT(_xll.BDP($C782, VOLUME_AVG_10D), 4) = "#N/A", "",  _xll.BDP($C782, VOLUME_AVG_10D))</f>
        <v>26184.400390625</v>
      </c>
      <c r="Z782" s="31" cm="1">
        <f t="array" ref="Z782">IF(LEFT(_xll.BDP($C782, VOLUME_AVG_30D), 4) = "#N/A", "",  _xll.BDP($C782, VOLUME_AVG_30D))</f>
        <v>40196.234375</v>
      </c>
      <c r="AA782" s="31" cm="1">
        <f t="array" ref="AA782">IF(LEFT(_xll.BDP($C782, VOLUME_AVG_3M), 4) = "#N/A", "",  _xll.BDP($C782, VOLUME_AVG_3M))</f>
        <v>38027.87109375</v>
      </c>
      <c r="AB782" s="31" cm="1">
        <f t="array" ref="AB782">IF(LEFT(_xll.BDP($C782, VOLUME_AVG_6M), 4) = "#N/A", "",  _xll.BDP($C782, VOLUME_AVG_6M))</f>
        <v>25396.515625</v>
      </c>
      <c r="AC782" s="31" cm="1">
        <f t="array" ref="AC782">IF(LEFT(_xll.BDP($C782, VOLUME_AVG_12M), 4) = "#N/A", "",  _xll.BDP($C782, VOLUME_AVG_12M))</f>
        <v>26027.146484375</v>
      </c>
      <c r="AD782" s="41" cm="1">
        <f t="array" ref="AD782">IF(LEFT(_xll.BDP($C782, LAST_PRICE), 4) = "#N/A", "",  _xll.BDP($C782, LAST_PRICE))</f>
        <v>2.13</v>
      </c>
    </row>
    <row r="783" spans="1:30" x14ac:dyDescent="0.35">
      <c r="A783" s="1">
        <f t="shared" si="12"/>
        <v>780</v>
      </c>
      <c r="B783" s="28">
        <v>45700</v>
      </c>
      <c r="C783" s="29" t="s">
        <v>1617</v>
      </c>
      <c r="D783" s="29" t="s">
        <v>1617</v>
      </c>
      <c r="E783" s="29" t="s">
        <v>1618</v>
      </c>
      <c r="F783" s="29" t="s">
        <v>33</v>
      </c>
      <c r="G783" s="30" t="s">
        <v>34</v>
      </c>
      <c r="H783" s="31">
        <v>27154099.051695999</v>
      </c>
      <c r="I783" s="31">
        <v>32894332.051695999</v>
      </c>
      <c r="J783" s="32">
        <v>5.1865000277757603E-2</v>
      </c>
      <c r="K783" s="33">
        <v>45700</v>
      </c>
      <c r="L783" s="31">
        <v>1113400</v>
      </c>
      <c r="M783" s="32">
        <v>3.3</v>
      </c>
      <c r="N783" s="31" t="s">
        <v>35</v>
      </c>
      <c r="O783" s="33">
        <v>45699</v>
      </c>
      <c r="P783" s="34">
        <v>101777.765625</v>
      </c>
      <c r="Q783" s="34">
        <v>130518.53125</v>
      </c>
      <c r="R783" s="34">
        <v>96652.484375</v>
      </c>
      <c r="S783" s="29"/>
      <c r="T783" s="33"/>
      <c r="U783" s="35" t="b">
        <v>0</v>
      </c>
      <c r="V783" s="35" t="b">
        <v>1</v>
      </c>
      <c r="W783" s="35" t="b">
        <v>0</v>
      </c>
      <c r="Y783" s="31" cm="1">
        <f t="array" ref="Y783">IF(LEFT(_xll.BDP($C783, VOLUME_AVG_10D), 4) = "#N/A", "",  _xll.BDP($C783, VOLUME_AVG_10D))</f>
        <v>44777.5</v>
      </c>
      <c r="Z783" s="31" cm="1">
        <f t="array" ref="Z783">IF(LEFT(_xll.BDP($C783, VOLUME_AVG_30D), 4) = "#N/A", "",  _xll.BDP($C783, VOLUME_AVG_30D))</f>
        <v>101777.765625</v>
      </c>
      <c r="AA783" s="31" cm="1">
        <f t="array" ref="AA783">IF(LEFT(_xll.BDP($C783, VOLUME_AVG_3M), 4) = "#N/A", "",  _xll.BDP($C783, VOLUME_AVG_3M))</f>
        <v>130518.53125</v>
      </c>
      <c r="AB783" s="31" cm="1">
        <f t="array" ref="AB783">IF(LEFT(_xll.BDP($C783, VOLUME_AVG_6M), 4) = "#N/A", "",  _xll.BDP($C783, VOLUME_AVG_6M))</f>
        <v>96652.484375</v>
      </c>
      <c r="AC783" s="31" cm="1">
        <f t="array" ref="AC783">IF(LEFT(_xll.BDP($C783, VOLUME_AVG_12M), 4) = "#N/A", "",  _xll.BDP($C783, VOLUME_AVG_12M))</f>
        <v>73975.171875</v>
      </c>
      <c r="AD783" s="41" cm="1">
        <f t="array" ref="AD783">IF(LEFT(_xll.BDP($C783, LAST_PRICE), 4) = "#N/A", "",  _xll.BDP($C783, LAST_PRICE))</f>
        <v>5.1865000000000001E-2</v>
      </c>
    </row>
    <row r="784" spans="1:30" x14ac:dyDescent="0.35">
      <c r="A784" s="1">
        <f t="shared" si="12"/>
        <v>781</v>
      </c>
      <c r="B784" s="28">
        <v>45700</v>
      </c>
      <c r="C784" s="29" t="s">
        <v>1619</v>
      </c>
      <c r="D784" s="29" t="s">
        <v>1619</v>
      </c>
      <c r="E784" s="29" t="s">
        <v>1620</v>
      </c>
      <c r="F784" s="29" t="s">
        <v>33</v>
      </c>
      <c r="G784" s="30" t="s">
        <v>34</v>
      </c>
      <c r="H784" s="31">
        <v>930510.22840648098</v>
      </c>
      <c r="I784" s="31">
        <v>9949510.2284064796</v>
      </c>
      <c r="J784" s="32">
        <v>0.11625000089407</v>
      </c>
      <c r="K784" s="33">
        <v>45700</v>
      </c>
      <c r="L784" s="31">
        <v>49400</v>
      </c>
      <c r="M784" s="32">
        <v>3.3</v>
      </c>
      <c r="N784" s="31" t="s">
        <v>35</v>
      </c>
      <c r="O784" s="33">
        <v>45699</v>
      </c>
      <c r="P784" s="34">
        <v>1651.40002441406</v>
      </c>
      <c r="Q784" s="34">
        <v>4571.12890625</v>
      </c>
      <c r="R784" s="34">
        <v>3840.89672851563</v>
      </c>
      <c r="S784" s="29"/>
      <c r="T784" s="33"/>
      <c r="U784" s="35" t="b">
        <v>1</v>
      </c>
      <c r="V784" s="35" t="b">
        <v>0</v>
      </c>
      <c r="W784" s="35" t="b">
        <v>0</v>
      </c>
      <c r="Y784" s="31" cm="1">
        <f t="array" ref="Y784">IF(LEFT(_xll.BDP($C784, VOLUME_AVG_10D), 4) = "#N/A", "",  _xll.BDP($C784, VOLUME_AVG_10D))</f>
        <v>743.5999755859375</v>
      </c>
      <c r="Z784" s="31" cm="1">
        <f t="array" ref="Z784">IF(LEFT(_xll.BDP($C784, VOLUME_AVG_30D), 4) = "#N/A", "",  _xll.BDP($C784, VOLUME_AVG_30D))</f>
        <v>1651.4000244140625</v>
      </c>
      <c r="AA784" s="31" cm="1">
        <f t="array" ref="AA784">IF(LEFT(_xll.BDP($C784, VOLUME_AVG_3M), 4) = "#N/A", "",  _xll.BDP($C784, VOLUME_AVG_3M))</f>
        <v>4571.12890625</v>
      </c>
      <c r="AB784" s="31" cm="1">
        <f t="array" ref="AB784">IF(LEFT(_xll.BDP($C784, VOLUME_AVG_6M), 4) = "#N/A", "",  _xll.BDP($C784, VOLUME_AVG_6M))</f>
        <v>3840.896728515625</v>
      </c>
      <c r="AC784" s="31" cm="1">
        <f t="array" ref="AC784">IF(LEFT(_xll.BDP($C784, VOLUME_AVG_12M), 4) = "#N/A", "",  _xll.BDP($C784, VOLUME_AVG_12M))</f>
        <v>2484.282958984375</v>
      </c>
      <c r="AD784" s="41" cm="1">
        <f t="array" ref="AD784">IF(LEFT(_xll.BDP($C784, LAST_PRICE), 4) = "#N/A", "",  _xll.BDP($C784, LAST_PRICE))</f>
        <v>0.11625000000000001</v>
      </c>
    </row>
    <row r="785" spans="1:30" x14ac:dyDescent="0.35">
      <c r="A785" s="1">
        <f t="shared" si="12"/>
        <v>782</v>
      </c>
      <c r="B785" s="28">
        <v>45700</v>
      </c>
      <c r="C785" s="29" t="s">
        <v>1621</v>
      </c>
      <c r="D785" s="29" t="s">
        <v>1621</v>
      </c>
      <c r="E785" s="29" t="s">
        <v>1622</v>
      </c>
      <c r="F785" s="29" t="s">
        <v>33</v>
      </c>
      <c r="G785" s="30" t="s">
        <v>34</v>
      </c>
      <c r="H785" s="31">
        <v>5461945.8420073995</v>
      </c>
      <c r="I785" s="31">
        <v>57530945.842007399</v>
      </c>
      <c r="J785" s="32">
        <v>1.2400000095367401</v>
      </c>
      <c r="K785" s="33">
        <v>45700</v>
      </c>
      <c r="L785" s="31">
        <v>63600</v>
      </c>
      <c r="M785" s="32">
        <v>-6.8</v>
      </c>
      <c r="N785" s="31" t="s">
        <v>35</v>
      </c>
      <c r="O785" s="33">
        <v>45699</v>
      </c>
      <c r="P785" s="34">
        <v>23566.93359375</v>
      </c>
      <c r="Q785" s="34">
        <v>16463.7421875</v>
      </c>
      <c r="R785" s="34">
        <v>13501.984375</v>
      </c>
      <c r="S785" s="29"/>
      <c r="T785" s="33"/>
      <c r="U785" s="35" t="b">
        <v>1</v>
      </c>
      <c r="V785" s="35" t="b">
        <v>0</v>
      </c>
      <c r="W785" s="35" t="b">
        <v>0</v>
      </c>
      <c r="Y785" s="31" cm="1">
        <f t="array" ref="Y785">IF(LEFT(_xll.BDP($C785, VOLUME_AVG_10D), 4) = "#N/A", "",  _xll.BDP($C785, VOLUME_AVG_10D))</f>
        <v>6006.7998046875</v>
      </c>
      <c r="Z785" s="31" cm="1">
        <f t="array" ref="Z785">IF(LEFT(_xll.BDP($C785, VOLUME_AVG_30D), 4) = "#N/A", "",  _xll.BDP($C785, VOLUME_AVG_30D))</f>
        <v>23566.93359375</v>
      </c>
      <c r="AA785" s="31" cm="1">
        <f t="array" ref="AA785">IF(LEFT(_xll.BDP($C785, VOLUME_AVG_3M), 4) = "#N/A", "",  _xll.BDP($C785, VOLUME_AVG_3M))</f>
        <v>16463.7421875</v>
      </c>
      <c r="AB785" s="31" cm="1">
        <f t="array" ref="AB785">IF(LEFT(_xll.BDP($C785, VOLUME_AVG_6M), 4) = "#N/A", "",  _xll.BDP($C785, VOLUME_AVG_6M))</f>
        <v>13501.984375</v>
      </c>
      <c r="AC785" s="31" cm="1">
        <f t="array" ref="AC785">IF(LEFT(_xll.BDP($C785, VOLUME_AVG_12M), 4) = "#N/A", "",  _xll.BDP($C785, VOLUME_AVG_12M))</f>
        <v>9363.0283203125</v>
      </c>
      <c r="AD785" s="41" cm="1">
        <f t="array" ref="AD785">IF(LEFT(_xll.BDP($C785, LAST_PRICE), 4) = "#N/A", "",  _xll.BDP($C785, LAST_PRICE))</f>
        <v>1.24</v>
      </c>
    </row>
    <row r="786" spans="1:30" x14ac:dyDescent="0.35">
      <c r="A786" s="1">
        <f t="shared" si="12"/>
        <v>783</v>
      </c>
      <c r="B786" s="28">
        <v>45700</v>
      </c>
      <c r="C786" s="29" t="s">
        <v>1623</v>
      </c>
      <c r="D786" s="29" t="s">
        <v>1623</v>
      </c>
      <c r="E786" s="29" t="s">
        <v>1624</v>
      </c>
      <c r="F786" s="29" t="s">
        <v>33</v>
      </c>
      <c r="G786" s="30" t="s">
        <v>34</v>
      </c>
      <c r="H786" s="31">
        <v>273627.53019999998</v>
      </c>
      <c r="I786" s="31">
        <v>55261627.530199997</v>
      </c>
      <c r="J786" s="32"/>
      <c r="K786" s="33">
        <v>45700</v>
      </c>
      <c r="L786" s="31"/>
      <c r="M786" s="32"/>
      <c r="N786" s="31"/>
      <c r="O786" s="33">
        <v>45699</v>
      </c>
      <c r="P786" s="34"/>
      <c r="Q786" s="34">
        <v>2625.80639648438</v>
      </c>
      <c r="R786" s="34">
        <v>1292.0634765625</v>
      </c>
      <c r="S786" s="29"/>
      <c r="T786" s="33"/>
      <c r="U786" s="35" t="b">
        <v>1</v>
      </c>
      <c r="V786" s="35" t="b">
        <v>1</v>
      </c>
      <c r="W786" s="35" t="b">
        <v>0</v>
      </c>
      <c r="Y786" s="31" cm="1">
        <f t="array" ref="Y786">IF(LEFT(_xll.BDP($C786, VOLUME_AVG_10D), 4) = "#N/A", "",  _xll.BDP($C786, VOLUME_AVG_10D))</f>
        <v>0</v>
      </c>
      <c r="Z786" s="31" cm="1">
        <f t="array" ref="Z786">IF(LEFT(_xll.BDP($C786, VOLUME_AVG_30D), 4) = "#N/A", "",  _xll.BDP($C786, VOLUME_AVG_30D))</f>
        <v>0</v>
      </c>
      <c r="AA786" s="31" cm="1">
        <f t="array" ref="AA786">IF(LEFT(_xll.BDP($C786, VOLUME_AVG_3M), 4) = "#N/A", "",  _xll.BDP($C786, VOLUME_AVG_3M))</f>
        <v>2625.806396484375</v>
      </c>
      <c r="AB786" s="31" cm="1">
        <f t="array" ref="AB786">IF(LEFT(_xll.BDP($C786, VOLUME_AVG_6M), 4) = "#N/A", "",  _xll.BDP($C786, VOLUME_AVG_6M))</f>
        <v>1292.0634765625</v>
      </c>
      <c r="AC786" s="31" cm="1">
        <f t="array" ref="AC786">IF(LEFT(_xll.BDP($C786, VOLUME_AVG_12M), 4) = "#N/A", "",  _xll.BDP($C786, VOLUME_AVG_12M))</f>
        <v>699.7689208984375</v>
      </c>
      <c r="AD786" s="41" t="str" cm="1">
        <f t="array" ref="AD786">IF(LEFT(_xll.BDP($C786, LAST_PRICE), 4) = "#N/A", "",  _xll.BDP($C786, LAST_PRICE))</f>
        <v/>
      </c>
    </row>
    <row r="787" spans="1:30" x14ac:dyDescent="0.35">
      <c r="A787" s="1">
        <f t="shared" si="12"/>
        <v>784</v>
      </c>
      <c r="B787" s="28">
        <v>45700</v>
      </c>
      <c r="C787" s="29" t="s">
        <v>1625</v>
      </c>
      <c r="D787" s="29" t="s">
        <v>1625</v>
      </c>
      <c r="E787" s="29" t="s">
        <v>1626</v>
      </c>
      <c r="F787" s="29" t="s">
        <v>33</v>
      </c>
      <c r="G787" s="30" t="s">
        <v>34</v>
      </c>
      <c r="H787" s="31">
        <v>13596011921.4021</v>
      </c>
      <c r="I787" s="31">
        <v>12607158921.4021</v>
      </c>
      <c r="J787" s="32">
        <v>127.970001220703</v>
      </c>
      <c r="K787" s="33">
        <v>45700</v>
      </c>
      <c r="L787" s="31">
        <v>17303500</v>
      </c>
      <c r="M787" s="32">
        <v>3.88</v>
      </c>
      <c r="N787" s="31" t="s">
        <v>35</v>
      </c>
      <c r="O787" s="33">
        <v>45699</v>
      </c>
      <c r="P787" s="34">
        <v>4306364.5</v>
      </c>
      <c r="Q787" s="34">
        <v>2349690.75</v>
      </c>
      <c r="R787" s="34">
        <v>1425141.5</v>
      </c>
      <c r="S787" s="29" t="s">
        <v>82</v>
      </c>
      <c r="T787" s="33">
        <v>45446</v>
      </c>
      <c r="U787" s="35" t="b">
        <v>0</v>
      </c>
      <c r="V787" s="35" t="b">
        <v>0</v>
      </c>
      <c r="W787" s="35" t="b">
        <v>0</v>
      </c>
      <c r="Y787" s="31" cm="1">
        <f t="array" ref="Y787">IF(LEFT(_xll.BDP($C787, VOLUME_AVG_10D), 4) = "#N/A", "",  _xll.BDP($C787, VOLUME_AVG_10D))</f>
        <v>2078962.25</v>
      </c>
      <c r="Z787" s="31" cm="1">
        <f t="array" ref="Z787">IF(LEFT(_xll.BDP($C787, VOLUME_AVG_30D), 4) = "#N/A", "",  _xll.BDP($C787, VOLUME_AVG_30D))</f>
        <v>4306364.5</v>
      </c>
      <c r="AA787" s="31" cm="1">
        <f t="array" ref="AA787">IF(LEFT(_xll.BDP($C787, VOLUME_AVG_3M), 4) = "#N/A", "",  _xll.BDP($C787, VOLUME_AVG_3M))</f>
        <v>2349690.75</v>
      </c>
      <c r="AB787" s="31" cm="1">
        <f t="array" ref="AB787">IF(LEFT(_xll.BDP($C787, VOLUME_AVG_6M), 4) = "#N/A", "",  _xll.BDP($C787, VOLUME_AVG_6M))</f>
        <v>1425141.5</v>
      </c>
      <c r="AC787" s="31" cm="1">
        <f t="array" ref="AC787">IF(LEFT(_xll.BDP($C787, VOLUME_AVG_12M), 4) = "#N/A", "",  _xll.BDP($C787, VOLUME_AVG_12M))</f>
        <v>1236153</v>
      </c>
      <c r="AD787" s="41" cm="1">
        <f t="array" ref="AD787">IF(LEFT(_xll.BDP($C787, LAST_PRICE), 4) = "#N/A", "",  _xll.BDP($C787, LAST_PRICE))</f>
        <v>127.97</v>
      </c>
    </row>
    <row r="788" spans="1:30" x14ac:dyDescent="0.35">
      <c r="A788" s="1">
        <f t="shared" si="12"/>
        <v>785</v>
      </c>
      <c r="B788" s="28">
        <v>45700</v>
      </c>
      <c r="C788" s="29" t="s">
        <v>1627</v>
      </c>
      <c r="D788" s="29" t="s">
        <v>1627</v>
      </c>
      <c r="E788" s="29" t="s">
        <v>1628</v>
      </c>
      <c r="F788" s="29" t="s">
        <v>33</v>
      </c>
      <c r="G788" s="30" t="s">
        <v>34</v>
      </c>
      <c r="H788" s="31">
        <v>210288507319.573</v>
      </c>
      <c r="I788" s="31">
        <v>206517107319.573</v>
      </c>
      <c r="J788" s="32">
        <v>589.60998535156295</v>
      </c>
      <c r="K788" s="33">
        <v>45700</v>
      </c>
      <c r="L788" s="31">
        <v>120553400</v>
      </c>
      <c r="M788" s="32">
        <v>3.88</v>
      </c>
      <c r="N788" s="31" t="s">
        <v>35</v>
      </c>
      <c r="O788" s="33">
        <v>45699</v>
      </c>
      <c r="P788" s="34">
        <v>1729239.625</v>
      </c>
      <c r="Q788" s="34">
        <v>1543285.375</v>
      </c>
      <c r="R788" s="34">
        <v>1362910.5</v>
      </c>
      <c r="S788" s="29"/>
      <c r="T788" s="33"/>
      <c r="U788" s="35" t="b">
        <v>0</v>
      </c>
      <c r="V788" s="35" t="b">
        <v>0</v>
      </c>
      <c r="W788" s="35" t="b">
        <v>0</v>
      </c>
      <c r="Y788" s="31" cm="1">
        <f t="array" ref="Y788">IF(LEFT(_xll.BDP($C788, VOLUME_AVG_10D), 4) = "#N/A", "",  _xll.BDP($C788, VOLUME_AVG_10D))</f>
        <v>1433777.5</v>
      </c>
      <c r="Z788" s="31" cm="1">
        <f t="array" ref="Z788">IF(LEFT(_xll.BDP($C788, VOLUME_AVG_30D), 4) = "#N/A", "",  _xll.BDP($C788, VOLUME_AVG_30D))</f>
        <v>1729239.625</v>
      </c>
      <c r="AA788" s="31" cm="1">
        <f t="array" ref="AA788">IF(LEFT(_xll.BDP($C788, VOLUME_AVG_3M), 4) = "#N/A", "",  _xll.BDP($C788, VOLUME_AVG_3M))</f>
        <v>1543285.375</v>
      </c>
      <c r="AB788" s="31" cm="1">
        <f t="array" ref="AB788">IF(LEFT(_xll.BDP($C788, VOLUME_AVG_6M), 4) = "#N/A", "",  _xll.BDP($C788, VOLUME_AVG_6M))</f>
        <v>1362910.5</v>
      </c>
      <c r="AC788" s="31" cm="1">
        <f t="array" ref="AC788">IF(LEFT(_xll.BDP($C788, VOLUME_AVG_12M), 4) = "#N/A", "",  _xll.BDP($C788, VOLUME_AVG_12M))</f>
        <v>1429753.875</v>
      </c>
      <c r="AD788" s="41" cm="1">
        <f t="array" ref="AD788">IF(LEFT(_xll.BDP($C788, LAST_PRICE), 4) = "#N/A", "",  _xll.BDP($C788, LAST_PRICE))</f>
        <v>589.61</v>
      </c>
    </row>
    <row r="789" spans="1:30" x14ac:dyDescent="0.35">
      <c r="A789" s="1">
        <f t="shared" si="12"/>
        <v>786</v>
      </c>
      <c r="B789" s="28">
        <v>45700</v>
      </c>
      <c r="C789" s="29" t="s">
        <v>1629</v>
      </c>
      <c r="D789" s="29" t="s">
        <v>1629</v>
      </c>
      <c r="E789" s="29" t="s">
        <v>1630</v>
      </c>
      <c r="F789" s="29" t="s">
        <v>33</v>
      </c>
      <c r="G789" s="30" t="s">
        <v>34</v>
      </c>
      <c r="H789" s="31">
        <v>181816370.91850501</v>
      </c>
      <c r="I789" s="31">
        <v>-16659629.081494801</v>
      </c>
      <c r="J789" s="32">
        <v>1.5199999809265099</v>
      </c>
      <c r="K789" s="33">
        <v>45700</v>
      </c>
      <c r="L789" s="31">
        <v>7244900</v>
      </c>
      <c r="M789" s="32">
        <v>0.9</v>
      </c>
      <c r="N789" s="31" t="s">
        <v>35</v>
      </c>
      <c r="O789" s="33">
        <v>45699</v>
      </c>
      <c r="P789" s="34">
        <v>26510540</v>
      </c>
      <c r="Q789" s="34">
        <v>13311215</v>
      </c>
      <c r="R789" s="34">
        <v>6787539.5</v>
      </c>
      <c r="S789" s="29" t="s">
        <v>353</v>
      </c>
      <c r="T789" s="33">
        <v>45446</v>
      </c>
      <c r="U789" s="35" t="b">
        <v>0</v>
      </c>
      <c r="V789" s="35" t="b">
        <v>0</v>
      </c>
      <c r="W789" s="35" t="b">
        <v>1</v>
      </c>
      <c r="Y789" s="31" cm="1">
        <f t="array" ref="Y789">IF(LEFT(_xll.BDP($C789, VOLUME_AVG_10D), 4) = "#N/A", "",  _xll.BDP($C789, VOLUME_AVG_10D))</f>
        <v>76110936</v>
      </c>
      <c r="Z789" s="31" cm="1">
        <f t="array" ref="Z789">IF(LEFT(_xll.BDP($C789, VOLUME_AVG_30D), 4) = "#N/A", "",  _xll.BDP($C789, VOLUME_AVG_30D))</f>
        <v>26510540</v>
      </c>
      <c r="AA789" s="31" cm="1">
        <f t="array" ref="AA789">IF(LEFT(_xll.BDP($C789, VOLUME_AVG_3M), 4) = "#N/A", "",  _xll.BDP($C789, VOLUME_AVG_3M))</f>
        <v>13311215</v>
      </c>
      <c r="AB789" s="31" cm="1">
        <f t="array" ref="AB789">IF(LEFT(_xll.BDP($C789, VOLUME_AVG_6M), 4) = "#N/A", "",  _xll.BDP($C789, VOLUME_AVG_6M))</f>
        <v>6787539.5</v>
      </c>
      <c r="AC789" s="31" cm="1">
        <f t="array" ref="AC789">IF(LEFT(_xll.BDP($C789, VOLUME_AVG_12M), 4) = "#N/A", "",  _xll.BDP($C789, VOLUME_AVG_12M))</f>
        <v>3728499.25</v>
      </c>
      <c r="AD789" s="41" cm="1">
        <f t="array" ref="AD789">IF(LEFT(_xll.BDP($C789, LAST_PRICE), 4) = "#N/A", "",  _xll.BDP($C789, LAST_PRICE))</f>
        <v>1.52</v>
      </c>
    </row>
    <row r="790" spans="1:30" x14ac:dyDescent="0.35">
      <c r="A790" s="1">
        <f t="shared" si="12"/>
        <v>787</v>
      </c>
      <c r="B790" s="28">
        <v>45700</v>
      </c>
      <c r="C790" s="29" t="s">
        <v>1632</v>
      </c>
      <c r="D790" s="29" t="s">
        <v>1632</v>
      </c>
      <c r="E790" s="29" t="s">
        <v>1633</v>
      </c>
      <c r="F790" s="29" t="s">
        <v>33</v>
      </c>
      <c r="G790" s="30" t="s">
        <v>34</v>
      </c>
      <c r="H790" s="31"/>
      <c r="I790" s="31"/>
      <c r="J790" s="32"/>
      <c r="K790" s="33">
        <v>45700</v>
      </c>
      <c r="L790" s="31"/>
      <c r="M790" s="32"/>
      <c r="N790" s="31"/>
      <c r="O790" s="33">
        <v>45699</v>
      </c>
      <c r="P790" s="34">
        <v>1346.66662597656</v>
      </c>
      <c r="Q790" s="34">
        <v>651.61291503906295</v>
      </c>
      <c r="R790" s="34">
        <v>321.42855834960898</v>
      </c>
      <c r="S790" s="29"/>
      <c r="T790" s="33"/>
      <c r="U790" s="35" t="b">
        <v>1</v>
      </c>
      <c r="V790" s="35" t="b">
        <v>1</v>
      </c>
      <c r="W790" s="35" t="b">
        <v>1</v>
      </c>
      <c r="Y790" s="31" cm="1">
        <f t="array" ref="Y790">IF(LEFT(_xll.BDP($C790, VOLUME_AVG_10D), 4) = "#N/A", "",  _xll.BDP($C790, VOLUME_AVG_10D))</f>
        <v>0</v>
      </c>
      <c r="Z790" s="31" cm="1">
        <f t="array" ref="Z790">IF(LEFT(_xll.BDP($C790, VOLUME_AVG_30D), 4) = "#N/A", "",  _xll.BDP($C790, VOLUME_AVG_30D))</f>
        <v>1346.6666259765625</v>
      </c>
      <c r="AA790" s="31" cm="1">
        <f t="array" ref="AA790">IF(LEFT(_xll.BDP($C790, VOLUME_AVG_3M), 4) = "#N/A", "",  _xll.BDP($C790, VOLUME_AVG_3M))</f>
        <v>651.6129150390625</v>
      </c>
      <c r="AB790" s="31" cm="1">
        <f t="array" ref="AB790">IF(LEFT(_xll.BDP($C790, VOLUME_AVG_6M), 4) = "#N/A", "",  _xll.BDP($C790, VOLUME_AVG_6M))</f>
        <v>321.42855834960938</v>
      </c>
      <c r="AC790" s="31" cm="1">
        <f t="array" ref="AC790">IF(LEFT(_xll.BDP($C790, VOLUME_AVG_12M), 4) = "#N/A", "",  _xll.BDP($C790, VOLUME_AVG_12M))</f>
        <v>181.27490234375</v>
      </c>
      <c r="AD790" s="41" cm="1">
        <f t="array" ref="AD790">IF(LEFT(_xll.BDP($C790, LAST_PRICE), 4) = "#N/A", "",  _xll.BDP($C790, LAST_PRICE))</f>
        <v>9.9999999999999995E-7</v>
      </c>
    </row>
    <row r="791" spans="1:30" x14ac:dyDescent="0.35">
      <c r="A791" s="1">
        <f t="shared" si="12"/>
        <v>788</v>
      </c>
      <c r="B791" s="28">
        <v>45700</v>
      </c>
      <c r="C791" s="29" t="s">
        <v>1634</v>
      </c>
      <c r="D791" s="29" t="s">
        <v>1634</v>
      </c>
      <c r="E791" s="29" t="s">
        <v>1635</v>
      </c>
      <c r="F791" s="29" t="s">
        <v>33</v>
      </c>
      <c r="G791" s="30" t="s">
        <v>34</v>
      </c>
      <c r="H791" s="31">
        <v>60300801.350713</v>
      </c>
      <c r="I791" s="31">
        <v>-18559198.649287</v>
      </c>
      <c r="J791" s="32">
        <v>0.91530001163482699</v>
      </c>
      <c r="K791" s="33">
        <v>45700</v>
      </c>
      <c r="L791" s="31">
        <v>2146200</v>
      </c>
      <c r="M791" s="32">
        <v>0.1</v>
      </c>
      <c r="N791" s="31" t="s">
        <v>35</v>
      </c>
      <c r="O791" s="33">
        <v>45699</v>
      </c>
      <c r="P791" s="34">
        <v>149090.671875</v>
      </c>
      <c r="Q791" s="34">
        <v>339061.1875</v>
      </c>
      <c r="R791" s="34">
        <v>399028.15625</v>
      </c>
      <c r="S791" s="29"/>
      <c r="T791" s="33"/>
      <c r="U791" s="35" t="b">
        <v>0</v>
      </c>
      <c r="V791" s="35" t="b">
        <v>0</v>
      </c>
      <c r="W791" s="35" t="b">
        <v>1</v>
      </c>
      <c r="Y791" s="31" cm="1">
        <f t="array" ref="Y791">IF(LEFT(_xll.BDP($C791, VOLUME_AVG_10D), 4) = "#N/A", "",  _xll.BDP($C791, VOLUME_AVG_10D))</f>
        <v>75929.796875</v>
      </c>
      <c r="Z791" s="31" cm="1">
        <f t="array" ref="Z791">IF(LEFT(_xll.BDP($C791, VOLUME_AVG_30D), 4) = "#N/A", "",  _xll.BDP($C791, VOLUME_AVG_30D))</f>
        <v>149090.671875</v>
      </c>
      <c r="AA791" s="31" cm="1">
        <f t="array" ref="AA791">IF(LEFT(_xll.BDP($C791, VOLUME_AVG_3M), 4) = "#N/A", "",  _xll.BDP($C791, VOLUME_AVG_3M))</f>
        <v>339061.1875</v>
      </c>
      <c r="AB791" s="31" cm="1">
        <f t="array" ref="AB791">IF(LEFT(_xll.BDP($C791, VOLUME_AVG_6M), 4) = "#N/A", "",  _xll.BDP($C791, VOLUME_AVG_6M))</f>
        <v>399028.15625</v>
      </c>
      <c r="AC791" s="31" cm="1">
        <f t="array" ref="AC791">IF(LEFT(_xll.BDP($C791, VOLUME_AVG_12M), 4) = "#N/A", "",  _xll.BDP($C791, VOLUME_AVG_12M))</f>
        <v>266265.1875</v>
      </c>
      <c r="AD791" s="41" cm="1">
        <f t="array" ref="AD791">IF(LEFT(_xll.BDP($C791, LAST_PRICE), 4) = "#N/A", "",  _xll.BDP($C791, LAST_PRICE))</f>
        <v>0.9153</v>
      </c>
    </row>
    <row r="792" spans="1:30" x14ac:dyDescent="0.35">
      <c r="A792" s="1">
        <f t="shared" si="12"/>
        <v>789</v>
      </c>
      <c r="B792" s="28">
        <v>45700</v>
      </c>
      <c r="C792" s="29" t="s">
        <v>1636</v>
      </c>
      <c r="D792" s="29" t="s">
        <v>1636</v>
      </c>
      <c r="E792" s="29" t="s">
        <v>1637</v>
      </c>
      <c r="F792" s="29" t="s">
        <v>33</v>
      </c>
      <c r="G792" s="30" t="s">
        <v>34</v>
      </c>
      <c r="H792" s="31">
        <v>4869552355.1732101</v>
      </c>
      <c r="I792" s="31">
        <v>3832930355.1732101</v>
      </c>
      <c r="J792" s="32">
        <v>30.840000152587901</v>
      </c>
      <c r="K792" s="33">
        <v>45700</v>
      </c>
      <c r="L792" s="31">
        <v>51233000</v>
      </c>
      <c r="M792" s="32">
        <v>3.88</v>
      </c>
      <c r="N792" s="31" t="s">
        <v>35</v>
      </c>
      <c r="O792" s="33">
        <v>45699</v>
      </c>
      <c r="P792" s="34">
        <v>1529438.375</v>
      </c>
      <c r="Q792" s="34">
        <v>1557464</v>
      </c>
      <c r="R792" s="34">
        <v>1552389.75</v>
      </c>
      <c r="S792" s="29" t="s">
        <v>68</v>
      </c>
      <c r="T792" s="33">
        <v>45446</v>
      </c>
      <c r="U792" s="35" t="b">
        <v>0</v>
      </c>
      <c r="V792" s="35" t="b">
        <v>0</v>
      </c>
      <c r="W792" s="35" t="b">
        <v>0</v>
      </c>
      <c r="Y792" s="31" cm="1">
        <f t="array" ref="Y792">IF(LEFT(_xll.BDP($C792, VOLUME_AVG_10D), 4) = "#N/A", "",  _xll.BDP($C792, VOLUME_AVG_10D))</f>
        <v>1589567.375</v>
      </c>
      <c r="Z792" s="31" cm="1">
        <f t="array" ref="Z792">IF(LEFT(_xll.BDP($C792, VOLUME_AVG_30D), 4) = "#N/A", "",  _xll.BDP($C792, VOLUME_AVG_30D))</f>
        <v>1529438.375</v>
      </c>
      <c r="AA792" s="31" cm="1">
        <f t="array" ref="AA792">IF(LEFT(_xll.BDP($C792, VOLUME_AVG_3M), 4) = "#N/A", "",  _xll.BDP($C792, VOLUME_AVG_3M))</f>
        <v>1557464</v>
      </c>
      <c r="AB792" s="31" cm="1">
        <f t="array" ref="AB792">IF(LEFT(_xll.BDP($C792, VOLUME_AVG_6M), 4) = "#N/A", "",  _xll.BDP($C792, VOLUME_AVG_6M))</f>
        <v>1552389.75</v>
      </c>
      <c r="AC792" s="31" cm="1">
        <f t="array" ref="AC792">IF(LEFT(_xll.BDP($C792, VOLUME_AVG_12M), 4) = "#N/A", "",  _xll.BDP($C792, VOLUME_AVG_12M))</f>
        <v>1395006.625</v>
      </c>
      <c r="AD792" s="41" cm="1">
        <f t="array" ref="AD792">IF(LEFT(_xll.BDP($C792, LAST_PRICE), 4) = "#N/A", "",  _xll.BDP($C792, LAST_PRICE))</f>
        <v>30.84</v>
      </c>
    </row>
    <row r="793" spans="1:30" x14ac:dyDescent="0.35">
      <c r="A793" s="1">
        <f t="shared" si="12"/>
        <v>790</v>
      </c>
      <c r="B793" s="28">
        <v>45700</v>
      </c>
      <c r="C793" s="29" t="s">
        <v>1638</v>
      </c>
      <c r="D793" s="29" t="s">
        <v>1638</v>
      </c>
      <c r="E793" s="29" t="s">
        <v>1639</v>
      </c>
      <c r="F793" s="29" t="s">
        <v>33</v>
      </c>
      <c r="G793" s="30" t="s">
        <v>34</v>
      </c>
      <c r="H793" s="31">
        <v>1627529465.10586</v>
      </c>
      <c r="I793" s="31">
        <v>1326175465.10586</v>
      </c>
      <c r="J793" s="32">
        <v>5.3400001525878897</v>
      </c>
      <c r="K793" s="33">
        <v>45700</v>
      </c>
      <c r="L793" s="31">
        <v>56394400</v>
      </c>
      <c r="M793" s="32">
        <v>3.88</v>
      </c>
      <c r="N793" s="31" t="s">
        <v>35</v>
      </c>
      <c r="O793" s="33">
        <v>45699</v>
      </c>
      <c r="P793" s="34">
        <v>8768100</v>
      </c>
      <c r="Q793" s="34">
        <v>7797459.5</v>
      </c>
      <c r="R793" s="34">
        <v>6804411</v>
      </c>
      <c r="S793" s="29" t="s">
        <v>46</v>
      </c>
      <c r="T793" s="33">
        <v>45446</v>
      </c>
      <c r="U793" s="35" t="b">
        <v>0</v>
      </c>
      <c r="V793" s="35" t="b">
        <v>0</v>
      </c>
      <c r="W793" s="35" t="b">
        <v>0</v>
      </c>
      <c r="Y793" s="31" cm="1">
        <f t="array" ref="Y793">IF(LEFT(_xll.BDP($C793, VOLUME_AVG_10D), 4) = "#N/A", "",  _xll.BDP($C793, VOLUME_AVG_10D))</f>
        <v>7786274.5</v>
      </c>
      <c r="Z793" s="31" cm="1">
        <f t="array" ref="Z793">IF(LEFT(_xll.BDP($C793, VOLUME_AVG_30D), 4) = "#N/A", "",  _xll.BDP($C793, VOLUME_AVG_30D))</f>
        <v>8768100</v>
      </c>
      <c r="AA793" s="31" cm="1">
        <f t="array" ref="AA793">IF(LEFT(_xll.BDP($C793, VOLUME_AVG_3M), 4) = "#N/A", "",  _xll.BDP($C793, VOLUME_AVG_3M))</f>
        <v>7797459.5</v>
      </c>
      <c r="AB793" s="31" cm="1">
        <f t="array" ref="AB793">IF(LEFT(_xll.BDP($C793, VOLUME_AVG_6M), 4) = "#N/A", "",  _xll.BDP($C793, VOLUME_AVG_6M))</f>
        <v>6804411</v>
      </c>
      <c r="AC793" s="31" cm="1">
        <f t="array" ref="AC793">IF(LEFT(_xll.BDP($C793, VOLUME_AVG_12M), 4) = "#N/A", "",  _xll.BDP($C793, VOLUME_AVG_12M))</f>
        <v>7474916.5</v>
      </c>
      <c r="AD793" s="41" cm="1">
        <f t="array" ref="AD793">IF(LEFT(_xll.BDP($C793, LAST_PRICE), 4) = "#N/A", "",  _xll.BDP($C793, LAST_PRICE))</f>
        <v>5.34</v>
      </c>
    </row>
    <row r="794" spans="1:30" x14ac:dyDescent="0.35">
      <c r="A794" s="1">
        <f t="shared" si="12"/>
        <v>791</v>
      </c>
      <c r="B794" s="28">
        <v>45700</v>
      </c>
      <c r="C794" s="29" t="s">
        <v>1640</v>
      </c>
      <c r="D794" s="29" t="s">
        <v>1640</v>
      </c>
      <c r="E794" s="29" t="s">
        <v>1641</v>
      </c>
      <c r="F794" s="29" t="s">
        <v>33</v>
      </c>
      <c r="G794" s="30" t="s">
        <v>34</v>
      </c>
      <c r="H794" s="31">
        <v>35904331329.345703</v>
      </c>
      <c r="I794" s="31">
        <v>48217331329.345703</v>
      </c>
      <c r="J794" s="32">
        <v>197.82000732421901</v>
      </c>
      <c r="K794" s="33">
        <v>45700</v>
      </c>
      <c r="L794" s="31">
        <v>58820400</v>
      </c>
      <c r="M794" s="32">
        <v>3.88</v>
      </c>
      <c r="N794" s="31" t="s">
        <v>35</v>
      </c>
      <c r="O794" s="33">
        <v>45699</v>
      </c>
      <c r="P794" s="34">
        <v>1344042.375</v>
      </c>
      <c r="Q794" s="34">
        <v>1614953.25</v>
      </c>
      <c r="R794" s="34">
        <v>1370686.5</v>
      </c>
      <c r="S794" s="29"/>
      <c r="T794" s="33"/>
      <c r="U794" s="35" t="b">
        <v>0</v>
      </c>
      <c r="V794" s="35" t="b">
        <v>0</v>
      </c>
      <c r="W794" s="35" t="b">
        <v>0</v>
      </c>
      <c r="Y794" s="31" cm="1">
        <f t="array" ref="Y794">IF(LEFT(_xll.BDP($C794, VOLUME_AVG_10D), 4) = "#N/A", "",  _xll.BDP($C794, VOLUME_AVG_10D))</f>
        <v>1588375.75</v>
      </c>
      <c r="Z794" s="31" cm="1">
        <f t="array" ref="Z794">IF(LEFT(_xll.BDP($C794, VOLUME_AVG_30D), 4) = "#N/A", "",  _xll.BDP($C794, VOLUME_AVG_30D))</f>
        <v>1344042.375</v>
      </c>
      <c r="AA794" s="31" cm="1">
        <f t="array" ref="AA794">IF(LEFT(_xll.BDP($C794, VOLUME_AVG_3M), 4) = "#N/A", "",  _xll.BDP($C794, VOLUME_AVG_3M))</f>
        <v>1614953.25</v>
      </c>
      <c r="AB794" s="31" cm="1">
        <f t="array" ref="AB794">IF(LEFT(_xll.BDP($C794, VOLUME_AVG_6M), 4) = "#N/A", "",  _xll.BDP($C794, VOLUME_AVG_6M))</f>
        <v>1370686.5</v>
      </c>
      <c r="AC794" s="31" cm="1">
        <f t="array" ref="AC794">IF(LEFT(_xll.BDP($C794, VOLUME_AVG_12M), 4) = "#N/A", "",  _xll.BDP($C794, VOLUME_AVG_12M))</f>
        <v>1237170.5</v>
      </c>
      <c r="AD794" s="41" cm="1">
        <f t="array" ref="AD794">IF(LEFT(_xll.BDP($C794, LAST_PRICE), 4) = "#N/A", "",  _xll.BDP($C794, LAST_PRICE))</f>
        <v>197.82</v>
      </c>
    </row>
    <row r="795" spans="1:30" x14ac:dyDescent="0.35">
      <c r="A795" s="1">
        <f t="shared" si="12"/>
        <v>792</v>
      </c>
      <c r="B795" s="28">
        <v>45700</v>
      </c>
      <c r="C795" s="29" t="s">
        <v>1642</v>
      </c>
      <c r="D795" s="29" t="s">
        <v>1642</v>
      </c>
      <c r="E795" s="29" t="s">
        <v>1643</v>
      </c>
      <c r="F795" s="29" t="s">
        <v>33</v>
      </c>
      <c r="G795" s="30" t="s">
        <v>34</v>
      </c>
      <c r="H795" s="31"/>
      <c r="I795" s="31"/>
      <c r="J795" s="32"/>
      <c r="K795" s="33">
        <v>45700</v>
      </c>
      <c r="L795" s="31"/>
      <c r="M795" s="32"/>
      <c r="N795" s="31"/>
      <c r="O795" s="33">
        <v>45699</v>
      </c>
      <c r="P795" s="34"/>
      <c r="Q795" s="34"/>
      <c r="R795" s="34"/>
      <c r="S795" s="29"/>
      <c r="T795" s="33"/>
      <c r="U795" s="35" t="b">
        <v>1</v>
      </c>
      <c r="V795" s="35" t="b">
        <v>1</v>
      </c>
      <c r="W795" s="35" t="b">
        <v>1</v>
      </c>
      <c r="Y795" s="31" t="str" cm="1">
        <f t="array" ref="Y795">IF(LEFT(_xll.BDP($C795, VOLUME_AVG_10D), 4) = "#N/A", "",  _xll.BDP($C795, VOLUME_AVG_10D))</f>
        <v/>
      </c>
      <c r="Z795" s="31" t="str" cm="1">
        <f t="array" ref="Z795">IF(LEFT(_xll.BDP($C795, VOLUME_AVG_30D), 4) = "#N/A", "",  _xll.BDP($C795, VOLUME_AVG_30D))</f>
        <v/>
      </c>
      <c r="AA795" s="31" t="str" cm="1">
        <f t="array" ref="AA795">IF(LEFT(_xll.BDP($C795, VOLUME_AVG_3M), 4) = "#N/A", "",  _xll.BDP($C795, VOLUME_AVG_3M))</f>
        <v/>
      </c>
      <c r="AB795" s="31" t="str" cm="1">
        <f t="array" ref="AB795">IF(LEFT(_xll.BDP($C795, VOLUME_AVG_6M), 4) = "#N/A", "",  _xll.BDP($C795, VOLUME_AVG_6M))</f>
        <v/>
      </c>
      <c r="AC795" s="31" t="str" cm="1">
        <f t="array" ref="AC795">IF(LEFT(_xll.BDP($C795, VOLUME_AVG_12M), 4) = "#N/A", "",  _xll.BDP($C795, VOLUME_AVG_12M))</f>
        <v/>
      </c>
      <c r="AD795" s="41" t="str" cm="1">
        <f t="array" ref="AD795">IF(LEFT(_xll.BDP($C795, LAST_PRICE), 4) = "#N/A", "",  _xll.BDP($C795, LAST_PRICE))</f>
        <v/>
      </c>
    </row>
    <row r="796" spans="1:30" x14ac:dyDescent="0.35">
      <c r="A796" s="1">
        <f t="shared" si="12"/>
        <v>793</v>
      </c>
      <c r="B796" s="28">
        <v>45700</v>
      </c>
      <c r="C796" s="29" t="s">
        <v>1644</v>
      </c>
      <c r="D796" s="29" t="s">
        <v>1644</v>
      </c>
      <c r="E796" s="29" t="s">
        <v>1645</v>
      </c>
      <c r="F796" s="29" t="s">
        <v>33</v>
      </c>
      <c r="G796" s="30" t="s">
        <v>34</v>
      </c>
      <c r="H796" s="31">
        <v>36213441.717060097</v>
      </c>
      <c r="I796" s="31">
        <v>35607441.717060097</v>
      </c>
      <c r="J796" s="32">
        <v>0.50998997688293501</v>
      </c>
      <c r="K796" s="33">
        <v>45700</v>
      </c>
      <c r="L796" s="31"/>
      <c r="M796" s="32"/>
      <c r="N796" s="31"/>
      <c r="O796" s="33">
        <v>45699</v>
      </c>
      <c r="P796" s="34">
        <v>506.66665649414102</v>
      </c>
      <c r="Q796" s="34">
        <v>513</v>
      </c>
      <c r="R796" s="34">
        <v>475.37301635742199</v>
      </c>
      <c r="S796" s="29"/>
      <c r="T796" s="33"/>
      <c r="U796" s="35" t="b">
        <v>0</v>
      </c>
      <c r="V796" s="35" t="b">
        <v>0</v>
      </c>
      <c r="W796" s="35" t="b">
        <v>0</v>
      </c>
      <c r="Y796" s="31" cm="1">
        <f t="array" ref="Y796">IF(LEFT(_xll.BDP($C796, VOLUME_AVG_10D), 4) = "#N/A", "",  _xll.BDP($C796, VOLUME_AVG_10D))</f>
        <v>240.19999694824219</v>
      </c>
      <c r="Z796" s="31" cm="1">
        <f t="array" ref="Z796">IF(LEFT(_xll.BDP($C796, VOLUME_AVG_30D), 4) = "#N/A", "",  _xll.BDP($C796, VOLUME_AVG_30D))</f>
        <v>506.66665649414063</v>
      </c>
      <c r="AA796" s="31" cm="1">
        <f t="array" ref="AA796">IF(LEFT(_xll.BDP($C796, VOLUME_AVG_3M), 4) = "#N/A", "",  _xll.BDP($C796, VOLUME_AVG_3M))</f>
        <v>513</v>
      </c>
      <c r="AB796" s="31" cm="1">
        <f t="array" ref="AB796">IF(LEFT(_xll.BDP($C796, VOLUME_AVG_6M), 4) = "#N/A", "",  _xll.BDP($C796, VOLUME_AVG_6M))</f>
        <v>475.37301635742188</v>
      </c>
      <c r="AC796" s="31" cm="1">
        <f t="array" ref="AC796">IF(LEFT(_xll.BDP($C796, VOLUME_AVG_12M), 4) = "#N/A", "",  _xll.BDP($C796, VOLUME_AVG_12M))</f>
        <v>520.64544677734375</v>
      </c>
      <c r="AD796" s="41" cm="1">
        <f t="array" ref="AD796">IF(LEFT(_xll.BDP($C796, LAST_PRICE), 4) = "#N/A", "",  _xll.BDP($C796, LAST_PRICE))</f>
        <v>0.50999000000000005</v>
      </c>
    </row>
    <row r="797" spans="1:30" x14ac:dyDescent="0.35">
      <c r="A797" s="1">
        <f t="shared" si="12"/>
        <v>794</v>
      </c>
      <c r="B797" s="28">
        <v>45700</v>
      </c>
      <c r="C797" s="29" t="s">
        <v>1646</v>
      </c>
      <c r="D797" s="29" t="s">
        <v>1646</v>
      </c>
      <c r="E797" s="29" t="s">
        <v>1647</v>
      </c>
      <c r="F797" s="29" t="s">
        <v>33</v>
      </c>
      <c r="G797" s="30" t="s">
        <v>34</v>
      </c>
      <c r="H797" s="31">
        <v>766489705.87855899</v>
      </c>
      <c r="I797" s="31">
        <v>715032729.87855899</v>
      </c>
      <c r="J797" s="32">
        <v>60.4799995422363</v>
      </c>
      <c r="K797" s="33">
        <v>45700</v>
      </c>
      <c r="L797" s="31">
        <v>1898100</v>
      </c>
      <c r="M797" s="32">
        <v>3.88</v>
      </c>
      <c r="N797" s="31" t="s">
        <v>35</v>
      </c>
      <c r="O797" s="33">
        <v>45699</v>
      </c>
      <c r="P797" s="34">
        <v>38048</v>
      </c>
      <c r="Q797" s="34">
        <v>41507.2265625</v>
      </c>
      <c r="R797" s="34">
        <v>42407.15234375</v>
      </c>
      <c r="S797" s="29"/>
      <c r="T797" s="33"/>
      <c r="U797" s="35" t="b">
        <v>0</v>
      </c>
      <c r="V797" s="35" t="b">
        <v>0</v>
      </c>
      <c r="W797" s="35" t="b">
        <v>0</v>
      </c>
      <c r="Y797" s="31" cm="1">
        <f t="array" ref="Y797">IF(LEFT(_xll.BDP($C797, VOLUME_AVG_10D), 4) = "#N/A", "",  _xll.BDP($C797, VOLUME_AVG_10D))</f>
        <v>40531.6015625</v>
      </c>
      <c r="Z797" s="31" cm="1">
        <f t="array" ref="Z797">IF(LEFT(_xll.BDP($C797, VOLUME_AVG_30D), 4) = "#N/A", "",  _xll.BDP($C797, VOLUME_AVG_30D))</f>
        <v>38048</v>
      </c>
      <c r="AA797" s="31" cm="1">
        <f t="array" ref="AA797">IF(LEFT(_xll.BDP($C797, VOLUME_AVG_3M), 4) = "#N/A", "",  _xll.BDP($C797, VOLUME_AVG_3M))</f>
        <v>41507.2265625</v>
      </c>
      <c r="AB797" s="31" cm="1">
        <f t="array" ref="AB797">IF(LEFT(_xll.BDP($C797, VOLUME_AVG_6M), 4) = "#N/A", "",  _xll.BDP($C797, VOLUME_AVG_6M))</f>
        <v>42407.15234375</v>
      </c>
      <c r="AC797" s="31" cm="1">
        <f t="array" ref="AC797">IF(LEFT(_xll.BDP($C797, VOLUME_AVG_12M), 4) = "#N/A", "",  _xll.BDP($C797, VOLUME_AVG_12M))</f>
        <v>46923.79296875</v>
      </c>
      <c r="AD797" s="41" cm="1">
        <f t="array" ref="AD797">IF(LEFT(_xll.BDP($C797, LAST_PRICE), 4) = "#N/A", "",  _xll.BDP($C797, LAST_PRICE))</f>
        <v>60.48</v>
      </c>
    </row>
    <row r="798" spans="1:30" x14ac:dyDescent="0.35">
      <c r="A798" s="1">
        <f t="shared" si="12"/>
        <v>795</v>
      </c>
      <c r="B798" s="28">
        <v>45700</v>
      </c>
      <c r="C798" s="29" t="s">
        <v>1648</v>
      </c>
      <c r="D798" s="29" t="s">
        <v>1648</v>
      </c>
      <c r="E798" s="29" t="s">
        <v>1649</v>
      </c>
      <c r="F798" s="29" t="s">
        <v>33</v>
      </c>
      <c r="G798" s="30" t="s">
        <v>34</v>
      </c>
      <c r="H798" s="31">
        <v>3479402382.47159</v>
      </c>
      <c r="I798" s="31">
        <v>3692733382.47159</v>
      </c>
      <c r="J798" s="32">
        <v>111.169998168945</v>
      </c>
      <c r="K798" s="33">
        <v>45700</v>
      </c>
      <c r="L798" s="31">
        <v>11096100</v>
      </c>
      <c r="M798" s="32">
        <v>3.88</v>
      </c>
      <c r="N798" s="31" t="s">
        <v>35</v>
      </c>
      <c r="O798" s="33">
        <v>45699</v>
      </c>
      <c r="P798" s="34">
        <v>397097.28125</v>
      </c>
      <c r="Q798" s="34">
        <v>377875.21875</v>
      </c>
      <c r="R798" s="34">
        <v>493626.59375</v>
      </c>
      <c r="S798" s="29"/>
      <c r="T798" s="33"/>
      <c r="U798" s="35" t="b">
        <v>0</v>
      </c>
      <c r="V798" s="35" t="b">
        <v>0</v>
      </c>
      <c r="W798" s="35" t="b">
        <v>0</v>
      </c>
      <c r="Y798" s="31" cm="1">
        <f t="array" ref="Y798">IF(LEFT(_xll.BDP($C798, VOLUME_AVG_10D), 4) = "#N/A", "",  _xll.BDP($C798, VOLUME_AVG_10D))</f>
        <v>376595.5</v>
      </c>
      <c r="Z798" s="31" cm="1">
        <f t="array" ref="Z798">IF(LEFT(_xll.BDP($C798, VOLUME_AVG_30D), 4) = "#N/A", "",  _xll.BDP($C798, VOLUME_AVG_30D))</f>
        <v>397097.28125</v>
      </c>
      <c r="AA798" s="31" cm="1">
        <f t="array" ref="AA798">IF(LEFT(_xll.BDP($C798, VOLUME_AVG_3M), 4) = "#N/A", "",  _xll.BDP($C798, VOLUME_AVG_3M))</f>
        <v>377875.21875</v>
      </c>
      <c r="AB798" s="31" cm="1">
        <f t="array" ref="AB798">IF(LEFT(_xll.BDP($C798, VOLUME_AVG_6M), 4) = "#N/A", "",  _xll.BDP($C798, VOLUME_AVG_6M))</f>
        <v>493626.59375</v>
      </c>
      <c r="AC798" s="31" cm="1">
        <f t="array" ref="AC798">IF(LEFT(_xll.BDP($C798, VOLUME_AVG_12M), 4) = "#N/A", "",  _xll.BDP($C798, VOLUME_AVG_12M))</f>
        <v>470820.71875</v>
      </c>
      <c r="AD798" s="41" cm="1">
        <f t="array" ref="AD798">IF(LEFT(_xll.BDP($C798, LAST_PRICE), 4) = "#N/A", "",  _xll.BDP($C798, LAST_PRICE))</f>
        <v>111.17</v>
      </c>
    </row>
    <row r="799" spans="1:30" x14ac:dyDescent="0.35">
      <c r="A799" s="1">
        <f t="shared" si="12"/>
        <v>796</v>
      </c>
      <c r="B799" s="28">
        <v>45700</v>
      </c>
      <c r="C799" s="29" t="s">
        <v>1650</v>
      </c>
      <c r="D799" s="29" t="s">
        <v>1650</v>
      </c>
      <c r="E799" s="29" t="s">
        <v>1651</v>
      </c>
      <c r="F799" s="29" t="s">
        <v>33</v>
      </c>
      <c r="G799" s="30" t="s">
        <v>34</v>
      </c>
      <c r="H799" s="31">
        <v>24954570</v>
      </c>
      <c r="I799" s="31">
        <v>26002570</v>
      </c>
      <c r="J799" s="32">
        <v>1.5</v>
      </c>
      <c r="K799" s="33">
        <v>45700</v>
      </c>
      <c r="L799" s="31">
        <v>1321700</v>
      </c>
      <c r="M799" s="32">
        <v>2.95</v>
      </c>
      <c r="N799" s="31" t="s">
        <v>35</v>
      </c>
      <c r="O799" s="33">
        <v>45699</v>
      </c>
      <c r="P799" s="34">
        <v>35464.8984375</v>
      </c>
      <c r="Q799" s="34">
        <v>38441.38671875</v>
      </c>
      <c r="R799" s="34">
        <v>31577.826171875</v>
      </c>
      <c r="S799" s="29"/>
      <c r="T799" s="33"/>
      <c r="U799" s="35" t="b">
        <v>0</v>
      </c>
      <c r="V799" s="35" t="b">
        <v>0</v>
      </c>
      <c r="W799" s="35" t="b">
        <v>0</v>
      </c>
      <c r="Y799" s="31" cm="1">
        <f t="array" ref="Y799">IF(LEFT(_xll.BDP($C799, VOLUME_AVG_10D), 4) = "#N/A", "",  _xll.BDP($C799, VOLUME_AVG_10D))</f>
        <v>18776.30078125</v>
      </c>
      <c r="Z799" s="31" cm="1">
        <f t="array" ref="Z799">IF(LEFT(_xll.BDP($C799, VOLUME_AVG_30D), 4) = "#N/A", "",  _xll.BDP($C799, VOLUME_AVG_30D))</f>
        <v>35464.8984375</v>
      </c>
      <c r="AA799" s="31" cm="1">
        <f t="array" ref="AA799">IF(LEFT(_xll.BDP($C799, VOLUME_AVG_3M), 4) = "#N/A", "",  _xll.BDP($C799, VOLUME_AVG_3M))</f>
        <v>38441.38671875</v>
      </c>
      <c r="AB799" s="31" cm="1">
        <f t="array" ref="AB799">IF(LEFT(_xll.BDP($C799, VOLUME_AVG_6M), 4) = "#N/A", "",  _xll.BDP($C799, VOLUME_AVG_6M))</f>
        <v>31577.826171875</v>
      </c>
      <c r="AC799" s="31" cm="1">
        <f t="array" ref="AC799">IF(LEFT(_xll.BDP($C799, VOLUME_AVG_12M), 4) = "#N/A", "",  _xll.BDP($C799, VOLUME_AVG_12M))</f>
        <v>32500.83984375</v>
      </c>
      <c r="AD799" s="41" cm="1">
        <f t="array" ref="AD799">IF(LEFT(_xll.BDP($C799, LAST_PRICE), 4) = "#N/A", "",  _xll.BDP($C799, LAST_PRICE))</f>
        <v>1.5</v>
      </c>
    </row>
    <row r="800" spans="1:30" x14ac:dyDescent="0.35">
      <c r="A800" s="1">
        <f t="shared" si="12"/>
        <v>797</v>
      </c>
      <c r="B800" s="28">
        <v>45700</v>
      </c>
      <c r="C800" s="29" t="s">
        <v>1652</v>
      </c>
      <c r="D800" s="29" t="s">
        <v>1652</v>
      </c>
      <c r="E800" s="29" t="s">
        <v>1653</v>
      </c>
      <c r="F800" s="29" t="s">
        <v>33</v>
      </c>
      <c r="G800" s="30" t="s">
        <v>34</v>
      </c>
      <c r="H800" s="31">
        <v>310455081.87689799</v>
      </c>
      <c r="I800" s="31">
        <v>837116081.87689805</v>
      </c>
      <c r="J800" s="32">
        <v>1.9400000572204601</v>
      </c>
      <c r="K800" s="33">
        <v>45700</v>
      </c>
      <c r="L800" s="31">
        <v>46729200</v>
      </c>
      <c r="M800" s="32">
        <v>3.88</v>
      </c>
      <c r="N800" s="31" t="s">
        <v>35</v>
      </c>
      <c r="O800" s="33">
        <v>45699</v>
      </c>
      <c r="P800" s="34">
        <v>3690859.5</v>
      </c>
      <c r="Q800" s="34">
        <v>2908576</v>
      </c>
      <c r="R800" s="34">
        <v>2278974.25</v>
      </c>
      <c r="S800" s="29" t="s">
        <v>73</v>
      </c>
      <c r="T800" s="33">
        <v>45446</v>
      </c>
      <c r="U800" s="35" t="b">
        <v>0</v>
      </c>
      <c r="V800" s="35" t="b">
        <v>0</v>
      </c>
      <c r="W800" s="35" t="b">
        <v>0</v>
      </c>
      <c r="Y800" s="31" cm="1">
        <f t="array" ref="Y800">IF(LEFT(_xll.BDP($C800, VOLUME_AVG_10D), 4) = "#N/A", "",  _xll.BDP($C800, VOLUME_AVG_10D))</f>
        <v>7571624</v>
      </c>
      <c r="Z800" s="31" cm="1">
        <f t="array" ref="Z800">IF(LEFT(_xll.BDP($C800, VOLUME_AVG_30D), 4) = "#N/A", "",  _xll.BDP($C800, VOLUME_AVG_30D))</f>
        <v>3690859.5</v>
      </c>
      <c r="AA800" s="31" cm="1">
        <f t="array" ref="AA800">IF(LEFT(_xll.BDP($C800, VOLUME_AVG_3M), 4) = "#N/A", "",  _xll.BDP($C800, VOLUME_AVG_3M))</f>
        <v>2908576</v>
      </c>
      <c r="AB800" s="31" cm="1">
        <f t="array" ref="AB800">IF(LEFT(_xll.BDP($C800, VOLUME_AVG_6M), 4) = "#N/A", "",  _xll.BDP($C800, VOLUME_AVG_6M))</f>
        <v>2278974.25</v>
      </c>
      <c r="AC800" s="31" cm="1">
        <f t="array" ref="AC800">IF(LEFT(_xll.BDP($C800, VOLUME_AVG_12M), 4) = "#N/A", "",  _xll.BDP($C800, VOLUME_AVG_12M))</f>
        <v>2887236.25</v>
      </c>
      <c r="AD800" s="41" cm="1">
        <f t="array" ref="AD800">IF(LEFT(_xll.BDP($C800, LAST_PRICE), 4) = "#N/A", "",  _xll.BDP($C800, LAST_PRICE))</f>
        <v>1.94</v>
      </c>
    </row>
    <row r="801" spans="1:30" x14ac:dyDescent="0.35">
      <c r="A801" s="1">
        <f t="shared" si="12"/>
        <v>798</v>
      </c>
      <c r="B801" s="28">
        <v>45700</v>
      </c>
      <c r="C801" s="29" t="s">
        <v>1654</v>
      </c>
      <c r="D801" s="29" t="s">
        <v>1654</v>
      </c>
      <c r="E801" s="29" t="s">
        <v>1655</v>
      </c>
      <c r="F801" s="29" t="s">
        <v>33</v>
      </c>
      <c r="G801" s="30" t="s">
        <v>34</v>
      </c>
      <c r="H801" s="31">
        <v>1838636.6378685201</v>
      </c>
      <c r="I801" s="31">
        <v>1275157.6378685201</v>
      </c>
      <c r="J801" s="32">
        <v>1.9099999666214</v>
      </c>
      <c r="K801" s="33">
        <v>45700</v>
      </c>
      <c r="L801" s="31">
        <v>265600</v>
      </c>
      <c r="M801" s="32">
        <v>-55.85</v>
      </c>
      <c r="N801" s="31" t="s">
        <v>35</v>
      </c>
      <c r="O801" s="33">
        <v>45699</v>
      </c>
      <c r="P801" s="34">
        <v>752982.6875</v>
      </c>
      <c r="Q801" s="34">
        <v>532123.75</v>
      </c>
      <c r="R801" s="34">
        <v>464600.875</v>
      </c>
      <c r="S801" s="29"/>
      <c r="T801" s="33"/>
      <c r="U801" s="35" t="b">
        <v>1</v>
      </c>
      <c r="V801" s="35" t="b">
        <v>0</v>
      </c>
      <c r="W801" s="35" t="b">
        <v>0</v>
      </c>
      <c r="Y801" s="31" cm="1">
        <f t="array" ref="Y801">IF(LEFT(_xll.BDP($C801, VOLUME_AVG_10D), 4) = "#N/A", "",  _xll.BDP($C801, VOLUME_AVG_10D))</f>
        <v>139217.90625</v>
      </c>
      <c r="Z801" s="31" cm="1">
        <f t="array" ref="Z801">IF(LEFT(_xll.BDP($C801, VOLUME_AVG_30D), 4) = "#N/A", "",  _xll.BDP($C801, VOLUME_AVG_30D))</f>
        <v>752982.6875</v>
      </c>
      <c r="AA801" s="31" cm="1">
        <f t="array" ref="AA801">IF(LEFT(_xll.BDP($C801, VOLUME_AVG_3M), 4) = "#N/A", "",  _xll.BDP($C801, VOLUME_AVG_3M))</f>
        <v>532123.75</v>
      </c>
      <c r="AB801" s="31" cm="1">
        <f t="array" ref="AB801">IF(LEFT(_xll.BDP($C801, VOLUME_AVG_6M), 4) = "#N/A", "",  _xll.BDP($C801, VOLUME_AVG_6M))</f>
        <v>464600.875</v>
      </c>
      <c r="AC801" s="31" cm="1">
        <f t="array" ref="AC801">IF(LEFT(_xll.BDP($C801, VOLUME_AVG_12M), 4) = "#N/A", "",  _xll.BDP($C801, VOLUME_AVG_12M))</f>
        <v>300069.0625</v>
      </c>
      <c r="AD801" s="41" cm="1">
        <f t="array" ref="AD801">IF(LEFT(_xll.BDP($C801, LAST_PRICE), 4) = "#N/A", "",  _xll.BDP($C801, LAST_PRICE))</f>
        <v>1.91</v>
      </c>
    </row>
    <row r="802" spans="1:30" x14ac:dyDescent="0.35">
      <c r="A802" s="1">
        <f t="shared" si="12"/>
        <v>799</v>
      </c>
      <c r="B802" s="28">
        <v>45700</v>
      </c>
      <c r="C802" s="29" t="s">
        <v>1656</v>
      </c>
      <c r="D802" s="29" t="s">
        <v>1656</v>
      </c>
      <c r="E802" s="29" t="s">
        <v>1657</v>
      </c>
      <c r="F802" s="29" t="s">
        <v>33</v>
      </c>
      <c r="G802" s="30" t="s">
        <v>34</v>
      </c>
      <c r="H802" s="31"/>
      <c r="I802" s="31"/>
      <c r="J802" s="32">
        <v>9.9999999747524292E-7</v>
      </c>
      <c r="K802" s="33">
        <v>45700</v>
      </c>
      <c r="L802" s="31"/>
      <c r="M802" s="32"/>
      <c r="N802" s="31"/>
      <c r="O802" s="33">
        <v>45699</v>
      </c>
      <c r="P802" s="34">
        <v>27457</v>
      </c>
      <c r="Q802" s="34">
        <v>44837.7109375</v>
      </c>
      <c r="R802" s="34">
        <v>31250.953125</v>
      </c>
      <c r="S802" s="29"/>
      <c r="T802" s="33"/>
      <c r="U802" s="35" t="b">
        <v>1</v>
      </c>
      <c r="V802" s="35" t="b">
        <v>1</v>
      </c>
      <c r="W802" s="35" t="b">
        <v>1</v>
      </c>
      <c r="Y802" s="31" cm="1">
        <f t="array" ref="Y802">IF(LEFT(_xll.BDP($C802, VOLUME_AVG_10D), 4) = "#N/A", "",  _xll.BDP($C802, VOLUME_AVG_10D))</f>
        <v>0</v>
      </c>
      <c r="Z802" s="31" cm="1">
        <f t="array" ref="Z802">IF(LEFT(_xll.BDP($C802, VOLUME_AVG_30D), 4) = "#N/A", "",  _xll.BDP($C802, VOLUME_AVG_30D))</f>
        <v>27457</v>
      </c>
      <c r="AA802" s="31" cm="1">
        <f t="array" ref="AA802">IF(LEFT(_xll.BDP($C802, VOLUME_AVG_3M), 4) = "#N/A", "",  _xll.BDP($C802, VOLUME_AVG_3M))</f>
        <v>44837.7109375</v>
      </c>
      <c r="AB802" s="31" cm="1">
        <f t="array" ref="AB802">IF(LEFT(_xll.BDP($C802, VOLUME_AVG_6M), 4) = "#N/A", "",  _xll.BDP($C802, VOLUME_AVG_6M))</f>
        <v>31250.953125</v>
      </c>
      <c r="AC802" s="31" cm="1">
        <f t="array" ref="AC802">IF(LEFT(_xll.BDP($C802, VOLUME_AVG_12M), 4) = "#N/A", "",  _xll.BDP($C802, VOLUME_AVG_12M))</f>
        <v>3352713</v>
      </c>
      <c r="AD802" s="41" cm="1">
        <f t="array" ref="AD802">IF(LEFT(_xll.BDP($C802, LAST_PRICE), 4) = "#N/A", "",  _xll.BDP($C802, LAST_PRICE))</f>
        <v>0</v>
      </c>
    </row>
    <row r="803" spans="1:30" x14ac:dyDescent="0.35">
      <c r="A803" s="1">
        <f t="shared" si="12"/>
        <v>800</v>
      </c>
      <c r="B803" s="28">
        <v>45700</v>
      </c>
      <c r="C803" s="29" t="s">
        <v>1658</v>
      </c>
      <c r="D803" s="29" t="s">
        <v>1658</v>
      </c>
      <c r="E803" s="29" t="s">
        <v>1659</v>
      </c>
      <c r="F803" s="29" t="s">
        <v>33</v>
      </c>
      <c r="G803" s="30" t="s">
        <v>34</v>
      </c>
      <c r="H803" s="31">
        <v>266332260.82634199</v>
      </c>
      <c r="I803" s="31">
        <v>-216849739.17365801</v>
      </c>
      <c r="J803" s="32">
        <v>7.28999996185303</v>
      </c>
      <c r="K803" s="33">
        <v>45700</v>
      </c>
      <c r="L803" s="31">
        <v>8515200</v>
      </c>
      <c r="M803" s="32">
        <v>3.88</v>
      </c>
      <c r="N803" s="31" t="s">
        <v>35</v>
      </c>
      <c r="O803" s="33">
        <v>45699</v>
      </c>
      <c r="P803" s="34">
        <v>297848.9375</v>
      </c>
      <c r="Q803" s="34">
        <v>414294.25</v>
      </c>
      <c r="R803" s="34">
        <v>541768.5625</v>
      </c>
      <c r="S803" s="29" t="s">
        <v>46</v>
      </c>
      <c r="T803" s="33">
        <v>45446</v>
      </c>
      <c r="U803" s="35" t="b">
        <v>0</v>
      </c>
      <c r="V803" s="35" t="b">
        <v>0</v>
      </c>
      <c r="W803" s="35" t="b">
        <v>1</v>
      </c>
      <c r="Y803" s="31" cm="1">
        <f t="array" ref="Y803">IF(LEFT(_xll.BDP($C803, VOLUME_AVG_10D), 4) = "#N/A", "",  _xll.BDP($C803, VOLUME_AVG_10D))</f>
        <v>229714.90625</v>
      </c>
      <c r="Z803" s="31" cm="1">
        <f t="array" ref="Z803">IF(LEFT(_xll.BDP($C803, VOLUME_AVG_30D), 4) = "#N/A", "",  _xll.BDP($C803, VOLUME_AVG_30D))</f>
        <v>297848.9375</v>
      </c>
      <c r="AA803" s="31" cm="1">
        <f t="array" ref="AA803">IF(LEFT(_xll.BDP($C803, VOLUME_AVG_3M), 4) = "#N/A", "",  _xll.BDP($C803, VOLUME_AVG_3M))</f>
        <v>414294.25</v>
      </c>
      <c r="AB803" s="31" cm="1">
        <f t="array" ref="AB803">IF(LEFT(_xll.BDP($C803, VOLUME_AVG_6M), 4) = "#N/A", "",  _xll.BDP($C803, VOLUME_AVG_6M))</f>
        <v>541768.5625</v>
      </c>
      <c r="AC803" s="31" cm="1">
        <f t="array" ref="AC803">IF(LEFT(_xll.BDP($C803, VOLUME_AVG_12M), 4) = "#N/A", "",  _xll.BDP($C803, VOLUME_AVG_12M))</f>
        <v>458152.0625</v>
      </c>
      <c r="AD803" s="41" cm="1">
        <f t="array" ref="AD803">IF(LEFT(_xll.BDP($C803, LAST_PRICE), 4) = "#N/A", "",  _xll.BDP($C803, LAST_PRICE))</f>
        <v>7.29</v>
      </c>
    </row>
    <row r="804" spans="1:30" x14ac:dyDescent="0.35">
      <c r="A804" s="1">
        <f t="shared" si="12"/>
        <v>801</v>
      </c>
      <c r="B804" s="28">
        <v>45700</v>
      </c>
      <c r="C804" s="29" t="s">
        <v>1660</v>
      </c>
      <c r="D804" s="29" t="s">
        <v>1660</v>
      </c>
      <c r="E804" s="29" t="s">
        <v>1661</v>
      </c>
      <c r="F804" s="29" t="s">
        <v>33</v>
      </c>
      <c r="G804" s="30" t="s">
        <v>34</v>
      </c>
      <c r="H804" s="31">
        <v>48759779.8957211</v>
      </c>
      <c r="I804" s="31">
        <v>55772779.8957211</v>
      </c>
      <c r="J804" s="32">
        <v>1.4099999666214</v>
      </c>
      <c r="K804" s="33">
        <v>45700</v>
      </c>
      <c r="L804" s="31"/>
      <c r="M804" s="32"/>
      <c r="N804" s="31"/>
      <c r="O804" s="33">
        <v>45699</v>
      </c>
      <c r="P804" s="34">
        <v>669669</v>
      </c>
      <c r="Q804" s="34">
        <v>1022366.25</v>
      </c>
      <c r="R804" s="34">
        <v>1698316.75</v>
      </c>
      <c r="S804" s="29"/>
      <c r="T804" s="33"/>
      <c r="U804" s="35" t="b">
        <v>0</v>
      </c>
      <c r="V804" s="35" t="b">
        <v>0</v>
      </c>
      <c r="W804" s="35" t="b">
        <v>0</v>
      </c>
      <c r="Y804" s="31" cm="1">
        <f t="array" ref="Y804">IF(LEFT(_xll.BDP($C804, VOLUME_AVG_10D), 4) = "#N/A", "",  _xll.BDP($C804, VOLUME_AVG_10D))</f>
        <v>857913.3125</v>
      </c>
      <c r="Z804" s="31" cm="1">
        <f t="array" ref="Z804">IF(LEFT(_xll.BDP($C804, VOLUME_AVG_30D), 4) = "#N/A", "",  _xll.BDP($C804, VOLUME_AVG_30D))</f>
        <v>669669</v>
      </c>
      <c r="AA804" s="31" cm="1">
        <f t="array" ref="AA804">IF(LEFT(_xll.BDP($C804, VOLUME_AVG_3M), 4) = "#N/A", "",  _xll.BDP($C804, VOLUME_AVG_3M))</f>
        <v>1022366.25</v>
      </c>
      <c r="AB804" s="31" cm="1">
        <f t="array" ref="AB804">IF(LEFT(_xll.BDP($C804, VOLUME_AVG_6M), 4) = "#N/A", "",  _xll.BDP($C804, VOLUME_AVG_6M))</f>
        <v>1698316.75</v>
      </c>
      <c r="AC804" s="31" cm="1">
        <f t="array" ref="AC804">IF(LEFT(_xll.BDP($C804, VOLUME_AVG_12M), 4) = "#N/A", "",  _xll.BDP($C804, VOLUME_AVG_12M))</f>
        <v>948886.8125</v>
      </c>
      <c r="AD804" s="41" cm="1">
        <f t="array" ref="AD804">IF(LEFT(_xll.BDP($C804, LAST_PRICE), 4) = "#N/A", "",  _xll.BDP($C804, LAST_PRICE))</f>
        <v>1.41</v>
      </c>
    </row>
    <row r="805" spans="1:30" x14ac:dyDescent="0.35">
      <c r="A805" s="1">
        <f t="shared" si="12"/>
        <v>802</v>
      </c>
      <c r="B805" s="28">
        <v>45700</v>
      </c>
      <c r="C805" s="29" t="s">
        <v>1662</v>
      </c>
      <c r="D805" s="29" t="s">
        <v>1662</v>
      </c>
      <c r="E805" s="29" t="s">
        <v>1663</v>
      </c>
      <c r="F805" s="29" t="s">
        <v>33</v>
      </c>
      <c r="G805" s="30" t="s">
        <v>34</v>
      </c>
      <c r="H805" s="31">
        <v>62465.114466933599</v>
      </c>
      <c r="I805" s="31">
        <v>-69321.887619705798</v>
      </c>
      <c r="J805" s="32">
        <v>5.0000002374872598E-4</v>
      </c>
      <c r="K805" s="33">
        <v>45700</v>
      </c>
      <c r="L805" s="31"/>
      <c r="M805" s="32"/>
      <c r="N805" s="31"/>
      <c r="O805" s="33">
        <v>45699</v>
      </c>
      <c r="P805" s="34">
        <v>134141.265625</v>
      </c>
      <c r="Q805" s="34">
        <v>362131.75</v>
      </c>
      <c r="R805" s="34">
        <v>570562.0625</v>
      </c>
      <c r="S805" s="29"/>
      <c r="T805" s="33"/>
      <c r="U805" s="35" t="b">
        <v>1</v>
      </c>
      <c r="V805" s="35" t="b">
        <v>1</v>
      </c>
      <c r="W805" s="35" t="b">
        <v>1</v>
      </c>
      <c r="Y805" s="31" cm="1">
        <f t="array" ref="Y805">IF(LEFT(_xll.BDP($C805, VOLUME_AVG_10D), 4) = "#N/A", "",  _xll.BDP($C805, VOLUME_AVG_10D))</f>
        <v>120421.8984375</v>
      </c>
      <c r="Z805" s="31" cm="1">
        <f t="array" ref="Z805">IF(LEFT(_xll.BDP($C805, VOLUME_AVG_30D), 4) = "#N/A", "",  _xll.BDP($C805, VOLUME_AVG_30D))</f>
        <v>134141.265625</v>
      </c>
      <c r="AA805" s="31" cm="1">
        <f t="array" ref="AA805">IF(LEFT(_xll.BDP($C805, VOLUME_AVG_3M), 4) = "#N/A", "",  _xll.BDP($C805, VOLUME_AVG_3M))</f>
        <v>362131.75</v>
      </c>
      <c r="AB805" s="31" cm="1">
        <f t="array" ref="AB805">IF(LEFT(_xll.BDP($C805, VOLUME_AVG_6M), 4) = "#N/A", "",  _xll.BDP($C805, VOLUME_AVG_6M))</f>
        <v>570562.0625</v>
      </c>
      <c r="AC805" s="31" cm="1">
        <f t="array" ref="AC805">IF(LEFT(_xll.BDP($C805, VOLUME_AVG_12M), 4) = "#N/A", "",  _xll.BDP($C805, VOLUME_AVG_12M))</f>
        <v>2270115.75</v>
      </c>
      <c r="AD805" s="41" cm="1">
        <f t="array" ref="AD805">IF(LEFT(_xll.BDP($C805, LAST_PRICE), 4) = "#N/A", "",  _xll.BDP($C805, LAST_PRICE))</f>
        <v>5.0000000000000001E-4</v>
      </c>
    </row>
    <row r="806" spans="1:30" x14ac:dyDescent="0.35">
      <c r="A806" s="1">
        <f t="shared" si="12"/>
        <v>803</v>
      </c>
      <c r="B806" s="28">
        <v>45700</v>
      </c>
      <c r="C806" s="29" t="s">
        <v>1664</v>
      </c>
      <c r="D806" s="29" t="s">
        <v>1664</v>
      </c>
      <c r="E806" s="29" t="s">
        <v>1665</v>
      </c>
      <c r="F806" s="29" t="s">
        <v>33</v>
      </c>
      <c r="G806" s="30" t="s">
        <v>34</v>
      </c>
      <c r="H806" s="31"/>
      <c r="I806" s="31"/>
      <c r="J806" s="32"/>
      <c r="K806" s="33">
        <v>45700</v>
      </c>
      <c r="L806" s="31"/>
      <c r="M806" s="32"/>
      <c r="N806" s="31"/>
      <c r="O806" s="33">
        <v>45699</v>
      </c>
      <c r="P806" s="34"/>
      <c r="Q806" s="34"/>
      <c r="R806" s="34"/>
      <c r="S806" s="29"/>
      <c r="T806" s="33"/>
      <c r="U806" s="35" t="b">
        <v>1</v>
      </c>
      <c r="V806" s="35" t="b">
        <v>1</v>
      </c>
      <c r="W806" s="35" t="b">
        <v>1</v>
      </c>
      <c r="Y806" s="31" t="str" cm="1">
        <f t="array" ref="Y806">IF(LEFT(_xll.BDP($C806, VOLUME_AVG_10D), 4) = "#N/A", "",  _xll.BDP($C806, VOLUME_AVG_10D))</f>
        <v/>
      </c>
      <c r="Z806" s="31" t="str" cm="1">
        <f t="array" ref="Z806">IF(LEFT(_xll.BDP($C806, VOLUME_AVG_30D), 4) = "#N/A", "",  _xll.BDP($C806, VOLUME_AVG_30D))</f>
        <v/>
      </c>
      <c r="AA806" s="31" t="str" cm="1">
        <f t="array" ref="AA806">IF(LEFT(_xll.BDP($C806, VOLUME_AVG_3M), 4) = "#N/A", "",  _xll.BDP($C806, VOLUME_AVG_3M))</f>
        <v/>
      </c>
      <c r="AB806" s="31" t="str" cm="1">
        <f t="array" ref="AB806">IF(LEFT(_xll.BDP($C806, VOLUME_AVG_6M), 4) = "#N/A", "",  _xll.BDP($C806, VOLUME_AVG_6M))</f>
        <v/>
      </c>
      <c r="AC806" s="31" t="str" cm="1">
        <f t="array" ref="AC806">IF(LEFT(_xll.BDP($C806, VOLUME_AVG_12M), 4) = "#N/A", "",  _xll.BDP($C806, VOLUME_AVG_12M))</f>
        <v/>
      </c>
      <c r="AD806" s="41" t="str" cm="1">
        <f t="array" ref="AD806">IF(LEFT(_xll.BDP($C806, LAST_PRICE), 4) = "#N/A", "",  _xll.BDP($C806, LAST_PRICE))</f>
        <v/>
      </c>
    </row>
    <row r="807" spans="1:30" x14ac:dyDescent="0.35">
      <c r="A807" s="1">
        <f t="shared" si="12"/>
        <v>804</v>
      </c>
      <c r="B807" s="28">
        <v>45700</v>
      </c>
      <c r="C807" s="29" t="s">
        <v>1666</v>
      </c>
      <c r="D807" s="29" t="s">
        <v>1666</v>
      </c>
      <c r="E807" s="29" t="s">
        <v>1667</v>
      </c>
      <c r="F807" s="29" t="s">
        <v>40</v>
      </c>
      <c r="G807" s="30" t="s">
        <v>41</v>
      </c>
      <c r="H807" s="31">
        <v>2177479.0074469699</v>
      </c>
      <c r="I807" s="31">
        <v>15678607.007447001</v>
      </c>
      <c r="J807" s="32">
        <v>2.5000000372528999E-2</v>
      </c>
      <c r="K807" s="33">
        <v>45700</v>
      </c>
      <c r="L807" s="31"/>
      <c r="M807" s="32"/>
      <c r="N807" s="31"/>
      <c r="O807" s="33">
        <v>45699</v>
      </c>
      <c r="P807" s="34">
        <v>49358.54</v>
      </c>
      <c r="Q807" s="34">
        <v>48450.14</v>
      </c>
      <c r="R807" s="34">
        <v>42229.2</v>
      </c>
      <c r="S807" s="29"/>
      <c r="T807" s="33"/>
      <c r="U807" s="35" t="b">
        <v>1</v>
      </c>
      <c r="V807" s="35" t="b">
        <v>1</v>
      </c>
      <c r="W807" s="35" t="b">
        <v>0</v>
      </c>
      <c r="Y807" s="31" cm="1">
        <f t="array" ref="Y807">IF(LEFT(_xll.BDP($C807, VOLUME_AVG_10D), 4) = "#N/A", "",  _xll.BDP($C807, VOLUME_AVG_10D))</f>
        <v>10448.299999999999</v>
      </c>
      <c r="Z807" s="31" cm="1">
        <f t="array" ref="Z807">IF(LEFT(_xll.BDP($C807, VOLUME_AVG_30D), 4) = "#N/A", "",  _xll.BDP($C807, VOLUME_AVG_30D))</f>
        <v>49358.54</v>
      </c>
      <c r="AA807" s="31" cm="1">
        <f t="array" ref="AA807">IF(LEFT(_xll.BDP($C807, VOLUME_AVG_3M), 4) = "#N/A", "",  _xll.BDP($C807, VOLUME_AVG_3M))</f>
        <v>48450.14</v>
      </c>
      <c r="AB807" s="31" cm="1">
        <f t="array" ref="AB807">IF(LEFT(_xll.BDP($C807, VOLUME_AVG_6M), 4) = "#N/A", "",  _xll.BDP($C807, VOLUME_AVG_6M))</f>
        <v>42229.2</v>
      </c>
      <c r="AC807" s="31" cm="1">
        <f t="array" ref="AC807">IF(LEFT(_xll.BDP($C807, VOLUME_AVG_12M), 4) = "#N/A", "",  _xll.BDP($C807, VOLUME_AVG_12M))</f>
        <v>52963.27</v>
      </c>
      <c r="AD807" s="41" cm="1">
        <f t="array" ref="AD807">IF(LEFT(_xll.BDP($C807, LAST_PRICE), 4) = "#N/A", "",  _xll.BDP($C807, LAST_PRICE))</f>
        <v>2.5000000000000001E-2</v>
      </c>
    </row>
    <row r="808" spans="1:30" x14ac:dyDescent="0.35">
      <c r="A808" s="1">
        <f t="shared" si="12"/>
        <v>805</v>
      </c>
      <c r="B808" s="28">
        <v>45700</v>
      </c>
      <c r="C808" s="29" t="s">
        <v>1668</v>
      </c>
      <c r="D808" s="29" t="s">
        <v>1668</v>
      </c>
      <c r="E808" s="29" t="s">
        <v>1669</v>
      </c>
      <c r="F808" s="29" t="s">
        <v>33</v>
      </c>
      <c r="G808" s="30" t="s">
        <v>34</v>
      </c>
      <c r="H808" s="31">
        <v>7651739.3517246898</v>
      </c>
      <c r="I808" s="31">
        <v>30622739.351724699</v>
      </c>
      <c r="J808" s="32">
        <v>0.82800000905990601</v>
      </c>
      <c r="K808" s="33">
        <v>45700</v>
      </c>
      <c r="L808" s="31">
        <v>318900</v>
      </c>
      <c r="M808" s="32">
        <v>-5.45</v>
      </c>
      <c r="N808" s="31" t="s">
        <v>35</v>
      </c>
      <c r="O808" s="33">
        <v>45699</v>
      </c>
      <c r="P808" s="34">
        <v>412435.125</v>
      </c>
      <c r="Q808" s="34">
        <v>438878.71875</v>
      </c>
      <c r="R808" s="34">
        <v>374391.21875</v>
      </c>
      <c r="S808" s="29"/>
      <c r="T808" s="33"/>
      <c r="U808" s="35" t="b">
        <v>1</v>
      </c>
      <c r="V808" s="35" t="b">
        <v>0</v>
      </c>
      <c r="W808" s="35" t="b">
        <v>0</v>
      </c>
      <c r="Y808" s="31" cm="1">
        <f t="array" ref="Y808">IF(LEFT(_xll.BDP($C808, VOLUME_AVG_10D), 4) = "#N/A", "",  _xll.BDP($C808, VOLUME_AVG_10D))</f>
        <v>249099.703125</v>
      </c>
      <c r="Z808" s="31" cm="1">
        <f t="array" ref="Z808">IF(LEFT(_xll.BDP($C808, VOLUME_AVG_30D), 4) = "#N/A", "",  _xll.BDP($C808, VOLUME_AVG_30D))</f>
        <v>412435.125</v>
      </c>
      <c r="AA808" s="31" cm="1">
        <f t="array" ref="AA808">IF(LEFT(_xll.BDP($C808, VOLUME_AVG_3M), 4) = "#N/A", "",  _xll.BDP($C808, VOLUME_AVG_3M))</f>
        <v>438878.71875</v>
      </c>
      <c r="AB808" s="31" cm="1">
        <f t="array" ref="AB808">IF(LEFT(_xll.BDP($C808, VOLUME_AVG_6M), 4) = "#N/A", "",  _xll.BDP($C808, VOLUME_AVG_6M))</f>
        <v>374391.21875</v>
      </c>
      <c r="AC808" s="31" cm="1">
        <f t="array" ref="AC808">IF(LEFT(_xll.BDP($C808, VOLUME_AVG_12M), 4) = "#N/A", "",  _xll.BDP($C808, VOLUME_AVG_12M))</f>
        <v>726914.0625</v>
      </c>
      <c r="AD808" s="41" cm="1">
        <f t="array" ref="AD808">IF(LEFT(_xll.BDP($C808, LAST_PRICE), 4) = "#N/A", "",  _xll.BDP($C808, LAST_PRICE))</f>
        <v>0.82799999999999996</v>
      </c>
    </row>
    <row r="809" spans="1:30" x14ac:dyDescent="0.35">
      <c r="A809" s="1">
        <f t="shared" si="12"/>
        <v>806</v>
      </c>
      <c r="B809" s="28">
        <v>45700</v>
      </c>
      <c r="C809" s="29" t="s">
        <v>1670</v>
      </c>
      <c r="D809" s="29" t="s">
        <v>1670</v>
      </c>
      <c r="E809" s="29" t="s">
        <v>1671</v>
      </c>
      <c r="F809" s="29" t="s">
        <v>33</v>
      </c>
      <c r="G809" s="30" t="s">
        <v>34</v>
      </c>
      <c r="H809" s="31">
        <v>2151245761.5016198</v>
      </c>
      <c r="I809" s="31">
        <v>1516645761.5016201</v>
      </c>
      <c r="J809" s="32">
        <v>36.779998779296903</v>
      </c>
      <c r="K809" s="33">
        <v>45700</v>
      </c>
      <c r="L809" s="31">
        <v>11283700</v>
      </c>
      <c r="M809" s="32">
        <v>3.88</v>
      </c>
      <c r="N809" s="31" t="s">
        <v>35</v>
      </c>
      <c r="O809" s="33">
        <v>45699</v>
      </c>
      <c r="P809" s="34">
        <v>1068834.125</v>
      </c>
      <c r="Q809" s="34">
        <v>1173692.125</v>
      </c>
      <c r="R809" s="34">
        <v>880160.3125</v>
      </c>
      <c r="S809" s="29" t="s">
        <v>46</v>
      </c>
      <c r="T809" s="33">
        <v>45446</v>
      </c>
      <c r="U809" s="35" t="b">
        <v>0</v>
      </c>
      <c r="V809" s="35" t="b">
        <v>0</v>
      </c>
      <c r="W809" s="35" t="b">
        <v>0</v>
      </c>
      <c r="Y809" s="31" cm="1">
        <f t="array" ref="Y809">IF(LEFT(_xll.BDP($C809, VOLUME_AVG_10D), 4) = "#N/A", "",  _xll.BDP($C809, VOLUME_AVG_10D))</f>
        <v>936465.625</v>
      </c>
      <c r="Z809" s="31" cm="1">
        <f t="array" ref="Z809">IF(LEFT(_xll.BDP($C809, VOLUME_AVG_30D), 4) = "#N/A", "",  _xll.BDP($C809, VOLUME_AVG_30D))</f>
        <v>1068834.125</v>
      </c>
      <c r="AA809" s="31" cm="1">
        <f t="array" ref="AA809">IF(LEFT(_xll.BDP($C809, VOLUME_AVG_3M), 4) = "#N/A", "",  _xll.BDP($C809, VOLUME_AVG_3M))</f>
        <v>1173692.125</v>
      </c>
      <c r="AB809" s="31" cm="1">
        <f t="array" ref="AB809">IF(LEFT(_xll.BDP($C809, VOLUME_AVG_6M), 4) = "#N/A", "",  _xll.BDP($C809, VOLUME_AVG_6M))</f>
        <v>880160.3125</v>
      </c>
      <c r="AC809" s="31" cm="1">
        <f t="array" ref="AC809">IF(LEFT(_xll.BDP($C809, VOLUME_AVG_12M), 4) = "#N/A", "",  _xll.BDP($C809, VOLUME_AVG_12M))</f>
        <v>897767.625</v>
      </c>
      <c r="AD809" s="41" cm="1">
        <f t="array" ref="AD809">IF(LEFT(_xll.BDP($C809, LAST_PRICE), 4) = "#N/A", "",  _xll.BDP($C809, LAST_PRICE))</f>
        <v>36.78</v>
      </c>
    </row>
    <row r="810" spans="1:30" x14ac:dyDescent="0.35">
      <c r="A810" s="1">
        <f t="shared" si="12"/>
        <v>807</v>
      </c>
      <c r="B810" s="28">
        <v>45700</v>
      </c>
      <c r="C810" s="29" t="s">
        <v>1672</v>
      </c>
      <c r="D810" s="29" t="s">
        <v>1672</v>
      </c>
      <c r="E810" s="29" t="s">
        <v>1673</v>
      </c>
      <c r="F810" s="29" t="s">
        <v>33</v>
      </c>
      <c r="G810" s="30" t="s">
        <v>34</v>
      </c>
      <c r="H810" s="31">
        <v>82357424.536462799</v>
      </c>
      <c r="I810" s="31">
        <v>-8075575.4635372199</v>
      </c>
      <c r="J810" s="32">
        <v>5.4899997711181596</v>
      </c>
      <c r="K810" s="33">
        <v>45700</v>
      </c>
      <c r="L810" s="31">
        <v>1927900</v>
      </c>
      <c r="M810" s="32">
        <v>3.55</v>
      </c>
      <c r="N810" s="31" t="s">
        <v>35</v>
      </c>
      <c r="O810" s="33">
        <v>45699</v>
      </c>
      <c r="P810" s="34">
        <v>797484.8125</v>
      </c>
      <c r="Q810" s="34">
        <v>485549.71875</v>
      </c>
      <c r="R810" s="34">
        <v>374182.6875</v>
      </c>
      <c r="S810" s="29" t="s">
        <v>73</v>
      </c>
      <c r="T810" s="33">
        <v>45446</v>
      </c>
      <c r="U810" s="35" t="b">
        <v>0</v>
      </c>
      <c r="V810" s="35" t="b">
        <v>0</v>
      </c>
      <c r="W810" s="35" t="b">
        <v>1</v>
      </c>
      <c r="Y810" s="31" cm="1">
        <f t="array" ref="Y810">IF(LEFT(_xll.BDP($C810, VOLUME_AVG_10D), 4) = "#N/A", "",  _xll.BDP($C810, VOLUME_AVG_10D))</f>
        <v>486263.59375</v>
      </c>
      <c r="Z810" s="31" cm="1">
        <f t="array" ref="Z810">IF(LEFT(_xll.BDP($C810, VOLUME_AVG_30D), 4) = "#N/A", "",  _xll.BDP($C810, VOLUME_AVG_30D))</f>
        <v>797484.8125</v>
      </c>
      <c r="AA810" s="31" cm="1">
        <f t="array" ref="AA810">IF(LEFT(_xll.BDP($C810, VOLUME_AVG_3M), 4) = "#N/A", "",  _xll.BDP($C810, VOLUME_AVG_3M))</f>
        <v>485549.71875</v>
      </c>
      <c r="AB810" s="31" cm="1">
        <f t="array" ref="AB810">IF(LEFT(_xll.BDP($C810, VOLUME_AVG_6M), 4) = "#N/A", "",  _xll.BDP($C810, VOLUME_AVG_6M))</f>
        <v>374182.6875</v>
      </c>
      <c r="AC810" s="31" cm="1">
        <f t="array" ref="AC810">IF(LEFT(_xll.BDP($C810, VOLUME_AVG_12M), 4) = "#N/A", "",  _xll.BDP($C810, VOLUME_AVG_12M))</f>
        <v>254316.78125</v>
      </c>
      <c r="AD810" s="41" cm="1">
        <f t="array" ref="AD810">IF(LEFT(_xll.BDP($C810, LAST_PRICE), 4) = "#N/A", "",  _xll.BDP($C810, LAST_PRICE))</f>
        <v>5.49</v>
      </c>
    </row>
    <row r="811" spans="1:30" x14ac:dyDescent="0.35">
      <c r="A811" s="1">
        <f t="shared" si="12"/>
        <v>808</v>
      </c>
      <c r="B811" s="28">
        <v>45700</v>
      </c>
      <c r="C811" s="29" t="s">
        <v>1674</v>
      </c>
      <c r="D811" s="29" t="s">
        <v>1674</v>
      </c>
      <c r="E811" s="29" t="s">
        <v>1675</v>
      </c>
      <c r="F811" s="29" t="s">
        <v>33</v>
      </c>
      <c r="G811" s="30" t="s">
        <v>34</v>
      </c>
      <c r="H811" s="31">
        <v>8187970088.0742197</v>
      </c>
      <c r="I811" s="31">
        <v>11771855088.0742</v>
      </c>
      <c r="J811" s="32">
        <v>135.44000244140599</v>
      </c>
      <c r="K811" s="33">
        <v>45700</v>
      </c>
      <c r="L811" s="31"/>
      <c r="M811" s="32"/>
      <c r="N811" s="31"/>
      <c r="O811" s="33">
        <v>45699</v>
      </c>
      <c r="P811" s="34">
        <v>531278.875</v>
      </c>
      <c r="Q811" s="34">
        <v>597721.5625</v>
      </c>
      <c r="R811" s="34">
        <v>623128.5625</v>
      </c>
      <c r="S811" s="29" t="s">
        <v>82</v>
      </c>
      <c r="T811" s="33">
        <v>45446</v>
      </c>
      <c r="U811" s="35" t="b">
        <v>0</v>
      </c>
      <c r="V811" s="35" t="b">
        <v>0</v>
      </c>
      <c r="W811" s="35" t="b">
        <v>0</v>
      </c>
      <c r="Y811" s="31" cm="1">
        <f t="array" ref="Y811">IF(LEFT(_xll.BDP($C811, VOLUME_AVG_10D), 4) = "#N/A", "",  _xll.BDP($C811, VOLUME_AVG_10D))</f>
        <v>629946.5</v>
      </c>
      <c r="Z811" s="31" cm="1">
        <f t="array" ref="Z811">IF(LEFT(_xll.BDP($C811, VOLUME_AVG_30D), 4) = "#N/A", "",  _xll.BDP($C811, VOLUME_AVG_30D))</f>
        <v>531278.875</v>
      </c>
      <c r="AA811" s="31" cm="1">
        <f t="array" ref="AA811">IF(LEFT(_xll.BDP($C811, VOLUME_AVG_3M), 4) = "#N/A", "",  _xll.BDP($C811, VOLUME_AVG_3M))</f>
        <v>597721.5625</v>
      </c>
      <c r="AB811" s="31" cm="1">
        <f t="array" ref="AB811">IF(LEFT(_xll.BDP($C811, VOLUME_AVG_6M), 4) = "#N/A", "",  _xll.BDP($C811, VOLUME_AVG_6M))</f>
        <v>623128.5625</v>
      </c>
      <c r="AC811" s="31" cm="1">
        <f t="array" ref="AC811">IF(LEFT(_xll.BDP($C811, VOLUME_AVG_12M), 4) = "#N/A", "",  _xll.BDP($C811, VOLUME_AVG_12M))</f>
        <v>669137.1875</v>
      </c>
      <c r="AD811" s="41" cm="1">
        <f t="array" ref="AD811">IF(LEFT(_xll.BDP($C811, LAST_PRICE), 4) = "#N/A", "",  _xll.BDP($C811, LAST_PRICE))</f>
        <v>135.44</v>
      </c>
    </row>
    <row r="812" spans="1:30" x14ac:dyDescent="0.35">
      <c r="A812" s="1">
        <f t="shared" si="12"/>
        <v>809</v>
      </c>
      <c r="B812" s="28">
        <v>45700</v>
      </c>
      <c r="C812" s="29" t="s">
        <v>1676</v>
      </c>
      <c r="D812" s="29" t="s">
        <v>1676</v>
      </c>
      <c r="E812" s="29" t="s">
        <v>1677</v>
      </c>
      <c r="F812" s="29" t="s">
        <v>33</v>
      </c>
      <c r="G812" s="30" t="s">
        <v>34</v>
      </c>
      <c r="H812" s="31">
        <v>114498.40151798</v>
      </c>
      <c r="I812" s="31"/>
      <c r="J812" s="32">
        <v>1.70000002253801E-3</v>
      </c>
      <c r="K812" s="33">
        <v>45700</v>
      </c>
      <c r="L812" s="31"/>
      <c r="M812" s="32"/>
      <c r="N812" s="31"/>
      <c r="O812" s="33">
        <v>45699</v>
      </c>
      <c r="P812" s="34">
        <v>2182309.25</v>
      </c>
      <c r="Q812" s="34">
        <v>1130856.375</v>
      </c>
      <c r="R812" s="34">
        <v>584685.5625</v>
      </c>
      <c r="S812" s="29"/>
      <c r="T812" s="33"/>
      <c r="U812" s="35" t="b">
        <v>1</v>
      </c>
      <c r="V812" s="35" t="b">
        <v>1</v>
      </c>
      <c r="W812" s="35" t="b">
        <v>1</v>
      </c>
      <c r="Y812" s="31" cm="1">
        <f t="array" ref="Y812">IF(LEFT(_xll.BDP($C812, VOLUME_AVG_10D), 4) = "#N/A", "",  _xll.BDP($C812, VOLUME_AVG_10D))</f>
        <v>616287.8125</v>
      </c>
      <c r="Z812" s="31" cm="1">
        <f t="array" ref="Z812">IF(LEFT(_xll.BDP($C812, VOLUME_AVG_30D), 4) = "#N/A", "",  _xll.BDP($C812, VOLUME_AVG_30D))</f>
        <v>2182309.25</v>
      </c>
      <c r="AA812" s="31" cm="1">
        <f t="array" ref="AA812">IF(LEFT(_xll.BDP($C812, VOLUME_AVG_3M), 4) = "#N/A", "",  _xll.BDP($C812, VOLUME_AVG_3M))</f>
        <v>1130856.375</v>
      </c>
      <c r="AB812" s="31" cm="1">
        <f t="array" ref="AB812">IF(LEFT(_xll.BDP($C812, VOLUME_AVG_6M), 4) = "#N/A", "",  _xll.BDP($C812, VOLUME_AVG_6M))</f>
        <v>584685.5625</v>
      </c>
      <c r="AC812" s="31" cm="1">
        <f t="array" ref="AC812">IF(LEFT(_xll.BDP($C812, VOLUME_AVG_12M), 4) = "#N/A", "",  _xll.BDP($C812, VOLUME_AVG_12M))</f>
        <v>554107.3125</v>
      </c>
      <c r="AD812" s="41" cm="1">
        <f t="array" ref="AD812">IF(LEFT(_xll.BDP($C812, LAST_PRICE), 4) = "#N/A", "",  _xll.BDP($C812, LAST_PRICE))</f>
        <v>1.6999999999999999E-3</v>
      </c>
    </row>
    <row r="813" spans="1:30" x14ac:dyDescent="0.35">
      <c r="A813" s="1">
        <f t="shared" si="12"/>
        <v>810</v>
      </c>
      <c r="B813" s="28">
        <v>45700</v>
      </c>
      <c r="C813" s="29" t="s">
        <v>1678</v>
      </c>
      <c r="D813" s="29" t="s">
        <v>1678</v>
      </c>
      <c r="E813" s="29" t="s">
        <v>1679</v>
      </c>
      <c r="F813" s="29" t="s">
        <v>33</v>
      </c>
      <c r="G813" s="30" t="s">
        <v>34</v>
      </c>
      <c r="H813" s="31">
        <v>126411783.996475</v>
      </c>
      <c r="I813" s="31">
        <v>126219605.996475</v>
      </c>
      <c r="J813" s="32">
        <v>0.80750000476837203</v>
      </c>
      <c r="K813" s="33">
        <v>45700</v>
      </c>
      <c r="L813" s="31"/>
      <c r="M813" s="32"/>
      <c r="N813" s="31"/>
      <c r="O813" s="33">
        <v>45699</v>
      </c>
      <c r="P813" s="34">
        <v>405484.59375</v>
      </c>
      <c r="Q813" s="34">
        <v>378433.03125</v>
      </c>
      <c r="R813" s="34">
        <v>326599.375</v>
      </c>
      <c r="S813" s="29"/>
      <c r="T813" s="33"/>
      <c r="U813" s="35" t="b">
        <v>0</v>
      </c>
      <c r="V813" s="35" t="b">
        <v>0</v>
      </c>
      <c r="W813" s="35" t="b">
        <v>0</v>
      </c>
      <c r="Y813" s="31" cm="1">
        <f t="array" ref="Y813">IF(LEFT(_xll.BDP($C813, VOLUME_AVG_10D), 4) = "#N/A", "",  _xll.BDP($C813, VOLUME_AVG_10D))</f>
        <v>214376.59375</v>
      </c>
      <c r="Z813" s="31" cm="1">
        <f t="array" ref="Z813">IF(LEFT(_xll.BDP($C813, VOLUME_AVG_30D), 4) = "#N/A", "",  _xll.BDP($C813, VOLUME_AVG_30D))</f>
        <v>405484.59375</v>
      </c>
      <c r="AA813" s="31" cm="1">
        <f t="array" ref="AA813">IF(LEFT(_xll.BDP($C813, VOLUME_AVG_3M), 4) = "#N/A", "",  _xll.BDP($C813, VOLUME_AVG_3M))</f>
        <v>378433.03125</v>
      </c>
      <c r="AB813" s="31" cm="1">
        <f t="array" ref="AB813">IF(LEFT(_xll.BDP($C813, VOLUME_AVG_6M), 4) = "#N/A", "",  _xll.BDP($C813, VOLUME_AVG_6M))</f>
        <v>326599.375</v>
      </c>
      <c r="AC813" s="31" cm="1">
        <f t="array" ref="AC813">IF(LEFT(_xll.BDP($C813, VOLUME_AVG_12M), 4) = "#N/A", "",  _xll.BDP($C813, VOLUME_AVG_12M))</f>
        <v>338939.375</v>
      </c>
      <c r="AD813" s="41" cm="1">
        <f t="array" ref="AD813">IF(LEFT(_xll.BDP($C813, LAST_PRICE), 4) = "#N/A", "",  _xll.BDP($C813, LAST_PRICE))</f>
        <v>0.8075</v>
      </c>
    </row>
    <row r="814" spans="1:30" x14ac:dyDescent="0.35">
      <c r="A814" s="1">
        <f t="shared" si="12"/>
        <v>811</v>
      </c>
      <c r="B814" s="28">
        <v>45700</v>
      </c>
      <c r="C814" s="29" t="s">
        <v>1680</v>
      </c>
      <c r="D814" s="29" t="s">
        <v>1680</v>
      </c>
      <c r="E814" s="29" t="s">
        <v>1681</v>
      </c>
      <c r="F814" s="29" t="s">
        <v>33</v>
      </c>
      <c r="G814" s="30" t="s">
        <v>34</v>
      </c>
      <c r="H814" s="31">
        <v>373807529407.25201</v>
      </c>
      <c r="I814" s="31"/>
      <c r="J814" s="32">
        <v>155.25999450683599</v>
      </c>
      <c r="K814" s="33">
        <v>45700</v>
      </c>
      <c r="L814" s="31">
        <v>509700992</v>
      </c>
      <c r="M814" s="32">
        <v>3.88</v>
      </c>
      <c r="N814" s="31" t="s">
        <v>35</v>
      </c>
      <c r="O814" s="33">
        <v>45699</v>
      </c>
      <c r="P814" s="34">
        <v>8796432</v>
      </c>
      <c r="Q814" s="34">
        <v>8638446</v>
      </c>
      <c r="R814" s="34">
        <v>7362369</v>
      </c>
      <c r="S814" s="29"/>
      <c r="T814" s="33"/>
      <c r="U814" s="35" t="b">
        <v>0</v>
      </c>
      <c r="V814" s="35" t="b">
        <v>0</v>
      </c>
      <c r="W814" s="35" t="b">
        <v>1</v>
      </c>
      <c r="Y814" s="31" cm="1">
        <f t="array" ref="Y814">IF(LEFT(_xll.BDP($C814, VOLUME_AVG_10D), 4) = "#N/A", "",  _xll.BDP($C814, VOLUME_AVG_10D))</f>
        <v>7792061</v>
      </c>
      <c r="Z814" s="31" cm="1">
        <f t="array" ref="Z814">IF(LEFT(_xll.BDP($C814, VOLUME_AVG_30D), 4) = "#N/A", "",  _xll.BDP($C814, VOLUME_AVG_30D))</f>
        <v>8796432</v>
      </c>
      <c r="AA814" s="31" cm="1">
        <f t="array" ref="AA814">IF(LEFT(_xll.BDP($C814, VOLUME_AVG_3M), 4) = "#N/A", "",  _xll.BDP($C814, VOLUME_AVG_3M))</f>
        <v>8638446</v>
      </c>
      <c r="AB814" s="31" cm="1">
        <f t="array" ref="AB814">IF(LEFT(_xll.BDP($C814, VOLUME_AVG_6M), 4) = "#N/A", "",  _xll.BDP($C814, VOLUME_AVG_6M))</f>
        <v>7362369</v>
      </c>
      <c r="AC814" s="31" cm="1">
        <f t="array" ref="AC814">IF(LEFT(_xll.BDP($C814, VOLUME_AVG_12M), 4) = "#N/A", "",  _xll.BDP($C814, VOLUME_AVG_12M))</f>
        <v>7390631.5</v>
      </c>
      <c r="AD814" s="41" cm="1">
        <f t="array" ref="AD814">IF(LEFT(_xll.BDP($C814, LAST_PRICE), 4) = "#N/A", "",  _xll.BDP($C814, LAST_PRICE))</f>
        <v>155.26</v>
      </c>
    </row>
    <row r="815" spans="1:30" x14ac:dyDescent="0.35">
      <c r="A815" s="1">
        <f t="shared" si="12"/>
        <v>812</v>
      </c>
      <c r="B815" s="28">
        <v>45700</v>
      </c>
      <c r="C815" s="29" t="s">
        <v>1682</v>
      </c>
      <c r="D815" s="29" t="s">
        <v>1682</v>
      </c>
      <c r="E815" s="29" t="s">
        <v>1683</v>
      </c>
      <c r="F815" s="29" t="s">
        <v>33</v>
      </c>
      <c r="G815" s="30" t="s">
        <v>34</v>
      </c>
      <c r="H815" s="31">
        <v>172461343.019476</v>
      </c>
      <c r="I815" s="31">
        <v>161173092.019476</v>
      </c>
      <c r="J815" s="32">
        <v>11.5100002288818</v>
      </c>
      <c r="K815" s="33">
        <v>45700</v>
      </c>
      <c r="L815" s="31">
        <v>2622500</v>
      </c>
      <c r="M815" s="32">
        <v>3.88</v>
      </c>
      <c r="N815" s="31" t="s">
        <v>35</v>
      </c>
      <c r="O815" s="33">
        <v>45699</v>
      </c>
      <c r="P815" s="34">
        <v>45262.43359375</v>
      </c>
      <c r="Q815" s="34">
        <v>45349.2265625</v>
      </c>
      <c r="R815" s="34">
        <v>46837.80078125</v>
      </c>
      <c r="S815" s="29"/>
      <c r="T815" s="33"/>
      <c r="U815" s="35" t="b">
        <v>0</v>
      </c>
      <c r="V815" s="35" t="b">
        <v>0</v>
      </c>
      <c r="W815" s="35" t="b">
        <v>0</v>
      </c>
      <c r="Y815" s="31" cm="1">
        <f t="array" ref="Y815">IF(LEFT(_xll.BDP($C815, VOLUME_AVG_10D), 4) = "#N/A", "",  _xll.BDP($C815, VOLUME_AVG_10D))</f>
        <v>27703.5</v>
      </c>
      <c r="Z815" s="31" cm="1">
        <f t="array" ref="Z815">IF(LEFT(_xll.BDP($C815, VOLUME_AVG_30D), 4) = "#N/A", "",  _xll.BDP($C815, VOLUME_AVG_30D))</f>
        <v>45262.43359375</v>
      </c>
      <c r="AA815" s="31" cm="1">
        <f t="array" ref="AA815">IF(LEFT(_xll.BDP($C815, VOLUME_AVG_3M), 4) = "#N/A", "",  _xll.BDP($C815, VOLUME_AVG_3M))</f>
        <v>45349.2265625</v>
      </c>
      <c r="AB815" s="31" cm="1">
        <f t="array" ref="AB815">IF(LEFT(_xll.BDP($C815, VOLUME_AVG_6M), 4) = "#N/A", "",  _xll.BDP($C815, VOLUME_AVG_6M))</f>
        <v>46837.80078125</v>
      </c>
      <c r="AC815" s="31" cm="1">
        <f t="array" ref="AC815">IF(LEFT(_xll.BDP($C815, VOLUME_AVG_12M), 4) = "#N/A", "",  _xll.BDP($C815, VOLUME_AVG_12M))</f>
        <v>61181.30859375</v>
      </c>
      <c r="AD815" s="41" cm="1">
        <f t="array" ref="AD815">IF(LEFT(_xll.BDP($C815, LAST_PRICE), 4) = "#N/A", "",  _xll.BDP($C815, LAST_PRICE))</f>
        <v>11.51</v>
      </c>
    </row>
    <row r="816" spans="1:30" x14ac:dyDescent="0.35">
      <c r="A816" s="1">
        <f t="shared" si="12"/>
        <v>813</v>
      </c>
      <c r="B816" s="28">
        <v>45700</v>
      </c>
      <c r="C816" s="29" t="s">
        <v>1684</v>
      </c>
      <c r="D816" s="29" t="s">
        <v>1684</v>
      </c>
      <c r="E816" s="29" t="s">
        <v>1685</v>
      </c>
      <c r="F816" s="29" t="s">
        <v>33</v>
      </c>
      <c r="G816" s="30" t="s">
        <v>34</v>
      </c>
      <c r="H816" s="31">
        <v>109045461.537117</v>
      </c>
      <c r="I816" s="31">
        <v>99336461.537117004</v>
      </c>
      <c r="J816" s="32">
        <v>5.2199997901916504</v>
      </c>
      <c r="K816" s="33">
        <v>45700</v>
      </c>
      <c r="L816" s="31">
        <v>593200</v>
      </c>
      <c r="M816" s="32">
        <v>3.75</v>
      </c>
      <c r="N816" s="31" t="s">
        <v>35</v>
      </c>
      <c r="O816" s="33">
        <v>45699</v>
      </c>
      <c r="P816" s="34">
        <v>63748.69921875</v>
      </c>
      <c r="Q816" s="34">
        <v>79672.5</v>
      </c>
      <c r="R816" s="34">
        <v>83748.421875</v>
      </c>
      <c r="S816" s="29"/>
      <c r="T816" s="33"/>
      <c r="U816" s="35" t="b">
        <v>0</v>
      </c>
      <c r="V816" s="35" t="b">
        <v>0</v>
      </c>
      <c r="W816" s="35" t="b">
        <v>0</v>
      </c>
      <c r="Y816" s="31" cm="1">
        <f t="array" ref="Y816">IF(LEFT(_xll.BDP($C816, VOLUME_AVG_10D), 4) = "#N/A", "",  _xll.BDP($C816, VOLUME_AVG_10D))</f>
        <v>69099.296875</v>
      </c>
      <c r="Z816" s="31" cm="1">
        <f t="array" ref="Z816">IF(LEFT(_xll.BDP($C816, VOLUME_AVG_30D), 4) = "#N/A", "",  _xll.BDP($C816, VOLUME_AVG_30D))</f>
        <v>63748.69921875</v>
      </c>
      <c r="AA816" s="31" cm="1">
        <f t="array" ref="AA816">IF(LEFT(_xll.BDP($C816, VOLUME_AVG_3M), 4) = "#N/A", "",  _xll.BDP($C816, VOLUME_AVG_3M))</f>
        <v>79672.5</v>
      </c>
      <c r="AB816" s="31" cm="1">
        <f t="array" ref="AB816">IF(LEFT(_xll.BDP($C816, VOLUME_AVG_6M), 4) = "#N/A", "",  _xll.BDP($C816, VOLUME_AVG_6M))</f>
        <v>83748.421875</v>
      </c>
      <c r="AC816" s="31" cm="1">
        <f t="array" ref="AC816">IF(LEFT(_xll.BDP($C816, VOLUME_AVG_12M), 4) = "#N/A", "",  _xll.BDP($C816, VOLUME_AVG_12M))</f>
        <v>99167.125</v>
      </c>
      <c r="AD816" s="41" cm="1">
        <f t="array" ref="AD816">IF(LEFT(_xll.BDP($C816, LAST_PRICE), 4) = "#N/A", "",  _xll.BDP($C816, LAST_PRICE))</f>
        <v>5.22</v>
      </c>
    </row>
    <row r="817" spans="1:30" x14ac:dyDescent="0.35">
      <c r="A817" s="1">
        <f t="shared" si="12"/>
        <v>814</v>
      </c>
      <c r="B817" s="28">
        <v>45700</v>
      </c>
      <c r="C817" s="29" t="s">
        <v>1686</v>
      </c>
      <c r="D817" s="29" t="s">
        <v>1686</v>
      </c>
      <c r="E817" s="29" t="s">
        <v>1687</v>
      </c>
      <c r="F817" s="29" t="s">
        <v>33</v>
      </c>
      <c r="G817" s="30" t="s">
        <v>34</v>
      </c>
      <c r="H817" s="31">
        <v>29214156.213222701</v>
      </c>
      <c r="I817" s="31">
        <v>30929063.213222701</v>
      </c>
      <c r="J817" s="32">
        <v>0.88249999284744296</v>
      </c>
      <c r="K817" s="33">
        <v>45700</v>
      </c>
      <c r="L817" s="31">
        <v>240200</v>
      </c>
      <c r="M817" s="32">
        <v>-60.6</v>
      </c>
      <c r="N817" s="31" t="s">
        <v>35</v>
      </c>
      <c r="O817" s="33">
        <v>45699</v>
      </c>
      <c r="P817" s="34">
        <v>1226774.75</v>
      </c>
      <c r="Q817" s="34"/>
      <c r="R817" s="34"/>
      <c r="S817" s="29"/>
      <c r="T817" s="33"/>
      <c r="U817" s="35" t="b">
        <v>0</v>
      </c>
      <c r="V817" s="35" t="b">
        <v>0</v>
      </c>
      <c r="W817" s="35" t="b">
        <v>0</v>
      </c>
      <c r="Y817" s="31" cm="1">
        <f t="array" ref="Y817">IF(LEFT(_xll.BDP($C817, VOLUME_AVG_10D), 4) = "#N/A", "",  _xll.BDP($C817, VOLUME_AVG_10D))</f>
        <v>624632.6875</v>
      </c>
      <c r="Z817" s="31" cm="1">
        <f t="array" ref="Z817">IF(LEFT(_xll.BDP($C817, VOLUME_AVG_30D), 4) = "#N/A", "",  _xll.BDP($C817, VOLUME_AVG_30D))</f>
        <v>1226774.75</v>
      </c>
      <c r="AA817" s="31" t="str" cm="1">
        <f t="array" ref="AA817">IF(LEFT(_xll.BDP($C817, VOLUME_AVG_3M), 4) = "#N/A", "",  _xll.BDP($C817, VOLUME_AVG_3M))</f>
        <v/>
      </c>
      <c r="AB817" s="31" t="str" cm="1">
        <f t="array" ref="AB817">IF(LEFT(_xll.BDP($C817, VOLUME_AVG_6M), 4) = "#N/A", "",  _xll.BDP($C817, VOLUME_AVG_6M))</f>
        <v/>
      </c>
      <c r="AC817" s="31" t="str" cm="1">
        <f t="array" ref="AC817">IF(LEFT(_xll.BDP($C817, VOLUME_AVG_12M), 4) = "#N/A", "",  _xll.BDP($C817, VOLUME_AVG_12M))</f>
        <v/>
      </c>
      <c r="AD817" s="41" cm="1">
        <f t="array" ref="AD817">IF(LEFT(_xll.BDP($C817, LAST_PRICE), 4) = "#N/A", "",  _xll.BDP($C817, LAST_PRICE))</f>
        <v>0.88249999999999995</v>
      </c>
    </row>
    <row r="818" spans="1:30" x14ac:dyDescent="0.35">
      <c r="A818" s="1">
        <f t="shared" si="12"/>
        <v>815</v>
      </c>
      <c r="B818" s="28">
        <v>45700</v>
      </c>
      <c r="C818" s="29" t="s">
        <v>1688</v>
      </c>
      <c r="D818" s="29" t="s">
        <v>1688</v>
      </c>
      <c r="E818" s="29" t="s">
        <v>1689</v>
      </c>
      <c r="F818" s="29" t="s">
        <v>40</v>
      </c>
      <c r="G818" s="30" t="s">
        <v>41</v>
      </c>
      <c r="H818" s="31">
        <v>100282113.104775</v>
      </c>
      <c r="I818" s="31">
        <v>296363199.15737897</v>
      </c>
      <c r="J818" s="32">
        <v>0.50999999046325695</v>
      </c>
      <c r="K818" s="33">
        <v>45700</v>
      </c>
      <c r="L818" s="31"/>
      <c r="M818" s="32"/>
      <c r="N818" s="31"/>
      <c r="O818" s="33">
        <v>45699</v>
      </c>
      <c r="P818" s="34">
        <v>130825.9</v>
      </c>
      <c r="Q818" s="34">
        <v>236264.3</v>
      </c>
      <c r="R818" s="34">
        <v>212566.8</v>
      </c>
      <c r="S818" s="29"/>
      <c r="T818" s="33"/>
      <c r="U818" s="35" t="b">
        <v>0</v>
      </c>
      <c r="V818" s="35" t="b">
        <v>0</v>
      </c>
      <c r="W818" s="35" t="b">
        <v>0</v>
      </c>
      <c r="Y818" s="31" cm="1">
        <f t="array" ref="Y818">IF(LEFT(_xll.BDP($C818, VOLUME_AVG_10D), 4) = "#N/A", "",  _xll.BDP($C818, VOLUME_AVG_10D))</f>
        <v>155078.39999999999</v>
      </c>
      <c r="Z818" s="31" cm="1">
        <f t="array" ref="Z818">IF(LEFT(_xll.BDP($C818, VOLUME_AVG_30D), 4) = "#N/A", "",  _xll.BDP($C818, VOLUME_AVG_30D))</f>
        <v>130825.9</v>
      </c>
      <c r="AA818" s="31" cm="1">
        <f t="array" ref="AA818">IF(LEFT(_xll.BDP($C818, VOLUME_AVG_3M), 4) = "#N/A", "",  _xll.BDP($C818, VOLUME_AVG_3M))</f>
        <v>236264.3</v>
      </c>
      <c r="AB818" s="31" cm="1">
        <f t="array" ref="AB818">IF(LEFT(_xll.BDP($C818, VOLUME_AVG_6M), 4) = "#N/A", "",  _xll.BDP($C818, VOLUME_AVG_6M))</f>
        <v>212566.8</v>
      </c>
      <c r="AC818" s="31" cm="1">
        <f t="array" ref="AC818">IF(LEFT(_xll.BDP($C818, VOLUME_AVG_12M), 4) = "#N/A", "",  _xll.BDP($C818, VOLUME_AVG_12M))</f>
        <v>255881.5</v>
      </c>
      <c r="AD818" s="41" cm="1">
        <f t="array" ref="AD818">IF(LEFT(_xll.BDP($C818, LAST_PRICE), 4) = "#N/A", "",  _xll.BDP($C818, LAST_PRICE))</f>
        <v>0.51</v>
      </c>
    </row>
    <row r="819" spans="1:30" x14ac:dyDescent="0.35">
      <c r="A819" s="1">
        <f t="shared" si="12"/>
        <v>816</v>
      </c>
      <c r="B819" s="28">
        <v>45700</v>
      </c>
      <c r="C819" s="29" t="s">
        <v>1690</v>
      </c>
      <c r="D819" s="29" t="s">
        <v>1690</v>
      </c>
      <c r="E819" s="29" t="s">
        <v>1691</v>
      </c>
      <c r="F819" s="29" t="s">
        <v>33</v>
      </c>
      <c r="G819" s="30" t="s">
        <v>34</v>
      </c>
      <c r="H819" s="31">
        <v>18632444.915984701</v>
      </c>
      <c r="I819" s="31">
        <v>19177444.915984701</v>
      </c>
      <c r="J819" s="32">
        <v>1.3600000143051101</v>
      </c>
      <c r="K819" s="33">
        <v>45700</v>
      </c>
      <c r="L819" s="31">
        <v>6300</v>
      </c>
      <c r="M819" s="32">
        <v>-307.55</v>
      </c>
      <c r="N819" s="31" t="s">
        <v>35</v>
      </c>
      <c r="O819" s="33">
        <v>45699</v>
      </c>
      <c r="P819" s="34">
        <v>4666368</v>
      </c>
      <c r="Q819" s="34">
        <v>2520296</v>
      </c>
      <c r="R819" s="34"/>
      <c r="S819" s="29"/>
      <c r="T819" s="33"/>
      <c r="U819" s="35" t="b">
        <v>1</v>
      </c>
      <c r="V819" s="35" t="b">
        <v>0</v>
      </c>
      <c r="W819" s="35" t="b">
        <v>0</v>
      </c>
      <c r="Y819" s="31" cm="1">
        <f t="array" ref="Y819">IF(LEFT(_xll.BDP($C819, VOLUME_AVG_10D), 4) = "#N/A", "",  _xll.BDP($C819, VOLUME_AVG_10D))</f>
        <v>1778898.75</v>
      </c>
      <c r="Z819" s="31" cm="1">
        <f t="array" ref="Z819">IF(LEFT(_xll.BDP($C819, VOLUME_AVG_30D), 4) = "#N/A", "",  _xll.BDP($C819, VOLUME_AVG_30D))</f>
        <v>4666368</v>
      </c>
      <c r="AA819" s="31" cm="1">
        <f t="array" ref="AA819">IF(LEFT(_xll.BDP($C819, VOLUME_AVG_3M), 4) = "#N/A", "",  _xll.BDP($C819, VOLUME_AVG_3M))</f>
        <v>2520296</v>
      </c>
      <c r="AB819" s="31" t="str" cm="1">
        <f t="array" ref="AB819">IF(LEFT(_xll.BDP($C819, VOLUME_AVG_6M), 4) = "#N/A", "",  _xll.BDP($C819, VOLUME_AVG_6M))</f>
        <v/>
      </c>
      <c r="AC819" s="31" t="str" cm="1">
        <f t="array" ref="AC819">IF(LEFT(_xll.BDP($C819, VOLUME_AVG_12M), 4) = "#N/A", "",  _xll.BDP($C819, VOLUME_AVG_12M))</f>
        <v/>
      </c>
      <c r="AD819" s="41" cm="1">
        <f t="array" ref="AD819">IF(LEFT(_xll.BDP($C819, LAST_PRICE), 4) = "#N/A", "",  _xll.BDP($C819, LAST_PRICE))</f>
        <v>1.36</v>
      </c>
    </row>
    <row r="820" spans="1:30" x14ac:dyDescent="0.35">
      <c r="A820" s="1">
        <f t="shared" si="12"/>
        <v>817</v>
      </c>
      <c r="B820" s="28">
        <v>45700</v>
      </c>
      <c r="C820" s="29" t="s">
        <v>1692</v>
      </c>
      <c r="D820" s="29" t="s">
        <v>1692</v>
      </c>
      <c r="E820" s="29" t="s">
        <v>1693</v>
      </c>
      <c r="F820" s="29" t="s">
        <v>33</v>
      </c>
      <c r="G820" s="30" t="s">
        <v>34</v>
      </c>
      <c r="H820" s="31">
        <v>83445418.721772194</v>
      </c>
      <c r="I820" s="31">
        <v>71282418.721772194</v>
      </c>
      <c r="J820" s="32">
        <v>7.4400000572204599</v>
      </c>
      <c r="K820" s="33">
        <v>45700</v>
      </c>
      <c r="L820" s="31">
        <v>344200</v>
      </c>
      <c r="M820" s="32">
        <v>-13.45</v>
      </c>
      <c r="N820" s="31" t="s">
        <v>35</v>
      </c>
      <c r="O820" s="33">
        <v>45699</v>
      </c>
      <c r="P820" s="34">
        <v>66655.796875</v>
      </c>
      <c r="Q820" s="34">
        <v>48427.09765625</v>
      </c>
      <c r="R820" s="34">
        <v>32183.5390625</v>
      </c>
      <c r="S820" s="29"/>
      <c r="T820" s="33"/>
      <c r="U820" s="35" t="b">
        <v>0</v>
      </c>
      <c r="V820" s="35" t="b">
        <v>0</v>
      </c>
      <c r="W820" s="35" t="b">
        <v>0</v>
      </c>
      <c r="Y820" s="31" cm="1">
        <f t="array" ref="Y820">IF(LEFT(_xll.BDP($C820, VOLUME_AVG_10D), 4) = "#N/A", "",  _xll.BDP($C820, VOLUME_AVG_10D))</f>
        <v>78192.203125</v>
      </c>
      <c r="Z820" s="31" cm="1">
        <f t="array" ref="Z820">IF(LEFT(_xll.BDP($C820, VOLUME_AVG_30D), 4) = "#N/A", "",  _xll.BDP($C820, VOLUME_AVG_30D))</f>
        <v>66655.796875</v>
      </c>
      <c r="AA820" s="31" cm="1">
        <f t="array" ref="AA820">IF(LEFT(_xll.BDP($C820, VOLUME_AVG_3M), 4) = "#N/A", "",  _xll.BDP($C820, VOLUME_AVG_3M))</f>
        <v>48427.09765625</v>
      </c>
      <c r="AB820" s="31" cm="1">
        <f t="array" ref="AB820">IF(LEFT(_xll.BDP($C820, VOLUME_AVG_6M), 4) = "#N/A", "",  _xll.BDP($C820, VOLUME_AVG_6M))</f>
        <v>32183.5390625</v>
      </c>
      <c r="AC820" s="31" cm="1">
        <f t="array" ref="AC820">IF(LEFT(_xll.BDP($C820, VOLUME_AVG_12M), 4) = "#N/A", "",  _xll.BDP($C820, VOLUME_AVG_12M))</f>
        <v>81160.8359375</v>
      </c>
      <c r="AD820" s="41" cm="1">
        <f t="array" ref="AD820">IF(LEFT(_xll.BDP($C820, LAST_PRICE), 4) = "#N/A", "",  _xll.BDP($C820, LAST_PRICE))</f>
        <v>7.44</v>
      </c>
    </row>
    <row r="821" spans="1:30" x14ac:dyDescent="0.35">
      <c r="A821" s="1">
        <f t="shared" si="12"/>
        <v>818</v>
      </c>
      <c r="B821" s="28">
        <v>45700</v>
      </c>
      <c r="C821" s="29" t="s">
        <v>1694</v>
      </c>
      <c r="D821" s="29" t="s">
        <v>1694</v>
      </c>
      <c r="E821" s="29" t="s">
        <v>1695</v>
      </c>
      <c r="F821" s="29" t="s">
        <v>33</v>
      </c>
      <c r="G821" s="30" t="s">
        <v>34</v>
      </c>
      <c r="H821" s="31"/>
      <c r="I821" s="31"/>
      <c r="J821" s="32">
        <v>9.9999999747524292E-7</v>
      </c>
      <c r="K821" s="33">
        <v>45700</v>
      </c>
      <c r="L821" s="31">
        <v>44400</v>
      </c>
      <c r="M821" s="32">
        <v>2.1</v>
      </c>
      <c r="N821" s="31" t="s">
        <v>35</v>
      </c>
      <c r="O821" s="33">
        <v>45699</v>
      </c>
      <c r="P821" s="34">
        <v>129.53334045410199</v>
      </c>
      <c r="Q821" s="34">
        <v>1217</v>
      </c>
      <c r="R821" s="34">
        <v>1659.78576660156</v>
      </c>
      <c r="S821" s="29"/>
      <c r="T821" s="33"/>
      <c r="U821" s="35" t="b">
        <v>1</v>
      </c>
      <c r="V821" s="35" t="b">
        <v>1</v>
      </c>
      <c r="W821" s="35" t="b">
        <v>1</v>
      </c>
      <c r="Y821" s="31" cm="1">
        <f t="array" ref="Y821">IF(LEFT(_xll.BDP($C821, VOLUME_AVG_10D), 4) = "#N/A", "",  _xll.BDP($C821, VOLUME_AVG_10D))</f>
        <v>0</v>
      </c>
      <c r="Z821" s="31" cm="1">
        <f t="array" ref="Z821">IF(LEFT(_xll.BDP($C821, VOLUME_AVG_30D), 4) = "#N/A", "",  _xll.BDP($C821, VOLUME_AVG_30D))</f>
        <v>129.53334045410156</v>
      </c>
      <c r="AA821" s="31" cm="1">
        <f t="array" ref="AA821">IF(LEFT(_xll.BDP($C821, VOLUME_AVG_3M), 4) = "#N/A", "",  _xll.BDP($C821, VOLUME_AVG_3M))</f>
        <v>1217</v>
      </c>
      <c r="AB821" s="31" cm="1">
        <f t="array" ref="AB821">IF(LEFT(_xll.BDP($C821, VOLUME_AVG_6M), 4) = "#N/A", "",  _xll.BDP($C821, VOLUME_AVG_6M))</f>
        <v>1659.7857666015625</v>
      </c>
      <c r="AC821" s="31" cm="1">
        <f t="array" ref="AC821">IF(LEFT(_xll.BDP($C821, VOLUME_AVG_12M), 4) = "#N/A", "",  _xll.BDP($C821, VOLUME_AVG_12M))</f>
        <v>1766.7689208984375</v>
      </c>
      <c r="AD821" s="41" cm="1">
        <f t="array" ref="AD821">IF(LEFT(_xll.BDP($C821, LAST_PRICE), 4) = "#N/A", "",  _xll.BDP($C821, LAST_PRICE))</f>
        <v>0</v>
      </c>
    </row>
    <row r="822" spans="1:30" x14ac:dyDescent="0.35">
      <c r="A822" s="1">
        <f t="shared" si="12"/>
        <v>819</v>
      </c>
      <c r="B822" s="28">
        <v>45700</v>
      </c>
      <c r="C822" s="29" t="s">
        <v>1696</v>
      </c>
      <c r="D822" s="29" t="s">
        <v>1696</v>
      </c>
      <c r="E822" s="29" t="s">
        <v>1697</v>
      </c>
      <c r="F822" s="29" t="s">
        <v>33</v>
      </c>
      <c r="G822" s="30" t="s">
        <v>34</v>
      </c>
      <c r="H822" s="31"/>
      <c r="I822" s="31"/>
      <c r="J822" s="32">
        <v>9.9999999747524292E-7</v>
      </c>
      <c r="K822" s="33">
        <v>45700</v>
      </c>
      <c r="L822" s="31"/>
      <c r="M822" s="32"/>
      <c r="N822" s="31"/>
      <c r="O822" s="33">
        <v>45699</v>
      </c>
      <c r="P822" s="34">
        <v>63996.234375</v>
      </c>
      <c r="Q822" s="34">
        <v>179911.203125</v>
      </c>
      <c r="R822" s="34">
        <v>108953.84375</v>
      </c>
      <c r="S822" s="29"/>
      <c r="T822" s="33"/>
      <c r="U822" s="35" t="b">
        <v>1</v>
      </c>
      <c r="V822" s="35" t="b">
        <v>1</v>
      </c>
      <c r="W822" s="35" t="b">
        <v>1</v>
      </c>
      <c r="Y822" s="31" cm="1">
        <f t="array" ref="Y822">IF(LEFT(_xll.BDP($C822, VOLUME_AVG_10D), 4) = "#N/A", "",  _xll.BDP($C822, VOLUME_AVG_10D))</f>
        <v>65790.8984375</v>
      </c>
      <c r="Z822" s="31" cm="1">
        <f t="array" ref="Z822">IF(LEFT(_xll.BDP($C822, VOLUME_AVG_30D), 4) = "#N/A", "",  _xll.BDP($C822, VOLUME_AVG_30D))</f>
        <v>63996.234375</v>
      </c>
      <c r="AA822" s="31" cm="1">
        <f t="array" ref="AA822">IF(LEFT(_xll.BDP($C822, VOLUME_AVG_3M), 4) = "#N/A", "",  _xll.BDP($C822, VOLUME_AVG_3M))</f>
        <v>179911.203125</v>
      </c>
      <c r="AB822" s="31" cm="1">
        <f t="array" ref="AB822">IF(LEFT(_xll.BDP($C822, VOLUME_AVG_6M), 4) = "#N/A", "",  _xll.BDP($C822, VOLUME_AVG_6M))</f>
        <v>108953.84375</v>
      </c>
      <c r="AC822" s="31" cm="1">
        <f t="array" ref="AC822">IF(LEFT(_xll.BDP($C822, VOLUME_AVG_12M), 4) = "#N/A", "",  _xll.BDP($C822, VOLUME_AVG_12M))</f>
        <v>83082.0234375</v>
      </c>
      <c r="AD822" s="41" cm="1">
        <f t="array" ref="AD822">IF(LEFT(_xll.BDP($C822, LAST_PRICE), 4) = "#N/A", "",  _xll.BDP($C822, LAST_PRICE))</f>
        <v>9.9999999999999995E-7</v>
      </c>
    </row>
    <row r="823" spans="1:30" x14ac:dyDescent="0.35">
      <c r="A823" s="1">
        <f t="shared" si="12"/>
        <v>820</v>
      </c>
      <c r="B823" s="28">
        <v>45700</v>
      </c>
      <c r="C823" s="29" t="s">
        <v>1698</v>
      </c>
      <c r="D823" s="29" t="s">
        <v>1698</v>
      </c>
      <c r="E823" s="29" t="s">
        <v>1699</v>
      </c>
      <c r="F823" s="29" t="s">
        <v>33</v>
      </c>
      <c r="G823" s="30" t="s">
        <v>34</v>
      </c>
      <c r="H823" s="31">
        <v>461069805.609707</v>
      </c>
      <c r="I823" s="31">
        <v>331505805.609707</v>
      </c>
      <c r="J823" s="32">
        <v>9.3299999237060494</v>
      </c>
      <c r="K823" s="33">
        <v>45700</v>
      </c>
      <c r="L823" s="31">
        <v>8652800</v>
      </c>
      <c r="M823" s="32">
        <v>3.88</v>
      </c>
      <c r="N823" s="31" t="s">
        <v>35</v>
      </c>
      <c r="O823" s="33">
        <v>45699</v>
      </c>
      <c r="P823" s="34">
        <v>286004.28125</v>
      </c>
      <c r="Q823" s="34">
        <v>370281.65625</v>
      </c>
      <c r="R823" s="34">
        <v>365042.34375</v>
      </c>
      <c r="S823" s="29" t="s">
        <v>177</v>
      </c>
      <c r="T823" s="33">
        <v>45446</v>
      </c>
      <c r="U823" s="35" t="b">
        <v>0</v>
      </c>
      <c r="V823" s="35" t="b">
        <v>0</v>
      </c>
      <c r="W823" s="35" t="b">
        <v>0</v>
      </c>
      <c r="Y823" s="31" cm="1">
        <f t="array" ref="Y823">IF(LEFT(_xll.BDP($C823, VOLUME_AVG_10D), 4) = "#N/A", "",  _xll.BDP($C823, VOLUME_AVG_10D))</f>
        <v>315159.09375</v>
      </c>
      <c r="Z823" s="31" cm="1">
        <f t="array" ref="Z823">IF(LEFT(_xll.BDP($C823, VOLUME_AVG_30D), 4) = "#N/A", "",  _xll.BDP($C823, VOLUME_AVG_30D))</f>
        <v>286004.28125</v>
      </c>
      <c r="AA823" s="31" cm="1">
        <f t="array" ref="AA823">IF(LEFT(_xll.BDP($C823, VOLUME_AVG_3M), 4) = "#N/A", "",  _xll.BDP($C823, VOLUME_AVG_3M))</f>
        <v>370281.65625</v>
      </c>
      <c r="AB823" s="31" cm="1">
        <f t="array" ref="AB823">IF(LEFT(_xll.BDP($C823, VOLUME_AVG_6M), 4) = "#N/A", "",  _xll.BDP($C823, VOLUME_AVG_6M))</f>
        <v>365042.34375</v>
      </c>
      <c r="AC823" s="31" cm="1">
        <f t="array" ref="AC823">IF(LEFT(_xll.BDP($C823, VOLUME_AVG_12M), 4) = "#N/A", "",  _xll.BDP($C823, VOLUME_AVG_12M))</f>
        <v>454523.9375</v>
      </c>
      <c r="AD823" s="41" cm="1">
        <f t="array" ref="AD823">IF(LEFT(_xll.BDP($C823, LAST_PRICE), 4) = "#N/A", "",  _xll.BDP($C823, LAST_PRICE))</f>
        <v>9.33</v>
      </c>
    </row>
    <row r="824" spans="1:30" x14ac:dyDescent="0.35">
      <c r="A824" s="1">
        <f t="shared" si="12"/>
        <v>821</v>
      </c>
      <c r="B824" s="28">
        <v>45700</v>
      </c>
      <c r="C824" s="29" t="s">
        <v>1700</v>
      </c>
      <c r="D824" s="29" t="s">
        <v>1700</v>
      </c>
      <c r="E824" s="29" t="s">
        <v>1701</v>
      </c>
      <c r="F824" s="29" t="s">
        <v>40</v>
      </c>
      <c r="G824" s="30" t="s">
        <v>41</v>
      </c>
      <c r="H824" s="31">
        <v>14502902.291414499</v>
      </c>
      <c r="I824" s="31">
        <v>16240864.291414499</v>
      </c>
      <c r="J824" s="32">
        <v>0.109999999403954</v>
      </c>
      <c r="K824" s="33">
        <v>45700</v>
      </c>
      <c r="L824" s="31"/>
      <c r="M824" s="32"/>
      <c r="N824" s="31"/>
      <c r="O824" s="33">
        <v>45699</v>
      </c>
      <c r="P824" s="34">
        <v>126593.7</v>
      </c>
      <c r="Q824" s="34">
        <v>139248.5</v>
      </c>
      <c r="R824" s="34">
        <v>158580.79999999999</v>
      </c>
      <c r="S824" s="29"/>
      <c r="T824" s="33"/>
      <c r="U824" s="35" t="b">
        <v>1</v>
      </c>
      <c r="V824" s="35" t="b">
        <v>0</v>
      </c>
      <c r="W824" s="35" t="b">
        <v>0</v>
      </c>
      <c r="Y824" s="31" cm="1">
        <f t="array" ref="Y824">IF(LEFT(_xll.BDP($C824, VOLUME_AVG_10D), 4) = "#N/A", "",  _xll.BDP($C824, VOLUME_AVG_10D))</f>
        <v>68082.600000000006</v>
      </c>
      <c r="Z824" s="31" cm="1">
        <f t="array" ref="Z824">IF(LEFT(_xll.BDP($C824, VOLUME_AVG_30D), 4) = "#N/A", "",  _xll.BDP($C824, VOLUME_AVG_30D))</f>
        <v>126593.7</v>
      </c>
      <c r="AA824" s="31" cm="1">
        <f t="array" ref="AA824">IF(LEFT(_xll.BDP($C824, VOLUME_AVG_3M), 4) = "#N/A", "",  _xll.BDP($C824, VOLUME_AVG_3M))</f>
        <v>139248.5</v>
      </c>
      <c r="AB824" s="31" cm="1">
        <f t="array" ref="AB824">IF(LEFT(_xll.BDP($C824, VOLUME_AVG_6M), 4) = "#N/A", "",  _xll.BDP($C824, VOLUME_AVG_6M))</f>
        <v>158580.79999999999</v>
      </c>
      <c r="AC824" s="31" cm="1">
        <f t="array" ref="AC824">IF(LEFT(_xll.BDP($C824, VOLUME_AVG_12M), 4) = "#N/A", "",  _xll.BDP($C824, VOLUME_AVG_12M))</f>
        <v>162632.1</v>
      </c>
      <c r="AD824" s="41" cm="1">
        <f t="array" ref="AD824">IF(LEFT(_xll.BDP($C824, LAST_PRICE), 4) = "#N/A", "",  _xll.BDP($C824, LAST_PRICE))</f>
        <v>0.11</v>
      </c>
    </row>
    <row r="825" spans="1:30" x14ac:dyDescent="0.35">
      <c r="A825" s="1">
        <f t="shared" si="12"/>
        <v>822</v>
      </c>
      <c r="B825" s="28">
        <v>45700</v>
      </c>
      <c r="C825" s="29" t="s">
        <v>1702</v>
      </c>
      <c r="D825" s="29" t="s">
        <v>1702</v>
      </c>
      <c r="E825" s="29" t="s">
        <v>1703</v>
      </c>
      <c r="F825" s="29" t="s">
        <v>33</v>
      </c>
      <c r="G825" s="30" t="s">
        <v>34</v>
      </c>
      <c r="H825" s="31">
        <v>73922536.836337596</v>
      </c>
      <c r="I825" s="31">
        <v>134656536.83633801</v>
      </c>
      <c r="J825" s="32">
        <v>0.58579999208450295</v>
      </c>
      <c r="K825" s="33">
        <v>45700</v>
      </c>
      <c r="L825" s="31">
        <v>10268200</v>
      </c>
      <c r="M825" s="32">
        <v>3.7</v>
      </c>
      <c r="N825" s="31" t="s">
        <v>35</v>
      </c>
      <c r="O825" s="33">
        <v>45699</v>
      </c>
      <c r="P825" s="34">
        <v>872323.875</v>
      </c>
      <c r="Q825" s="34">
        <v>890487.25</v>
      </c>
      <c r="R825" s="34">
        <v>815764</v>
      </c>
      <c r="S825" s="29" t="s">
        <v>46</v>
      </c>
      <c r="T825" s="33">
        <v>45446</v>
      </c>
      <c r="U825" s="35" t="b">
        <v>0</v>
      </c>
      <c r="V825" s="35" t="b">
        <v>0</v>
      </c>
      <c r="W825" s="35" t="b">
        <v>0</v>
      </c>
      <c r="Y825" s="31" cm="1">
        <f t="array" ref="Y825">IF(LEFT(_xll.BDP($C825, VOLUME_AVG_10D), 4) = "#N/A", "",  _xll.BDP($C825, VOLUME_AVG_10D))</f>
        <v>801379.875</v>
      </c>
      <c r="Z825" s="31" cm="1">
        <f t="array" ref="Z825">IF(LEFT(_xll.BDP($C825, VOLUME_AVG_30D), 4) = "#N/A", "",  _xll.BDP($C825, VOLUME_AVG_30D))</f>
        <v>872323.875</v>
      </c>
      <c r="AA825" s="31" cm="1">
        <f t="array" ref="AA825">IF(LEFT(_xll.BDP($C825, VOLUME_AVG_3M), 4) = "#N/A", "",  _xll.BDP($C825, VOLUME_AVG_3M))</f>
        <v>890487.25</v>
      </c>
      <c r="AB825" s="31" cm="1">
        <f t="array" ref="AB825">IF(LEFT(_xll.BDP($C825, VOLUME_AVG_6M), 4) = "#N/A", "",  _xll.BDP($C825, VOLUME_AVG_6M))</f>
        <v>815764</v>
      </c>
      <c r="AC825" s="31" cm="1">
        <f t="array" ref="AC825">IF(LEFT(_xll.BDP($C825, VOLUME_AVG_12M), 4) = "#N/A", "",  _xll.BDP($C825, VOLUME_AVG_12M))</f>
        <v>1082666.25</v>
      </c>
      <c r="AD825" s="41" cm="1">
        <f t="array" ref="AD825">IF(LEFT(_xll.BDP($C825, LAST_PRICE), 4) = "#N/A", "",  _xll.BDP($C825, LAST_PRICE))</f>
        <v>0.58579999999999999</v>
      </c>
    </row>
    <row r="826" spans="1:30" x14ac:dyDescent="0.35">
      <c r="A826" s="1">
        <f t="shared" si="12"/>
        <v>823</v>
      </c>
      <c r="B826" s="28">
        <v>45700</v>
      </c>
      <c r="C826" s="29" t="s">
        <v>1704</v>
      </c>
      <c r="D826" s="29" t="s">
        <v>1704</v>
      </c>
      <c r="E826" s="29" t="s">
        <v>1705</v>
      </c>
      <c r="F826" s="29" t="s">
        <v>33</v>
      </c>
      <c r="G826" s="30" t="s">
        <v>34</v>
      </c>
      <c r="H826" s="31">
        <v>1527801.6850110299</v>
      </c>
      <c r="I826" s="31">
        <v>8469826.6850110292</v>
      </c>
      <c r="J826" s="32">
        <v>3.6749999970197698E-2</v>
      </c>
      <c r="K826" s="33">
        <v>45700</v>
      </c>
      <c r="L826" s="31"/>
      <c r="M826" s="32"/>
      <c r="N826" s="31"/>
      <c r="O826" s="33">
        <v>45699</v>
      </c>
      <c r="P826" s="34">
        <v>16367.533203125</v>
      </c>
      <c r="Q826" s="34">
        <v>11863.2255859375</v>
      </c>
      <c r="R826" s="34">
        <v>8891.75390625</v>
      </c>
      <c r="S826" s="29"/>
      <c r="T826" s="33"/>
      <c r="U826" s="35" t="b">
        <v>1</v>
      </c>
      <c r="V826" s="35" t="b">
        <v>1</v>
      </c>
      <c r="W826" s="35" t="b">
        <v>0</v>
      </c>
      <c r="Y826" s="31" cm="1">
        <f t="array" ref="Y826">IF(LEFT(_xll.BDP($C826, VOLUME_AVG_10D), 4) = "#N/A", "",  _xll.BDP($C826, VOLUME_AVG_10D))</f>
        <v>9745.5</v>
      </c>
      <c r="Z826" s="31" cm="1">
        <f t="array" ref="Z826">IF(LEFT(_xll.BDP($C826, VOLUME_AVG_30D), 4) = "#N/A", "",  _xll.BDP($C826, VOLUME_AVG_30D))</f>
        <v>16367.533203125</v>
      </c>
      <c r="AA826" s="31" cm="1">
        <f t="array" ref="AA826">IF(LEFT(_xll.BDP($C826, VOLUME_AVG_3M), 4) = "#N/A", "",  _xll.BDP($C826, VOLUME_AVG_3M))</f>
        <v>11863.2255859375</v>
      </c>
      <c r="AB826" s="31" cm="1">
        <f t="array" ref="AB826">IF(LEFT(_xll.BDP($C826, VOLUME_AVG_6M), 4) = "#N/A", "",  _xll.BDP($C826, VOLUME_AVG_6M))</f>
        <v>8891.75390625</v>
      </c>
      <c r="AC826" s="31" cm="1">
        <f t="array" ref="AC826">IF(LEFT(_xll.BDP($C826, VOLUME_AVG_12M), 4) = "#N/A", "",  _xll.BDP($C826, VOLUME_AVG_12M))</f>
        <v>8058.42626953125</v>
      </c>
      <c r="AD826" s="41" cm="1">
        <f t="array" ref="AD826">IF(LEFT(_xll.BDP($C826, LAST_PRICE), 4) = "#N/A", "",  _xll.BDP($C826, LAST_PRICE))</f>
        <v>3.6749999999999998E-2</v>
      </c>
    </row>
    <row r="827" spans="1:30" x14ac:dyDescent="0.35">
      <c r="A827" s="1">
        <f t="shared" si="12"/>
        <v>824</v>
      </c>
      <c r="B827" s="28">
        <v>45700</v>
      </c>
      <c r="C827" s="29" t="s">
        <v>1706</v>
      </c>
      <c r="D827" s="29" t="s">
        <v>1706</v>
      </c>
      <c r="E827" s="29" t="s">
        <v>1707</v>
      </c>
      <c r="F827" s="29" t="s">
        <v>40</v>
      </c>
      <c r="G827" s="30" t="s">
        <v>41</v>
      </c>
      <c r="H827" s="31">
        <v>47098315.519285202</v>
      </c>
      <c r="I827" s="31">
        <v>45997048.519285202</v>
      </c>
      <c r="J827" s="32">
        <v>0.25499999523162797</v>
      </c>
      <c r="K827" s="33">
        <v>45700</v>
      </c>
      <c r="L827" s="31"/>
      <c r="M827" s="32"/>
      <c r="N827" s="31"/>
      <c r="O827" s="33">
        <v>45699</v>
      </c>
      <c r="P827" s="34">
        <v>101167.7</v>
      </c>
      <c r="Q827" s="34">
        <v>128999.5</v>
      </c>
      <c r="R827" s="34">
        <v>122957.1</v>
      </c>
      <c r="S827" s="29"/>
      <c r="T827" s="33"/>
      <c r="U827" s="35" t="b">
        <v>0</v>
      </c>
      <c r="V827" s="35" t="b">
        <v>0</v>
      </c>
      <c r="W827" s="35" t="b">
        <v>0</v>
      </c>
      <c r="Y827" s="31" cm="1">
        <f t="array" ref="Y827">IF(LEFT(_xll.BDP($C827, VOLUME_AVG_10D), 4) = "#N/A", "",  _xll.BDP($C827, VOLUME_AVG_10D))</f>
        <v>63613.1</v>
      </c>
      <c r="Z827" s="31" cm="1">
        <f t="array" ref="Z827">IF(LEFT(_xll.BDP($C827, VOLUME_AVG_30D), 4) = "#N/A", "",  _xll.BDP($C827, VOLUME_AVG_30D))</f>
        <v>101167.7</v>
      </c>
      <c r="AA827" s="31" cm="1">
        <f t="array" ref="AA827">IF(LEFT(_xll.BDP($C827, VOLUME_AVG_3M), 4) = "#N/A", "",  _xll.BDP($C827, VOLUME_AVG_3M))</f>
        <v>128999.5</v>
      </c>
      <c r="AB827" s="31" cm="1">
        <f t="array" ref="AB827">IF(LEFT(_xll.BDP($C827, VOLUME_AVG_6M), 4) = "#N/A", "",  _xll.BDP($C827, VOLUME_AVG_6M))</f>
        <v>122957.1</v>
      </c>
      <c r="AC827" s="31" cm="1">
        <f t="array" ref="AC827">IF(LEFT(_xll.BDP($C827, VOLUME_AVG_12M), 4) = "#N/A", "",  _xll.BDP($C827, VOLUME_AVG_12M))</f>
        <v>123928.5</v>
      </c>
      <c r="AD827" s="41" cm="1">
        <f t="array" ref="AD827">IF(LEFT(_xll.BDP($C827, LAST_PRICE), 4) = "#N/A", "",  _xll.BDP($C827, LAST_PRICE))</f>
        <v>0.255</v>
      </c>
    </row>
    <row r="828" spans="1:30" x14ac:dyDescent="0.35">
      <c r="A828" s="1">
        <f t="shared" si="12"/>
        <v>825</v>
      </c>
      <c r="B828" s="28">
        <v>45700</v>
      </c>
      <c r="C828" s="29" t="s">
        <v>1708</v>
      </c>
      <c r="D828" s="29" t="s">
        <v>1708</v>
      </c>
      <c r="E828" s="29" t="s">
        <v>1709</v>
      </c>
      <c r="F828" s="29" t="s">
        <v>33</v>
      </c>
      <c r="G828" s="30" t="s">
        <v>34</v>
      </c>
      <c r="H828" s="31">
        <v>6729.75</v>
      </c>
      <c r="I828" s="31">
        <v>-29819.25</v>
      </c>
      <c r="J828" s="32"/>
      <c r="K828" s="33">
        <v>45700</v>
      </c>
      <c r="L828" s="31"/>
      <c r="M828" s="32"/>
      <c r="N828" s="31"/>
      <c r="O828" s="33">
        <v>45699</v>
      </c>
      <c r="P828" s="34"/>
      <c r="Q828" s="34">
        <v>83.161293029785199</v>
      </c>
      <c r="R828" s="34">
        <v>41.714286804199197</v>
      </c>
      <c r="S828" s="29"/>
      <c r="T828" s="33"/>
      <c r="U828" s="35" t="b">
        <v>1</v>
      </c>
      <c r="V828" s="35" t="b">
        <v>1</v>
      </c>
      <c r="W828" s="35" t="b">
        <v>1</v>
      </c>
      <c r="Y828" s="31" cm="1">
        <f t="array" ref="Y828">IF(LEFT(_xll.BDP($C828, VOLUME_AVG_10D), 4) = "#N/A", "",  _xll.BDP($C828, VOLUME_AVG_10D))</f>
        <v>0</v>
      </c>
      <c r="Z828" s="31" cm="1">
        <f t="array" ref="Z828">IF(LEFT(_xll.BDP($C828, VOLUME_AVG_30D), 4) = "#N/A", "",  _xll.BDP($C828, VOLUME_AVG_30D))</f>
        <v>0</v>
      </c>
      <c r="AA828" s="31" cm="1">
        <f t="array" ref="AA828">IF(LEFT(_xll.BDP($C828, VOLUME_AVG_3M), 4) = "#N/A", "",  _xll.BDP($C828, VOLUME_AVG_3M))</f>
        <v>83.161293029785156</v>
      </c>
      <c r="AB828" s="31" cm="1">
        <f t="array" ref="AB828">IF(LEFT(_xll.BDP($C828, VOLUME_AVG_6M), 4) = "#N/A", "",  _xll.BDP($C828, VOLUME_AVG_6M))</f>
        <v>41.714286804199219</v>
      </c>
      <c r="AC828" s="31" cm="1">
        <f t="array" ref="AC828">IF(LEFT(_xll.BDP($C828, VOLUME_AVG_12M), 4) = "#N/A", "",  _xll.BDP($C828, VOLUME_AVG_12M))</f>
        <v>20.940238952636719</v>
      </c>
      <c r="AD828" s="41" t="str" cm="1">
        <f t="array" ref="AD828">IF(LEFT(_xll.BDP($C828, LAST_PRICE), 4) = "#N/A", "",  _xll.BDP($C828, LAST_PRICE))</f>
        <v/>
      </c>
    </row>
    <row r="829" spans="1:30" x14ac:dyDescent="0.35">
      <c r="A829" s="1">
        <f t="shared" si="12"/>
        <v>826</v>
      </c>
      <c r="B829" s="28">
        <v>45700</v>
      </c>
      <c r="C829" s="29" t="s">
        <v>1710</v>
      </c>
      <c r="D829" s="29" t="s">
        <v>1710</v>
      </c>
      <c r="E829" s="29" t="s">
        <v>1711</v>
      </c>
      <c r="F829" s="29" t="s">
        <v>33</v>
      </c>
      <c r="G829" s="30" t="s">
        <v>34</v>
      </c>
      <c r="H829" s="31">
        <v>22303267.094955601</v>
      </c>
      <c r="I829" s="31"/>
      <c r="J829" s="32">
        <v>0.28000000119209301</v>
      </c>
      <c r="K829" s="33">
        <v>45700</v>
      </c>
      <c r="L829" s="31">
        <v>3700</v>
      </c>
      <c r="M829" s="32">
        <v>3.3</v>
      </c>
      <c r="N829" s="31" t="s">
        <v>35</v>
      </c>
      <c r="O829" s="33">
        <v>45699</v>
      </c>
      <c r="P829" s="34">
        <v>405.36666870117199</v>
      </c>
      <c r="Q829" s="34">
        <v>345.70968627929699</v>
      </c>
      <c r="R829" s="34">
        <v>412.69842529296898</v>
      </c>
      <c r="S829" s="29"/>
      <c r="T829" s="33"/>
      <c r="U829" s="35" t="b">
        <v>0</v>
      </c>
      <c r="V829" s="35" t="b">
        <v>0</v>
      </c>
      <c r="W829" s="35" t="b">
        <v>1</v>
      </c>
      <c r="Y829" s="31" cm="1">
        <f t="array" ref="Y829">IF(LEFT(_xll.BDP($C829, VOLUME_AVG_10D), 4) = "#N/A", "",  _xll.BDP($C829, VOLUME_AVG_10D))</f>
        <v>100</v>
      </c>
      <c r="Z829" s="31" cm="1">
        <f t="array" ref="Z829">IF(LEFT(_xll.BDP($C829, VOLUME_AVG_30D), 4) = "#N/A", "",  _xll.BDP($C829, VOLUME_AVG_30D))</f>
        <v>405.36666870117188</v>
      </c>
      <c r="AA829" s="31" cm="1">
        <f t="array" ref="AA829">IF(LEFT(_xll.BDP($C829, VOLUME_AVG_3M), 4) = "#N/A", "",  _xll.BDP($C829, VOLUME_AVG_3M))</f>
        <v>345.70968627929688</v>
      </c>
      <c r="AB829" s="31" cm="1">
        <f t="array" ref="AB829">IF(LEFT(_xll.BDP($C829, VOLUME_AVG_6M), 4) = "#N/A", "",  _xll.BDP($C829, VOLUME_AVG_6M))</f>
        <v>412.69842529296875</v>
      </c>
      <c r="AC829" s="31" cm="1">
        <f t="array" ref="AC829">IF(LEFT(_xll.BDP($C829, VOLUME_AVG_12M), 4) = "#N/A", "",  _xll.BDP($C829, VOLUME_AVG_12M))</f>
        <v>414.13943481445313</v>
      </c>
      <c r="AD829" s="41" cm="1">
        <f t="array" ref="AD829">IF(LEFT(_xll.BDP($C829, LAST_PRICE), 4) = "#N/A", "",  _xll.BDP($C829, LAST_PRICE))</f>
        <v>0.28000000000000003</v>
      </c>
    </row>
    <row r="830" spans="1:30" x14ac:dyDescent="0.35">
      <c r="A830" s="1">
        <f t="shared" si="12"/>
        <v>827</v>
      </c>
      <c r="B830" s="28">
        <v>45700</v>
      </c>
      <c r="C830" s="29" t="s">
        <v>1712</v>
      </c>
      <c r="D830" s="29" t="s">
        <v>1712</v>
      </c>
      <c r="E830" s="29" t="s">
        <v>1713</v>
      </c>
      <c r="F830" s="29" t="s">
        <v>33</v>
      </c>
      <c r="G830" s="30" t="s">
        <v>34</v>
      </c>
      <c r="H830" s="31">
        <v>413175564.073825</v>
      </c>
      <c r="I830" s="31">
        <v>-98222435.926175103</v>
      </c>
      <c r="J830" s="32">
        <v>10.199999809265099</v>
      </c>
      <c r="K830" s="33">
        <v>45700</v>
      </c>
      <c r="L830" s="31">
        <v>8161500</v>
      </c>
      <c r="M830" s="32">
        <v>3.88</v>
      </c>
      <c r="N830" s="31" t="s">
        <v>35</v>
      </c>
      <c r="O830" s="33">
        <v>45699</v>
      </c>
      <c r="P830" s="34">
        <v>1796137.5</v>
      </c>
      <c r="Q830" s="34">
        <v>1543826.375</v>
      </c>
      <c r="R830" s="34">
        <v>936766.375</v>
      </c>
      <c r="S830" s="29" t="s">
        <v>164</v>
      </c>
      <c r="T830" s="33">
        <v>45446</v>
      </c>
      <c r="U830" s="35" t="b">
        <v>0</v>
      </c>
      <c r="V830" s="35" t="b">
        <v>0</v>
      </c>
      <c r="W830" s="35" t="b">
        <v>1</v>
      </c>
      <c r="Y830" s="31" cm="1">
        <f t="array" ref="Y830">IF(LEFT(_xll.BDP($C830, VOLUME_AVG_10D), 4) = "#N/A", "",  _xll.BDP($C830, VOLUME_AVG_10D))</f>
        <v>1159610.5</v>
      </c>
      <c r="Z830" s="31" cm="1">
        <f t="array" ref="Z830">IF(LEFT(_xll.BDP($C830, VOLUME_AVG_30D), 4) = "#N/A", "",  _xll.BDP($C830, VOLUME_AVG_30D))</f>
        <v>1796137.5</v>
      </c>
      <c r="AA830" s="31" cm="1">
        <f t="array" ref="AA830">IF(LEFT(_xll.BDP($C830, VOLUME_AVG_3M), 4) = "#N/A", "",  _xll.BDP($C830, VOLUME_AVG_3M))</f>
        <v>1543826.375</v>
      </c>
      <c r="AB830" s="31" cm="1">
        <f t="array" ref="AB830">IF(LEFT(_xll.BDP($C830, VOLUME_AVG_6M), 4) = "#N/A", "",  _xll.BDP($C830, VOLUME_AVG_6M))</f>
        <v>936766.375</v>
      </c>
      <c r="AC830" s="31" cm="1">
        <f t="array" ref="AC830">IF(LEFT(_xll.BDP($C830, VOLUME_AVG_12M), 4) = "#N/A", "",  _xll.BDP($C830, VOLUME_AVG_12M))</f>
        <v>643306.875</v>
      </c>
      <c r="AD830" s="41" cm="1">
        <f t="array" ref="AD830">IF(LEFT(_xll.BDP($C830, LAST_PRICE), 4) = "#N/A", "",  _xll.BDP($C830, LAST_PRICE))</f>
        <v>10.199999999999999</v>
      </c>
    </row>
    <row r="831" spans="1:30" x14ac:dyDescent="0.35">
      <c r="A831" s="1">
        <f t="shared" si="12"/>
        <v>828</v>
      </c>
      <c r="B831" s="28">
        <v>45700</v>
      </c>
      <c r="C831" s="29" t="s">
        <v>1714</v>
      </c>
      <c r="D831" s="29" t="s">
        <v>1714</v>
      </c>
      <c r="E831" s="29" t="s">
        <v>1715</v>
      </c>
      <c r="F831" s="29" t="s">
        <v>33</v>
      </c>
      <c r="G831" s="30" t="s">
        <v>34</v>
      </c>
      <c r="H831" s="31">
        <v>188103424</v>
      </c>
      <c r="I831" s="31">
        <v>199468424</v>
      </c>
      <c r="J831" s="32">
        <v>65.5</v>
      </c>
      <c r="K831" s="33">
        <v>45700</v>
      </c>
      <c r="L831" s="31">
        <v>416500</v>
      </c>
      <c r="M831" s="32">
        <v>3.88</v>
      </c>
      <c r="N831" s="31" t="s">
        <v>35</v>
      </c>
      <c r="O831" s="33">
        <v>45699</v>
      </c>
      <c r="P831" s="34">
        <v>29534.333984375</v>
      </c>
      <c r="Q831" s="34">
        <v>24175.306640625</v>
      </c>
      <c r="R831" s="34">
        <v>23372.22265625</v>
      </c>
      <c r="S831" s="29"/>
      <c r="T831" s="33"/>
      <c r="U831" s="35" t="b">
        <v>0</v>
      </c>
      <c r="V831" s="35" t="b">
        <v>0</v>
      </c>
      <c r="W831" s="35" t="b">
        <v>0</v>
      </c>
      <c r="Y831" s="31" cm="1">
        <f t="array" ref="Y831">IF(LEFT(_xll.BDP($C831, VOLUME_AVG_10D), 4) = "#N/A", "",  _xll.BDP($C831, VOLUME_AVG_10D))</f>
        <v>20477.69921875</v>
      </c>
      <c r="Z831" s="31" cm="1">
        <f t="array" ref="Z831">IF(LEFT(_xll.BDP($C831, VOLUME_AVG_30D), 4) = "#N/A", "",  _xll.BDP($C831, VOLUME_AVG_30D))</f>
        <v>29534.333984375</v>
      </c>
      <c r="AA831" s="31" cm="1">
        <f t="array" ref="AA831">IF(LEFT(_xll.BDP($C831, VOLUME_AVG_3M), 4) = "#N/A", "",  _xll.BDP($C831, VOLUME_AVG_3M))</f>
        <v>24175.306640625</v>
      </c>
      <c r="AB831" s="31" cm="1">
        <f t="array" ref="AB831">IF(LEFT(_xll.BDP($C831, VOLUME_AVG_6M), 4) = "#N/A", "",  _xll.BDP($C831, VOLUME_AVG_6M))</f>
        <v>23372.22265625</v>
      </c>
      <c r="AC831" s="31" cm="1">
        <f t="array" ref="AC831">IF(LEFT(_xll.BDP($C831, VOLUME_AVG_12M), 4) = "#N/A", "",  _xll.BDP($C831, VOLUME_AVG_12M))</f>
        <v>20393.091796875</v>
      </c>
      <c r="AD831" s="41" cm="1">
        <f t="array" ref="AD831">IF(LEFT(_xll.BDP($C831, LAST_PRICE), 4) = "#N/A", "",  _xll.BDP($C831, LAST_PRICE))</f>
        <v>65.5</v>
      </c>
    </row>
    <row r="832" spans="1:30" x14ac:dyDescent="0.35">
      <c r="A832" s="1">
        <f t="shared" si="12"/>
        <v>829</v>
      </c>
      <c r="B832" s="28">
        <v>45700</v>
      </c>
      <c r="C832" s="29" t="s">
        <v>1716</v>
      </c>
      <c r="D832" s="29" t="s">
        <v>1716</v>
      </c>
      <c r="E832" s="29" t="s">
        <v>1717</v>
      </c>
      <c r="F832" s="29" t="s">
        <v>33</v>
      </c>
      <c r="G832" s="30" t="s">
        <v>34</v>
      </c>
      <c r="H832" s="31">
        <v>43047710.495821998</v>
      </c>
      <c r="I832" s="31">
        <v>-92341289.504178002</v>
      </c>
      <c r="J832" s="32">
        <v>5.9000000953674299</v>
      </c>
      <c r="K832" s="33">
        <v>45700</v>
      </c>
      <c r="L832" s="31">
        <v>519100</v>
      </c>
      <c r="M832" s="32">
        <v>3.65</v>
      </c>
      <c r="N832" s="31" t="s">
        <v>35</v>
      </c>
      <c r="O832" s="33">
        <v>45699</v>
      </c>
      <c r="P832" s="34">
        <v>33919.1328125</v>
      </c>
      <c r="Q832" s="34">
        <v>45335.64453125</v>
      </c>
      <c r="R832" s="34">
        <v>70577.7890625</v>
      </c>
      <c r="S832" s="29" t="s">
        <v>217</v>
      </c>
      <c r="T832" s="33">
        <v>45215</v>
      </c>
      <c r="U832" s="35" t="b">
        <v>0</v>
      </c>
      <c r="V832" s="35" t="b">
        <v>0</v>
      </c>
      <c r="W832" s="35" t="b">
        <v>1</v>
      </c>
      <c r="Y832" s="31" cm="1">
        <f t="array" ref="Y832">IF(LEFT(_xll.BDP($C832, VOLUME_AVG_10D), 4) = "#N/A", "",  _xll.BDP($C832, VOLUME_AVG_10D))</f>
        <v>25246</v>
      </c>
      <c r="Z832" s="31" cm="1">
        <f t="array" ref="Z832">IF(LEFT(_xll.BDP($C832, VOLUME_AVG_30D), 4) = "#N/A", "",  _xll.BDP($C832, VOLUME_AVG_30D))</f>
        <v>33919.1328125</v>
      </c>
      <c r="AA832" s="31" cm="1">
        <f t="array" ref="AA832">IF(LEFT(_xll.BDP($C832, VOLUME_AVG_3M), 4) = "#N/A", "",  _xll.BDP($C832, VOLUME_AVG_3M))</f>
        <v>45335.64453125</v>
      </c>
      <c r="AB832" s="31" cm="1">
        <f t="array" ref="AB832">IF(LEFT(_xll.BDP($C832, VOLUME_AVG_6M), 4) = "#N/A", "",  _xll.BDP($C832, VOLUME_AVG_6M))</f>
        <v>70577.7890625</v>
      </c>
      <c r="AC832" s="31" cm="1">
        <f t="array" ref="AC832">IF(LEFT(_xll.BDP($C832, VOLUME_AVG_12M), 4) = "#N/A", "",  _xll.BDP($C832, VOLUME_AVG_12M))</f>
        <v>71067.140625</v>
      </c>
      <c r="AD832" s="41" cm="1">
        <f t="array" ref="AD832">IF(LEFT(_xll.BDP($C832, LAST_PRICE), 4) = "#N/A", "",  _xll.BDP($C832, LAST_PRICE))</f>
        <v>5.9</v>
      </c>
    </row>
    <row r="833" spans="1:30" x14ac:dyDescent="0.35">
      <c r="A833" s="1">
        <f t="shared" si="12"/>
        <v>830</v>
      </c>
      <c r="B833" s="28">
        <v>45700</v>
      </c>
      <c r="C833" s="29" t="s">
        <v>1718</v>
      </c>
      <c r="D833" s="29" t="s">
        <v>1718</v>
      </c>
      <c r="E833" s="29" t="s">
        <v>1719</v>
      </c>
      <c r="F833" s="29" t="s">
        <v>33</v>
      </c>
      <c r="G833" s="30" t="s">
        <v>34</v>
      </c>
      <c r="H833" s="31">
        <v>22324.705999999998</v>
      </c>
      <c r="I833" s="31">
        <v>-432691.209445983</v>
      </c>
      <c r="J833" s="32"/>
      <c r="K833" s="33">
        <v>45700</v>
      </c>
      <c r="L833" s="31"/>
      <c r="M833" s="32"/>
      <c r="N833" s="31"/>
      <c r="O833" s="33">
        <v>45699</v>
      </c>
      <c r="P833" s="34"/>
      <c r="Q833" s="34">
        <v>17.741935729980501</v>
      </c>
      <c r="R833" s="34">
        <v>8.7301588058471697</v>
      </c>
      <c r="S833" s="29"/>
      <c r="T833" s="33"/>
      <c r="U833" s="35" t="b">
        <v>1</v>
      </c>
      <c r="V833" s="35" t="b">
        <v>1</v>
      </c>
      <c r="W833" s="35" t="b">
        <v>1</v>
      </c>
      <c r="Y833" s="31" cm="1">
        <f t="array" ref="Y833">IF(LEFT(_xll.BDP($C833, VOLUME_AVG_10D), 4) = "#N/A", "",  _xll.BDP($C833, VOLUME_AVG_10D))</f>
        <v>0</v>
      </c>
      <c r="Z833" s="31" cm="1">
        <f t="array" ref="Z833">IF(LEFT(_xll.BDP($C833, VOLUME_AVG_30D), 4) = "#N/A", "",  _xll.BDP($C833, VOLUME_AVG_30D))</f>
        <v>0</v>
      </c>
      <c r="AA833" s="31" cm="1">
        <f t="array" ref="AA833">IF(LEFT(_xll.BDP($C833, VOLUME_AVG_3M), 4) = "#N/A", "",  _xll.BDP($C833, VOLUME_AVG_3M))</f>
        <v>17.741935729980469</v>
      </c>
      <c r="AB833" s="31" cm="1">
        <f t="array" ref="AB833">IF(LEFT(_xll.BDP($C833, VOLUME_AVG_6M), 4) = "#N/A", "",  _xll.BDP($C833, VOLUME_AVG_6M))</f>
        <v>8.730158805847168</v>
      </c>
      <c r="AC833" s="31" cm="1">
        <f t="array" ref="AC833">IF(LEFT(_xll.BDP($C833, VOLUME_AVG_12M), 4) = "#N/A", "",  _xll.BDP($C833, VOLUME_AVG_12M))</f>
        <v>4.3824701309204102</v>
      </c>
      <c r="AD833" s="41" t="str" cm="1">
        <f t="array" ref="AD833">IF(LEFT(_xll.BDP($C833, LAST_PRICE), 4) = "#N/A", "",  _xll.BDP($C833, LAST_PRICE))</f>
        <v/>
      </c>
    </row>
    <row r="834" spans="1:30" x14ac:dyDescent="0.35">
      <c r="A834" s="1">
        <f t="shared" si="12"/>
        <v>831</v>
      </c>
      <c r="B834" s="28">
        <v>45700</v>
      </c>
      <c r="C834" s="29" t="s">
        <v>1720</v>
      </c>
      <c r="D834" s="29" t="s">
        <v>1720</v>
      </c>
      <c r="E834" s="29" t="s">
        <v>1721</v>
      </c>
      <c r="F834" s="29" t="s">
        <v>33</v>
      </c>
      <c r="G834" s="30" t="s">
        <v>34</v>
      </c>
      <c r="H834" s="31">
        <v>19606121.108982999</v>
      </c>
      <c r="I834" s="31">
        <v>19772055.108982999</v>
      </c>
      <c r="J834" s="32">
        <v>3.2799999713897701</v>
      </c>
      <c r="K834" s="33">
        <v>45700</v>
      </c>
      <c r="L834" s="31">
        <v>72800</v>
      </c>
      <c r="M834" s="32">
        <v>-29.1</v>
      </c>
      <c r="N834" s="31" t="s">
        <v>35</v>
      </c>
      <c r="O834" s="33">
        <v>45699</v>
      </c>
      <c r="P834" s="34">
        <v>87110.46875</v>
      </c>
      <c r="Q834" s="34">
        <v>391722.75</v>
      </c>
      <c r="R834" s="34">
        <v>318027.6875</v>
      </c>
      <c r="S834" s="29"/>
      <c r="T834" s="33"/>
      <c r="U834" s="35" t="b">
        <v>1</v>
      </c>
      <c r="V834" s="35" t="b">
        <v>0</v>
      </c>
      <c r="W834" s="35" t="b">
        <v>0</v>
      </c>
      <c r="Y834" s="31" cm="1">
        <f t="array" ref="Y834">IF(LEFT(_xll.BDP($C834, VOLUME_AVG_10D), 4) = "#N/A", "",  _xll.BDP($C834, VOLUME_AVG_10D))</f>
        <v>89711.203125</v>
      </c>
      <c r="Z834" s="31" cm="1">
        <f t="array" ref="Z834">IF(LEFT(_xll.BDP($C834, VOLUME_AVG_30D), 4) = "#N/A", "",  _xll.BDP($C834, VOLUME_AVG_30D))</f>
        <v>87110.46875</v>
      </c>
      <c r="AA834" s="31" cm="1">
        <f t="array" ref="AA834">IF(LEFT(_xll.BDP($C834, VOLUME_AVG_3M), 4) = "#N/A", "",  _xll.BDP($C834, VOLUME_AVG_3M))</f>
        <v>391722.75</v>
      </c>
      <c r="AB834" s="31" cm="1">
        <f t="array" ref="AB834">IF(LEFT(_xll.BDP($C834, VOLUME_AVG_6M), 4) = "#N/A", "",  _xll.BDP($C834, VOLUME_AVG_6M))</f>
        <v>318027.6875</v>
      </c>
      <c r="AC834" s="31" t="str" cm="1">
        <f t="array" ref="AC834">IF(LEFT(_xll.BDP($C834, VOLUME_AVG_12M), 4) = "#N/A", "",  _xll.BDP($C834, VOLUME_AVG_12M))</f>
        <v/>
      </c>
      <c r="AD834" s="41" cm="1">
        <f t="array" ref="AD834">IF(LEFT(_xll.BDP($C834, LAST_PRICE), 4) = "#N/A", "",  _xll.BDP($C834, LAST_PRICE))</f>
        <v>3.28</v>
      </c>
    </row>
    <row r="835" spans="1:30" x14ac:dyDescent="0.35">
      <c r="A835" s="1">
        <f t="shared" si="12"/>
        <v>832</v>
      </c>
      <c r="B835" s="28">
        <v>45700</v>
      </c>
      <c r="C835" s="29" t="s">
        <v>1722</v>
      </c>
      <c r="D835" s="29" t="s">
        <v>1722</v>
      </c>
      <c r="E835" s="29" t="s">
        <v>1723</v>
      </c>
      <c r="F835" s="29" t="s">
        <v>33</v>
      </c>
      <c r="G835" s="30" t="s">
        <v>34</v>
      </c>
      <c r="H835" s="31">
        <v>6008969.5869510202</v>
      </c>
      <c r="I835" s="31">
        <v>1697969.5869510199</v>
      </c>
      <c r="J835" s="32">
        <v>0.490000009536743</v>
      </c>
      <c r="K835" s="33">
        <v>45700</v>
      </c>
      <c r="L835" s="31">
        <v>50100</v>
      </c>
      <c r="M835" s="32">
        <v>-5.6</v>
      </c>
      <c r="N835" s="31" t="s">
        <v>35</v>
      </c>
      <c r="O835" s="33">
        <v>45699</v>
      </c>
      <c r="P835" s="34">
        <v>11798.3330078125</v>
      </c>
      <c r="Q835" s="34">
        <v>33802.7890625</v>
      </c>
      <c r="R835" s="34">
        <v>47681.078125</v>
      </c>
      <c r="S835" s="29"/>
      <c r="T835" s="33"/>
      <c r="U835" s="35" t="b">
        <v>1</v>
      </c>
      <c r="V835" s="35" t="b">
        <v>0</v>
      </c>
      <c r="W835" s="35" t="b">
        <v>0</v>
      </c>
      <c r="Y835" s="31" cm="1">
        <f t="array" ref="Y835">IF(LEFT(_xll.BDP($C835, VOLUME_AVG_10D), 4) = "#N/A", "",  _xll.BDP($C835, VOLUME_AVG_10D))</f>
        <v>14845.5</v>
      </c>
      <c r="Z835" s="31" cm="1">
        <f t="array" ref="Z835">IF(LEFT(_xll.BDP($C835, VOLUME_AVG_30D), 4) = "#N/A", "",  _xll.BDP($C835, VOLUME_AVG_30D))</f>
        <v>11798.3330078125</v>
      </c>
      <c r="AA835" s="31" cm="1">
        <f t="array" ref="AA835">IF(LEFT(_xll.BDP($C835, VOLUME_AVG_3M), 4) = "#N/A", "",  _xll.BDP($C835, VOLUME_AVG_3M))</f>
        <v>33802.7890625</v>
      </c>
      <c r="AB835" s="31" cm="1">
        <f t="array" ref="AB835">IF(LEFT(_xll.BDP($C835, VOLUME_AVG_6M), 4) = "#N/A", "",  _xll.BDP($C835, VOLUME_AVG_6M))</f>
        <v>47681.078125</v>
      </c>
      <c r="AC835" s="31" cm="1">
        <f t="array" ref="AC835">IF(LEFT(_xll.BDP($C835, VOLUME_AVG_12M), 4) = "#N/A", "",  _xll.BDP($C835, VOLUME_AVG_12M))</f>
        <v>307021.03125</v>
      </c>
      <c r="AD835" s="41" cm="1">
        <f t="array" ref="AD835">IF(LEFT(_xll.BDP($C835, LAST_PRICE), 4) = "#N/A", "",  _xll.BDP($C835, LAST_PRICE))</f>
        <v>0.49</v>
      </c>
    </row>
    <row r="836" spans="1:30" x14ac:dyDescent="0.35">
      <c r="A836" s="1">
        <f t="shared" si="12"/>
        <v>833</v>
      </c>
      <c r="B836" s="28">
        <v>45700</v>
      </c>
      <c r="C836" s="29" t="s">
        <v>1724</v>
      </c>
      <c r="D836" s="29" t="s">
        <v>1724</v>
      </c>
      <c r="E836" s="29" t="s">
        <v>1725</v>
      </c>
      <c r="F836" s="29" t="s">
        <v>33</v>
      </c>
      <c r="G836" s="30" t="s">
        <v>34</v>
      </c>
      <c r="H836" s="31">
        <v>1392046222.77688</v>
      </c>
      <c r="I836" s="31">
        <v>1178861222.77688</v>
      </c>
      <c r="J836" s="32">
        <v>19.280000686645501</v>
      </c>
      <c r="K836" s="33">
        <v>45700</v>
      </c>
      <c r="L836" s="31"/>
      <c r="M836" s="32"/>
      <c r="N836" s="31"/>
      <c r="O836" s="33">
        <v>45699</v>
      </c>
      <c r="P836" s="34">
        <v>597461.5625</v>
      </c>
      <c r="Q836" s="34">
        <v>442532.84375</v>
      </c>
      <c r="R836" s="34">
        <v>405291.28125</v>
      </c>
      <c r="S836" s="29" t="s">
        <v>353</v>
      </c>
      <c r="T836" s="33">
        <v>45446</v>
      </c>
      <c r="U836" s="35" t="b">
        <v>0</v>
      </c>
      <c r="V836" s="35" t="b">
        <v>0</v>
      </c>
      <c r="W836" s="35" t="b">
        <v>0</v>
      </c>
      <c r="Y836" s="31" cm="1">
        <f t="array" ref="Y836">IF(LEFT(_xll.BDP($C836, VOLUME_AVG_10D), 4) = "#N/A", "",  _xll.BDP($C836, VOLUME_AVG_10D))</f>
        <v>658023</v>
      </c>
      <c r="Z836" s="31" cm="1">
        <f t="array" ref="Z836">IF(LEFT(_xll.BDP($C836, VOLUME_AVG_30D), 4) = "#N/A", "",  _xll.BDP($C836, VOLUME_AVG_30D))</f>
        <v>597461.5625</v>
      </c>
      <c r="AA836" s="31" cm="1">
        <f t="array" ref="AA836">IF(LEFT(_xll.BDP($C836, VOLUME_AVG_3M), 4) = "#N/A", "",  _xll.BDP($C836, VOLUME_AVG_3M))</f>
        <v>442532.84375</v>
      </c>
      <c r="AB836" s="31" cm="1">
        <f t="array" ref="AB836">IF(LEFT(_xll.BDP($C836, VOLUME_AVG_6M), 4) = "#N/A", "",  _xll.BDP($C836, VOLUME_AVG_6M))</f>
        <v>405291.28125</v>
      </c>
      <c r="AC836" s="31" cm="1">
        <f t="array" ref="AC836">IF(LEFT(_xll.BDP($C836, VOLUME_AVG_12M), 4) = "#N/A", "",  _xll.BDP($C836, VOLUME_AVG_12M))</f>
        <v>418205.0625</v>
      </c>
      <c r="AD836" s="41" cm="1">
        <f t="array" ref="AD836">IF(LEFT(_xll.BDP($C836, LAST_PRICE), 4) = "#N/A", "",  _xll.BDP($C836, LAST_PRICE))</f>
        <v>19.28</v>
      </c>
    </row>
    <row r="837" spans="1:30" x14ac:dyDescent="0.35">
      <c r="A837" s="1">
        <f t="shared" si="12"/>
        <v>834</v>
      </c>
      <c r="B837" s="28">
        <v>45700</v>
      </c>
      <c r="C837" s="29" t="s">
        <v>1726</v>
      </c>
      <c r="D837" s="29" t="s">
        <v>1726</v>
      </c>
      <c r="E837" s="29" t="s">
        <v>1727</v>
      </c>
      <c r="F837" s="29" t="s">
        <v>33</v>
      </c>
      <c r="G837" s="30" t="s">
        <v>34</v>
      </c>
      <c r="H837" s="31">
        <v>10367202.078329301</v>
      </c>
      <c r="I837" s="31">
        <v>-18595191.921670701</v>
      </c>
      <c r="J837" s="32">
        <v>3.4900000095367401</v>
      </c>
      <c r="K837" s="33">
        <v>45700</v>
      </c>
      <c r="L837" s="31">
        <v>62900</v>
      </c>
      <c r="M837" s="32">
        <v>-2.65</v>
      </c>
      <c r="N837" s="31" t="s">
        <v>35</v>
      </c>
      <c r="O837" s="33">
        <v>45699</v>
      </c>
      <c r="P837" s="34">
        <v>53027.80078125</v>
      </c>
      <c r="Q837" s="34">
        <v>44701.61328125</v>
      </c>
      <c r="R837" s="34">
        <v>35899.16015625</v>
      </c>
      <c r="S837" s="29"/>
      <c r="T837" s="33"/>
      <c r="U837" s="35" t="b">
        <v>1</v>
      </c>
      <c r="V837" s="35" t="b">
        <v>0</v>
      </c>
      <c r="W837" s="35" t="b">
        <v>1</v>
      </c>
      <c r="Y837" s="31" cm="1">
        <f t="array" ref="Y837">IF(LEFT(_xll.BDP($C837, VOLUME_AVG_10D), 4) = "#N/A", "",  _xll.BDP($C837, VOLUME_AVG_10D))</f>
        <v>67458.6015625</v>
      </c>
      <c r="Z837" s="31" cm="1">
        <f t="array" ref="Z837">IF(LEFT(_xll.BDP($C837, VOLUME_AVG_30D), 4) = "#N/A", "",  _xll.BDP($C837, VOLUME_AVG_30D))</f>
        <v>53027.80078125</v>
      </c>
      <c r="AA837" s="31" cm="1">
        <f t="array" ref="AA837">IF(LEFT(_xll.BDP($C837, VOLUME_AVG_3M), 4) = "#N/A", "",  _xll.BDP($C837, VOLUME_AVG_3M))</f>
        <v>44701.61328125</v>
      </c>
      <c r="AB837" s="31" cm="1">
        <f t="array" ref="AB837">IF(LEFT(_xll.BDP($C837, VOLUME_AVG_6M), 4) = "#N/A", "",  _xll.BDP($C837, VOLUME_AVG_6M))</f>
        <v>35899.16015625</v>
      </c>
      <c r="AC837" s="31" cm="1">
        <f t="array" ref="AC837">IF(LEFT(_xll.BDP($C837, VOLUME_AVG_12M), 4) = "#N/A", "",  _xll.BDP($C837, VOLUME_AVG_12M))</f>
        <v>34526.6953125</v>
      </c>
      <c r="AD837" s="41" cm="1">
        <f t="array" ref="AD837">IF(LEFT(_xll.BDP($C837, LAST_PRICE), 4) = "#N/A", "",  _xll.BDP($C837, LAST_PRICE))</f>
        <v>3.49</v>
      </c>
    </row>
    <row r="838" spans="1:30" x14ac:dyDescent="0.35">
      <c r="A838" s="1">
        <f t="shared" ref="A838:A901" si="13">IF(B838="","", A837+1)</f>
        <v>835</v>
      </c>
      <c r="B838" s="28">
        <v>45700</v>
      </c>
      <c r="C838" s="29" t="s">
        <v>1728</v>
      </c>
      <c r="D838" s="29" t="s">
        <v>1728</v>
      </c>
      <c r="E838" s="29" t="s">
        <v>1729</v>
      </c>
      <c r="F838" s="29" t="s">
        <v>33</v>
      </c>
      <c r="G838" s="30" t="s">
        <v>34</v>
      </c>
      <c r="H838" s="31">
        <v>1824185.51891327</v>
      </c>
      <c r="I838" s="31">
        <v>53926185.518913299</v>
      </c>
      <c r="J838" s="32">
        <v>1.1799999475479099</v>
      </c>
      <c r="K838" s="33">
        <v>45700</v>
      </c>
      <c r="L838" s="31">
        <v>57900</v>
      </c>
      <c r="M838" s="32">
        <v>-56</v>
      </c>
      <c r="N838" s="31" t="s">
        <v>35</v>
      </c>
      <c r="O838" s="33">
        <v>45699</v>
      </c>
      <c r="P838" s="34">
        <v>1855.86669921875</v>
      </c>
      <c r="Q838" s="34">
        <v>1668.14514160156</v>
      </c>
      <c r="R838" s="34">
        <v>1607.35717773438</v>
      </c>
      <c r="S838" s="29"/>
      <c r="T838" s="33"/>
      <c r="U838" s="35" t="b">
        <v>1</v>
      </c>
      <c r="V838" s="35" t="b">
        <v>0</v>
      </c>
      <c r="W838" s="35" t="b">
        <v>0</v>
      </c>
      <c r="Y838" s="31" cm="1">
        <f t="array" ref="Y838">IF(LEFT(_xll.BDP($C838, VOLUME_AVG_10D), 4) = "#N/A", "",  _xll.BDP($C838, VOLUME_AVG_10D))</f>
        <v>1591.300048828125</v>
      </c>
      <c r="Z838" s="31" cm="1">
        <f t="array" ref="Z838">IF(LEFT(_xll.BDP($C838, VOLUME_AVG_30D), 4) = "#N/A", "",  _xll.BDP($C838, VOLUME_AVG_30D))</f>
        <v>1855.86669921875</v>
      </c>
      <c r="AA838" s="31" cm="1">
        <f t="array" ref="AA838">IF(LEFT(_xll.BDP($C838, VOLUME_AVG_3M), 4) = "#N/A", "",  _xll.BDP($C838, VOLUME_AVG_3M))</f>
        <v>1668.1451416015625</v>
      </c>
      <c r="AB838" s="31" cm="1">
        <f t="array" ref="AB838">IF(LEFT(_xll.BDP($C838, VOLUME_AVG_6M), 4) = "#N/A", "",  _xll.BDP($C838, VOLUME_AVG_6M))</f>
        <v>1607.357177734375</v>
      </c>
      <c r="AC838" s="31" cm="1">
        <f t="array" ref="AC838">IF(LEFT(_xll.BDP($C838, VOLUME_AVG_12M), 4) = "#N/A", "",  _xll.BDP($C838, VOLUME_AVG_12M))</f>
        <v>3089.19921875</v>
      </c>
      <c r="AD838" s="41" cm="1">
        <f t="array" ref="AD838">IF(LEFT(_xll.BDP($C838, LAST_PRICE), 4) = "#N/A", "",  _xll.BDP($C838, LAST_PRICE))</f>
        <v>1.18</v>
      </c>
    </row>
    <row r="839" spans="1:30" x14ac:dyDescent="0.35">
      <c r="A839" s="1">
        <f t="shared" si="13"/>
        <v>836</v>
      </c>
      <c r="B839" s="28">
        <v>45700</v>
      </c>
      <c r="C839" s="29" t="s">
        <v>1730</v>
      </c>
      <c r="D839" s="29" t="s">
        <v>1730</v>
      </c>
      <c r="E839" s="29" t="s">
        <v>1731</v>
      </c>
      <c r="F839" s="29" t="s">
        <v>33</v>
      </c>
      <c r="G839" s="30" t="s">
        <v>34</v>
      </c>
      <c r="H839" s="31">
        <v>9242716.5787553806</v>
      </c>
      <c r="I839" s="31">
        <v>9070181.5787553806</v>
      </c>
      <c r="J839" s="32">
        <v>0.34130001068115201</v>
      </c>
      <c r="K839" s="33">
        <v>45700</v>
      </c>
      <c r="L839" s="31">
        <v>62600</v>
      </c>
      <c r="M839" s="32">
        <v>-60.8</v>
      </c>
      <c r="N839" s="31" t="s">
        <v>35</v>
      </c>
      <c r="O839" s="33">
        <v>45699</v>
      </c>
      <c r="P839" s="34">
        <v>953616.5625</v>
      </c>
      <c r="Q839" s="34">
        <v>818117.3125</v>
      </c>
      <c r="R839" s="34">
        <v>710283</v>
      </c>
      <c r="S839" s="29"/>
      <c r="T839" s="33"/>
      <c r="U839" s="35" t="b">
        <v>1</v>
      </c>
      <c r="V839" s="35" t="b">
        <v>0</v>
      </c>
      <c r="W839" s="35" t="b">
        <v>0</v>
      </c>
      <c r="Y839" s="31" cm="1">
        <f t="array" ref="Y839">IF(LEFT(_xll.BDP($C839, VOLUME_AVG_10D), 4) = "#N/A", "",  _xll.BDP($C839, VOLUME_AVG_10D))</f>
        <v>76278.5</v>
      </c>
      <c r="Z839" s="31" cm="1">
        <f t="array" ref="Z839">IF(LEFT(_xll.BDP($C839, VOLUME_AVG_30D), 4) = "#N/A", "",  _xll.BDP($C839, VOLUME_AVG_30D))</f>
        <v>953616.5625</v>
      </c>
      <c r="AA839" s="31" cm="1">
        <f t="array" ref="AA839">IF(LEFT(_xll.BDP($C839, VOLUME_AVG_3M), 4) = "#N/A", "",  _xll.BDP($C839, VOLUME_AVG_3M))</f>
        <v>818117.3125</v>
      </c>
      <c r="AB839" s="31" cm="1">
        <f t="array" ref="AB839">IF(LEFT(_xll.BDP($C839, VOLUME_AVG_6M), 4) = "#N/A", "",  _xll.BDP($C839, VOLUME_AVG_6M))</f>
        <v>710283</v>
      </c>
      <c r="AC839" s="31" cm="1">
        <f t="array" ref="AC839">IF(LEFT(_xll.BDP($C839, VOLUME_AVG_12M), 4) = "#N/A", "",  _xll.BDP($C839, VOLUME_AVG_12M))</f>
        <v>1123396.875</v>
      </c>
      <c r="AD839" s="41" cm="1">
        <f t="array" ref="AD839">IF(LEFT(_xll.BDP($C839, LAST_PRICE), 4) = "#N/A", "",  _xll.BDP($C839, LAST_PRICE))</f>
        <v>0.34129999999999999</v>
      </c>
    </row>
    <row r="840" spans="1:30" x14ac:dyDescent="0.35">
      <c r="A840" s="1">
        <f t="shared" si="13"/>
        <v>837</v>
      </c>
      <c r="B840" s="28">
        <v>45700</v>
      </c>
      <c r="C840" s="29" t="s">
        <v>1732</v>
      </c>
      <c r="D840" s="29" t="s">
        <v>1732</v>
      </c>
      <c r="E840" s="29" t="s">
        <v>1733</v>
      </c>
      <c r="F840" s="29" t="s">
        <v>33</v>
      </c>
      <c r="G840" s="30" t="s">
        <v>34</v>
      </c>
      <c r="H840" s="31"/>
      <c r="I840" s="31"/>
      <c r="J840" s="32"/>
      <c r="K840" s="33">
        <v>45700</v>
      </c>
      <c r="L840" s="31"/>
      <c r="M840" s="32"/>
      <c r="N840" s="31"/>
      <c r="O840" s="33">
        <v>45699</v>
      </c>
      <c r="P840" s="34"/>
      <c r="Q840" s="34"/>
      <c r="R840" s="34"/>
      <c r="S840" s="29"/>
      <c r="T840" s="33"/>
      <c r="U840" s="35" t="b">
        <v>1</v>
      </c>
      <c r="V840" s="35" t="b">
        <v>1</v>
      </c>
      <c r="W840" s="35" t="b">
        <v>1</v>
      </c>
      <c r="Y840" s="31" t="str" cm="1">
        <f t="array" ref="Y840">IF(LEFT(_xll.BDP($C840, VOLUME_AVG_10D), 4) = "#N/A", "",  _xll.BDP($C840, VOLUME_AVG_10D))</f>
        <v/>
      </c>
      <c r="Z840" s="31" t="str" cm="1">
        <f t="array" ref="Z840">IF(LEFT(_xll.BDP($C840, VOLUME_AVG_30D), 4) = "#N/A", "",  _xll.BDP($C840, VOLUME_AVG_30D))</f>
        <v/>
      </c>
      <c r="AA840" s="31" t="str" cm="1">
        <f t="array" ref="AA840">IF(LEFT(_xll.BDP($C840, VOLUME_AVG_3M), 4) = "#N/A", "",  _xll.BDP($C840, VOLUME_AVG_3M))</f>
        <v/>
      </c>
      <c r="AB840" s="31" t="str" cm="1">
        <f t="array" ref="AB840">IF(LEFT(_xll.BDP($C840, VOLUME_AVG_6M), 4) = "#N/A", "",  _xll.BDP($C840, VOLUME_AVG_6M))</f>
        <v/>
      </c>
      <c r="AC840" s="31" t="str" cm="1">
        <f t="array" ref="AC840">IF(LEFT(_xll.BDP($C840, VOLUME_AVG_12M), 4) = "#N/A", "",  _xll.BDP($C840, VOLUME_AVG_12M))</f>
        <v/>
      </c>
      <c r="AD840" s="41" t="str" cm="1">
        <f t="array" ref="AD840">IF(LEFT(_xll.BDP($C840, LAST_PRICE), 4) = "#N/A", "",  _xll.BDP($C840, LAST_PRICE))</f>
        <v/>
      </c>
    </row>
    <row r="841" spans="1:30" x14ac:dyDescent="0.35">
      <c r="A841" s="1">
        <f t="shared" si="13"/>
        <v>838</v>
      </c>
      <c r="B841" s="28">
        <v>45700</v>
      </c>
      <c r="C841" s="29" t="s">
        <v>1734</v>
      </c>
      <c r="D841" s="29" t="s">
        <v>1734</v>
      </c>
      <c r="E841" s="29" t="s">
        <v>1735</v>
      </c>
      <c r="F841" s="29" t="s">
        <v>40</v>
      </c>
      <c r="G841" s="30" t="s">
        <v>41</v>
      </c>
      <c r="H841" s="31">
        <v>637692841.29737103</v>
      </c>
      <c r="I841" s="31">
        <v>635449162.29737103</v>
      </c>
      <c r="J841" s="32">
        <v>6.78999996185303</v>
      </c>
      <c r="K841" s="33">
        <v>45700</v>
      </c>
      <c r="L841" s="31">
        <v>10029600</v>
      </c>
      <c r="M841" s="32">
        <v>0.95</v>
      </c>
      <c r="N841" s="31" t="s">
        <v>35</v>
      </c>
      <c r="O841" s="33">
        <v>45699</v>
      </c>
      <c r="P841" s="34">
        <v>132427.5</v>
      </c>
      <c r="Q841" s="34">
        <v>133513.70000000001</v>
      </c>
      <c r="R841" s="34">
        <v>107516.1</v>
      </c>
      <c r="S841" s="29"/>
      <c r="T841" s="33"/>
      <c r="U841" s="35" t="b">
        <v>0</v>
      </c>
      <c r="V841" s="35" t="b">
        <v>0</v>
      </c>
      <c r="W841" s="35" t="b">
        <v>0</v>
      </c>
      <c r="Y841" s="31" cm="1">
        <f t="array" ref="Y841">IF(LEFT(_xll.BDP($C841, VOLUME_AVG_10D), 4) = "#N/A", "",  _xll.BDP($C841, VOLUME_AVG_10D))</f>
        <v>124413</v>
      </c>
      <c r="Z841" s="31" cm="1">
        <f t="array" ref="Z841">IF(LEFT(_xll.BDP($C841, VOLUME_AVG_30D), 4) = "#N/A", "",  _xll.BDP($C841, VOLUME_AVG_30D))</f>
        <v>132427.5</v>
      </c>
      <c r="AA841" s="31" cm="1">
        <f t="array" ref="AA841">IF(LEFT(_xll.BDP($C841, VOLUME_AVG_3M), 4) = "#N/A", "",  _xll.BDP($C841, VOLUME_AVG_3M))</f>
        <v>133513.70000000001</v>
      </c>
      <c r="AB841" s="31" cm="1">
        <f t="array" ref="AB841">IF(LEFT(_xll.BDP($C841, VOLUME_AVG_6M), 4) = "#N/A", "",  _xll.BDP($C841, VOLUME_AVG_6M))</f>
        <v>107516.1</v>
      </c>
      <c r="AC841" s="31" cm="1">
        <f t="array" ref="AC841">IF(LEFT(_xll.BDP($C841, VOLUME_AVG_12M), 4) = "#N/A", "",  _xll.BDP($C841, VOLUME_AVG_12M))</f>
        <v>106332.7</v>
      </c>
      <c r="AD841" s="41" cm="1">
        <f t="array" ref="AD841">IF(LEFT(_xll.BDP($C841, LAST_PRICE), 4) = "#N/A", "",  _xll.BDP($C841, LAST_PRICE))</f>
        <v>6.79</v>
      </c>
    </row>
    <row r="842" spans="1:30" x14ac:dyDescent="0.35">
      <c r="A842" s="1">
        <f t="shared" si="13"/>
        <v>839</v>
      </c>
      <c r="B842" s="28">
        <v>45700</v>
      </c>
      <c r="C842" s="29" t="s">
        <v>1736</v>
      </c>
      <c r="D842" s="29" t="s">
        <v>1736</v>
      </c>
      <c r="E842" s="29" t="s">
        <v>1737</v>
      </c>
      <c r="F842" s="29" t="s">
        <v>40</v>
      </c>
      <c r="G842" s="30" t="s">
        <v>41</v>
      </c>
      <c r="H842" s="31">
        <v>564272240.72211504</v>
      </c>
      <c r="I842" s="31">
        <v>470989240.72211498</v>
      </c>
      <c r="J842" s="32">
        <v>5.6399998664856001</v>
      </c>
      <c r="K842" s="33">
        <v>45700</v>
      </c>
      <c r="L842" s="31">
        <v>11185400</v>
      </c>
      <c r="M842" s="32">
        <v>3.88</v>
      </c>
      <c r="N842" s="31" t="s">
        <v>35</v>
      </c>
      <c r="O842" s="33">
        <v>45699</v>
      </c>
      <c r="P842" s="34">
        <v>103217.5</v>
      </c>
      <c r="Q842" s="34">
        <v>175004.79999999999</v>
      </c>
      <c r="R842" s="34">
        <v>159666.20000000001</v>
      </c>
      <c r="S842" s="29"/>
      <c r="T842" s="33"/>
      <c r="U842" s="35" t="b">
        <v>0</v>
      </c>
      <c r="V842" s="35" t="b">
        <v>0</v>
      </c>
      <c r="W842" s="35" t="b">
        <v>0</v>
      </c>
      <c r="Y842" s="31" cm="1">
        <f t="array" ref="Y842">IF(LEFT(_xll.BDP($C842, VOLUME_AVG_10D), 4) = "#N/A", "",  _xll.BDP($C842, VOLUME_AVG_10D))</f>
        <v>108997</v>
      </c>
      <c r="Z842" s="31" cm="1">
        <f t="array" ref="Z842">IF(LEFT(_xll.BDP($C842, VOLUME_AVG_30D), 4) = "#N/A", "",  _xll.BDP($C842, VOLUME_AVG_30D))</f>
        <v>103217.5</v>
      </c>
      <c r="AA842" s="31" cm="1">
        <f t="array" ref="AA842">IF(LEFT(_xll.BDP($C842, VOLUME_AVG_3M), 4) = "#N/A", "",  _xll.BDP($C842, VOLUME_AVG_3M))</f>
        <v>175004.79999999999</v>
      </c>
      <c r="AB842" s="31" cm="1">
        <f t="array" ref="AB842">IF(LEFT(_xll.BDP($C842, VOLUME_AVG_6M), 4) = "#N/A", "",  _xll.BDP($C842, VOLUME_AVG_6M))</f>
        <v>159666.20000000001</v>
      </c>
      <c r="AC842" s="31" cm="1">
        <f t="array" ref="AC842">IF(LEFT(_xll.BDP($C842, VOLUME_AVG_12M), 4) = "#N/A", "",  _xll.BDP($C842, VOLUME_AVG_12M))</f>
        <v>137977.60000000001</v>
      </c>
      <c r="AD842" s="41" cm="1">
        <f t="array" ref="AD842">IF(LEFT(_xll.BDP($C842, LAST_PRICE), 4) = "#N/A", "",  _xll.BDP($C842, LAST_PRICE))</f>
        <v>5.64</v>
      </c>
    </row>
    <row r="843" spans="1:30" x14ac:dyDescent="0.35">
      <c r="A843" s="1">
        <f t="shared" si="13"/>
        <v>840</v>
      </c>
      <c r="B843" s="28">
        <v>45700</v>
      </c>
      <c r="C843" s="29" t="s">
        <v>3304</v>
      </c>
      <c r="D843" s="29" t="s">
        <v>3304</v>
      </c>
      <c r="E843" s="29" t="s">
        <v>1738</v>
      </c>
      <c r="F843" s="29" t="s">
        <v>33</v>
      </c>
      <c r="G843" s="30" t="s">
        <v>34</v>
      </c>
      <c r="H843" s="31">
        <v>13565045.2122421</v>
      </c>
      <c r="I843" s="31">
        <v>14881639.2122421</v>
      </c>
      <c r="J843" s="32">
        <v>0.12202499806880999</v>
      </c>
      <c r="K843" s="33">
        <v>45700</v>
      </c>
      <c r="L843" s="31">
        <v>4088900</v>
      </c>
      <c r="M843" s="32">
        <v>3.88</v>
      </c>
      <c r="N843" s="31" t="s">
        <v>35</v>
      </c>
      <c r="O843" s="33">
        <v>45699</v>
      </c>
      <c r="P843" s="34">
        <v>3643211.75</v>
      </c>
      <c r="Q843" s="34">
        <v>2111607.5</v>
      </c>
      <c r="R843" s="34">
        <v>1217290</v>
      </c>
      <c r="S843" s="29"/>
      <c r="T843" s="33"/>
      <c r="U843" s="35" t="b">
        <v>1</v>
      </c>
      <c r="V843" s="35" t="b">
        <v>0</v>
      </c>
      <c r="W843" s="35" t="b">
        <v>0</v>
      </c>
      <c r="Y843" s="31" cm="1">
        <f t="array" ref="Y843">IF(LEFT(_xll.BDP($C843, VOLUME_AVG_10D), 4) = "#N/A", "",  _xll.BDP($C843, VOLUME_AVG_10D))</f>
        <v>1601175.875</v>
      </c>
      <c r="Z843" s="31" cm="1">
        <f t="array" ref="Z843">IF(LEFT(_xll.BDP($C843, VOLUME_AVG_30D), 4) = "#N/A", "",  _xll.BDP($C843, VOLUME_AVG_30D))</f>
        <v>3643211.75</v>
      </c>
      <c r="AA843" s="31" cm="1">
        <f t="array" ref="AA843">IF(LEFT(_xll.BDP($C843, VOLUME_AVG_3M), 4) = "#N/A", "",  _xll.BDP($C843, VOLUME_AVG_3M))</f>
        <v>2111607.5</v>
      </c>
      <c r="AB843" s="31" cm="1">
        <f t="array" ref="AB843">IF(LEFT(_xll.BDP($C843, VOLUME_AVG_6M), 4) = "#N/A", "",  _xll.BDP($C843, VOLUME_AVG_6M))</f>
        <v>1217290</v>
      </c>
      <c r="AC843" s="31" cm="1">
        <f t="array" ref="AC843">IF(LEFT(_xll.BDP($C843, VOLUME_AVG_12M), 4) = "#N/A", "",  _xll.BDP($C843, VOLUME_AVG_12M))</f>
        <v>719765.375</v>
      </c>
      <c r="AD843" s="41" cm="1">
        <f t="array" ref="AD843">IF(LEFT(_xll.BDP($C843, LAST_PRICE), 4) = "#N/A", "",  _xll.BDP($C843, LAST_PRICE))</f>
        <v>0.12203</v>
      </c>
    </row>
    <row r="844" spans="1:30" x14ac:dyDescent="0.35">
      <c r="A844" s="1">
        <f t="shared" si="13"/>
        <v>841</v>
      </c>
      <c r="B844" s="28">
        <v>45700</v>
      </c>
      <c r="C844" s="29" t="s">
        <v>1739</v>
      </c>
      <c r="D844" s="29" t="s">
        <v>1739</v>
      </c>
      <c r="E844" s="29" t="s">
        <v>1740</v>
      </c>
      <c r="F844" s="29" t="s">
        <v>33</v>
      </c>
      <c r="G844" s="30" t="s">
        <v>34</v>
      </c>
      <c r="H844" s="31">
        <v>262592620.21537399</v>
      </c>
      <c r="I844" s="31">
        <v>138163620.21537399</v>
      </c>
      <c r="J844" s="32">
        <v>4.9899997711181596</v>
      </c>
      <c r="K844" s="33">
        <v>45700</v>
      </c>
      <c r="L844" s="31">
        <v>8662300</v>
      </c>
      <c r="M844" s="32">
        <v>3.88</v>
      </c>
      <c r="N844" s="31" t="s">
        <v>35</v>
      </c>
      <c r="O844" s="33">
        <v>45699</v>
      </c>
      <c r="P844" s="34">
        <v>432824.53125</v>
      </c>
      <c r="Q844" s="34">
        <v>458708.40625</v>
      </c>
      <c r="R844" s="34">
        <v>335305.5</v>
      </c>
      <c r="S844" s="29" t="s">
        <v>49</v>
      </c>
      <c r="T844" s="33">
        <v>45446</v>
      </c>
      <c r="U844" s="35" t="b">
        <v>0</v>
      </c>
      <c r="V844" s="35" t="b">
        <v>0</v>
      </c>
      <c r="W844" s="35" t="b">
        <v>0</v>
      </c>
      <c r="Y844" s="31" cm="1">
        <f t="array" ref="Y844">IF(LEFT(_xll.BDP($C844, VOLUME_AVG_10D), 4) = "#N/A", "",  _xll.BDP($C844, VOLUME_AVG_10D))</f>
        <v>387697.09375</v>
      </c>
      <c r="Z844" s="31" cm="1">
        <f t="array" ref="Z844">IF(LEFT(_xll.BDP($C844, VOLUME_AVG_30D), 4) = "#N/A", "",  _xll.BDP($C844, VOLUME_AVG_30D))</f>
        <v>432824.53125</v>
      </c>
      <c r="AA844" s="31" cm="1">
        <f t="array" ref="AA844">IF(LEFT(_xll.BDP($C844, VOLUME_AVG_3M), 4) = "#N/A", "",  _xll.BDP($C844, VOLUME_AVG_3M))</f>
        <v>458708.40625</v>
      </c>
      <c r="AB844" s="31" cm="1">
        <f t="array" ref="AB844">IF(LEFT(_xll.BDP($C844, VOLUME_AVG_6M), 4) = "#N/A", "",  _xll.BDP($C844, VOLUME_AVG_6M))</f>
        <v>335305.5</v>
      </c>
      <c r="AC844" s="31" cm="1">
        <f t="array" ref="AC844">IF(LEFT(_xll.BDP($C844, VOLUME_AVG_12M), 4) = "#N/A", "",  _xll.BDP($C844, VOLUME_AVG_12M))</f>
        <v>439415.21875</v>
      </c>
      <c r="AD844" s="41" cm="1">
        <f t="array" ref="AD844">IF(LEFT(_xll.BDP($C844, LAST_PRICE), 4) = "#N/A", "",  _xll.BDP($C844, LAST_PRICE))</f>
        <v>4.99</v>
      </c>
    </row>
    <row r="845" spans="1:30" x14ac:dyDescent="0.35">
      <c r="A845" s="1">
        <f t="shared" si="13"/>
        <v>842</v>
      </c>
      <c r="B845" s="28">
        <v>45700</v>
      </c>
      <c r="C845" s="29" t="s">
        <v>1741</v>
      </c>
      <c r="D845" s="29" t="s">
        <v>1741</v>
      </c>
      <c r="E845" s="29" t="s">
        <v>1742</v>
      </c>
      <c r="F845" s="29" t="s">
        <v>33</v>
      </c>
      <c r="G845" s="30" t="s">
        <v>34</v>
      </c>
      <c r="H845" s="31">
        <v>278705794.5</v>
      </c>
      <c r="I845" s="31">
        <v>183493794.5</v>
      </c>
      <c r="J845" s="32">
        <v>29.75</v>
      </c>
      <c r="K845" s="33">
        <v>45700</v>
      </c>
      <c r="L845" s="31">
        <v>1016800</v>
      </c>
      <c r="M845" s="32">
        <v>3.5</v>
      </c>
      <c r="N845" s="31" t="s">
        <v>35</v>
      </c>
      <c r="O845" s="33">
        <v>45699</v>
      </c>
      <c r="P845" s="34">
        <v>79804.203125</v>
      </c>
      <c r="Q845" s="34">
        <v>102683.6953125</v>
      </c>
      <c r="R845" s="34">
        <v>107710.40625</v>
      </c>
      <c r="S845" s="29"/>
      <c r="T845" s="33"/>
      <c r="U845" s="35" t="b">
        <v>0</v>
      </c>
      <c r="V845" s="35" t="b">
        <v>0</v>
      </c>
      <c r="W845" s="35" t="b">
        <v>0</v>
      </c>
      <c r="Y845" s="31" cm="1">
        <f t="array" ref="Y845">IF(LEFT(_xll.BDP($C845, VOLUME_AVG_10D), 4) = "#N/A", "",  _xll.BDP($C845, VOLUME_AVG_10D))</f>
        <v>59445.5</v>
      </c>
      <c r="Z845" s="31" cm="1">
        <f t="array" ref="Z845">IF(LEFT(_xll.BDP($C845, VOLUME_AVG_30D), 4) = "#N/A", "",  _xll.BDP($C845, VOLUME_AVG_30D))</f>
        <v>79804.203125</v>
      </c>
      <c r="AA845" s="31" cm="1">
        <f t="array" ref="AA845">IF(LEFT(_xll.BDP($C845, VOLUME_AVG_3M), 4) = "#N/A", "",  _xll.BDP($C845, VOLUME_AVG_3M))</f>
        <v>102683.6953125</v>
      </c>
      <c r="AB845" s="31" cm="1">
        <f t="array" ref="AB845">IF(LEFT(_xll.BDP($C845, VOLUME_AVG_6M), 4) = "#N/A", "",  _xll.BDP($C845, VOLUME_AVG_6M))</f>
        <v>107710.40625</v>
      </c>
      <c r="AC845" s="31" cm="1">
        <f t="array" ref="AC845">IF(LEFT(_xll.BDP($C845, VOLUME_AVG_12M), 4) = "#N/A", "",  _xll.BDP($C845, VOLUME_AVG_12M))</f>
        <v>82540.859375</v>
      </c>
      <c r="AD845" s="41" cm="1">
        <f t="array" ref="AD845">IF(LEFT(_xll.BDP($C845, LAST_PRICE), 4) = "#N/A", "",  _xll.BDP($C845, LAST_PRICE))</f>
        <v>29.75</v>
      </c>
    </row>
    <row r="846" spans="1:30" x14ac:dyDescent="0.35">
      <c r="A846" s="1">
        <f t="shared" si="13"/>
        <v>843</v>
      </c>
      <c r="B846" s="28">
        <v>45700</v>
      </c>
      <c r="C846" s="29" t="s">
        <v>1743</v>
      </c>
      <c r="D846" s="29" t="s">
        <v>1743</v>
      </c>
      <c r="E846" s="29" t="s">
        <v>1744</v>
      </c>
      <c r="F846" s="29" t="s">
        <v>33</v>
      </c>
      <c r="G846" s="30" t="s">
        <v>34</v>
      </c>
      <c r="H846" s="31">
        <v>213143467.97138599</v>
      </c>
      <c r="I846" s="31">
        <v>208581830.97138599</v>
      </c>
      <c r="J846" s="32">
        <v>4.6500000953674299</v>
      </c>
      <c r="K846" s="33">
        <v>45700</v>
      </c>
      <c r="L846" s="31">
        <v>2579700</v>
      </c>
      <c r="M846" s="32">
        <v>3.6</v>
      </c>
      <c r="N846" s="31" t="s">
        <v>35</v>
      </c>
      <c r="O846" s="33">
        <v>45699</v>
      </c>
      <c r="P846" s="34">
        <v>214484.90625</v>
      </c>
      <c r="Q846" s="34">
        <v>146995.6875</v>
      </c>
      <c r="R846" s="34">
        <v>104609.171875</v>
      </c>
      <c r="S846" s="29"/>
      <c r="T846" s="33"/>
      <c r="U846" s="35" t="b">
        <v>0</v>
      </c>
      <c r="V846" s="35" t="b">
        <v>0</v>
      </c>
      <c r="W846" s="35" t="b">
        <v>0</v>
      </c>
      <c r="Y846" s="31" cm="1">
        <f t="array" ref="Y846">IF(LEFT(_xll.BDP($C846, VOLUME_AVG_10D), 4) = "#N/A", "",  _xll.BDP($C846, VOLUME_AVG_10D))</f>
        <v>358863.8125</v>
      </c>
      <c r="Z846" s="31" cm="1">
        <f t="array" ref="Z846">IF(LEFT(_xll.BDP($C846, VOLUME_AVG_30D), 4) = "#N/A", "",  _xll.BDP($C846, VOLUME_AVG_30D))</f>
        <v>214484.90625</v>
      </c>
      <c r="AA846" s="31" cm="1">
        <f t="array" ref="AA846">IF(LEFT(_xll.BDP($C846, VOLUME_AVG_3M), 4) = "#N/A", "",  _xll.BDP($C846, VOLUME_AVG_3M))</f>
        <v>146995.6875</v>
      </c>
      <c r="AB846" s="31" cm="1">
        <f t="array" ref="AB846">IF(LEFT(_xll.BDP($C846, VOLUME_AVG_6M), 4) = "#N/A", "",  _xll.BDP($C846, VOLUME_AVG_6M))</f>
        <v>104609.171875</v>
      </c>
      <c r="AC846" s="31" cm="1">
        <f t="array" ref="AC846">IF(LEFT(_xll.BDP($C846, VOLUME_AVG_12M), 4) = "#N/A", "",  _xll.BDP($C846, VOLUME_AVG_12M))</f>
        <v>127696.84375</v>
      </c>
      <c r="AD846" s="41" cm="1">
        <f t="array" ref="AD846">IF(LEFT(_xll.BDP($C846, LAST_PRICE), 4) = "#N/A", "",  _xll.BDP($C846, LAST_PRICE))</f>
        <v>4.6500000000000004</v>
      </c>
    </row>
    <row r="847" spans="1:30" x14ac:dyDescent="0.35">
      <c r="A847" s="1">
        <f t="shared" si="13"/>
        <v>844</v>
      </c>
      <c r="B847" s="28">
        <v>45700</v>
      </c>
      <c r="C847" s="29" t="s">
        <v>1745</v>
      </c>
      <c r="D847" s="29" t="s">
        <v>1745</v>
      </c>
      <c r="E847" s="29" t="s">
        <v>1746</v>
      </c>
      <c r="F847" s="29" t="s">
        <v>33</v>
      </c>
      <c r="G847" s="30" t="s">
        <v>34</v>
      </c>
      <c r="H847" s="31"/>
      <c r="I847" s="31"/>
      <c r="J847" s="32"/>
      <c r="K847" s="33">
        <v>45700</v>
      </c>
      <c r="L847" s="31"/>
      <c r="M847" s="32"/>
      <c r="N847" s="31"/>
      <c r="O847" s="33">
        <v>45699</v>
      </c>
      <c r="P847" s="34">
        <v>2393.33325195313</v>
      </c>
      <c r="Q847" s="34">
        <v>1158.06457519531</v>
      </c>
      <c r="R847" s="34">
        <v>728.57141113281295</v>
      </c>
      <c r="S847" s="29"/>
      <c r="T847" s="33"/>
      <c r="U847" s="35" t="b">
        <v>1</v>
      </c>
      <c r="V847" s="35" t="b">
        <v>1</v>
      </c>
      <c r="W847" s="35" t="b">
        <v>1</v>
      </c>
      <c r="Y847" s="31" cm="1">
        <f t="array" ref="Y847">IF(LEFT(_xll.BDP($C847, VOLUME_AVG_10D), 4) = "#N/A", "",  _xll.BDP($C847, VOLUME_AVG_10D))</f>
        <v>0</v>
      </c>
      <c r="Z847" s="31" cm="1">
        <f t="array" ref="Z847">IF(LEFT(_xll.BDP($C847, VOLUME_AVG_30D), 4) = "#N/A", "",  _xll.BDP($C847, VOLUME_AVG_30D))</f>
        <v>2393.333251953125</v>
      </c>
      <c r="AA847" s="31" cm="1">
        <f t="array" ref="AA847">IF(LEFT(_xll.BDP($C847, VOLUME_AVG_3M), 4) = "#N/A", "",  _xll.BDP($C847, VOLUME_AVG_3M))</f>
        <v>1158.0645751953125</v>
      </c>
      <c r="AB847" s="31" cm="1">
        <f t="array" ref="AB847">IF(LEFT(_xll.BDP($C847, VOLUME_AVG_6M), 4) = "#N/A", "",  _xll.BDP($C847, VOLUME_AVG_6M))</f>
        <v>728.5714111328125</v>
      </c>
      <c r="AC847" s="31" cm="1">
        <f t="array" ref="AC847">IF(LEFT(_xll.BDP($C847, VOLUME_AVG_12M), 4) = "#N/A", "",  _xll.BDP($C847, VOLUME_AVG_12M))</f>
        <v>584.86053466796875</v>
      </c>
      <c r="AD847" s="41" cm="1">
        <f t="array" ref="AD847">IF(LEFT(_xll.BDP($C847, LAST_PRICE), 4) = "#N/A", "",  _xll.BDP($C847, LAST_PRICE))</f>
        <v>9.9999999999999995E-7</v>
      </c>
    </row>
    <row r="848" spans="1:30" x14ac:dyDescent="0.35">
      <c r="A848" s="1">
        <f t="shared" si="13"/>
        <v>845</v>
      </c>
      <c r="B848" s="28">
        <v>45700</v>
      </c>
      <c r="C848" s="29" t="s">
        <v>1747</v>
      </c>
      <c r="D848" s="29" t="s">
        <v>1747</v>
      </c>
      <c r="E848" s="29" t="s">
        <v>1748</v>
      </c>
      <c r="F848" s="29" t="s">
        <v>33</v>
      </c>
      <c r="G848" s="30" t="s">
        <v>34</v>
      </c>
      <c r="H848" s="31">
        <v>58536723.682861701</v>
      </c>
      <c r="I848" s="31">
        <v>-40522276.317138299</v>
      </c>
      <c r="J848" s="32">
        <v>0.97009998559951804</v>
      </c>
      <c r="K848" s="33">
        <v>45700</v>
      </c>
      <c r="L848" s="31">
        <v>3636000</v>
      </c>
      <c r="M848" s="32">
        <v>3.1</v>
      </c>
      <c r="N848" s="31" t="s">
        <v>35</v>
      </c>
      <c r="O848" s="33">
        <v>45699</v>
      </c>
      <c r="P848" s="34">
        <v>262891.875</v>
      </c>
      <c r="Q848" s="34">
        <v>322299.3125</v>
      </c>
      <c r="R848" s="34">
        <v>200630.4375</v>
      </c>
      <c r="S848" s="29"/>
      <c r="T848" s="33"/>
      <c r="U848" s="35" t="b">
        <v>0</v>
      </c>
      <c r="V848" s="35" t="b">
        <v>0</v>
      </c>
      <c r="W848" s="35" t="b">
        <v>1</v>
      </c>
      <c r="Y848" s="31" cm="1">
        <f t="array" ref="Y848">IF(LEFT(_xll.BDP($C848, VOLUME_AVG_10D), 4) = "#N/A", "",  _xll.BDP($C848, VOLUME_AVG_10D))</f>
        <v>218804.703125</v>
      </c>
      <c r="Z848" s="31" cm="1">
        <f t="array" ref="Z848">IF(LEFT(_xll.BDP($C848, VOLUME_AVG_30D), 4) = "#N/A", "",  _xll.BDP($C848, VOLUME_AVG_30D))</f>
        <v>262891.875</v>
      </c>
      <c r="AA848" s="31" cm="1">
        <f t="array" ref="AA848">IF(LEFT(_xll.BDP($C848, VOLUME_AVG_3M), 4) = "#N/A", "",  _xll.BDP($C848, VOLUME_AVG_3M))</f>
        <v>322299.3125</v>
      </c>
      <c r="AB848" s="31" cm="1">
        <f t="array" ref="AB848">IF(LEFT(_xll.BDP($C848, VOLUME_AVG_6M), 4) = "#N/A", "",  _xll.BDP($C848, VOLUME_AVG_6M))</f>
        <v>200630.4375</v>
      </c>
      <c r="AC848" s="31" cm="1">
        <f t="array" ref="AC848">IF(LEFT(_xll.BDP($C848, VOLUME_AVG_12M), 4) = "#N/A", "",  _xll.BDP($C848, VOLUME_AVG_12M))</f>
        <v>300497.96875</v>
      </c>
      <c r="AD848" s="41" cm="1">
        <f t="array" ref="AD848">IF(LEFT(_xll.BDP($C848, LAST_PRICE), 4) = "#N/A", "",  _xll.BDP($C848, LAST_PRICE))</f>
        <v>0.97009999999999996</v>
      </c>
    </row>
    <row r="849" spans="1:30" x14ac:dyDescent="0.35">
      <c r="A849" s="1">
        <f t="shared" si="13"/>
        <v>846</v>
      </c>
      <c r="B849" s="28">
        <v>45700</v>
      </c>
      <c r="C849" s="29" t="s">
        <v>1749</v>
      </c>
      <c r="D849" s="29" t="s">
        <v>1749</v>
      </c>
      <c r="E849" s="29" t="s">
        <v>1750</v>
      </c>
      <c r="F849" s="29" t="s">
        <v>33</v>
      </c>
      <c r="G849" s="30" t="s">
        <v>34</v>
      </c>
      <c r="H849" s="31"/>
      <c r="I849" s="31"/>
      <c r="J849" s="32">
        <v>0.1199000030756</v>
      </c>
      <c r="K849" s="33">
        <v>45700</v>
      </c>
      <c r="L849" s="31">
        <v>126800</v>
      </c>
      <c r="M849" s="32">
        <v>3.3</v>
      </c>
      <c r="N849" s="31" t="s">
        <v>35</v>
      </c>
      <c r="O849" s="33">
        <v>45699</v>
      </c>
      <c r="P849" s="34">
        <v>126727.5</v>
      </c>
      <c r="Q849" s="34">
        <v>150386.828125</v>
      </c>
      <c r="R849" s="34">
        <v>91788.4921875</v>
      </c>
      <c r="S849" s="29"/>
      <c r="T849" s="33"/>
      <c r="U849" s="35" t="b">
        <v>1</v>
      </c>
      <c r="V849" s="35" t="b">
        <v>0</v>
      </c>
      <c r="W849" s="35" t="b">
        <v>1</v>
      </c>
      <c r="Y849" s="31" cm="1">
        <f t="array" ref="Y849">IF(LEFT(_xll.BDP($C849, VOLUME_AVG_10D), 4) = "#N/A", "",  _xll.BDP($C849, VOLUME_AVG_10D))</f>
        <v>106448.3984375</v>
      </c>
      <c r="Z849" s="31" cm="1">
        <f t="array" ref="Z849">IF(LEFT(_xll.BDP($C849, VOLUME_AVG_30D), 4) = "#N/A", "",  _xll.BDP($C849, VOLUME_AVG_30D))</f>
        <v>126727.5</v>
      </c>
      <c r="AA849" s="31" cm="1">
        <f t="array" ref="AA849">IF(LEFT(_xll.BDP($C849, VOLUME_AVG_3M), 4) = "#N/A", "",  _xll.BDP($C849, VOLUME_AVG_3M))</f>
        <v>150386.828125</v>
      </c>
      <c r="AB849" s="31" cm="1">
        <f t="array" ref="AB849">IF(LEFT(_xll.BDP($C849, VOLUME_AVG_6M), 4) = "#N/A", "",  _xll.BDP($C849, VOLUME_AVG_6M))</f>
        <v>91788.4921875</v>
      </c>
      <c r="AC849" s="31" cm="1">
        <f t="array" ref="AC849">IF(LEFT(_xll.BDP($C849, VOLUME_AVG_12M), 4) = "#N/A", "",  _xll.BDP($C849, VOLUME_AVG_12M))</f>
        <v>56162.921875</v>
      </c>
      <c r="AD849" s="41" cm="1">
        <f t="array" ref="AD849">IF(LEFT(_xll.BDP($C849, LAST_PRICE), 4) = "#N/A", "",  _xll.BDP($C849, LAST_PRICE))</f>
        <v>0.11990000000000001</v>
      </c>
    </row>
    <row r="850" spans="1:30" x14ac:dyDescent="0.35">
      <c r="A850" s="1">
        <f t="shared" si="13"/>
        <v>847</v>
      </c>
      <c r="B850" s="28">
        <v>45700</v>
      </c>
      <c r="C850" s="29" t="s">
        <v>1751</v>
      </c>
      <c r="D850" s="29" t="s">
        <v>1751</v>
      </c>
      <c r="E850" s="29" t="s">
        <v>1752</v>
      </c>
      <c r="F850" s="29" t="s">
        <v>33</v>
      </c>
      <c r="G850" s="30" t="s">
        <v>34</v>
      </c>
      <c r="H850" s="31">
        <v>4352046334.0085402</v>
      </c>
      <c r="I850" s="31">
        <v>3771198334.0085402</v>
      </c>
      <c r="J850" s="32">
        <v>151.32000732421901</v>
      </c>
      <c r="K850" s="33">
        <v>45700</v>
      </c>
      <c r="L850" s="31">
        <v>9147200</v>
      </c>
      <c r="M850" s="32">
        <v>3.88</v>
      </c>
      <c r="N850" s="31" t="s">
        <v>35</v>
      </c>
      <c r="O850" s="33">
        <v>45699</v>
      </c>
      <c r="P850" s="34">
        <v>232889.53125</v>
      </c>
      <c r="Q850" s="34">
        <v>255520.71875</v>
      </c>
      <c r="R850" s="34">
        <v>234120.4375</v>
      </c>
      <c r="S850" s="29" t="s">
        <v>68</v>
      </c>
      <c r="T850" s="33">
        <v>45446</v>
      </c>
      <c r="U850" s="35" t="b">
        <v>0</v>
      </c>
      <c r="V850" s="35" t="b">
        <v>0</v>
      </c>
      <c r="W850" s="35" t="b">
        <v>0</v>
      </c>
      <c r="Y850" s="31" cm="1">
        <f t="array" ref="Y850">IF(LEFT(_xll.BDP($C850, VOLUME_AVG_10D), 4) = "#N/A", "",  _xll.BDP($C850, VOLUME_AVG_10D))</f>
        <v>199758.59375</v>
      </c>
      <c r="Z850" s="31" cm="1">
        <f t="array" ref="Z850">IF(LEFT(_xll.BDP($C850, VOLUME_AVG_30D), 4) = "#N/A", "",  _xll.BDP($C850, VOLUME_AVG_30D))</f>
        <v>232889.53125</v>
      </c>
      <c r="AA850" s="31" cm="1">
        <f t="array" ref="AA850">IF(LEFT(_xll.BDP($C850, VOLUME_AVG_3M), 4) = "#N/A", "",  _xll.BDP($C850, VOLUME_AVG_3M))</f>
        <v>255520.71875</v>
      </c>
      <c r="AB850" s="31" cm="1">
        <f t="array" ref="AB850">IF(LEFT(_xll.BDP($C850, VOLUME_AVG_6M), 4) = "#N/A", "",  _xll.BDP($C850, VOLUME_AVG_6M))</f>
        <v>234120.4375</v>
      </c>
      <c r="AC850" s="31" cm="1">
        <f t="array" ref="AC850">IF(LEFT(_xll.BDP($C850, VOLUME_AVG_12M), 4) = "#N/A", "",  _xll.BDP($C850, VOLUME_AVG_12M))</f>
        <v>316608.40625</v>
      </c>
      <c r="AD850" s="41" cm="1">
        <f t="array" ref="AD850">IF(LEFT(_xll.BDP($C850, LAST_PRICE), 4) = "#N/A", "",  _xll.BDP($C850, LAST_PRICE))</f>
        <v>151.32</v>
      </c>
    </row>
    <row r="851" spans="1:30" x14ac:dyDescent="0.35">
      <c r="A851" s="1">
        <f t="shared" si="13"/>
        <v>848</v>
      </c>
      <c r="B851" s="28">
        <v>45700</v>
      </c>
      <c r="C851" s="29" t="s">
        <v>1753</v>
      </c>
      <c r="D851" s="29" t="s">
        <v>1753</v>
      </c>
      <c r="E851" s="29" t="s">
        <v>1754</v>
      </c>
      <c r="F851" s="29" t="s">
        <v>33</v>
      </c>
      <c r="G851" s="30" t="s">
        <v>34</v>
      </c>
      <c r="H851" s="31">
        <v>40800000</v>
      </c>
      <c r="I851" s="31">
        <v>41271316</v>
      </c>
      <c r="J851" s="32">
        <v>0.10199999999999999</v>
      </c>
      <c r="K851" s="33">
        <v>45700</v>
      </c>
      <c r="L851" s="31">
        <v>352700</v>
      </c>
      <c r="M851" s="32">
        <v>3.3</v>
      </c>
      <c r="N851" s="31" t="s">
        <v>35</v>
      </c>
      <c r="O851" s="33">
        <v>45699</v>
      </c>
      <c r="P851" s="34">
        <v>1076.69995117188</v>
      </c>
      <c r="Q851" s="34">
        <v>6870.2255859375</v>
      </c>
      <c r="R851" s="34">
        <v>3694.38891601563</v>
      </c>
      <c r="S851" s="29"/>
      <c r="T851" s="33"/>
      <c r="U851" s="35" t="b">
        <v>0</v>
      </c>
      <c r="V851" s="35" t="b">
        <v>0</v>
      </c>
      <c r="W851" s="35" t="b">
        <v>0</v>
      </c>
      <c r="Y851" s="31" cm="1">
        <f t="array" ref="Y851">IF(LEFT(_xll.BDP($C851, VOLUME_AVG_10D), 4) = "#N/A", "",  _xll.BDP($C851, VOLUME_AVG_10D))</f>
        <v>1679.699951171875</v>
      </c>
      <c r="Z851" s="31" cm="1">
        <f t="array" ref="Z851">IF(LEFT(_xll.BDP($C851, VOLUME_AVG_30D), 4) = "#N/A", "",  _xll.BDP($C851, VOLUME_AVG_30D))</f>
        <v>1076.699951171875</v>
      </c>
      <c r="AA851" s="31" cm="1">
        <f t="array" ref="AA851">IF(LEFT(_xll.BDP($C851, VOLUME_AVG_3M), 4) = "#N/A", "",  _xll.BDP($C851, VOLUME_AVG_3M))</f>
        <v>6870.2255859375</v>
      </c>
      <c r="AB851" s="31" cm="1">
        <f t="array" ref="AB851">IF(LEFT(_xll.BDP($C851, VOLUME_AVG_6M), 4) = "#N/A", "",  _xll.BDP($C851, VOLUME_AVG_6M))</f>
        <v>3694.388916015625</v>
      </c>
      <c r="AC851" s="31" cm="1">
        <f t="array" ref="AC851">IF(LEFT(_xll.BDP($C851, VOLUME_AVG_12M), 4) = "#N/A", "",  _xll.BDP($C851, VOLUME_AVG_12M))</f>
        <v>14950.486328125</v>
      </c>
      <c r="AD851" s="41" cm="1">
        <f t="array" ref="AD851">IF(LEFT(_xll.BDP($C851, LAST_PRICE), 4) = "#N/A", "",  _xll.BDP($C851, LAST_PRICE))</f>
        <v>0.10199999999999999</v>
      </c>
    </row>
    <row r="852" spans="1:30" x14ac:dyDescent="0.35">
      <c r="A852" s="1">
        <f t="shared" si="13"/>
        <v>849</v>
      </c>
      <c r="B852" s="28">
        <v>45700</v>
      </c>
      <c r="C852" s="29" t="s">
        <v>1755</v>
      </c>
      <c r="D852" s="29" t="s">
        <v>1755</v>
      </c>
      <c r="E852" s="29" t="s">
        <v>1756</v>
      </c>
      <c r="F852" s="29" t="s">
        <v>33</v>
      </c>
      <c r="G852" s="30" t="s">
        <v>34</v>
      </c>
      <c r="H852" s="31">
        <v>649327342.16451597</v>
      </c>
      <c r="I852" s="31">
        <v>210659342.164516</v>
      </c>
      <c r="J852" s="32">
        <v>8.3500003814697301</v>
      </c>
      <c r="K852" s="33">
        <v>45700</v>
      </c>
      <c r="L852" s="31">
        <v>21270400</v>
      </c>
      <c r="M852" s="32">
        <v>3.88</v>
      </c>
      <c r="N852" s="31" t="s">
        <v>35</v>
      </c>
      <c r="O852" s="33">
        <v>45699</v>
      </c>
      <c r="P852" s="34">
        <v>1866626.75</v>
      </c>
      <c r="Q852" s="34">
        <v>2172697.5</v>
      </c>
      <c r="R852" s="34">
        <v>1333609.875</v>
      </c>
      <c r="S852" s="29" t="s">
        <v>46</v>
      </c>
      <c r="T852" s="33">
        <v>45446</v>
      </c>
      <c r="U852" s="35" t="b">
        <v>0</v>
      </c>
      <c r="V852" s="35" t="b">
        <v>0</v>
      </c>
      <c r="W852" s="35" t="b">
        <v>0</v>
      </c>
      <c r="Y852" s="31" cm="1">
        <f t="array" ref="Y852">IF(LEFT(_xll.BDP($C852, VOLUME_AVG_10D), 4) = "#N/A", "",  _xll.BDP($C852, VOLUME_AVG_10D))</f>
        <v>2592514.75</v>
      </c>
      <c r="Z852" s="31" cm="1">
        <f t="array" ref="Z852">IF(LEFT(_xll.BDP($C852, VOLUME_AVG_30D), 4) = "#N/A", "",  _xll.BDP($C852, VOLUME_AVG_30D))</f>
        <v>1866626.75</v>
      </c>
      <c r="AA852" s="31" cm="1">
        <f t="array" ref="AA852">IF(LEFT(_xll.BDP($C852, VOLUME_AVG_3M), 4) = "#N/A", "",  _xll.BDP($C852, VOLUME_AVG_3M))</f>
        <v>2172697.5</v>
      </c>
      <c r="AB852" s="31" cm="1">
        <f t="array" ref="AB852">IF(LEFT(_xll.BDP($C852, VOLUME_AVG_6M), 4) = "#N/A", "",  _xll.BDP($C852, VOLUME_AVG_6M))</f>
        <v>1333609.875</v>
      </c>
      <c r="AC852" s="31" cm="1">
        <f t="array" ref="AC852">IF(LEFT(_xll.BDP($C852, VOLUME_AVG_12M), 4) = "#N/A", "",  _xll.BDP($C852, VOLUME_AVG_12M))</f>
        <v>1080455.125</v>
      </c>
      <c r="AD852" s="41" cm="1">
        <f t="array" ref="AD852">IF(LEFT(_xll.BDP($C852, LAST_PRICE), 4) = "#N/A", "",  _xll.BDP($C852, LAST_PRICE))</f>
        <v>8.35</v>
      </c>
    </row>
    <row r="853" spans="1:30" x14ac:dyDescent="0.35">
      <c r="A853" s="1">
        <f t="shared" si="13"/>
        <v>850</v>
      </c>
      <c r="B853" s="28">
        <v>45700</v>
      </c>
      <c r="C853" s="29" t="s">
        <v>1757</v>
      </c>
      <c r="D853" s="29" t="s">
        <v>1757</v>
      </c>
      <c r="E853" s="29" t="s">
        <v>1758</v>
      </c>
      <c r="F853" s="29" t="s">
        <v>33</v>
      </c>
      <c r="G853" s="30" t="s">
        <v>34</v>
      </c>
      <c r="H853" s="31">
        <v>2276499479.9239702</v>
      </c>
      <c r="I853" s="31">
        <v>1453725479.92397</v>
      </c>
      <c r="J853" s="32">
        <v>35.150001525878899</v>
      </c>
      <c r="K853" s="33">
        <v>45700</v>
      </c>
      <c r="L853" s="31">
        <v>15691300</v>
      </c>
      <c r="M853" s="32">
        <v>3.88</v>
      </c>
      <c r="N853" s="31" t="s">
        <v>35</v>
      </c>
      <c r="O853" s="33">
        <v>45699</v>
      </c>
      <c r="P853" s="34">
        <v>487410.53125</v>
      </c>
      <c r="Q853" s="34">
        <v>481457.4375</v>
      </c>
      <c r="R853" s="34">
        <v>446477.09375</v>
      </c>
      <c r="S853" s="29" t="s">
        <v>73</v>
      </c>
      <c r="T853" s="33">
        <v>45446</v>
      </c>
      <c r="U853" s="35" t="b">
        <v>0</v>
      </c>
      <c r="V853" s="35" t="b">
        <v>0</v>
      </c>
      <c r="W853" s="35" t="b">
        <v>0</v>
      </c>
      <c r="Y853" s="31" cm="1">
        <f t="array" ref="Y853">IF(LEFT(_xll.BDP($C853, VOLUME_AVG_10D), 4) = "#N/A", "",  _xll.BDP($C853, VOLUME_AVG_10D))</f>
        <v>418748.09375</v>
      </c>
      <c r="Z853" s="31" cm="1">
        <f t="array" ref="Z853">IF(LEFT(_xll.BDP($C853, VOLUME_AVG_30D), 4) = "#N/A", "",  _xll.BDP($C853, VOLUME_AVG_30D))</f>
        <v>487410.53125</v>
      </c>
      <c r="AA853" s="31" cm="1">
        <f t="array" ref="AA853">IF(LEFT(_xll.BDP($C853, VOLUME_AVG_3M), 4) = "#N/A", "",  _xll.BDP($C853, VOLUME_AVG_3M))</f>
        <v>481457.4375</v>
      </c>
      <c r="AB853" s="31" cm="1">
        <f t="array" ref="AB853">IF(LEFT(_xll.BDP($C853, VOLUME_AVG_6M), 4) = "#N/A", "",  _xll.BDP($C853, VOLUME_AVG_6M))</f>
        <v>446477.09375</v>
      </c>
      <c r="AC853" s="31" cm="1">
        <f t="array" ref="AC853">IF(LEFT(_xll.BDP($C853, VOLUME_AVG_12M), 4) = "#N/A", "",  _xll.BDP($C853, VOLUME_AVG_12M))</f>
        <v>530104.0625</v>
      </c>
      <c r="AD853" s="41" cm="1">
        <f t="array" ref="AD853">IF(LEFT(_xll.BDP($C853, LAST_PRICE), 4) = "#N/A", "",  _xll.BDP($C853, LAST_PRICE))</f>
        <v>35.15</v>
      </c>
    </row>
    <row r="854" spans="1:30" x14ac:dyDescent="0.35">
      <c r="A854" s="1">
        <f t="shared" si="13"/>
        <v>851</v>
      </c>
      <c r="B854" s="28">
        <v>45700</v>
      </c>
      <c r="C854" s="29" t="s">
        <v>1759</v>
      </c>
      <c r="D854" s="29" t="s">
        <v>1759</v>
      </c>
      <c r="E854" s="29" t="s">
        <v>1760</v>
      </c>
      <c r="F854" s="29" t="s">
        <v>33</v>
      </c>
      <c r="G854" s="30" t="s">
        <v>34</v>
      </c>
      <c r="H854" s="31">
        <v>114836491.625449</v>
      </c>
      <c r="I854" s="31">
        <v>-197614508.374551</v>
      </c>
      <c r="J854" s="32">
        <v>2.6600000858306898</v>
      </c>
      <c r="K854" s="33">
        <v>45700</v>
      </c>
      <c r="L854" s="31">
        <v>2165500</v>
      </c>
      <c r="M854" s="32">
        <v>3.4</v>
      </c>
      <c r="N854" s="31" t="s">
        <v>35</v>
      </c>
      <c r="O854" s="33">
        <v>45699</v>
      </c>
      <c r="P854" s="34">
        <v>387521.65625</v>
      </c>
      <c r="Q854" s="34">
        <v>381479.09375</v>
      </c>
      <c r="R854" s="34">
        <v>376332.21875</v>
      </c>
      <c r="S854" s="29"/>
      <c r="T854" s="33"/>
      <c r="U854" s="35" t="b">
        <v>0</v>
      </c>
      <c r="V854" s="35" t="b">
        <v>0</v>
      </c>
      <c r="W854" s="35" t="b">
        <v>1</v>
      </c>
      <c r="Y854" s="31" cm="1">
        <f t="array" ref="Y854">IF(LEFT(_xll.BDP($C854, VOLUME_AVG_10D), 4) = "#N/A", "",  _xll.BDP($C854, VOLUME_AVG_10D))</f>
        <v>319465.40625</v>
      </c>
      <c r="Z854" s="31" cm="1">
        <f t="array" ref="Z854">IF(LEFT(_xll.BDP($C854, VOLUME_AVG_30D), 4) = "#N/A", "",  _xll.BDP($C854, VOLUME_AVG_30D))</f>
        <v>387521.65625</v>
      </c>
      <c r="AA854" s="31" cm="1">
        <f t="array" ref="AA854">IF(LEFT(_xll.BDP($C854, VOLUME_AVG_3M), 4) = "#N/A", "",  _xll.BDP($C854, VOLUME_AVG_3M))</f>
        <v>381479.09375</v>
      </c>
      <c r="AB854" s="31" cm="1">
        <f t="array" ref="AB854">IF(LEFT(_xll.BDP($C854, VOLUME_AVG_6M), 4) = "#N/A", "",  _xll.BDP($C854, VOLUME_AVG_6M))</f>
        <v>376332.21875</v>
      </c>
      <c r="AC854" s="31" cm="1">
        <f t="array" ref="AC854">IF(LEFT(_xll.BDP($C854, VOLUME_AVG_12M), 4) = "#N/A", "",  _xll.BDP($C854, VOLUME_AVG_12M))</f>
        <v>443003.25</v>
      </c>
      <c r="AD854" s="41" cm="1">
        <f t="array" ref="AD854">IF(LEFT(_xll.BDP($C854, LAST_PRICE), 4) = "#N/A", "",  _xll.BDP($C854, LAST_PRICE))</f>
        <v>2.66</v>
      </c>
    </row>
    <row r="855" spans="1:30" x14ac:dyDescent="0.35">
      <c r="A855" s="1">
        <f t="shared" si="13"/>
        <v>852</v>
      </c>
      <c r="B855" s="28">
        <v>45700</v>
      </c>
      <c r="C855" s="29" t="s">
        <v>1761</v>
      </c>
      <c r="D855" s="29" t="s">
        <v>1761</v>
      </c>
      <c r="E855" s="29" t="s">
        <v>1762</v>
      </c>
      <c r="F855" s="29" t="s">
        <v>33</v>
      </c>
      <c r="G855" s="30" t="s">
        <v>34</v>
      </c>
      <c r="H855" s="31">
        <v>985233.08472156501</v>
      </c>
      <c r="I855" s="31">
        <v>927977.08472156501</v>
      </c>
      <c r="J855" s="32">
        <v>1.9900000095367401</v>
      </c>
      <c r="K855" s="33">
        <v>45700</v>
      </c>
      <c r="L855" s="31">
        <v>15100</v>
      </c>
      <c r="M855" s="32">
        <v>-3.3</v>
      </c>
      <c r="N855" s="31" t="s">
        <v>35</v>
      </c>
      <c r="O855" s="33">
        <v>45699</v>
      </c>
      <c r="P855" s="34">
        <v>422.70001220703102</v>
      </c>
      <c r="Q855" s="34">
        <v>1653.45166015625</v>
      </c>
      <c r="R855" s="34">
        <v>1159.15869140625</v>
      </c>
      <c r="S855" s="29"/>
      <c r="T855" s="33"/>
      <c r="U855" s="35" t="b">
        <v>1</v>
      </c>
      <c r="V855" s="35" t="b">
        <v>0</v>
      </c>
      <c r="W855" s="35" t="b">
        <v>0</v>
      </c>
      <c r="Y855" s="31" cm="1">
        <f t="array" ref="Y855">IF(LEFT(_xll.BDP($C855, VOLUME_AVG_10D), 4) = "#N/A", "",  _xll.BDP($C855, VOLUME_AVG_10D))</f>
        <v>394.20001220703125</v>
      </c>
      <c r="Z855" s="31" cm="1">
        <f t="array" ref="Z855">IF(LEFT(_xll.BDP($C855, VOLUME_AVG_30D), 4) = "#N/A", "",  _xll.BDP($C855, VOLUME_AVG_30D))</f>
        <v>422.70001220703125</v>
      </c>
      <c r="AA855" s="31" cm="1">
        <f t="array" ref="AA855">IF(LEFT(_xll.BDP($C855, VOLUME_AVG_3M), 4) = "#N/A", "",  _xll.BDP($C855, VOLUME_AVG_3M))</f>
        <v>1653.45166015625</v>
      </c>
      <c r="AB855" s="31" cm="1">
        <f t="array" ref="AB855">IF(LEFT(_xll.BDP($C855, VOLUME_AVG_6M), 4) = "#N/A", "",  _xll.BDP($C855, VOLUME_AVG_6M))</f>
        <v>1159.15869140625</v>
      </c>
      <c r="AC855" s="31" cm="1">
        <f t="array" ref="AC855">IF(LEFT(_xll.BDP($C855, VOLUME_AVG_12M), 4) = "#N/A", "",  _xll.BDP($C855, VOLUME_AVG_12M))</f>
        <v>889.30279541015625</v>
      </c>
      <c r="AD855" s="41" cm="1">
        <f t="array" ref="AD855">IF(LEFT(_xll.BDP($C855, LAST_PRICE), 4) = "#N/A", "",  _xll.BDP($C855, LAST_PRICE))</f>
        <v>1.99</v>
      </c>
    </row>
    <row r="856" spans="1:30" x14ac:dyDescent="0.35">
      <c r="A856" s="1">
        <f t="shared" si="13"/>
        <v>853</v>
      </c>
      <c r="B856" s="28">
        <v>45700</v>
      </c>
      <c r="C856" s="29" t="s">
        <v>1763</v>
      </c>
      <c r="D856" s="29" t="s">
        <v>1763</v>
      </c>
      <c r="E856" s="29" t="s">
        <v>1764</v>
      </c>
      <c r="F856" s="29" t="s">
        <v>33</v>
      </c>
      <c r="G856" s="30" t="s">
        <v>34</v>
      </c>
      <c r="H856" s="31">
        <v>45793805.659682304</v>
      </c>
      <c r="I856" s="31">
        <v>512724173.69274497</v>
      </c>
      <c r="J856" s="32">
        <v>2.4000000953674299</v>
      </c>
      <c r="K856" s="33">
        <v>45700</v>
      </c>
      <c r="L856" s="31"/>
      <c r="M856" s="32"/>
      <c r="N856" s="31"/>
      <c r="O856" s="33">
        <v>45699</v>
      </c>
      <c r="P856" s="34">
        <v>14764.43359375</v>
      </c>
      <c r="Q856" s="34">
        <v>35407.7109375</v>
      </c>
      <c r="R856" s="34">
        <v>28287.6640625</v>
      </c>
      <c r="S856" s="29"/>
      <c r="T856" s="33"/>
      <c r="U856" s="35" t="b">
        <v>0</v>
      </c>
      <c r="V856" s="35" t="b">
        <v>0</v>
      </c>
      <c r="W856" s="35" t="b">
        <v>0</v>
      </c>
      <c r="Y856" s="31" cm="1">
        <f t="array" ref="Y856">IF(LEFT(_xll.BDP($C856, VOLUME_AVG_10D), 4) = "#N/A", "",  _xll.BDP($C856, VOLUME_AVG_10D))</f>
        <v>6591.89990234375</v>
      </c>
      <c r="Z856" s="31" cm="1">
        <f t="array" ref="Z856">IF(LEFT(_xll.BDP($C856, VOLUME_AVG_30D), 4) = "#N/A", "",  _xll.BDP($C856, VOLUME_AVG_30D))</f>
        <v>14764.43359375</v>
      </c>
      <c r="AA856" s="31" cm="1">
        <f t="array" ref="AA856">IF(LEFT(_xll.BDP($C856, VOLUME_AVG_3M), 4) = "#N/A", "",  _xll.BDP($C856, VOLUME_AVG_3M))</f>
        <v>35407.7109375</v>
      </c>
      <c r="AB856" s="31" cm="1">
        <f t="array" ref="AB856">IF(LEFT(_xll.BDP($C856, VOLUME_AVG_6M), 4) = "#N/A", "",  _xll.BDP($C856, VOLUME_AVG_6M))</f>
        <v>28287.6640625</v>
      </c>
      <c r="AC856" s="31" cm="1">
        <f t="array" ref="AC856">IF(LEFT(_xll.BDP($C856, VOLUME_AVG_12M), 4) = "#N/A", "",  _xll.BDP($C856, VOLUME_AVG_12M))</f>
        <v>19977.763671875</v>
      </c>
      <c r="AD856" s="41" cm="1">
        <f t="array" ref="AD856">IF(LEFT(_xll.BDP($C856, LAST_PRICE), 4) = "#N/A", "",  _xll.BDP($C856, LAST_PRICE))</f>
        <v>2.4</v>
      </c>
    </row>
    <row r="857" spans="1:30" x14ac:dyDescent="0.35">
      <c r="A857" s="1">
        <f t="shared" si="13"/>
        <v>854</v>
      </c>
      <c r="B857" s="28">
        <v>45700</v>
      </c>
      <c r="C857" s="29" t="s">
        <v>1765</v>
      </c>
      <c r="D857" s="29" t="s">
        <v>1765</v>
      </c>
      <c r="E857" s="29" t="s">
        <v>1766</v>
      </c>
      <c r="F857" s="29" t="s">
        <v>33</v>
      </c>
      <c r="G857" s="30" t="s">
        <v>34</v>
      </c>
      <c r="H857" s="31">
        <v>51874526.6328931</v>
      </c>
      <c r="I857" s="31">
        <v>24112005.6328931</v>
      </c>
      <c r="J857" s="32">
        <v>4.8099999427795401</v>
      </c>
      <c r="K857" s="33">
        <v>45700</v>
      </c>
      <c r="L857" s="31">
        <v>917600</v>
      </c>
      <c r="M857" s="32">
        <v>3.7</v>
      </c>
      <c r="N857" s="31" t="s">
        <v>35</v>
      </c>
      <c r="O857" s="33">
        <v>45699</v>
      </c>
      <c r="P857" s="34">
        <v>136366.59375</v>
      </c>
      <c r="Q857" s="34">
        <v>103853.7890625</v>
      </c>
      <c r="R857" s="34">
        <v>72776.9765625</v>
      </c>
      <c r="S857" s="29" t="s">
        <v>46</v>
      </c>
      <c r="T857" s="33">
        <v>45446</v>
      </c>
      <c r="U857" s="35" t="b">
        <v>0</v>
      </c>
      <c r="V857" s="35" t="b">
        <v>0</v>
      </c>
      <c r="W857" s="35" t="b">
        <v>0</v>
      </c>
      <c r="Y857" s="31" cm="1">
        <f t="array" ref="Y857">IF(LEFT(_xll.BDP($C857, VOLUME_AVG_10D), 4) = "#N/A", "",  _xll.BDP($C857, VOLUME_AVG_10D))</f>
        <v>86185.5</v>
      </c>
      <c r="Z857" s="31" cm="1">
        <f t="array" ref="Z857">IF(LEFT(_xll.BDP($C857, VOLUME_AVG_30D), 4) = "#N/A", "",  _xll.BDP($C857, VOLUME_AVG_30D))</f>
        <v>136366.59375</v>
      </c>
      <c r="AA857" s="31" cm="1">
        <f t="array" ref="AA857">IF(LEFT(_xll.BDP($C857, VOLUME_AVG_3M), 4) = "#N/A", "",  _xll.BDP($C857, VOLUME_AVG_3M))</f>
        <v>103853.7890625</v>
      </c>
      <c r="AB857" s="31" cm="1">
        <f t="array" ref="AB857">IF(LEFT(_xll.BDP($C857, VOLUME_AVG_6M), 4) = "#N/A", "",  _xll.BDP($C857, VOLUME_AVG_6M))</f>
        <v>72776.9765625</v>
      </c>
      <c r="AC857" s="31" cm="1">
        <f t="array" ref="AC857">IF(LEFT(_xll.BDP($C857, VOLUME_AVG_12M), 4) = "#N/A", "",  _xll.BDP($C857, VOLUME_AVG_12M))</f>
        <v>139152.859375</v>
      </c>
      <c r="AD857" s="41" cm="1">
        <f t="array" ref="AD857">IF(LEFT(_xll.BDP($C857, LAST_PRICE), 4) = "#N/A", "",  _xll.BDP($C857, LAST_PRICE))</f>
        <v>4.8099999999999996</v>
      </c>
    </row>
    <row r="858" spans="1:30" x14ac:dyDescent="0.35">
      <c r="A858" s="1">
        <f t="shared" si="13"/>
        <v>855</v>
      </c>
      <c r="B858" s="28">
        <v>45700</v>
      </c>
      <c r="C858" s="29" t="s">
        <v>1767</v>
      </c>
      <c r="D858" s="29" t="s">
        <v>1767</v>
      </c>
      <c r="E858" s="29" t="s">
        <v>1768</v>
      </c>
      <c r="F858" s="29" t="s">
        <v>33</v>
      </c>
      <c r="G858" s="30" t="s">
        <v>34</v>
      </c>
      <c r="H858" s="31">
        <v>5708153540.0104599</v>
      </c>
      <c r="I858" s="31">
        <v>5464679540.0104599</v>
      </c>
      <c r="J858" s="32">
        <v>82.099998474121094</v>
      </c>
      <c r="K858" s="33">
        <v>45700</v>
      </c>
      <c r="L858" s="31">
        <v>21119200</v>
      </c>
      <c r="M858" s="32">
        <v>3.88</v>
      </c>
      <c r="N858" s="31" t="s">
        <v>35</v>
      </c>
      <c r="O858" s="33">
        <v>45699</v>
      </c>
      <c r="P858" s="34">
        <v>766412.6875</v>
      </c>
      <c r="Q858" s="34">
        <v>958592.5</v>
      </c>
      <c r="R858" s="34">
        <v>876031.25</v>
      </c>
      <c r="S858" s="29" t="s">
        <v>46</v>
      </c>
      <c r="T858" s="33">
        <v>45446</v>
      </c>
      <c r="U858" s="35" t="b">
        <v>0</v>
      </c>
      <c r="V858" s="35" t="b">
        <v>0</v>
      </c>
      <c r="W858" s="35" t="b">
        <v>0</v>
      </c>
      <c r="Y858" s="31" cm="1">
        <f t="array" ref="Y858">IF(LEFT(_xll.BDP($C858, VOLUME_AVG_10D), 4) = "#N/A", "",  _xll.BDP($C858, VOLUME_AVG_10D))</f>
        <v>857819.3125</v>
      </c>
      <c r="Z858" s="31" cm="1">
        <f t="array" ref="Z858">IF(LEFT(_xll.BDP($C858, VOLUME_AVG_30D), 4) = "#N/A", "",  _xll.BDP($C858, VOLUME_AVG_30D))</f>
        <v>766412.6875</v>
      </c>
      <c r="AA858" s="31" cm="1">
        <f t="array" ref="AA858">IF(LEFT(_xll.BDP($C858, VOLUME_AVG_3M), 4) = "#N/A", "",  _xll.BDP($C858, VOLUME_AVG_3M))</f>
        <v>958592.5</v>
      </c>
      <c r="AB858" s="31" cm="1">
        <f t="array" ref="AB858">IF(LEFT(_xll.BDP($C858, VOLUME_AVG_6M), 4) = "#N/A", "",  _xll.BDP($C858, VOLUME_AVG_6M))</f>
        <v>876031.25</v>
      </c>
      <c r="AC858" s="31" cm="1">
        <f t="array" ref="AC858">IF(LEFT(_xll.BDP($C858, VOLUME_AVG_12M), 4) = "#N/A", "",  _xll.BDP($C858, VOLUME_AVG_12M))</f>
        <v>942811.5</v>
      </c>
      <c r="AD858" s="41" cm="1">
        <f t="array" ref="AD858">IF(LEFT(_xll.BDP($C858, LAST_PRICE), 4) = "#N/A", "",  _xll.BDP($C858, LAST_PRICE))</f>
        <v>82.1</v>
      </c>
    </row>
    <row r="859" spans="1:30" x14ac:dyDescent="0.35">
      <c r="A859" s="1">
        <f t="shared" si="13"/>
        <v>856</v>
      </c>
      <c r="B859" s="28">
        <v>45700</v>
      </c>
      <c r="C859" s="29" t="s">
        <v>1769</v>
      </c>
      <c r="D859" s="29" t="s">
        <v>1769</v>
      </c>
      <c r="E859" s="29" t="s">
        <v>1770</v>
      </c>
      <c r="F859" s="29" t="s">
        <v>33</v>
      </c>
      <c r="G859" s="30" t="s">
        <v>34</v>
      </c>
      <c r="H859" s="31">
        <v>206095409.657015</v>
      </c>
      <c r="I859" s="31">
        <v>7750409.6570148496</v>
      </c>
      <c r="J859" s="32">
        <v>3.2300000190734899</v>
      </c>
      <c r="K859" s="33">
        <v>45700</v>
      </c>
      <c r="L859" s="31">
        <v>12567700</v>
      </c>
      <c r="M859" s="32">
        <v>3.45</v>
      </c>
      <c r="N859" s="31" t="s">
        <v>35</v>
      </c>
      <c r="O859" s="33">
        <v>45699</v>
      </c>
      <c r="P859" s="34">
        <v>605764.8125</v>
      </c>
      <c r="Q859" s="34">
        <v>795608.8125</v>
      </c>
      <c r="R859" s="34">
        <v>717324.25</v>
      </c>
      <c r="S859" s="29" t="s">
        <v>177</v>
      </c>
      <c r="T859" s="33">
        <v>45446</v>
      </c>
      <c r="U859" s="35" t="b">
        <v>0</v>
      </c>
      <c r="V859" s="35" t="b">
        <v>0</v>
      </c>
      <c r="W859" s="35" t="b">
        <v>0</v>
      </c>
      <c r="Y859" s="31" cm="1">
        <f t="array" ref="Y859">IF(LEFT(_xll.BDP($C859, VOLUME_AVG_10D), 4) = "#N/A", "",  _xll.BDP($C859, VOLUME_AVG_10D))</f>
        <v>734646.375</v>
      </c>
      <c r="Z859" s="31" cm="1">
        <f t="array" ref="Z859">IF(LEFT(_xll.BDP($C859, VOLUME_AVG_30D), 4) = "#N/A", "",  _xll.BDP($C859, VOLUME_AVG_30D))</f>
        <v>605764.8125</v>
      </c>
      <c r="AA859" s="31" cm="1">
        <f t="array" ref="AA859">IF(LEFT(_xll.BDP($C859, VOLUME_AVG_3M), 4) = "#N/A", "",  _xll.BDP($C859, VOLUME_AVG_3M))</f>
        <v>795608.8125</v>
      </c>
      <c r="AB859" s="31" cm="1">
        <f t="array" ref="AB859">IF(LEFT(_xll.BDP($C859, VOLUME_AVG_6M), 4) = "#N/A", "",  _xll.BDP($C859, VOLUME_AVG_6M))</f>
        <v>717324.25</v>
      </c>
      <c r="AC859" s="31" cm="1">
        <f t="array" ref="AC859">IF(LEFT(_xll.BDP($C859, VOLUME_AVG_12M), 4) = "#N/A", "",  _xll.BDP($C859, VOLUME_AVG_12M))</f>
        <v>669149.25</v>
      </c>
      <c r="AD859" s="41" cm="1">
        <f t="array" ref="AD859">IF(LEFT(_xll.BDP($C859, LAST_PRICE), 4) = "#N/A", "",  _xll.BDP($C859, LAST_PRICE))</f>
        <v>3.23</v>
      </c>
    </row>
    <row r="860" spans="1:30" x14ac:dyDescent="0.35">
      <c r="A860" s="1">
        <f t="shared" si="13"/>
        <v>857</v>
      </c>
      <c r="B860" s="28">
        <v>45700</v>
      </c>
      <c r="C860" s="29" t="s">
        <v>1771</v>
      </c>
      <c r="D860" s="29" t="s">
        <v>1771</v>
      </c>
      <c r="E860" s="29" t="s">
        <v>1772</v>
      </c>
      <c r="F860" s="29" t="s">
        <v>33</v>
      </c>
      <c r="G860" s="30" t="s">
        <v>34</v>
      </c>
      <c r="H860" s="31">
        <v>24711741.717321899</v>
      </c>
      <c r="I860" s="31">
        <v>-47882258.282678097</v>
      </c>
      <c r="J860" s="32">
        <v>0.93999999761581399</v>
      </c>
      <c r="K860" s="33">
        <v>45700</v>
      </c>
      <c r="L860" s="31"/>
      <c r="M860" s="32"/>
      <c r="N860" s="31"/>
      <c r="O860" s="33">
        <v>45699</v>
      </c>
      <c r="P860" s="34">
        <v>75102.3359375</v>
      </c>
      <c r="Q860" s="34">
        <v>103727.3671875</v>
      </c>
      <c r="R860" s="34">
        <v>76426.2421875</v>
      </c>
      <c r="S860" s="29"/>
      <c r="T860" s="33"/>
      <c r="U860" s="35" t="b">
        <v>0</v>
      </c>
      <c r="V860" s="35" t="b">
        <v>0</v>
      </c>
      <c r="W860" s="35" t="b">
        <v>1</v>
      </c>
      <c r="Y860" s="31" cm="1">
        <f t="array" ref="Y860">IF(LEFT(_xll.BDP($C860, VOLUME_AVG_10D), 4) = "#N/A", "",  _xll.BDP($C860, VOLUME_AVG_10D))</f>
        <v>25999.19921875</v>
      </c>
      <c r="Z860" s="31" cm="1">
        <f t="array" ref="Z860">IF(LEFT(_xll.BDP($C860, VOLUME_AVG_30D), 4) = "#N/A", "",  _xll.BDP($C860, VOLUME_AVG_30D))</f>
        <v>75102.3359375</v>
      </c>
      <c r="AA860" s="31" cm="1">
        <f t="array" ref="AA860">IF(LEFT(_xll.BDP($C860, VOLUME_AVG_3M), 4) = "#N/A", "",  _xll.BDP($C860, VOLUME_AVG_3M))</f>
        <v>103727.3671875</v>
      </c>
      <c r="AB860" s="31" cm="1">
        <f t="array" ref="AB860">IF(LEFT(_xll.BDP($C860, VOLUME_AVG_6M), 4) = "#N/A", "",  _xll.BDP($C860, VOLUME_AVG_6M))</f>
        <v>76426.2421875</v>
      </c>
      <c r="AC860" s="31" cm="1">
        <f t="array" ref="AC860">IF(LEFT(_xll.BDP($C860, VOLUME_AVG_12M), 4) = "#N/A", "",  _xll.BDP($C860, VOLUME_AVG_12M))</f>
        <v>329704.375</v>
      </c>
      <c r="AD860" s="41" cm="1">
        <f t="array" ref="AD860">IF(LEFT(_xll.BDP($C860, LAST_PRICE), 4) = "#N/A", "",  _xll.BDP($C860, LAST_PRICE))</f>
        <v>0.94</v>
      </c>
    </row>
    <row r="861" spans="1:30" x14ac:dyDescent="0.35">
      <c r="A861" s="1">
        <f t="shared" si="13"/>
        <v>858</v>
      </c>
      <c r="B861" s="28">
        <v>45700</v>
      </c>
      <c r="C861" s="29" t="s">
        <v>1773</v>
      </c>
      <c r="D861" s="29" t="s">
        <v>1773</v>
      </c>
      <c r="E861" s="29" t="s">
        <v>1774</v>
      </c>
      <c r="F861" s="29" t="s">
        <v>33</v>
      </c>
      <c r="G861" s="30" t="s">
        <v>34</v>
      </c>
      <c r="H861" s="31">
        <v>19335210.384032201</v>
      </c>
      <c r="I861" s="31">
        <v>-43111789.615967803</v>
      </c>
      <c r="J861" s="32">
        <v>0.50459998846054099</v>
      </c>
      <c r="K861" s="33">
        <v>45700</v>
      </c>
      <c r="L861" s="31">
        <v>1695300</v>
      </c>
      <c r="M861" s="32">
        <v>3.8</v>
      </c>
      <c r="N861" s="31" t="s">
        <v>35</v>
      </c>
      <c r="O861" s="33">
        <v>45699</v>
      </c>
      <c r="P861" s="34">
        <v>1206163.125</v>
      </c>
      <c r="Q861" s="34">
        <v>777155.375</v>
      </c>
      <c r="R861" s="34">
        <v>501083.03125</v>
      </c>
      <c r="S861" s="29"/>
      <c r="T861" s="33"/>
      <c r="U861" s="35" t="b">
        <v>1</v>
      </c>
      <c r="V861" s="35" t="b">
        <v>0</v>
      </c>
      <c r="W861" s="35" t="b">
        <v>1</v>
      </c>
      <c r="Y861" s="31" cm="1">
        <f t="array" ref="Y861">IF(LEFT(_xll.BDP($C861, VOLUME_AVG_10D), 4) = "#N/A", "",  _xll.BDP($C861, VOLUME_AVG_10D))</f>
        <v>1397455.625</v>
      </c>
      <c r="Z861" s="31" cm="1">
        <f t="array" ref="Z861">IF(LEFT(_xll.BDP($C861, VOLUME_AVG_30D), 4) = "#N/A", "",  _xll.BDP($C861, VOLUME_AVG_30D))</f>
        <v>1206163.125</v>
      </c>
      <c r="AA861" s="31" cm="1">
        <f t="array" ref="AA861">IF(LEFT(_xll.BDP($C861, VOLUME_AVG_3M), 4) = "#N/A", "",  _xll.BDP($C861, VOLUME_AVG_3M))</f>
        <v>777155.375</v>
      </c>
      <c r="AB861" s="31" cm="1">
        <f t="array" ref="AB861">IF(LEFT(_xll.BDP($C861, VOLUME_AVG_6M), 4) = "#N/A", "",  _xll.BDP($C861, VOLUME_AVG_6M))</f>
        <v>501083.03125</v>
      </c>
      <c r="AC861" s="31" cm="1">
        <f t="array" ref="AC861">IF(LEFT(_xll.BDP($C861, VOLUME_AVG_12M), 4) = "#N/A", "",  _xll.BDP($C861, VOLUME_AVG_12M))</f>
        <v>363826.90625</v>
      </c>
      <c r="AD861" s="41" cm="1">
        <f t="array" ref="AD861">IF(LEFT(_xll.BDP($C861, LAST_PRICE), 4) = "#N/A", "",  _xll.BDP($C861, LAST_PRICE))</f>
        <v>0.50460000000000005</v>
      </c>
    </row>
    <row r="862" spans="1:30" x14ac:dyDescent="0.35">
      <c r="A862" s="1">
        <f t="shared" si="13"/>
        <v>859</v>
      </c>
      <c r="B862" s="28">
        <v>45700</v>
      </c>
      <c r="C862" s="29" t="s">
        <v>1775</v>
      </c>
      <c r="D862" s="29" t="s">
        <v>1775</v>
      </c>
      <c r="E862" s="29" t="s">
        <v>1776</v>
      </c>
      <c r="F862" s="29" t="s">
        <v>33</v>
      </c>
      <c r="G862" s="30" t="s">
        <v>34</v>
      </c>
      <c r="H862" s="31">
        <v>6525148595.2780504</v>
      </c>
      <c r="I862" s="31">
        <v>5658756595.2780504</v>
      </c>
      <c r="J862" s="32">
        <v>35.869998931884801</v>
      </c>
      <c r="K862" s="33">
        <v>45700</v>
      </c>
      <c r="L862" s="31">
        <v>19847900</v>
      </c>
      <c r="M862" s="32">
        <v>3.88</v>
      </c>
      <c r="N862" s="31" t="s">
        <v>35</v>
      </c>
      <c r="O862" s="33">
        <v>45699</v>
      </c>
      <c r="P862" s="34">
        <v>1271601.375</v>
      </c>
      <c r="Q862" s="34">
        <v>1393392.875</v>
      </c>
      <c r="R862" s="34">
        <v>1244917.125</v>
      </c>
      <c r="S862" s="29" t="s">
        <v>46</v>
      </c>
      <c r="T862" s="33">
        <v>45446</v>
      </c>
      <c r="U862" s="35" t="b">
        <v>0</v>
      </c>
      <c r="V862" s="35" t="b">
        <v>0</v>
      </c>
      <c r="W862" s="35" t="b">
        <v>0</v>
      </c>
      <c r="Y862" s="31" cm="1">
        <f t="array" ref="Y862">IF(LEFT(_xll.BDP($C862, VOLUME_AVG_10D), 4) = "#N/A", "",  _xll.BDP($C862, VOLUME_AVG_10D))</f>
        <v>1094337</v>
      </c>
      <c r="Z862" s="31" cm="1">
        <f t="array" ref="Z862">IF(LEFT(_xll.BDP($C862, VOLUME_AVG_30D), 4) = "#N/A", "",  _xll.BDP($C862, VOLUME_AVG_30D))</f>
        <v>1271601.375</v>
      </c>
      <c r="AA862" s="31" cm="1">
        <f t="array" ref="AA862">IF(LEFT(_xll.BDP($C862, VOLUME_AVG_3M), 4) = "#N/A", "",  _xll.BDP($C862, VOLUME_AVG_3M))</f>
        <v>1393392.875</v>
      </c>
      <c r="AB862" s="31" cm="1">
        <f t="array" ref="AB862">IF(LEFT(_xll.BDP($C862, VOLUME_AVG_6M), 4) = "#N/A", "",  _xll.BDP($C862, VOLUME_AVG_6M))</f>
        <v>1244917.125</v>
      </c>
      <c r="AC862" s="31" cm="1">
        <f t="array" ref="AC862">IF(LEFT(_xll.BDP($C862, VOLUME_AVG_12M), 4) = "#N/A", "",  _xll.BDP($C862, VOLUME_AVG_12M))</f>
        <v>1170404.25</v>
      </c>
      <c r="AD862" s="41" cm="1">
        <f t="array" ref="AD862">IF(LEFT(_xll.BDP($C862, LAST_PRICE), 4) = "#N/A", "",  _xll.BDP($C862, LAST_PRICE))</f>
        <v>35.869999999999997</v>
      </c>
    </row>
    <row r="863" spans="1:30" x14ac:dyDescent="0.35">
      <c r="A863" s="1">
        <f t="shared" si="13"/>
        <v>860</v>
      </c>
      <c r="B863" s="28">
        <v>45700</v>
      </c>
      <c r="C863" s="29" t="s">
        <v>1777</v>
      </c>
      <c r="D863" s="29" t="s">
        <v>1777</v>
      </c>
      <c r="E863" s="29" t="s">
        <v>1778</v>
      </c>
      <c r="F863" s="29" t="s">
        <v>33</v>
      </c>
      <c r="G863" s="30" t="s">
        <v>34</v>
      </c>
      <c r="H863" s="31">
        <v>2165660895.8584199</v>
      </c>
      <c r="I863" s="31">
        <v>2060097895.8584199</v>
      </c>
      <c r="J863" s="32">
        <v>96.319999694824205</v>
      </c>
      <c r="K863" s="33">
        <v>45700</v>
      </c>
      <c r="L863" s="31">
        <v>4911200</v>
      </c>
      <c r="M863" s="32">
        <v>3.88</v>
      </c>
      <c r="N863" s="31" t="s">
        <v>35</v>
      </c>
      <c r="O863" s="33">
        <v>45699</v>
      </c>
      <c r="P863" s="34">
        <v>146557.296875</v>
      </c>
      <c r="Q863" s="34">
        <v>159832.890625</v>
      </c>
      <c r="R863" s="34">
        <v>136725.4375</v>
      </c>
      <c r="S863" s="29"/>
      <c r="T863" s="33"/>
      <c r="U863" s="35" t="b">
        <v>0</v>
      </c>
      <c r="V863" s="35" t="b">
        <v>0</v>
      </c>
      <c r="W863" s="35" t="b">
        <v>0</v>
      </c>
      <c r="Y863" s="31" cm="1">
        <f t="array" ref="Y863">IF(LEFT(_xll.BDP($C863, VOLUME_AVG_10D), 4) = "#N/A", "",  _xll.BDP($C863, VOLUME_AVG_10D))</f>
        <v>143410.703125</v>
      </c>
      <c r="Z863" s="31" cm="1">
        <f t="array" ref="Z863">IF(LEFT(_xll.BDP($C863, VOLUME_AVG_30D), 4) = "#N/A", "",  _xll.BDP($C863, VOLUME_AVG_30D))</f>
        <v>146557.296875</v>
      </c>
      <c r="AA863" s="31" cm="1">
        <f t="array" ref="AA863">IF(LEFT(_xll.BDP($C863, VOLUME_AVG_3M), 4) = "#N/A", "",  _xll.BDP($C863, VOLUME_AVG_3M))</f>
        <v>159832.890625</v>
      </c>
      <c r="AB863" s="31" cm="1">
        <f t="array" ref="AB863">IF(LEFT(_xll.BDP($C863, VOLUME_AVG_6M), 4) = "#N/A", "",  _xll.BDP($C863, VOLUME_AVG_6M))</f>
        <v>136725.4375</v>
      </c>
      <c r="AC863" s="31" cm="1">
        <f t="array" ref="AC863">IF(LEFT(_xll.BDP($C863, VOLUME_AVG_12M), 4) = "#N/A", "",  _xll.BDP($C863, VOLUME_AVG_12M))</f>
        <v>138015.515625</v>
      </c>
      <c r="AD863" s="41" cm="1">
        <f t="array" ref="AD863">IF(LEFT(_xll.BDP($C863, LAST_PRICE), 4) = "#N/A", "",  _xll.BDP($C863, LAST_PRICE))</f>
        <v>96.32</v>
      </c>
    </row>
    <row r="864" spans="1:30" x14ac:dyDescent="0.35">
      <c r="A864" s="1">
        <f t="shared" si="13"/>
        <v>861</v>
      </c>
      <c r="B864" s="28">
        <v>45700</v>
      </c>
      <c r="C864" s="29" t="s">
        <v>1779</v>
      </c>
      <c r="D864" s="29" t="s">
        <v>1779</v>
      </c>
      <c r="E864" s="29" t="s">
        <v>1780</v>
      </c>
      <c r="F864" s="29" t="s">
        <v>33</v>
      </c>
      <c r="G864" s="30" t="s">
        <v>34</v>
      </c>
      <c r="H864" s="31">
        <v>125207616.358512</v>
      </c>
      <c r="I864" s="31">
        <v>129020616.358512</v>
      </c>
      <c r="J864" s="32">
        <v>10.7799997329712</v>
      </c>
      <c r="K864" s="33">
        <v>45700</v>
      </c>
      <c r="L864" s="31">
        <v>1295900</v>
      </c>
      <c r="M864" s="32">
        <v>3.88</v>
      </c>
      <c r="N864" s="31" t="s">
        <v>35</v>
      </c>
      <c r="O864" s="33">
        <v>45699</v>
      </c>
      <c r="P864" s="34">
        <v>92448.8671875</v>
      </c>
      <c r="Q864" s="34">
        <v>69912.609375</v>
      </c>
      <c r="R864" s="34">
        <v>50014.5</v>
      </c>
      <c r="S864" s="29"/>
      <c r="T864" s="33"/>
      <c r="U864" s="35" t="b">
        <v>0</v>
      </c>
      <c r="V864" s="35" t="b">
        <v>0</v>
      </c>
      <c r="W864" s="35" t="b">
        <v>0</v>
      </c>
      <c r="Y864" s="31" cm="1">
        <f t="array" ref="Y864">IF(LEFT(_xll.BDP($C864, VOLUME_AVG_10D), 4) = "#N/A", "",  _xll.BDP($C864, VOLUME_AVG_10D))</f>
        <v>104831.8984375</v>
      </c>
      <c r="Z864" s="31" cm="1">
        <f t="array" ref="Z864">IF(LEFT(_xll.BDP($C864, VOLUME_AVG_30D), 4) = "#N/A", "",  _xll.BDP($C864, VOLUME_AVG_30D))</f>
        <v>92448.8671875</v>
      </c>
      <c r="AA864" s="31" cm="1">
        <f t="array" ref="AA864">IF(LEFT(_xll.BDP($C864, VOLUME_AVG_3M), 4) = "#N/A", "",  _xll.BDP($C864, VOLUME_AVG_3M))</f>
        <v>69912.609375</v>
      </c>
      <c r="AB864" s="31" cm="1">
        <f t="array" ref="AB864">IF(LEFT(_xll.BDP($C864, VOLUME_AVG_6M), 4) = "#N/A", "",  _xll.BDP($C864, VOLUME_AVG_6M))</f>
        <v>50014.5</v>
      </c>
      <c r="AC864" s="31" cm="1">
        <f t="array" ref="AC864">IF(LEFT(_xll.BDP($C864, VOLUME_AVG_12M), 4) = "#N/A", "",  _xll.BDP($C864, VOLUME_AVG_12M))</f>
        <v>42154.19140625</v>
      </c>
      <c r="AD864" s="41" cm="1">
        <f t="array" ref="AD864">IF(LEFT(_xll.BDP($C864, LAST_PRICE), 4) = "#N/A", "",  _xll.BDP($C864, LAST_PRICE))</f>
        <v>10.78</v>
      </c>
    </row>
    <row r="865" spans="1:30" x14ac:dyDescent="0.35">
      <c r="A865" s="1">
        <f t="shared" si="13"/>
        <v>862</v>
      </c>
      <c r="B865" s="28">
        <v>45700</v>
      </c>
      <c r="C865" s="29" t="s">
        <v>1781</v>
      </c>
      <c r="D865" s="29" t="s">
        <v>1781</v>
      </c>
      <c r="E865" s="29" t="s">
        <v>1782</v>
      </c>
      <c r="F865" s="29" t="s">
        <v>33</v>
      </c>
      <c r="G865" s="30" t="s">
        <v>34</v>
      </c>
      <c r="H865" s="31">
        <v>683122161.47630298</v>
      </c>
      <c r="I865" s="31">
        <v>499225161.47630298</v>
      </c>
      <c r="J865" s="32">
        <v>24.840000152587901</v>
      </c>
      <c r="K865" s="33">
        <v>45700</v>
      </c>
      <c r="L865" s="31">
        <v>1493800</v>
      </c>
      <c r="M865" s="32">
        <v>3.75</v>
      </c>
      <c r="N865" s="31" t="s">
        <v>35</v>
      </c>
      <c r="O865" s="33">
        <v>45699</v>
      </c>
      <c r="P865" s="34">
        <v>149344.40625</v>
      </c>
      <c r="Q865" s="34">
        <v>149919.828125</v>
      </c>
      <c r="R865" s="34">
        <v>157764.625</v>
      </c>
      <c r="S865" s="29" t="s">
        <v>49</v>
      </c>
      <c r="T865" s="33">
        <v>45446</v>
      </c>
      <c r="U865" s="35" t="b">
        <v>0</v>
      </c>
      <c r="V865" s="35" t="b">
        <v>0</v>
      </c>
      <c r="W865" s="35" t="b">
        <v>0</v>
      </c>
      <c r="Y865" s="31" cm="1">
        <f t="array" ref="Y865">IF(LEFT(_xll.BDP($C865, VOLUME_AVG_10D), 4) = "#N/A", "",  _xll.BDP($C865, VOLUME_AVG_10D))</f>
        <v>97222.5</v>
      </c>
      <c r="Z865" s="31" cm="1">
        <f t="array" ref="Z865">IF(LEFT(_xll.BDP($C865, VOLUME_AVG_30D), 4) = "#N/A", "",  _xll.BDP($C865, VOLUME_AVG_30D))</f>
        <v>149344.40625</v>
      </c>
      <c r="AA865" s="31" cm="1">
        <f t="array" ref="AA865">IF(LEFT(_xll.BDP($C865, VOLUME_AVG_3M), 4) = "#N/A", "",  _xll.BDP($C865, VOLUME_AVG_3M))</f>
        <v>149919.828125</v>
      </c>
      <c r="AB865" s="31" cm="1">
        <f t="array" ref="AB865">IF(LEFT(_xll.BDP($C865, VOLUME_AVG_6M), 4) = "#N/A", "",  _xll.BDP($C865, VOLUME_AVG_6M))</f>
        <v>157764.625</v>
      </c>
      <c r="AC865" s="31" cm="1">
        <f t="array" ref="AC865">IF(LEFT(_xll.BDP($C865, VOLUME_AVG_12M), 4) = "#N/A", "",  _xll.BDP($C865, VOLUME_AVG_12M))</f>
        <v>153062.703125</v>
      </c>
      <c r="AD865" s="41" cm="1">
        <f t="array" ref="AD865">IF(LEFT(_xll.BDP($C865, LAST_PRICE), 4) = "#N/A", "",  _xll.BDP($C865, LAST_PRICE))</f>
        <v>24.84</v>
      </c>
    </row>
    <row r="866" spans="1:30" x14ac:dyDescent="0.35">
      <c r="A866" s="1">
        <f t="shared" si="13"/>
        <v>863</v>
      </c>
      <c r="B866" s="28">
        <v>45700</v>
      </c>
      <c r="C866" s="29" t="s">
        <v>1783</v>
      </c>
      <c r="D866" s="29" t="s">
        <v>1783</v>
      </c>
      <c r="E866" s="29" t="s">
        <v>1784</v>
      </c>
      <c r="F866" s="29" t="s">
        <v>33</v>
      </c>
      <c r="G866" s="30" t="s">
        <v>34</v>
      </c>
      <c r="H866" s="31">
        <v>26679942.545210801</v>
      </c>
      <c r="I866" s="31">
        <v>18312267.545210801</v>
      </c>
      <c r="J866" s="32">
        <v>1.5199999809265099</v>
      </c>
      <c r="K866" s="33">
        <v>45700</v>
      </c>
      <c r="L866" s="31">
        <v>307000</v>
      </c>
      <c r="M866" s="32">
        <v>-1.6</v>
      </c>
      <c r="N866" s="31" t="s">
        <v>35</v>
      </c>
      <c r="O866" s="33">
        <v>45699</v>
      </c>
      <c r="P866" s="34">
        <v>195118.828125</v>
      </c>
      <c r="Q866" s="34">
        <v>184871.078125</v>
      </c>
      <c r="R866" s="34">
        <v>168283.9375</v>
      </c>
      <c r="S866" s="29"/>
      <c r="T866" s="33"/>
      <c r="U866" s="35" t="b">
        <v>0</v>
      </c>
      <c r="V866" s="35" t="b">
        <v>0</v>
      </c>
      <c r="W866" s="35" t="b">
        <v>0</v>
      </c>
      <c r="Y866" s="31" cm="1">
        <f t="array" ref="Y866">IF(LEFT(_xll.BDP($C866, VOLUME_AVG_10D), 4) = "#N/A", "",  _xll.BDP($C866, VOLUME_AVG_10D))</f>
        <v>64306.80078125</v>
      </c>
      <c r="Z866" s="31" cm="1">
        <f t="array" ref="Z866">IF(LEFT(_xll.BDP($C866, VOLUME_AVG_30D), 4) = "#N/A", "",  _xll.BDP($C866, VOLUME_AVG_30D))</f>
        <v>195118.828125</v>
      </c>
      <c r="AA866" s="31" cm="1">
        <f t="array" ref="AA866">IF(LEFT(_xll.BDP($C866, VOLUME_AVG_3M), 4) = "#N/A", "",  _xll.BDP($C866, VOLUME_AVG_3M))</f>
        <v>184871.078125</v>
      </c>
      <c r="AB866" s="31" cm="1">
        <f t="array" ref="AB866">IF(LEFT(_xll.BDP($C866, VOLUME_AVG_6M), 4) = "#N/A", "",  _xll.BDP($C866, VOLUME_AVG_6M))</f>
        <v>168283.9375</v>
      </c>
      <c r="AC866" s="31" cm="1">
        <f t="array" ref="AC866">IF(LEFT(_xll.BDP($C866, VOLUME_AVG_12M), 4) = "#N/A", "",  _xll.BDP($C866, VOLUME_AVG_12M))</f>
        <v>258915.671875</v>
      </c>
      <c r="AD866" s="41" cm="1">
        <f t="array" ref="AD866">IF(LEFT(_xll.BDP($C866, LAST_PRICE), 4) = "#N/A", "",  _xll.BDP($C866, LAST_PRICE))</f>
        <v>1.52</v>
      </c>
    </row>
    <row r="867" spans="1:30" x14ac:dyDescent="0.35">
      <c r="A867" s="1">
        <f t="shared" si="13"/>
        <v>864</v>
      </c>
      <c r="B867" s="28">
        <v>45700</v>
      </c>
      <c r="C867" s="29" t="s">
        <v>1785</v>
      </c>
      <c r="D867" s="29" t="s">
        <v>1785</v>
      </c>
      <c r="E867" s="29" t="s">
        <v>1786</v>
      </c>
      <c r="F867" s="29" t="s">
        <v>33</v>
      </c>
      <c r="G867" s="30" t="s">
        <v>34</v>
      </c>
      <c r="H867" s="31">
        <v>130610492.226707</v>
      </c>
      <c r="I867" s="31">
        <v>206338492.22670701</v>
      </c>
      <c r="J867" s="32">
        <v>3.9500000476837198</v>
      </c>
      <c r="K867" s="33">
        <v>45700</v>
      </c>
      <c r="L867" s="31">
        <v>2468500</v>
      </c>
      <c r="M867" s="32">
        <v>2.9</v>
      </c>
      <c r="N867" s="31" t="s">
        <v>35</v>
      </c>
      <c r="O867" s="33">
        <v>45699</v>
      </c>
      <c r="P867" s="34">
        <v>242212.140625</v>
      </c>
      <c r="Q867" s="34">
        <v>360698.4375</v>
      </c>
      <c r="R867" s="34">
        <v>324139.71875</v>
      </c>
      <c r="S867" s="29" t="s">
        <v>68</v>
      </c>
      <c r="T867" s="33">
        <v>45446</v>
      </c>
      <c r="U867" s="35" t="b">
        <v>0</v>
      </c>
      <c r="V867" s="35" t="b">
        <v>0</v>
      </c>
      <c r="W867" s="35" t="b">
        <v>0</v>
      </c>
      <c r="Y867" s="31" cm="1">
        <f t="array" ref="Y867">IF(LEFT(_xll.BDP($C867, VOLUME_AVG_10D), 4) = "#N/A", "",  _xll.BDP($C867, VOLUME_AVG_10D))</f>
        <v>245555</v>
      </c>
      <c r="Z867" s="31" cm="1">
        <f t="array" ref="Z867">IF(LEFT(_xll.BDP($C867, VOLUME_AVG_30D), 4) = "#N/A", "",  _xll.BDP($C867, VOLUME_AVG_30D))</f>
        <v>242212.140625</v>
      </c>
      <c r="AA867" s="31" cm="1">
        <f t="array" ref="AA867">IF(LEFT(_xll.BDP($C867, VOLUME_AVG_3M), 4) = "#N/A", "",  _xll.BDP($C867, VOLUME_AVG_3M))</f>
        <v>360698.4375</v>
      </c>
      <c r="AB867" s="31" cm="1">
        <f t="array" ref="AB867">IF(LEFT(_xll.BDP($C867, VOLUME_AVG_6M), 4) = "#N/A", "",  _xll.BDP($C867, VOLUME_AVG_6M))</f>
        <v>324139.71875</v>
      </c>
      <c r="AC867" s="31" cm="1">
        <f t="array" ref="AC867">IF(LEFT(_xll.BDP($C867, VOLUME_AVG_12M), 4) = "#N/A", "",  _xll.BDP($C867, VOLUME_AVG_12M))</f>
        <v>268422.625</v>
      </c>
      <c r="AD867" s="41" cm="1">
        <f t="array" ref="AD867">IF(LEFT(_xll.BDP($C867, LAST_PRICE), 4) = "#N/A", "",  _xll.BDP($C867, LAST_PRICE))</f>
        <v>3.95</v>
      </c>
    </row>
    <row r="868" spans="1:30" x14ac:dyDescent="0.35">
      <c r="A868" s="1">
        <f t="shared" si="13"/>
        <v>865</v>
      </c>
      <c r="B868" s="28">
        <v>45700</v>
      </c>
      <c r="C868" s="29" t="s">
        <v>1787</v>
      </c>
      <c r="D868" s="29" t="s">
        <v>1787</v>
      </c>
      <c r="E868" s="29" t="s">
        <v>1788</v>
      </c>
      <c r="F868" s="29" t="s">
        <v>33</v>
      </c>
      <c r="G868" s="30" t="s">
        <v>34</v>
      </c>
      <c r="H868" s="31">
        <v>251237142.43940601</v>
      </c>
      <c r="I868" s="31">
        <v>100734142.43940599</v>
      </c>
      <c r="J868" s="32">
        <v>0.69499999284744296</v>
      </c>
      <c r="K868" s="33">
        <v>45700</v>
      </c>
      <c r="L868" s="31">
        <v>7456300</v>
      </c>
      <c r="M868" s="32">
        <v>3.25</v>
      </c>
      <c r="N868" s="31" t="s">
        <v>35</v>
      </c>
      <c r="O868" s="33">
        <v>45699</v>
      </c>
      <c r="P868" s="34">
        <v>4902722.5</v>
      </c>
      <c r="Q868" s="34">
        <v>4840234</v>
      </c>
      <c r="R868" s="34">
        <v>3913580.25</v>
      </c>
      <c r="S868" s="29" t="s">
        <v>254</v>
      </c>
      <c r="T868" s="33">
        <v>45215</v>
      </c>
      <c r="U868" s="35" t="b">
        <v>0</v>
      </c>
      <c r="V868" s="35" t="b">
        <v>0</v>
      </c>
      <c r="W868" s="35" t="b">
        <v>0</v>
      </c>
      <c r="Y868" s="31" cm="1">
        <f t="array" ref="Y868">IF(LEFT(_xll.BDP($C868, VOLUME_AVG_10D), 4) = "#N/A", "",  _xll.BDP($C868, VOLUME_AVG_10D))</f>
        <v>4287084.5</v>
      </c>
      <c r="Z868" s="31" cm="1">
        <f t="array" ref="Z868">IF(LEFT(_xll.BDP($C868, VOLUME_AVG_30D), 4) = "#N/A", "",  _xll.BDP($C868, VOLUME_AVG_30D))</f>
        <v>4902722.5</v>
      </c>
      <c r="AA868" s="31" cm="1">
        <f t="array" ref="AA868">IF(LEFT(_xll.BDP($C868, VOLUME_AVG_3M), 4) = "#N/A", "",  _xll.BDP($C868, VOLUME_AVG_3M))</f>
        <v>4840234</v>
      </c>
      <c r="AB868" s="31" cm="1">
        <f t="array" ref="AB868">IF(LEFT(_xll.BDP($C868, VOLUME_AVG_6M), 4) = "#N/A", "",  _xll.BDP($C868, VOLUME_AVG_6M))</f>
        <v>3913580.25</v>
      </c>
      <c r="AC868" s="31" cm="1">
        <f t="array" ref="AC868">IF(LEFT(_xll.BDP($C868, VOLUME_AVG_12M), 4) = "#N/A", "",  _xll.BDP($C868, VOLUME_AVG_12M))</f>
        <v>3781442.25</v>
      </c>
      <c r="AD868" s="41" cm="1">
        <f t="array" ref="AD868">IF(LEFT(_xll.BDP($C868, LAST_PRICE), 4) = "#N/A", "",  _xll.BDP($C868, LAST_PRICE))</f>
        <v>0.69499999999999995</v>
      </c>
    </row>
    <row r="869" spans="1:30" x14ac:dyDescent="0.35">
      <c r="A869" s="1">
        <f t="shared" si="13"/>
        <v>866</v>
      </c>
      <c r="B869" s="28">
        <v>45700</v>
      </c>
      <c r="C869" s="29" t="s">
        <v>1789</v>
      </c>
      <c r="D869" s="29" t="s">
        <v>1789</v>
      </c>
      <c r="E869" s="29" t="s">
        <v>1790</v>
      </c>
      <c r="F869" s="29" t="s">
        <v>33</v>
      </c>
      <c r="G869" s="30" t="s">
        <v>34</v>
      </c>
      <c r="H869" s="31">
        <v>211784885.55177599</v>
      </c>
      <c r="I869" s="31">
        <v>378288885.55177599</v>
      </c>
      <c r="J869" s="32">
        <v>5.7199997901916504</v>
      </c>
      <c r="K869" s="33">
        <v>45700</v>
      </c>
      <c r="L869" s="31">
        <v>3120800</v>
      </c>
      <c r="M869" s="32">
        <v>3.88</v>
      </c>
      <c r="N869" s="31" t="s">
        <v>35</v>
      </c>
      <c r="O869" s="33">
        <v>45699</v>
      </c>
      <c r="P869" s="34">
        <v>270189.0625</v>
      </c>
      <c r="Q869" s="34">
        <v>246412.453125</v>
      </c>
      <c r="R869" s="34">
        <v>237503.8125</v>
      </c>
      <c r="S869" s="29"/>
      <c r="T869" s="33"/>
      <c r="U869" s="35" t="b">
        <v>0</v>
      </c>
      <c r="V869" s="35" t="b">
        <v>0</v>
      </c>
      <c r="W869" s="35" t="b">
        <v>0</v>
      </c>
      <c r="Y869" s="31" cm="1">
        <f t="array" ref="Y869">IF(LEFT(_xll.BDP($C869, VOLUME_AVG_10D), 4) = "#N/A", "",  _xll.BDP($C869, VOLUME_AVG_10D))</f>
        <v>117717.796875</v>
      </c>
      <c r="Z869" s="31" cm="1">
        <f t="array" ref="Z869">IF(LEFT(_xll.BDP($C869, VOLUME_AVG_30D), 4) = "#N/A", "",  _xll.BDP($C869, VOLUME_AVG_30D))</f>
        <v>270189.0625</v>
      </c>
      <c r="AA869" s="31" cm="1">
        <f t="array" ref="AA869">IF(LEFT(_xll.BDP($C869, VOLUME_AVG_3M), 4) = "#N/A", "",  _xll.BDP($C869, VOLUME_AVG_3M))</f>
        <v>246412.453125</v>
      </c>
      <c r="AB869" s="31" cm="1">
        <f t="array" ref="AB869">IF(LEFT(_xll.BDP($C869, VOLUME_AVG_6M), 4) = "#N/A", "",  _xll.BDP($C869, VOLUME_AVG_6M))</f>
        <v>237503.8125</v>
      </c>
      <c r="AC869" s="31" cm="1">
        <f t="array" ref="AC869">IF(LEFT(_xll.BDP($C869, VOLUME_AVG_12M), 4) = "#N/A", "",  _xll.BDP($C869, VOLUME_AVG_12M))</f>
        <v>224633.046875</v>
      </c>
      <c r="AD869" s="41" cm="1">
        <f t="array" ref="AD869">IF(LEFT(_xll.BDP($C869, LAST_PRICE), 4) = "#N/A", "",  _xll.BDP($C869, LAST_PRICE))</f>
        <v>5.72</v>
      </c>
    </row>
    <row r="870" spans="1:30" x14ac:dyDescent="0.35">
      <c r="A870" s="1">
        <f t="shared" si="13"/>
        <v>867</v>
      </c>
      <c r="B870" s="28">
        <v>45700</v>
      </c>
      <c r="C870" s="29" t="s">
        <v>1791</v>
      </c>
      <c r="D870" s="29" t="s">
        <v>1791</v>
      </c>
      <c r="E870" s="29" t="s">
        <v>1792</v>
      </c>
      <c r="F870" s="29" t="s">
        <v>33</v>
      </c>
      <c r="G870" s="30" t="s">
        <v>34</v>
      </c>
      <c r="H870" s="31"/>
      <c r="I870" s="31"/>
      <c r="J870" s="32"/>
      <c r="K870" s="33">
        <v>45700</v>
      </c>
      <c r="L870" s="31"/>
      <c r="M870" s="32"/>
      <c r="N870" s="31"/>
      <c r="O870" s="33">
        <v>45699</v>
      </c>
      <c r="P870" s="34"/>
      <c r="Q870" s="34"/>
      <c r="R870" s="34"/>
      <c r="S870" s="29"/>
      <c r="T870" s="33"/>
      <c r="U870" s="35" t="b">
        <v>1</v>
      </c>
      <c r="V870" s="35" t="b">
        <v>1</v>
      </c>
      <c r="W870" s="35" t="b">
        <v>1</v>
      </c>
      <c r="Y870" s="31" t="str" cm="1">
        <f t="array" ref="Y870">IF(LEFT(_xll.BDP($C870, VOLUME_AVG_10D), 4) = "#N/A", "",  _xll.BDP($C870, VOLUME_AVG_10D))</f>
        <v/>
      </c>
      <c r="Z870" s="31" t="str" cm="1">
        <f t="array" ref="Z870">IF(LEFT(_xll.BDP($C870, VOLUME_AVG_30D), 4) = "#N/A", "",  _xll.BDP($C870, VOLUME_AVG_30D))</f>
        <v/>
      </c>
      <c r="AA870" s="31" t="str" cm="1">
        <f t="array" ref="AA870">IF(LEFT(_xll.BDP($C870, VOLUME_AVG_3M), 4) = "#N/A", "",  _xll.BDP($C870, VOLUME_AVG_3M))</f>
        <v/>
      </c>
      <c r="AB870" s="31" t="str" cm="1">
        <f t="array" ref="AB870">IF(LEFT(_xll.BDP($C870, VOLUME_AVG_6M), 4) = "#N/A", "",  _xll.BDP($C870, VOLUME_AVG_6M))</f>
        <v/>
      </c>
      <c r="AC870" s="31" t="str" cm="1">
        <f t="array" ref="AC870">IF(LEFT(_xll.BDP($C870, VOLUME_AVG_12M), 4) = "#N/A", "",  _xll.BDP($C870, VOLUME_AVG_12M))</f>
        <v/>
      </c>
      <c r="AD870" s="41" t="str" cm="1">
        <f t="array" ref="AD870">IF(LEFT(_xll.BDP($C870, LAST_PRICE), 4) = "#N/A", "",  _xll.BDP($C870, LAST_PRICE))</f>
        <v/>
      </c>
    </row>
    <row r="871" spans="1:30" x14ac:dyDescent="0.35">
      <c r="A871" s="1">
        <f t="shared" si="13"/>
        <v>868</v>
      </c>
      <c r="B871" s="28">
        <v>45700</v>
      </c>
      <c r="C871" s="29" t="s">
        <v>1793</v>
      </c>
      <c r="D871" s="29" t="s">
        <v>1793</v>
      </c>
      <c r="E871" s="29" t="s">
        <v>1794</v>
      </c>
      <c r="F871" s="29" t="s">
        <v>33</v>
      </c>
      <c r="G871" s="30" t="s">
        <v>34</v>
      </c>
      <c r="H871" s="31">
        <v>908004.33322788903</v>
      </c>
      <c r="I871" s="31"/>
      <c r="J871" s="32">
        <v>3.0000001424923501E-4</v>
      </c>
      <c r="K871" s="33">
        <v>45700</v>
      </c>
      <c r="L871" s="31"/>
      <c r="M871" s="32"/>
      <c r="N871" s="31"/>
      <c r="O871" s="33">
        <v>45699</v>
      </c>
      <c r="P871" s="34">
        <v>468871.5625</v>
      </c>
      <c r="Q871" s="34">
        <v>343880.53125</v>
      </c>
      <c r="R871" s="34">
        <v>307065.84375</v>
      </c>
      <c r="S871" s="29"/>
      <c r="T871" s="33"/>
      <c r="U871" s="35" t="b">
        <v>1</v>
      </c>
      <c r="V871" s="35" t="b">
        <v>1</v>
      </c>
      <c r="W871" s="35" t="b">
        <v>1</v>
      </c>
      <c r="Y871" s="31" cm="1">
        <f t="array" ref="Y871">IF(LEFT(_xll.BDP($C871, VOLUME_AVG_10D), 4) = "#N/A", "",  _xll.BDP($C871, VOLUME_AVG_10D))</f>
        <v>479390.1875</v>
      </c>
      <c r="Z871" s="31" cm="1">
        <f t="array" ref="Z871">IF(LEFT(_xll.BDP($C871, VOLUME_AVG_30D), 4) = "#N/A", "",  _xll.BDP($C871, VOLUME_AVG_30D))</f>
        <v>468871.5625</v>
      </c>
      <c r="AA871" s="31" cm="1">
        <f t="array" ref="AA871">IF(LEFT(_xll.BDP($C871, VOLUME_AVG_3M), 4) = "#N/A", "",  _xll.BDP($C871, VOLUME_AVG_3M))</f>
        <v>343880.53125</v>
      </c>
      <c r="AB871" s="31" cm="1">
        <f t="array" ref="AB871">IF(LEFT(_xll.BDP($C871, VOLUME_AVG_6M), 4) = "#N/A", "",  _xll.BDP($C871, VOLUME_AVG_6M))</f>
        <v>307065.84375</v>
      </c>
      <c r="AC871" s="31" cm="1">
        <f t="array" ref="AC871">IF(LEFT(_xll.BDP($C871, VOLUME_AVG_12M), 4) = "#N/A", "",  _xll.BDP($C871, VOLUME_AVG_12M))</f>
        <v>221272.234375</v>
      </c>
      <c r="AD871" s="41" cm="1">
        <f t="array" ref="AD871">IF(LEFT(_xll.BDP($C871, LAST_PRICE), 4) = "#N/A", "",  _xll.BDP($C871, LAST_PRICE))</f>
        <v>2.9999999999999997E-4</v>
      </c>
    </row>
    <row r="872" spans="1:30" x14ac:dyDescent="0.35">
      <c r="A872" s="1">
        <f t="shared" si="13"/>
        <v>869</v>
      </c>
      <c r="B872" s="28">
        <v>45700</v>
      </c>
      <c r="C872" s="29" t="s">
        <v>1795</v>
      </c>
      <c r="D872" s="29" t="s">
        <v>1795</v>
      </c>
      <c r="E872" s="29" t="s">
        <v>1796</v>
      </c>
      <c r="F872" s="29" t="s">
        <v>33</v>
      </c>
      <c r="G872" s="30" t="s">
        <v>34</v>
      </c>
      <c r="H872" s="31">
        <v>297121128.40279198</v>
      </c>
      <c r="I872" s="31">
        <v>327441480.40279198</v>
      </c>
      <c r="J872" s="32">
        <v>6.8600001335143999</v>
      </c>
      <c r="K872" s="33">
        <v>45700</v>
      </c>
      <c r="L872" s="31">
        <v>5372400</v>
      </c>
      <c r="M872" s="32">
        <v>3.88</v>
      </c>
      <c r="N872" s="31" t="s">
        <v>35</v>
      </c>
      <c r="O872" s="33">
        <v>45699</v>
      </c>
      <c r="P872" s="34">
        <v>664573.0625</v>
      </c>
      <c r="Q872" s="34">
        <v>712383.375</v>
      </c>
      <c r="R872" s="34">
        <v>592760.875</v>
      </c>
      <c r="S872" s="29"/>
      <c r="T872" s="33"/>
      <c r="U872" s="35" t="b">
        <v>0</v>
      </c>
      <c r="V872" s="35" t="b">
        <v>0</v>
      </c>
      <c r="W872" s="35" t="b">
        <v>0</v>
      </c>
      <c r="Y872" s="31" cm="1">
        <f t="array" ref="Y872">IF(LEFT(_xll.BDP($C872, VOLUME_AVG_10D), 4) = "#N/A", "",  _xll.BDP($C872, VOLUME_AVG_10D))</f>
        <v>1001930.875</v>
      </c>
      <c r="Z872" s="31" cm="1">
        <f t="array" ref="Z872">IF(LEFT(_xll.BDP($C872, VOLUME_AVG_30D), 4) = "#N/A", "",  _xll.BDP($C872, VOLUME_AVG_30D))</f>
        <v>664573.0625</v>
      </c>
      <c r="AA872" s="31" cm="1">
        <f t="array" ref="AA872">IF(LEFT(_xll.BDP($C872, VOLUME_AVG_3M), 4) = "#N/A", "",  _xll.BDP($C872, VOLUME_AVG_3M))</f>
        <v>712383.375</v>
      </c>
      <c r="AB872" s="31" cm="1">
        <f t="array" ref="AB872">IF(LEFT(_xll.BDP($C872, VOLUME_AVG_6M), 4) = "#N/A", "",  _xll.BDP($C872, VOLUME_AVG_6M))</f>
        <v>592760.875</v>
      </c>
      <c r="AC872" s="31" cm="1">
        <f t="array" ref="AC872">IF(LEFT(_xll.BDP($C872, VOLUME_AVG_12M), 4) = "#N/A", "",  _xll.BDP($C872, VOLUME_AVG_12M))</f>
        <v>692109</v>
      </c>
      <c r="AD872" s="41" cm="1">
        <f t="array" ref="AD872">IF(LEFT(_xll.BDP($C872, LAST_PRICE), 4) = "#N/A", "",  _xll.BDP($C872, LAST_PRICE))</f>
        <v>6.86</v>
      </c>
    </row>
    <row r="873" spans="1:30" x14ac:dyDescent="0.35">
      <c r="A873" s="1">
        <f t="shared" si="13"/>
        <v>870</v>
      </c>
      <c r="B873" s="28">
        <v>45700</v>
      </c>
      <c r="C873" s="29" t="s">
        <v>1797</v>
      </c>
      <c r="D873" s="29" t="s">
        <v>1797</v>
      </c>
      <c r="E873" s="29" t="s">
        <v>1798</v>
      </c>
      <c r="F873" s="29" t="s">
        <v>33</v>
      </c>
      <c r="G873" s="30" t="s">
        <v>34</v>
      </c>
      <c r="H873" s="31"/>
      <c r="I873" s="31"/>
      <c r="J873" s="32">
        <v>9.9999999747524292E-7</v>
      </c>
      <c r="K873" s="33">
        <v>45700</v>
      </c>
      <c r="L873" s="31"/>
      <c r="M873" s="32"/>
      <c r="N873" s="31"/>
      <c r="O873" s="33">
        <v>45699</v>
      </c>
      <c r="P873" s="34">
        <v>1006.66668701172</v>
      </c>
      <c r="Q873" s="34">
        <v>487.09677124023398</v>
      </c>
      <c r="R873" s="34">
        <v>259.52380371093801</v>
      </c>
      <c r="S873" s="29"/>
      <c r="T873" s="33"/>
      <c r="U873" s="35" t="b">
        <v>1</v>
      </c>
      <c r="V873" s="35" t="b">
        <v>1</v>
      </c>
      <c r="W873" s="35" t="b">
        <v>1</v>
      </c>
      <c r="Y873" s="31" cm="1">
        <f t="array" ref="Y873">IF(LEFT(_xll.BDP($C873, VOLUME_AVG_10D), 4) = "#N/A", "",  _xll.BDP($C873, VOLUME_AVG_10D))</f>
        <v>20</v>
      </c>
      <c r="Z873" s="31" cm="1">
        <f t="array" ref="Z873">IF(LEFT(_xll.BDP($C873, VOLUME_AVG_30D), 4) = "#N/A", "",  _xll.BDP($C873, VOLUME_AVG_30D))</f>
        <v>1006.6666870117188</v>
      </c>
      <c r="AA873" s="31" cm="1">
        <f t="array" ref="AA873">IF(LEFT(_xll.BDP($C873, VOLUME_AVG_3M), 4) = "#N/A", "",  _xll.BDP($C873, VOLUME_AVG_3M))</f>
        <v>487.09677124023438</v>
      </c>
      <c r="AB873" s="31" cm="1">
        <f t="array" ref="AB873">IF(LEFT(_xll.BDP($C873, VOLUME_AVG_6M), 4) = "#N/A", "",  _xll.BDP($C873, VOLUME_AVG_6M))</f>
        <v>259.5238037109375</v>
      </c>
      <c r="AC873" s="31" cm="1">
        <f t="array" ref="AC873">IF(LEFT(_xll.BDP($C873, VOLUME_AVG_12M), 4) = "#N/A", "",  _xll.BDP($C873, VOLUME_AVG_12M))</f>
        <v>261.812744140625</v>
      </c>
      <c r="AD873" s="41" cm="1">
        <f t="array" ref="AD873">IF(LEFT(_xll.BDP($C873, LAST_PRICE), 4) = "#N/A", "",  _xll.BDP($C873, LAST_PRICE))</f>
        <v>0</v>
      </c>
    </row>
    <row r="874" spans="1:30" x14ac:dyDescent="0.35">
      <c r="A874" s="1">
        <f t="shared" si="13"/>
        <v>871</v>
      </c>
      <c r="B874" s="28">
        <v>45700</v>
      </c>
      <c r="C874" s="29" t="s">
        <v>1799</v>
      </c>
      <c r="D874" s="29" t="s">
        <v>1799</v>
      </c>
      <c r="E874" s="29" t="s">
        <v>1800</v>
      </c>
      <c r="F874" s="29" t="s">
        <v>33</v>
      </c>
      <c r="G874" s="30" t="s">
        <v>34</v>
      </c>
      <c r="H874" s="31">
        <v>3007551205.6479602</v>
      </c>
      <c r="I874" s="31">
        <v>3436844205.6479602</v>
      </c>
      <c r="J874" s="32">
        <v>7.8600001335143999</v>
      </c>
      <c r="K874" s="33">
        <v>45700</v>
      </c>
      <c r="L874" s="31">
        <v>37512200</v>
      </c>
      <c r="M874" s="32">
        <v>3.88</v>
      </c>
      <c r="N874" s="31" t="s">
        <v>35</v>
      </c>
      <c r="O874" s="33">
        <v>45699</v>
      </c>
      <c r="P874" s="34">
        <v>970785.8125</v>
      </c>
      <c r="Q874" s="34">
        <v>1296724.5</v>
      </c>
      <c r="R874" s="34">
        <v>1380757.75</v>
      </c>
      <c r="S874" s="29"/>
      <c r="T874" s="33"/>
      <c r="U874" s="35" t="b">
        <v>0</v>
      </c>
      <c r="V874" s="35" t="b">
        <v>0</v>
      </c>
      <c r="W874" s="35" t="b">
        <v>0</v>
      </c>
      <c r="Y874" s="31" cm="1">
        <f t="array" ref="Y874">IF(LEFT(_xll.BDP($C874, VOLUME_AVG_10D), 4) = "#N/A", "",  _xll.BDP($C874, VOLUME_AVG_10D))</f>
        <v>680632.375</v>
      </c>
      <c r="Z874" s="31" cm="1">
        <f t="array" ref="Z874">IF(LEFT(_xll.BDP($C874, VOLUME_AVG_30D), 4) = "#N/A", "",  _xll.BDP($C874, VOLUME_AVG_30D))</f>
        <v>970785.8125</v>
      </c>
      <c r="AA874" s="31" cm="1">
        <f t="array" ref="AA874">IF(LEFT(_xll.BDP($C874, VOLUME_AVG_3M), 4) = "#N/A", "",  _xll.BDP($C874, VOLUME_AVG_3M))</f>
        <v>1296724.5</v>
      </c>
      <c r="AB874" s="31" cm="1">
        <f t="array" ref="AB874">IF(LEFT(_xll.BDP($C874, VOLUME_AVG_6M), 4) = "#N/A", "",  _xll.BDP($C874, VOLUME_AVG_6M))</f>
        <v>1380757.75</v>
      </c>
      <c r="AC874" s="31" cm="1">
        <f t="array" ref="AC874">IF(LEFT(_xll.BDP($C874, VOLUME_AVG_12M), 4) = "#N/A", "",  _xll.BDP($C874, VOLUME_AVG_12M))</f>
        <v>1470201.75</v>
      </c>
      <c r="AD874" s="41" cm="1">
        <f t="array" ref="AD874">IF(LEFT(_xll.BDP($C874, LAST_PRICE), 4) = "#N/A", "",  _xll.BDP($C874, LAST_PRICE))</f>
        <v>7.86</v>
      </c>
    </row>
    <row r="875" spans="1:30" x14ac:dyDescent="0.35">
      <c r="A875" s="1">
        <f t="shared" si="13"/>
        <v>872</v>
      </c>
      <c r="B875" s="28">
        <v>45700</v>
      </c>
      <c r="C875" s="29" t="s">
        <v>1801</v>
      </c>
      <c r="D875" s="29" t="s">
        <v>1801</v>
      </c>
      <c r="E875" s="29" t="s">
        <v>1802</v>
      </c>
      <c r="F875" s="29" t="s">
        <v>33</v>
      </c>
      <c r="G875" s="30" t="s">
        <v>34</v>
      </c>
      <c r="H875" s="31">
        <v>20509721.512602199</v>
      </c>
      <c r="I875" s="31">
        <v>10837721.512602201</v>
      </c>
      <c r="J875" s="32">
        <v>1.9299999475479099</v>
      </c>
      <c r="K875" s="33">
        <v>45700</v>
      </c>
      <c r="L875" s="31"/>
      <c r="M875" s="32"/>
      <c r="N875" s="31"/>
      <c r="O875" s="33">
        <v>45699</v>
      </c>
      <c r="P875" s="34">
        <v>1354424.75</v>
      </c>
      <c r="Q875" s="34">
        <v>699699.4375</v>
      </c>
      <c r="R875" s="34">
        <v>361843.28125</v>
      </c>
      <c r="S875" s="29"/>
      <c r="T875" s="33"/>
      <c r="U875" s="35" t="b">
        <v>0</v>
      </c>
      <c r="V875" s="35" t="b">
        <v>0</v>
      </c>
      <c r="W875" s="35" t="b">
        <v>0</v>
      </c>
      <c r="Y875" s="31" cm="1">
        <f t="array" ref="Y875">IF(LEFT(_xll.BDP($C875, VOLUME_AVG_10D), 4) = "#N/A", "",  _xll.BDP($C875, VOLUME_AVG_10D))</f>
        <v>2631147.75</v>
      </c>
      <c r="Z875" s="31" cm="1">
        <f t="array" ref="Z875">IF(LEFT(_xll.BDP($C875, VOLUME_AVG_30D), 4) = "#N/A", "",  _xll.BDP($C875, VOLUME_AVG_30D))</f>
        <v>1354424.75</v>
      </c>
      <c r="AA875" s="31" cm="1">
        <f t="array" ref="AA875">IF(LEFT(_xll.BDP($C875, VOLUME_AVG_3M), 4) = "#N/A", "",  _xll.BDP($C875, VOLUME_AVG_3M))</f>
        <v>699699.4375</v>
      </c>
      <c r="AB875" s="31" cm="1">
        <f t="array" ref="AB875">IF(LEFT(_xll.BDP($C875, VOLUME_AVG_6M), 4) = "#N/A", "",  _xll.BDP($C875, VOLUME_AVG_6M))</f>
        <v>361843.28125</v>
      </c>
      <c r="AC875" s="31" cm="1">
        <f t="array" ref="AC875">IF(LEFT(_xll.BDP($C875, VOLUME_AVG_12M), 4) = "#N/A", "",  _xll.BDP($C875, VOLUME_AVG_12M))</f>
        <v>202945.890625</v>
      </c>
      <c r="AD875" s="41" cm="1">
        <f t="array" ref="AD875">IF(LEFT(_xll.BDP($C875, LAST_PRICE), 4) = "#N/A", "",  _xll.BDP($C875, LAST_PRICE))</f>
        <v>1.93</v>
      </c>
    </row>
    <row r="876" spans="1:30" x14ac:dyDescent="0.35">
      <c r="A876" s="1">
        <f t="shared" si="13"/>
        <v>873</v>
      </c>
      <c r="B876" s="28">
        <v>45700</v>
      </c>
      <c r="C876" s="29" t="s">
        <v>1803</v>
      </c>
      <c r="D876" s="29" t="s">
        <v>1803</v>
      </c>
      <c r="E876" s="29" t="s">
        <v>1804</v>
      </c>
      <c r="F876" s="29" t="s">
        <v>33</v>
      </c>
      <c r="G876" s="30" t="s">
        <v>34</v>
      </c>
      <c r="H876" s="31">
        <v>2104755586.93718</v>
      </c>
      <c r="I876" s="31">
        <v>1892469586.93718</v>
      </c>
      <c r="J876" s="32">
        <v>111.389999389648</v>
      </c>
      <c r="K876" s="33">
        <v>45700</v>
      </c>
      <c r="L876" s="31">
        <v>7436400</v>
      </c>
      <c r="M876" s="32">
        <v>3.88</v>
      </c>
      <c r="N876" s="31" t="s">
        <v>35</v>
      </c>
      <c r="O876" s="33">
        <v>45699</v>
      </c>
      <c r="P876" s="34">
        <v>84408.0703125</v>
      </c>
      <c r="Q876" s="34">
        <v>109420.546875</v>
      </c>
      <c r="R876" s="34">
        <v>107971.2890625</v>
      </c>
      <c r="S876" s="29" t="s">
        <v>1805</v>
      </c>
      <c r="T876" s="33">
        <v>45446</v>
      </c>
      <c r="U876" s="35" t="b">
        <v>0</v>
      </c>
      <c r="V876" s="35" t="b">
        <v>0</v>
      </c>
      <c r="W876" s="35" t="b">
        <v>0</v>
      </c>
      <c r="Y876" s="31" cm="1">
        <f t="array" ref="Y876">IF(LEFT(_xll.BDP($C876, VOLUME_AVG_10D), 4) = "#N/A", "",  _xll.BDP($C876, VOLUME_AVG_10D))</f>
        <v>64150.69921875</v>
      </c>
      <c r="Z876" s="31" cm="1">
        <f t="array" ref="Z876">IF(LEFT(_xll.BDP($C876, VOLUME_AVG_30D), 4) = "#N/A", "",  _xll.BDP($C876, VOLUME_AVG_30D))</f>
        <v>84408.0703125</v>
      </c>
      <c r="AA876" s="31" cm="1">
        <f t="array" ref="AA876">IF(LEFT(_xll.BDP($C876, VOLUME_AVG_3M), 4) = "#N/A", "",  _xll.BDP($C876, VOLUME_AVG_3M))</f>
        <v>109420.546875</v>
      </c>
      <c r="AB876" s="31" cm="1">
        <f t="array" ref="AB876">IF(LEFT(_xll.BDP($C876, VOLUME_AVG_6M), 4) = "#N/A", "",  _xll.BDP($C876, VOLUME_AVG_6M))</f>
        <v>107971.2890625</v>
      </c>
      <c r="AC876" s="31" cm="1">
        <f t="array" ref="AC876">IF(LEFT(_xll.BDP($C876, VOLUME_AVG_12M), 4) = "#N/A", "",  _xll.BDP($C876, VOLUME_AVG_12M))</f>
        <v>133361.84375</v>
      </c>
      <c r="AD876" s="41" cm="1">
        <f t="array" ref="AD876">IF(LEFT(_xll.BDP($C876, LAST_PRICE), 4) = "#N/A", "",  _xll.BDP($C876, LAST_PRICE))</f>
        <v>111.39</v>
      </c>
    </row>
    <row r="877" spans="1:30" x14ac:dyDescent="0.35">
      <c r="A877" s="1">
        <f t="shared" si="13"/>
        <v>874</v>
      </c>
      <c r="B877" s="28">
        <v>45700</v>
      </c>
      <c r="C877" s="29" t="s">
        <v>1806</v>
      </c>
      <c r="D877" s="29" t="s">
        <v>1806</v>
      </c>
      <c r="E877" s="29" t="s">
        <v>1807</v>
      </c>
      <c r="F877" s="29" t="s">
        <v>33</v>
      </c>
      <c r="G877" s="30" t="s">
        <v>34</v>
      </c>
      <c r="H877" s="31">
        <v>146347385.17756999</v>
      </c>
      <c r="I877" s="31">
        <v>114994385.17757</v>
      </c>
      <c r="J877" s="32">
        <v>0.64099997282028198</v>
      </c>
      <c r="K877" s="33">
        <v>45700</v>
      </c>
      <c r="L877" s="31">
        <v>12817800</v>
      </c>
      <c r="M877" s="32">
        <v>3.7</v>
      </c>
      <c r="N877" s="31" t="s">
        <v>35</v>
      </c>
      <c r="O877" s="33">
        <v>45699</v>
      </c>
      <c r="P877" s="34">
        <v>2176850.5</v>
      </c>
      <c r="Q877" s="34">
        <v>2649496.75</v>
      </c>
      <c r="R877" s="34">
        <v>1524139.75</v>
      </c>
      <c r="S877" s="29" t="s">
        <v>49</v>
      </c>
      <c r="T877" s="33">
        <v>45446</v>
      </c>
      <c r="U877" s="35" t="b">
        <v>0</v>
      </c>
      <c r="V877" s="35" t="b">
        <v>0</v>
      </c>
      <c r="W877" s="35" t="b">
        <v>0</v>
      </c>
      <c r="Y877" s="31" cm="1">
        <f t="array" ref="Y877">IF(LEFT(_xll.BDP($C877, VOLUME_AVG_10D), 4) = "#N/A", "",  _xll.BDP($C877, VOLUME_AVG_10D))</f>
        <v>1560620.5</v>
      </c>
      <c r="Z877" s="31" cm="1">
        <f t="array" ref="Z877">IF(LEFT(_xll.BDP($C877, VOLUME_AVG_30D), 4) = "#N/A", "",  _xll.BDP($C877, VOLUME_AVG_30D))</f>
        <v>2176850.5</v>
      </c>
      <c r="AA877" s="31" cm="1">
        <f t="array" ref="AA877">IF(LEFT(_xll.BDP($C877, VOLUME_AVG_3M), 4) = "#N/A", "",  _xll.BDP($C877, VOLUME_AVG_3M))</f>
        <v>2649496.75</v>
      </c>
      <c r="AB877" s="31" cm="1">
        <f t="array" ref="AB877">IF(LEFT(_xll.BDP($C877, VOLUME_AVG_6M), 4) = "#N/A", "",  _xll.BDP($C877, VOLUME_AVG_6M))</f>
        <v>1524139.75</v>
      </c>
      <c r="AC877" s="31" cm="1">
        <f t="array" ref="AC877">IF(LEFT(_xll.BDP($C877, VOLUME_AVG_12M), 4) = "#N/A", "",  _xll.BDP($C877, VOLUME_AVG_12M))</f>
        <v>1225691</v>
      </c>
      <c r="AD877" s="41" cm="1">
        <f t="array" ref="AD877">IF(LEFT(_xll.BDP($C877, LAST_PRICE), 4) = "#N/A", "",  _xll.BDP($C877, LAST_PRICE))</f>
        <v>0.64100000000000001</v>
      </c>
    </row>
    <row r="878" spans="1:30" x14ac:dyDescent="0.35">
      <c r="A878" s="1">
        <f t="shared" si="13"/>
        <v>875</v>
      </c>
      <c r="B878" s="28">
        <v>45700</v>
      </c>
      <c r="C878" s="29" t="s">
        <v>1808</v>
      </c>
      <c r="D878" s="29" t="s">
        <v>1808</v>
      </c>
      <c r="E878" s="29" t="s">
        <v>1809</v>
      </c>
      <c r="F878" s="29" t="s">
        <v>33</v>
      </c>
      <c r="G878" s="30" t="s">
        <v>34</v>
      </c>
      <c r="H878" s="31">
        <v>5428046.0333003998</v>
      </c>
      <c r="I878" s="31">
        <v>4145142.0333003998</v>
      </c>
      <c r="J878" s="32">
        <v>4.4899997711181596</v>
      </c>
      <c r="K878" s="33">
        <v>45700</v>
      </c>
      <c r="L878" s="31">
        <v>71200</v>
      </c>
      <c r="M878" s="32">
        <v>-455</v>
      </c>
      <c r="N878" s="31" t="s">
        <v>35</v>
      </c>
      <c r="O878" s="33">
        <v>45699</v>
      </c>
      <c r="P878" s="34">
        <v>4374356.5</v>
      </c>
      <c r="Q878" s="34">
        <v>2194541.75</v>
      </c>
      <c r="R878" s="34">
        <v>1160325.25</v>
      </c>
      <c r="S878" s="29"/>
      <c r="T878" s="33"/>
      <c r="U878" s="35" t="b">
        <v>1</v>
      </c>
      <c r="V878" s="35" t="b">
        <v>0</v>
      </c>
      <c r="W878" s="35" t="b">
        <v>0</v>
      </c>
      <c r="Y878" s="31" cm="1">
        <f t="array" ref="Y878">IF(LEFT(_xll.BDP($C878, VOLUME_AVG_10D), 4) = "#N/A", "",  _xll.BDP($C878, VOLUME_AVG_10D))</f>
        <v>12986218</v>
      </c>
      <c r="Z878" s="31" cm="1">
        <f t="array" ref="Z878">IF(LEFT(_xll.BDP($C878, VOLUME_AVG_30D), 4) = "#N/A", "",  _xll.BDP($C878, VOLUME_AVG_30D))</f>
        <v>4374356.5</v>
      </c>
      <c r="AA878" s="31" cm="1">
        <f t="array" ref="AA878">IF(LEFT(_xll.BDP($C878, VOLUME_AVG_3M), 4) = "#N/A", "",  _xll.BDP($C878, VOLUME_AVG_3M))</f>
        <v>2194541.75</v>
      </c>
      <c r="AB878" s="31" cm="1">
        <f t="array" ref="AB878">IF(LEFT(_xll.BDP($C878, VOLUME_AVG_6M), 4) = "#N/A", "",  _xll.BDP($C878, VOLUME_AVG_6M))</f>
        <v>1160325.25</v>
      </c>
      <c r="AC878" s="31" cm="1">
        <f t="array" ref="AC878">IF(LEFT(_xll.BDP($C878, VOLUME_AVG_12M), 4) = "#N/A", "",  _xll.BDP($C878, VOLUME_AVG_12M))</f>
        <v>688322.0625</v>
      </c>
      <c r="AD878" s="41" cm="1">
        <f t="array" ref="AD878">IF(LEFT(_xll.BDP($C878, LAST_PRICE), 4) = "#N/A", "",  _xll.BDP($C878, LAST_PRICE))</f>
        <v>4.49</v>
      </c>
    </row>
    <row r="879" spans="1:30" x14ac:dyDescent="0.35">
      <c r="A879" s="1">
        <f t="shared" si="13"/>
        <v>876</v>
      </c>
      <c r="B879" s="28">
        <v>45700</v>
      </c>
      <c r="C879" s="29" t="s">
        <v>1810</v>
      </c>
      <c r="D879" s="29" t="s">
        <v>1810</v>
      </c>
      <c r="E879" s="29" t="s">
        <v>1811</v>
      </c>
      <c r="F879" s="29" t="s">
        <v>33</v>
      </c>
      <c r="G879" s="30" t="s">
        <v>34</v>
      </c>
      <c r="H879" s="31">
        <v>18878228.046994202</v>
      </c>
      <c r="I879" s="31">
        <v>-945403.95300579397</v>
      </c>
      <c r="J879" s="32">
        <v>3.5299999713897701</v>
      </c>
      <c r="K879" s="33">
        <v>45700</v>
      </c>
      <c r="L879" s="31">
        <v>507300</v>
      </c>
      <c r="M879" s="32">
        <v>3.65</v>
      </c>
      <c r="N879" s="31" t="s">
        <v>35</v>
      </c>
      <c r="O879" s="33">
        <v>45699</v>
      </c>
      <c r="P879" s="34">
        <v>35548.6015625</v>
      </c>
      <c r="Q879" s="34">
        <v>32223.080078125</v>
      </c>
      <c r="R879" s="34">
        <v>31516.611328125</v>
      </c>
      <c r="S879" s="29"/>
      <c r="T879" s="33"/>
      <c r="U879" s="35" t="b">
        <v>1</v>
      </c>
      <c r="V879" s="35" t="b">
        <v>0</v>
      </c>
      <c r="W879" s="35" t="b">
        <v>1</v>
      </c>
      <c r="Y879" s="31" cm="1">
        <f t="array" ref="Y879">IF(LEFT(_xll.BDP($C879, VOLUME_AVG_10D), 4) = "#N/A", "",  _xll.BDP($C879, VOLUME_AVG_10D))</f>
        <v>40785.3984375</v>
      </c>
      <c r="Z879" s="31" cm="1">
        <f t="array" ref="Z879">IF(LEFT(_xll.BDP($C879, VOLUME_AVG_30D), 4) = "#N/A", "",  _xll.BDP($C879, VOLUME_AVG_30D))</f>
        <v>35548.6015625</v>
      </c>
      <c r="AA879" s="31" cm="1">
        <f t="array" ref="AA879">IF(LEFT(_xll.BDP($C879, VOLUME_AVG_3M), 4) = "#N/A", "",  _xll.BDP($C879, VOLUME_AVG_3M))</f>
        <v>32223.080078125</v>
      </c>
      <c r="AB879" s="31" cm="1">
        <f t="array" ref="AB879">IF(LEFT(_xll.BDP($C879, VOLUME_AVG_6M), 4) = "#N/A", "",  _xll.BDP($C879, VOLUME_AVG_6M))</f>
        <v>31516.611328125</v>
      </c>
      <c r="AC879" s="31" cm="1">
        <f t="array" ref="AC879">IF(LEFT(_xll.BDP($C879, VOLUME_AVG_12M), 4) = "#N/A", "",  _xll.BDP($C879, VOLUME_AVG_12M))</f>
        <v>44959.71484375</v>
      </c>
      <c r="AD879" s="41" cm="1">
        <f t="array" ref="AD879">IF(LEFT(_xll.BDP($C879, LAST_PRICE), 4) = "#N/A", "",  _xll.BDP($C879, LAST_PRICE))</f>
        <v>3.53</v>
      </c>
    </row>
    <row r="880" spans="1:30" x14ac:dyDescent="0.35">
      <c r="A880" s="1">
        <f t="shared" si="13"/>
        <v>877</v>
      </c>
      <c r="B880" s="28">
        <v>45700</v>
      </c>
      <c r="C880" s="29" t="s">
        <v>1812</v>
      </c>
      <c r="D880" s="29" t="s">
        <v>1812</v>
      </c>
      <c r="E880" s="29" t="s">
        <v>1813</v>
      </c>
      <c r="F880" s="29" t="s">
        <v>33</v>
      </c>
      <c r="G880" s="30" t="s">
        <v>34</v>
      </c>
      <c r="H880" s="31">
        <v>1375768203.32512</v>
      </c>
      <c r="I880" s="31">
        <v>1174091203.32512</v>
      </c>
      <c r="J880" s="32">
        <v>16.254999160766602</v>
      </c>
      <c r="K880" s="33">
        <v>45700</v>
      </c>
      <c r="L880" s="31">
        <v>9320200</v>
      </c>
      <c r="M880" s="32">
        <v>3.88</v>
      </c>
      <c r="N880" s="31" t="s">
        <v>35</v>
      </c>
      <c r="O880" s="33">
        <v>45699</v>
      </c>
      <c r="P880" s="34">
        <v>860358.875</v>
      </c>
      <c r="Q880" s="34">
        <v>860343.9375</v>
      </c>
      <c r="R880" s="34">
        <v>1054102.75</v>
      </c>
      <c r="S880" s="29" t="s">
        <v>164</v>
      </c>
      <c r="T880" s="33">
        <v>45446</v>
      </c>
      <c r="U880" s="35" t="b">
        <v>0</v>
      </c>
      <c r="V880" s="35" t="b">
        <v>0</v>
      </c>
      <c r="W880" s="35" t="b">
        <v>0</v>
      </c>
      <c r="Y880" s="31" cm="1">
        <f t="array" ref="Y880">IF(LEFT(_xll.BDP($C880, VOLUME_AVG_10D), 4) = "#N/A", "",  _xll.BDP($C880, VOLUME_AVG_10D))</f>
        <v>819675.1875</v>
      </c>
      <c r="Z880" s="31" cm="1">
        <f t="array" ref="Z880">IF(LEFT(_xll.BDP($C880, VOLUME_AVG_30D), 4) = "#N/A", "",  _xll.BDP($C880, VOLUME_AVG_30D))</f>
        <v>860358.875</v>
      </c>
      <c r="AA880" s="31" cm="1">
        <f t="array" ref="AA880">IF(LEFT(_xll.BDP($C880, VOLUME_AVG_3M), 4) = "#N/A", "",  _xll.BDP($C880, VOLUME_AVG_3M))</f>
        <v>860343.9375</v>
      </c>
      <c r="AB880" s="31" cm="1">
        <f t="array" ref="AB880">IF(LEFT(_xll.BDP($C880, VOLUME_AVG_6M), 4) = "#N/A", "",  _xll.BDP($C880, VOLUME_AVG_6M))</f>
        <v>1054102.75</v>
      </c>
      <c r="AC880" s="31" cm="1">
        <f t="array" ref="AC880">IF(LEFT(_xll.BDP($C880, VOLUME_AVG_12M), 4) = "#N/A", "",  _xll.BDP($C880, VOLUME_AVG_12M))</f>
        <v>935371.125</v>
      </c>
      <c r="AD880" s="41" cm="1">
        <f t="array" ref="AD880">IF(LEFT(_xll.BDP($C880, LAST_PRICE), 4) = "#N/A", "",  _xll.BDP($C880, LAST_PRICE))</f>
        <v>16.254999999999999</v>
      </c>
    </row>
    <row r="881" spans="1:30" x14ac:dyDescent="0.35">
      <c r="A881" s="1">
        <f t="shared" si="13"/>
        <v>878</v>
      </c>
      <c r="B881" s="28">
        <v>45700</v>
      </c>
      <c r="C881" s="29" t="s">
        <v>1814</v>
      </c>
      <c r="D881" s="29" t="s">
        <v>1814</v>
      </c>
      <c r="E881" s="29" t="s">
        <v>1815</v>
      </c>
      <c r="F881" s="29" t="s">
        <v>33</v>
      </c>
      <c r="G881" s="30" t="s">
        <v>34</v>
      </c>
      <c r="H881" s="31">
        <v>21155155.399879899</v>
      </c>
      <c r="I881" s="31">
        <v>-14773844.600120099</v>
      </c>
      <c r="J881" s="32">
        <v>2.5199999809265101</v>
      </c>
      <c r="K881" s="33">
        <v>45700</v>
      </c>
      <c r="L881" s="31">
        <v>304200</v>
      </c>
      <c r="M881" s="32">
        <v>-0.6</v>
      </c>
      <c r="N881" s="31" t="s">
        <v>35</v>
      </c>
      <c r="O881" s="33">
        <v>45699</v>
      </c>
      <c r="P881" s="34">
        <v>68154.703125</v>
      </c>
      <c r="Q881" s="34">
        <v>42467.11328125</v>
      </c>
      <c r="R881" s="34">
        <v>26972.4921875</v>
      </c>
      <c r="S881" s="29"/>
      <c r="T881" s="33"/>
      <c r="U881" s="35" t="b">
        <v>0</v>
      </c>
      <c r="V881" s="35" t="b">
        <v>0</v>
      </c>
      <c r="W881" s="35" t="b">
        <v>1</v>
      </c>
      <c r="Y881" s="31" cm="1">
        <f t="array" ref="Y881">IF(LEFT(_xll.BDP($C881, VOLUME_AVG_10D), 4) = "#N/A", "",  _xll.BDP($C881, VOLUME_AVG_10D))</f>
        <v>23756.099609375</v>
      </c>
      <c r="Z881" s="31" cm="1">
        <f t="array" ref="Z881">IF(LEFT(_xll.BDP($C881, VOLUME_AVG_30D), 4) = "#N/A", "",  _xll.BDP($C881, VOLUME_AVG_30D))</f>
        <v>68154.703125</v>
      </c>
      <c r="AA881" s="31" cm="1">
        <f t="array" ref="AA881">IF(LEFT(_xll.BDP($C881, VOLUME_AVG_3M), 4) = "#N/A", "",  _xll.BDP($C881, VOLUME_AVG_3M))</f>
        <v>42467.11328125</v>
      </c>
      <c r="AB881" s="31" cm="1">
        <f t="array" ref="AB881">IF(LEFT(_xll.BDP($C881, VOLUME_AVG_6M), 4) = "#N/A", "",  _xll.BDP($C881, VOLUME_AVG_6M))</f>
        <v>26972.4921875</v>
      </c>
      <c r="AC881" s="31" cm="1">
        <f t="array" ref="AC881">IF(LEFT(_xll.BDP($C881, VOLUME_AVG_12M), 4) = "#N/A", "",  _xll.BDP($C881, VOLUME_AVG_12M))</f>
        <v>21136.95703125</v>
      </c>
      <c r="AD881" s="41" cm="1">
        <f t="array" ref="AD881">IF(LEFT(_xll.BDP($C881, LAST_PRICE), 4) = "#N/A", "",  _xll.BDP($C881, LAST_PRICE))</f>
        <v>2.52</v>
      </c>
    </row>
    <row r="882" spans="1:30" x14ac:dyDescent="0.35">
      <c r="A882" s="1">
        <f t="shared" si="13"/>
        <v>879</v>
      </c>
      <c r="B882" s="28">
        <v>45700</v>
      </c>
      <c r="C882" s="29" t="s">
        <v>1816</v>
      </c>
      <c r="D882" s="29" t="s">
        <v>1816</v>
      </c>
      <c r="E882" s="29" t="s">
        <v>1817</v>
      </c>
      <c r="F882" s="29" t="s">
        <v>33</v>
      </c>
      <c r="G882" s="30" t="s">
        <v>34</v>
      </c>
      <c r="H882" s="31">
        <v>2587434870.6065001</v>
      </c>
      <c r="I882" s="31">
        <v>2920861870.6065001</v>
      </c>
      <c r="J882" s="32">
        <v>47.650001525878899</v>
      </c>
      <c r="K882" s="33">
        <v>45700</v>
      </c>
      <c r="L882" s="31"/>
      <c r="M882" s="32"/>
      <c r="N882" s="31"/>
      <c r="O882" s="33">
        <v>45699</v>
      </c>
      <c r="P882" s="34">
        <v>445165.125</v>
      </c>
      <c r="Q882" s="34">
        <v>485191.5625</v>
      </c>
      <c r="R882" s="34">
        <v>486976.5625</v>
      </c>
      <c r="S882" s="29"/>
      <c r="T882" s="33"/>
      <c r="U882" s="35" t="b">
        <v>0</v>
      </c>
      <c r="V882" s="35" t="b">
        <v>0</v>
      </c>
      <c r="W882" s="35" t="b">
        <v>0</v>
      </c>
      <c r="Y882" s="31" cm="1">
        <f t="array" ref="Y882">IF(LEFT(_xll.BDP($C882, VOLUME_AVG_10D), 4) = "#N/A", "",  _xll.BDP($C882, VOLUME_AVG_10D))</f>
        <v>393132.90625</v>
      </c>
      <c r="Z882" s="31" cm="1">
        <f t="array" ref="Z882">IF(LEFT(_xll.BDP($C882, VOLUME_AVG_30D), 4) = "#N/A", "",  _xll.BDP($C882, VOLUME_AVG_30D))</f>
        <v>445165.125</v>
      </c>
      <c r="AA882" s="31" cm="1">
        <f t="array" ref="AA882">IF(LEFT(_xll.BDP($C882, VOLUME_AVG_3M), 4) = "#N/A", "",  _xll.BDP($C882, VOLUME_AVG_3M))</f>
        <v>485191.5625</v>
      </c>
      <c r="AB882" s="31" cm="1">
        <f t="array" ref="AB882">IF(LEFT(_xll.BDP($C882, VOLUME_AVG_6M), 4) = "#N/A", "",  _xll.BDP($C882, VOLUME_AVG_6M))</f>
        <v>486976.5625</v>
      </c>
      <c r="AC882" s="31" cm="1">
        <f t="array" ref="AC882">IF(LEFT(_xll.BDP($C882, VOLUME_AVG_12M), 4) = "#N/A", "",  _xll.BDP($C882, VOLUME_AVG_12M))</f>
        <v>613071.5</v>
      </c>
      <c r="AD882" s="41" cm="1">
        <f t="array" ref="AD882">IF(LEFT(_xll.BDP($C882, LAST_PRICE), 4) = "#N/A", "",  _xll.BDP($C882, LAST_PRICE))</f>
        <v>47.65</v>
      </c>
    </row>
    <row r="883" spans="1:30" x14ac:dyDescent="0.35">
      <c r="A883" s="1">
        <f t="shared" si="13"/>
        <v>880</v>
      </c>
      <c r="B883" s="28">
        <v>45700</v>
      </c>
      <c r="C883" s="29" t="s">
        <v>1818</v>
      </c>
      <c r="D883" s="29" t="s">
        <v>1818</v>
      </c>
      <c r="E883" s="29" t="s">
        <v>1819</v>
      </c>
      <c r="F883" s="29" t="s">
        <v>33</v>
      </c>
      <c r="G883" s="30" t="s">
        <v>34</v>
      </c>
      <c r="H883" s="31">
        <v>4562925.92798662</v>
      </c>
      <c r="I883" s="31">
        <v>2998215.92798662</v>
      </c>
      <c r="J883" s="32">
        <v>1.70000004768372</v>
      </c>
      <c r="K883" s="33">
        <v>45700</v>
      </c>
      <c r="L883" s="31">
        <v>15700</v>
      </c>
      <c r="M883" s="32">
        <v>-123.05</v>
      </c>
      <c r="N883" s="31" t="s">
        <v>35</v>
      </c>
      <c r="O883" s="33">
        <v>45699</v>
      </c>
      <c r="P883" s="34">
        <v>96956.0703125</v>
      </c>
      <c r="Q883" s="34">
        <v>61071.32421875</v>
      </c>
      <c r="R883" s="34">
        <v>338349</v>
      </c>
      <c r="S883" s="29"/>
      <c r="T883" s="33"/>
      <c r="U883" s="35" t="b">
        <v>1</v>
      </c>
      <c r="V883" s="35" t="b">
        <v>0</v>
      </c>
      <c r="W883" s="35" t="b">
        <v>0</v>
      </c>
      <c r="Y883" s="31" cm="1">
        <f t="array" ref="Y883">IF(LEFT(_xll.BDP($C883, VOLUME_AVG_10D), 4) = "#N/A", "",  _xll.BDP($C883, VOLUME_AVG_10D))</f>
        <v>258523.703125</v>
      </c>
      <c r="Z883" s="31" cm="1">
        <f t="array" ref="Z883">IF(LEFT(_xll.BDP($C883, VOLUME_AVG_30D), 4) = "#N/A", "",  _xll.BDP($C883, VOLUME_AVG_30D))</f>
        <v>96956.0703125</v>
      </c>
      <c r="AA883" s="31" cm="1">
        <f t="array" ref="AA883">IF(LEFT(_xll.BDP($C883, VOLUME_AVG_3M), 4) = "#N/A", "",  _xll.BDP($C883, VOLUME_AVG_3M))</f>
        <v>61071.32421875</v>
      </c>
      <c r="AB883" s="31" cm="1">
        <f t="array" ref="AB883">IF(LEFT(_xll.BDP($C883, VOLUME_AVG_6M), 4) = "#N/A", "",  _xll.BDP($C883, VOLUME_AVG_6M))</f>
        <v>338349</v>
      </c>
      <c r="AC883" s="31" cm="1">
        <f t="array" ref="AC883">IF(LEFT(_xll.BDP($C883, VOLUME_AVG_12M), 4) = "#N/A", "",  _xll.BDP($C883, VOLUME_AVG_12M))</f>
        <v>319525.75</v>
      </c>
      <c r="AD883" s="41" cm="1">
        <f t="array" ref="AD883">IF(LEFT(_xll.BDP($C883, LAST_PRICE), 4) = "#N/A", "",  _xll.BDP($C883, LAST_PRICE))</f>
        <v>1.7</v>
      </c>
    </row>
    <row r="884" spans="1:30" x14ac:dyDescent="0.35">
      <c r="A884" s="1">
        <f t="shared" si="13"/>
        <v>881</v>
      </c>
      <c r="B884" s="28">
        <v>45700</v>
      </c>
      <c r="C884" s="29" t="s">
        <v>1820</v>
      </c>
      <c r="D884" s="29" t="s">
        <v>1820</v>
      </c>
      <c r="E884" s="29" t="s">
        <v>1821</v>
      </c>
      <c r="F884" s="29" t="s">
        <v>33</v>
      </c>
      <c r="G884" s="30" t="s">
        <v>34</v>
      </c>
      <c r="H884" s="31">
        <v>1936264.12416327</v>
      </c>
      <c r="I884" s="31">
        <v>-2215437.87583673</v>
      </c>
      <c r="J884" s="32">
        <v>0.70499998331069902</v>
      </c>
      <c r="K884" s="33">
        <v>45700</v>
      </c>
      <c r="L884" s="31">
        <v>170100</v>
      </c>
      <c r="M884" s="32">
        <v>-71.599999999999994</v>
      </c>
      <c r="N884" s="31" t="s">
        <v>35</v>
      </c>
      <c r="O884" s="33">
        <v>45699</v>
      </c>
      <c r="P884" s="34">
        <v>225584.859375</v>
      </c>
      <c r="Q884" s="34">
        <v>711014.9375</v>
      </c>
      <c r="R884" s="34">
        <v>714154.1875</v>
      </c>
      <c r="S884" s="29"/>
      <c r="T884" s="33"/>
      <c r="U884" s="35" t="b">
        <v>1</v>
      </c>
      <c r="V884" s="35" t="b">
        <v>0</v>
      </c>
      <c r="W884" s="35" t="b">
        <v>1</v>
      </c>
      <c r="Y884" s="31" cm="1">
        <f t="array" ref="Y884">IF(LEFT(_xll.BDP($C884, VOLUME_AVG_10D), 4) = "#N/A", "",  _xll.BDP($C884, VOLUME_AVG_10D))</f>
        <v>170461.296875</v>
      </c>
      <c r="Z884" s="31" cm="1">
        <f t="array" ref="Z884">IF(LEFT(_xll.BDP($C884, VOLUME_AVG_30D), 4) = "#N/A", "",  _xll.BDP($C884, VOLUME_AVG_30D))</f>
        <v>225584.859375</v>
      </c>
      <c r="AA884" s="31" cm="1">
        <f t="array" ref="AA884">IF(LEFT(_xll.BDP($C884, VOLUME_AVG_3M), 4) = "#N/A", "",  _xll.BDP($C884, VOLUME_AVG_3M))</f>
        <v>711014.9375</v>
      </c>
      <c r="AB884" s="31" cm="1">
        <f t="array" ref="AB884">IF(LEFT(_xll.BDP($C884, VOLUME_AVG_6M), 4) = "#N/A", "",  _xll.BDP($C884, VOLUME_AVG_6M))</f>
        <v>714154.1875</v>
      </c>
      <c r="AC884" s="31" cm="1">
        <f t="array" ref="AC884">IF(LEFT(_xll.BDP($C884, VOLUME_AVG_12M), 4) = "#N/A", "",  _xll.BDP($C884, VOLUME_AVG_12M))</f>
        <v>361335.21875</v>
      </c>
      <c r="AD884" s="41" cm="1">
        <f t="array" ref="AD884">IF(LEFT(_xll.BDP($C884, LAST_PRICE), 4) = "#N/A", "",  _xll.BDP($C884, LAST_PRICE))</f>
        <v>0.70499999999999996</v>
      </c>
    </row>
    <row r="885" spans="1:30" x14ac:dyDescent="0.35">
      <c r="A885" s="1">
        <f t="shared" si="13"/>
        <v>882</v>
      </c>
      <c r="B885" s="28">
        <v>45700</v>
      </c>
      <c r="C885" s="29" t="s">
        <v>1822</v>
      </c>
      <c r="D885" s="29" t="s">
        <v>1822</v>
      </c>
      <c r="E885" s="29" t="s">
        <v>1823</v>
      </c>
      <c r="F885" s="29" t="s">
        <v>33</v>
      </c>
      <c r="G885" s="30" t="s">
        <v>34</v>
      </c>
      <c r="H885" s="31">
        <v>149121893.19662499</v>
      </c>
      <c r="I885" s="31"/>
      <c r="J885" s="32">
        <v>4.9699001312255904</v>
      </c>
      <c r="K885" s="33">
        <v>45700</v>
      </c>
      <c r="L885" s="31"/>
      <c r="M885" s="32"/>
      <c r="N885" s="31"/>
      <c r="O885" s="33">
        <v>45699</v>
      </c>
      <c r="P885" s="34">
        <v>156.66667175293</v>
      </c>
      <c r="Q885" s="34">
        <v>158.01612854003901</v>
      </c>
      <c r="R885" s="34">
        <v>168.317459106445</v>
      </c>
      <c r="S885" s="29"/>
      <c r="T885" s="33"/>
      <c r="U885" s="35" t="b">
        <v>0</v>
      </c>
      <c r="V885" s="35" t="b">
        <v>0</v>
      </c>
      <c r="W885" s="35" t="b">
        <v>1</v>
      </c>
      <c r="Y885" s="31" cm="1">
        <f t="array" ref="Y885">IF(LEFT(_xll.BDP($C885, VOLUME_AVG_10D), 4) = "#N/A", "",  _xll.BDP($C885, VOLUME_AVG_10D))</f>
        <v>145.30000305175781</v>
      </c>
      <c r="Z885" s="31" cm="1">
        <f t="array" ref="Z885">IF(LEFT(_xll.BDP($C885, VOLUME_AVG_30D), 4) = "#N/A", "",  _xll.BDP($C885, VOLUME_AVG_30D))</f>
        <v>156.66667175292969</v>
      </c>
      <c r="AA885" s="31" cm="1">
        <f t="array" ref="AA885">IF(LEFT(_xll.BDP($C885, VOLUME_AVG_3M), 4) = "#N/A", "",  _xll.BDP($C885, VOLUME_AVG_3M))</f>
        <v>158.01612854003906</v>
      </c>
      <c r="AB885" s="31" cm="1">
        <f t="array" ref="AB885">IF(LEFT(_xll.BDP($C885, VOLUME_AVG_6M), 4) = "#N/A", "",  _xll.BDP($C885, VOLUME_AVG_6M))</f>
        <v>168.31745910644531</v>
      </c>
      <c r="AC885" s="31" cm="1">
        <f t="array" ref="AC885">IF(LEFT(_xll.BDP($C885, VOLUME_AVG_12M), 4) = "#N/A", "",  _xll.BDP($C885, VOLUME_AVG_12M))</f>
        <v>224.65338134765625</v>
      </c>
      <c r="AD885" s="41" cm="1">
        <f t="array" ref="AD885">IF(LEFT(_xll.BDP($C885, LAST_PRICE), 4) = "#N/A", "",  _xll.BDP($C885, LAST_PRICE))</f>
        <v>4.9699</v>
      </c>
    </row>
    <row r="886" spans="1:30" x14ac:dyDescent="0.35">
      <c r="A886" s="1">
        <f t="shared" si="13"/>
        <v>883</v>
      </c>
      <c r="B886" s="28">
        <v>45700</v>
      </c>
      <c r="C886" s="29" t="s">
        <v>1824</v>
      </c>
      <c r="D886" s="29" t="s">
        <v>1824</v>
      </c>
      <c r="E886" s="29" t="s">
        <v>1825</v>
      </c>
      <c r="F886" s="29" t="s">
        <v>33</v>
      </c>
      <c r="G886" s="30" t="s">
        <v>34</v>
      </c>
      <c r="H886" s="31">
        <v>23293737.5282198</v>
      </c>
      <c r="I886" s="31">
        <v>2114737.52821982</v>
      </c>
      <c r="J886" s="32">
        <v>1.5700000524520901</v>
      </c>
      <c r="K886" s="33">
        <v>45700</v>
      </c>
      <c r="L886" s="31">
        <v>350000</v>
      </c>
      <c r="M886" s="32">
        <v>-11.35</v>
      </c>
      <c r="N886" s="31" t="s">
        <v>35</v>
      </c>
      <c r="O886" s="33">
        <v>45699</v>
      </c>
      <c r="P886" s="34">
        <v>227982.0625</v>
      </c>
      <c r="Q886" s="34">
        <v>306615.15625</v>
      </c>
      <c r="R886" s="34">
        <v>465111.875</v>
      </c>
      <c r="S886" s="29"/>
      <c r="T886" s="33"/>
      <c r="U886" s="35" t="b">
        <v>0</v>
      </c>
      <c r="V886" s="35" t="b">
        <v>0</v>
      </c>
      <c r="W886" s="35" t="b">
        <v>0</v>
      </c>
      <c r="Y886" s="31" cm="1">
        <f t="array" ref="Y886">IF(LEFT(_xll.BDP($C886, VOLUME_AVG_10D), 4) = "#N/A", "",  _xll.BDP($C886, VOLUME_AVG_10D))</f>
        <v>144716.796875</v>
      </c>
      <c r="Z886" s="31" cm="1">
        <f t="array" ref="Z886">IF(LEFT(_xll.BDP($C886, VOLUME_AVG_30D), 4) = "#N/A", "",  _xll.BDP($C886, VOLUME_AVG_30D))</f>
        <v>227982.0625</v>
      </c>
      <c r="AA886" s="31" cm="1">
        <f t="array" ref="AA886">IF(LEFT(_xll.BDP($C886, VOLUME_AVG_3M), 4) = "#N/A", "",  _xll.BDP($C886, VOLUME_AVG_3M))</f>
        <v>306615.15625</v>
      </c>
      <c r="AB886" s="31" cm="1">
        <f t="array" ref="AB886">IF(LEFT(_xll.BDP($C886, VOLUME_AVG_6M), 4) = "#N/A", "",  _xll.BDP($C886, VOLUME_AVG_6M))</f>
        <v>465111.875</v>
      </c>
      <c r="AC886" s="31" cm="1">
        <f t="array" ref="AC886">IF(LEFT(_xll.BDP($C886, VOLUME_AVG_12M), 4) = "#N/A", "",  _xll.BDP($C886, VOLUME_AVG_12M))</f>
        <v>3443843</v>
      </c>
      <c r="AD886" s="41" cm="1">
        <f t="array" ref="AD886">IF(LEFT(_xll.BDP($C886, LAST_PRICE), 4) = "#N/A", "",  _xll.BDP($C886, LAST_PRICE))</f>
        <v>1.57</v>
      </c>
    </row>
    <row r="887" spans="1:30" x14ac:dyDescent="0.35">
      <c r="A887" s="1">
        <f t="shared" si="13"/>
        <v>884</v>
      </c>
      <c r="B887" s="28">
        <v>45700</v>
      </c>
      <c r="C887" s="29" t="s">
        <v>1826</v>
      </c>
      <c r="D887" s="29" t="s">
        <v>1826</v>
      </c>
      <c r="E887" s="29" t="s">
        <v>1827</v>
      </c>
      <c r="F887" s="29" t="s">
        <v>33</v>
      </c>
      <c r="G887" s="30" t="s">
        <v>34</v>
      </c>
      <c r="H887" s="31"/>
      <c r="I887" s="31"/>
      <c r="J887" s="32"/>
      <c r="K887" s="33">
        <v>45700</v>
      </c>
      <c r="L887" s="31"/>
      <c r="M887" s="32"/>
      <c r="N887" s="31"/>
      <c r="O887" s="33">
        <v>45699</v>
      </c>
      <c r="P887" s="34">
        <v>128.33332824707</v>
      </c>
      <c r="Q887" s="34">
        <v>62.096775054931598</v>
      </c>
      <c r="R887" s="34">
        <v>37.698413848877003</v>
      </c>
      <c r="S887" s="29"/>
      <c r="T887" s="33"/>
      <c r="U887" s="35" t="b">
        <v>1</v>
      </c>
      <c r="V887" s="35" t="b">
        <v>1</v>
      </c>
      <c r="W887" s="35" t="b">
        <v>1</v>
      </c>
      <c r="Y887" s="31" cm="1">
        <f t="array" ref="Y887">IF(LEFT(_xll.BDP($C887, VOLUME_AVG_10D), 4) = "#N/A", "",  _xll.BDP($C887, VOLUME_AVG_10D))</f>
        <v>0</v>
      </c>
      <c r="Z887" s="31" cm="1">
        <f t="array" ref="Z887">IF(LEFT(_xll.BDP($C887, VOLUME_AVG_30D), 4) = "#N/A", "",  _xll.BDP($C887, VOLUME_AVG_30D))</f>
        <v>128.33332824707031</v>
      </c>
      <c r="AA887" s="31" cm="1">
        <f t="array" ref="AA887">IF(LEFT(_xll.BDP($C887, VOLUME_AVG_3M), 4) = "#N/A", "",  _xll.BDP($C887, VOLUME_AVG_3M))</f>
        <v>62.096775054931641</v>
      </c>
      <c r="AB887" s="31" cm="1">
        <f t="array" ref="AB887">IF(LEFT(_xll.BDP($C887, VOLUME_AVG_6M), 4) = "#N/A", "",  _xll.BDP($C887, VOLUME_AVG_6M))</f>
        <v>37.698413848876953</v>
      </c>
      <c r="AC887" s="31" cm="1">
        <f t="array" ref="AC887">IF(LEFT(_xll.BDP($C887, VOLUME_AVG_12M), 4) = "#N/A", "",  _xll.BDP($C887, VOLUME_AVG_12M))</f>
        <v>78.685256958007813</v>
      </c>
      <c r="AD887" s="41" cm="1">
        <f t="array" ref="AD887">IF(LEFT(_xll.BDP($C887, LAST_PRICE), 4) = "#N/A", "",  _xll.BDP($C887, LAST_PRICE))</f>
        <v>9.9999999999999995E-7</v>
      </c>
    </row>
    <row r="888" spans="1:30" x14ac:dyDescent="0.35">
      <c r="A888" s="1">
        <f t="shared" si="13"/>
        <v>885</v>
      </c>
      <c r="B888" s="28">
        <v>45700</v>
      </c>
      <c r="C888" s="29" t="s">
        <v>1828</v>
      </c>
      <c r="D888" s="29" t="s">
        <v>1828</v>
      </c>
      <c r="E888" s="29" t="s">
        <v>1829</v>
      </c>
      <c r="F888" s="29" t="s">
        <v>33</v>
      </c>
      <c r="G888" s="30" t="s">
        <v>34</v>
      </c>
      <c r="H888" s="31">
        <v>127955.693</v>
      </c>
      <c r="I888" s="31">
        <v>5383445.693</v>
      </c>
      <c r="J888" s="32">
        <v>4.5999999999999999E-3</v>
      </c>
      <c r="K888" s="33">
        <v>45700</v>
      </c>
      <c r="L888" s="31"/>
      <c r="M888" s="32"/>
      <c r="N888" s="31"/>
      <c r="O888" s="33">
        <v>45699</v>
      </c>
      <c r="P888" s="34">
        <v>29013.93359375</v>
      </c>
      <c r="Q888" s="34">
        <v>33416.62890625</v>
      </c>
      <c r="R888" s="34">
        <v>23231.927734375</v>
      </c>
      <c r="S888" s="29"/>
      <c r="T888" s="33"/>
      <c r="U888" s="35" t="b">
        <v>1</v>
      </c>
      <c r="V888" s="35" t="b">
        <v>1</v>
      </c>
      <c r="W888" s="35" t="b">
        <v>0</v>
      </c>
      <c r="Y888" s="31" cm="1">
        <f t="array" ref="Y888">IF(LEFT(_xll.BDP($C888, VOLUME_AVG_10D), 4) = "#N/A", "",  _xll.BDP($C888, VOLUME_AVG_10D))</f>
        <v>31513.900390625</v>
      </c>
      <c r="Z888" s="31" cm="1">
        <f t="array" ref="Z888">IF(LEFT(_xll.BDP($C888, VOLUME_AVG_30D), 4) = "#N/A", "",  _xll.BDP($C888, VOLUME_AVG_30D))</f>
        <v>29013.93359375</v>
      </c>
      <c r="AA888" s="31" cm="1">
        <f t="array" ref="AA888">IF(LEFT(_xll.BDP($C888, VOLUME_AVG_3M), 4) = "#N/A", "",  _xll.BDP($C888, VOLUME_AVG_3M))</f>
        <v>33416.62890625</v>
      </c>
      <c r="AB888" s="31" cm="1">
        <f t="array" ref="AB888">IF(LEFT(_xll.BDP($C888, VOLUME_AVG_6M), 4) = "#N/A", "",  _xll.BDP($C888, VOLUME_AVG_6M))</f>
        <v>23231.927734375</v>
      </c>
      <c r="AC888" s="31" cm="1">
        <f t="array" ref="AC888">IF(LEFT(_xll.BDP($C888, VOLUME_AVG_12M), 4) = "#N/A", "",  _xll.BDP($C888, VOLUME_AVG_12M))</f>
        <v>15452.41015625</v>
      </c>
      <c r="AD888" s="41" cm="1">
        <f t="array" ref="AD888">IF(LEFT(_xll.BDP($C888, LAST_PRICE), 4) = "#N/A", "",  _xll.BDP($C888, LAST_PRICE))</f>
        <v>4.5999999999999999E-3</v>
      </c>
    </row>
    <row r="889" spans="1:30" x14ac:dyDescent="0.35">
      <c r="A889" s="1">
        <f t="shared" si="13"/>
        <v>886</v>
      </c>
      <c r="B889" s="28">
        <v>45700</v>
      </c>
      <c r="C889" s="29" t="s">
        <v>1830</v>
      </c>
      <c r="D889" s="29" t="s">
        <v>1830</v>
      </c>
      <c r="E889" s="29" t="s">
        <v>1831</v>
      </c>
      <c r="F889" s="29" t="s">
        <v>40</v>
      </c>
      <c r="G889" s="30" t="s">
        <v>41</v>
      </c>
      <c r="H889" s="31">
        <v>453162.125</v>
      </c>
      <c r="I889" s="31">
        <v>19666740.930274799</v>
      </c>
      <c r="J889" s="32">
        <v>2.5000000000000001E-2</v>
      </c>
      <c r="K889" s="33">
        <v>45700</v>
      </c>
      <c r="L889" s="31"/>
      <c r="M889" s="32"/>
      <c r="N889" s="31"/>
      <c r="O889" s="33">
        <v>45699</v>
      </c>
      <c r="P889" s="34">
        <v>2666.1</v>
      </c>
      <c r="Q889" s="34">
        <v>1749.2339999999999</v>
      </c>
      <c r="R889" s="34">
        <v>2830</v>
      </c>
      <c r="S889" s="29"/>
      <c r="T889" s="33"/>
      <c r="U889" s="35" t="b">
        <v>1</v>
      </c>
      <c r="V889" s="35" t="b">
        <v>1</v>
      </c>
      <c r="W889" s="35" t="b">
        <v>0</v>
      </c>
      <c r="Y889" s="31" cm="1">
        <f t="array" ref="Y889">IF(LEFT(_xll.BDP($C889, VOLUME_AVG_10D), 4) = "#N/A", "",  _xll.BDP($C889, VOLUME_AVG_10D))</f>
        <v>1275.5999999999999</v>
      </c>
      <c r="Z889" s="31" cm="1">
        <f t="array" ref="Z889">IF(LEFT(_xll.BDP($C889, VOLUME_AVG_30D), 4) = "#N/A", "",  _xll.BDP($C889, VOLUME_AVG_30D))</f>
        <v>2666.1</v>
      </c>
      <c r="AA889" s="31" cm="1">
        <f t="array" ref="AA889">IF(LEFT(_xll.BDP($C889, VOLUME_AVG_3M), 4) = "#N/A", "",  _xll.BDP($C889, VOLUME_AVG_3M))</f>
        <v>1749.2339999999999</v>
      </c>
      <c r="AB889" s="31" cm="1">
        <f t="array" ref="AB889">IF(LEFT(_xll.BDP($C889, VOLUME_AVG_6M), 4) = "#N/A", "",  _xll.BDP($C889, VOLUME_AVG_6M))</f>
        <v>2830</v>
      </c>
      <c r="AC889" s="31" cm="1">
        <f t="array" ref="AC889">IF(LEFT(_xll.BDP($C889, VOLUME_AVG_12M), 4) = "#N/A", "",  _xll.BDP($C889, VOLUME_AVG_12M))</f>
        <v>5781.73</v>
      </c>
      <c r="AD889" s="41" cm="1">
        <f t="array" ref="AD889">IF(LEFT(_xll.BDP($C889, LAST_PRICE), 4) = "#N/A", "",  _xll.BDP($C889, LAST_PRICE))</f>
        <v>2.5000000000000001E-2</v>
      </c>
    </row>
    <row r="890" spans="1:30" x14ac:dyDescent="0.35">
      <c r="A890" s="1">
        <f t="shared" si="13"/>
        <v>887</v>
      </c>
      <c r="B890" s="28">
        <v>45700</v>
      </c>
      <c r="C890" s="29" t="s">
        <v>1832</v>
      </c>
      <c r="D890" s="29" t="s">
        <v>1832</v>
      </c>
      <c r="E890" s="29" t="s">
        <v>1833</v>
      </c>
      <c r="F890" s="29" t="s">
        <v>33</v>
      </c>
      <c r="G890" s="30" t="s">
        <v>34</v>
      </c>
      <c r="H890" s="31">
        <v>73808562.521593794</v>
      </c>
      <c r="I890" s="31">
        <v>128304562.521594</v>
      </c>
      <c r="J890" s="32">
        <v>1.33000004291534</v>
      </c>
      <c r="K890" s="33">
        <v>45700</v>
      </c>
      <c r="L890" s="31">
        <v>814700</v>
      </c>
      <c r="M890" s="32">
        <v>3.88</v>
      </c>
      <c r="N890" s="31" t="s">
        <v>35</v>
      </c>
      <c r="O890" s="33">
        <v>45699</v>
      </c>
      <c r="P890" s="34">
        <v>407730.84375</v>
      </c>
      <c r="Q890" s="34">
        <v>510067.03125</v>
      </c>
      <c r="R890" s="34">
        <v>373702.09375</v>
      </c>
      <c r="S890" s="29"/>
      <c r="T890" s="33"/>
      <c r="U890" s="35" t="b">
        <v>0</v>
      </c>
      <c r="V890" s="35" t="b">
        <v>0</v>
      </c>
      <c r="W890" s="35" t="b">
        <v>0</v>
      </c>
      <c r="Y890" s="31" cm="1">
        <f t="array" ref="Y890">IF(LEFT(_xll.BDP($C890, VOLUME_AVG_10D), 4) = "#N/A", "",  _xll.BDP($C890, VOLUME_AVG_10D))</f>
        <v>746736.3125</v>
      </c>
      <c r="Z890" s="31" cm="1">
        <f t="array" ref="Z890">IF(LEFT(_xll.BDP($C890, VOLUME_AVG_30D), 4) = "#N/A", "",  _xll.BDP($C890, VOLUME_AVG_30D))</f>
        <v>407730.84375</v>
      </c>
      <c r="AA890" s="31" cm="1">
        <f t="array" ref="AA890">IF(LEFT(_xll.BDP($C890, VOLUME_AVG_3M), 4) = "#N/A", "",  _xll.BDP($C890, VOLUME_AVG_3M))</f>
        <v>510067.03125</v>
      </c>
      <c r="AB890" s="31" cm="1">
        <f t="array" ref="AB890">IF(LEFT(_xll.BDP($C890, VOLUME_AVG_6M), 4) = "#N/A", "",  _xll.BDP($C890, VOLUME_AVG_6M))</f>
        <v>373702.09375</v>
      </c>
      <c r="AC890" s="31" cm="1">
        <f t="array" ref="AC890">IF(LEFT(_xll.BDP($C890, VOLUME_AVG_12M), 4) = "#N/A", "",  _xll.BDP($C890, VOLUME_AVG_12M))</f>
        <v>278556.65625</v>
      </c>
      <c r="AD890" s="41" cm="1">
        <f t="array" ref="AD890">IF(LEFT(_xll.BDP($C890, LAST_PRICE), 4) = "#N/A", "",  _xll.BDP($C890, LAST_PRICE))</f>
        <v>1.33</v>
      </c>
    </row>
    <row r="891" spans="1:30" x14ac:dyDescent="0.35">
      <c r="A891" s="1">
        <f t="shared" si="13"/>
        <v>888</v>
      </c>
      <c r="B891" s="28">
        <v>45700</v>
      </c>
      <c r="C891" s="29" t="s">
        <v>1834</v>
      </c>
      <c r="D891" s="29" t="s">
        <v>1834</v>
      </c>
      <c r="E891" s="29" t="s">
        <v>1835</v>
      </c>
      <c r="F891" s="29" t="s">
        <v>33</v>
      </c>
      <c r="G891" s="30" t="s">
        <v>34</v>
      </c>
      <c r="H891" s="31">
        <v>25090320.1432801</v>
      </c>
      <c r="I891" s="31"/>
      <c r="J891" s="32">
        <v>0.156900003552437</v>
      </c>
      <c r="K891" s="33">
        <v>45700</v>
      </c>
      <c r="L891" s="31">
        <v>44600</v>
      </c>
      <c r="M891" s="32">
        <v>3.3</v>
      </c>
      <c r="N891" s="31" t="s">
        <v>35</v>
      </c>
      <c r="O891" s="33">
        <v>45699</v>
      </c>
      <c r="P891" s="34">
        <v>4500.39990234375</v>
      </c>
      <c r="Q891" s="34">
        <v>6309.7744140625</v>
      </c>
      <c r="R891" s="34">
        <v>14867.4599609375</v>
      </c>
      <c r="S891" s="29"/>
      <c r="T891" s="33"/>
      <c r="U891" s="35" t="b">
        <v>0</v>
      </c>
      <c r="V891" s="35" t="b">
        <v>0</v>
      </c>
      <c r="W891" s="35" t="b">
        <v>1</v>
      </c>
      <c r="Y891" s="31" cm="1">
        <f t="array" ref="Y891">IF(LEFT(_xll.BDP($C891, VOLUME_AVG_10D), 4) = "#N/A", "",  _xll.BDP($C891, VOLUME_AVG_10D))</f>
        <v>4914.5</v>
      </c>
      <c r="Z891" s="31" cm="1">
        <f t="array" ref="Z891">IF(LEFT(_xll.BDP($C891, VOLUME_AVG_30D), 4) = "#N/A", "",  _xll.BDP($C891, VOLUME_AVG_30D))</f>
        <v>4500.39990234375</v>
      </c>
      <c r="AA891" s="31" cm="1">
        <f t="array" ref="AA891">IF(LEFT(_xll.BDP($C891, VOLUME_AVG_3M), 4) = "#N/A", "",  _xll.BDP($C891, VOLUME_AVG_3M))</f>
        <v>6309.7744140625</v>
      </c>
      <c r="AB891" s="31" cm="1">
        <f t="array" ref="AB891">IF(LEFT(_xll.BDP($C891, VOLUME_AVG_6M), 4) = "#N/A", "",  _xll.BDP($C891, VOLUME_AVG_6M))</f>
        <v>14867.4599609375</v>
      </c>
      <c r="AC891" s="31" cm="1">
        <f t="array" ref="AC891">IF(LEFT(_xll.BDP($C891, VOLUME_AVG_12M), 4) = "#N/A", "",  _xll.BDP($C891, VOLUME_AVG_12M))</f>
        <v>11086.892578125</v>
      </c>
      <c r="AD891" s="41" cm="1">
        <f t="array" ref="AD891">IF(LEFT(_xll.BDP($C891, LAST_PRICE), 4) = "#N/A", "",  _xll.BDP($C891, LAST_PRICE))</f>
        <v>0.15690000000000001</v>
      </c>
    </row>
    <row r="892" spans="1:30" x14ac:dyDescent="0.35">
      <c r="A892" s="1">
        <f t="shared" si="13"/>
        <v>889</v>
      </c>
      <c r="B892" s="28">
        <v>45700</v>
      </c>
      <c r="C892" s="29" t="s">
        <v>1836</v>
      </c>
      <c r="D892" s="29" t="s">
        <v>1836</v>
      </c>
      <c r="E892" s="29" t="s">
        <v>1837</v>
      </c>
      <c r="F892" s="29" t="s">
        <v>33</v>
      </c>
      <c r="G892" s="30" t="s">
        <v>34</v>
      </c>
      <c r="H892" s="31">
        <v>156832384.79808301</v>
      </c>
      <c r="I892" s="31">
        <v>-342729615.20191699</v>
      </c>
      <c r="J892" s="32">
        <v>0.53680002689361594</v>
      </c>
      <c r="K892" s="33">
        <v>45700</v>
      </c>
      <c r="L892" s="31">
        <v>14577800</v>
      </c>
      <c r="M892" s="32">
        <v>3.45</v>
      </c>
      <c r="N892" s="31" t="s">
        <v>35</v>
      </c>
      <c r="O892" s="33">
        <v>45699</v>
      </c>
      <c r="P892" s="34">
        <v>995981.5625</v>
      </c>
      <c r="Q892" s="34">
        <v>1218099.5</v>
      </c>
      <c r="R892" s="34">
        <v>1150410</v>
      </c>
      <c r="S892" s="29" t="s">
        <v>46</v>
      </c>
      <c r="T892" s="33">
        <v>45446</v>
      </c>
      <c r="U892" s="35" t="b">
        <v>0</v>
      </c>
      <c r="V892" s="35" t="b">
        <v>0</v>
      </c>
      <c r="W892" s="35" t="b">
        <v>1</v>
      </c>
      <c r="Y892" s="31" cm="1">
        <f t="array" ref="Y892">IF(LEFT(_xll.BDP($C892, VOLUME_AVG_10D), 4) = "#N/A", "",  _xll.BDP($C892, VOLUME_AVG_10D))</f>
        <v>1359990.25</v>
      </c>
      <c r="Z892" s="31" cm="1">
        <f t="array" ref="Z892">IF(LEFT(_xll.BDP($C892, VOLUME_AVG_30D), 4) = "#N/A", "",  _xll.BDP($C892, VOLUME_AVG_30D))</f>
        <v>995981.5625</v>
      </c>
      <c r="AA892" s="31" cm="1">
        <f t="array" ref="AA892">IF(LEFT(_xll.BDP($C892, VOLUME_AVG_3M), 4) = "#N/A", "",  _xll.BDP($C892, VOLUME_AVG_3M))</f>
        <v>1218099.5</v>
      </c>
      <c r="AB892" s="31" cm="1">
        <f t="array" ref="AB892">IF(LEFT(_xll.BDP($C892, VOLUME_AVG_6M), 4) = "#N/A", "",  _xll.BDP($C892, VOLUME_AVG_6M))</f>
        <v>1150410</v>
      </c>
      <c r="AC892" s="31" cm="1">
        <f t="array" ref="AC892">IF(LEFT(_xll.BDP($C892, VOLUME_AVG_12M), 4) = "#N/A", "",  _xll.BDP($C892, VOLUME_AVG_12M))</f>
        <v>1042766.9375</v>
      </c>
      <c r="AD892" s="41" cm="1">
        <f t="array" ref="AD892">IF(LEFT(_xll.BDP($C892, LAST_PRICE), 4) = "#N/A", "",  _xll.BDP($C892, LAST_PRICE))</f>
        <v>0.53680000000000005</v>
      </c>
    </row>
    <row r="893" spans="1:30" x14ac:dyDescent="0.35">
      <c r="A893" s="1">
        <f t="shared" si="13"/>
        <v>890</v>
      </c>
      <c r="B893" s="28">
        <v>45700</v>
      </c>
      <c r="C893" s="29" t="s">
        <v>1838</v>
      </c>
      <c r="D893" s="29" t="s">
        <v>1838</v>
      </c>
      <c r="E893" s="29" t="s">
        <v>1839</v>
      </c>
      <c r="F893" s="29" t="s">
        <v>33</v>
      </c>
      <c r="G893" s="30" t="s">
        <v>34</v>
      </c>
      <c r="H893" s="31">
        <v>12862428.0504885</v>
      </c>
      <c r="I893" s="31">
        <v>-3439571.9495115299</v>
      </c>
      <c r="J893" s="32">
        <v>0.19650000333786</v>
      </c>
      <c r="K893" s="33">
        <v>45700</v>
      </c>
      <c r="L893" s="31">
        <v>3193400</v>
      </c>
      <c r="M893" s="32">
        <v>3.88</v>
      </c>
      <c r="N893" s="31" t="s">
        <v>35</v>
      </c>
      <c r="O893" s="33">
        <v>45699</v>
      </c>
      <c r="P893" s="34">
        <v>1385719.25</v>
      </c>
      <c r="Q893" s="34">
        <v>1820918.625</v>
      </c>
      <c r="R893" s="34">
        <v>1400989.25</v>
      </c>
      <c r="S893" s="29" t="s">
        <v>73</v>
      </c>
      <c r="T893" s="33">
        <v>45446</v>
      </c>
      <c r="U893" s="35" t="b">
        <v>1</v>
      </c>
      <c r="V893" s="35" t="b">
        <v>0</v>
      </c>
      <c r="W893" s="35" t="b">
        <v>1</v>
      </c>
      <c r="Y893" s="31" cm="1">
        <f t="array" ref="Y893">IF(LEFT(_xll.BDP($C893, VOLUME_AVG_10D), 4) = "#N/A", "",  _xll.BDP($C893, VOLUME_AVG_10D))</f>
        <v>920996.1875</v>
      </c>
      <c r="Z893" s="31" cm="1">
        <f t="array" ref="Z893">IF(LEFT(_xll.BDP($C893, VOLUME_AVG_30D), 4) = "#N/A", "",  _xll.BDP($C893, VOLUME_AVG_30D))</f>
        <v>1385719.25</v>
      </c>
      <c r="AA893" s="31" cm="1">
        <f t="array" ref="AA893">IF(LEFT(_xll.BDP($C893, VOLUME_AVG_3M), 4) = "#N/A", "",  _xll.BDP($C893, VOLUME_AVG_3M))</f>
        <v>1820918.625</v>
      </c>
      <c r="AB893" s="31" cm="1">
        <f t="array" ref="AB893">IF(LEFT(_xll.BDP($C893, VOLUME_AVG_6M), 4) = "#N/A", "",  _xll.BDP($C893, VOLUME_AVG_6M))</f>
        <v>1400989.25</v>
      </c>
      <c r="AC893" s="31" cm="1">
        <f t="array" ref="AC893">IF(LEFT(_xll.BDP($C893, VOLUME_AVG_12M), 4) = "#N/A", "",  _xll.BDP($C893, VOLUME_AVG_12M))</f>
        <v>1827841.25</v>
      </c>
      <c r="AD893" s="41" cm="1">
        <f t="array" ref="AD893">IF(LEFT(_xll.BDP($C893, LAST_PRICE), 4) = "#N/A", "",  _xll.BDP($C893, LAST_PRICE))</f>
        <v>0.19650000000000001</v>
      </c>
    </row>
    <row r="894" spans="1:30" x14ac:dyDescent="0.35">
      <c r="A894" s="1">
        <f t="shared" si="13"/>
        <v>891</v>
      </c>
      <c r="B894" s="28">
        <v>45700</v>
      </c>
      <c r="C894" s="29" t="s">
        <v>1840</v>
      </c>
      <c r="D894" s="29" t="s">
        <v>1840</v>
      </c>
      <c r="E894" s="29" t="s">
        <v>1841</v>
      </c>
      <c r="F894" s="29" t="s">
        <v>33</v>
      </c>
      <c r="G894" s="30" t="s">
        <v>34</v>
      </c>
      <c r="H894" s="31">
        <v>3392.6545000000001</v>
      </c>
      <c r="I894" s="31">
        <v>100008958.65449999</v>
      </c>
      <c r="J894" s="32"/>
      <c r="K894" s="33">
        <v>45700</v>
      </c>
      <c r="L894" s="31"/>
      <c r="M894" s="32"/>
      <c r="N894" s="31"/>
      <c r="O894" s="33">
        <v>45699</v>
      </c>
      <c r="P894" s="34">
        <v>40</v>
      </c>
      <c r="Q894" s="34">
        <v>1116.5</v>
      </c>
      <c r="R894" s="34">
        <v>1718.01586914063</v>
      </c>
      <c r="S894" s="29"/>
      <c r="T894" s="33"/>
      <c r="U894" s="35" t="b">
        <v>1</v>
      </c>
      <c r="V894" s="35" t="b">
        <v>1</v>
      </c>
      <c r="W894" s="35" t="b">
        <v>0</v>
      </c>
      <c r="Y894" s="31" cm="1">
        <f t="array" ref="Y894">IF(LEFT(_xll.BDP($C894, VOLUME_AVG_10D), 4) = "#N/A", "",  _xll.BDP($C894, VOLUME_AVG_10D))</f>
        <v>0</v>
      </c>
      <c r="Z894" s="31" cm="1">
        <f t="array" ref="Z894">IF(LEFT(_xll.BDP($C894, VOLUME_AVG_30D), 4) = "#N/A", "",  _xll.BDP($C894, VOLUME_AVG_30D))</f>
        <v>40</v>
      </c>
      <c r="AA894" s="31" cm="1">
        <f t="array" ref="AA894">IF(LEFT(_xll.BDP($C894, VOLUME_AVG_3M), 4) = "#N/A", "",  _xll.BDP($C894, VOLUME_AVG_3M))</f>
        <v>1116.5</v>
      </c>
      <c r="AB894" s="31" cm="1">
        <f t="array" ref="AB894">IF(LEFT(_xll.BDP($C894, VOLUME_AVG_6M), 4) = "#N/A", "",  _xll.BDP($C894, VOLUME_AVG_6M))</f>
        <v>1718.015869140625</v>
      </c>
      <c r="AC894" s="31" cm="1">
        <f t="array" ref="AC894">IF(LEFT(_xll.BDP($C894, VOLUME_AVG_12M), 4) = "#N/A", "",  _xll.BDP($C894, VOLUME_AVG_12M))</f>
        <v>928.8446044921875</v>
      </c>
      <c r="AD894" s="41" t="str" cm="1">
        <f t="array" ref="AD894">IF(LEFT(_xll.BDP($C894, LAST_PRICE), 4) = "#N/A", "",  _xll.BDP($C894, LAST_PRICE))</f>
        <v/>
      </c>
    </row>
    <row r="895" spans="1:30" x14ac:dyDescent="0.35">
      <c r="A895" s="1">
        <f t="shared" si="13"/>
        <v>892</v>
      </c>
      <c r="B895" s="28">
        <v>45700</v>
      </c>
      <c r="C895" s="29" t="s">
        <v>1842</v>
      </c>
      <c r="D895" s="29" t="s">
        <v>1842</v>
      </c>
      <c r="E895" s="29" t="s">
        <v>1843</v>
      </c>
      <c r="F895" s="29" t="s">
        <v>33</v>
      </c>
      <c r="G895" s="30" t="s">
        <v>34</v>
      </c>
      <c r="H895" s="31"/>
      <c r="I895" s="31"/>
      <c r="J895" s="32"/>
      <c r="K895" s="33">
        <v>45700</v>
      </c>
      <c r="L895" s="31"/>
      <c r="M895" s="32"/>
      <c r="N895" s="31"/>
      <c r="O895" s="33">
        <v>45699</v>
      </c>
      <c r="P895" s="34"/>
      <c r="Q895" s="34">
        <v>16.129032135009801</v>
      </c>
      <c r="R895" s="34">
        <v>56.349205017089801</v>
      </c>
      <c r="S895" s="29"/>
      <c r="T895" s="33"/>
      <c r="U895" s="35" t="b">
        <v>1</v>
      </c>
      <c r="V895" s="35" t="b">
        <v>1</v>
      </c>
      <c r="W895" s="35" t="b">
        <v>1</v>
      </c>
      <c r="Y895" s="31" cm="1">
        <f t="array" ref="Y895">IF(LEFT(_xll.BDP($C895, VOLUME_AVG_10D), 4) = "#N/A", "",  _xll.BDP($C895, VOLUME_AVG_10D))</f>
        <v>0</v>
      </c>
      <c r="Z895" s="31" cm="1">
        <f t="array" ref="Z895">IF(LEFT(_xll.BDP($C895, VOLUME_AVG_30D), 4) = "#N/A", "",  _xll.BDP($C895, VOLUME_AVG_30D))</f>
        <v>0</v>
      </c>
      <c r="AA895" s="31" cm="1">
        <f t="array" ref="AA895">IF(LEFT(_xll.BDP($C895, VOLUME_AVG_3M), 4) = "#N/A", "",  _xll.BDP($C895, VOLUME_AVG_3M))</f>
        <v>16.129032135009766</v>
      </c>
      <c r="AB895" s="31" cm="1">
        <f t="array" ref="AB895">IF(LEFT(_xll.BDP($C895, VOLUME_AVG_6M), 4) = "#N/A", "",  _xll.BDP($C895, VOLUME_AVG_6M))</f>
        <v>56.349205017089844</v>
      </c>
      <c r="AC895" s="31" cm="1">
        <f t="array" ref="AC895">IF(LEFT(_xll.BDP($C895, VOLUME_AVG_12M), 4) = "#N/A", "",  _xll.BDP($C895, VOLUME_AVG_12M))</f>
        <v>445.97210693359375</v>
      </c>
      <c r="AD895" s="41" t="str" cm="1">
        <f t="array" ref="AD895">IF(LEFT(_xll.BDP($C895, LAST_PRICE), 4) = "#N/A", "",  _xll.BDP($C895, LAST_PRICE))</f>
        <v/>
      </c>
    </row>
    <row r="896" spans="1:30" x14ac:dyDescent="0.35">
      <c r="A896" s="1">
        <f t="shared" si="13"/>
        <v>893</v>
      </c>
      <c r="B896" s="28">
        <v>45700</v>
      </c>
      <c r="C896" s="29" t="s">
        <v>1844</v>
      </c>
      <c r="D896" s="29" t="s">
        <v>1844</v>
      </c>
      <c r="E896" s="29" t="s">
        <v>1845</v>
      </c>
      <c r="F896" s="29" t="s">
        <v>33</v>
      </c>
      <c r="G896" s="30" t="s">
        <v>34</v>
      </c>
      <c r="H896" s="31">
        <v>150632281.18558899</v>
      </c>
      <c r="I896" s="31">
        <v>-15630718.814411201</v>
      </c>
      <c r="J896" s="32">
        <v>2.4000000953674299</v>
      </c>
      <c r="K896" s="33">
        <v>45700</v>
      </c>
      <c r="L896" s="31">
        <v>12315200</v>
      </c>
      <c r="M896" s="32">
        <v>3.88</v>
      </c>
      <c r="N896" s="31" t="s">
        <v>35</v>
      </c>
      <c r="O896" s="33">
        <v>45699</v>
      </c>
      <c r="P896" s="34">
        <v>662040.8125</v>
      </c>
      <c r="Q896" s="34">
        <v>581390.625</v>
      </c>
      <c r="R896" s="34">
        <v>631015.5625</v>
      </c>
      <c r="S896" s="29" t="s">
        <v>46</v>
      </c>
      <c r="T896" s="33">
        <v>45446</v>
      </c>
      <c r="U896" s="35" t="b">
        <v>0</v>
      </c>
      <c r="V896" s="35" t="b">
        <v>0</v>
      </c>
      <c r="W896" s="35" t="b">
        <v>1</v>
      </c>
      <c r="Y896" s="31" cm="1">
        <f t="array" ref="Y896">IF(LEFT(_xll.BDP($C896, VOLUME_AVG_10D), 4) = "#N/A", "",  _xll.BDP($C896, VOLUME_AVG_10D))</f>
        <v>908590.625</v>
      </c>
      <c r="Z896" s="31" cm="1">
        <f t="array" ref="Z896">IF(LEFT(_xll.BDP($C896, VOLUME_AVG_30D), 4) = "#N/A", "",  _xll.BDP($C896, VOLUME_AVG_30D))</f>
        <v>662040.8125</v>
      </c>
      <c r="AA896" s="31" cm="1">
        <f t="array" ref="AA896">IF(LEFT(_xll.BDP($C896, VOLUME_AVG_3M), 4) = "#N/A", "",  _xll.BDP($C896, VOLUME_AVG_3M))</f>
        <v>581390.625</v>
      </c>
      <c r="AB896" s="31" cm="1">
        <f t="array" ref="AB896">IF(LEFT(_xll.BDP($C896, VOLUME_AVG_6M), 4) = "#N/A", "",  _xll.BDP($C896, VOLUME_AVG_6M))</f>
        <v>631015.5625</v>
      </c>
      <c r="AC896" s="31" cm="1">
        <f t="array" ref="AC896">IF(LEFT(_xll.BDP($C896, VOLUME_AVG_12M), 4) = "#N/A", "",  _xll.BDP($C896, VOLUME_AVG_12M))</f>
        <v>1291405.5</v>
      </c>
      <c r="AD896" s="41" cm="1">
        <f t="array" ref="AD896">IF(LEFT(_xll.BDP($C896, LAST_PRICE), 4) = "#N/A", "",  _xll.BDP($C896, LAST_PRICE))</f>
        <v>2.4</v>
      </c>
    </row>
    <row r="897" spans="1:30" x14ac:dyDescent="0.35">
      <c r="A897" s="1">
        <f t="shared" si="13"/>
        <v>894</v>
      </c>
      <c r="B897" s="28">
        <v>45700</v>
      </c>
      <c r="C897" s="29" t="s">
        <v>1846</v>
      </c>
      <c r="D897" s="29" t="s">
        <v>1846</v>
      </c>
      <c r="E897" s="29" t="s">
        <v>1847</v>
      </c>
      <c r="F897" s="29" t="s">
        <v>33</v>
      </c>
      <c r="G897" s="30" t="s">
        <v>34</v>
      </c>
      <c r="H897" s="31">
        <v>7419246442.0543499</v>
      </c>
      <c r="I897" s="31">
        <v>6422673442.0543499</v>
      </c>
      <c r="J897" s="32">
        <v>340.17001342773398</v>
      </c>
      <c r="K897" s="33">
        <v>45700</v>
      </c>
      <c r="L897" s="31">
        <v>4541300</v>
      </c>
      <c r="M897" s="32">
        <v>3.88</v>
      </c>
      <c r="N897" s="31" t="s">
        <v>35</v>
      </c>
      <c r="O897" s="33">
        <v>45699</v>
      </c>
      <c r="P897" s="34">
        <v>420398.65625</v>
      </c>
      <c r="Q897" s="34">
        <v>394119.15625</v>
      </c>
      <c r="R897" s="34">
        <v>369534.40625</v>
      </c>
      <c r="S897" s="29" t="s">
        <v>195</v>
      </c>
      <c r="T897" s="33">
        <v>45446</v>
      </c>
      <c r="U897" s="35" t="b">
        <v>0</v>
      </c>
      <c r="V897" s="35" t="b">
        <v>0</v>
      </c>
      <c r="W897" s="35" t="b">
        <v>0</v>
      </c>
      <c r="Y897" s="31" cm="1">
        <f t="array" ref="Y897">IF(LEFT(_xll.BDP($C897, VOLUME_AVG_10D), 4) = "#N/A", "",  _xll.BDP($C897, VOLUME_AVG_10D))</f>
        <v>340044</v>
      </c>
      <c r="Z897" s="31" cm="1">
        <f t="array" ref="Z897">IF(LEFT(_xll.BDP($C897, VOLUME_AVG_30D), 4) = "#N/A", "",  _xll.BDP($C897, VOLUME_AVG_30D))</f>
        <v>420398.65625</v>
      </c>
      <c r="AA897" s="31" cm="1">
        <f t="array" ref="AA897">IF(LEFT(_xll.BDP($C897, VOLUME_AVG_3M), 4) = "#N/A", "",  _xll.BDP($C897, VOLUME_AVG_3M))</f>
        <v>394119.15625</v>
      </c>
      <c r="AB897" s="31" cm="1">
        <f t="array" ref="AB897">IF(LEFT(_xll.BDP($C897, VOLUME_AVG_6M), 4) = "#N/A", "",  _xll.BDP($C897, VOLUME_AVG_6M))</f>
        <v>369534.40625</v>
      </c>
      <c r="AC897" s="31" cm="1">
        <f t="array" ref="AC897">IF(LEFT(_xll.BDP($C897, VOLUME_AVG_12M), 4) = "#N/A", "",  _xll.BDP($C897, VOLUME_AVG_12M))</f>
        <v>427940.75</v>
      </c>
      <c r="AD897" s="41" cm="1">
        <f t="array" ref="AD897">IF(LEFT(_xll.BDP($C897, LAST_PRICE), 4) = "#N/A", "",  _xll.BDP($C897, LAST_PRICE))</f>
        <v>340.17</v>
      </c>
    </row>
    <row r="898" spans="1:30" x14ac:dyDescent="0.35">
      <c r="A898" s="1">
        <f t="shared" si="13"/>
        <v>895</v>
      </c>
      <c r="B898" s="28">
        <v>45700</v>
      </c>
      <c r="C898" s="29" t="s">
        <v>1848</v>
      </c>
      <c r="D898" s="29" t="s">
        <v>1848</v>
      </c>
      <c r="E898" s="29" t="s">
        <v>1849</v>
      </c>
      <c r="F898" s="29" t="s">
        <v>33</v>
      </c>
      <c r="G898" s="30" t="s">
        <v>34</v>
      </c>
      <c r="H898" s="31">
        <v>47370969.150792703</v>
      </c>
      <c r="I898" s="31">
        <v>40220274.150792703</v>
      </c>
      <c r="J898" s="32">
        <v>1.87000000476837</v>
      </c>
      <c r="K898" s="33">
        <v>45700</v>
      </c>
      <c r="L898" s="31">
        <v>864900</v>
      </c>
      <c r="M898" s="32">
        <v>2.8</v>
      </c>
      <c r="N898" s="31" t="s">
        <v>35</v>
      </c>
      <c r="O898" s="33">
        <v>45699</v>
      </c>
      <c r="P898" s="34">
        <v>423730.8125</v>
      </c>
      <c r="Q898" s="34">
        <v>316673.15625</v>
      </c>
      <c r="R898" s="34">
        <v>213678.140625</v>
      </c>
      <c r="S898" s="29"/>
      <c r="T898" s="33"/>
      <c r="U898" s="35" t="b">
        <v>0</v>
      </c>
      <c r="V898" s="35" t="b">
        <v>0</v>
      </c>
      <c r="W898" s="35" t="b">
        <v>0</v>
      </c>
      <c r="Y898" s="31" cm="1">
        <f t="array" ref="Y898">IF(LEFT(_xll.BDP($C898, VOLUME_AVG_10D), 4) = "#N/A", "",  _xll.BDP($C898, VOLUME_AVG_10D))</f>
        <v>615078.1875</v>
      </c>
      <c r="Z898" s="31" cm="1">
        <f t="array" ref="Z898">IF(LEFT(_xll.BDP($C898, VOLUME_AVG_30D), 4) = "#N/A", "",  _xll.BDP($C898, VOLUME_AVG_30D))</f>
        <v>423730.8125</v>
      </c>
      <c r="AA898" s="31" cm="1">
        <f t="array" ref="AA898">IF(LEFT(_xll.BDP($C898, VOLUME_AVG_3M), 4) = "#N/A", "",  _xll.BDP($C898, VOLUME_AVG_3M))</f>
        <v>316673.15625</v>
      </c>
      <c r="AB898" s="31" cm="1">
        <f t="array" ref="AB898">IF(LEFT(_xll.BDP($C898, VOLUME_AVG_6M), 4) = "#N/A", "",  _xll.BDP($C898, VOLUME_AVG_6M))</f>
        <v>213678.140625</v>
      </c>
      <c r="AC898" s="31" cm="1">
        <f t="array" ref="AC898">IF(LEFT(_xll.BDP($C898, VOLUME_AVG_12M), 4) = "#N/A", "",  _xll.BDP($C898, VOLUME_AVG_12M))</f>
        <v>279478.34375</v>
      </c>
      <c r="AD898" s="41" cm="1">
        <f t="array" ref="AD898">IF(LEFT(_xll.BDP($C898, LAST_PRICE), 4) = "#N/A", "",  _xll.BDP($C898, LAST_PRICE))</f>
        <v>1.87</v>
      </c>
    </row>
    <row r="899" spans="1:30" x14ac:dyDescent="0.35">
      <c r="A899" s="1">
        <f t="shared" si="13"/>
        <v>896</v>
      </c>
      <c r="B899" s="28">
        <v>45700</v>
      </c>
      <c r="C899" s="29" t="s">
        <v>1850</v>
      </c>
      <c r="D899" s="29" t="s">
        <v>1850</v>
      </c>
      <c r="E899" s="29" t="s">
        <v>1851</v>
      </c>
      <c r="F899" s="29" t="s">
        <v>33</v>
      </c>
      <c r="G899" s="30" t="s">
        <v>34</v>
      </c>
      <c r="H899" s="31">
        <v>25536663.482969299</v>
      </c>
      <c r="I899" s="31"/>
      <c r="J899" s="32">
        <v>7.5799999237060502</v>
      </c>
      <c r="K899" s="33">
        <v>45700</v>
      </c>
      <c r="L899" s="31"/>
      <c r="M899" s="32"/>
      <c r="N899" s="31"/>
      <c r="O899" s="33">
        <v>45699</v>
      </c>
      <c r="P899" s="34">
        <v>205738.96875</v>
      </c>
      <c r="Q899" s="34">
        <v>193865.15625</v>
      </c>
      <c r="R899" s="34">
        <v>123115.421875</v>
      </c>
      <c r="S899" s="29"/>
      <c r="T899" s="33"/>
      <c r="U899" s="35" t="b">
        <v>0</v>
      </c>
      <c r="V899" s="35" t="b">
        <v>0</v>
      </c>
      <c r="W899" s="35" t="b">
        <v>1</v>
      </c>
      <c r="Y899" s="31" cm="1">
        <f t="array" ref="Y899">IF(LEFT(_xll.BDP($C899, VOLUME_AVG_10D), 4) = "#N/A", "",  _xll.BDP($C899, VOLUME_AVG_10D))</f>
        <v>442393.6875</v>
      </c>
      <c r="Z899" s="31" cm="1">
        <f t="array" ref="Z899">IF(LEFT(_xll.BDP($C899, VOLUME_AVG_30D), 4) = "#N/A", "",  _xll.BDP($C899, VOLUME_AVG_30D))</f>
        <v>205738.96875</v>
      </c>
      <c r="AA899" s="31" cm="1">
        <f t="array" ref="AA899">IF(LEFT(_xll.BDP($C899, VOLUME_AVG_3M), 4) = "#N/A", "",  _xll.BDP($C899, VOLUME_AVG_3M))</f>
        <v>193865.15625</v>
      </c>
      <c r="AB899" s="31" cm="1">
        <f t="array" ref="AB899">IF(LEFT(_xll.BDP($C899, VOLUME_AVG_6M), 4) = "#N/A", "",  _xll.BDP($C899, VOLUME_AVG_6M))</f>
        <v>123115.421875</v>
      </c>
      <c r="AC899" s="31" cm="1">
        <f t="array" ref="AC899">IF(LEFT(_xll.BDP($C899, VOLUME_AVG_12M), 4) = "#N/A", "",  _xll.BDP($C899, VOLUME_AVG_12M))</f>
        <v>67944.109375</v>
      </c>
      <c r="AD899" s="41" cm="1">
        <f t="array" ref="AD899">IF(LEFT(_xll.BDP($C899, LAST_PRICE), 4) = "#N/A", "",  _xll.BDP($C899, LAST_PRICE))</f>
        <v>7.58</v>
      </c>
    </row>
    <row r="900" spans="1:30" x14ac:dyDescent="0.35">
      <c r="A900" s="1">
        <f t="shared" si="13"/>
        <v>897</v>
      </c>
      <c r="B900" s="28">
        <v>45700</v>
      </c>
      <c r="C900" s="29" t="s">
        <v>1852</v>
      </c>
      <c r="D900" s="29" t="s">
        <v>1852</v>
      </c>
      <c r="E900" s="29" t="s">
        <v>1853</v>
      </c>
      <c r="F900" s="29" t="s">
        <v>33</v>
      </c>
      <c r="G900" s="30" t="s">
        <v>34</v>
      </c>
      <c r="H900" s="31">
        <v>55928.104987137202</v>
      </c>
      <c r="I900" s="31">
        <v>77928.104987137194</v>
      </c>
      <c r="J900" s="32">
        <v>9.9999997473787503E-5</v>
      </c>
      <c r="K900" s="33">
        <v>45700</v>
      </c>
      <c r="L900" s="31"/>
      <c r="M900" s="32"/>
      <c r="N900" s="31"/>
      <c r="O900" s="33">
        <v>45699</v>
      </c>
      <c r="P900" s="34">
        <v>753192.8125</v>
      </c>
      <c r="Q900" s="34">
        <v>657681.25</v>
      </c>
      <c r="R900" s="34">
        <v>628999.375</v>
      </c>
      <c r="S900" s="29"/>
      <c r="T900" s="33"/>
      <c r="U900" s="35" t="b">
        <v>1</v>
      </c>
      <c r="V900" s="35" t="b">
        <v>1</v>
      </c>
      <c r="W900" s="35" t="b">
        <v>0</v>
      </c>
      <c r="Y900" s="31" cm="1">
        <f t="array" ref="Y900">IF(LEFT(_xll.BDP($C900, VOLUME_AVG_10D), 4) = "#N/A", "",  _xll.BDP($C900, VOLUME_AVG_10D))</f>
        <v>7535</v>
      </c>
      <c r="Z900" s="31" cm="1">
        <f t="array" ref="Z900">IF(LEFT(_xll.BDP($C900, VOLUME_AVG_30D), 4) = "#N/A", "",  _xll.BDP($C900, VOLUME_AVG_30D))</f>
        <v>753192.8125</v>
      </c>
      <c r="AA900" s="31" cm="1">
        <f t="array" ref="AA900">IF(LEFT(_xll.BDP($C900, VOLUME_AVG_3M), 4) = "#N/A", "",  _xll.BDP($C900, VOLUME_AVG_3M))</f>
        <v>657681.25</v>
      </c>
      <c r="AB900" s="31" cm="1">
        <f t="array" ref="AB900">IF(LEFT(_xll.BDP($C900, VOLUME_AVG_6M), 4) = "#N/A", "",  _xll.BDP($C900, VOLUME_AVG_6M))</f>
        <v>628999.375</v>
      </c>
      <c r="AC900" s="31" cm="1">
        <f t="array" ref="AC900">IF(LEFT(_xll.BDP($C900, VOLUME_AVG_12M), 4) = "#N/A", "",  _xll.BDP($C900, VOLUME_AVG_12M))</f>
        <v>448872.0625</v>
      </c>
      <c r="AD900" s="41" cm="1">
        <f t="array" ref="AD900">IF(LEFT(_xll.BDP($C900, LAST_PRICE), 4) = "#N/A", "",  _xll.BDP($C900, LAST_PRICE))</f>
        <v>1E-4</v>
      </c>
    </row>
    <row r="901" spans="1:30" x14ac:dyDescent="0.35">
      <c r="A901" s="1">
        <f t="shared" si="13"/>
        <v>898</v>
      </c>
      <c r="B901" s="28">
        <v>45700</v>
      </c>
      <c r="C901" s="29" t="s">
        <v>1854</v>
      </c>
      <c r="D901" s="29" t="s">
        <v>1854</v>
      </c>
      <c r="E901" s="29" t="s">
        <v>1855</v>
      </c>
      <c r="F901" s="29" t="s">
        <v>33</v>
      </c>
      <c r="G901" s="30" t="s">
        <v>34</v>
      </c>
      <c r="H901" s="31">
        <v>1544355054.49979</v>
      </c>
      <c r="I901" s="31">
        <v>1535306054.49979</v>
      </c>
      <c r="J901" s="32">
        <v>5.5999999046325701</v>
      </c>
      <c r="K901" s="33">
        <v>45700</v>
      </c>
      <c r="L901" s="31">
        <v>60086100</v>
      </c>
      <c r="M901" s="32">
        <v>3.88</v>
      </c>
      <c r="N901" s="31" t="s">
        <v>35</v>
      </c>
      <c r="O901" s="33">
        <v>45699</v>
      </c>
      <c r="P901" s="34">
        <v>2039355.75</v>
      </c>
      <c r="Q901" s="34">
        <v>2590386.25</v>
      </c>
      <c r="R901" s="34">
        <v>2488610.5</v>
      </c>
      <c r="S901" s="29" t="s">
        <v>285</v>
      </c>
      <c r="T901" s="33">
        <v>45446</v>
      </c>
      <c r="U901" s="35" t="b">
        <v>0</v>
      </c>
      <c r="V901" s="35" t="b">
        <v>0</v>
      </c>
      <c r="W901" s="35" t="b">
        <v>0</v>
      </c>
      <c r="Y901" s="31" cm="1">
        <f t="array" ref="Y901">IF(LEFT(_xll.BDP($C901, VOLUME_AVG_10D), 4) = "#N/A", "",  _xll.BDP($C901, VOLUME_AVG_10D))</f>
        <v>1755376.5</v>
      </c>
      <c r="Z901" s="31" cm="1">
        <f t="array" ref="Z901">IF(LEFT(_xll.BDP($C901, VOLUME_AVG_30D), 4) = "#N/A", "",  _xll.BDP($C901, VOLUME_AVG_30D))</f>
        <v>2039355.75</v>
      </c>
      <c r="AA901" s="31" cm="1">
        <f t="array" ref="AA901">IF(LEFT(_xll.BDP($C901, VOLUME_AVG_3M), 4) = "#N/A", "",  _xll.BDP($C901, VOLUME_AVG_3M))</f>
        <v>2590386.25</v>
      </c>
      <c r="AB901" s="31" cm="1">
        <f t="array" ref="AB901">IF(LEFT(_xll.BDP($C901, VOLUME_AVG_6M), 4) = "#N/A", "",  _xll.BDP($C901, VOLUME_AVG_6M))</f>
        <v>2488610.5</v>
      </c>
      <c r="AC901" s="31" cm="1">
        <f t="array" ref="AC901">IF(LEFT(_xll.BDP($C901, VOLUME_AVG_12M), 4) = "#N/A", "",  _xll.BDP($C901, VOLUME_AVG_12M))</f>
        <v>2604193.5</v>
      </c>
      <c r="AD901" s="41" cm="1">
        <f t="array" ref="AD901">IF(LEFT(_xll.BDP($C901, LAST_PRICE), 4) = "#N/A", "",  _xll.BDP($C901, LAST_PRICE))</f>
        <v>5.6</v>
      </c>
    </row>
    <row r="902" spans="1:30" x14ac:dyDescent="0.35">
      <c r="A902" s="1">
        <f t="shared" ref="A902:A965" si="14">IF(B902="","", A901+1)</f>
        <v>899</v>
      </c>
      <c r="B902" s="28">
        <v>45700</v>
      </c>
      <c r="C902" s="29" t="s">
        <v>1856</v>
      </c>
      <c r="D902" s="29" t="s">
        <v>1856</v>
      </c>
      <c r="E902" s="29" t="s">
        <v>1857</v>
      </c>
      <c r="F902" s="29" t="s">
        <v>33</v>
      </c>
      <c r="G902" s="30" t="s">
        <v>34</v>
      </c>
      <c r="H902" s="31"/>
      <c r="I902" s="31"/>
      <c r="J902" s="32"/>
      <c r="K902" s="33">
        <v>45700</v>
      </c>
      <c r="L902" s="31"/>
      <c r="M902" s="32"/>
      <c r="N902" s="31"/>
      <c r="O902" s="33">
        <v>45699</v>
      </c>
      <c r="P902" s="34">
        <v>19.6666660308838</v>
      </c>
      <c r="Q902" s="34">
        <v>4490.1611328125</v>
      </c>
      <c r="R902" s="34">
        <v>2210.67456054688</v>
      </c>
      <c r="S902" s="29"/>
      <c r="T902" s="33"/>
      <c r="U902" s="35" t="b">
        <v>1</v>
      </c>
      <c r="V902" s="35" t="b">
        <v>1</v>
      </c>
      <c r="W902" s="35" t="b">
        <v>1</v>
      </c>
      <c r="Y902" s="31" cm="1">
        <f t="array" ref="Y902">IF(LEFT(_xll.BDP($C902, VOLUME_AVG_10D), 4) = "#N/A", "",  _xll.BDP($C902, VOLUME_AVG_10D))</f>
        <v>0</v>
      </c>
      <c r="Z902" s="31" cm="1">
        <f t="array" ref="Z902">IF(LEFT(_xll.BDP($C902, VOLUME_AVG_30D), 4) = "#N/A", "",  _xll.BDP($C902, VOLUME_AVG_30D))</f>
        <v>19.666666030883789</v>
      </c>
      <c r="AA902" s="31" cm="1">
        <f t="array" ref="AA902">IF(LEFT(_xll.BDP($C902, VOLUME_AVG_3M), 4) = "#N/A", "",  _xll.BDP($C902, VOLUME_AVG_3M))</f>
        <v>4490.1611328125</v>
      </c>
      <c r="AB902" s="31" cm="1">
        <f t="array" ref="AB902">IF(LEFT(_xll.BDP($C902, VOLUME_AVG_6M), 4) = "#N/A", "",  _xll.BDP($C902, VOLUME_AVG_6M))</f>
        <v>2210.674560546875</v>
      </c>
      <c r="AC902" s="31" cm="1">
        <f t="array" ref="AC902">IF(LEFT(_xll.BDP($C902, VOLUME_AVG_12M), 4) = "#N/A", "",  _xll.BDP($C902, VOLUME_AVG_12M))</f>
        <v>1122.489990234375</v>
      </c>
      <c r="AD902" s="41" t="str" cm="1">
        <f t="array" ref="AD902">IF(LEFT(_xll.BDP($C902, LAST_PRICE), 4) = "#N/A", "",  _xll.BDP($C902, LAST_PRICE))</f>
        <v/>
      </c>
    </row>
    <row r="903" spans="1:30" x14ac:dyDescent="0.35">
      <c r="A903" s="1">
        <f t="shared" si="14"/>
        <v>900</v>
      </c>
      <c r="B903" s="28">
        <v>45700</v>
      </c>
      <c r="C903" s="29" t="s">
        <v>1858</v>
      </c>
      <c r="D903" s="29" t="s">
        <v>1858</v>
      </c>
      <c r="E903" s="29" t="s">
        <v>1859</v>
      </c>
      <c r="F903" s="29" t="s">
        <v>40</v>
      </c>
      <c r="G903" s="30" t="s">
        <v>41</v>
      </c>
      <c r="H903" s="31">
        <v>6454215.7757370304</v>
      </c>
      <c r="I903" s="31">
        <v>8928874.7757370304</v>
      </c>
      <c r="J903" s="32">
        <v>3.9999999105930301E-2</v>
      </c>
      <c r="K903" s="33">
        <v>45700</v>
      </c>
      <c r="L903" s="31"/>
      <c r="M903" s="32"/>
      <c r="N903" s="31"/>
      <c r="O903" s="33">
        <v>45699</v>
      </c>
      <c r="P903" s="34">
        <v>23378.97</v>
      </c>
      <c r="Q903" s="34">
        <v>24523.59</v>
      </c>
      <c r="R903" s="34">
        <v>38581.43</v>
      </c>
      <c r="S903" s="29"/>
      <c r="T903" s="33"/>
      <c r="U903" s="35" t="b">
        <v>1</v>
      </c>
      <c r="V903" s="35" t="b">
        <v>1</v>
      </c>
      <c r="W903" s="35" t="b">
        <v>0</v>
      </c>
      <c r="Y903" s="31" cm="1">
        <f t="array" ref="Y903">IF(LEFT(_xll.BDP($C903, VOLUME_AVG_10D), 4) = "#N/A", "",  _xll.BDP($C903, VOLUME_AVG_10D))</f>
        <v>7462.5</v>
      </c>
      <c r="Z903" s="31" cm="1">
        <f t="array" ref="Z903">IF(LEFT(_xll.BDP($C903, VOLUME_AVG_30D), 4) = "#N/A", "",  _xll.BDP($C903, VOLUME_AVG_30D))</f>
        <v>23378.97</v>
      </c>
      <c r="AA903" s="31" cm="1">
        <f t="array" ref="AA903">IF(LEFT(_xll.BDP($C903, VOLUME_AVG_3M), 4) = "#N/A", "",  _xll.BDP($C903, VOLUME_AVG_3M))</f>
        <v>24523.59</v>
      </c>
      <c r="AB903" s="31" cm="1">
        <f t="array" ref="AB903">IF(LEFT(_xll.BDP($C903, VOLUME_AVG_6M), 4) = "#N/A", "",  _xll.BDP($C903, VOLUME_AVG_6M))</f>
        <v>38581.43</v>
      </c>
      <c r="AC903" s="31" cm="1">
        <f t="array" ref="AC903">IF(LEFT(_xll.BDP($C903, VOLUME_AVG_12M), 4) = "#N/A", "",  _xll.BDP($C903, VOLUME_AVG_12M))</f>
        <v>79176.91</v>
      </c>
      <c r="AD903" s="41" cm="1">
        <f t="array" ref="AD903">IF(LEFT(_xll.BDP($C903, LAST_PRICE), 4) = "#N/A", "",  _xll.BDP($C903, LAST_PRICE))</f>
        <v>0.04</v>
      </c>
    </row>
    <row r="904" spans="1:30" x14ac:dyDescent="0.35">
      <c r="A904" s="1">
        <f t="shared" si="14"/>
        <v>901</v>
      </c>
      <c r="B904" s="28">
        <v>45700</v>
      </c>
      <c r="C904" s="29" t="s">
        <v>1860</v>
      </c>
      <c r="D904" s="29" t="s">
        <v>1860</v>
      </c>
      <c r="E904" s="29" t="s">
        <v>1861</v>
      </c>
      <c r="F904" s="29" t="s">
        <v>33</v>
      </c>
      <c r="G904" s="30" t="s">
        <v>34</v>
      </c>
      <c r="H904" s="31">
        <v>1111593941.78386</v>
      </c>
      <c r="I904" s="31">
        <v>1086486941.78386</v>
      </c>
      <c r="J904" s="32">
        <v>4.2600002288818404</v>
      </c>
      <c r="K904" s="33">
        <v>45700</v>
      </c>
      <c r="L904" s="31">
        <v>47231800</v>
      </c>
      <c r="M904" s="32">
        <v>3.88</v>
      </c>
      <c r="N904" s="31" t="s">
        <v>35</v>
      </c>
      <c r="O904" s="33">
        <v>45699</v>
      </c>
      <c r="P904" s="34">
        <v>1928543.25</v>
      </c>
      <c r="Q904" s="34">
        <v>1941627.25</v>
      </c>
      <c r="R904" s="34">
        <v>1981558.875</v>
      </c>
      <c r="S904" s="29" t="s">
        <v>468</v>
      </c>
      <c r="T904" s="33">
        <v>45446</v>
      </c>
      <c r="U904" s="35" t="b">
        <v>0</v>
      </c>
      <c r="V904" s="35" t="b">
        <v>0</v>
      </c>
      <c r="W904" s="35" t="b">
        <v>0</v>
      </c>
      <c r="Y904" s="31" cm="1">
        <f t="array" ref="Y904">IF(LEFT(_xll.BDP($C904, VOLUME_AVG_10D), 4) = "#N/A", "",  _xll.BDP($C904, VOLUME_AVG_10D))</f>
        <v>2022996</v>
      </c>
      <c r="Z904" s="31" cm="1">
        <f t="array" ref="Z904">IF(LEFT(_xll.BDP($C904, VOLUME_AVG_30D), 4) = "#N/A", "",  _xll.BDP($C904, VOLUME_AVG_30D))</f>
        <v>1928543.25</v>
      </c>
      <c r="AA904" s="31" cm="1">
        <f t="array" ref="AA904">IF(LEFT(_xll.BDP($C904, VOLUME_AVG_3M), 4) = "#N/A", "",  _xll.BDP($C904, VOLUME_AVG_3M))</f>
        <v>1941627.25</v>
      </c>
      <c r="AB904" s="31" cm="1">
        <f t="array" ref="AB904">IF(LEFT(_xll.BDP($C904, VOLUME_AVG_6M), 4) = "#N/A", "",  _xll.BDP($C904, VOLUME_AVG_6M))</f>
        <v>1981558.875</v>
      </c>
      <c r="AC904" s="31" cm="1">
        <f t="array" ref="AC904">IF(LEFT(_xll.BDP($C904, VOLUME_AVG_12M), 4) = "#N/A", "",  _xll.BDP($C904, VOLUME_AVG_12M))</f>
        <v>2217855.75</v>
      </c>
      <c r="AD904" s="41" cm="1">
        <f t="array" ref="AD904">IF(LEFT(_xll.BDP($C904, LAST_PRICE), 4) = "#N/A", "",  _xll.BDP($C904, LAST_PRICE))</f>
        <v>4.26</v>
      </c>
    </row>
    <row r="905" spans="1:30" x14ac:dyDescent="0.35">
      <c r="A905" s="1">
        <f t="shared" si="14"/>
        <v>902</v>
      </c>
      <c r="B905" s="28">
        <v>45700</v>
      </c>
      <c r="C905" s="29" t="s">
        <v>1862</v>
      </c>
      <c r="D905" s="29" t="s">
        <v>1862</v>
      </c>
      <c r="E905" s="29" t="s">
        <v>1863</v>
      </c>
      <c r="F905" s="29" t="s">
        <v>33</v>
      </c>
      <c r="G905" s="30" t="s">
        <v>34</v>
      </c>
      <c r="H905" s="31">
        <v>49569828.491789497</v>
      </c>
      <c r="I905" s="31">
        <v>146484828.49178901</v>
      </c>
      <c r="J905" s="32">
        <v>0.129999995231628</v>
      </c>
      <c r="K905" s="33">
        <v>45700</v>
      </c>
      <c r="L905" s="31"/>
      <c r="M905" s="32"/>
      <c r="N905" s="31"/>
      <c r="O905" s="33">
        <v>45699</v>
      </c>
      <c r="P905" s="34">
        <v>371552.28125</v>
      </c>
      <c r="Q905" s="34">
        <v>500770</v>
      </c>
      <c r="R905" s="34">
        <v>488566.28125</v>
      </c>
      <c r="S905" s="29"/>
      <c r="T905" s="33"/>
      <c r="U905" s="35" t="b">
        <v>0</v>
      </c>
      <c r="V905" s="35" t="b">
        <v>0</v>
      </c>
      <c r="W905" s="35" t="b">
        <v>0</v>
      </c>
      <c r="Y905" s="31" cm="1">
        <f t="array" ref="Y905">IF(LEFT(_xll.BDP($C905, VOLUME_AVG_10D), 4) = "#N/A", "",  _xll.BDP($C905, VOLUME_AVG_10D))</f>
        <v>471857.09375</v>
      </c>
      <c r="Z905" s="31" cm="1">
        <f t="array" ref="Z905">IF(LEFT(_xll.BDP($C905, VOLUME_AVG_30D), 4) = "#N/A", "",  _xll.BDP($C905, VOLUME_AVG_30D))</f>
        <v>371552.28125</v>
      </c>
      <c r="AA905" s="31" cm="1">
        <f t="array" ref="AA905">IF(LEFT(_xll.BDP($C905, VOLUME_AVG_3M), 4) = "#N/A", "",  _xll.BDP($C905, VOLUME_AVG_3M))</f>
        <v>500770</v>
      </c>
      <c r="AB905" s="31" cm="1">
        <f t="array" ref="AB905">IF(LEFT(_xll.BDP($C905, VOLUME_AVG_6M), 4) = "#N/A", "",  _xll.BDP($C905, VOLUME_AVG_6M))</f>
        <v>488566.28125</v>
      </c>
      <c r="AC905" s="31" cm="1">
        <f t="array" ref="AC905">IF(LEFT(_xll.BDP($C905, VOLUME_AVG_12M), 4) = "#N/A", "",  _xll.BDP($C905, VOLUME_AVG_12M))</f>
        <v>457456.40625</v>
      </c>
      <c r="AD905" s="41" cm="1">
        <f t="array" ref="AD905">IF(LEFT(_xll.BDP($C905, LAST_PRICE), 4) = "#N/A", "",  _xll.BDP($C905, LAST_PRICE))</f>
        <v>0.13</v>
      </c>
    </row>
    <row r="906" spans="1:30" x14ac:dyDescent="0.35">
      <c r="A906" s="1">
        <f t="shared" si="14"/>
        <v>903</v>
      </c>
      <c r="B906" s="28">
        <v>45700</v>
      </c>
      <c r="C906" s="29" t="s">
        <v>1864</v>
      </c>
      <c r="D906" s="29" t="s">
        <v>1864</v>
      </c>
      <c r="E906" s="29" t="s">
        <v>1865</v>
      </c>
      <c r="F906" s="29" t="s">
        <v>33</v>
      </c>
      <c r="G906" s="30" t="s">
        <v>34</v>
      </c>
      <c r="H906" s="31">
        <v>30370167.300000001</v>
      </c>
      <c r="I906" s="31">
        <v>44178167.299999997</v>
      </c>
      <c r="J906" s="32">
        <v>0.55000000000000004</v>
      </c>
      <c r="K906" s="33">
        <v>45700</v>
      </c>
      <c r="L906" s="31"/>
      <c r="M906" s="32"/>
      <c r="N906" s="31"/>
      <c r="O906" s="33">
        <v>45699</v>
      </c>
      <c r="P906" s="34">
        <v>2497434.75</v>
      </c>
      <c r="Q906" s="34">
        <v>1778188</v>
      </c>
      <c r="R906" s="34">
        <v>2080685.625</v>
      </c>
      <c r="S906" s="29" t="s">
        <v>82</v>
      </c>
      <c r="T906" s="33">
        <v>45446</v>
      </c>
      <c r="U906" s="35" t="b">
        <v>0</v>
      </c>
      <c r="V906" s="35" t="b">
        <v>0</v>
      </c>
      <c r="W906" s="35" t="b">
        <v>0</v>
      </c>
      <c r="Y906" s="31" cm="1">
        <f t="array" ref="Y906">IF(LEFT(_xll.BDP($C906, VOLUME_AVG_10D), 4) = "#N/A", "",  _xll.BDP($C906, VOLUME_AVG_10D))</f>
        <v>723893.375</v>
      </c>
      <c r="Z906" s="31" cm="1">
        <f t="array" ref="Z906">IF(LEFT(_xll.BDP($C906, VOLUME_AVG_30D), 4) = "#N/A", "",  _xll.BDP($C906, VOLUME_AVG_30D))</f>
        <v>2497434.75</v>
      </c>
      <c r="AA906" s="31" cm="1">
        <f t="array" ref="AA906">IF(LEFT(_xll.BDP($C906, VOLUME_AVG_3M), 4) = "#N/A", "",  _xll.BDP($C906, VOLUME_AVG_3M))</f>
        <v>1778188</v>
      </c>
      <c r="AB906" s="31" cm="1">
        <f t="array" ref="AB906">IF(LEFT(_xll.BDP($C906, VOLUME_AVG_6M), 4) = "#N/A", "",  _xll.BDP($C906, VOLUME_AVG_6M))</f>
        <v>2080685.625</v>
      </c>
      <c r="AC906" s="31" cm="1">
        <f t="array" ref="AC906">IF(LEFT(_xll.BDP($C906, VOLUME_AVG_12M), 4) = "#N/A", "",  _xll.BDP($C906, VOLUME_AVG_12M))</f>
        <v>1770351.5</v>
      </c>
      <c r="AD906" s="41" t="str" cm="1">
        <f t="array" ref="AD906">IF(LEFT(_xll.BDP($C906, LAST_PRICE), 4) = "#N/A", "",  _xll.BDP($C906, LAST_PRICE))</f>
        <v/>
      </c>
    </row>
    <row r="907" spans="1:30" x14ac:dyDescent="0.35">
      <c r="A907" s="1">
        <f t="shared" si="14"/>
        <v>904</v>
      </c>
      <c r="B907" s="28">
        <v>45700</v>
      </c>
      <c r="C907" s="29" t="s">
        <v>1866</v>
      </c>
      <c r="D907" s="29" t="s">
        <v>1866</v>
      </c>
      <c r="E907" s="29" t="s">
        <v>1867</v>
      </c>
      <c r="F907" s="29" t="s">
        <v>33</v>
      </c>
      <c r="G907" s="30" t="s">
        <v>34</v>
      </c>
      <c r="H907" s="31">
        <v>6589654.4000000004</v>
      </c>
      <c r="I907" s="31">
        <v>10025470.4</v>
      </c>
      <c r="J907" s="32">
        <v>0.05</v>
      </c>
      <c r="K907" s="33">
        <v>45700</v>
      </c>
      <c r="L907" s="31">
        <v>16100</v>
      </c>
      <c r="M907" s="32">
        <v>3.3</v>
      </c>
      <c r="N907" s="31" t="s">
        <v>35</v>
      </c>
      <c r="O907" s="33">
        <v>45699</v>
      </c>
      <c r="P907" s="34">
        <v>7344.966796875</v>
      </c>
      <c r="Q907" s="34">
        <v>7311.693359375</v>
      </c>
      <c r="R907" s="34">
        <v>4225.65869140625</v>
      </c>
      <c r="S907" s="29"/>
      <c r="T907" s="33"/>
      <c r="U907" s="35" t="b">
        <v>1</v>
      </c>
      <c r="V907" s="35" t="b">
        <v>1</v>
      </c>
      <c r="W907" s="35" t="b">
        <v>0</v>
      </c>
      <c r="Y907" s="31" cm="1">
        <f t="array" ref="Y907">IF(LEFT(_xll.BDP($C907, VOLUME_AVG_10D), 4) = "#N/A", "",  _xll.BDP($C907, VOLUME_AVG_10D))</f>
        <v>0</v>
      </c>
      <c r="Z907" s="31" cm="1">
        <f t="array" ref="Z907">IF(LEFT(_xll.BDP($C907, VOLUME_AVG_30D), 4) = "#N/A", "",  _xll.BDP($C907, VOLUME_AVG_30D))</f>
        <v>7344.966796875</v>
      </c>
      <c r="AA907" s="31" cm="1">
        <f t="array" ref="AA907">IF(LEFT(_xll.BDP($C907, VOLUME_AVG_3M), 4) = "#N/A", "",  _xll.BDP($C907, VOLUME_AVG_3M))</f>
        <v>7311.693359375</v>
      </c>
      <c r="AB907" s="31" cm="1">
        <f t="array" ref="AB907">IF(LEFT(_xll.BDP($C907, VOLUME_AVG_6M), 4) = "#N/A", "",  _xll.BDP($C907, VOLUME_AVG_6M))</f>
        <v>4225.65869140625</v>
      </c>
      <c r="AC907" s="31" cm="1">
        <f t="array" ref="AC907">IF(LEFT(_xll.BDP($C907, VOLUME_AVG_12M), 4) = "#N/A", "",  _xll.BDP($C907, VOLUME_AVG_12M))</f>
        <v>3763.239013671875</v>
      </c>
      <c r="AD907" s="41" cm="1">
        <f t="array" ref="AD907">IF(LEFT(_xll.BDP($C907, LAST_PRICE), 4) = "#N/A", "",  _xll.BDP($C907, LAST_PRICE))</f>
        <v>0.05</v>
      </c>
    </row>
    <row r="908" spans="1:30" x14ac:dyDescent="0.35">
      <c r="A908" s="1">
        <f t="shared" si="14"/>
        <v>905</v>
      </c>
      <c r="B908" s="28">
        <v>45700</v>
      </c>
      <c r="C908" s="29" t="s">
        <v>1868</v>
      </c>
      <c r="D908" s="29" t="s">
        <v>1868</v>
      </c>
      <c r="E908" s="29" t="s">
        <v>1869</v>
      </c>
      <c r="F908" s="29" t="s">
        <v>33</v>
      </c>
      <c r="G908" s="30" t="s">
        <v>34</v>
      </c>
      <c r="H908" s="31">
        <v>17027318.307451598</v>
      </c>
      <c r="I908" s="31">
        <v>8027654.3074516105</v>
      </c>
      <c r="J908" s="32">
        <v>1.5900000333786</v>
      </c>
      <c r="K908" s="33">
        <v>45700</v>
      </c>
      <c r="L908" s="31">
        <v>555100</v>
      </c>
      <c r="M908" s="32">
        <v>2</v>
      </c>
      <c r="N908" s="31" t="s">
        <v>35</v>
      </c>
      <c r="O908" s="33">
        <v>45699</v>
      </c>
      <c r="P908" s="34">
        <v>78427.3359375</v>
      </c>
      <c r="Q908" s="34">
        <v>74055.453125</v>
      </c>
      <c r="R908" s="34">
        <v>55243.046875</v>
      </c>
      <c r="S908" s="29"/>
      <c r="T908" s="33"/>
      <c r="U908" s="35" t="b">
        <v>1</v>
      </c>
      <c r="V908" s="35" t="b">
        <v>0</v>
      </c>
      <c r="W908" s="35" t="b">
        <v>0</v>
      </c>
      <c r="Y908" s="31" cm="1">
        <f t="array" ref="Y908">IF(LEFT(_xll.BDP($C908, VOLUME_AVG_10D), 4) = "#N/A", "",  _xll.BDP($C908, VOLUME_AVG_10D))</f>
        <v>102777.296875</v>
      </c>
      <c r="Z908" s="31" cm="1">
        <f t="array" ref="Z908">IF(LEFT(_xll.BDP($C908, VOLUME_AVG_30D), 4) = "#N/A", "",  _xll.BDP($C908, VOLUME_AVG_30D))</f>
        <v>78427.3359375</v>
      </c>
      <c r="AA908" s="31" cm="1">
        <f t="array" ref="AA908">IF(LEFT(_xll.BDP($C908, VOLUME_AVG_3M), 4) = "#N/A", "",  _xll.BDP($C908, VOLUME_AVG_3M))</f>
        <v>74055.453125</v>
      </c>
      <c r="AB908" s="31" cm="1">
        <f t="array" ref="AB908">IF(LEFT(_xll.BDP($C908, VOLUME_AVG_6M), 4) = "#N/A", "",  _xll.BDP($C908, VOLUME_AVG_6M))</f>
        <v>55243.046875</v>
      </c>
      <c r="AC908" s="31" cm="1">
        <f t="array" ref="AC908">IF(LEFT(_xll.BDP($C908, VOLUME_AVG_12M), 4) = "#N/A", "",  _xll.BDP($C908, VOLUME_AVG_12M))</f>
        <v>37962.53125</v>
      </c>
      <c r="AD908" s="41" cm="1">
        <f t="array" ref="AD908">IF(LEFT(_xll.BDP($C908, LAST_PRICE), 4) = "#N/A", "",  _xll.BDP($C908, LAST_PRICE))</f>
        <v>1.59</v>
      </c>
    </row>
    <row r="909" spans="1:30" x14ac:dyDescent="0.35">
      <c r="A909" s="1">
        <f t="shared" si="14"/>
        <v>906</v>
      </c>
      <c r="B909" s="28">
        <v>45700</v>
      </c>
      <c r="C909" s="29" t="s">
        <v>1870</v>
      </c>
      <c r="D909" s="29" t="s">
        <v>1870</v>
      </c>
      <c r="E909" s="29" t="s">
        <v>1871</v>
      </c>
      <c r="F909" s="29" t="s">
        <v>33</v>
      </c>
      <c r="G909" s="30" t="s">
        <v>34</v>
      </c>
      <c r="H909" s="31">
        <v>9611066708.5528908</v>
      </c>
      <c r="I909" s="31">
        <v>10274066708.5529</v>
      </c>
      <c r="J909" s="32">
        <v>179.50999450683599</v>
      </c>
      <c r="K909" s="33">
        <v>45700</v>
      </c>
      <c r="L909" s="31">
        <v>15630200</v>
      </c>
      <c r="M909" s="32">
        <v>3.88</v>
      </c>
      <c r="N909" s="31" t="s">
        <v>35</v>
      </c>
      <c r="O909" s="33">
        <v>45699</v>
      </c>
      <c r="P909" s="34">
        <v>457312.15625</v>
      </c>
      <c r="Q909" s="34">
        <v>485339.90625</v>
      </c>
      <c r="R909" s="34">
        <v>590941.5625</v>
      </c>
      <c r="S909" s="29"/>
      <c r="T909" s="33"/>
      <c r="U909" s="35" t="b">
        <v>0</v>
      </c>
      <c r="V909" s="35" t="b">
        <v>0</v>
      </c>
      <c r="W909" s="35" t="b">
        <v>0</v>
      </c>
      <c r="Y909" s="31" cm="1">
        <f t="array" ref="Y909">IF(LEFT(_xll.BDP($C909, VOLUME_AVG_10D), 4) = "#N/A", "",  _xll.BDP($C909, VOLUME_AVG_10D))</f>
        <v>370855.90625</v>
      </c>
      <c r="Z909" s="31" cm="1">
        <f t="array" ref="Z909">IF(LEFT(_xll.BDP($C909, VOLUME_AVG_30D), 4) = "#N/A", "",  _xll.BDP($C909, VOLUME_AVG_30D))</f>
        <v>457312.15625</v>
      </c>
      <c r="AA909" s="31" cm="1">
        <f t="array" ref="AA909">IF(LEFT(_xll.BDP($C909, VOLUME_AVG_3M), 4) = "#N/A", "",  _xll.BDP($C909, VOLUME_AVG_3M))</f>
        <v>485339.90625</v>
      </c>
      <c r="AB909" s="31" cm="1">
        <f t="array" ref="AB909">IF(LEFT(_xll.BDP($C909, VOLUME_AVG_6M), 4) = "#N/A", "",  _xll.BDP($C909, VOLUME_AVG_6M))</f>
        <v>590941.5625</v>
      </c>
      <c r="AC909" s="31" cm="1">
        <f t="array" ref="AC909">IF(LEFT(_xll.BDP($C909, VOLUME_AVG_12M), 4) = "#N/A", "",  _xll.BDP($C909, VOLUME_AVG_12M))</f>
        <v>638051.3125</v>
      </c>
      <c r="AD909" s="41" cm="1">
        <f t="array" ref="AD909">IF(LEFT(_xll.BDP($C909, LAST_PRICE), 4) = "#N/A", "",  _xll.BDP($C909, LAST_PRICE))</f>
        <v>179.51</v>
      </c>
    </row>
    <row r="910" spans="1:30" x14ac:dyDescent="0.35">
      <c r="A910" s="1">
        <f t="shared" si="14"/>
        <v>907</v>
      </c>
      <c r="B910" s="28">
        <v>45700</v>
      </c>
      <c r="C910" s="29" t="s">
        <v>1872</v>
      </c>
      <c r="D910" s="29" t="s">
        <v>1872</v>
      </c>
      <c r="E910" s="29" t="s">
        <v>1873</v>
      </c>
      <c r="F910" s="29" t="s">
        <v>33</v>
      </c>
      <c r="G910" s="30" t="s">
        <v>34</v>
      </c>
      <c r="H910" s="31">
        <v>2980973.3385601598</v>
      </c>
      <c r="I910" s="31">
        <v>-4743026.6614398398</v>
      </c>
      <c r="J910" s="32">
        <v>0.58600002527236905</v>
      </c>
      <c r="K910" s="33">
        <v>45700</v>
      </c>
      <c r="L910" s="31">
        <v>108500</v>
      </c>
      <c r="M910" s="32">
        <v>3.88</v>
      </c>
      <c r="N910" s="31" t="s">
        <v>35</v>
      </c>
      <c r="O910" s="33">
        <v>45699</v>
      </c>
      <c r="P910" s="34">
        <v>712576.125</v>
      </c>
      <c r="Q910" s="34">
        <v>429430.625</v>
      </c>
      <c r="R910" s="34">
        <v>294456.3125</v>
      </c>
      <c r="S910" s="29"/>
      <c r="T910" s="33"/>
      <c r="U910" s="35" t="b">
        <v>1</v>
      </c>
      <c r="V910" s="35" t="b">
        <v>0</v>
      </c>
      <c r="W910" s="35" t="b">
        <v>1</v>
      </c>
      <c r="Y910" s="31" cm="1">
        <f t="array" ref="Y910">IF(LEFT(_xll.BDP($C910, VOLUME_AVG_10D), 4) = "#N/A", "",  _xll.BDP($C910, VOLUME_AVG_10D))</f>
        <v>123267.3984375</v>
      </c>
      <c r="Z910" s="31" cm="1">
        <f t="array" ref="Z910">IF(LEFT(_xll.BDP($C910, VOLUME_AVG_30D), 4) = "#N/A", "",  _xll.BDP($C910, VOLUME_AVG_30D))</f>
        <v>712576.125</v>
      </c>
      <c r="AA910" s="31" cm="1">
        <f t="array" ref="AA910">IF(LEFT(_xll.BDP($C910, VOLUME_AVG_3M), 4) = "#N/A", "",  _xll.BDP($C910, VOLUME_AVG_3M))</f>
        <v>429430.625</v>
      </c>
      <c r="AB910" s="31" cm="1">
        <f t="array" ref="AB910">IF(LEFT(_xll.BDP($C910, VOLUME_AVG_6M), 4) = "#N/A", "",  _xll.BDP($C910, VOLUME_AVG_6M))</f>
        <v>294456.3125</v>
      </c>
      <c r="AC910" s="31" cm="1">
        <f t="array" ref="AC910">IF(LEFT(_xll.BDP($C910, VOLUME_AVG_12M), 4) = "#N/A", "",  _xll.BDP($C910, VOLUME_AVG_12M))</f>
        <v>160516.109375</v>
      </c>
      <c r="AD910" s="41" cm="1">
        <f t="array" ref="AD910">IF(LEFT(_xll.BDP($C910, LAST_PRICE), 4) = "#N/A", "",  _xll.BDP($C910, LAST_PRICE))</f>
        <v>0.58599999999999997</v>
      </c>
    </row>
    <row r="911" spans="1:30" x14ac:dyDescent="0.35">
      <c r="A911" s="1">
        <f t="shared" si="14"/>
        <v>908</v>
      </c>
      <c r="B911" s="28">
        <v>45700</v>
      </c>
      <c r="C911" s="29" t="s">
        <v>1874</v>
      </c>
      <c r="D911" s="29" t="s">
        <v>1874</v>
      </c>
      <c r="E911" s="29" t="s">
        <v>1875</v>
      </c>
      <c r="F911" s="29" t="s">
        <v>33</v>
      </c>
      <c r="G911" s="30" t="s">
        <v>34</v>
      </c>
      <c r="H911" s="31">
        <v>301425125.65728003</v>
      </c>
      <c r="I911" s="31">
        <v>374211383.65728003</v>
      </c>
      <c r="J911" s="32">
        <v>9.0200004577636701</v>
      </c>
      <c r="K911" s="33">
        <v>45700</v>
      </c>
      <c r="L911" s="31">
        <v>311400</v>
      </c>
      <c r="M911" s="32">
        <v>-1.65</v>
      </c>
      <c r="N911" s="31" t="s">
        <v>35</v>
      </c>
      <c r="O911" s="33">
        <v>45699</v>
      </c>
      <c r="P911" s="34">
        <v>318328.46875</v>
      </c>
      <c r="Q911" s="34">
        <v>281792.46875</v>
      </c>
      <c r="R911" s="34"/>
      <c r="S911" s="29"/>
      <c r="T911" s="33"/>
      <c r="U911" s="35" t="b">
        <v>0</v>
      </c>
      <c r="V911" s="35" t="b">
        <v>0</v>
      </c>
      <c r="W911" s="35" t="b">
        <v>0</v>
      </c>
      <c r="Y911" s="31" cm="1">
        <f t="array" ref="Y911">IF(LEFT(_xll.BDP($C911, VOLUME_AVG_10D), 4) = "#N/A", "",  _xll.BDP($C911, VOLUME_AVG_10D))</f>
        <v>399760.59375</v>
      </c>
      <c r="Z911" s="31" cm="1">
        <f t="array" ref="Z911">IF(LEFT(_xll.BDP($C911, VOLUME_AVG_30D), 4) = "#N/A", "",  _xll.BDP($C911, VOLUME_AVG_30D))</f>
        <v>318328.46875</v>
      </c>
      <c r="AA911" s="31" cm="1">
        <f t="array" ref="AA911">IF(LEFT(_xll.BDP($C911, VOLUME_AVG_3M), 4) = "#N/A", "",  _xll.BDP($C911, VOLUME_AVG_3M))</f>
        <v>281792.46875</v>
      </c>
      <c r="AB911" s="31" t="str" cm="1">
        <f t="array" ref="AB911">IF(LEFT(_xll.BDP($C911, VOLUME_AVG_6M), 4) = "#N/A", "",  _xll.BDP($C911, VOLUME_AVG_6M))</f>
        <v/>
      </c>
      <c r="AC911" s="31" t="str" cm="1">
        <f t="array" ref="AC911">IF(LEFT(_xll.BDP($C911, VOLUME_AVG_12M), 4) = "#N/A", "",  _xll.BDP($C911, VOLUME_AVG_12M))</f>
        <v/>
      </c>
      <c r="AD911" s="41" cm="1">
        <f t="array" ref="AD911">IF(LEFT(_xll.BDP($C911, LAST_PRICE), 4) = "#N/A", "",  _xll.BDP($C911, LAST_PRICE))</f>
        <v>9.02</v>
      </c>
    </row>
    <row r="912" spans="1:30" x14ac:dyDescent="0.35">
      <c r="A912" s="1">
        <f t="shared" si="14"/>
        <v>909</v>
      </c>
      <c r="B912" s="28">
        <v>45700</v>
      </c>
      <c r="C912" s="29" t="s">
        <v>1876</v>
      </c>
      <c r="D912" s="29" t="s">
        <v>1876</v>
      </c>
      <c r="E912" s="29" t="s">
        <v>1877</v>
      </c>
      <c r="F912" s="29" t="s">
        <v>33</v>
      </c>
      <c r="G912" s="30" t="s">
        <v>34</v>
      </c>
      <c r="H912" s="31">
        <v>74569193720</v>
      </c>
      <c r="I912" s="31">
        <v>83575193720</v>
      </c>
      <c r="J912" s="32">
        <v>595</v>
      </c>
      <c r="K912" s="33">
        <v>45700</v>
      </c>
      <c r="L912" s="31">
        <v>36544100</v>
      </c>
      <c r="M912" s="32">
        <v>3.88</v>
      </c>
      <c r="N912" s="31" t="s">
        <v>35</v>
      </c>
      <c r="O912" s="33">
        <v>45699</v>
      </c>
      <c r="P912" s="34">
        <v>727819.625</v>
      </c>
      <c r="Q912" s="34">
        <v>772272.125</v>
      </c>
      <c r="R912" s="34">
        <v>902418</v>
      </c>
      <c r="S912" s="29"/>
      <c r="T912" s="33"/>
      <c r="U912" s="35" t="b">
        <v>0</v>
      </c>
      <c r="V912" s="35" t="b">
        <v>0</v>
      </c>
      <c r="W912" s="35" t="b">
        <v>0</v>
      </c>
      <c r="Y912" s="31" cm="1">
        <f t="array" ref="Y912">IF(LEFT(_xll.BDP($C912, VOLUME_AVG_10D), 4) = "#N/A", "",  _xll.BDP($C912, VOLUME_AVG_10D))</f>
        <v>919318.6875</v>
      </c>
      <c r="Z912" s="31" cm="1">
        <f t="array" ref="Z912">IF(LEFT(_xll.BDP($C912, VOLUME_AVG_30D), 4) = "#N/A", "",  _xll.BDP($C912, VOLUME_AVG_30D))</f>
        <v>727819.625</v>
      </c>
      <c r="AA912" s="31" cm="1">
        <f t="array" ref="AA912">IF(LEFT(_xll.BDP($C912, VOLUME_AVG_3M), 4) = "#N/A", "",  _xll.BDP($C912, VOLUME_AVG_3M))</f>
        <v>772272.125</v>
      </c>
      <c r="AB912" s="31" cm="1">
        <f t="array" ref="AB912">IF(LEFT(_xll.BDP($C912, VOLUME_AVG_6M), 4) = "#N/A", "",  _xll.BDP($C912, VOLUME_AVG_6M))</f>
        <v>902418</v>
      </c>
      <c r="AC912" s="31" cm="1">
        <f t="array" ref="AC912">IF(LEFT(_xll.BDP($C912, VOLUME_AVG_12M), 4) = "#N/A", "",  _xll.BDP($C912, VOLUME_AVG_12M))</f>
        <v>812256.625</v>
      </c>
      <c r="AD912" s="41" cm="1">
        <f t="array" ref="AD912">IF(LEFT(_xll.BDP($C912, LAST_PRICE), 4) = "#N/A", "",  _xll.BDP($C912, LAST_PRICE))</f>
        <v>595</v>
      </c>
    </row>
    <row r="913" spans="1:30" x14ac:dyDescent="0.35">
      <c r="A913" s="1">
        <f t="shared" si="14"/>
        <v>910</v>
      </c>
      <c r="B913" s="28">
        <v>45700</v>
      </c>
      <c r="C913" s="29" t="s">
        <v>1878</v>
      </c>
      <c r="D913" s="29" t="s">
        <v>1878</v>
      </c>
      <c r="E913" s="29" t="s">
        <v>1879</v>
      </c>
      <c r="F913" s="29" t="s">
        <v>33</v>
      </c>
      <c r="G913" s="30" t="s">
        <v>34</v>
      </c>
      <c r="H913" s="31">
        <v>22310063.484000001</v>
      </c>
      <c r="I913" s="31"/>
      <c r="J913" s="32">
        <v>0.1095</v>
      </c>
      <c r="K913" s="33">
        <v>45700</v>
      </c>
      <c r="L913" s="31">
        <v>173800</v>
      </c>
      <c r="M913" s="32">
        <v>3.3</v>
      </c>
      <c r="N913" s="31" t="s">
        <v>35</v>
      </c>
      <c r="O913" s="33">
        <v>45699</v>
      </c>
      <c r="P913" s="34">
        <v>4664.16650390625</v>
      </c>
      <c r="Q913" s="34">
        <v>14526.8388671875</v>
      </c>
      <c r="R913" s="34">
        <v>8178.48388671875</v>
      </c>
      <c r="S913" s="29"/>
      <c r="T913" s="33"/>
      <c r="U913" s="35" t="b">
        <v>0</v>
      </c>
      <c r="V913" s="35" t="b">
        <v>0</v>
      </c>
      <c r="W913" s="35" t="b">
        <v>1</v>
      </c>
      <c r="Y913" s="31" cm="1">
        <f t="array" ref="Y913">IF(LEFT(_xll.BDP($C913, VOLUME_AVG_10D), 4) = "#N/A", "",  _xll.BDP($C913, VOLUME_AVG_10D))</f>
        <v>5270</v>
      </c>
      <c r="Z913" s="31" cm="1">
        <f t="array" ref="Z913">IF(LEFT(_xll.BDP($C913, VOLUME_AVG_30D), 4) = "#N/A", "",  _xll.BDP($C913, VOLUME_AVG_30D))</f>
        <v>4664.16650390625</v>
      </c>
      <c r="AA913" s="31" cm="1">
        <f t="array" ref="AA913">IF(LEFT(_xll.BDP($C913, VOLUME_AVG_3M), 4) = "#N/A", "",  _xll.BDP($C913, VOLUME_AVG_3M))</f>
        <v>14526.8388671875</v>
      </c>
      <c r="AB913" s="31" cm="1">
        <f t="array" ref="AB913">IF(LEFT(_xll.BDP($C913, VOLUME_AVG_6M), 4) = "#N/A", "",  _xll.BDP($C913, VOLUME_AVG_6M))</f>
        <v>8178.48388671875</v>
      </c>
      <c r="AC913" s="31" cm="1">
        <f t="array" ref="AC913">IF(LEFT(_xll.BDP($C913, VOLUME_AVG_12M), 4) = "#N/A", "",  _xll.BDP($C913, VOLUME_AVG_12M))</f>
        <v>5024.59765625</v>
      </c>
      <c r="AD913" s="41" cm="1">
        <f t="array" ref="AD913">IF(LEFT(_xll.BDP($C913, LAST_PRICE), 4) = "#N/A", "",  _xll.BDP($C913, LAST_PRICE))</f>
        <v>0.1095</v>
      </c>
    </row>
    <row r="914" spans="1:30" x14ac:dyDescent="0.35">
      <c r="A914" s="1">
        <f t="shared" si="14"/>
        <v>911</v>
      </c>
      <c r="B914" s="28">
        <v>45700</v>
      </c>
      <c r="C914" s="29" t="s">
        <v>1880</v>
      </c>
      <c r="D914" s="29" t="s">
        <v>1880</v>
      </c>
      <c r="E914" s="29" t="s">
        <v>1881</v>
      </c>
      <c r="F914" s="29" t="s">
        <v>33</v>
      </c>
      <c r="G914" s="30" t="s">
        <v>34</v>
      </c>
      <c r="H914" s="31">
        <v>86537212.219384804</v>
      </c>
      <c r="I914" s="31">
        <v>171576212.219385</v>
      </c>
      <c r="J914" s="32">
        <v>1.83000004291534</v>
      </c>
      <c r="K914" s="33">
        <v>45700</v>
      </c>
      <c r="L914" s="31"/>
      <c r="M914" s="32"/>
      <c r="N914" s="31"/>
      <c r="O914" s="33">
        <v>45699</v>
      </c>
      <c r="P914" s="34">
        <v>112036.296875</v>
      </c>
      <c r="Q914" s="34">
        <v>136743.953125</v>
      </c>
      <c r="R914" s="34">
        <v>115036.1484375</v>
      </c>
      <c r="S914" s="29"/>
      <c r="T914" s="33"/>
      <c r="U914" s="35" t="b">
        <v>0</v>
      </c>
      <c r="V914" s="35" t="b">
        <v>0</v>
      </c>
      <c r="W914" s="35" t="b">
        <v>0</v>
      </c>
      <c r="Y914" s="31" cm="1">
        <f t="array" ref="Y914">IF(LEFT(_xll.BDP($C914, VOLUME_AVG_10D), 4) = "#N/A", "",  _xll.BDP($C914, VOLUME_AVG_10D))</f>
        <v>53681.80078125</v>
      </c>
      <c r="Z914" s="31" cm="1">
        <f t="array" ref="Z914">IF(LEFT(_xll.BDP($C914, VOLUME_AVG_30D), 4) = "#N/A", "",  _xll.BDP($C914, VOLUME_AVG_30D))</f>
        <v>112036.296875</v>
      </c>
      <c r="AA914" s="31" cm="1">
        <f t="array" ref="AA914">IF(LEFT(_xll.BDP($C914, VOLUME_AVG_3M), 4) = "#N/A", "",  _xll.BDP($C914, VOLUME_AVG_3M))</f>
        <v>136743.953125</v>
      </c>
      <c r="AB914" s="31" cm="1">
        <f t="array" ref="AB914">IF(LEFT(_xll.BDP($C914, VOLUME_AVG_6M), 4) = "#N/A", "",  _xll.BDP($C914, VOLUME_AVG_6M))</f>
        <v>115036.1484375</v>
      </c>
      <c r="AC914" s="31" cm="1">
        <f t="array" ref="AC914">IF(LEFT(_xll.BDP($C914, VOLUME_AVG_12M), 4) = "#N/A", "",  _xll.BDP($C914, VOLUME_AVG_12M))</f>
        <v>82173.9921875</v>
      </c>
      <c r="AD914" s="41" cm="1">
        <f t="array" ref="AD914">IF(LEFT(_xll.BDP($C914, LAST_PRICE), 4) = "#N/A", "",  _xll.BDP($C914, LAST_PRICE))</f>
        <v>1.83</v>
      </c>
    </row>
    <row r="915" spans="1:30" x14ac:dyDescent="0.35">
      <c r="A915" s="1">
        <f t="shared" si="14"/>
        <v>912</v>
      </c>
      <c r="B915" s="28">
        <v>45700</v>
      </c>
      <c r="C915" s="29" t="s">
        <v>1882</v>
      </c>
      <c r="D915" s="29" t="s">
        <v>1882</v>
      </c>
      <c r="E915" s="29" t="s">
        <v>1883</v>
      </c>
      <c r="F915" s="29" t="s">
        <v>40</v>
      </c>
      <c r="G915" s="30" t="s">
        <v>41</v>
      </c>
      <c r="H915" s="31">
        <v>99672725.233699307</v>
      </c>
      <c r="I915" s="31">
        <v>126888746.933699</v>
      </c>
      <c r="J915" s="32">
        <v>3.0999999046325701</v>
      </c>
      <c r="K915" s="33">
        <v>45700</v>
      </c>
      <c r="L915" s="31">
        <v>492300</v>
      </c>
      <c r="M915" s="32">
        <v>-15.95</v>
      </c>
      <c r="N915" s="31" t="s">
        <v>35</v>
      </c>
      <c r="O915" s="33">
        <v>45699</v>
      </c>
      <c r="P915" s="34">
        <v>309792</v>
      </c>
      <c r="Q915" s="34">
        <v>175834.2</v>
      </c>
      <c r="R915" s="34">
        <v>108841.3</v>
      </c>
      <c r="S915" s="29"/>
      <c r="T915" s="33"/>
      <c r="U915" s="35" t="b">
        <v>0</v>
      </c>
      <c r="V915" s="35" t="b">
        <v>0</v>
      </c>
      <c r="W915" s="35" t="b">
        <v>0</v>
      </c>
      <c r="Y915" s="31" cm="1">
        <f t="array" ref="Y915">IF(LEFT(_xll.BDP($C915, VOLUME_AVG_10D), 4) = "#N/A", "",  _xll.BDP($C915, VOLUME_AVG_10D))</f>
        <v>320972.09999999998</v>
      </c>
      <c r="Z915" s="31" cm="1">
        <f t="array" ref="Z915">IF(LEFT(_xll.BDP($C915, VOLUME_AVG_30D), 4) = "#N/A", "",  _xll.BDP($C915, VOLUME_AVG_30D))</f>
        <v>309792</v>
      </c>
      <c r="AA915" s="31" cm="1">
        <f t="array" ref="AA915">IF(LEFT(_xll.BDP($C915, VOLUME_AVG_3M), 4) = "#N/A", "",  _xll.BDP($C915, VOLUME_AVG_3M))</f>
        <v>175834.2</v>
      </c>
      <c r="AB915" s="31" cm="1">
        <f t="array" ref="AB915">IF(LEFT(_xll.BDP($C915, VOLUME_AVG_6M), 4) = "#N/A", "",  _xll.BDP($C915, VOLUME_AVG_6M))</f>
        <v>108841.3</v>
      </c>
      <c r="AC915" s="31" cm="1">
        <f t="array" ref="AC915">IF(LEFT(_xll.BDP($C915, VOLUME_AVG_12M), 4) = "#N/A", "",  _xll.BDP($C915, VOLUME_AVG_12M))</f>
        <v>91988.34</v>
      </c>
      <c r="AD915" s="41" cm="1">
        <f t="array" ref="AD915">IF(LEFT(_xll.BDP($C915, LAST_PRICE), 4) = "#N/A", "",  _xll.BDP($C915, LAST_PRICE))</f>
        <v>3.1</v>
      </c>
    </row>
    <row r="916" spans="1:30" x14ac:dyDescent="0.35">
      <c r="A916" s="1">
        <f t="shared" si="14"/>
        <v>913</v>
      </c>
      <c r="B916" s="28">
        <v>45700</v>
      </c>
      <c r="C916" s="29" t="s">
        <v>1884</v>
      </c>
      <c r="D916" s="29" t="s">
        <v>1884</v>
      </c>
      <c r="E916" s="29" t="s">
        <v>1885</v>
      </c>
      <c r="F916" s="29" t="s">
        <v>33</v>
      </c>
      <c r="G916" s="30" t="s">
        <v>34</v>
      </c>
      <c r="H916" s="31"/>
      <c r="I916" s="31"/>
      <c r="J916" s="32"/>
      <c r="K916" s="33">
        <v>45700</v>
      </c>
      <c r="L916" s="31"/>
      <c r="M916" s="32"/>
      <c r="N916" s="31"/>
      <c r="O916" s="33">
        <v>45699</v>
      </c>
      <c r="P916" s="34"/>
      <c r="Q916" s="34">
        <v>49700.88671875</v>
      </c>
      <c r="R916" s="34">
        <v>28650.919921875</v>
      </c>
      <c r="S916" s="29"/>
      <c r="T916" s="33"/>
      <c r="U916" s="35" t="b">
        <v>1</v>
      </c>
      <c r="V916" s="35" t="b">
        <v>1</v>
      </c>
      <c r="W916" s="35" t="b">
        <v>1</v>
      </c>
      <c r="Y916" s="31" cm="1">
        <f t="array" ref="Y916">IF(LEFT(_xll.BDP($C916, VOLUME_AVG_10D), 4) = "#N/A", "",  _xll.BDP($C916, VOLUME_AVG_10D))</f>
        <v>0</v>
      </c>
      <c r="Z916" s="31" cm="1">
        <f t="array" ref="Z916">IF(LEFT(_xll.BDP($C916, VOLUME_AVG_30D), 4) = "#N/A", "",  _xll.BDP($C916, VOLUME_AVG_30D))</f>
        <v>0</v>
      </c>
      <c r="AA916" s="31" cm="1">
        <f t="array" ref="AA916">IF(LEFT(_xll.BDP($C916, VOLUME_AVG_3M), 4) = "#N/A", "",  _xll.BDP($C916, VOLUME_AVG_3M))</f>
        <v>49700.88671875</v>
      </c>
      <c r="AB916" s="31" cm="1">
        <f t="array" ref="AB916">IF(LEFT(_xll.BDP($C916, VOLUME_AVG_6M), 4) = "#N/A", "",  _xll.BDP($C916, VOLUME_AVG_6M))</f>
        <v>28650.919921875</v>
      </c>
      <c r="AC916" s="31" cm="1">
        <f t="array" ref="AC916">IF(LEFT(_xll.BDP($C916, VOLUME_AVG_12M), 4) = "#N/A", "",  _xll.BDP($C916, VOLUME_AVG_12M))</f>
        <v>47273.5078125</v>
      </c>
      <c r="AD916" s="41" t="str" cm="1">
        <f t="array" ref="AD916">IF(LEFT(_xll.BDP($C916, LAST_PRICE), 4) = "#N/A", "",  _xll.BDP($C916, LAST_PRICE))</f>
        <v/>
      </c>
    </row>
    <row r="917" spans="1:30" x14ac:dyDescent="0.35">
      <c r="A917" s="1">
        <f t="shared" si="14"/>
        <v>914</v>
      </c>
      <c r="B917" s="28">
        <v>45700</v>
      </c>
      <c r="C917" s="29" t="s">
        <v>1886</v>
      </c>
      <c r="D917" s="29" t="s">
        <v>1886</v>
      </c>
      <c r="E917" s="29" t="s">
        <v>1887</v>
      </c>
      <c r="F917" s="29" t="s">
        <v>33</v>
      </c>
      <c r="G917" s="30" t="s">
        <v>34</v>
      </c>
      <c r="H917" s="31">
        <v>2071702.58013065</v>
      </c>
      <c r="I917" s="31">
        <v>2505625.5801306502</v>
      </c>
      <c r="J917" s="32">
        <v>6.99999975040555E-4</v>
      </c>
      <c r="K917" s="33">
        <v>45700</v>
      </c>
      <c r="L917" s="31"/>
      <c r="M917" s="32"/>
      <c r="N917" s="31"/>
      <c r="O917" s="33">
        <v>45699</v>
      </c>
      <c r="P917" s="34">
        <v>11288148</v>
      </c>
      <c r="Q917" s="34">
        <v>5817191</v>
      </c>
      <c r="R917" s="34">
        <v>4400237.5</v>
      </c>
      <c r="S917" s="29"/>
      <c r="T917" s="33"/>
      <c r="U917" s="35" t="b">
        <v>1</v>
      </c>
      <c r="V917" s="35" t="b">
        <v>1</v>
      </c>
      <c r="W917" s="35" t="b">
        <v>0</v>
      </c>
      <c r="Y917" s="31" cm="1">
        <f t="array" ref="Y917">IF(LEFT(_xll.BDP($C917, VOLUME_AVG_10D), 4) = "#N/A", "",  _xll.BDP($C917, VOLUME_AVG_10D))</f>
        <v>4140784.5</v>
      </c>
      <c r="Z917" s="31" cm="1">
        <f t="array" ref="Z917">IF(LEFT(_xll.BDP($C917, VOLUME_AVG_30D), 4) = "#N/A", "",  _xll.BDP($C917, VOLUME_AVG_30D))</f>
        <v>11288148</v>
      </c>
      <c r="AA917" s="31" cm="1">
        <f t="array" ref="AA917">IF(LEFT(_xll.BDP($C917, VOLUME_AVG_3M), 4) = "#N/A", "",  _xll.BDP($C917, VOLUME_AVG_3M))</f>
        <v>5817191</v>
      </c>
      <c r="AB917" s="31" cm="1">
        <f t="array" ref="AB917">IF(LEFT(_xll.BDP($C917, VOLUME_AVG_6M), 4) = "#N/A", "",  _xll.BDP($C917, VOLUME_AVG_6M))</f>
        <v>4400237.5</v>
      </c>
      <c r="AC917" s="31" cm="1">
        <f t="array" ref="AC917">IF(LEFT(_xll.BDP($C917, VOLUME_AVG_12M), 4) = "#N/A", "",  _xll.BDP($C917, VOLUME_AVG_12M))</f>
        <v>3145890.25</v>
      </c>
      <c r="AD917" s="41" cm="1">
        <f t="array" ref="AD917">IF(LEFT(_xll.BDP($C917, LAST_PRICE), 4) = "#N/A", "",  _xll.BDP($C917, LAST_PRICE))</f>
        <v>6.9999999999999999E-4</v>
      </c>
    </row>
    <row r="918" spans="1:30" x14ac:dyDescent="0.35">
      <c r="A918" s="1">
        <f t="shared" si="14"/>
        <v>915</v>
      </c>
      <c r="B918" s="28">
        <v>45700</v>
      </c>
      <c r="C918" s="29" t="s">
        <v>1888</v>
      </c>
      <c r="D918" s="29" t="s">
        <v>1888</v>
      </c>
      <c r="E918" s="29" t="s">
        <v>1889</v>
      </c>
      <c r="F918" s="29" t="s">
        <v>33</v>
      </c>
      <c r="G918" s="30" t="s">
        <v>34</v>
      </c>
      <c r="H918" s="31"/>
      <c r="I918" s="31"/>
      <c r="J918" s="32"/>
      <c r="K918" s="33">
        <v>45700</v>
      </c>
      <c r="L918" s="31"/>
      <c r="M918" s="32"/>
      <c r="N918" s="31"/>
      <c r="O918" s="33">
        <v>45699</v>
      </c>
      <c r="P918" s="34"/>
      <c r="Q918" s="34"/>
      <c r="R918" s="34"/>
      <c r="S918" s="29"/>
      <c r="T918" s="33"/>
      <c r="U918" s="35" t="b">
        <v>1</v>
      </c>
      <c r="V918" s="35" t="b">
        <v>1</v>
      </c>
      <c r="W918" s="35" t="b">
        <v>1</v>
      </c>
      <c r="Y918" s="31" t="str" cm="1">
        <f t="array" ref="Y918">IF(LEFT(_xll.BDP($C918, VOLUME_AVG_10D), 4) = "#N/A", "",  _xll.BDP($C918, VOLUME_AVG_10D))</f>
        <v/>
      </c>
      <c r="Z918" s="31" t="str" cm="1">
        <f t="array" ref="Z918">IF(LEFT(_xll.BDP($C918, VOLUME_AVG_30D), 4) = "#N/A", "",  _xll.BDP($C918, VOLUME_AVG_30D))</f>
        <v/>
      </c>
      <c r="AA918" s="31" t="str" cm="1">
        <f t="array" ref="AA918">IF(LEFT(_xll.BDP($C918, VOLUME_AVG_3M), 4) = "#N/A", "",  _xll.BDP($C918, VOLUME_AVG_3M))</f>
        <v/>
      </c>
      <c r="AB918" s="31" t="str" cm="1">
        <f t="array" ref="AB918">IF(LEFT(_xll.BDP($C918, VOLUME_AVG_6M), 4) = "#N/A", "",  _xll.BDP($C918, VOLUME_AVG_6M))</f>
        <v/>
      </c>
      <c r="AC918" s="31" t="str" cm="1">
        <f t="array" ref="AC918">IF(LEFT(_xll.BDP($C918, VOLUME_AVG_12M), 4) = "#N/A", "",  _xll.BDP($C918, VOLUME_AVG_12M))</f>
        <v/>
      </c>
      <c r="AD918" s="41" t="str" cm="1">
        <f t="array" ref="AD918">IF(LEFT(_xll.BDP($C918, LAST_PRICE), 4) = "#N/A", "",  _xll.BDP($C918, LAST_PRICE))</f>
        <v/>
      </c>
    </row>
    <row r="919" spans="1:30" x14ac:dyDescent="0.35">
      <c r="A919" s="1">
        <f t="shared" si="14"/>
        <v>916</v>
      </c>
      <c r="B919" s="28">
        <v>45700</v>
      </c>
      <c r="C919" s="29" t="s">
        <v>1890</v>
      </c>
      <c r="D919" s="29" t="s">
        <v>1890</v>
      </c>
      <c r="E919" s="29" t="s">
        <v>1891</v>
      </c>
      <c r="F919" s="29" t="s">
        <v>33</v>
      </c>
      <c r="G919" s="30" t="s">
        <v>34</v>
      </c>
      <c r="H919" s="31">
        <v>8430.4627</v>
      </c>
      <c r="I919" s="31">
        <v>-82276.537299999996</v>
      </c>
      <c r="J919" s="32"/>
      <c r="K919" s="33">
        <v>45700</v>
      </c>
      <c r="L919" s="31"/>
      <c r="M919" s="32"/>
      <c r="N919" s="31"/>
      <c r="O919" s="33">
        <v>45699</v>
      </c>
      <c r="P919" s="34">
        <v>33.333332061767599</v>
      </c>
      <c r="Q919" s="34">
        <v>684.38708496093795</v>
      </c>
      <c r="R919" s="34">
        <v>377.23809814453102</v>
      </c>
      <c r="S919" s="29"/>
      <c r="T919" s="33"/>
      <c r="U919" s="35" t="b">
        <v>1</v>
      </c>
      <c r="V919" s="35" t="b">
        <v>1</v>
      </c>
      <c r="W919" s="35" t="b">
        <v>1</v>
      </c>
      <c r="Y919" s="31" cm="1">
        <f t="array" ref="Y919">IF(LEFT(_xll.BDP($C919, VOLUME_AVG_10D), 4) = "#N/A", "",  _xll.BDP($C919, VOLUME_AVG_10D))</f>
        <v>0</v>
      </c>
      <c r="Z919" s="31" cm="1">
        <f t="array" ref="Z919">IF(LEFT(_xll.BDP($C919, VOLUME_AVG_30D), 4) = "#N/A", "",  _xll.BDP($C919, VOLUME_AVG_30D))</f>
        <v>33.333332061767578</v>
      </c>
      <c r="AA919" s="31" cm="1">
        <f t="array" ref="AA919">IF(LEFT(_xll.BDP($C919, VOLUME_AVG_3M), 4) = "#N/A", "",  _xll.BDP($C919, VOLUME_AVG_3M))</f>
        <v>684.3870849609375</v>
      </c>
      <c r="AB919" s="31" cm="1">
        <f t="array" ref="AB919">IF(LEFT(_xll.BDP($C919, VOLUME_AVG_6M), 4) = "#N/A", "",  _xll.BDP($C919, VOLUME_AVG_6M))</f>
        <v>377.23809814453125</v>
      </c>
      <c r="AC919" s="31" cm="1">
        <f t="array" ref="AC919">IF(LEFT(_xll.BDP($C919, VOLUME_AVG_12M), 4) = "#N/A", "",  _xll.BDP($C919, VOLUME_AVG_12M))</f>
        <v>723.23504638671875</v>
      </c>
      <c r="AD919" s="41" cm="1">
        <f t="array" ref="AD919">IF(LEFT(_xll.BDP($C919, LAST_PRICE), 4) = "#N/A", "",  _xll.BDP($C919, LAST_PRICE))</f>
        <v>1E-4</v>
      </c>
    </row>
    <row r="920" spans="1:30" x14ac:dyDescent="0.35">
      <c r="A920" s="1">
        <f t="shared" si="14"/>
        <v>917</v>
      </c>
      <c r="B920" s="28">
        <v>45700</v>
      </c>
      <c r="C920" s="29" t="s">
        <v>1892</v>
      </c>
      <c r="D920" s="29" t="s">
        <v>1892</v>
      </c>
      <c r="E920" s="29" t="s">
        <v>1893</v>
      </c>
      <c r="F920" s="29" t="s">
        <v>33</v>
      </c>
      <c r="G920" s="30" t="s">
        <v>34</v>
      </c>
      <c r="H920" s="31">
        <v>284712.04472309601</v>
      </c>
      <c r="I920" s="31">
        <v>-576184.95527690405</v>
      </c>
      <c r="J920" s="32">
        <v>3.0000001424923501E-4</v>
      </c>
      <c r="K920" s="33">
        <v>45700</v>
      </c>
      <c r="L920" s="31"/>
      <c r="M920" s="32"/>
      <c r="N920" s="31"/>
      <c r="O920" s="33">
        <v>45699</v>
      </c>
      <c r="P920" s="34">
        <v>33709316</v>
      </c>
      <c r="Q920" s="34">
        <v>29547496</v>
      </c>
      <c r="R920" s="34">
        <v>20901066</v>
      </c>
      <c r="S920" s="29"/>
      <c r="T920" s="33"/>
      <c r="U920" s="35" t="b">
        <v>1</v>
      </c>
      <c r="V920" s="35" t="b">
        <v>1</v>
      </c>
      <c r="W920" s="35" t="b">
        <v>1</v>
      </c>
      <c r="Y920" s="31" cm="1">
        <f t="array" ref="Y920">IF(LEFT(_xll.BDP($C920, VOLUME_AVG_10D), 4) = "#N/A", "",  _xll.BDP($C920, VOLUME_AVG_10D))</f>
        <v>39342296</v>
      </c>
      <c r="Z920" s="31" cm="1">
        <f t="array" ref="Z920">IF(LEFT(_xll.BDP($C920, VOLUME_AVG_30D), 4) = "#N/A", "",  _xll.BDP($C920, VOLUME_AVG_30D))</f>
        <v>33709316</v>
      </c>
      <c r="AA920" s="31" cm="1">
        <f t="array" ref="AA920">IF(LEFT(_xll.BDP($C920, VOLUME_AVG_3M), 4) = "#N/A", "",  _xll.BDP($C920, VOLUME_AVG_3M))</f>
        <v>29547496</v>
      </c>
      <c r="AB920" s="31" cm="1">
        <f t="array" ref="AB920">IF(LEFT(_xll.BDP($C920, VOLUME_AVG_6M), 4) = "#N/A", "",  _xll.BDP($C920, VOLUME_AVG_6M))</f>
        <v>20901066</v>
      </c>
      <c r="AC920" s="31" cm="1">
        <f t="array" ref="AC920">IF(LEFT(_xll.BDP($C920, VOLUME_AVG_12M), 4) = "#N/A", "",  _xll.BDP($C920, VOLUME_AVG_12M))</f>
        <v>17622944</v>
      </c>
      <c r="AD920" s="41" cm="1">
        <f t="array" ref="AD920">IF(LEFT(_xll.BDP($C920, LAST_PRICE), 4) = "#N/A", "",  _xll.BDP($C920, LAST_PRICE))</f>
        <v>2.9999999999999997E-4</v>
      </c>
    </row>
    <row r="921" spans="1:30" x14ac:dyDescent="0.35">
      <c r="A921" s="1">
        <f t="shared" si="14"/>
        <v>918</v>
      </c>
      <c r="B921" s="28">
        <v>45700</v>
      </c>
      <c r="C921" s="29" t="s">
        <v>1894</v>
      </c>
      <c r="D921" s="29" t="s">
        <v>1894</v>
      </c>
      <c r="E921" s="29" t="s">
        <v>1895</v>
      </c>
      <c r="F921" s="29" t="s">
        <v>33</v>
      </c>
      <c r="G921" s="30" t="s">
        <v>34</v>
      </c>
      <c r="H921" s="31"/>
      <c r="I921" s="31"/>
      <c r="J921" s="32">
        <v>9.9999999747524292E-7</v>
      </c>
      <c r="K921" s="33">
        <v>45700</v>
      </c>
      <c r="L921" s="31"/>
      <c r="M921" s="32"/>
      <c r="N921" s="31"/>
      <c r="O921" s="33">
        <v>45699</v>
      </c>
      <c r="P921" s="34">
        <v>8036550.5</v>
      </c>
      <c r="Q921" s="34">
        <v>7748455</v>
      </c>
      <c r="R921" s="34">
        <v>5309050.5</v>
      </c>
      <c r="S921" s="29"/>
      <c r="T921" s="33"/>
      <c r="U921" s="35" t="b">
        <v>1</v>
      </c>
      <c r="V921" s="35" t="b">
        <v>1</v>
      </c>
      <c r="W921" s="35" t="b">
        <v>1</v>
      </c>
      <c r="Y921" s="31" cm="1">
        <f t="array" ref="Y921">IF(LEFT(_xll.BDP($C921, VOLUME_AVG_10D), 4) = "#N/A", "",  _xll.BDP($C921, VOLUME_AVG_10D))</f>
        <v>1710540</v>
      </c>
      <c r="Z921" s="31" cm="1">
        <f t="array" ref="Z921">IF(LEFT(_xll.BDP($C921, VOLUME_AVG_30D), 4) = "#N/A", "",  _xll.BDP($C921, VOLUME_AVG_30D))</f>
        <v>8036550.5</v>
      </c>
      <c r="AA921" s="31" cm="1">
        <f t="array" ref="AA921">IF(LEFT(_xll.BDP($C921, VOLUME_AVG_3M), 4) = "#N/A", "",  _xll.BDP($C921, VOLUME_AVG_3M))</f>
        <v>7748455</v>
      </c>
      <c r="AB921" s="31" cm="1">
        <f t="array" ref="AB921">IF(LEFT(_xll.BDP($C921, VOLUME_AVG_6M), 4) = "#N/A", "",  _xll.BDP($C921, VOLUME_AVG_6M))</f>
        <v>5309050.5</v>
      </c>
      <c r="AC921" s="31" cm="1">
        <f t="array" ref="AC921">IF(LEFT(_xll.BDP($C921, VOLUME_AVG_12M), 4) = "#N/A", "",  _xll.BDP($C921, VOLUME_AVG_12M))</f>
        <v>3463056.75</v>
      </c>
      <c r="AD921" s="41" cm="1">
        <f t="array" ref="AD921">IF(LEFT(_xll.BDP($C921, LAST_PRICE), 4) = "#N/A", "",  _xll.BDP($C921, LAST_PRICE))</f>
        <v>0</v>
      </c>
    </row>
    <row r="922" spans="1:30" x14ac:dyDescent="0.35">
      <c r="A922" s="1">
        <f t="shared" si="14"/>
        <v>919</v>
      </c>
      <c r="B922" s="28">
        <v>45700</v>
      </c>
      <c r="C922" s="29" t="s">
        <v>1896</v>
      </c>
      <c r="D922" s="29" t="s">
        <v>1896</v>
      </c>
      <c r="E922" s="29" t="s">
        <v>1897</v>
      </c>
      <c r="F922" s="29" t="s">
        <v>40</v>
      </c>
      <c r="G922" s="30" t="s">
        <v>41</v>
      </c>
      <c r="H922" s="31">
        <v>99334007.358152896</v>
      </c>
      <c r="I922" s="31">
        <v>69084007.358152896</v>
      </c>
      <c r="J922" s="32">
        <v>1.2699999809265099</v>
      </c>
      <c r="K922" s="33">
        <v>45700</v>
      </c>
      <c r="L922" s="31">
        <v>802500</v>
      </c>
      <c r="M922" s="32">
        <v>-19.350000000000001</v>
      </c>
      <c r="N922" s="31" t="s">
        <v>35</v>
      </c>
      <c r="O922" s="33">
        <v>45699</v>
      </c>
      <c r="P922" s="34">
        <v>153109</v>
      </c>
      <c r="Q922" s="34">
        <v>166210.20000000001</v>
      </c>
      <c r="R922" s="34">
        <v>141171.20000000001</v>
      </c>
      <c r="S922" s="29"/>
      <c r="T922" s="33"/>
      <c r="U922" s="35" t="b">
        <v>0</v>
      </c>
      <c r="V922" s="35" t="b">
        <v>0</v>
      </c>
      <c r="W922" s="35" t="b">
        <v>0</v>
      </c>
      <c r="Y922" s="31" cm="1">
        <f t="array" ref="Y922">IF(LEFT(_xll.BDP($C922, VOLUME_AVG_10D), 4) = "#N/A", "",  _xll.BDP($C922, VOLUME_AVG_10D))</f>
        <v>98654.5</v>
      </c>
      <c r="Z922" s="31" cm="1">
        <f t="array" ref="Z922">IF(LEFT(_xll.BDP($C922, VOLUME_AVG_30D), 4) = "#N/A", "",  _xll.BDP($C922, VOLUME_AVG_30D))</f>
        <v>153109</v>
      </c>
      <c r="AA922" s="31" cm="1">
        <f t="array" ref="AA922">IF(LEFT(_xll.BDP($C922, VOLUME_AVG_3M), 4) = "#N/A", "",  _xll.BDP($C922, VOLUME_AVG_3M))</f>
        <v>166210.20000000001</v>
      </c>
      <c r="AB922" s="31" cm="1">
        <f t="array" ref="AB922">IF(LEFT(_xll.BDP($C922, VOLUME_AVG_6M), 4) = "#N/A", "",  _xll.BDP($C922, VOLUME_AVG_6M))</f>
        <v>141171.20000000001</v>
      </c>
      <c r="AC922" s="31" cm="1">
        <f t="array" ref="AC922">IF(LEFT(_xll.BDP($C922, VOLUME_AVG_12M), 4) = "#N/A", "",  _xll.BDP($C922, VOLUME_AVG_12M))</f>
        <v>197050.3</v>
      </c>
      <c r="AD922" s="41" cm="1">
        <f t="array" ref="AD922">IF(LEFT(_xll.BDP($C922, LAST_PRICE), 4) = "#N/A", "",  _xll.BDP($C922, LAST_PRICE))</f>
        <v>1.27</v>
      </c>
    </row>
    <row r="923" spans="1:30" x14ac:dyDescent="0.35">
      <c r="A923" s="1">
        <f t="shared" si="14"/>
        <v>920</v>
      </c>
      <c r="B923" s="28">
        <v>45700</v>
      </c>
      <c r="C923" s="29" t="s">
        <v>1898</v>
      </c>
      <c r="D923" s="29" t="s">
        <v>1898</v>
      </c>
      <c r="E923" s="29" t="s">
        <v>1899</v>
      </c>
      <c r="F923" s="29" t="s">
        <v>33</v>
      </c>
      <c r="G923" s="30" t="s">
        <v>34</v>
      </c>
      <c r="H923" s="31">
        <v>469490.33808097203</v>
      </c>
      <c r="I923" s="31">
        <v>186273932.338081</v>
      </c>
      <c r="J923" s="32">
        <v>6.0000000521540598E-3</v>
      </c>
      <c r="K923" s="33">
        <v>45700</v>
      </c>
      <c r="L923" s="31"/>
      <c r="M923" s="32"/>
      <c r="N923" s="31"/>
      <c r="O923" s="33">
        <v>45699</v>
      </c>
      <c r="P923" s="34">
        <v>8938.7001953125</v>
      </c>
      <c r="Q923" s="34">
        <v>16597.791015625</v>
      </c>
      <c r="R923" s="34">
        <v>11517.5322265625</v>
      </c>
      <c r="S923" s="29"/>
      <c r="T923" s="33"/>
      <c r="U923" s="35" t="b">
        <v>1</v>
      </c>
      <c r="V923" s="35" t="b">
        <v>1</v>
      </c>
      <c r="W923" s="35" t="b">
        <v>0</v>
      </c>
      <c r="Y923" s="31" cm="1">
        <f t="array" ref="Y923">IF(LEFT(_xll.BDP($C923, VOLUME_AVG_10D), 4) = "#N/A", "",  _xll.BDP($C923, VOLUME_AVG_10D))</f>
        <v>4070.199951171875</v>
      </c>
      <c r="Z923" s="31" cm="1">
        <f t="array" ref="Z923">IF(LEFT(_xll.BDP($C923, VOLUME_AVG_30D), 4) = "#N/A", "",  _xll.BDP($C923, VOLUME_AVG_30D))</f>
        <v>8938.7001953125</v>
      </c>
      <c r="AA923" s="31" cm="1">
        <f t="array" ref="AA923">IF(LEFT(_xll.BDP($C923, VOLUME_AVG_3M), 4) = "#N/A", "",  _xll.BDP($C923, VOLUME_AVG_3M))</f>
        <v>16597.791015625</v>
      </c>
      <c r="AB923" s="31" cm="1">
        <f t="array" ref="AB923">IF(LEFT(_xll.BDP($C923, VOLUME_AVG_6M), 4) = "#N/A", "",  _xll.BDP($C923, VOLUME_AVG_6M))</f>
        <v>11517.5322265625</v>
      </c>
      <c r="AC923" s="31" cm="1">
        <f t="array" ref="AC923">IF(LEFT(_xll.BDP($C923, VOLUME_AVG_12M), 4) = "#N/A", "",  _xll.BDP($C923, VOLUME_AVG_12M))</f>
        <v>46000.8203125</v>
      </c>
      <c r="AD923" s="41" cm="1">
        <f t="array" ref="AD923">IF(LEFT(_xll.BDP($C923, LAST_PRICE), 4) = "#N/A", "",  _xll.BDP($C923, LAST_PRICE))</f>
        <v>6.0000000000000001E-3</v>
      </c>
    </row>
    <row r="924" spans="1:30" x14ac:dyDescent="0.35">
      <c r="A924" s="1">
        <f t="shared" si="14"/>
        <v>921</v>
      </c>
      <c r="B924" s="28">
        <v>45700</v>
      </c>
      <c r="C924" s="29" t="s">
        <v>1900</v>
      </c>
      <c r="D924" s="29" t="s">
        <v>1900</v>
      </c>
      <c r="E924" s="29" t="s">
        <v>1901</v>
      </c>
      <c r="F924" s="29" t="s">
        <v>33</v>
      </c>
      <c r="G924" s="30" t="s">
        <v>34</v>
      </c>
      <c r="H924" s="31">
        <v>90245094.277095094</v>
      </c>
      <c r="I924" s="31">
        <v>48421602.277095102</v>
      </c>
      <c r="J924" s="32">
        <v>1.8400000333786</v>
      </c>
      <c r="K924" s="33">
        <v>45700</v>
      </c>
      <c r="L924" s="31">
        <v>1568500</v>
      </c>
      <c r="M924" s="32">
        <v>2.95</v>
      </c>
      <c r="N924" s="31" t="s">
        <v>35</v>
      </c>
      <c r="O924" s="33">
        <v>45699</v>
      </c>
      <c r="P924" s="34">
        <v>23555.3671875</v>
      </c>
      <c r="Q924" s="34">
        <v>76915.53125</v>
      </c>
      <c r="R924" s="34">
        <v>57738.13671875</v>
      </c>
      <c r="S924" s="29"/>
      <c r="T924" s="33"/>
      <c r="U924" s="35" t="b">
        <v>0</v>
      </c>
      <c r="V924" s="35" t="b">
        <v>0</v>
      </c>
      <c r="W924" s="35" t="b">
        <v>0</v>
      </c>
      <c r="Y924" s="31" cm="1">
        <f t="array" ref="Y924">IF(LEFT(_xll.BDP($C924, VOLUME_AVG_10D), 4) = "#N/A", "",  _xll.BDP($C924, VOLUME_AVG_10D))</f>
        <v>19453.19921875</v>
      </c>
      <c r="Z924" s="31" cm="1">
        <f t="array" ref="Z924">IF(LEFT(_xll.BDP($C924, VOLUME_AVG_30D), 4) = "#N/A", "",  _xll.BDP($C924, VOLUME_AVG_30D))</f>
        <v>23555.3671875</v>
      </c>
      <c r="AA924" s="31" cm="1">
        <f t="array" ref="AA924">IF(LEFT(_xll.BDP($C924, VOLUME_AVG_3M), 4) = "#N/A", "",  _xll.BDP($C924, VOLUME_AVG_3M))</f>
        <v>76915.53125</v>
      </c>
      <c r="AB924" s="31" cm="1">
        <f t="array" ref="AB924">IF(LEFT(_xll.BDP($C924, VOLUME_AVG_6M), 4) = "#N/A", "",  _xll.BDP($C924, VOLUME_AVG_6M))</f>
        <v>57738.13671875</v>
      </c>
      <c r="AC924" s="31" cm="1">
        <f t="array" ref="AC924">IF(LEFT(_xll.BDP($C924, VOLUME_AVG_12M), 4) = "#N/A", "",  _xll.BDP($C924, VOLUME_AVG_12M))</f>
        <v>46820.48828125</v>
      </c>
      <c r="AD924" s="41" cm="1">
        <f t="array" ref="AD924">IF(LEFT(_xll.BDP($C924, LAST_PRICE), 4) = "#N/A", "",  _xll.BDP($C924, LAST_PRICE))</f>
        <v>1.84</v>
      </c>
    </row>
    <row r="925" spans="1:30" x14ac:dyDescent="0.35">
      <c r="A925" s="1">
        <f t="shared" si="14"/>
        <v>922</v>
      </c>
      <c r="B925" s="28">
        <v>45700</v>
      </c>
      <c r="C925" s="29" t="s">
        <v>1902</v>
      </c>
      <c r="D925" s="29" t="s">
        <v>1902</v>
      </c>
      <c r="E925" s="29" t="s">
        <v>1903</v>
      </c>
      <c r="F925" s="29" t="s">
        <v>40</v>
      </c>
      <c r="G925" s="30" t="s">
        <v>41</v>
      </c>
      <c r="H925" s="31">
        <v>8244687.2699999996</v>
      </c>
      <c r="I925" s="31">
        <v>4278687.2699999996</v>
      </c>
      <c r="J925" s="32">
        <v>0.79</v>
      </c>
      <c r="K925" s="33">
        <v>45700</v>
      </c>
      <c r="L925" s="31"/>
      <c r="M925" s="32"/>
      <c r="N925" s="31"/>
      <c r="O925" s="33">
        <v>45699</v>
      </c>
      <c r="P925" s="34">
        <v>1444.933</v>
      </c>
      <c r="Q925" s="34">
        <v>1430.4839999999999</v>
      </c>
      <c r="R925" s="34">
        <v>1904.732</v>
      </c>
      <c r="S925" s="29"/>
      <c r="T925" s="33"/>
      <c r="U925" s="35" t="b">
        <v>1</v>
      </c>
      <c r="V925" s="35" t="b">
        <v>0</v>
      </c>
      <c r="W925" s="35" t="b">
        <v>0</v>
      </c>
      <c r="Y925" s="31" cm="1">
        <f t="array" ref="Y925">IF(LEFT(_xll.BDP($C925, VOLUME_AVG_10D), 4) = "#N/A", "",  _xll.BDP($C925, VOLUME_AVG_10D))</f>
        <v>2869.6</v>
      </c>
      <c r="Z925" s="31" cm="1">
        <f t="array" ref="Z925">IF(LEFT(_xll.BDP($C925, VOLUME_AVG_30D), 4) = "#N/A", "",  _xll.BDP($C925, VOLUME_AVG_30D))</f>
        <v>1444.933</v>
      </c>
      <c r="AA925" s="31" cm="1">
        <f t="array" ref="AA925">IF(LEFT(_xll.BDP($C925, VOLUME_AVG_3M), 4) = "#N/A", "",  _xll.BDP($C925, VOLUME_AVG_3M))</f>
        <v>1430.4839999999999</v>
      </c>
      <c r="AB925" s="31" cm="1">
        <f t="array" ref="AB925">IF(LEFT(_xll.BDP($C925, VOLUME_AVG_6M), 4) = "#N/A", "",  _xll.BDP($C925, VOLUME_AVG_6M))</f>
        <v>1904.732</v>
      </c>
      <c r="AC925" s="31" cm="1">
        <f t="array" ref="AC925">IF(LEFT(_xll.BDP($C925, VOLUME_AVG_12M), 4) = "#N/A", "",  _xll.BDP($C925, VOLUME_AVG_12M))</f>
        <v>2549.5039999999999</v>
      </c>
      <c r="AD925" s="41" cm="1">
        <f t="array" ref="AD925">IF(LEFT(_xll.BDP($C925, LAST_PRICE), 4) = "#N/A", "",  _xll.BDP($C925, LAST_PRICE))</f>
        <v>0.79</v>
      </c>
    </row>
    <row r="926" spans="1:30" x14ac:dyDescent="0.35">
      <c r="A926" s="1">
        <f t="shared" si="14"/>
        <v>923</v>
      </c>
      <c r="B926" s="28">
        <v>45700</v>
      </c>
      <c r="C926" s="29" t="s">
        <v>1904</v>
      </c>
      <c r="D926" s="29" t="s">
        <v>1904</v>
      </c>
      <c r="E926" s="29" t="s">
        <v>1905</v>
      </c>
      <c r="F926" s="29" t="s">
        <v>40</v>
      </c>
      <c r="G926" s="30" t="s">
        <v>41</v>
      </c>
      <c r="H926" s="31">
        <v>41760101.965570502</v>
      </c>
      <c r="I926" s="31">
        <v>41645324.965570502</v>
      </c>
      <c r="J926" s="32">
        <v>3.8499999046325701</v>
      </c>
      <c r="K926" s="33">
        <v>45700</v>
      </c>
      <c r="L926" s="31">
        <v>20400</v>
      </c>
      <c r="M926" s="32">
        <v>-11.3</v>
      </c>
      <c r="N926" s="31" t="s">
        <v>35</v>
      </c>
      <c r="O926" s="33">
        <v>45699</v>
      </c>
      <c r="P926" s="34">
        <v>287.73329999999999</v>
      </c>
      <c r="Q926" s="34">
        <v>750.71879999999999</v>
      </c>
      <c r="R926" s="34">
        <v>1140.1420000000001</v>
      </c>
      <c r="S926" s="29"/>
      <c r="T926" s="33"/>
      <c r="U926" s="35" t="b">
        <v>0</v>
      </c>
      <c r="V926" s="35" t="b">
        <v>0</v>
      </c>
      <c r="W926" s="35" t="b">
        <v>0</v>
      </c>
      <c r="Y926" s="31" cm="1">
        <f t="array" ref="Y926">IF(LEFT(_xll.BDP($C926, VOLUME_AVG_10D), 4) = "#N/A", "",  _xll.BDP($C926, VOLUME_AVG_10D))</f>
        <v>236.3</v>
      </c>
      <c r="Z926" s="31" cm="1">
        <f t="array" ref="Z926">IF(LEFT(_xll.BDP($C926, VOLUME_AVG_30D), 4) = "#N/A", "",  _xll.BDP($C926, VOLUME_AVG_30D))</f>
        <v>287.73329999999999</v>
      </c>
      <c r="AA926" s="31" cm="1">
        <f t="array" ref="AA926">IF(LEFT(_xll.BDP($C926, VOLUME_AVG_3M), 4) = "#N/A", "",  _xll.BDP($C926, VOLUME_AVG_3M))</f>
        <v>750.71879999999999</v>
      </c>
      <c r="AB926" s="31" cm="1">
        <f t="array" ref="AB926">IF(LEFT(_xll.BDP($C926, VOLUME_AVG_6M), 4) = "#N/A", "",  _xll.BDP($C926, VOLUME_AVG_6M))</f>
        <v>1140.1420000000001</v>
      </c>
      <c r="AC926" s="31" cm="1">
        <f t="array" ref="AC926">IF(LEFT(_xll.BDP($C926, VOLUME_AVG_12M), 4) = "#N/A", "",  _xll.BDP($C926, VOLUME_AVG_12M))</f>
        <v>1076.1980000000001</v>
      </c>
      <c r="AD926" s="41" cm="1">
        <f t="array" ref="AD926">IF(LEFT(_xll.BDP($C926, LAST_PRICE), 4) = "#N/A", "",  _xll.BDP($C926, LAST_PRICE))</f>
        <v>3.85</v>
      </c>
    </row>
    <row r="927" spans="1:30" x14ac:dyDescent="0.35">
      <c r="A927" s="1">
        <f t="shared" si="14"/>
        <v>924</v>
      </c>
      <c r="B927" s="28">
        <v>45700</v>
      </c>
      <c r="C927" s="29" t="s">
        <v>1906</v>
      </c>
      <c r="D927" s="29" t="s">
        <v>1906</v>
      </c>
      <c r="E927" s="29" t="s">
        <v>1907</v>
      </c>
      <c r="F927" s="29" t="s">
        <v>40</v>
      </c>
      <c r="G927" s="30" t="s">
        <v>41</v>
      </c>
      <c r="H927" s="31">
        <v>26974910.935566101</v>
      </c>
      <c r="I927" s="31">
        <v>14536910.935566099</v>
      </c>
      <c r="J927" s="32">
        <v>6.4999997615814195E-2</v>
      </c>
      <c r="K927" s="33">
        <v>45700</v>
      </c>
      <c r="L927" s="31">
        <v>4057100</v>
      </c>
      <c r="M927" s="32">
        <v>-0.8</v>
      </c>
      <c r="N927" s="31" t="s">
        <v>35</v>
      </c>
      <c r="O927" s="33">
        <v>45699</v>
      </c>
      <c r="P927" s="34">
        <v>642330.69999999995</v>
      </c>
      <c r="Q927" s="34">
        <v>588916.30000000005</v>
      </c>
      <c r="R927" s="34">
        <v>461198.4</v>
      </c>
      <c r="S927" s="29"/>
      <c r="T927" s="33"/>
      <c r="U927" s="35" t="b">
        <v>0</v>
      </c>
      <c r="V927" s="35" t="b">
        <v>1</v>
      </c>
      <c r="W927" s="35" t="b">
        <v>0</v>
      </c>
      <c r="Y927" s="31" cm="1">
        <f t="array" ref="Y927">IF(LEFT(_xll.BDP($C927, VOLUME_AVG_10D), 4) = "#N/A", "",  _xll.BDP($C927, VOLUME_AVG_10D))</f>
        <v>897552.8</v>
      </c>
      <c r="Z927" s="31" cm="1">
        <f t="array" ref="Z927">IF(LEFT(_xll.BDP($C927, VOLUME_AVG_30D), 4) = "#N/A", "",  _xll.BDP($C927, VOLUME_AVG_30D))</f>
        <v>642330.69999999995</v>
      </c>
      <c r="AA927" s="31" cm="1">
        <f t="array" ref="AA927">IF(LEFT(_xll.BDP($C927, VOLUME_AVG_3M), 4) = "#N/A", "",  _xll.BDP($C927, VOLUME_AVG_3M))</f>
        <v>588916.30000000005</v>
      </c>
      <c r="AB927" s="31" cm="1">
        <f t="array" ref="AB927">IF(LEFT(_xll.BDP($C927, VOLUME_AVG_6M), 4) = "#N/A", "",  _xll.BDP($C927, VOLUME_AVG_6M))</f>
        <v>461198.4</v>
      </c>
      <c r="AC927" s="31" cm="1">
        <f t="array" ref="AC927">IF(LEFT(_xll.BDP($C927, VOLUME_AVG_12M), 4) = "#N/A", "",  _xll.BDP($C927, VOLUME_AVG_12M))</f>
        <v>428204.1</v>
      </c>
      <c r="AD927" s="41" cm="1">
        <f t="array" ref="AD927">IF(LEFT(_xll.BDP($C927, LAST_PRICE), 4) = "#N/A", "",  _xll.BDP($C927, LAST_PRICE))</f>
        <v>6.5000000000000002E-2</v>
      </c>
    </row>
    <row r="928" spans="1:30" x14ac:dyDescent="0.35">
      <c r="A928" s="1">
        <f t="shared" si="14"/>
        <v>925</v>
      </c>
      <c r="B928" s="28">
        <v>45700</v>
      </c>
      <c r="C928" s="29" t="s">
        <v>1908</v>
      </c>
      <c r="D928" s="29" t="s">
        <v>1908</v>
      </c>
      <c r="E928" s="29" t="s">
        <v>1909</v>
      </c>
      <c r="F928" s="29" t="s">
        <v>33</v>
      </c>
      <c r="G928" s="30" t="s">
        <v>34</v>
      </c>
      <c r="H928" s="31"/>
      <c r="I928" s="31"/>
      <c r="J928" s="32"/>
      <c r="K928" s="33">
        <v>45700</v>
      </c>
      <c r="L928" s="31"/>
      <c r="M928" s="32"/>
      <c r="N928" s="31"/>
      <c r="O928" s="33">
        <v>45699</v>
      </c>
      <c r="P928" s="34"/>
      <c r="Q928" s="34">
        <v>277.08065795898398</v>
      </c>
      <c r="R928" s="34">
        <v>664.50793457031295</v>
      </c>
      <c r="S928" s="29"/>
      <c r="T928" s="33"/>
      <c r="U928" s="35" t="b">
        <v>1</v>
      </c>
      <c r="V928" s="35" t="b">
        <v>1</v>
      </c>
      <c r="W928" s="35" t="b">
        <v>1</v>
      </c>
      <c r="Y928" s="31" cm="1">
        <f t="array" ref="Y928">IF(LEFT(_xll.BDP($C928, VOLUME_AVG_10D), 4) = "#N/A", "",  _xll.BDP($C928, VOLUME_AVG_10D))</f>
        <v>0</v>
      </c>
      <c r="Z928" s="31" cm="1">
        <f t="array" ref="Z928">IF(LEFT(_xll.BDP($C928, VOLUME_AVG_30D), 4) = "#N/A", "",  _xll.BDP($C928, VOLUME_AVG_30D))</f>
        <v>0</v>
      </c>
      <c r="AA928" s="31" cm="1">
        <f t="array" ref="AA928">IF(LEFT(_xll.BDP($C928, VOLUME_AVG_3M), 4) = "#N/A", "",  _xll.BDP($C928, VOLUME_AVG_3M))</f>
        <v>277.08065795898438</v>
      </c>
      <c r="AB928" s="31" cm="1">
        <f t="array" ref="AB928">IF(LEFT(_xll.BDP($C928, VOLUME_AVG_6M), 4) = "#N/A", "",  _xll.BDP($C928, VOLUME_AVG_6M))</f>
        <v>664.5079345703125</v>
      </c>
      <c r="AC928" s="31" cm="1">
        <f t="array" ref="AC928">IF(LEFT(_xll.BDP($C928, VOLUME_AVG_12M), 4) = "#N/A", "",  _xll.BDP($C928, VOLUME_AVG_12M))</f>
        <v>333.67727661132813</v>
      </c>
      <c r="AD928" s="41" t="str" cm="1">
        <f t="array" ref="AD928">IF(LEFT(_xll.BDP($C928, LAST_PRICE), 4) = "#N/A", "",  _xll.BDP($C928, LAST_PRICE))</f>
        <v/>
      </c>
    </row>
    <row r="929" spans="1:30" x14ac:dyDescent="0.35">
      <c r="A929" s="1">
        <f t="shared" si="14"/>
        <v>926</v>
      </c>
      <c r="B929" s="28">
        <v>45700</v>
      </c>
      <c r="C929" s="29" t="s">
        <v>1910</v>
      </c>
      <c r="D929" s="29" t="s">
        <v>1910</v>
      </c>
      <c r="E929" s="29" t="s">
        <v>1911</v>
      </c>
      <c r="F929" s="29" t="s">
        <v>33</v>
      </c>
      <c r="G929" s="30" t="s">
        <v>34</v>
      </c>
      <c r="H929" s="31">
        <v>192969100.88648999</v>
      </c>
      <c r="I929" s="31">
        <v>154593100.88648999</v>
      </c>
      <c r="J929" s="32">
        <v>17.889999389648398</v>
      </c>
      <c r="K929" s="33">
        <v>45700</v>
      </c>
      <c r="L929" s="31"/>
      <c r="M929" s="32"/>
      <c r="N929" s="31"/>
      <c r="O929" s="33">
        <v>45699</v>
      </c>
      <c r="P929" s="34">
        <v>73511.703125</v>
      </c>
      <c r="Q929" s="34">
        <v>64566.41796875</v>
      </c>
      <c r="R929" s="34">
        <v>55908.484375</v>
      </c>
      <c r="S929" s="29" t="s">
        <v>1464</v>
      </c>
      <c r="T929" s="33">
        <v>45446</v>
      </c>
      <c r="U929" s="35" t="b">
        <v>0</v>
      </c>
      <c r="V929" s="35" t="b">
        <v>0</v>
      </c>
      <c r="W929" s="35" t="b">
        <v>0</v>
      </c>
      <c r="Y929" s="31" cm="1">
        <f t="array" ref="Y929">IF(LEFT(_xll.BDP($C929, VOLUME_AVG_10D), 4) = "#N/A", "",  _xll.BDP($C929, VOLUME_AVG_10D))</f>
        <v>64532.8984375</v>
      </c>
      <c r="Z929" s="31" cm="1">
        <f t="array" ref="Z929">IF(LEFT(_xll.BDP($C929, VOLUME_AVG_30D), 4) = "#N/A", "",  _xll.BDP($C929, VOLUME_AVG_30D))</f>
        <v>73511.703125</v>
      </c>
      <c r="AA929" s="31" cm="1">
        <f t="array" ref="AA929">IF(LEFT(_xll.BDP($C929, VOLUME_AVG_3M), 4) = "#N/A", "",  _xll.BDP($C929, VOLUME_AVG_3M))</f>
        <v>64566.41796875</v>
      </c>
      <c r="AB929" s="31" cm="1">
        <f t="array" ref="AB929">IF(LEFT(_xll.BDP($C929, VOLUME_AVG_6M), 4) = "#N/A", "",  _xll.BDP($C929, VOLUME_AVG_6M))</f>
        <v>55908.484375</v>
      </c>
      <c r="AC929" s="31" cm="1">
        <f t="array" ref="AC929">IF(LEFT(_xll.BDP($C929, VOLUME_AVG_12M), 4) = "#N/A", "",  _xll.BDP($C929, VOLUME_AVG_12M))</f>
        <v>90274.65625</v>
      </c>
      <c r="AD929" s="41" cm="1">
        <f t="array" ref="AD929">IF(LEFT(_xll.BDP($C929, LAST_PRICE), 4) = "#N/A", "",  _xll.BDP($C929, LAST_PRICE))</f>
        <v>17.89</v>
      </c>
    </row>
    <row r="930" spans="1:30" x14ac:dyDescent="0.35">
      <c r="A930" s="1">
        <f t="shared" si="14"/>
        <v>927</v>
      </c>
      <c r="B930" s="28">
        <v>45700</v>
      </c>
      <c r="C930" s="29" t="s">
        <v>1912</v>
      </c>
      <c r="D930" s="29" t="s">
        <v>1912</v>
      </c>
      <c r="E930" s="29" t="s">
        <v>1913</v>
      </c>
      <c r="F930" s="29" t="s">
        <v>33</v>
      </c>
      <c r="G930" s="30" t="s">
        <v>34</v>
      </c>
      <c r="H930" s="31">
        <v>758345.23450000002</v>
      </c>
      <c r="I930" s="31"/>
      <c r="J930" s="32">
        <v>3.5000000000000001E-3</v>
      </c>
      <c r="K930" s="33">
        <v>45700</v>
      </c>
      <c r="L930" s="31"/>
      <c r="M930" s="32"/>
      <c r="N930" s="31"/>
      <c r="O930" s="33">
        <v>45699</v>
      </c>
      <c r="P930" s="34">
        <v>990.03332519531295</v>
      </c>
      <c r="Q930" s="34">
        <v>796.79034423828102</v>
      </c>
      <c r="R930" s="34">
        <v>427.78570556640602</v>
      </c>
      <c r="S930" s="29"/>
      <c r="T930" s="33"/>
      <c r="U930" s="35" t="b">
        <v>1</v>
      </c>
      <c r="V930" s="35" t="b">
        <v>1</v>
      </c>
      <c r="W930" s="35" t="b">
        <v>1</v>
      </c>
      <c r="Y930" s="31" cm="1">
        <f t="array" ref="Y930">IF(LEFT(_xll.BDP($C930, VOLUME_AVG_10D), 4) = "#N/A", "",  _xll.BDP($C930, VOLUME_AVG_10D))</f>
        <v>0</v>
      </c>
      <c r="Z930" s="31" cm="1">
        <f t="array" ref="Z930">IF(LEFT(_xll.BDP($C930, VOLUME_AVG_30D), 4) = "#N/A", "",  _xll.BDP($C930, VOLUME_AVG_30D))</f>
        <v>990.0333251953125</v>
      </c>
      <c r="AA930" s="31" cm="1">
        <f t="array" ref="AA930">IF(LEFT(_xll.BDP($C930, VOLUME_AVG_3M), 4) = "#N/A", "",  _xll.BDP($C930, VOLUME_AVG_3M))</f>
        <v>796.79034423828125</v>
      </c>
      <c r="AB930" s="31" cm="1">
        <f t="array" ref="AB930">IF(LEFT(_xll.BDP($C930, VOLUME_AVG_6M), 4) = "#N/A", "",  _xll.BDP($C930, VOLUME_AVG_6M))</f>
        <v>427.78570556640625</v>
      </c>
      <c r="AC930" s="31" cm="1">
        <f t="array" ref="AC930">IF(LEFT(_xll.BDP($C930, VOLUME_AVG_12M), 4) = "#N/A", "",  _xll.BDP($C930, VOLUME_AVG_12M))</f>
        <v>214.80876159667969</v>
      </c>
      <c r="AD930" s="41" cm="1">
        <f t="array" ref="AD930">IF(LEFT(_xll.BDP($C930, LAST_PRICE), 4) = "#N/A", "",  _xll.BDP($C930, LAST_PRICE))</f>
        <v>3.5000000000000001E-3</v>
      </c>
    </row>
    <row r="931" spans="1:30" x14ac:dyDescent="0.35">
      <c r="A931" s="1">
        <f t="shared" si="14"/>
        <v>928</v>
      </c>
      <c r="B931" s="28">
        <v>45700</v>
      </c>
      <c r="C931" s="29" t="s">
        <v>1914</v>
      </c>
      <c r="D931" s="29" t="s">
        <v>1914</v>
      </c>
      <c r="E931" s="29" t="s">
        <v>1915</v>
      </c>
      <c r="F931" s="29" t="s">
        <v>40</v>
      </c>
      <c r="G931" s="30" t="s">
        <v>41</v>
      </c>
      <c r="H931" s="31">
        <v>94788382.75</v>
      </c>
      <c r="I931" s="31">
        <v>103273642.75</v>
      </c>
      <c r="J931" s="32">
        <v>0.125</v>
      </c>
      <c r="K931" s="33">
        <v>45700</v>
      </c>
      <c r="L931" s="31"/>
      <c r="M931" s="32"/>
      <c r="N931" s="31"/>
      <c r="O931" s="33">
        <v>45699</v>
      </c>
      <c r="P931" s="34">
        <v>174443.1</v>
      </c>
      <c r="Q931" s="34">
        <v>164845.6</v>
      </c>
      <c r="R931" s="34">
        <v>116081.60000000001</v>
      </c>
      <c r="S931" s="29"/>
      <c r="T931" s="33"/>
      <c r="U931" s="35" t="b">
        <v>0</v>
      </c>
      <c r="V931" s="35" t="b">
        <v>0</v>
      </c>
      <c r="W931" s="35" t="b">
        <v>0</v>
      </c>
      <c r="Y931" s="31" cm="1">
        <f t="array" ref="Y931">IF(LEFT(_xll.BDP($C931, VOLUME_AVG_10D), 4) = "#N/A", "",  _xll.BDP($C931, VOLUME_AVG_10D))</f>
        <v>81571.199999999997</v>
      </c>
      <c r="Z931" s="31" cm="1">
        <f t="array" ref="Z931">IF(LEFT(_xll.BDP($C931, VOLUME_AVG_30D), 4) = "#N/A", "",  _xll.BDP($C931, VOLUME_AVG_30D))</f>
        <v>174443.1</v>
      </c>
      <c r="AA931" s="31" cm="1">
        <f t="array" ref="AA931">IF(LEFT(_xll.BDP($C931, VOLUME_AVG_3M), 4) = "#N/A", "",  _xll.BDP($C931, VOLUME_AVG_3M))</f>
        <v>164845.6</v>
      </c>
      <c r="AB931" s="31" cm="1">
        <f t="array" ref="AB931">IF(LEFT(_xll.BDP($C931, VOLUME_AVG_6M), 4) = "#N/A", "",  _xll.BDP($C931, VOLUME_AVG_6M))</f>
        <v>116081.60000000001</v>
      </c>
      <c r="AC931" s="31" cm="1">
        <f t="array" ref="AC931">IF(LEFT(_xll.BDP($C931, VOLUME_AVG_12M), 4) = "#N/A", "",  _xll.BDP($C931, VOLUME_AVG_12M))</f>
        <v>102940.9</v>
      </c>
      <c r="AD931" s="41" cm="1">
        <f t="array" ref="AD931">IF(LEFT(_xll.BDP($C931, LAST_PRICE), 4) = "#N/A", "",  _xll.BDP($C931, LAST_PRICE))</f>
        <v>0.125</v>
      </c>
    </row>
    <row r="932" spans="1:30" x14ac:dyDescent="0.35">
      <c r="A932" s="1">
        <f t="shared" si="14"/>
        <v>929</v>
      </c>
      <c r="B932" s="28">
        <v>45700</v>
      </c>
      <c r="C932" s="29" t="s">
        <v>1916</v>
      </c>
      <c r="D932" s="29" t="s">
        <v>1916</v>
      </c>
      <c r="E932" s="29" t="s">
        <v>1917</v>
      </c>
      <c r="F932" s="29" t="s">
        <v>33</v>
      </c>
      <c r="G932" s="30" t="s">
        <v>34</v>
      </c>
      <c r="H932" s="31">
        <v>10251166252.0109</v>
      </c>
      <c r="I932" s="31">
        <v>9731253252.0109196</v>
      </c>
      <c r="J932" s="32">
        <v>336.47000122070301</v>
      </c>
      <c r="K932" s="33">
        <v>45700</v>
      </c>
      <c r="L932" s="31">
        <v>9292100</v>
      </c>
      <c r="M932" s="32">
        <v>3.88</v>
      </c>
      <c r="N932" s="31" t="s">
        <v>35</v>
      </c>
      <c r="O932" s="33">
        <v>45699</v>
      </c>
      <c r="P932" s="34">
        <v>244965.671875</v>
      </c>
      <c r="Q932" s="34">
        <v>281705.78125</v>
      </c>
      <c r="R932" s="34">
        <v>315255.6875</v>
      </c>
      <c r="S932" s="29"/>
      <c r="T932" s="33"/>
      <c r="U932" s="35" t="b">
        <v>0</v>
      </c>
      <c r="V932" s="35" t="b">
        <v>0</v>
      </c>
      <c r="W932" s="35" t="b">
        <v>0</v>
      </c>
      <c r="Y932" s="31" cm="1">
        <f t="array" ref="Y932">IF(LEFT(_xll.BDP($C932, VOLUME_AVG_10D), 4) = "#N/A", "",  _xll.BDP($C932, VOLUME_AVG_10D))</f>
        <v>322350.59375</v>
      </c>
      <c r="Z932" s="31" cm="1">
        <f t="array" ref="Z932">IF(LEFT(_xll.BDP($C932, VOLUME_AVG_30D), 4) = "#N/A", "",  _xll.BDP($C932, VOLUME_AVG_30D))</f>
        <v>244965.671875</v>
      </c>
      <c r="AA932" s="31" cm="1">
        <f t="array" ref="AA932">IF(LEFT(_xll.BDP($C932, VOLUME_AVG_3M), 4) = "#N/A", "",  _xll.BDP($C932, VOLUME_AVG_3M))</f>
        <v>281705.78125</v>
      </c>
      <c r="AB932" s="31" cm="1">
        <f t="array" ref="AB932">IF(LEFT(_xll.BDP($C932, VOLUME_AVG_6M), 4) = "#N/A", "",  _xll.BDP($C932, VOLUME_AVG_6M))</f>
        <v>315255.6875</v>
      </c>
      <c r="AC932" s="31" cm="1">
        <f t="array" ref="AC932">IF(LEFT(_xll.BDP($C932, VOLUME_AVG_12M), 4) = "#N/A", "",  _xll.BDP($C932, VOLUME_AVG_12M))</f>
        <v>290539.0625</v>
      </c>
      <c r="AD932" s="41" cm="1">
        <f t="array" ref="AD932">IF(LEFT(_xll.BDP($C932, LAST_PRICE), 4) = "#N/A", "",  _xll.BDP($C932, LAST_PRICE))</f>
        <v>336.47</v>
      </c>
    </row>
    <row r="933" spans="1:30" x14ac:dyDescent="0.35">
      <c r="A933" s="1">
        <f t="shared" si="14"/>
        <v>930</v>
      </c>
      <c r="B933" s="28">
        <v>45700</v>
      </c>
      <c r="C933" s="29" t="s">
        <v>1918</v>
      </c>
      <c r="D933" s="29" t="s">
        <v>1918</v>
      </c>
      <c r="E933" s="29" t="s">
        <v>1919</v>
      </c>
      <c r="F933" s="29" t="s">
        <v>33</v>
      </c>
      <c r="G933" s="30" t="s">
        <v>34</v>
      </c>
      <c r="H933" s="31">
        <v>117136795002.737</v>
      </c>
      <c r="I933" s="31">
        <v>137695795002.737</v>
      </c>
      <c r="J933" s="32">
        <v>91.349998474121094</v>
      </c>
      <c r="K933" s="33">
        <v>45700</v>
      </c>
      <c r="L933" s="31"/>
      <c r="M933" s="32"/>
      <c r="N933" s="31"/>
      <c r="O933" s="33">
        <v>45699</v>
      </c>
      <c r="P933" s="34">
        <v>6915393.5</v>
      </c>
      <c r="Q933" s="34">
        <v>6735904.5</v>
      </c>
      <c r="R933" s="34">
        <v>6378138.5</v>
      </c>
      <c r="S933" s="29"/>
      <c r="T933" s="33"/>
      <c r="U933" s="35" t="b">
        <v>0</v>
      </c>
      <c r="V933" s="35" t="b">
        <v>0</v>
      </c>
      <c r="W933" s="35" t="b">
        <v>0</v>
      </c>
      <c r="Y933" s="31" cm="1">
        <f t="array" ref="Y933">IF(LEFT(_xll.BDP($C933, VOLUME_AVG_10D), 4) = "#N/A", "",  _xll.BDP($C933, VOLUME_AVG_10D))</f>
        <v>5643466</v>
      </c>
      <c r="Z933" s="31" cm="1">
        <f t="array" ref="Z933">IF(LEFT(_xll.BDP($C933, VOLUME_AVG_30D), 4) = "#N/A", "",  _xll.BDP($C933, VOLUME_AVG_30D))</f>
        <v>6915393.5</v>
      </c>
      <c r="AA933" s="31" cm="1">
        <f t="array" ref="AA933">IF(LEFT(_xll.BDP($C933, VOLUME_AVG_3M), 4) = "#N/A", "",  _xll.BDP($C933, VOLUME_AVG_3M))</f>
        <v>6735904.5</v>
      </c>
      <c r="AB933" s="31" cm="1">
        <f t="array" ref="AB933">IF(LEFT(_xll.BDP($C933, VOLUME_AVG_6M), 4) = "#N/A", "",  _xll.BDP($C933, VOLUME_AVG_6M))</f>
        <v>6378138.5</v>
      </c>
      <c r="AC933" s="31" cm="1">
        <f t="array" ref="AC933">IF(LEFT(_xll.BDP($C933, VOLUME_AVG_12M), 4) = "#N/A", "",  _xll.BDP($C933, VOLUME_AVG_12M))</f>
        <v>6356437</v>
      </c>
      <c r="AD933" s="41" cm="1">
        <f t="array" ref="AD933">IF(LEFT(_xll.BDP($C933, LAST_PRICE), 4) = "#N/A", "",  _xll.BDP($C933, LAST_PRICE))</f>
        <v>91.35</v>
      </c>
    </row>
    <row r="934" spans="1:30" x14ac:dyDescent="0.35">
      <c r="A934" s="1">
        <f t="shared" si="14"/>
        <v>931</v>
      </c>
      <c r="B934" s="28">
        <v>45700</v>
      </c>
      <c r="C934" s="29" t="s">
        <v>1920</v>
      </c>
      <c r="D934" s="29" t="s">
        <v>1920</v>
      </c>
      <c r="E934" s="29" t="s">
        <v>1921</v>
      </c>
      <c r="F934" s="29" t="s">
        <v>40</v>
      </c>
      <c r="G934" s="30" t="s">
        <v>41</v>
      </c>
      <c r="H934" s="31">
        <v>21785099.033065099</v>
      </c>
      <c r="I934" s="31">
        <v>28967885.033065099</v>
      </c>
      <c r="J934" s="32">
        <v>7.9999998211860698E-2</v>
      </c>
      <c r="K934" s="33">
        <v>45700</v>
      </c>
      <c r="L934" s="31"/>
      <c r="M934" s="32"/>
      <c r="N934" s="31"/>
      <c r="O934" s="33">
        <v>45699</v>
      </c>
      <c r="P934" s="34">
        <v>228819.7</v>
      </c>
      <c r="Q934" s="34">
        <v>230331.3</v>
      </c>
      <c r="R934" s="34">
        <v>210742.6</v>
      </c>
      <c r="S934" s="29"/>
      <c r="T934" s="33"/>
      <c r="U934" s="35" t="b">
        <v>0</v>
      </c>
      <c r="V934" s="35" t="b">
        <v>1</v>
      </c>
      <c r="W934" s="35" t="b">
        <v>0</v>
      </c>
      <c r="Y934" s="31" cm="1">
        <f t="array" ref="Y934">IF(LEFT(_xll.BDP($C934, VOLUME_AVG_10D), 4) = "#N/A", "",  _xll.BDP($C934, VOLUME_AVG_10D))</f>
        <v>238654.9</v>
      </c>
      <c r="Z934" s="31" cm="1">
        <f t="array" ref="Z934">IF(LEFT(_xll.BDP($C934, VOLUME_AVG_30D), 4) = "#N/A", "",  _xll.BDP($C934, VOLUME_AVG_30D))</f>
        <v>228819.7</v>
      </c>
      <c r="AA934" s="31" cm="1">
        <f t="array" ref="AA934">IF(LEFT(_xll.BDP($C934, VOLUME_AVG_3M), 4) = "#N/A", "",  _xll.BDP($C934, VOLUME_AVG_3M))</f>
        <v>230331.3</v>
      </c>
      <c r="AB934" s="31" cm="1">
        <f t="array" ref="AB934">IF(LEFT(_xll.BDP($C934, VOLUME_AVG_6M), 4) = "#N/A", "",  _xll.BDP($C934, VOLUME_AVG_6M))</f>
        <v>210742.6</v>
      </c>
      <c r="AC934" s="31" cm="1">
        <f t="array" ref="AC934">IF(LEFT(_xll.BDP($C934, VOLUME_AVG_12M), 4) = "#N/A", "",  _xll.BDP($C934, VOLUME_AVG_12M))</f>
        <v>218515.3</v>
      </c>
      <c r="AD934" s="41" cm="1">
        <f t="array" ref="AD934">IF(LEFT(_xll.BDP($C934, LAST_PRICE), 4) = "#N/A", "",  _xll.BDP($C934, LAST_PRICE))</f>
        <v>0.08</v>
      </c>
    </row>
    <row r="935" spans="1:30" x14ac:dyDescent="0.35">
      <c r="A935" s="1">
        <f t="shared" si="14"/>
        <v>932</v>
      </c>
      <c r="B935" s="28">
        <v>45700</v>
      </c>
      <c r="C935" s="29" t="s">
        <v>1922</v>
      </c>
      <c r="D935" s="29" t="s">
        <v>1922</v>
      </c>
      <c r="E935" s="29" t="s">
        <v>1923</v>
      </c>
      <c r="F935" s="29" t="s">
        <v>33</v>
      </c>
      <c r="G935" s="30" t="s">
        <v>34</v>
      </c>
      <c r="H935" s="31">
        <v>9145.5104248970692</v>
      </c>
      <c r="I935" s="31"/>
      <c r="J935" s="32">
        <v>1.0400000028312199E-2</v>
      </c>
      <c r="K935" s="33">
        <v>45700</v>
      </c>
      <c r="L935" s="31"/>
      <c r="M935" s="32"/>
      <c r="N935" s="31"/>
      <c r="O935" s="33">
        <v>45699</v>
      </c>
      <c r="P935" s="34">
        <v>184595.96875</v>
      </c>
      <c r="Q935" s="34">
        <v>216050.484375</v>
      </c>
      <c r="R935" s="34">
        <v>317479.59375</v>
      </c>
      <c r="S935" s="29"/>
      <c r="T935" s="33"/>
      <c r="U935" s="35" t="b">
        <v>1</v>
      </c>
      <c r="V935" s="35" t="b">
        <v>1</v>
      </c>
      <c r="W935" s="35" t="b">
        <v>1</v>
      </c>
      <c r="Y935" s="31" cm="1">
        <f t="array" ref="Y935">IF(LEFT(_xll.BDP($C935, VOLUME_AVG_10D), 4) = "#N/A", "",  _xll.BDP($C935, VOLUME_AVG_10D))</f>
        <v>379610.5</v>
      </c>
      <c r="Z935" s="31" cm="1">
        <f t="array" ref="Z935">IF(LEFT(_xll.BDP($C935, VOLUME_AVG_30D), 4) = "#N/A", "",  _xll.BDP($C935, VOLUME_AVG_30D))</f>
        <v>184595.96875</v>
      </c>
      <c r="AA935" s="31" cm="1">
        <f t="array" ref="AA935">IF(LEFT(_xll.BDP($C935, VOLUME_AVG_3M), 4) = "#N/A", "",  _xll.BDP($C935, VOLUME_AVG_3M))</f>
        <v>216050.484375</v>
      </c>
      <c r="AB935" s="31" cm="1">
        <f t="array" ref="AB935">IF(LEFT(_xll.BDP($C935, VOLUME_AVG_6M), 4) = "#N/A", "",  _xll.BDP($C935, VOLUME_AVG_6M))</f>
        <v>317479.59375</v>
      </c>
      <c r="AC935" s="31" cm="1">
        <f t="array" ref="AC935">IF(LEFT(_xll.BDP($C935, VOLUME_AVG_12M), 4) = "#N/A", "",  _xll.BDP($C935, VOLUME_AVG_12M))</f>
        <v>241424.484375</v>
      </c>
      <c r="AD935" s="41" cm="1">
        <f t="array" ref="AD935">IF(LEFT(_xll.BDP($C935, LAST_PRICE), 4) = "#N/A", "",  _xll.BDP($C935, LAST_PRICE))</f>
        <v>1.04E-2</v>
      </c>
    </row>
    <row r="936" spans="1:30" x14ac:dyDescent="0.35">
      <c r="A936" s="1">
        <f t="shared" si="14"/>
        <v>933</v>
      </c>
      <c r="B936" s="28">
        <v>45700</v>
      </c>
      <c r="C936" s="29" t="s">
        <v>1924</v>
      </c>
      <c r="D936" s="29" t="s">
        <v>1924</v>
      </c>
      <c r="E936" s="29" t="s">
        <v>1925</v>
      </c>
      <c r="F936" s="29" t="s">
        <v>33</v>
      </c>
      <c r="G936" s="30" t="s">
        <v>34</v>
      </c>
      <c r="H936" s="31">
        <v>17723200.1918776</v>
      </c>
      <c r="I936" s="31">
        <v>-20621799.8081224</v>
      </c>
      <c r="J936" s="32">
        <v>2.6600000858306898</v>
      </c>
      <c r="K936" s="33">
        <v>45700</v>
      </c>
      <c r="L936" s="31">
        <v>718900</v>
      </c>
      <c r="M936" s="32">
        <v>3.88</v>
      </c>
      <c r="N936" s="31" t="s">
        <v>35</v>
      </c>
      <c r="O936" s="33">
        <v>45699</v>
      </c>
      <c r="P936" s="34">
        <v>13879.033203125</v>
      </c>
      <c r="Q936" s="34">
        <v>22662.64453125</v>
      </c>
      <c r="R936" s="34">
        <v>32982.0703125</v>
      </c>
      <c r="S936" s="29"/>
      <c r="T936" s="33"/>
      <c r="U936" s="35" t="b">
        <v>1</v>
      </c>
      <c r="V936" s="35" t="b">
        <v>0</v>
      </c>
      <c r="W936" s="35" t="b">
        <v>1</v>
      </c>
      <c r="Y936" s="31" cm="1">
        <f t="array" ref="Y936">IF(LEFT(_xll.BDP($C936, VOLUME_AVG_10D), 4) = "#N/A", "",  _xll.BDP($C936, VOLUME_AVG_10D))</f>
        <v>9313.2001953125</v>
      </c>
      <c r="Z936" s="31" cm="1">
        <f t="array" ref="Z936">IF(LEFT(_xll.BDP($C936, VOLUME_AVG_30D), 4) = "#N/A", "",  _xll.BDP($C936, VOLUME_AVG_30D))</f>
        <v>13879.033203125</v>
      </c>
      <c r="AA936" s="31" cm="1">
        <f t="array" ref="AA936">IF(LEFT(_xll.BDP($C936, VOLUME_AVG_3M), 4) = "#N/A", "",  _xll.BDP($C936, VOLUME_AVG_3M))</f>
        <v>22662.64453125</v>
      </c>
      <c r="AB936" s="31" cm="1">
        <f t="array" ref="AB936">IF(LEFT(_xll.BDP($C936, VOLUME_AVG_6M), 4) = "#N/A", "",  _xll.BDP($C936, VOLUME_AVG_6M))</f>
        <v>32982.0703125</v>
      </c>
      <c r="AC936" s="31" cm="1">
        <f t="array" ref="AC936">IF(LEFT(_xll.BDP($C936, VOLUME_AVG_12M), 4) = "#N/A", "",  _xll.BDP($C936, VOLUME_AVG_12M))</f>
        <v>47741.109375</v>
      </c>
      <c r="AD936" s="41" cm="1">
        <f t="array" ref="AD936">IF(LEFT(_xll.BDP($C936, LAST_PRICE), 4) = "#N/A", "",  _xll.BDP($C936, LAST_PRICE))</f>
        <v>2.66</v>
      </c>
    </row>
    <row r="937" spans="1:30" x14ac:dyDescent="0.35">
      <c r="A937" s="1">
        <f t="shared" si="14"/>
        <v>934</v>
      </c>
      <c r="B937" s="28">
        <v>45700</v>
      </c>
      <c r="C937" s="29" t="s">
        <v>1926</v>
      </c>
      <c r="D937" s="29" t="s">
        <v>1926</v>
      </c>
      <c r="E937" s="29" t="s">
        <v>1927</v>
      </c>
      <c r="F937" s="29" t="s">
        <v>33</v>
      </c>
      <c r="G937" s="30" t="s">
        <v>34</v>
      </c>
      <c r="H937" s="31">
        <v>7735014.0148401298</v>
      </c>
      <c r="I937" s="31">
        <v>-21793734.9851599</v>
      </c>
      <c r="J937" s="32">
        <v>0.32310000061988797</v>
      </c>
      <c r="K937" s="33">
        <v>45700</v>
      </c>
      <c r="L937" s="31"/>
      <c r="M937" s="32"/>
      <c r="N937" s="31"/>
      <c r="O937" s="33">
        <v>45699</v>
      </c>
      <c r="P937" s="34">
        <v>272515.46875</v>
      </c>
      <c r="Q937" s="34">
        <v>689928.25</v>
      </c>
      <c r="R937" s="34">
        <v>659916.1875</v>
      </c>
      <c r="S937" s="29"/>
      <c r="T937" s="33"/>
      <c r="U937" s="35" t="b">
        <v>1</v>
      </c>
      <c r="V937" s="35" t="b">
        <v>0</v>
      </c>
      <c r="W937" s="35" t="b">
        <v>1</v>
      </c>
      <c r="Y937" s="31" cm="1">
        <f t="array" ref="Y937">IF(LEFT(_xll.BDP($C937, VOLUME_AVG_10D), 4) = "#N/A", "",  _xll.BDP($C937, VOLUME_AVG_10D))</f>
        <v>173411.40625</v>
      </c>
      <c r="Z937" s="31" cm="1">
        <f t="array" ref="Z937">IF(LEFT(_xll.BDP($C937, VOLUME_AVG_30D), 4) = "#N/A", "",  _xll.BDP($C937, VOLUME_AVG_30D))</f>
        <v>272515.46875</v>
      </c>
      <c r="AA937" s="31" cm="1">
        <f t="array" ref="AA937">IF(LEFT(_xll.BDP($C937, VOLUME_AVG_3M), 4) = "#N/A", "",  _xll.BDP($C937, VOLUME_AVG_3M))</f>
        <v>689928.25</v>
      </c>
      <c r="AB937" s="31" cm="1">
        <f t="array" ref="AB937">IF(LEFT(_xll.BDP($C937, VOLUME_AVG_6M), 4) = "#N/A", "",  _xll.BDP($C937, VOLUME_AVG_6M))</f>
        <v>659916.1875</v>
      </c>
      <c r="AC937" s="31" cm="1">
        <f t="array" ref="AC937">IF(LEFT(_xll.BDP($C937, VOLUME_AVG_12M), 4) = "#N/A", "",  _xll.BDP($C937, VOLUME_AVG_12M))</f>
        <v>709854.75</v>
      </c>
      <c r="AD937" s="41" cm="1">
        <f t="array" ref="AD937">IF(LEFT(_xll.BDP($C937, LAST_PRICE), 4) = "#N/A", "",  _xll.BDP($C937, LAST_PRICE))</f>
        <v>0.3231</v>
      </c>
    </row>
    <row r="938" spans="1:30" x14ac:dyDescent="0.35">
      <c r="A938" s="1">
        <f t="shared" si="14"/>
        <v>935</v>
      </c>
      <c r="B938" s="28">
        <v>45700</v>
      </c>
      <c r="C938" s="29" t="s">
        <v>1928</v>
      </c>
      <c r="D938" s="29" t="s">
        <v>1928</v>
      </c>
      <c r="E938" s="29" t="s">
        <v>1929</v>
      </c>
      <c r="F938" s="29" t="s">
        <v>33</v>
      </c>
      <c r="G938" s="30" t="s">
        <v>34</v>
      </c>
      <c r="H938" s="31">
        <v>503307906.911973</v>
      </c>
      <c r="I938" s="31">
        <v>467169906.911973</v>
      </c>
      <c r="J938" s="32">
        <v>6.4400000572204599</v>
      </c>
      <c r="K938" s="33">
        <v>45700</v>
      </c>
      <c r="L938" s="31"/>
      <c r="M938" s="32"/>
      <c r="N938" s="31"/>
      <c r="O938" s="33">
        <v>45699</v>
      </c>
      <c r="P938" s="34">
        <v>286137</v>
      </c>
      <c r="Q938" s="34">
        <v>280731.78125</v>
      </c>
      <c r="R938" s="34">
        <v>279228</v>
      </c>
      <c r="S938" s="29" t="s">
        <v>49</v>
      </c>
      <c r="T938" s="33">
        <v>45215</v>
      </c>
      <c r="U938" s="35" t="b">
        <v>0</v>
      </c>
      <c r="V938" s="35" t="b">
        <v>0</v>
      </c>
      <c r="W938" s="35" t="b">
        <v>0</v>
      </c>
      <c r="Y938" s="31" cm="1">
        <f t="array" ref="Y938">IF(LEFT(_xll.BDP($C938, VOLUME_AVG_10D), 4) = "#N/A", "",  _xll.BDP($C938, VOLUME_AVG_10D))</f>
        <v>251755</v>
      </c>
      <c r="Z938" s="31" cm="1">
        <f t="array" ref="Z938">IF(LEFT(_xll.BDP($C938, VOLUME_AVG_30D), 4) = "#N/A", "",  _xll.BDP($C938, VOLUME_AVG_30D))</f>
        <v>286137</v>
      </c>
      <c r="AA938" s="31" cm="1">
        <f t="array" ref="AA938">IF(LEFT(_xll.BDP($C938, VOLUME_AVG_3M), 4) = "#N/A", "",  _xll.BDP($C938, VOLUME_AVG_3M))</f>
        <v>280731.78125</v>
      </c>
      <c r="AB938" s="31" cm="1">
        <f t="array" ref="AB938">IF(LEFT(_xll.BDP($C938, VOLUME_AVG_6M), 4) = "#N/A", "",  _xll.BDP($C938, VOLUME_AVG_6M))</f>
        <v>279228</v>
      </c>
      <c r="AC938" s="31" cm="1">
        <f t="array" ref="AC938">IF(LEFT(_xll.BDP($C938, VOLUME_AVG_12M), 4) = "#N/A", "",  _xll.BDP($C938, VOLUME_AVG_12M))</f>
        <v>224260.171875</v>
      </c>
      <c r="AD938" s="41" cm="1">
        <f t="array" ref="AD938">IF(LEFT(_xll.BDP($C938, LAST_PRICE), 4) = "#N/A", "",  _xll.BDP($C938, LAST_PRICE))</f>
        <v>6.44</v>
      </c>
    </row>
    <row r="939" spans="1:30" x14ac:dyDescent="0.35">
      <c r="A939" s="1">
        <f t="shared" si="14"/>
        <v>936</v>
      </c>
      <c r="B939" s="28">
        <v>45700</v>
      </c>
      <c r="C939" s="29" t="s">
        <v>1930</v>
      </c>
      <c r="D939" s="29" t="s">
        <v>1930</v>
      </c>
      <c r="E939" s="29" t="s">
        <v>1931</v>
      </c>
      <c r="F939" s="29" t="s">
        <v>33</v>
      </c>
      <c r="G939" s="30" t="s">
        <v>34</v>
      </c>
      <c r="H939" s="31">
        <v>55729.967600000004</v>
      </c>
      <c r="I939" s="31">
        <v>103352.9676</v>
      </c>
      <c r="J939" s="32">
        <v>9.9999999747524292E-7</v>
      </c>
      <c r="K939" s="33">
        <v>45700</v>
      </c>
      <c r="L939" s="31"/>
      <c r="M939" s="32"/>
      <c r="N939" s="31"/>
      <c r="O939" s="33">
        <v>45699</v>
      </c>
      <c r="P939" s="34">
        <v>152447.90625</v>
      </c>
      <c r="Q939" s="34">
        <v>73907.046875</v>
      </c>
      <c r="R939" s="34">
        <v>36841.5625</v>
      </c>
      <c r="S939" s="29"/>
      <c r="T939" s="33"/>
      <c r="U939" s="35" t="b">
        <v>1</v>
      </c>
      <c r="V939" s="35" t="b">
        <v>1</v>
      </c>
      <c r="W939" s="35" t="b">
        <v>0</v>
      </c>
      <c r="Y939" s="31" cm="1">
        <f t="array" ref="Y939">IF(LEFT(_xll.BDP($C939, VOLUME_AVG_10D), 4) = "#N/A", "",  _xll.BDP($C939, VOLUME_AVG_10D))</f>
        <v>457343.6875</v>
      </c>
      <c r="Z939" s="31" cm="1">
        <f t="array" ref="Z939">IF(LEFT(_xll.BDP($C939, VOLUME_AVG_30D), 4) = "#N/A", "",  _xll.BDP($C939, VOLUME_AVG_30D))</f>
        <v>152447.90625</v>
      </c>
      <c r="AA939" s="31" cm="1">
        <f t="array" ref="AA939">IF(LEFT(_xll.BDP($C939, VOLUME_AVG_3M), 4) = "#N/A", "",  _xll.BDP($C939, VOLUME_AVG_3M))</f>
        <v>73907.046875</v>
      </c>
      <c r="AB939" s="31" cm="1">
        <f t="array" ref="AB939">IF(LEFT(_xll.BDP($C939, VOLUME_AVG_6M), 4) = "#N/A", "",  _xll.BDP($C939, VOLUME_AVG_6M))</f>
        <v>36841.5625</v>
      </c>
      <c r="AC939" s="31" cm="1">
        <f t="array" ref="AC939">IF(LEFT(_xll.BDP($C939, VOLUME_AVG_12M), 4) = "#N/A", "",  _xll.BDP($C939, VOLUME_AVG_12M))</f>
        <v>19309.669921875</v>
      </c>
      <c r="AD939" s="41" cm="1">
        <f t="array" ref="AD939">IF(LEFT(_xll.BDP($C939, LAST_PRICE), 4) = "#N/A", "",  _xll.BDP($C939, LAST_PRICE))</f>
        <v>9.9999999999999995E-7</v>
      </c>
    </row>
    <row r="940" spans="1:30" x14ac:dyDescent="0.35">
      <c r="A940" s="1">
        <f t="shared" si="14"/>
        <v>937</v>
      </c>
      <c r="B940" s="28">
        <v>45700</v>
      </c>
      <c r="C940" s="29" t="s">
        <v>1932</v>
      </c>
      <c r="D940" s="29" t="s">
        <v>1932</v>
      </c>
      <c r="E940" s="29" t="s">
        <v>1933</v>
      </c>
      <c r="F940" s="29" t="s">
        <v>33</v>
      </c>
      <c r="G940" s="30" t="s">
        <v>34</v>
      </c>
      <c r="H940" s="31">
        <v>216713881075.24899</v>
      </c>
      <c r="I940" s="31"/>
      <c r="J940" s="32">
        <v>85.669998168945298</v>
      </c>
      <c r="K940" s="33">
        <v>45700</v>
      </c>
      <c r="L940" s="31">
        <v>695147712</v>
      </c>
      <c r="M940" s="32">
        <v>3.88</v>
      </c>
      <c r="N940" s="31" t="s">
        <v>35</v>
      </c>
      <c r="O940" s="33">
        <v>45699</v>
      </c>
      <c r="P940" s="34">
        <v>13423383</v>
      </c>
      <c r="Q940" s="34">
        <v>13141867</v>
      </c>
      <c r="R940" s="34">
        <v>11156214</v>
      </c>
      <c r="S940" s="29"/>
      <c r="T940" s="33"/>
      <c r="U940" s="35" t="b">
        <v>0</v>
      </c>
      <c r="V940" s="35" t="b">
        <v>0</v>
      </c>
      <c r="W940" s="35" t="b">
        <v>1</v>
      </c>
      <c r="Y940" s="31" cm="1">
        <f t="array" ref="Y940">IF(LEFT(_xll.BDP($C940, VOLUME_AVG_10D), 4) = "#N/A", "",  _xll.BDP($C940, VOLUME_AVG_10D))</f>
        <v>19514292</v>
      </c>
      <c r="Z940" s="31" cm="1">
        <f t="array" ref="Z940">IF(LEFT(_xll.BDP($C940, VOLUME_AVG_30D), 4) = "#N/A", "",  _xll.BDP($C940, VOLUME_AVG_30D))</f>
        <v>13423383</v>
      </c>
      <c r="AA940" s="31" cm="1">
        <f t="array" ref="AA940">IF(LEFT(_xll.BDP($C940, VOLUME_AVG_3M), 4) = "#N/A", "",  _xll.BDP($C940, VOLUME_AVG_3M))</f>
        <v>13141867</v>
      </c>
      <c r="AB940" s="31" cm="1">
        <f t="array" ref="AB940">IF(LEFT(_xll.BDP($C940, VOLUME_AVG_6M), 4) = "#N/A", "",  _xll.BDP($C940, VOLUME_AVG_6M))</f>
        <v>11156214</v>
      </c>
      <c r="AC940" s="31" cm="1">
        <f t="array" ref="AC940">IF(LEFT(_xll.BDP($C940, VOLUME_AVG_12M), 4) = "#N/A", "",  _xll.BDP($C940, VOLUME_AVG_12M))</f>
        <v>9991418</v>
      </c>
      <c r="AD940" s="41" cm="1">
        <f t="array" ref="AD940">IF(LEFT(_xll.BDP($C940, LAST_PRICE), 4) = "#N/A", "",  _xll.BDP($C940, LAST_PRICE))</f>
        <v>85.67</v>
      </c>
    </row>
    <row r="941" spans="1:30" x14ac:dyDescent="0.35">
      <c r="A941" s="1">
        <f t="shared" si="14"/>
        <v>938</v>
      </c>
      <c r="B941" s="28">
        <v>45700</v>
      </c>
      <c r="C941" s="29" t="s">
        <v>1934</v>
      </c>
      <c r="D941" s="29" t="s">
        <v>1934</v>
      </c>
      <c r="E941" s="29" t="s">
        <v>1935</v>
      </c>
      <c r="F941" s="29" t="s">
        <v>33</v>
      </c>
      <c r="G941" s="30" t="s">
        <v>34</v>
      </c>
      <c r="H941" s="31">
        <v>449922275.09583801</v>
      </c>
      <c r="I941" s="31">
        <v>320246472.251688</v>
      </c>
      <c r="J941" s="32">
        <v>2.9000000953674299</v>
      </c>
      <c r="K941" s="33">
        <v>45700</v>
      </c>
      <c r="L941" s="31">
        <v>5614900</v>
      </c>
      <c r="M941" s="32">
        <v>3.88</v>
      </c>
      <c r="N941" s="31" t="s">
        <v>35</v>
      </c>
      <c r="O941" s="33">
        <v>45699</v>
      </c>
      <c r="P941" s="34">
        <v>1112833.75</v>
      </c>
      <c r="Q941" s="34">
        <v>1055584.75</v>
      </c>
      <c r="R941" s="34">
        <v>899778.125</v>
      </c>
      <c r="S941" s="29" t="s">
        <v>177</v>
      </c>
      <c r="T941" s="33">
        <v>45446</v>
      </c>
      <c r="U941" s="35" t="b">
        <v>0</v>
      </c>
      <c r="V941" s="35" t="b">
        <v>0</v>
      </c>
      <c r="W941" s="35" t="b">
        <v>0</v>
      </c>
      <c r="Y941" s="31" cm="1">
        <f t="array" ref="Y941">IF(LEFT(_xll.BDP($C941, VOLUME_AVG_10D), 4) = "#N/A", "",  _xll.BDP($C941, VOLUME_AVG_10D))</f>
        <v>726778.625</v>
      </c>
      <c r="Z941" s="31" cm="1">
        <f t="array" ref="Z941">IF(LEFT(_xll.BDP($C941, VOLUME_AVG_30D), 4) = "#N/A", "",  _xll.BDP($C941, VOLUME_AVG_30D))</f>
        <v>1112833.75</v>
      </c>
      <c r="AA941" s="31" cm="1">
        <f t="array" ref="AA941">IF(LEFT(_xll.BDP($C941, VOLUME_AVG_3M), 4) = "#N/A", "",  _xll.BDP($C941, VOLUME_AVG_3M))</f>
        <v>1055584.75</v>
      </c>
      <c r="AB941" s="31" cm="1">
        <f t="array" ref="AB941">IF(LEFT(_xll.BDP($C941, VOLUME_AVG_6M), 4) = "#N/A", "",  _xll.BDP($C941, VOLUME_AVG_6M))</f>
        <v>899778.125</v>
      </c>
      <c r="AC941" s="31" cm="1">
        <f t="array" ref="AC941">IF(LEFT(_xll.BDP($C941, VOLUME_AVG_12M), 4) = "#N/A", "",  _xll.BDP($C941, VOLUME_AVG_12M))</f>
        <v>1017363.625</v>
      </c>
      <c r="AD941" s="41" cm="1">
        <f t="array" ref="AD941">IF(LEFT(_xll.BDP($C941, LAST_PRICE), 4) = "#N/A", "",  _xll.BDP($C941, LAST_PRICE))</f>
        <v>2.9</v>
      </c>
    </row>
    <row r="942" spans="1:30" x14ac:dyDescent="0.35">
      <c r="A942" s="1">
        <f t="shared" si="14"/>
        <v>939</v>
      </c>
      <c r="B942" s="28">
        <v>45700</v>
      </c>
      <c r="C942" s="29" t="s">
        <v>1936</v>
      </c>
      <c r="D942" s="29" t="s">
        <v>1936</v>
      </c>
      <c r="E942" s="29" t="s">
        <v>1937</v>
      </c>
      <c r="F942" s="29" t="s">
        <v>33</v>
      </c>
      <c r="G942" s="30" t="s">
        <v>34</v>
      </c>
      <c r="H942" s="31">
        <v>83352.92</v>
      </c>
      <c r="I942" s="31">
        <v>148535.92250172599</v>
      </c>
      <c r="J942" s="32">
        <v>4.5999999999999999E-3</v>
      </c>
      <c r="K942" s="33">
        <v>45700</v>
      </c>
      <c r="L942" s="31"/>
      <c r="M942" s="32"/>
      <c r="N942" s="31"/>
      <c r="O942" s="33">
        <v>45699</v>
      </c>
      <c r="P942" s="34">
        <v>1716.26672363281</v>
      </c>
      <c r="Q942" s="34">
        <v>1881.69360351563</v>
      </c>
      <c r="R942" s="34">
        <v>8483.3408203125</v>
      </c>
      <c r="S942" s="29"/>
      <c r="T942" s="33"/>
      <c r="U942" s="35" t="b">
        <v>1</v>
      </c>
      <c r="V942" s="35" t="b">
        <v>1</v>
      </c>
      <c r="W942" s="35" t="b">
        <v>0</v>
      </c>
      <c r="Y942" s="31" cm="1">
        <f t="array" ref="Y942">IF(LEFT(_xll.BDP($C942, VOLUME_AVG_10D), 4) = "#N/A", "",  _xll.BDP($C942, VOLUME_AVG_10D))</f>
        <v>148.80000305175781</v>
      </c>
      <c r="Z942" s="31" cm="1">
        <f t="array" ref="Z942">IF(LEFT(_xll.BDP($C942, VOLUME_AVG_30D), 4) = "#N/A", "",  _xll.BDP($C942, VOLUME_AVG_30D))</f>
        <v>1716.2667236328125</v>
      </c>
      <c r="AA942" s="31" cm="1">
        <f t="array" ref="AA942">IF(LEFT(_xll.BDP($C942, VOLUME_AVG_3M), 4) = "#N/A", "",  _xll.BDP($C942, VOLUME_AVG_3M))</f>
        <v>1881.693603515625</v>
      </c>
      <c r="AB942" s="31" cm="1">
        <f t="array" ref="AB942">IF(LEFT(_xll.BDP($C942, VOLUME_AVG_6M), 4) = "#N/A", "",  _xll.BDP($C942, VOLUME_AVG_6M))</f>
        <v>8483.3408203125</v>
      </c>
      <c r="AC942" s="31" cm="1">
        <f t="array" ref="AC942">IF(LEFT(_xll.BDP($C942, VOLUME_AVG_12M), 4) = "#N/A", "",  _xll.BDP($C942, VOLUME_AVG_12M))</f>
        <v>4777.61767578125</v>
      </c>
      <c r="AD942" s="41" cm="1">
        <f t="array" ref="AD942">IF(LEFT(_xll.BDP($C942, LAST_PRICE), 4) = "#N/A", "",  _xll.BDP($C942, LAST_PRICE))</f>
        <v>4.5999999999999999E-3</v>
      </c>
    </row>
    <row r="943" spans="1:30" x14ac:dyDescent="0.35">
      <c r="A943" s="1">
        <f t="shared" si="14"/>
        <v>940</v>
      </c>
      <c r="B943" s="28">
        <v>45700</v>
      </c>
      <c r="C943" s="29" t="s">
        <v>1938</v>
      </c>
      <c r="D943" s="29" t="s">
        <v>1938</v>
      </c>
      <c r="E943" s="29" t="s">
        <v>1939</v>
      </c>
      <c r="F943" s="29" t="s">
        <v>33</v>
      </c>
      <c r="G943" s="30" t="s">
        <v>34</v>
      </c>
      <c r="H943" s="31">
        <v>6280189238.3382502</v>
      </c>
      <c r="I943" s="31">
        <v>6576213238.3382502</v>
      </c>
      <c r="J943" s="32">
        <v>107.76000213623</v>
      </c>
      <c r="K943" s="33">
        <v>45700</v>
      </c>
      <c r="L943" s="31">
        <v>23802000</v>
      </c>
      <c r="M943" s="32">
        <v>3.88</v>
      </c>
      <c r="N943" s="31" t="s">
        <v>35</v>
      </c>
      <c r="O943" s="33">
        <v>45699</v>
      </c>
      <c r="P943" s="34">
        <v>515669</v>
      </c>
      <c r="Q943" s="34">
        <v>462191.84375</v>
      </c>
      <c r="R943" s="34">
        <v>441236.40625</v>
      </c>
      <c r="S943" s="29"/>
      <c r="T943" s="33"/>
      <c r="U943" s="35" t="b">
        <v>0</v>
      </c>
      <c r="V943" s="35" t="b">
        <v>0</v>
      </c>
      <c r="W943" s="35" t="b">
        <v>0</v>
      </c>
      <c r="Y943" s="31" cm="1">
        <f t="array" ref="Y943">IF(LEFT(_xll.BDP($C943, VOLUME_AVG_10D), 4) = "#N/A", "",  _xll.BDP($C943, VOLUME_AVG_10D))</f>
        <v>487919.8125</v>
      </c>
      <c r="Z943" s="31" cm="1">
        <f t="array" ref="Z943">IF(LEFT(_xll.BDP($C943, VOLUME_AVG_30D), 4) = "#N/A", "",  _xll.BDP($C943, VOLUME_AVG_30D))</f>
        <v>515669</v>
      </c>
      <c r="AA943" s="31" cm="1">
        <f t="array" ref="AA943">IF(LEFT(_xll.BDP($C943, VOLUME_AVG_3M), 4) = "#N/A", "",  _xll.BDP($C943, VOLUME_AVG_3M))</f>
        <v>462191.84375</v>
      </c>
      <c r="AB943" s="31" cm="1">
        <f t="array" ref="AB943">IF(LEFT(_xll.BDP($C943, VOLUME_AVG_6M), 4) = "#N/A", "",  _xll.BDP($C943, VOLUME_AVG_6M))</f>
        <v>441236.40625</v>
      </c>
      <c r="AC943" s="31" cm="1">
        <f t="array" ref="AC943">IF(LEFT(_xll.BDP($C943, VOLUME_AVG_12M), 4) = "#N/A", "",  _xll.BDP($C943, VOLUME_AVG_12M))</f>
        <v>422355.96875</v>
      </c>
      <c r="AD943" s="41" cm="1">
        <f t="array" ref="AD943">IF(LEFT(_xll.BDP($C943, LAST_PRICE), 4) = "#N/A", "",  _xll.BDP($C943, LAST_PRICE))</f>
        <v>107.76</v>
      </c>
    </row>
    <row r="944" spans="1:30" x14ac:dyDescent="0.35">
      <c r="A944" s="1">
        <f t="shared" si="14"/>
        <v>941</v>
      </c>
      <c r="B944" s="28">
        <v>45700</v>
      </c>
      <c r="C944" s="29" t="s">
        <v>1940</v>
      </c>
      <c r="D944" s="29" t="s">
        <v>1940</v>
      </c>
      <c r="E944" s="29" t="s">
        <v>1941</v>
      </c>
      <c r="F944" s="29" t="s">
        <v>33</v>
      </c>
      <c r="G944" s="30" t="s">
        <v>34</v>
      </c>
      <c r="H944" s="31">
        <v>79715782.608052105</v>
      </c>
      <c r="I944" s="31">
        <v>-55408217.391947903</v>
      </c>
      <c r="J944" s="32">
        <v>0.64529997110366799</v>
      </c>
      <c r="K944" s="33">
        <v>45700</v>
      </c>
      <c r="L944" s="31">
        <v>19585300</v>
      </c>
      <c r="M944" s="32">
        <v>3.88</v>
      </c>
      <c r="N944" s="31" t="s">
        <v>35</v>
      </c>
      <c r="O944" s="33">
        <v>45699</v>
      </c>
      <c r="P944" s="34">
        <v>7966813</v>
      </c>
      <c r="Q944" s="34">
        <v>4550912.5</v>
      </c>
      <c r="R944" s="34">
        <v>2766631.25</v>
      </c>
      <c r="S944" s="29" t="s">
        <v>46</v>
      </c>
      <c r="T944" s="33">
        <v>45446</v>
      </c>
      <c r="U944" s="35" t="b">
        <v>0</v>
      </c>
      <c r="V944" s="35" t="b">
        <v>0</v>
      </c>
      <c r="W944" s="35" t="b">
        <v>1</v>
      </c>
      <c r="Y944" s="31" cm="1">
        <f t="array" ref="Y944">IF(LEFT(_xll.BDP($C944, VOLUME_AVG_10D), 4) = "#N/A", "",  _xll.BDP($C944, VOLUME_AVG_10D))</f>
        <v>5054747.5</v>
      </c>
      <c r="Z944" s="31" cm="1">
        <f t="array" ref="Z944">IF(LEFT(_xll.BDP($C944, VOLUME_AVG_30D), 4) = "#N/A", "",  _xll.BDP($C944, VOLUME_AVG_30D))</f>
        <v>7966813</v>
      </c>
      <c r="AA944" s="31" cm="1">
        <f t="array" ref="AA944">IF(LEFT(_xll.BDP($C944, VOLUME_AVG_3M), 4) = "#N/A", "",  _xll.BDP($C944, VOLUME_AVG_3M))</f>
        <v>4550912.5</v>
      </c>
      <c r="AB944" s="31" cm="1">
        <f t="array" ref="AB944">IF(LEFT(_xll.BDP($C944, VOLUME_AVG_6M), 4) = "#N/A", "",  _xll.BDP($C944, VOLUME_AVG_6M))</f>
        <v>2766631.25</v>
      </c>
      <c r="AC944" s="31" cm="1">
        <f t="array" ref="AC944">IF(LEFT(_xll.BDP($C944, VOLUME_AVG_12M), 4) = "#N/A", "",  _xll.BDP($C944, VOLUME_AVG_12M))</f>
        <v>2294226.75</v>
      </c>
      <c r="AD944" s="41" cm="1">
        <f t="array" ref="AD944">IF(LEFT(_xll.BDP($C944, LAST_PRICE), 4) = "#N/A", "",  _xll.BDP($C944, LAST_PRICE))</f>
        <v>0.64529999999999998</v>
      </c>
    </row>
    <row r="945" spans="1:30" x14ac:dyDescent="0.35">
      <c r="A945" s="1">
        <f t="shared" si="14"/>
        <v>942</v>
      </c>
      <c r="B945" s="28">
        <v>45700</v>
      </c>
      <c r="C945" s="29" t="s">
        <v>1942</v>
      </c>
      <c r="D945" s="29" t="s">
        <v>1942</v>
      </c>
      <c r="E945" s="29" t="s">
        <v>1943</v>
      </c>
      <c r="F945" s="29" t="s">
        <v>33</v>
      </c>
      <c r="G945" s="30" t="s">
        <v>34</v>
      </c>
      <c r="H945" s="31">
        <v>2756347682.1459799</v>
      </c>
      <c r="I945" s="31">
        <v>1984505682.1459799</v>
      </c>
      <c r="J945" s="32">
        <v>40.259998321533203</v>
      </c>
      <c r="K945" s="33">
        <v>45700</v>
      </c>
      <c r="L945" s="31"/>
      <c r="M945" s="32"/>
      <c r="N945" s="31"/>
      <c r="O945" s="33">
        <v>45699</v>
      </c>
      <c r="P945" s="34">
        <v>571568.1875</v>
      </c>
      <c r="Q945" s="34">
        <v>609643.8125</v>
      </c>
      <c r="R945" s="34">
        <v>529702.5625</v>
      </c>
      <c r="S945" s="29" t="s">
        <v>46</v>
      </c>
      <c r="T945" s="33">
        <v>45446</v>
      </c>
      <c r="U945" s="35" t="b">
        <v>0</v>
      </c>
      <c r="V945" s="35" t="b">
        <v>0</v>
      </c>
      <c r="W945" s="35" t="b">
        <v>0</v>
      </c>
      <c r="Y945" s="31" cm="1">
        <f t="array" ref="Y945">IF(LEFT(_xll.BDP($C945, VOLUME_AVG_10D), 4) = "#N/A", "",  _xll.BDP($C945, VOLUME_AVG_10D))</f>
        <v>442164.5</v>
      </c>
      <c r="Z945" s="31" cm="1">
        <f t="array" ref="Z945">IF(LEFT(_xll.BDP($C945, VOLUME_AVG_30D), 4) = "#N/A", "",  _xll.BDP($C945, VOLUME_AVG_30D))</f>
        <v>571568.1875</v>
      </c>
      <c r="AA945" s="31" cm="1">
        <f t="array" ref="AA945">IF(LEFT(_xll.BDP($C945, VOLUME_AVG_3M), 4) = "#N/A", "",  _xll.BDP($C945, VOLUME_AVG_3M))</f>
        <v>609643.8125</v>
      </c>
      <c r="AB945" s="31" cm="1">
        <f t="array" ref="AB945">IF(LEFT(_xll.BDP($C945, VOLUME_AVG_6M), 4) = "#N/A", "",  _xll.BDP($C945, VOLUME_AVG_6M))</f>
        <v>529702.5625</v>
      </c>
      <c r="AC945" s="31" cm="1">
        <f t="array" ref="AC945">IF(LEFT(_xll.BDP($C945, VOLUME_AVG_12M), 4) = "#N/A", "",  _xll.BDP($C945, VOLUME_AVG_12M))</f>
        <v>682993</v>
      </c>
      <c r="AD945" s="41" cm="1">
        <f t="array" ref="AD945">IF(LEFT(_xll.BDP($C945, LAST_PRICE), 4) = "#N/A", "",  _xll.BDP($C945, LAST_PRICE))</f>
        <v>40.26</v>
      </c>
    </row>
    <row r="946" spans="1:30" x14ac:dyDescent="0.35">
      <c r="A946" s="1">
        <f t="shared" si="14"/>
        <v>943</v>
      </c>
      <c r="B946" s="28">
        <v>45700</v>
      </c>
      <c r="C946" s="29" t="s">
        <v>1944</v>
      </c>
      <c r="D946" s="29" t="s">
        <v>1944</v>
      </c>
      <c r="E946" s="29" t="s">
        <v>1945</v>
      </c>
      <c r="F946" s="29" t="s">
        <v>33</v>
      </c>
      <c r="G946" s="30" t="s">
        <v>34</v>
      </c>
      <c r="H946" s="31">
        <v>774995392.94128394</v>
      </c>
      <c r="I946" s="31">
        <v>939755392.94128394</v>
      </c>
      <c r="J946" s="32">
        <v>142.63000488281301</v>
      </c>
      <c r="K946" s="33">
        <v>45700</v>
      </c>
      <c r="L946" s="31">
        <v>815100</v>
      </c>
      <c r="M946" s="32">
        <v>3.88</v>
      </c>
      <c r="N946" s="31" t="s">
        <v>35</v>
      </c>
      <c r="O946" s="33">
        <v>45699</v>
      </c>
      <c r="P946" s="34">
        <v>35453.765625</v>
      </c>
      <c r="Q946" s="34">
        <v>38914.2265625</v>
      </c>
      <c r="R946" s="34">
        <v>35569.16796875</v>
      </c>
      <c r="S946" s="29"/>
      <c r="T946" s="33"/>
      <c r="U946" s="35" t="b">
        <v>0</v>
      </c>
      <c r="V946" s="35" t="b">
        <v>0</v>
      </c>
      <c r="W946" s="35" t="b">
        <v>0</v>
      </c>
      <c r="Y946" s="31" cm="1">
        <f t="array" ref="Y946">IF(LEFT(_xll.BDP($C946, VOLUME_AVG_10D), 4) = "#N/A", "",  _xll.BDP($C946, VOLUME_AVG_10D))</f>
        <v>44426.5</v>
      </c>
      <c r="Z946" s="31" cm="1">
        <f t="array" ref="Z946">IF(LEFT(_xll.BDP($C946, VOLUME_AVG_30D), 4) = "#N/A", "",  _xll.BDP($C946, VOLUME_AVG_30D))</f>
        <v>35453.765625</v>
      </c>
      <c r="AA946" s="31" cm="1">
        <f t="array" ref="AA946">IF(LEFT(_xll.BDP($C946, VOLUME_AVG_3M), 4) = "#N/A", "",  _xll.BDP($C946, VOLUME_AVG_3M))</f>
        <v>38914.2265625</v>
      </c>
      <c r="AB946" s="31" cm="1">
        <f t="array" ref="AB946">IF(LEFT(_xll.BDP($C946, VOLUME_AVG_6M), 4) = "#N/A", "",  _xll.BDP($C946, VOLUME_AVG_6M))</f>
        <v>35569.16796875</v>
      </c>
      <c r="AC946" s="31" cm="1">
        <f t="array" ref="AC946">IF(LEFT(_xll.BDP($C946, VOLUME_AVG_12M), 4) = "#N/A", "",  _xll.BDP($C946, VOLUME_AVG_12M))</f>
        <v>38659.08984375</v>
      </c>
      <c r="AD946" s="41" cm="1">
        <f t="array" ref="AD946">IF(LEFT(_xll.BDP($C946, LAST_PRICE), 4) = "#N/A", "",  _xll.BDP($C946, LAST_PRICE))</f>
        <v>142.63</v>
      </c>
    </row>
    <row r="947" spans="1:30" x14ac:dyDescent="0.35">
      <c r="A947" s="1">
        <f t="shared" si="14"/>
        <v>944</v>
      </c>
      <c r="B947" s="28">
        <v>45700</v>
      </c>
      <c r="C947" s="29" t="s">
        <v>1946</v>
      </c>
      <c r="D947" s="29" t="s">
        <v>1946</v>
      </c>
      <c r="E947" s="29" t="s">
        <v>1947</v>
      </c>
      <c r="F947" s="29" t="s">
        <v>33</v>
      </c>
      <c r="G947" s="30" t="s">
        <v>34</v>
      </c>
      <c r="H947" s="31">
        <v>89443165.555925101</v>
      </c>
      <c r="I947" s="31">
        <v>-139070834.44407499</v>
      </c>
      <c r="J947" s="32">
        <v>2.3900001049041699</v>
      </c>
      <c r="K947" s="33">
        <v>45700</v>
      </c>
      <c r="L947" s="31">
        <v>977600</v>
      </c>
      <c r="M947" s="32">
        <v>0.3</v>
      </c>
      <c r="N947" s="31" t="s">
        <v>35</v>
      </c>
      <c r="O947" s="33">
        <v>45699</v>
      </c>
      <c r="P947" s="34">
        <v>1467530.875</v>
      </c>
      <c r="Q947" s="34">
        <v>2398908.75</v>
      </c>
      <c r="R947" s="34">
        <v>1304646.125</v>
      </c>
      <c r="S947" s="29"/>
      <c r="T947" s="33"/>
      <c r="U947" s="35" t="b">
        <v>0</v>
      </c>
      <c r="V947" s="35" t="b">
        <v>0</v>
      </c>
      <c r="W947" s="35" t="b">
        <v>1</v>
      </c>
      <c r="Y947" s="31" cm="1">
        <f t="array" ref="Y947">IF(LEFT(_xll.BDP($C947, VOLUME_AVG_10D), 4) = "#N/A", "",  _xll.BDP($C947, VOLUME_AVG_10D))</f>
        <v>599972.3125</v>
      </c>
      <c r="Z947" s="31" cm="1">
        <f t="array" ref="Z947">IF(LEFT(_xll.BDP($C947, VOLUME_AVG_30D), 4) = "#N/A", "",  _xll.BDP($C947, VOLUME_AVG_30D))</f>
        <v>1467530.875</v>
      </c>
      <c r="AA947" s="31" cm="1">
        <f t="array" ref="AA947">IF(LEFT(_xll.BDP($C947, VOLUME_AVG_3M), 4) = "#N/A", "",  _xll.BDP($C947, VOLUME_AVG_3M))</f>
        <v>2398908.75</v>
      </c>
      <c r="AB947" s="31" cm="1">
        <f t="array" ref="AB947">IF(LEFT(_xll.BDP($C947, VOLUME_AVG_6M), 4) = "#N/A", "",  _xll.BDP($C947, VOLUME_AVG_6M))</f>
        <v>1304646.125</v>
      </c>
      <c r="AC947" s="31" cm="1">
        <f t="array" ref="AC947">IF(LEFT(_xll.BDP($C947, VOLUME_AVG_12M), 4) = "#N/A", "",  _xll.BDP($C947, VOLUME_AVG_12M))</f>
        <v>717367.5</v>
      </c>
      <c r="AD947" s="41" cm="1">
        <f t="array" ref="AD947">IF(LEFT(_xll.BDP($C947, LAST_PRICE), 4) = "#N/A", "",  _xll.BDP($C947, LAST_PRICE))</f>
        <v>2.39</v>
      </c>
    </row>
    <row r="948" spans="1:30" x14ac:dyDescent="0.35">
      <c r="A948" s="1">
        <f t="shared" si="14"/>
        <v>945</v>
      </c>
      <c r="B948" s="28">
        <v>45700</v>
      </c>
      <c r="C948" s="29" t="s">
        <v>1948</v>
      </c>
      <c r="D948" s="29" t="s">
        <v>1948</v>
      </c>
      <c r="E948" s="29" t="s">
        <v>1949</v>
      </c>
      <c r="F948" s="29" t="s">
        <v>33</v>
      </c>
      <c r="G948" s="30" t="s">
        <v>34</v>
      </c>
      <c r="H948" s="31"/>
      <c r="I948" s="31"/>
      <c r="J948" s="32"/>
      <c r="K948" s="33">
        <v>45700</v>
      </c>
      <c r="L948" s="31"/>
      <c r="M948" s="32"/>
      <c r="N948" s="31"/>
      <c r="O948" s="33">
        <v>45699</v>
      </c>
      <c r="P948" s="34"/>
      <c r="Q948" s="34">
        <v>37.935482025146499</v>
      </c>
      <c r="R948" s="34">
        <v>1184.0634765625</v>
      </c>
      <c r="S948" s="29"/>
      <c r="T948" s="33"/>
      <c r="U948" s="35" t="b">
        <v>1</v>
      </c>
      <c r="V948" s="35" t="b">
        <v>1</v>
      </c>
      <c r="W948" s="35" t="b">
        <v>1</v>
      </c>
      <c r="Y948" s="31" cm="1">
        <f t="array" ref="Y948">IF(LEFT(_xll.BDP($C948, VOLUME_AVG_10D), 4) = "#N/A", "",  _xll.BDP($C948, VOLUME_AVG_10D))</f>
        <v>0</v>
      </c>
      <c r="Z948" s="31" cm="1">
        <f t="array" ref="Z948">IF(LEFT(_xll.BDP($C948, VOLUME_AVG_30D), 4) = "#N/A", "",  _xll.BDP($C948, VOLUME_AVG_30D))</f>
        <v>0</v>
      </c>
      <c r="AA948" s="31" cm="1">
        <f t="array" ref="AA948">IF(LEFT(_xll.BDP($C948, VOLUME_AVG_3M), 4) = "#N/A", "",  _xll.BDP($C948, VOLUME_AVG_3M))</f>
        <v>37.935482025146484</v>
      </c>
      <c r="AB948" s="31" cm="1">
        <f t="array" ref="AB948">IF(LEFT(_xll.BDP($C948, VOLUME_AVG_6M), 4) = "#N/A", "",  _xll.BDP($C948, VOLUME_AVG_6M))</f>
        <v>1184.0634765625</v>
      </c>
      <c r="AC948" s="31" cm="1">
        <f t="array" ref="AC948">IF(LEFT(_xll.BDP($C948, VOLUME_AVG_12M), 4) = "#N/A", "",  _xll.BDP($C948, VOLUME_AVG_12M))</f>
        <v>594.39044189453125</v>
      </c>
      <c r="AD948" s="41" t="str" cm="1">
        <f t="array" ref="AD948">IF(LEFT(_xll.BDP($C948, LAST_PRICE), 4) = "#N/A", "",  _xll.BDP($C948, LAST_PRICE))</f>
        <v/>
      </c>
    </row>
    <row r="949" spans="1:30" x14ac:dyDescent="0.35">
      <c r="A949" s="1">
        <f t="shared" si="14"/>
        <v>946</v>
      </c>
      <c r="B949" s="28">
        <v>45700</v>
      </c>
      <c r="C949" s="29" t="s">
        <v>1950</v>
      </c>
      <c r="D949" s="29" t="s">
        <v>1950</v>
      </c>
      <c r="E949" s="29" t="s">
        <v>1951</v>
      </c>
      <c r="F949" s="29" t="s">
        <v>33</v>
      </c>
      <c r="G949" s="30" t="s">
        <v>34</v>
      </c>
      <c r="H949" s="31">
        <v>14905697.464337301</v>
      </c>
      <c r="I949" s="31">
        <v>-6609302.5356626501</v>
      </c>
      <c r="J949" s="32">
        <v>1.7300000190734901</v>
      </c>
      <c r="K949" s="33">
        <v>45700</v>
      </c>
      <c r="L949" s="31">
        <v>771300</v>
      </c>
      <c r="M949" s="32">
        <v>-61.6</v>
      </c>
      <c r="N949" s="31" t="s">
        <v>35</v>
      </c>
      <c r="O949" s="33">
        <v>45699</v>
      </c>
      <c r="P949" s="34">
        <v>58664.1015625</v>
      </c>
      <c r="Q949" s="34">
        <v>127839.7421875</v>
      </c>
      <c r="R949" s="34">
        <v>84570.546875</v>
      </c>
      <c r="S949" s="29"/>
      <c r="T949" s="33"/>
      <c r="U949" s="35" t="b">
        <v>1</v>
      </c>
      <c r="V949" s="35" t="b">
        <v>0</v>
      </c>
      <c r="W949" s="35" t="b">
        <v>1</v>
      </c>
      <c r="Y949" s="31" cm="1">
        <f t="array" ref="Y949">IF(LEFT(_xll.BDP($C949, VOLUME_AVG_10D), 4) = "#N/A", "",  _xll.BDP($C949, VOLUME_AVG_10D))</f>
        <v>16572.30078125</v>
      </c>
      <c r="Z949" s="31" cm="1">
        <f t="array" ref="Z949">IF(LEFT(_xll.BDP($C949, VOLUME_AVG_30D), 4) = "#N/A", "",  _xll.BDP($C949, VOLUME_AVG_30D))</f>
        <v>58664.1015625</v>
      </c>
      <c r="AA949" s="31" cm="1">
        <f t="array" ref="AA949">IF(LEFT(_xll.BDP($C949, VOLUME_AVG_3M), 4) = "#N/A", "",  _xll.BDP($C949, VOLUME_AVG_3M))</f>
        <v>127839.7421875</v>
      </c>
      <c r="AB949" s="31" cm="1">
        <f t="array" ref="AB949">IF(LEFT(_xll.BDP($C949, VOLUME_AVG_6M), 4) = "#N/A", "",  _xll.BDP($C949, VOLUME_AVG_6M))</f>
        <v>84570.546875</v>
      </c>
      <c r="AC949" s="31" cm="1">
        <f t="array" ref="AC949">IF(LEFT(_xll.BDP($C949, VOLUME_AVG_12M), 4) = "#N/A", "",  _xll.BDP($C949, VOLUME_AVG_12M))</f>
        <v>86077.71875</v>
      </c>
      <c r="AD949" s="41" cm="1">
        <f t="array" ref="AD949">IF(LEFT(_xll.BDP($C949, LAST_PRICE), 4) = "#N/A", "",  _xll.BDP($C949, LAST_PRICE))</f>
        <v>1.73</v>
      </c>
    </row>
    <row r="950" spans="1:30" x14ac:dyDescent="0.35">
      <c r="A950" s="1">
        <f t="shared" si="14"/>
        <v>947</v>
      </c>
      <c r="B950" s="28">
        <v>45700</v>
      </c>
      <c r="C950" s="29" t="s">
        <v>3305</v>
      </c>
      <c r="D950" s="29" t="s">
        <v>3305</v>
      </c>
      <c r="E950" s="29" t="s">
        <v>3306</v>
      </c>
      <c r="F950" s="29" t="s">
        <v>33</v>
      </c>
      <c r="G950" s="30" t="s">
        <v>34</v>
      </c>
      <c r="H950" s="31">
        <v>3321506171.5667</v>
      </c>
      <c r="I950" s="31">
        <v>3389994171.5667</v>
      </c>
      <c r="J950" s="32">
        <v>31.649999618530298</v>
      </c>
      <c r="K950" s="33">
        <v>45700</v>
      </c>
      <c r="L950" s="31">
        <v>2387800</v>
      </c>
      <c r="M950" s="32">
        <v>-1.2</v>
      </c>
      <c r="N950" s="31" t="s">
        <v>35</v>
      </c>
      <c r="O950" s="33">
        <v>45699</v>
      </c>
      <c r="P950" s="34"/>
      <c r="Q950" s="34"/>
      <c r="R950" s="34"/>
      <c r="S950" s="29"/>
      <c r="T950" s="33"/>
      <c r="U950" s="35" t="b">
        <v>0</v>
      </c>
      <c r="V950" s="35" t="b">
        <v>0</v>
      </c>
      <c r="W950" s="35" t="b">
        <v>0</v>
      </c>
      <c r="Y950" s="31" t="str" cm="1">
        <f t="array" ref="Y950">IF(LEFT(_xll.BDP($C950, VOLUME_AVG_10D), 4) = "#N/A", "",  _xll.BDP($C950, VOLUME_AVG_10D))</f>
        <v/>
      </c>
      <c r="Z950" s="31" t="str" cm="1">
        <f t="array" ref="Z950">IF(LEFT(_xll.BDP($C950, VOLUME_AVG_30D), 4) = "#N/A", "",  _xll.BDP($C950, VOLUME_AVG_30D))</f>
        <v/>
      </c>
      <c r="AA950" s="31" t="str" cm="1">
        <f t="array" ref="AA950">IF(LEFT(_xll.BDP($C950, VOLUME_AVG_3M), 4) = "#N/A", "",  _xll.BDP($C950, VOLUME_AVG_3M))</f>
        <v/>
      </c>
      <c r="AB950" s="31" t="str" cm="1">
        <f t="array" ref="AB950">IF(LEFT(_xll.BDP($C950, VOLUME_AVG_6M), 4) = "#N/A", "",  _xll.BDP($C950, VOLUME_AVG_6M))</f>
        <v/>
      </c>
      <c r="AC950" s="31" t="str" cm="1">
        <f t="array" ref="AC950">IF(LEFT(_xll.BDP($C950, VOLUME_AVG_12M), 4) = "#N/A", "",  _xll.BDP($C950, VOLUME_AVG_12M))</f>
        <v/>
      </c>
      <c r="AD950" s="41" cm="1">
        <f t="array" ref="AD950">IF(LEFT(_xll.BDP($C950, LAST_PRICE), 4) = "#N/A", "",  _xll.BDP($C950, LAST_PRICE))</f>
        <v>31.65</v>
      </c>
    </row>
    <row r="951" spans="1:30" x14ac:dyDescent="0.35">
      <c r="A951" s="1">
        <f t="shared" si="14"/>
        <v>948</v>
      </c>
      <c r="B951" s="28">
        <v>45700</v>
      </c>
      <c r="C951" s="29" t="s">
        <v>1952</v>
      </c>
      <c r="D951" s="29" t="s">
        <v>1952</v>
      </c>
      <c r="E951" s="29" t="s">
        <v>1953</v>
      </c>
      <c r="F951" s="29" t="s">
        <v>33</v>
      </c>
      <c r="G951" s="30" t="s">
        <v>34</v>
      </c>
      <c r="H951" s="31">
        <v>27454943572.744301</v>
      </c>
      <c r="I951" s="31">
        <v>29526654572.744301</v>
      </c>
      <c r="J951" s="32">
        <v>1312.59997558594</v>
      </c>
      <c r="K951" s="33">
        <v>45700</v>
      </c>
      <c r="L951" s="31">
        <v>8015500</v>
      </c>
      <c r="M951" s="32">
        <v>3.88</v>
      </c>
      <c r="N951" s="31" t="s">
        <v>35</v>
      </c>
      <c r="O951" s="33">
        <v>45699</v>
      </c>
      <c r="P951" s="34">
        <v>132351.40625</v>
      </c>
      <c r="Q951" s="34">
        <v>139203.46875</v>
      </c>
      <c r="R951" s="34">
        <v>121927.625</v>
      </c>
      <c r="S951" s="29"/>
      <c r="T951" s="33"/>
      <c r="U951" s="35" t="b">
        <v>0</v>
      </c>
      <c r="V951" s="35" t="b">
        <v>0</v>
      </c>
      <c r="W951" s="35" t="b">
        <v>0</v>
      </c>
      <c r="Y951" s="31" cm="1">
        <f t="array" ref="Y951">IF(LEFT(_xll.BDP($C951, VOLUME_AVG_10D), 4) = "#N/A", "",  _xll.BDP($C951, VOLUME_AVG_10D))</f>
        <v>176691.296875</v>
      </c>
      <c r="Z951" s="31" cm="1">
        <f t="array" ref="Z951">IF(LEFT(_xll.BDP($C951, VOLUME_AVG_30D), 4) = "#N/A", "",  _xll.BDP($C951, VOLUME_AVG_30D))</f>
        <v>132351.40625</v>
      </c>
      <c r="AA951" s="31" cm="1">
        <f t="array" ref="AA951">IF(LEFT(_xll.BDP($C951, VOLUME_AVG_3M), 4) = "#N/A", "",  _xll.BDP($C951, VOLUME_AVG_3M))</f>
        <v>139203.46875</v>
      </c>
      <c r="AB951" s="31" cm="1">
        <f t="array" ref="AB951">IF(LEFT(_xll.BDP($C951, VOLUME_AVG_6M), 4) = "#N/A", "",  _xll.BDP($C951, VOLUME_AVG_6M))</f>
        <v>121927.625</v>
      </c>
      <c r="AC951" s="31" cm="1">
        <f t="array" ref="AC951">IF(LEFT(_xll.BDP($C951, VOLUME_AVG_12M), 4) = "#N/A", "",  _xll.BDP($C951, VOLUME_AVG_12M))</f>
        <v>131007.7890625</v>
      </c>
      <c r="AD951" s="41" cm="1">
        <f t="array" ref="AD951">IF(LEFT(_xll.BDP($C951, LAST_PRICE), 4) = "#N/A", "",  _xll.BDP($C951, LAST_PRICE))</f>
        <v>1312.6</v>
      </c>
    </row>
    <row r="952" spans="1:30" x14ac:dyDescent="0.35">
      <c r="A952" s="1">
        <f t="shared" si="14"/>
        <v>949</v>
      </c>
      <c r="B952" s="28">
        <v>45700</v>
      </c>
      <c r="C952" s="29" t="s">
        <v>1954</v>
      </c>
      <c r="D952" s="29" t="s">
        <v>1954</v>
      </c>
      <c r="E952" s="29" t="s">
        <v>1955</v>
      </c>
      <c r="F952" s="29" t="s">
        <v>40</v>
      </c>
      <c r="G952" s="30" t="s">
        <v>41</v>
      </c>
      <c r="H952" s="31">
        <v>65221374.083709702</v>
      </c>
      <c r="I952" s="31">
        <v>58654899.083709702</v>
      </c>
      <c r="J952" s="32">
        <v>0.48500001430511502</v>
      </c>
      <c r="K952" s="33">
        <v>45700</v>
      </c>
      <c r="L952" s="31"/>
      <c r="M952" s="32"/>
      <c r="N952" s="31"/>
      <c r="O952" s="33">
        <v>45699</v>
      </c>
      <c r="P952" s="34">
        <v>376780.4</v>
      </c>
      <c r="Q952" s="34">
        <v>233890.5</v>
      </c>
      <c r="R952" s="34">
        <v>175426.8</v>
      </c>
      <c r="S952" s="29"/>
      <c r="T952" s="33"/>
      <c r="U952" s="35" t="b">
        <v>0</v>
      </c>
      <c r="V952" s="35" t="b">
        <v>0</v>
      </c>
      <c r="W952" s="35" t="b">
        <v>0</v>
      </c>
      <c r="Y952" s="31" cm="1">
        <f t="array" ref="Y952">IF(LEFT(_xll.BDP($C952, VOLUME_AVG_10D), 4) = "#N/A", "",  _xll.BDP($C952, VOLUME_AVG_10D))</f>
        <v>223203.1</v>
      </c>
      <c r="Z952" s="31" cm="1">
        <f t="array" ref="Z952">IF(LEFT(_xll.BDP($C952, VOLUME_AVG_30D), 4) = "#N/A", "",  _xll.BDP($C952, VOLUME_AVG_30D))</f>
        <v>376780.4</v>
      </c>
      <c r="AA952" s="31" cm="1">
        <f t="array" ref="AA952">IF(LEFT(_xll.BDP($C952, VOLUME_AVG_3M), 4) = "#N/A", "",  _xll.BDP($C952, VOLUME_AVG_3M))</f>
        <v>233890.5</v>
      </c>
      <c r="AB952" s="31" cm="1">
        <f t="array" ref="AB952">IF(LEFT(_xll.BDP($C952, VOLUME_AVG_6M), 4) = "#N/A", "",  _xll.BDP($C952, VOLUME_AVG_6M))</f>
        <v>175426.8</v>
      </c>
      <c r="AC952" s="31" cm="1">
        <f t="array" ref="AC952">IF(LEFT(_xll.BDP($C952, VOLUME_AVG_12M), 4) = "#N/A", "",  _xll.BDP($C952, VOLUME_AVG_12M))</f>
        <v>137028.70000000001</v>
      </c>
      <c r="AD952" s="41" cm="1">
        <f t="array" ref="AD952">IF(LEFT(_xll.BDP($C952, LAST_PRICE), 4) = "#N/A", "",  _xll.BDP($C952, LAST_PRICE))</f>
        <v>0.48499999999999999</v>
      </c>
    </row>
    <row r="953" spans="1:30" x14ac:dyDescent="0.35">
      <c r="A953" s="1">
        <f t="shared" si="14"/>
        <v>950</v>
      </c>
      <c r="B953" s="28">
        <v>45700</v>
      </c>
      <c r="C953" s="29" t="s">
        <v>1956</v>
      </c>
      <c r="D953" s="29" t="s">
        <v>1956</v>
      </c>
      <c r="E953" s="29" t="s">
        <v>1957</v>
      </c>
      <c r="F953" s="29" t="s">
        <v>33</v>
      </c>
      <c r="G953" s="30" t="s">
        <v>34</v>
      </c>
      <c r="H953" s="31">
        <v>74700626.713491395</v>
      </c>
      <c r="I953" s="31">
        <v>70456626.713491395</v>
      </c>
      <c r="J953" s="32">
        <v>2.1500000953674299</v>
      </c>
      <c r="K953" s="33">
        <v>45700</v>
      </c>
      <c r="L953" s="31">
        <v>55100</v>
      </c>
      <c r="M953" s="32">
        <v>-17.3</v>
      </c>
      <c r="N953" s="31" t="s">
        <v>35</v>
      </c>
      <c r="O953" s="33">
        <v>45699</v>
      </c>
      <c r="P953" s="34">
        <v>7070456.5</v>
      </c>
      <c r="Q953" s="34">
        <v>3515666.5</v>
      </c>
      <c r="R953" s="34">
        <v>1808342.625</v>
      </c>
      <c r="S953" s="29"/>
      <c r="T953" s="33"/>
      <c r="U953" s="35" t="b">
        <v>0</v>
      </c>
      <c r="V953" s="35" t="b">
        <v>0</v>
      </c>
      <c r="W953" s="35" t="b">
        <v>0</v>
      </c>
      <c r="Y953" s="31" cm="1">
        <f t="array" ref="Y953">IF(LEFT(_xll.BDP($C953, VOLUME_AVG_10D), 4) = "#N/A", "",  _xll.BDP($C953, VOLUME_AVG_10D))</f>
        <v>4681672</v>
      </c>
      <c r="Z953" s="31" cm="1">
        <f t="array" ref="Z953">IF(LEFT(_xll.BDP($C953, VOLUME_AVG_30D), 4) = "#N/A", "",  _xll.BDP($C953, VOLUME_AVG_30D))</f>
        <v>7070456.5</v>
      </c>
      <c r="AA953" s="31" cm="1">
        <f t="array" ref="AA953">IF(LEFT(_xll.BDP($C953, VOLUME_AVG_3M), 4) = "#N/A", "",  _xll.BDP($C953, VOLUME_AVG_3M))</f>
        <v>3515666.5</v>
      </c>
      <c r="AB953" s="31" cm="1">
        <f t="array" ref="AB953">IF(LEFT(_xll.BDP($C953, VOLUME_AVG_6M), 4) = "#N/A", "",  _xll.BDP($C953, VOLUME_AVG_6M))</f>
        <v>1808342.625</v>
      </c>
      <c r="AC953" s="31" cm="1">
        <f t="array" ref="AC953">IF(LEFT(_xll.BDP($C953, VOLUME_AVG_12M), 4) = "#N/A", "",  _xll.BDP($C953, VOLUME_AVG_12M))</f>
        <v>1607781.125</v>
      </c>
      <c r="AD953" s="41" cm="1">
        <f t="array" ref="AD953">IF(LEFT(_xll.BDP($C953, LAST_PRICE), 4) = "#N/A", "",  _xll.BDP($C953, LAST_PRICE))</f>
        <v>2.15</v>
      </c>
    </row>
    <row r="954" spans="1:30" x14ac:dyDescent="0.35">
      <c r="A954" s="1">
        <f t="shared" si="14"/>
        <v>951</v>
      </c>
      <c r="B954" s="28">
        <v>45700</v>
      </c>
      <c r="C954" s="29" t="s">
        <v>1958</v>
      </c>
      <c r="D954" s="29" t="s">
        <v>1958</v>
      </c>
      <c r="E954" s="29" t="s">
        <v>1959</v>
      </c>
      <c r="F954" s="29" t="s">
        <v>33</v>
      </c>
      <c r="G954" s="30" t="s">
        <v>34</v>
      </c>
      <c r="H954" s="31">
        <v>121054350.142851</v>
      </c>
      <c r="I954" s="31">
        <v>98653350.142850906</v>
      </c>
      <c r="J954" s="32">
        <v>2.2699999809265101</v>
      </c>
      <c r="K954" s="33">
        <v>45700</v>
      </c>
      <c r="L954" s="31">
        <v>3156900</v>
      </c>
      <c r="M954" s="32">
        <v>3.6</v>
      </c>
      <c r="N954" s="31" t="s">
        <v>35</v>
      </c>
      <c r="O954" s="33">
        <v>45699</v>
      </c>
      <c r="P954" s="34">
        <v>791702.6875</v>
      </c>
      <c r="Q954" s="34">
        <v>589000.625</v>
      </c>
      <c r="R954" s="34">
        <v>395623.71875</v>
      </c>
      <c r="S954" s="29"/>
      <c r="T954" s="33"/>
      <c r="U954" s="35" t="b">
        <v>0</v>
      </c>
      <c r="V954" s="35" t="b">
        <v>0</v>
      </c>
      <c r="W954" s="35" t="b">
        <v>0</v>
      </c>
      <c r="Y954" s="31" cm="1">
        <f t="array" ref="Y954">IF(LEFT(_xll.BDP($C954, VOLUME_AVG_10D), 4) = "#N/A", "",  _xll.BDP($C954, VOLUME_AVG_10D))</f>
        <v>904727.6875</v>
      </c>
      <c r="Z954" s="31" cm="1">
        <f t="array" ref="Z954">IF(LEFT(_xll.BDP($C954, VOLUME_AVG_30D), 4) = "#N/A", "",  _xll.BDP($C954, VOLUME_AVG_30D))</f>
        <v>791702.6875</v>
      </c>
      <c r="AA954" s="31" cm="1">
        <f t="array" ref="AA954">IF(LEFT(_xll.BDP($C954, VOLUME_AVG_3M), 4) = "#N/A", "",  _xll.BDP($C954, VOLUME_AVG_3M))</f>
        <v>589000.625</v>
      </c>
      <c r="AB954" s="31" cm="1">
        <f t="array" ref="AB954">IF(LEFT(_xll.BDP($C954, VOLUME_AVG_6M), 4) = "#N/A", "",  _xll.BDP($C954, VOLUME_AVG_6M))</f>
        <v>395623.71875</v>
      </c>
      <c r="AC954" s="31" cm="1">
        <f t="array" ref="AC954">IF(LEFT(_xll.BDP($C954, VOLUME_AVG_12M), 4) = "#N/A", "",  _xll.BDP($C954, VOLUME_AVG_12M))</f>
        <v>315374.6875</v>
      </c>
      <c r="AD954" s="41" cm="1">
        <f t="array" ref="AD954">IF(LEFT(_xll.BDP($C954, LAST_PRICE), 4) = "#N/A", "",  _xll.BDP($C954, LAST_PRICE))</f>
        <v>2.27</v>
      </c>
    </row>
    <row r="955" spans="1:30" x14ac:dyDescent="0.35">
      <c r="A955" s="1">
        <f t="shared" si="14"/>
        <v>952</v>
      </c>
      <c r="B955" s="28">
        <v>45700</v>
      </c>
      <c r="C955" s="29" t="s">
        <v>1960</v>
      </c>
      <c r="D955" s="29" t="s">
        <v>1960</v>
      </c>
      <c r="E955" s="29" t="s">
        <v>1961</v>
      </c>
      <c r="F955" s="29" t="s">
        <v>33</v>
      </c>
      <c r="G955" s="30" t="s">
        <v>34</v>
      </c>
      <c r="H955" s="31">
        <v>90354813.680071205</v>
      </c>
      <c r="I955" s="31">
        <v>85890908.680071205</v>
      </c>
      <c r="J955" s="32">
        <v>1.1599999666214</v>
      </c>
      <c r="K955" s="33">
        <v>45700</v>
      </c>
      <c r="L955" s="31">
        <v>3458200</v>
      </c>
      <c r="M955" s="32">
        <v>3.8</v>
      </c>
      <c r="N955" s="31" t="s">
        <v>35</v>
      </c>
      <c r="O955" s="33">
        <v>45699</v>
      </c>
      <c r="P955" s="34">
        <v>222691.734375</v>
      </c>
      <c r="Q955" s="34">
        <v>210854.21875</v>
      </c>
      <c r="R955" s="34">
        <v>149329.90625</v>
      </c>
      <c r="S955" s="29"/>
      <c r="T955" s="33"/>
      <c r="U955" s="35" t="b">
        <v>0</v>
      </c>
      <c r="V955" s="35" t="b">
        <v>0</v>
      </c>
      <c r="W955" s="35" t="b">
        <v>0</v>
      </c>
      <c r="Y955" s="31" cm="1">
        <f t="array" ref="Y955">IF(LEFT(_xll.BDP($C955, VOLUME_AVG_10D), 4) = "#N/A", "",  _xll.BDP($C955, VOLUME_AVG_10D))</f>
        <v>98559.796875</v>
      </c>
      <c r="Z955" s="31" cm="1">
        <f t="array" ref="Z955">IF(LEFT(_xll.BDP($C955, VOLUME_AVG_30D), 4) = "#N/A", "",  _xll.BDP($C955, VOLUME_AVG_30D))</f>
        <v>222691.734375</v>
      </c>
      <c r="AA955" s="31" cm="1">
        <f t="array" ref="AA955">IF(LEFT(_xll.BDP($C955, VOLUME_AVG_3M), 4) = "#N/A", "",  _xll.BDP($C955, VOLUME_AVG_3M))</f>
        <v>210854.21875</v>
      </c>
      <c r="AB955" s="31" cm="1">
        <f t="array" ref="AB955">IF(LEFT(_xll.BDP($C955, VOLUME_AVG_6M), 4) = "#N/A", "",  _xll.BDP($C955, VOLUME_AVG_6M))</f>
        <v>149329.90625</v>
      </c>
      <c r="AC955" s="31" cm="1">
        <f t="array" ref="AC955">IF(LEFT(_xll.BDP($C955, VOLUME_AVG_12M), 4) = "#N/A", "",  _xll.BDP($C955, VOLUME_AVG_12M))</f>
        <v>134404.15625</v>
      </c>
      <c r="AD955" s="41" cm="1">
        <f t="array" ref="AD955">IF(LEFT(_xll.BDP($C955, LAST_PRICE), 4) = "#N/A", "",  _xll.BDP($C955, LAST_PRICE))</f>
        <v>1.1599999999999999</v>
      </c>
    </row>
    <row r="956" spans="1:30" x14ac:dyDescent="0.35">
      <c r="A956" s="1">
        <f t="shared" si="14"/>
        <v>953</v>
      </c>
      <c r="B956" s="28">
        <v>45700</v>
      </c>
      <c r="C956" s="29" t="s">
        <v>1962</v>
      </c>
      <c r="D956" s="29" t="s">
        <v>1962</v>
      </c>
      <c r="E956" s="29" t="s">
        <v>1963</v>
      </c>
      <c r="F956" s="29" t="s">
        <v>33</v>
      </c>
      <c r="G956" s="30" t="s">
        <v>34</v>
      </c>
      <c r="H956" s="31">
        <v>1204958918.5722301</v>
      </c>
      <c r="I956" s="31">
        <v>1135175918.5722301</v>
      </c>
      <c r="J956" s="32">
        <v>8.1999998092651403</v>
      </c>
      <c r="K956" s="33">
        <v>45700</v>
      </c>
      <c r="L956" s="31">
        <v>24595000</v>
      </c>
      <c r="M956" s="32">
        <v>3.88</v>
      </c>
      <c r="N956" s="31" t="s">
        <v>35</v>
      </c>
      <c r="O956" s="33">
        <v>45699</v>
      </c>
      <c r="P956" s="34">
        <v>590832.875</v>
      </c>
      <c r="Q956" s="34">
        <v>786798.375</v>
      </c>
      <c r="R956" s="34">
        <v>691506.4375</v>
      </c>
      <c r="S956" s="29" t="s">
        <v>1964</v>
      </c>
      <c r="T956" s="33">
        <v>45215</v>
      </c>
      <c r="U956" s="35" t="b">
        <v>0</v>
      </c>
      <c r="V956" s="35" t="b">
        <v>0</v>
      </c>
      <c r="W956" s="35" t="b">
        <v>0</v>
      </c>
      <c r="Y956" s="31" cm="1">
        <f t="array" ref="Y956">IF(LEFT(_xll.BDP($C956, VOLUME_AVG_10D), 4) = "#N/A", "",  _xll.BDP($C956, VOLUME_AVG_10D))</f>
        <v>449347.09375</v>
      </c>
      <c r="Z956" s="31" cm="1">
        <f t="array" ref="Z956">IF(LEFT(_xll.BDP($C956, VOLUME_AVG_30D), 4) = "#N/A", "",  _xll.BDP($C956, VOLUME_AVG_30D))</f>
        <v>590832.875</v>
      </c>
      <c r="AA956" s="31" cm="1">
        <f t="array" ref="AA956">IF(LEFT(_xll.BDP($C956, VOLUME_AVG_3M), 4) = "#N/A", "",  _xll.BDP($C956, VOLUME_AVG_3M))</f>
        <v>786798.375</v>
      </c>
      <c r="AB956" s="31" cm="1">
        <f t="array" ref="AB956">IF(LEFT(_xll.BDP($C956, VOLUME_AVG_6M), 4) = "#N/A", "",  _xll.BDP($C956, VOLUME_AVG_6M))</f>
        <v>691506.4375</v>
      </c>
      <c r="AC956" s="31" cm="1">
        <f t="array" ref="AC956">IF(LEFT(_xll.BDP($C956, VOLUME_AVG_12M), 4) = "#N/A", "",  _xll.BDP($C956, VOLUME_AVG_12M))</f>
        <v>746636.625</v>
      </c>
      <c r="AD956" s="41" cm="1">
        <f t="array" ref="AD956">IF(LEFT(_xll.BDP($C956, LAST_PRICE), 4) = "#N/A", "",  _xll.BDP($C956, LAST_PRICE))</f>
        <v>8.1999999999999993</v>
      </c>
    </row>
    <row r="957" spans="1:30" x14ac:dyDescent="0.35">
      <c r="A957" s="1">
        <f t="shared" si="14"/>
        <v>954</v>
      </c>
      <c r="B957" s="28">
        <v>45700</v>
      </c>
      <c r="C957" s="29" t="s">
        <v>1965</v>
      </c>
      <c r="D957" s="29" t="s">
        <v>1965</v>
      </c>
      <c r="E957" s="29" t="s">
        <v>1966</v>
      </c>
      <c r="F957" s="29" t="s">
        <v>33</v>
      </c>
      <c r="G957" s="30" t="s">
        <v>34</v>
      </c>
      <c r="H957" s="31">
        <v>624052698.68429196</v>
      </c>
      <c r="I957" s="31">
        <v>524348698.68429202</v>
      </c>
      <c r="J957" s="32">
        <v>8.5100002288818395</v>
      </c>
      <c r="K957" s="33">
        <v>45700</v>
      </c>
      <c r="L957" s="31"/>
      <c r="M957" s="32"/>
      <c r="N957" s="31"/>
      <c r="O957" s="33">
        <v>45699</v>
      </c>
      <c r="P957" s="34">
        <v>1938494.375</v>
      </c>
      <c r="Q957" s="34">
        <v>1698894.375</v>
      </c>
      <c r="R957" s="34">
        <v>1292328.125</v>
      </c>
      <c r="S957" s="29" t="s">
        <v>82</v>
      </c>
      <c r="T957" s="33">
        <v>45446</v>
      </c>
      <c r="U957" s="35" t="b">
        <v>0</v>
      </c>
      <c r="V957" s="35" t="b">
        <v>0</v>
      </c>
      <c r="W957" s="35" t="b">
        <v>0</v>
      </c>
      <c r="Y957" s="31" cm="1">
        <f t="array" ref="Y957">IF(LEFT(_xll.BDP($C957, VOLUME_AVG_10D), 4) = "#N/A", "",  _xll.BDP($C957, VOLUME_AVG_10D))</f>
        <v>2967208.5</v>
      </c>
      <c r="Z957" s="31" cm="1">
        <f t="array" ref="Z957">IF(LEFT(_xll.BDP($C957, VOLUME_AVG_30D), 4) = "#N/A", "",  _xll.BDP($C957, VOLUME_AVG_30D))</f>
        <v>1938494.375</v>
      </c>
      <c r="AA957" s="31" cm="1">
        <f t="array" ref="AA957">IF(LEFT(_xll.BDP($C957, VOLUME_AVG_3M), 4) = "#N/A", "",  _xll.BDP($C957, VOLUME_AVG_3M))</f>
        <v>1698894.375</v>
      </c>
      <c r="AB957" s="31" cm="1">
        <f t="array" ref="AB957">IF(LEFT(_xll.BDP($C957, VOLUME_AVG_6M), 4) = "#N/A", "",  _xll.BDP($C957, VOLUME_AVG_6M))</f>
        <v>1292328.125</v>
      </c>
      <c r="AC957" s="31" cm="1">
        <f t="array" ref="AC957">IF(LEFT(_xll.BDP($C957, VOLUME_AVG_12M), 4) = "#N/A", "",  _xll.BDP($C957, VOLUME_AVG_12M))</f>
        <v>1582969.25</v>
      </c>
      <c r="AD957" s="41" cm="1">
        <f t="array" ref="AD957">IF(LEFT(_xll.BDP($C957, LAST_PRICE), 4) = "#N/A", "",  _xll.BDP($C957, LAST_PRICE))</f>
        <v>8.51</v>
      </c>
    </row>
    <row r="958" spans="1:30" x14ac:dyDescent="0.35">
      <c r="A958" s="1">
        <f t="shared" si="14"/>
        <v>955</v>
      </c>
      <c r="B958" s="28">
        <v>45700</v>
      </c>
      <c r="C958" s="29" t="s">
        <v>1967</v>
      </c>
      <c r="D958" s="29" t="s">
        <v>1967</v>
      </c>
      <c r="E958" s="29" t="s">
        <v>1968</v>
      </c>
      <c r="F958" s="29" t="s">
        <v>33</v>
      </c>
      <c r="G958" s="30" t="s">
        <v>34</v>
      </c>
      <c r="H958" s="31"/>
      <c r="I958" s="31"/>
      <c r="J958" s="32">
        <v>9.9999999747524292E-7</v>
      </c>
      <c r="K958" s="33">
        <v>45700</v>
      </c>
      <c r="L958" s="31"/>
      <c r="M958" s="32"/>
      <c r="N958" s="31"/>
      <c r="O958" s="33">
        <v>45699</v>
      </c>
      <c r="P958" s="34">
        <v>132472.328125</v>
      </c>
      <c r="Q958" s="34">
        <v>72402.7421875</v>
      </c>
      <c r="R958" s="34">
        <v>36521.9765625</v>
      </c>
      <c r="S958" s="29"/>
      <c r="T958" s="33"/>
      <c r="U958" s="35" t="b">
        <v>1</v>
      </c>
      <c r="V958" s="35" t="b">
        <v>1</v>
      </c>
      <c r="W958" s="35" t="b">
        <v>1</v>
      </c>
      <c r="Y958" s="31" cm="1">
        <f t="array" ref="Y958">IF(LEFT(_xll.BDP($C958, VOLUME_AVG_10D), 4) = "#N/A", "",  _xll.BDP($C958, VOLUME_AVG_10D))</f>
        <v>397411.8125</v>
      </c>
      <c r="Z958" s="31" cm="1">
        <f t="array" ref="Z958">IF(LEFT(_xll.BDP($C958, VOLUME_AVG_30D), 4) = "#N/A", "",  _xll.BDP($C958, VOLUME_AVG_30D))</f>
        <v>132472.328125</v>
      </c>
      <c r="AA958" s="31" cm="1">
        <f t="array" ref="AA958">IF(LEFT(_xll.BDP($C958, VOLUME_AVG_3M), 4) = "#N/A", "",  _xll.BDP($C958, VOLUME_AVG_3M))</f>
        <v>72402.7421875</v>
      </c>
      <c r="AB958" s="31" cm="1">
        <f t="array" ref="AB958">IF(LEFT(_xll.BDP($C958, VOLUME_AVG_6M), 4) = "#N/A", "",  _xll.BDP($C958, VOLUME_AVG_6M))</f>
        <v>36521.9765625</v>
      </c>
      <c r="AC958" s="31" cm="1">
        <f t="array" ref="AC958">IF(LEFT(_xll.BDP($C958, VOLUME_AVG_12M), 4) = "#N/A", "",  _xll.BDP($C958, VOLUME_AVG_12M))</f>
        <v>19188.015625</v>
      </c>
      <c r="AD958" s="41" cm="1">
        <f t="array" ref="AD958">IF(LEFT(_xll.BDP($C958, LAST_PRICE), 4) = "#N/A", "",  _xll.BDP($C958, LAST_PRICE))</f>
        <v>9.9999999999999995E-7</v>
      </c>
    </row>
    <row r="959" spans="1:30" x14ac:dyDescent="0.35">
      <c r="A959" s="1">
        <f t="shared" si="14"/>
        <v>956</v>
      </c>
      <c r="B959" s="28">
        <v>45700</v>
      </c>
      <c r="C959" s="29" t="s">
        <v>1969</v>
      </c>
      <c r="D959" s="29" t="s">
        <v>1969</v>
      </c>
      <c r="E959" s="29" t="s">
        <v>1970</v>
      </c>
      <c r="F959" s="29" t="s">
        <v>33</v>
      </c>
      <c r="G959" s="30" t="s">
        <v>34</v>
      </c>
      <c r="H959" s="31">
        <v>529752827.01323599</v>
      </c>
      <c r="I959" s="31"/>
      <c r="J959" s="32">
        <v>10.6300001144409</v>
      </c>
      <c r="K959" s="33">
        <v>45700</v>
      </c>
      <c r="L959" s="31">
        <v>6220700</v>
      </c>
      <c r="M959" s="32">
        <v>3.88</v>
      </c>
      <c r="N959" s="31" t="s">
        <v>35</v>
      </c>
      <c r="O959" s="33">
        <v>45699</v>
      </c>
      <c r="P959" s="34">
        <v>252056.03125</v>
      </c>
      <c r="Q959" s="34">
        <v>225365.046875</v>
      </c>
      <c r="R959" s="34">
        <v>197788.0625</v>
      </c>
      <c r="S959" s="29" t="s">
        <v>254</v>
      </c>
      <c r="T959" s="33">
        <v>45446</v>
      </c>
      <c r="U959" s="35" t="b">
        <v>0</v>
      </c>
      <c r="V959" s="35" t="b">
        <v>0</v>
      </c>
      <c r="W959" s="35" t="b">
        <v>1</v>
      </c>
      <c r="Y959" s="31" cm="1">
        <f t="array" ref="Y959">IF(LEFT(_xll.BDP($C959, VOLUME_AVG_10D), 4) = "#N/A", "",  _xll.BDP($C959, VOLUME_AVG_10D))</f>
        <v>267671.3125</v>
      </c>
      <c r="Z959" s="31" cm="1">
        <f t="array" ref="Z959">IF(LEFT(_xll.BDP($C959, VOLUME_AVG_30D), 4) = "#N/A", "",  _xll.BDP($C959, VOLUME_AVG_30D))</f>
        <v>252056.03125</v>
      </c>
      <c r="AA959" s="31" cm="1">
        <f t="array" ref="AA959">IF(LEFT(_xll.BDP($C959, VOLUME_AVG_3M), 4) = "#N/A", "",  _xll.BDP($C959, VOLUME_AVG_3M))</f>
        <v>225365.046875</v>
      </c>
      <c r="AB959" s="31" cm="1">
        <f t="array" ref="AB959">IF(LEFT(_xll.BDP($C959, VOLUME_AVG_6M), 4) = "#N/A", "",  _xll.BDP($C959, VOLUME_AVG_6M))</f>
        <v>197788.0625</v>
      </c>
      <c r="AC959" s="31" cm="1">
        <f t="array" ref="AC959">IF(LEFT(_xll.BDP($C959, VOLUME_AVG_12M), 4) = "#N/A", "",  _xll.BDP($C959, VOLUME_AVG_12M))</f>
        <v>189669.03125</v>
      </c>
      <c r="AD959" s="41" cm="1">
        <f t="array" ref="AD959">IF(LEFT(_xll.BDP($C959, LAST_PRICE), 4) = "#N/A", "",  _xll.BDP($C959, LAST_PRICE))</f>
        <v>10.63</v>
      </c>
    </row>
    <row r="960" spans="1:30" x14ac:dyDescent="0.35">
      <c r="A960" s="1">
        <f t="shared" si="14"/>
        <v>957</v>
      </c>
      <c r="B960" s="28">
        <v>45700</v>
      </c>
      <c r="C960" s="29" t="s">
        <v>1971</v>
      </c>
      <c r="D960" s="29" t="s">
        <v>1971</v>
      </c>
      <c r="E960" s="29" t="s">
        <v>1972</v>
      </c>
      <c r="F960" s="29" t="s">
        <v>33</v>
      </c>
      <c r="G960" s="30" t="s">
        <v>34</v>
      </c>
      <c r="H960" s="31">
        <v>13707076.026777299</v>
      </c>
      <c r="I960" s="31">
        <v>-12821715.973222701</v>
      </c>
      <c r="J960" s="32">
        <v>1.96000003814697</v>
      </c>
      <c r="K960" s="33">
        <v>45700</v>
      </c>
      <c r="L960" s="31">
        <v>1077400</v>
      </c>
      <c r="M960" s="32">
        <v>1.1499999999999999</v>
      </c>
      <c r="N960" s="31" t="s">
        <v>35</v>
      </c>
      <c r="O960" s="33">
        <v>45699</v>
      </c>
      <c r="P960" s="34">
        <v>47916.734375</v>
      </c>
      <c r="Q960" s="34">
        <v>37968.64453125</v>
      </c>
      <c r="R960" s="34">
        <v>27806.71484375</v>
      </c>
      <c r="S960" s="29"/>
      <c r="T960" s="33"/>
      <c r="U960" s="35" t="b">
        <v>1</v>
      </c>
      <c r="V960" s="35" t="b">
        <v>0</v>
      </c>
      <c r="W960" s="35" t="b">
        <v>1</v>
      </c>
      <c r="Y960" s="31" cm="1">
        <f t="array" ref="Y960">IF(LEFT(_xll.BDP($C960, VOLUME_AVG_10D), 4) = "#N/A", "",  _xll.BDP($C960, VOLUME_AVG_10D))</f>
        <v>39754.30078125</v>
      </c>
      <c r="Z960" s="31" cm="1">
        <f t="array" ref="Z960">IF(LEFT(_xll.BDP($C960, VOLUME_AVG_30D), 4) = "#N/A", "",  _xll.BDP($C960, VOLUME_AVG_30D))</f>
        <v>47916.734375</v>
      </c>
      <c r="AA960" s="31" cm="1">
        <f t="array" ref="AA960">IF(LEFT(_xll.BDP($C960, VOLUME_AVG_3M), 4) = "#N/A", "",  _xll.BDP($C960, VOLUME_AVG_3M))</f>
        <v>37968.64453125</v>
      </c>
      <c r="AB960" s="31" cm="1">
        <f t="array" ref="AB960">IF(LEFT(_xll.BDP($C960, VOLUME_AVG_6M), 4) = "#N/A", "",  _xll.BDP($C960, VOLUME_AVG_6M))</f>
        <v>27806.71484375</v>
      </c>
      <c r="AC960" s="31" cm="1">
        <f t="array" ref="AC960">IF(LEFT(_xll.BDP($C960, VOLUME_AVG_12M), 4) = "#N/A", "",  _xll.BDP($C960, VOLUME_AVG_12M))</f>
        <v>49824.3828125</v>
      </c>
      <c r="AD960" s="41" cm="1">
        <f t="array" ref="AD960">IF(LEFT(_xll.BDP($C960, LAST_PRICE), 4) = "#N/A", "",  _xll.BDP($C960, LAST_PRICE))</f>
        <v>1.96</v>
      </c>
    </row>
    <row r="961" spans="1:30" x14ac:dyDescent="0.35">
      <c r="A961" s="1">
        <f t="shared" si="14"/>
        <v>958</v>
      </c>
      <c r="B961" s="28">
        <v>45700</v>
      </c>
      <c r="C961" s="29" t="s">
        <v>1973</v>
      </c>
      <c r="D961" s="29" t="s">
        <v>1973</v>
      </c>
      <c r="E961" s="29" t="s">
        <v>1974</v>
      </c>
      <c r="F961" s="29" t="s">
        <v>33</v>
      </c>
      <c r="G961" s="30" t="s">
        <v>34</v>
      </c>
      <c r="H961" s="31"/>
      <c r="I961" s="31"/>
      <c r="J961" s="32"/>
      <c r="K961" s="33">
        <v>45700</v>
      </c>
      <c r="L961" s="31"/>
      <c r="M961" s="32"/>
      <c r="N961" s="31"/>
      <c r="O961" s="33">
        <v>45699</v>
      </c>
      <c r="P961" s="34">
        <v>116.56666564941401</v>
      </c>
      <c r="Q961" s="34">
        <v>1367.58068847656</v>
      </c>
      <c r="R961" s="34">
        <v>713.38098144531295</v>
      </c>
      <c r="S961" s="29"/>
      <c r="T961" s="33"/>
      <c r="U961" s="35" t="b">
        <v>1</v>
      </c>
      <c r="V961" s="35" t="b">
        <v>1</v>
      </c>
      <c r="W961" s="35" t="b">
        <v>1</v>
      </c>
      <c r="Y961" s="31" cm="1">
        <f t="array" ref="Y961">IF(LEFT(_xll.BDP($C961, VOLUME_AVG_10D), 4) = "#N/A", "",  _xll.BDP($C961, VOLUME_AVG_10D))</f>
        <v>0</v>
      </c>
      <c r="Z961" s="31" cm="1">
        <f t="array" ref="Z961">IF(LEFT(_xll.BDP($C961, VOLUME_AVG_30D), 4) = "#N/A", "",  _xll.BDP($C961, VOLUME_AVG_30D))</f>
        <v>116.56666564941406</v>
      </c>
      <c r="AA961" s="31" cm="1">
        <f t="array" ref="AA961">IF(LEFT(_xll.BDP($C961, VOLUME_AVG_3M), 4) = "#N/A", "",  _xll.BDP($C961, VOLUME_AVG_3M))</f>
        <v>1367.5806884765625</v>
      </c>
      <c r="AB961" s="31" cm="1">
        <f t="array" ref="AB961">IF(LEFT(_xll.BDP($C961, VOLUME_AVG_6M), 4) = "#N/A", "",  _xll.BDP($C961, VOLUME_AVG_6M))</f>
        <v>713.3809814453125</v>
      </c>
      <c r="AC961" s="31" cm="1">
        <f t="array" ref="AC961">IF(LEFT(_xll.BDP($C961, VOLUME_AVG_12M), 4) = "#N/A", "",  _xll.BDP($C961, VOLUME_AVG_12M))</f>
        <v>963.13543701171875</v>
      </c>
      <c r="AD961" s="41" cm="1">
        <f t="array" ref="AD961">IF(LEFT(_xll.BDP($C961, LAST_PRICE), 4) = "#N/A", "",  _xll.BDP($C961, LAST_PRICE))</f>
        <v>0</v>
      </c>
    </row>
    <row r="962" spans="1:30" x14ac:dyDescent="0.35">
      <c r="A962" s="1">
        <f t="shared" si="14"/>
        <v>959</v>
      </c>
      <c r="B962" s="28">
        <v>45700</v>
      </c>
      <c r="C962" s="29" t="s">
        <v>1975</v>
      </c>
      <c r="D962" s="29" t="s">
        <v>1975</v>
      </c>
      <c r="E962" s="29" t="s">
        <v>1976</v>
      </c>
      <c r="F962" s="29" t="s">
        <v>33</v>
      </c>
      <c r="G962" s="30" t="s">
        <v>34</v>
      </c>
      <c r="H962" s="31">
        <v>37173317.529533997</v>
      </c>
      <c r="I962" s="31">
        <v>33806088.529533997</v>
      </c>
      <c r="J962" s="32">
        <v>9.3800001144409197</v>
      </c>
      <c r="K962" s="33">
        <v>45700</v>
      </c>
      <c r="L962" s="31">
        <v>26800</v>
      </c>
      <c r="M962" s="32">
        <v>-3.25</v>
      </c>
      <c r="N962" s="31" t="s">
        <v>35</v>
      </c>
      <c r="O962" s="33">
        <v>45699</v>
      </c>
      <c r="P962" s="34">
        <v>59478.5078125</v>
      </c>
      <c r="Q962" s="34">
        <v>31575.533203125</v>
      </c>
      <c r="R962" s="34">
        <v>17333.224609375</v>
      </c>
      <c r="S962" s="29"/>
      <c r="T962" s="33"/>
      <c r="U962" s="35" t="b">
        <v>0</v>
      </c>
      <c r="V962" s="35" t="b">
        <v>0</v>
      </c>
      <c r="W962" s="35" t="b">
        <v>0</v>
      </c>
      <c r="Y962" s="31" cm="1">
        <f t="array" ref="Y962">IF(LEFT(_xll.BDP($C962, VOLUME_AVG_10D), 4) = "#N/A", "",  _xll.BDP($C962, VOLUME_AVG_10D))</f>
        <v>100085.296875</v>
      </c>
      <c r="Z962" s="31" cm="1">
        <f t="array" ref="Z962">IF(LEFT(_xll.BDP($C962, VOLUME_AVG_30D), 4) = "#N/A", "",  _xll.BDP($C962, VOLUME_AVG_30D))</f>
        <v>59478.5078125</v>
      </c>
      <c r="AA962" s="31" cm="1">
        <f t="array" ref="AA962">IF(LEFT(_xll.BDP($C962, VOLUME_AVG_3M), 4) = "#N/A", "",  _xll.BDP($C962, VOLUME_AVG_3M))</f>
        <v>31575.533203125</v>
      </c>
      <c r="AB962" s="31" cm="1">
        <f t="array" ref="AB962">IF(LEFT(_xll.BDP($C962, VOLUME_AVG_6M), 4) = "#N/A", "",  _xll.BDP($C962, VOLUME_AVG_6M))</f>
        <v>17333.224609375</v>
      </c>
      <c r="AC962" s="31" cm="1">
        <f t="array" ref="AC962">IF(LEFT(_xll.BDP($C962, VOLUME_AVG_12M), 4) = "#N/A", "",  _xll.BDP($C962, VOLUME_AVG_12M))</f>
        <v>14990.1494140625</v>
      </c>
      <c r="AD962" s="41" cm="1">
        <f t="array" ref="AD962">IF(LEFT(_xll.BDP($C962, LAST_PRICE), 4) = "#N/A", "",  _xll.BDP($C962, LAST_PRICE))</f>
        <v>9.3800000000000008</v>
      </c>
    </row>
    <row r="963" spans="1:30" x14ac:dyDescent="0.35">
      <c r="A963" s="1">
        <f t="shared" si="14"/>
        <v>960</v>
      </c>
      <c r="B963" s="28">
        <v>45700</v>
      </c>
      <c r="C963" s="29" t="s">
        <v>1977</v>
      </c>
      <c r="D963" s="29" t="s">
        <v>1977</v>
      </c>
      <c r="E963" s="29" t="s">
        <v>1978</v>
      </c>
      <c r="F963" s="29" t="s">
        <v>33</v>
      </c>
      <c r="G963" s="30" t="s">
        <v>34</v>
      </c>
      <c r="H963" s="31">
        <v>18713762.6810317</v>
      </c>
      <c r="I963" s="31">
        <v>14569202.6810317</v>
      </c>
      <c r="J963" s="32">
        <v>1.12999999523163</v>
      </c>
      <c r="K963" s="33">
        <v>45700</v>
      </c>
      <c r="L963" s="31">
        <v>333300</v>
      </c>
      <c r="M963" s="32">
        <v>-21</v>
      </c>
      <c r="N963" s="31" t="s">
        <v>35</v>
      </c>
      <c r="O963" s="33">
        <v>45699</v>
      </c>
      <c r="P963" s="34">
        <v>336274.3125</v>
      </c>
      <c r="Q963" s="34">
        <v>427645.84375</v>
      </c>
      <c r="R963" s="34">
        <v>1273967.625</v>
      </c>
      <c r="S963" s="29"/>
      <c r="T963" s="33"/>
      <c r="U963" s="35" t="b">
        <v>1</v>
      </c>
      <c r="V963" s="35" t="b">
        <v>0</v>
      </c>
      <c r="W963" s="35" t="b">
        <v>0</v>
      </c>
      <c r="Y963" s="31" cm="1">
        <f t="array" ref="Y963">IF(LEFT(_xll.BDP($C963, VOLUME_AVG_10D), 4) = "#N/A", "",  _xll.BDP($C963, VOLUME_AVG_10D))</f>
        <v>264625.09375</v>
      </c>
      <c r="Z963" s="31" cm="1">
        <f t="array" ref="Z963">IF(LEFT(_xll.BDP($C963, VOLUME_AVG_30D), 4) = "#N/A", "",  _xll.BDP($C963, VOLUME_AVG_30D))</f>
        <v>336274.3125</v>
      </c>
      <c r="AA963" s="31" cm="1">
        <f t="array" ref="AA963">IF(LEFT(_xll.BDP($C963, VOLUME_AVG_3M), 4) = "#N/A", "",  _xll.BDP($C963, VOLUME_AVG_3M))</f>
        <v>427645.84375</v>
      </c>
      <c r="AB963" s="31" cm="1">
        <f t="array" ref="AB963">IF(LEFT(_xll.BDP($C963, VOLUME_AVG_6M), 4) = "#N/A", "",  _xll.BDP($C963, VOLUME_AVG_6M))</f>
        <v>1273967.625</v>
      </c>
      <c r="AC963" s="31" cm="1">
        <f t="array" ref="AC963">IF(LEFT(_xll.BDP($C963, VOLUME_AVG_12M), 4) = "#N/A", "",  _xll.BDP($C963, VOLUME_AVG_12M))</f>
        <v>2017819.75</v>
      </c>
      <c r="AD963" s="41" cm="1">
        <f t="array" ref="AD963">IF(LEFT(_xll.BDP($C963, LAST_PRICE), 4) = "#N/A", "",  _xll.BDP($C963, LAST_PRICE))</f>
        <v>1.1299999999999999</v>
      </c>
    </row>
    <row r="964" spans="1:30" x14ac:dyDescent="0.35">
      <c r="A964" s="1">
        <f t="shared" si="14"/>
        <v>961</v>
      </c>
      <c r="B964" s="28">
        <v>45700</v>
      </c>
      <c r="C964" s="29" t="s">
        <v>1979</v>
      </c>
      <c r="D964" s="29" t="s">
        <v>1979</v>
      </c>
      <c r="E964" s="29" t="s">
        <v>1980</v>
      </c>
      <c r="F964" s="29" t="s">
        <v>33</v>
      </c>
      <c r="G964" s="30" t="s">
        <v>34</v>
      </c>
      <c r="H964" s="31">
        <v>2434792457.6393399</v>
      </c>
      <c r="I964" s="31">
        <v>2467999457.6393399</v>
      </c>
      <c r="J964" s="32">
        <v>50.720001220703097</v>
      </c>
      <c r="K964" s="33">
        <v>45700</v>
      </c>
      <c r="L964" s="31">
        <v>9612500</v>
      </c>
      <c r="M964" s="32">
        <v>3.88</v>
      </c>
      <c r="N964" s="31" t="s">
        <v>35</v>
      </c>
      <c r="O964" s="33">
        <v>45699</v>
      </c>
      <c r="P964" s="34">
        <v>490203.03125</v>
      </c>
      <c r="Q964" s="34">
        <v>460382.3125</v>
      </c>
      <c r="R964" s="34">
        <v>418395.78125</v>
      </c>
      <c r="S964" s="29" t="s">
        <v>177</v>
      </c>
      <c r="T964" s="33">
        <v>45446</v>
      </c>
      <c r="U964" s="35" t="b">
        <v>0</v>
      </c>
      <c r="V964" s="35" t="b">
        <v>0</v>
      </c>
      <c r="W964" s="35" t="b">
        <v>0</v>
      </c>
      <c r="Y964" s="31" cm="1">
        <f t="array" ref="Y964">IF(LEFT(_xll.BDP($C964, VOLUME_AVG_10D), 4) = "#N/A", "",  _xll.BDP($C964, VOLUME_AVG_10D))</f>
        <v>503482.5</v>
      </c>
      <c r="Z964" s="31" cm="1">
        <f t="array" ref="Z964">IF(LEFT(_xll.BDP($C964, VOLUME_AVG_30D), 4) = "#N/A", "",  _xll.BDP($C964, VOLUME_AVG_30D))</f>
        <v>490203.03125</v>
      </c>
      <c r="AA964" s="31" cm="1">
        <f t="array" ref="AA964">IF(LEFT(_xll.BDP($C964, VOLUME_AVG_3M), 4) = "#N/A", "",  _xll.BDP($C964, VOLUME_AVG_3M))</f>
        <v>460382.3125</v>
      </c>
      <c r="AB964" s="31" cm="1">
        <f t="array" ref="AB964">IF(LEFT(_xll.BDP($C964, VOLUME_AVG_6M), 4) = "#N/A", "",  _xll.BDP($C964, VOLUME_AVG_6M))</f>
        <v>418395.78125</v>
      </c>
      <c r="AC964" s="31" cm="1">
        <f t="array" ref="AC964">IF(LEFT(_xll.BDP($C964, VOLUME_AVG_12M), 4) = "#N/A", "",  _xll.BDP($C964, VOLUME_AVG_12M))</f>
        <v>523486.84375</v>
      </c>
      <c r="AD964" s="41" cm="1">
        <f t="array" ref="AD964">IF(LEFT(_xll.BDP($C964, LAST_PRICE), 4) = "#N/A", "",  _xll.BDP($C964, LAST_PRICE))</f>
        <v>50.72</v>
      </c>
    </row>
    <row r="965" spans="1:30" x14ac:dyDescent="0.35">
      <c r="A965" s="1">
        <f t="shared" si="14"/>
        <v>962</v>
      </c>
      <c r="B965" s="28">
        <v>45700</v>
      </c>
      <c r="C965" s="29" t="s">
        <v>1981</v>
      </c>
      <c r="D965" s="29" t="s">
        <v>1981</v>
      </c>
      <c r="E965" s="29" t="s">
        <v>1982</v>
      </c>
      <c r="F965" s="29" t="s">
        <v>33</v>
      </c>
      <c r="G965" s="30" t="s">
        <v>34</v>
      </c>
      <c r="H965" s="31">
        <v>4025913.6060000001</v>
      </c>
      <c r="I965" s="31">
        <v>5686938.6059999997</v>
      </c>
      <c r="J965" s="32">
        <v>0.42899999999999999</v>
      </c>
      <c r="K965" s="33">
        <v>45700</v>
      </c>
      <c r="L965" s="31">
        <v>36800</v>
      </c>
      <c r="M965" s="32">
        <v>3.3</v>
      </c>
      <c r="N965" s="31" t="s">
        <v>35</v>
      </c>
      <c r="O965" s="33">
        <v>45699</v>
      </c>
      <c r="P965" s="34">
        <v>7780.43310546875</v>
      </c>
      <c r="Q965" s="34">
        <v>9257.064453125</v>
      </c>
      <c r="R965" s="34">
        <v>5637.03955078125</v>
      </c>
      <c r="S965" s="29"/>
      <c r="T965" s="33"/>
      <c r="U965" s="35" t="b">
        <v>1</v>
      </c>
      <c r="V965" s="35" t="b">
        <v>0</v>
      </c>
      <c r="W965" s="35" t="b">
        <v>0</v>
      </c>
      <c r="Y965" s="31" cm="1">
        <f t="array" ref="Y965">IF(LEFT(_xll.BDP($C965, VOLUME_AVG_10D), 4) = "#N/A", "",  _xll.BDP($C965, VOLUME_AVG_10D))</f>
        <v>802</v>
      </c>
      <c r="Z965" s="31" cm="1">
        <f t="array" ref="Z965">IF(LEFT(_xll.BDP($C965, VOLUME_AVG_30D), 4) = "#N/A", "",  _xll.BDP($C965, VOLUME_AVG_30D))</f>
        <v>7780.43310546875</v>
      </c>
      <c r="AA965" s="31" cm="1">
        <f t="array" ref="AA965">IF(LEFT(_xll.BDP($C965, VOLUME_AVG_3M), 4) = "#N/A", "",  _xll.BDP($C965, VOLUME_AVG_3M))</f>
        <v>9257.064453125</v>
      </c>
      <c r="AB965" s="31" cm="1">
        <f t="array" ref="AB965">IF(LEFT(_xll.BDP($C965, VOLUME_AVG_6M), 4) = "#N/A", "",  _xll.BDP($C965, VOLUME_AVG_6M))</f>
        <v>5637.03955078125</v>
      </c>
      <c r="AC965" s="31" cm="1">
        <f t="array" ref="AC965">IF(LEFT(_xll.BDP($C965, VOLUME_AVG_12M), 4) = "#N/A", "",  _xll.BDP($C965, VOLUME_AVG_12M))</f>
        <v>6337.21923828125</v>
      </c>
      <c r="AD965" s="41" cm="1">
        <f t="array" ref="AD965">IF(LEFT(_xll.BDP($C965, LAST_PRICE), 4) = "#N/A", "",  _xll.BDP($C965, LAST_PRICE))</f>
        <v>0.42899999999999999</v>
      </c>
    </row>
    <row r="966" spans="1:30" x14ac:dyDescent="0.35">
      <c r="A966" s="1">
        <f t="shared" ref="A966:A1029" si="15">IF(B966="","", A965+1)</f>
        <v>963</v>
      </c>
      <c r="B966" s="28">
        <v>45700</v>
      </c>
      <c r="C966" s="29" t="s">
        <v>1983</v>
      </c>
      <c r="D966" s="29" t="s">
        <v>1983</v>
      </c>
      <c r="E966" s="29" t="s">
        <v>1984</v>
      </c>
      <c r="F966" s="29" t="s">
        <v>33</v>
      </c>
      <c r="G966" s="30" t="s">
        <v>34</v>
      </c>
      <c r="H966" s="31">
        <v>17481.650099999999</v>
      </c>
      <c r="I966" s="31"/>
      <c r="J966" s="32">
        <v>2.9999999999999997E-4</v>
      </c>
      <c r="K966" s="33">
        <v>45700</v>
      </c>
      <c r="L966" s="31"/>
      <c r="M966" s="32"/>
      <c r="N966" s="31"/>
      <c r="O966" s="33">
        <v>45699</v>
      </c>
      <c r="P966" s="34">
        <v>28181.267578125</v>
      </c>
      <c r="Q966" s="34">
        <v>14757.7421875</v>
      </c>
      <c r="R966" s="34">
        <v>11534.5712890625</v>
      </c>
      <c r="S966" s="29"/>
      <c r="T966" s="33"/>
      <c r="U966" s="35" t="b">
        <v>1</v>
      </c>
      <c r="V966" s="35" t="b">
        <v>1</v>
      </c>
      <c r="W966" s="35" t="b">
        <v>1</v>
      </c>
      <c r="Y966" s="31" cm="1">
        <f t="array" ref="Y966">IF(LEFT(_xll.BDP($C966, VOLUME_AVG_10D), 4) = "#N/A", "",  _xll.BDP($C966, VOLUME_AVG_10D))</f>
        <v>9665</v>
      </c>
      <c r="Z966" s="31" cm="1">
        <f t="array" ref="Z966">IF(LEFT(_xll.BDP($C966, VOLUME_AVG_30D), 4) = "#N/A", "",  _xll.BDP($C966, VOLUME_AVG_30D))</f>
        <v>28181.267578125</v>
      </c>
      <c r="AA966" s="31" cm="1">
        <f t="array" ref="AA966">IF(LEFT(_xll.BDP($C966, VOLUME_AVG_3M), 4) = "#N/A", "",  _xll.BDP($C966, VOLUME_AVG_3M))</f>
        <v>14757.7421875</v>
      </c>
      <c r="AB966" s="31" cm="1">
        <f t="array" ref="AB966">IF(LEFT(_xll.BDP($C966, VOLUME_AVG_6M), 4) = "#N/A", "",  _xll.BDP($C966, VOLUME_AVG_6M))</f>
        <v>11534.5712890625</v>
      </c>
      <c r="AC966" s="31" cm="1">
        <f t="array" ref="AC966">IF(LEFT(_xll.BDP($C966, VOLUME_AVG_12M), 4) = "#N/A", "",  _xll.BDP($C966, VOLUME_AVG_12M))</f>
        <v>73745.3828125</v>
      </c>
      <c r="AD966" s="41" cm="1">
        <f t="array" ref="AD966">IF(LEFT(_xll.BDP($C966, LAST_PRICE), 4) = "#N/A", "",  _xll.BDP($C966, LAST_PRICE))</f>
        <v>2.9999999999999997E-4</v>
      </c>
    </row>
    <row r="967" spans="1:30" x14ac:dyDescent="0.35">
      <c r="A967" s="1">
        <f t="shared" si="15"/>
        <v>964</v>
      </c>
      <c r="B967" s="28">
        <v>45700</v>
      </c>
      <c r="C967" s="29" t="s">
        <v>1985</v>
      </c>
      <c r="D967" s="29" t="s">
        <v>1985</v>
      </c>
      <c r="E967" s="29" t="s">
        <v>1986</v>
      </c>
      <c r="F967" s="29" t="s">
        <v>33</v>
      </c>
      <c r="G967" s="30" t="s">
        <v>34</v>
      </c>
      <c r="H967" s="31">
        <v>11054593.227262501</v>
      </c>
      <c r="I967" s="31">
        <v>4722908.2272624997</v>
      </c>
      <c r="J967" s="32">
        <v>0.32049998641014099</v>
      </c>
      <c r="K967" s="33">
        <v>45700</v>
      </c>
      <c r="L967" s="31"/>
      <c r="M967" s="32"/>
      <c r="N967" s="31"/>
      <c r="O967" s="33">
        <v>45699</v>
      </c>
      <c r="P967" s="34">
        <v>1402541.625</v>
      </c>
      <c r="Q967" s="34">
        <v>1335085.125</v>
      </c>
      <c r="R967" s="34">
        <v>1016505</v>
      </c>
      <c r="S967" s="29"/>
      <c r="T967" s="33"/>
      <c r="U967" s="35" t="b">
        <v>1</v>
      </c>
      <c r="V967" s="35" t="b">
        <v>0</v>
      </c>
      <c r="W967" s="35" t="b">
        <v>0</v>
      </c>
      <c r="Y967" s="31" cm="1">
        <f t="array" ref="Y967">IF(LEFT(_xll.BDP($C967, VOLUME_AVG_10D), 4) = "#N/A", "",  _xll.BDP($C967, VOLUME_AVG_10D))</f>
        <v>279669.8125</v>
      </c>
      <c r="Z967" s="31" cm="1">
        <f t="array" ref="Z967">IF(LEFT(_xll.BDP($C967, VOLUME_AVG_30D), 4) = "#N/A", "",  _xll.BDP($C967, VOLUME_AVG_30D))</f>
        <v>1402541.625</v>
      </c>
      <c r="AA967" s="31" cm="1">
        <f t="array" ref="AA967">IF(LEFT(_xll.BDP($C967, VOLUME_AVG_3M), 4) = "#N/A", "",  _xll.BDP($C967, VOLUME_AVG_3M))</f>
        <v>1335085.125</v>
      </c>
      <c r="AB967" s="31" cm="1">
        <f t="array" ref="AB967">IF(LEFT(_xll.BDP($C967, VOLUME_AVG_6M), 4) = "#N/A", "",  _xll.BDP($C967, VOLUME_AVG_6M))</f>
        <v>1016505</v>
      </c>
      <c r="AC967" s="31" t="str" cm="1">
        <f t="array" ref="AC967">IF(LEFT(_xll.BDP($C967, VOLUME_AVG_12M), 4) = "#N/A", "",  _xll.BDP($C967, VOLUME_AVG_12M))</f>
        <v/>
      </c>
      <c r="AD967" s="41" cm="1">
        <f t="array" ref="AD967">IF(LEFT(_xll.BDP($C967, LAST_PRICE), 4) = "#N/A", "",  _xll.BDP($C967, LAST_PRICE))</f>
        <v>0.32050000000000001</v>
      </c>
    </row>
    <row r="968" spans="1:30" x14ac:dyDescent="0.35">
      <c r="A968" s="1">
        <f t="shared" si="15"/>
        <v>965</v>
      </c>
      <c r="B968" s="28">
        <v>45700</v>
      </c>
      <c r="C968" s="29" t="s">
        <v>1987</v>
      </c>
      <c r="D968" s="29" t="s">
        <v>1987</v>
      </c>
      <c r="E968" s="29" t="s">
        <v>1988</v>
      </c>
      <c r="F968" s="29" t="s">
        <v>33</v>
      </c>
      <c r="G968" s="30" t="s">
        <v>34</v>
      </c>
      <c r="H968" s="31">
        <v>11750411800.1665</v>
      </c>
      <c r="I968" s="31">
        <v>6208411800.16646</v>
      </c>
      <c r="J968" s="32">
        <v>30.534999847412099</v>
      </c>
      <c r="K968" s="33">
        <v>45700</v>
      </c>
      <c r="L968" s="31">
        <v>103559400</v>
      </c>
      <c r="M968" s="32">
        <v>3.88</v>
      </c>
      <c r="N968" s="31" t="s">
        <v>35</v>
      </c>
      <c r="O968" s="33">
        <v>45699</v>
      </c>
      <c r="P968" s="34">
        <v>11843289</v>
      </c>
      <c r="Q968" s="34">
        <v>10620509</v>
      </c>
      <c r="R968" s="34">
        <v>7920451.5</v>
      </c>
      <c r="S968" s="29" t="s">
        <v>353</v>
      </c>
      <c r="T968" s="33">
        <v>45446</v>
      </c>
      <c r="U968" s="35" t="b">
        <v>0</v>
      </c>
      <c r="V968" s="35" t="b">
        <v>0</v>
      </c>
      <c r="W968" s="35" t="b">
        <v>0</v>
      </c>
      <c r="Y968" s="31" cm="1">
        <f t="array" ref="Y968">IF(LEFT(_xll.BDP($C968, VOLUME_AVG_10D), 4) = "#N/A", "",  _xll.BDP($C968, VOLUME_AVG_10D))</f>
        <v>11883228</v>
      </c>
      <c r="Z968" s="31" cm="1">
        <f t="array" ref="Z968">IF(LEFT(_xll.BDP($C968, VOLUME_AVG_30D), 4) = "#N/A", "",  _xll.BDP($C968, VOLUME_AVG_30D))</f>
        <v>11843289</v>
      </c>
      <c r="AA968" s="31" cm="1">
        <f t="array" ref="AA968">IF(LEFT(_xll.BDP($C968, VOLUME_AVG_3M), 4) = "#N/A", "",  _xll.BDP($C968, VOLUME_AVG_3M))</f>
        <v>10620509</v>
      </c>
      <c r="AB968" s="31" cm="1">
        <f t="array" ref="AB968">IF(LEFT(_xll.BDP($C968, VOLUME_AVG_6M), 4) = "#N/A", "",  _xll.BDP($C968, VOLUME_AVG_6M))</f>
        <v>7920451.5</v>
      </c>
      <c r="AC968" s="31" cm="1">
        <f t="array" ref="AC968">IF(LEFT(_xll.BDP($C968, VOLUME_AVG_12M), 4) = "#N/A", "",  _xll.BDP($C968, VOLUME_AVG_12M))</f>
        <v>5990817</v>
      </c>
      <c r="AD968" s="41" cm="1">
        <f t="array" ref="AD968">IF(LEFT(_xll.BDP($C968, LAST_PRICE), 4) = "#N/A", "",  _xll.BDP($C968, LAST_PRICE))</f>
        <v>30.535</v>
      </c>
    </row>
    <row r="969" spans="1:30" x14ac:dyDescent="0.35">
      <c r="A969" s="1">
        <f t="shared" si="15"/>
        <v>966</v>
      </c>
      <c r="B969" s="28">
        <v>45700</v>
      </c>
      <c r="C969" s="29" t="s">
        <v>1989</v>
      </c>
      <c r="D969" s="29" t="s">
        <v>1989</v>
      </c>
      <c r="E969" s="29" t="s">
        <v>1990</v>
      </c>
      <c r="F969" s="29" t="s">
        <v>33</v>
      </c>
      <c r="G969" s="30" t="s">
        <v>34</v>
      </c>
      <c r="H969" s="31">
        <v>78473403.418390304</v>
      </c>
      <c r="I969" s="31">
        <v>1292424403.41839</v>
      </c>
      <c r="J969" s="32">
        <v>5.4899997711181596</v>
      </c>
      <c r="K969" s="33">
        <v>45700</v>
      </c>
      <c r="L969" s="31">
        <v>1045600</v>
      </c>
      <c r="M969" s="32">
        <v>3.75</v>
      </c>
      <c r="N969" s="31" t="s">
        <v>35</v>
      </c>
      <c r="O969" s="33">
        <v>45699</v>
      </c>
      <c r="P969" s="34">
        <v>783664.5625</v>
      </c>
      <c r="Q969" s="34">
        <v>482684.34375</v>
      </c>
      <c r="R969" s="34">
        <v>424788.125</v>
      </c>
      <c r="S969" s="29"/>
      <c r="T969" s="33"/>
      <c r="U969" s="35" t="b">
        <v>0</v>
      </c>
      <c r="V969" s="35" t="b">
        <v>0</v>
      </c>
      <c r="W969" s="35" t="b">
        <v>0</v>
      </c>
      <c r="Y969" s="31" cm="1">
        <f t="array" ref="Y969">IF(LEFT(_xll.BDP($C969, VOLUME_AVG_10D), 4) = "#N/A", "",  _xll.BDP($C969, VOLUME_AVG_10D))</f>
        <v>887633.125</v>
      </c>
      <c r="Z969" s="31" cm="1">
        <f t="array" ref="Z969">IF(LEFT(_xll.BDP($C969, VOLUME_AVG_30D), 4) = "#N/A", "",  _xll.BDP($C969, VOLUME_AVG_30D))</f>
        <v>783664.5625</v>
      </c>
      <c r="AA969" s="31" cm="1">
        <f t="array" ref="AA969">IF(LEFT(_xll.BDP($C969, VOLUME_AVG_3M), 4) = "#N/A", "",  _xll.BDP($C969, VOLUME_AVG_3M))</f>
        <v>482684.34375</v>
      </c>
      <c r="AB969" s="31" cm="1">
        <f t="array" ref="AB969">IF(LEFT(_xll.BDP($C969, VOLUME_AVG_6M), 4) = "#N/A", "",  _xll.BDP($C969, VOLUME_AVG_6M))</f>
        <v>424788.125</v>
      </c>
      <c r="AC969" s="31" cm="1">
        <f t="array" ref="AC969">IF(LEFT(_xll.BDP($C969, VOLUME_AVG_12M), 4) = "#N/A", "",  _xll.BDP($C969, VOLUME_AVG_12M))</f>
        <v>328548.8125</v>
      </c>
      <c r="AD969" s="41" cm="1">
        <f t="array" ref="AD969">IF(LEFT(_xll.BDP($C969, LAST_PRICE), 4) = "#N/A", "",  _xll.BDP($C969, LAST_PRICE))</f>
        <v>5.49</v>
      </c>
    </row>
    <row r="970" spans="1:30" x14ac:dyDescent="0.35">
      <c r="A970" s="1">
        <f t="shared" si="15"/>
        <v>967</v>
      </c>
      <c r="B970" s="28">
        <v>45700</v>
      </c>
      <c r="C970" s="29" t="s">
        <v>1991</v>
      </c>
      <c r="D970" s="29" t="s">
        <v>1991</v>
      </c>
      <c r="E970" s="29" t="s">
        <v>1992</v>
      </c>
      <c r="F970" s="29" t="s">
        <v>33</v>
      </c>
      <c r="G970" s="30" t="s">
        <v>34</v>
      </c>
      <c r="H970" s="31">
        <v>47171653.842651904</v>
      </c>
      <c r="I970" s="31">
        <v>39129653.842651904</v>
      </c>
      <c r="J970" s="32">
        <v>1.1599999666214</v>
      </c>
      <c r="K970" s="33">
        <v>45700</v>
      </c>
      <c r="L970" s="31">
        <v>2793400</v>
      </c>
      <c r="M970" s="32">
        <v>-1.9</v>
      </c>
      <c r="N970" s="31" t="s">
        <v>35</v>
      </c>
      <c r="O970" s="33">
        <v>45699</v>
      </c>
      <c r="P970" s="34">
        <v>68693.0703125</v>
      </c>
      <c r="Q970" s="34">
        <v>152719.8125</v>
      </c>
      <c r="R970" s="34">
        <v>327990.71875</v>
      </c>
      <c r="S970" s="29"/>
      <c r="T970" s="33"/>
      <c r="U970" s="35" t="b">
        <v>0</v>
      </c>
      <c r="V970" s="35" t="b">
        <v>0</v>
      </c>
      <c r="W970" s="35" t="b">
        <v>0</v>
      </c>
      <c r="Y970" s="31" cm="1">
        <f t="array" ref="Y970">IF(LEFT(_xll.BDP($C970, VOLUME_AVG_10D), 4) = "#N/A", "",  _xll.BDP($C970, VOLUME_AVG_10D))</f>
        <v>58846.1015625</v>
      </c>
      <c r="Z970" s="31" cm="1">
        <f t="array" ref="Z970">IF(LEFT(_xll.BDP($C970, VOLUME_AVG_30D), 4) = "#N/A", "",  _xll.BDP($C970, VOLUME_AVG_30D))</f>
        <v>68693.0703125</v>
      </c>
      <c r="AA970" s="31" cm="1">
        <f t="array" ref="AA970">IF(LEFT(_xll.BDP($C970, VOLUME_AVG_3M), 4) = "#N/A", "",  _xll.BDP($C970, VOLUME_AVG_3M))</f>
        <v>152719.8125</v>
      </c>
      <c r="AB970" s="31" cm="1">
        <f t="array" ref="AB970">IF(LEFT(_xll.BDP($C970, VOLUME_AVG_6M), 4) = "#N/A", "",  _xll.BDP($C970, VOLUME_AVG_6M))</f>
        <v>327990.71875</v>
      </c>
      <c r="AC970" s="31" cm="1">
        <f t="array" ref="AC970">IF(LEFT(_xll.BDP($C970, VOLUME_AVG_12M), 4) = "#N/A", "",  _xll.BDP($C970, VOLUME_AVG_12M))</f>
        <v>224197.0625</v>
      </c>
      <c r="AD970" s="41" cm="1">
        <f t="array" ref="AD970">IF(LEFT(_xll.BDP($C970, LAST_PRICE), 4) = "#N/A", "",  _xll.BDP($C970, LAST_PRICE))</f>
        <v>1.1599999999999999</v>
      </c>
    </row>
    <row r="971" spans="1:30" x14ac:dyDescent="0.35">
      <c r="A971" s="1">
        <f t="shared" si="15"/>
        <v>968</v>
      </c>
      <c r="B971" s="28">
        <v>45700</v>
      </c>
      <c r="C971" s="29" t="s">
        <v>1993</v>
      </c>
      <c r="D971" s="29" t="s">
        <v>1993</v>
      </c>
      <c r="E971" s="29" t="s">
        <v>1994</v>
      </c>
      <c r="F971" s="29" t="s">
        <v>33</v>
      </c>
      <c r="G971" s="30" t="s">
        <v>34</v>
      </c>
      <c r="H971" s="31">
        <v>1975.164</v>
      </c>
      <c r="I971" s="31">
        <v>708975.16400000104</v>
      </c>
      <c r="J971" s="32">
        <v>2.9999999999999997E-4</v>
      </c>
      <c r="K971" s="33">
        <v>45700</v>
      </c>
      <c r="L971" s="31">
        <v>481700</v>
      </c>
      <c r="M971" s="32">
        <v>-29.7</v>
      </c>
      <c r="N971" s="31" t="s">
        <v>35</v>
      </c>
      <c r="O971" s="33">
        <v>45699</v>
      </c>
      <c r="P971" s="34">
        <v>163377.328125</v>
      </c>
      <c r="Q971" s="34">
        <v>11009736</v>
      </c>
      <c r="R971" s="34">
        <v>7584327.5</v>
      </c>
      <c r="S971" s="29" t="s">
        <v>46</v>
      </c>
      <c r="T971" s="33">
        <v>45446</v>
      </c>
      <c r="U971" s="35" t="b">
        <v>1</v>
      </c>
      <c r="V971" s="35" t="b">
        <v>1</v>
      </c>
      <c r="W971" s="35" t="b">
        <v>0</v>
      </c>
      <c r="Y971" s="31" cm="1">
        <f t="array" ref="Y971">IF(LEFT(_xll.BDP($C971, VOLUME_AVG_10D), 4) = "#N/A", "",  _xll.BDP($C971, VOLUME_AVG_10D))</f>
        <v>17880.30078125</v>
      </c>
      <c r="Z971" s="31" cm="1">
        <f t="array" ref="Z971">IF(LEFT(_xll.BDP($C971, VOLUME_AVG_30D), 4) = "#N/A", "",  _xll.BDP($C971, VOLUME_AVG_30D))</f>
        <v>163377.328125</v>
      </c>
      <c r="AA971" s="31" cm="1">
        <f t="array" ref="AA971">IF(LEFT(_xll.BDP($C971, VOLUME_AVG_3M), 4) = "#N/A", "",  _xll.BDP($C971, VOLUME_AVG_3M))</f>
        <v>11009736</v>
      </c>
      <c r="AB971" s="31" cm="1">
        <f t="array" ref="AB971">IF(LEFT(_xll.BDP($C971, VOLUME_AVG_6M), 4) = "#N/A", "",  _xll.BDP($C971, VOLUME_AVG_6M))</f>
        <v>7584327.5</v>
      </c>
      <c r="AC971" s="31" cm="1">
        <f t="array" ref="AC971">IF(LEFT(_xll.BDP($C971, VOLUME_AVG_12M), 4) = "#N/A", "",  _xll.BDP($C971, VOLUME_AVG_12M))</f>
        <v>3834574.5</v>
      </c>
      <c r="AD971" s="41" cm="1">
        <f t="array" ref="AD971">IF(LEFT(_xll.BDP($C971, LAST_PRICE), 4) = "#N/A", "",  _xll.BDP($C971, LAST_PRICE))</f>
        <v>2.9999999999999997E-4</v>
      </c>
    </row>
    <row r="972" spans="1:30" x14ac:dyDescent="0.35">
      <c r="A972" s="1">
        <f t="shared" si="15"/>
        <v>969</v>
      </c>
      <c r="B972" s="28">
        <v>45700</v>
      </c>
      <c r="C972" s="29" t="s">
        <v>1995</v>
      </c>
      <c r="D972" s="29" t="s">
        <v>1995</v>
      </c>
      <c r="E972" s="29" t="s">
        <v>1996</v>
      </c>
      <c r="F972" s="29" t="s">
        <v>40</v>
      </c>
      <c r="G972" s="30" t="s">
        <v>41</v>
      </c>
      <c r="H972" s="31"/>
      <c r="I972" s="31"/>
      <c r="J972" s="32"/>
      <c r="K972" s="33">
        <v>45700</v>
      </c>
      <c r="L972" s="31"/>
      <c r="M972" s="32"/>
      <c r="N972" s="31"/>
      <c r="O972" s="33">
        <v>45699</v>
      </c>
      <c r="P972" s="34"/>
      <c r="Q972" s="34"/>
      <c r="R972" s="34"/>
      <c r="S972" s="29"/>
      <c r="T972" s="33"/>
      <c r="U972" s="35" t="b">
        <v>1</v>
      </c>
      <c r="V972" s="35" t="b">
        <v>1</v>
      </c>
      <c r="W972" s="35" t="b">
        <v>1</v>
      </c>
      <c r="Y972" s="31" t="str" cm="1">
        <f t="array" ref="Y972">IF(LEFT(_xll.BDP($C972, VOLUME_AVG_10D), 4) = "#N/A", "",  _xll.BDP($C972, VOLUME_AVG_10D))</f>
        <v/>
      </c>
      <c r="Z972" s="31" t="str" cm="1">
        <f t="array" ref="Z972">IF(LEFT(_xll.BDP($C972, VOLUME_AVG_30D), 4) = "#N/A", "",  _xll.BDP($C972, VOLUME_AVG_30D))</f>
        <v/>
      </c>
      <c r="AA972" s="31" t="str" cm="1">
        <f t="array" ref="AA972">IF(LEFT(_xll.BDP($C972, VOLUME_AVG_3M), 4) = "#N/A", "",  _xll.BDP($C972, VOLUME_AVG_3M))</f>
        <v/>
      </c>
      <c r="AB972" s="31" t="str" cm="1">
        <f t="array" ref="AB972">IF(LEFT(_xll.BDP($C972, VOLUME_AVG_6M), 4) = "#N/A", "",  _xll.BDP($C972, VOLUME_AVG_6M))</f>
        <v/>
      </c>
      <c r="AC972" s="31" t="str" cm="1">
        <f t="array" ref="AC972">IF(LEFT(_xll.BDP($C972, VOLUME_AVG_12M), 4) = "#N/A", "",  _xll.BDP($C972, VOLUME_AVG_12M))</f>
        <v/>
      </c>
      <c r="AD972" s="41" t="str" cm="1">
        <f t="array" ref="AD972">IF(LEFT(_xll.BDP($C972, LAST_PRICE), 4) = "#N/A", "",  _xll.BDP($C972, LAST_PRICE))</f>
        <v/>
      </c>
    </row>
    <row r="973" spans="1:30" x14ac:dyDescent="0.35">
      <c r="A973" s="1">
        <f t="shared" si="15"/>
        <v>970</v>
      </c>
      <c r="B973" s="28">
        <v>45700</v>
      </c>
      <c r="C973" s="29" t="s">
        <v>1997</v>
      </c>
      <c r="D973" s="29" t="s">
        <v>1997</v>
      </c>
      <c r="E973" s="29" t="s">
        <v>1998</v>
      </c>
      <c r="F973" s="29" t="s">
        <v>33</v>
      </c>
      <c r="G973" s="30" t="s">
        <v>34</v>
      </c>
      <c r="H973" s="31">
        <v>1745475.8455036599</v>
      </c>
      <c r="I973" s="31">
        <v>-6763524.1544963401</v>
      </c>
      <c r="J973" s="32">
        <v>0.41999998688697798</v>
      </c>
      <c r="K973" s="33">
        <v>45700</v>
      </c>
      <c r="L973" s="31">
        <v>40900</v>
      </c>
      <c r="M973" s="32">
        <v>-1.2</v>
      </c>
      <c r="N973" s="31" t="s">
        <v>35</v>
      </c>
      <c r="O973" s="33">
        <v>45699</v>
      </c>
      <c r="P973" s="34">
        <v>205174.859375</v>
      </c>
      <c r="Q973" s="34">
        <v>137279.265625</v>
      </c>
      <c r="R973" s="34">
        <v>83962.5703125</v>
      </c>
      <c r="S973" s="29"/>
      <c r="T973" s="33"/>
      <c r="U973" s="35" t="b">
        <v>1</v>
      </c>
      <c r="V973" s="35" t="b">
        <v>0</v>
      </c>
      <c r="W973" s="35" t="b">
        <v>1</v>
      </c>
      <c r="Y973" s="31" cm="1">
        <f t="array" ref="Y973">IF(LEFT(_xll.BDP($C973, VOLUME_AVG_10D), 4) = "#N/A", "",  _xll.BDP($C973, VOLUME_AVG_10D))</f>
        <v>534185.8125</v>
      </c>
      <c r="Z973" s="31" cm="1">
        <f t="array" ref="Z973">IF(LEFT(_xll.BDP($C973, VOLUME_AVG_30D), 4) = "#N/A", "",  _xll.BDP($C973, VOLUME_AVG_30D))</f>
        <v>205174.859375</v>
      </c>
      <c r="AA973" s="31" cm="1">
        <f t="array" ref="AA973">IF(LEFT(_xll.BDP($C973, VOLUME_AVG_3M), 4) = "#N/A", "",  _xll.BDP($C973, VOLUME_AVG_3M))</f>
        <v>137279.265625</v>
      </c>
      <c r="AB973" s="31" cm="1">
        <f t="array" ref="AB973">IF(LEFT(_xll.BDP($C973, VOLUME_AVG_6M), 4) = "#N/A", "",  _xll.BDP($C973, VOLUME_AVG_6M))</f>
        <v>83962.5703125</v>
      </c>
      <c r="AC973" s="31" cm="1">
        <f t="array" ref="AC973">IF(LEFT(_xll.BDP($C973, VOLUME_AVG_12M), 4) = "#N/A", "",  _xll.BDP($C973, VOLUME_AVG_12M))</f>
        <v>58720.87109375</v>
      </c>
      <c r="AD973" s="41" cm="1">
        <f t="array" ref="AD973">IF(LEFT(_xll.BDP($C973, LAST_PRICE), 4) = "#N/A", "",  _xll.BDP($C973, LAST_PRICE))</f>
        <v>0.42</v>
      </c>
    </row>
    <row r="974" spans="1:30" x14ac:dyDescent="0.35">
      <c r="A974" s="1">
        <f t="shared" si="15"/>
        <v>971</v>
      </c>
      <c r="B974" s="28">
        <v>45700</v>
      </c>
      <c r="C974" s="29" t="s">
        <v>1999</v>
      </c>
      <c r="D974" s="29" t="s">
        <v>1999</v>
      </c>
      <c r="E974" s="29" t="s">
        <v>2000</v>
      </c>
      <c r="F974" s="29" t="s">
        <v>33</v>
      </c>
      <c r="G974" s="30" t="s">
        <v>34</v>
      </c>
      <c r="H974" s="31">
        <v>14794635406.494101</v>
      </c>
      <c r="I974" s="31">
        <v>9031635406.4941406</v>
      </c>
      <c r="J974" s="32">
        <v>266.57000732421898</v>
      </c>
      <c r="K974" s="33">
        <v>45700</v>
      </c>
      <c r="L974" s="31">
        <v>28294800</v>
      </c>
      <c r="M974" s="32">
        <v>3.88</v>
      </c>
      <c r="N974" s="31" t="s">
        <v>35</v>
      </c>
      <c r="O974" s="33">
        <v>45699</v>
      </c>
      <c r="P974" s="34">
        <v>603647.9375</v>
      </c>
      <c r="Q974" s="34">
        <v>648963.9375</v>
      </c>
      <c r="R974" s="34">
        <v>635092.375</v>
      </c>
      <c r="S974" s="29"/>
      <c r="T974" s="33"/>
      <c r="U974" s="35" t="b">
        <v>0</v>
      </c>
      <c r="V974" s="35" t="b">
        <v>0</v>
      </c>
      <c r="W974" s="35" t="b">
        <v>0</v>
      </c>
      <c r="Y974" s="31" cm="1">
        <f t="array" ref="Y974">IF(LEFT(_xll.BDP($C974, VOLUME_AVG_10D), 4) = "#N/A", "",  _xll.BDP($C974, VOLUME_AVG_10D))</f>
        <v>810768.1875</v>
      </c>
      <c r="Z974" s="31" cm="1">
        <f t="array" ref="Z974">IF(LEFT(_xll.BDP($C974, VOLUME_AVG_30D), 4) = "#N/A", "",  _xll.BDP($C974, VOLUME_AVG_30D))</f>
        <v>603647.9375</v>
      </c>
      <c r="AA974" s="31" cm="1">
        <f t="array" ref="AA974">IF(LEFT(_xll.BDP($C974, VOLUME_AVG_3M), 4) = "#N/A", "",  _xll.BDP($C974, VOLUME_AVG_3M))</f>
        <v>648963.9375</v>
      </c>
      <c r="AB974" s="31" cm="1">
        <f t="array" ref="AB974">IF(LEFT(_xll.BDP($C974, VOLUME_AVG_6M), 4) = "#N/A", "",  _xll.BDP($C974, VOLUME_AVG_6M))</f>
        <v>635092.375</v>
      </c>
      <c r="AC974" s="31" cm="1">
        <f t="array" ref="AC974">IF(LEFT(_xll.BDP($C974, VOLUME_AVG_12M), 4) = "#N/A", "",  _xll.BDP($C974, VOLUME_AVG_12M))</f>
        <v>575184.375</v>
      </c>
      <c r="AD974" s="41" cm="1">
        <f t="array" ref="AD974">IF(LEFT(_xll.BDP($C974, LAST_PRICE), 4) = "#N/A", "",  _xll.BDP($C974, LAST_PRICE))</f>
        <v>266.57</v>
      </c>
    </row>
    <row r="975" spans="1:30" x14ac:dyDescent="0.35">
      <c r="A975" s="1">
        <f t="shared" si="15"/>
        <v>972</v>
      </c>
      <c r="B975" s="28">
        <v>45700</v>
      </c>
      <c r="C975" s="29" t="s">
        <v>2001</v>
      </c>
      <c r="D975" s="29" t="s">
        <v>2001</v>
      </c>
      <c r="E975" s="29" t="s">
        <v>2002</v>
      </c>
      <c r="F975" s="29" t="s">
        <v>33</v>
      </c>
      <c r="G975" s="30" t="s">
        <v>34</v>
      </c>
      <c r="H975" s="31"/>
      <c r="I975" s="31"/>
      <c r="J975" s="32"/>
      <c r="K975" s="33">
        <v>45700</v>
      </c>
      <c r="L975" s="31"/>
      <c r="M975" s="32"/>
      <c r="N975" s="31"/>
      <c r="O975" s="33">
        <v>45699</v>
      </c>
      <c r="P975" s="34">
        <v>109500</v>
      </c>
      <c r="Q975" s="34">
        <v>69112.90625</v>
      </c>
      <c r="R975" s="34">
        <v>46706.33984375</v>
      </c>
      <c r="S975" s="29"/>
      <c r="T975" s="33"/>
      <c r="U975" s="35" t="b">
        <v>1</v>
      </c>
      <c r="V975" s="35" t="b">
        <v>1</v>
      </c>
      <c r="W975" s="35" t="b">
        <v>1</v>
      </c>
      <c r="Y975" s="31" cm="1">
        <f t="array" ref="Y975">IF(LEFT(_xll.BDP($C975, VOLUME_AVG_10D), 4) = "#N/A", "",  _xll.BDP($C975, VOLUME_AVG_10D))</f>
        <v>0</v>
      </c>
      <c r="Z975" s="31" cm="1">
        <f t="array" ref="Z975">IF(LEFT(_xll.BDP($C975, VOLUME_AVG_30D), 4) = "#N/A", "",  _xll.BDP($C975, VOLUME_AVG_30D))</f>
        <v>109500</v>
      </c>
      <c r="AA975" s="31" cm="1">
        <f t="array" ref="AA975">IF(LEFT(_xll.BDP($C975, VOLUME_AVG_3M), 4) = "#N/A", "",  _xll.BDP($C975, VOLUME_AVG_3M))</f>
        <v>69112.90625</v>
      </c>
      <c r="AB975" s="31" cm="1">
        <f t="array" ref="AB975">IF(LEFT(_xll.BDP($C975, VOLUME_AVG_6M), 4) = "#N/A", "",  _xll.BDP($C975, VOLUME_AVG_6M))</f>
        <v>46706.33984375</v>
      </c>
      <c r="AC975" s="31" cm="1">
        <f t="array" ref="AC975">IF(LEFT(_xll.BDP($C975, VOLUME_AVG_12M), 4) = "#N/A", "",  _xll.BDP($C975, VOLUME_AVG_12M))</f>
        <v>517844.59375</v>
      </c>
      <c r="AD975" s="41" cm="1">
        <f t="array" ref="AD975">IF(LEFT(_xll.BDP($C975, LAST_PRICE), 4) = "#N/A", "",  _xll.BDP($C975, LAST_PRICE))</f>
        <v>0</v>
      </c>
    </row>
    <row r="976" spans="1:30" x14ac:dyDescent="0.35">
      <c r="A976" s="1">
        <f t="shared" si="15"/>
        <v>973</v>
      </c>
      <c r="B976" s="28">
        <v>45700</v>
      </c>
      <c r="C976" s="29" t="s">
        <v>2003</v>
      </c>
      <c r="D976" s="29" t="s">
        <v>2003</v>
      </c>
      <c r="E976" s="29" t="s">
        <v>2004</v>
      </c>
      <c r="F976" s="29" t="s">
        <v>33</v>
      </c>
      <c r="G976" s="30" t="s">
        <v>34</v>
      </c>
      <c r="H976" s="31">
        <v>91956861.770590499</v>
      </c>
      <c r="I976" s="31">
        <v>78859823.770590499</v>
      </c>
      <c r="J976" s="32">
        <v>2.6800000667571999</v>
      </c>
      <c r="K976" s="33">
        <v>45700</v>
      </c>
      <c r="L976" s="31">
        <v>1277200</v>
      </c>
      <c r="M976" s="32">
        <v>3.6</v>
      </c>
      <c r="N976" s="31" t="s">
        <v>35</v>
      </c>
      <c r="O976" s="33">
        <v>45699</v>
      </c>
      <c r="P976" s="34">
        <v>42222.33203125</v>
      </c>
      <c r="Q976" s="34">
        <v>63721.38671875</v>
      </c>
      <c r="R976" s="34">
        <v>138063.90625</v>
      </c>
      <c r="S976" s="29"/>
      <c r="T976" s="33"/>
      <c r="U976" s="35" t="b">
        <v>0</v>
      </c>
      <c r="V976" s="35" t="b">
        <v>0</v>
      </c>
      <c r="W976" s="35" t="b">
        <v>0</v>
      </c>
      <c r="Y976" s="31" cm="1">
        <f t="array" ref="Y976">IF(LEFT(_xll.BDP($C976, VOLUME_AVG_10D), 4) = "#N/A", "",  _xll.BDP($C976, VOLUME_AVG_10D))</f>
        <v>25348.5</v>
      </c>
      <c r="Z976" s="31" cm="1">
        <f t="array" ref="Z976">IF(LEFT(_xll.BDP($C976, VOLUME_AVG_30D), 4) = "#N/A", "",  _xll.BDP($C976, VOLUME_AVG_30D))</f>
        <v>42222.33203125</v>
      </c>
      <c r="AA976" s="31" cm="1">
        <f t="array" ref="AA976">IF(LEFT(_xll.BDP($C976, VOLUME_AVG_3M), 4) = "#N/A", "",  _xll.BDP($C976, VOLUME_AVG_3M))</f>
        <v>63721.38671875</v>
      </c>
      <c r="AB976" s="31" cm="1">
        <f t="array" ref="AB976">IF(LEFT(_xll.BDP($C976, VOLUME_AVG_6M), 4) = "#N/A", "",  _xll.BDP($C976, VOLUME_AVG_6M))</f>
        <v>138063.90625</v>
      </c>
      <c r="AC976" s="31" cm="1">
        <f t="array" ref="AC976">IF(LEFT(_xll.BDP($C976, VOLUME_AVG_12M), 4) = "#N/A", "",  _xll.BDP($C976, VOLUME_AVG_12M))</f>
        <v>141561.5625</v>
      </c>
      <c r="AD976" s="41" cm="1">
        <f t="array" ref="AD976">IF(LEFT(_xll.BDP($C976, LAST_PRICE), 4) = "#N/A", "",  _xll.BDP($C976, LAST_PRICE))</f>
        <v>2.68</v>
      </c>
    </row>
    <row r="977" spans="1:30" x14ac:dyDescent="0.35">
      <c r="A977" s="1">
        <f t="shared" si="15"/>
        <v>974</v>
      </c>
      <c r="B977" s="28">
        <v>45700</v>
      </c>
      <c r="C977" s="29" t="s">
        <v>2005</v>
      </c>
      <c r="D977" s="29" t="s">
        <v>2005</v>
      </c>
      <c r="E977" s="29" t="s">
        <v>2006</v>
      </c>
      <c r="F977" s="29" t="s">
        <v>33</v>
      </c>
      <c r="G977" s="30" t="s">
        <v>34</v>
      </c>
      <c r="H977" s="31">
        <v>308299717.35351598</v>
      </c>
      <c r="I977" s="31">
        <v>302279633.35351598</v>
      </c>
      <c r="J977" s="32">
        <v>50.5200004577637</v>
      </c>
      <c r="K977" s="33">
        <v>45700</v>
      </c>
      <c r="L977" s="31">
        <v>57800</v>
      </c>
      <c r="M977" s="32">
        <v>-42.05</v>
      </c>
      <c r="N977" s="31" t="s">
        <v>35</v>
      </c>
      <c r="O977" s="33">
        <v>45699</v>
      </c>
      <c r="P977" s="34">
        <v>66655.265625</v>
      </c>
      <c r="Q977" s="34">
        <v>83614.2109375</v>
      </c>
      <c r="R977" s="34">
        <v>686334.8125</v>
      </c>
      <c r="S977" s="29"/>
      <c r="T977" s="33"/>
      <c r="U977" s="35" t="b">
        <v>0</v>
      </c>
      <c r="V977" s="35" t="b">
        <v>0</v>
      </c>
      <c r="W977" s="35" t="b">
        <v>0</v>
      </c>
      <c r="Y977" s="31" cm="1">
        <f t="array" ref="Y977">IF(LEFT(_xll.BDP($C977, VOLUME_AVG_10D), 4) = "#N/A", "",  _xll.BDP($C977, VOLUME_AVG_10D))</f>
        <v>78998.3984375</v>
      </c>
      <c r="Z977" s="31" cm="1">
        <f t="array" ref="Z977">IF(LEFT(_xll.BDP($C977, VOLUME_AVG_30D), 4) = "#N/A", "",  _xll.BDP($C977, VOLUME_AVG_30D))</f>
        <v>66655.265625</v>
      </c>
      <c r="AA977" s="31" cm="1">
        <f t="array" ref="AA977">IF(LEFT(_xll.BDP($C977, VOLUME_AVG_3M), 4) = "#N/A", "",  _xll.BDP($C977, VOLUME_AVG_3M))</f>
        <v>83614.2109375</v>
      </c>
      <c r="AB977" s="31" cm="1">
        <f t="array" ref="AB977">IF(LEFT(_xll.BDP($C977, VOLUME_AVG_6M), 4) = "#N/A", "",  _xll.BDP($C977, VOLUME_AVG_6M))</f>
        <v>686334.8125</v>
      </c>
      <c r="AC977" s="31" cm="1">
        <f t="array" ref="AC977">IF(LEFT(_xll.BDP($C977, VOLUME_AVG_12M), 4) = "#N/A", "",  _xll.BDP($C977, VOLUME_AVG_12M))</f>
        <v>622364.0625</v>
      </c>
      <c r="AD977" s="41" cm="1">
        <f t="array" ref="AD977">IF(LEFT(_xll.BDP($C977, LAST_PRICE), 4) = "#N/A", "",  _xll.BDP($C977, LAST_PRICE))</f>
        <v>50.52</v>
      </c>
    </row>
    <row r="978" spans="1:30" x14ac:dyDescent="0.35">
      <c r="A978" s="1">
        <f t="shared" si="15"/>
        <v>975</v>
      </c>
      <c r="B978" s="28">
        <v>45700</v>
      </c>
      <c r="C978" s="29" t="s">
        <v>2007</v>
      </c>
      <c r="D978" s="29" t="s">
        <v>2007</v>
      </c>
      <c r="E978" s="29" t="s">
        <v>2008</v>
      </c>
      <c r="F978" s="29" t="s">
        <v>33</v>
      </c>
      <c r="G978" s="30" t="s">
        <v>34</v>
      </c>
      <c r="H978" s="31">
        <v>387665825.88456202</v>
      </c>
      <c r="I978" s="31">
        <v>201291825.88456199</v>
      </c>
      <c r="J978" s="32">
        <v>6.3099999427795401</v>
      </c>
      <c r="K978" s="33">
        <v>45700</v>
      </c>
      <c r="L978" s="31">
        <v>5841000</v>
      </c>
      <c r="M978" s="32">
        <v>3.7</v>
      </c>
      <c r="N978" s="31" t="s">
        <v>35</v>
      </c>
      <c r="O978" s="33">
        <v>45699</v>
      </c>
      <c r="P978" s="34">
        <v>811459.3125</v>
      </c>
      <c r="Q978" s="34">
        <v>1172577.375</v>
      </c>
      <c r="R978" s="34">
        <v>1636938.625</v>
      </c>
      <c r="S978" s="29" t="s">
        <v>46</v>
      </c>
      <c r="T978" s="33">
        <v>45215</v>
      </c>
      <c r="U978" s="35" t="b">
        <v>0</v>
      </c>
      <c r="V978" s="35" t="b">
        <v>0</v>
      </c>
      <c r="W978" s="35" t="b">
        <v>0</v>
      </c>
      <c r="Y978" s="31" cm="1">
        <f t="array" ref="Y978">IF(LEFT(_xll.BDP($C978, VOLUME_AVG_10D), 4) = "#N/A", "",  _xll.BDP($C978, VOLUME_AVG_10D))</f>
        <v>500223.8125</v>
      </c>
      <c r="Z978" s="31" cm="1">
        <f t="array" ref="Z978">IF(LEFT(_xll.BDP($C978, VOLUME_AVG_30D), 4) = "#N/A", "",  _xll.BDP($C978, VOLUME_AVG_30D))</f>
        <v>811459.3125</v>
      </c>
      <c r="AA978" s="31" cm="1">
        <f t="array" ref="AA978">IF(LEFT(_xll.BDP($C978, VOLUME_AVG_3M), 4) = "#N/A", "",  _xll.BDP($C978, VOLUME_AVG_3M))</f>
        <v>1172577.375</v>
      </c>
      <c r="AB978" s="31" cm="1">
        <f t="array" ref="AB978">IF(LEFT(_xll.BDP($C978, VOLUME_AVG_6M), 4) = "#N/A", "",  _xll.BDP($C978, VOLUME_AVG_6M))</f>
        <v>1636938.625</v>
      </c>
      <c r="AC978" s="31" cm="1">
        <f t="array" ref="AC978">IF(LEFT(_xll.BDP($C978, VOLUME_AVG_12M), 4) = "#N/A", "",  _xll.BDP($C978, VOLUME_AVG_12M))</f>
        <v>919188.9375</v>
      </c>
      <c r="AD978" s="41" cm="1">
        <f t="array" ref="AD978">IF(LEFT(_xll.BDP($C978, LAST_PRICE), 4) = "#N/A", "",  _xll.BDP($C978, LAST_PRICE))</f>
        <v>6.31</v>
      </c>
    </row>
    <row r="979" spans="1:30" x14ac:dyDescent="0.35">
      <c r="A979" s="1">
        <f t="shared" si="15"/>
        <v>976</v>
      </c>
      <c r="B979" s="28">
        <v>45700</v>
      </c>
      <c r="C979" s="29" t="s">
        <v>2009</v>
      </c>
      <c r="D979" s="29" t="s">
        <v>2009</v>
      </c>
      <c r="E979" s="29" t="s">
        <v>2010</v>
      </c>
      <c r="F979" s="29" t="s">
        <v>33</v>
      </c>
      <c r="G979" s="30" t="s">
        <v>34</v>
      </c>
      <c r="H979" s="31">
        <v>2835900636.2439699</v>
      </c>
      <c r="I979" s="31">
        <v>2352662862.2439699</v>
      </c>
      <c r="J979" s="32">
        <v>44.2700004577637</v>
      </c>
      <c r="K979" s="33">
        <v>45700</v>
      </c>
      <c r="L979" s="31">
        <v>4247900</v>
      </c>
      <c r="M979" s="32">
        <v>3.88</v>
      </c>
      <c r="N979" s="31" t="s">
        <v>35</v>
      </c>
      <c r="O979" s="33">
        <v>45699</v>
      </c>
      <c r="P979" s="34">
        <v>448612</v>
      </c>
      <c r="Q979" s="34">
        <v>319399.15625</v>
      </c>
      <c r="R979" s="34">
        <v>310566.25</v>
      </c>
      <c r="S979" s="29" t="s">
        <v>73</v>
      </c>
      <c r="T979" s="33">
        <v>45446</v>
      </c>
      <c r="U979" s="35" t="b">
        <v>0</v>
      </c>
      <c r="V979" s="35" t="b">
        <v>0</v>
      </c>
      <c r="W979" s="35" t="b">
        <v>0</v>
      </c>
      <c r="Y979" s="31" cm="1">
        <f t="array" ref="Y979">IF(LEFT(_xll.BDP($C979, VOLUME_AVG_10D), 4) = "#N/A", "",  _xll.BDP($C979, VOLUME_AVG_10D))</f>
        <v>335362.6875</v>
      </c>
      <c r="Z979" s="31" cm="1">
        <f t="array" ref="Z979">IF(LEFT(_xll.BDP($C979, VOLUME_AVG_30D), 4) = "#N/A", "",  _xll.BDP($C979, VOLUME_AVG_30D))</f>
        <v>448612</v>
      </c>
      <c r="AA979" s="31" cm="1">
        <f t="array" ref="AA979">IF(LEFT(_xll.BDP($C979, VOLUME_AVG_3M), 4) = "#N/A", "",  _xll.BDP($C979, VOLUME_AVG_3M))</f>
        <v>319399.15625</v>
      </c>
      <c r="AB979" s="31" cm="1">
        <f t="array" ref="AB979">IF(LEFT(_xll.BDP($C979, VOLUME_AVG_6M), 4) = "#N/A", "",  _xll.BDP($C979, VOLUME_AVG_6M))</f>
        <v>310566.25</v>
      </c>
      <c r="AC979" s="31" cm="1">
        <f t="array" ref="AC979">IF(LEFT(_xll.BDP($C979, VOLUME_AVG_12M), 4) = "#N/A", "",  _xll.BDP($C979, VOLUME_AVG_12M))</f>
        <v>362608.28125</v>
      </c>
      <c r="AD979" s="41" cm="1">
        <f t="array" ref="AD979">IF(LEFT(_xll.BDP($C979, LAST_PRICE), 4) = "#N/A", "",  _xll.BDP($C979, LAST_PRICE))</f>
        <v>44.27</v>
      </c>
    </row>
    <row r="980" spans="1:30" x14ac:dyDescent="0.35">
      <c r="A980" s="1">
        <f t="shared" si="15"/>
        <v>977</v>
      </c>
      <c r="B980" s="28">
        <v>45700</v>
      </c>
      <c r="C980" s="29" t="s">
        <v>2011</v>
      </c>
      <c r="D980" s="29" t="s">
        <v>2011</v>
      </c>
      <c r="E980" s="29" t="s">
        <v>2012</v>
      </c>
      <c r="F980" s="29" t="s">
        <v>33</v>
      </c>
      <c r="G980" s="30" t="s">
        <v>34</v>
      </c>
      <c r="H980" s="31">
        <v>638.88758386034203</v>
      </c>
      <c r="I980" s="31">
        <v>-2505361.1124161398</v>
      </c>
      <c r="J980" s="32">
        <v>9.9999997473787503E-5</v>
      </c>
      <c r="K980" s="33">
        <v>45700</v>
      </c>
      <c r="L980" s="31"/>
      <c r="M980" s="32"/>
      <c r="N980" s="31"/>
      <c r="O980" s="33">
        <v>45699</v>
      </c>
      <c r="P980" s="34">
        <v>20493.1328125</v>
      </c>
      <c r="Q980" s="34">
        <v>12515.951171875</v>
      </c>
      <c r="R980" s="34">
        <v>26515.587890625</v>
      </c>
      <c r="S980" s="29"/>
      <c r="T980" s="33"/>
      <c r="U980" s="35" t="b">
        <v>1</v>
      </c>
      <c r="V980" s="35" t="b">
        <v>1</v>
      </c>
      <c r="W980" s="35" t="b">
        <v>1</v>
      </c>
      <c r="Y980" s="31" cm="1">
        <f t="array" ref="Y980">IF(LEFT(_xll.BDP($C980, VOLUME_AVG_10D), 4) = "#N/A", "",  _xll.BDP($C980, VOLUME_AVG_10D))</f>
        <v>3985.199951171875</v>
      </c>
      <c r="Z980" s="31" cm="1">
        <f t="array" ref="Z980">IF(LEFT(_xll.BDP($C980, VOLUME_AVG_30D), 4) = "#N/A", "",  _xll.BDP($C980, VOLUME_AVG_30D))</f>
        <v>20493.1328125</v>
      </c>
      <c r="AA980" s="31" cm="1">
        <f t="array" ref="AA980">IF(LEFT(_xll.BDP($C980, VOLUME_AVG_3M), 4) = "#N/A", "",  _xll.BDP($C980, VOLUME_AVG_3M))</f>
        <v>12515.951171875</v>
      </c>
      <c r="AB980" s="31" cm="1">
        <f t="array" ref="AB980">IF(LEFT(_xll.BDP($C980, VOLUME_AVG_6M), 4) = "#N/A", "",  _xll.BDP($C980, VOLUME_AVG_6M))</f>
        <v>26515.587890625</v>
      </c>
      <c r="AC980" s="31" cm="1">
        <f t="array" ref="AC980">IF(LEFT(_xll.BDP($C980, VOLUME_AVG_12M), 4) = "#N/A", "",  _xll.BDP($C980, VOLUME_AVG_12M))</f>
        <v>418676.21875</v>
      </c>
      <c r="AD980" s="41" cm="1">
        <f t="array" ref="AD980">IF(LEFT(_xll.BDP($C980, LAST_PRICE), 4) = "#N/A", "",  _xll.BDP($C980, LAST_PRICE))</f>
        <v>1E-4</v>
      </c>
    </row>
    <row r="981" spans="1:30" x14ac:dyDescent="0.35">
      <c r="A981" s="1">
        <f t="shared" si="15"/>
        <v>978</v>
      </c>
      <c r="B981" s="28">
        <v>45700</v>
      </c>
      <c r="C981" s="29" t="s">
        <v>2013</v>
      </c>
      <c r="D981" s="29" t="s">
        <v>2013</v>
      </c>
      <c r="E981" s="29" t="s">
        <v>2014</v>
      </c>
      <c r="F981" s="29" t="s">
        <v>33</v>
      </c>
      <c r="G981" s="30" t="s">
        <v>34</v>
      </c>
      <c r="H981" s="31">
        <v>19602472.715022601</v>
      </c>
      <c r="I981" s="31">
        <v>1150274472.7150199</v>
      </c>
      <c r="J981" s="32">
        <v>2.7699999809265101</v>
      </c>
      <c r="K981" s="33">
        <v>45700</v>
      </c>
      <c r="L981" s="31">
        <v>91200</v>
      </c>
      <c r="M981" s="32">
        <v>-60.45</v>
      </c>
      <c r="N981" s="31" t="s">
        <v>35</v>
      </c>
      <c r="O981" s="33">
        <v>45699</v>
      </c>
      <c r="P981" s="34">
        <v>548362.5</v>
      </c>
      <c r="Q981" s="34">
        <v>1498380.125</v>
      </c>
      <c r="R981" s="34">
        <v>793167.3125</v>
      </c>
      <c r="S981" s="29"/>
      <c r="T981" s="33"/>
      <c r="U981" s="35" t="b">
        <v>1</v>
      </c>
      <c r="V981" s="35" t="b">
        <v>0</v>
      </c>
      <c r="W981" s="35" t="b">
        <v>0</v>
      </c>
      <c r="Y981" s="31" cm="1">
        <f t="array" ref="Y981">IF(LEFT(_xll.BDP($C981, VOLUME_AVG_10D), 4) = "#N/A", "",  _xll.BDP($C981, VOLUME_AVG_10D))</f>
        <v>1461981.625</v>
      </c>
      <c r="Z981" s="31" cm="1">
        <f t="array" ref="Z981">IF(LEFT(_xll.BDP($C981, VOLUME_AVG_30D), 4) = "#N/A", "",  _xll.BDP($C981, VOLUME_AVG_30D))</f>
        <v>548362.5</v>
      </c>
      <c r="AA981" s="31" cm="1">
        <f t="array" ref="AA981">IF(LEFT(_xll.BDP($C981, VOLUME_AVG_3M), 4) = "#N/A", "",  _xll.BDP($C981, VOLUME_AVG_3M))</f>
        <v>1498380.125</v>
      </c>
      <c r="AB981" s="31" cm="1">
        <f t="array" ref="AB981">IF(LEFT(_xll.BDP($C981, VOLUME_AVG_6M), 4) = "#N/A", "",  _xll.BDP($C981, VOLUME_AVG_6M))</f>
        <v>793167.3125</v>
      </c>
      <c r="AC981" s="31" cm="1">
        <f t="array" ref="AC981">IF(LEFT(_xll.BDP($C981, VOLUME_AVG_12M), 4) = "#N/A", "",  _xll.BDP($C981, VOLUME_AVG_12M))</f>
        <v>428578.4375</v>
      </c>
      <c r="AD981" s="41" cm="1">
        <f t="array" ref="AD981">IF(LEFT(_xll.BDP($C981, LAST_PRICE), 4) = "#N/A", "",  _xll.BDP($C981, LAST_PRICE))</f>
        <v>2.77</v>
      </c>
    </row>
    <row r="982" spans="1:30" x14ac:dyDescent="0.35">
      <c r="A982" s="1">
        <f t="shared" si="15"/>
        <v>979</v>
      </c>
      <c r="B982" s="28">
        <v>45700</v>
      </c>
      <c r="C982" s="29" t="s">
        <v>2015</v>
      </c>
      <c r="D982" s="29" t="s">
        <v>2015</v>
      </c>
      <c r="E982" s="29" t="s">
        <v>2016</v>
      </c>
      <c r="F982" s="29" t="s">
        <v>40</v>
      </c>
      <c r="G982" s="30" t="s">
        <v>41</v>
      </c>
      <c r="H982" s="31">
        <v>52648901.055280402</v>
      </c>
      <c r="I982" s="31">
        <v>81290569.055280402</v>
      </c>
      <c r="J982" s="32">
        <v>0.44999998807907099</v>
      </c>
      <c r="K982" s="33">
        <v>45700</v>
      </c>
      <c r="L982" s="31"/>
      <c r="M982" s="32"/>
      <c r="N982" s="31"/>
      <c r="O982" s="33">
        <v>45699</v>
      </c>
      <c r="P982" s="34">
        <v>39378.67</v>
      </c>
      <c r="Q982" s="34">
        <v>44604.63</v>
      </c>
      <c r="R982" s="34">
        <v>48611.07</v>
      </c>
      <c r="S982" s="29"/>
      <c r="T982" s="33"/>
      <c r="U982" s="35" t="b">
        <v>0</v>
      </c>
      <c r="V982" s="35" t="b">
        <v>0</v>
      </c>
      <c r="W982" s="35" t="b">
        <v>0</v>
      </c>
      <c r="Y982" s="31" cm="1">
        <f t="array" ref="Y982">IF(LEFT(_xll.BDP($C982, VOLUME_AVG_10D), 4) = "#N/A", "",  _xll.BDP($C982, VOLUME_AVG_10D))</f>
        <v>11265.4</v>
      </c>
      <c r="Z982" s="31" cm="1">
        <f t="array" ref="Z982">IF(LEFT(_xll.BDP($C982, VOLUME_AVG_30D), 4) = "#N/A", "",  _xll.BDP($C982, VOLUME_AVG_30D))</f>
        <v>39378.67</v>
      </c>
      <c r="AA982" s="31" cm="1">
        <f t="array" ref="AA982">IF(LEFT(_xll.BDP($C982, VOLUME_AVG_3M), 4) = "#N/A", "",  _xll.BDP($C982, VOLUME_AVG_3M))</f>
        <v>44604.63</v>
      </c>
      <c r="AB982" s="31" cm="1">
        <f t="array" ref="AB982">IF(LEFT(_xll.BDP($C982, VOLUME_AVG_6M), 4) = "#N/A", "",  _xll.BDP($C982, VOLUME_AVG_6M))</f>
        <v>48611.07</v>
      </c>
      <c r="AC982" s="31" cm="1">
        <f t="array" ref="AC982">IF(LEFT(_xll.BDP($C982, VOLUME_AVG_12M), 4) = "#N/A", "",  _xll.BDP($C982, VOLUME_AVG_12M))</f>
        <v>28815.7</v>
      </c>
      <c r="AD982" s="41" cm="1">
        <f t="array" ref="AD982">IF(LEFT(_xll.BDP($C982, LAST_PRICE), 4) = "#N/A", "",  _xll.BDP($C982, LAST_PRICE))</f>
        <v>0.45</v>
      </c>
    </row>
    <row r="983" spans="1:30" x14ac:dyDescent="0.35">
      <c r="A983" s="1">
        <f t="shared" si="15"/>
        <v>980</v>
      </c>
      <c r="B983" s="28">
        <v>45700</v>
      </c>
      <c r="C983" s="29" t="s">
        <v>2017</v>
      </c>
      <c r="D983" s="29" t="s">
        <v>2017</v>
      </c>
      <c r="E983" s="29" t="s">
        <v>2018</v>
      </c>
      <c r="F983" s="29" t="s">
        <v>33</v>
      </c>
      <c r="G983" s="30" t="s">
        <v>34</v>
      </c>
      <c r="H983" s="31"/>
      <c r="I983" s="31"/>
      <c r="J983" s="32">
        <v>9.9999999747524292E-7</v>
      </c>
      <c r="K983" s="33">
        <v>45700</v>
      </c>
      <c r="L983" s="31"/>
      <c r="M983" s="32"/>
      <c r="N983" s="31"/>
      <c r="O983" s="33">
        <v>45699</v>
      </c>
      <c r="P983" s="34">
        <v>178946.859375</v>
      </c>
      <c r="Q983" s="34">
        <v>507437.59375</v>
      </c>
      <c r="R983" s="34">
        <v>348452.96875</v>
      </c>
      <c r="S983" s="29"/>
      <c r="T983" s="33"/>
      <c r="U983" s="35" t="b">
        <v>1</v>
      </c>
      <c r="V983" s="35" t="b">
        <v>1</v>
      </c>
      <c r="W983" s="35" t="b">
        <v>1</v>
      </c>
      <c r="Y983" s="31" cm="1">
        <f t="array" ref="Y983">IF(LEFT(_xll.BDP($C983, VOLUME_AVG_10D), 4) = "#N/A", "",  _xll.BDP($C983, VOLUME_AVG_10D))</f>
        <v>98269.8984375</v>
      </c>
      <c r="Z983" s="31" cm="1">
        <f t="array" ref="Z983">IF(LEFT(_xll.BDP($C983, VOLUME_AVG_30D), 4) = "#N/A", "",  _xll.BDP($C983, VOLUME_AVG_30D))</f>
        <v>178946.859375</v>
      </c>
      <c r="AA983" s="31" cm="1">
        <f t="array" ref="AA983">IF(LEFT(_xll.BDP($C983, VOLUME_AVG_3M), 4) = "#N/A", "",  _xll.BDP($C983, VOLUME_AVG_3M))</f>
        <v>507437.59375</v>
      </c>
      <c r="AB983" s="31" cm="1">
        <f t="array" ref="AB983">IF(LEFT(_xll.BDP($C983, VOLUME_AVG_6M), 4) = "#N/A", "",  _xll.BDP($C983, VOLUME_AVG_6M))</f>
        <v>348452.96875</v>
      </c>
      <c r="AC983" s="31" cm="1">
        <f t="array" ref="AC983">IF(LEFT(_xll.BDP($C983, VOLUME_AVG_12M), 4) = "#N/A", "",  _xll.BDP($C983, VOLUME_AVG_12M))</f>
        <v>249205.671875</v>
      </c>
      <c r="AD983" s="41" cm="1">
        <f t="array" ref="AD983">IF(LEFT(_xll.BDP($C983, LAST_PRICE), 4) = "#N/A", "",  _xll.BDP($C983, LAST_PRICE))</f>
        <v>9.9999999999999995E-7</v>
      </c>
    </row>
    <row r="984" spans="1:30" x14ac:dyDescent="0.35">
      <c r="A984" s="1">
        <f t="shared" si="15"/>
        <v>981</v>
      </c>
      <c r="B984" s="28">
        <v>45700</v>
      </c>
      <c r="C984" s="29" t="s">
        <v>2019</v>
      </c>
      <c r="D984" s="29" t="s">
        <v>2019</v>
      </c>
      <c r="E984" s="29" t="s">
        <v>2020</v>
      </c>
      <c r="F984" s="29" t="s">
        <v>33</v>
      </c>
      <c r="G984" s="30" t="s">
        <v>34</v>
      </c>
      <c r="H984" s="31">
        <v>2089330.5646611799</v>
      </c>
      <c r="I984" s="31"/>
      <c r="J984" s="32">
        <v>1.5000000130385199E-3</v>
      </c>
      <c r="K984" s="33">
        <v>45700</v>
      </c>
      <c r="L984" s="31"/>
      <c r="M984" s="32"/>
      <c r="N984" s="31"/>
      <c r="O984" s="33">
        <v>45699</v>
      </c>
      <c r="P984" s="34">
        <v>2014213.375</v>
      </c>
      <c r="Q984" s="34">
        <v>1096225.625</v>
      </c>
      <c r="R984" s="34">
        <v>635016.625</v>
      </c>
      <c r="S984" s="29"/>
      <c r="T984" s="33"/>
      <c r="U984" s="35" t="b">
        <v>1</v>
      </c>
      <c r="V984" s="35" t="b">
        <v>1</v>
      </c>
      <c r="W984" s="35" t="b">
        <v>1</v>
      </c>
      <c r="Y984" s="31" cm="1">
        <f t="array" ref="Y984">IF(LEFT(_xll.BDP($C984, VOLUME_AVG_10D), 4) = "#N/A", "",  _xll.BDP($C984, VOLUME_AVG_10D))</f>
        <v>5369330.5</v>
      </c>
      <c r="Z984" s="31" cm="1">
        <f t="array" ref="Z984">IF(LEFT(_xll.BDP($C984, VOLUME_AVG_30D), 4) = "#N/A", "",  _xll.BDP($C984, VOLUME_AVG_30D))</f>
        <v>2014213.375</v>
      </c>
      <c r="AA984" s="31" cm="1">
        <f t="array" ref="AA984">IF(LEFT(_xll.BDP($C984, VOLUME_AVG_3M), 4) = "#N/A", "",  _xll.BDP($C984, VOLUME_AVG_3M))</f>
        <v>1096225.625</v>
      </c>
      <c r="AB984" s="31" cm="1">
        <f t="array" ref="AB984">IF(LEFT(_xll.BDP($C984, VOLUME_AVG_6M), 4) = "#N/A", "",  _xll.BDP($C984, VOLUME_AVG_6M))</f>
        <v>635016.625</v>
      </c>
      <c r="AC984" s="31" cm="1">
        <f t="array" ref="AC984">IF(LEFT(_xll.BDP($C984, VOLUME_AVG_12M), 4) = "#N/A", "",  _xll.BDP($C984, VOLUME_AVG_12M))</f>
        <v>460466.1875</v>
      </c>
      <c r="AD984" s="41" cm="1">
        <f t="array" ref="AD984">IF(LEFT(_xll.BDP($C984, LAST_PRICE), 4) = "#N/A", "",  _xll.BDP($C984, LAST_PRICE))</f>
        <v>1.5E-3</v>
      </c>
    </row>
    <row r="985" spans="1:30" x14ac:dyDescent="0.35">
      <c r="A985" s="1">
        <f t="shared" si="15"/>
        <v>982</v>
      </c>
      <c r="B985" s="28">
        <v>45700</v>
      </c>
      <c r="C985" s="29" t="s">
        <v>2021</v>
      </c>
      <c r="D985" s="29" t="s">
        <v>2021</v>
      </c>
      <c r="E985" s="29" t="s">
        <v>2022</v>
      </c>
      <c r="F985" s="29" t="s">
        <v>33</v>
      </c>
      <c r="G985" s="30" t="s">
        <v>34</v>
      </c>
      <c r="H985" s="31">
        <v>437107466.01388001</v>
      </c>
      <c r="I985" s="31">
        <v>4888305466.0138798</v>
      </c>
      <c r="J985" s="32">
        <v>27.030000686645501</v>
      </c>
      <c r="K985" s="33">
        <v>45700</v>
      </c>
      <c r="L985" s="31">
        <v>731800</v>
      </c>
      <c r="M985" s="32">
        <v>2.4500000000000002</v>
      </c>
      <c r="N985" s="31" t="s">
        <v>35</v>
      </c>
      <c r="O985" s="33">
        <v>45699</v>
      </c>
      <c r="P985" s="34">
        <v>187711.5</v>
      </c>
      <c r="Q985" s="34">
        <v>174750.546875</v>
      </c>
      <c r="R985" s="34">
        <v>123528.546875</v>
      </c>
      <c r="S985" s="29"/>
      <c r="T985" s="33"/>
      <c r="U985" s="35" t="b">
        <v>0</v>
      </c>
      <c r="V985" s="35" t="b">
        <v>0</v>
      </c>
      <c r="W985" s="35" t="b">
        <v>0</v>
      </c>
      <c r="Y985" s="31" cm="1">
        <f t="array" ref="Y985">IF(LEFT(_xll.BDP($C985, VOLUME_AVG_10D), 4) = "#N/A", "",  _xll.BDP($C985, VOLUME_AVG_10D))</f>
        <v>160128.203125</v>
      </c>
      <c r="Z985" s="31" cm="1">
        <f t="array" ref="Z985">IF(LEFT(_xll.BDP($C985, VOLUME_AVG_30D), 4) = "#N/A", "",  _xll.BDP($C985, VOLUME_AVG_30D))</f>
        <v>187711.5</v>
      </c>
      <c r="AA985" s="31" cm="1">
        <f t="array" ref="AA985">IF(LEFT(_xll.BDP($C985, VOLUME_AVG_3M), 4) = "#N/A", "",  _xll.BDP($C985, VOLUME_AVG_3M))</f>
        <v>174750.546875</v>
      </c>
      <c r="AB985" s="31" cm="1">
        <f t="array" ref="AB985">IF(LEFT(_xll.BDP($C985, VOLUME_AVG_6M), 4) = "#N/A", "",  _xll.BDP($C985, VOLUME_AVG_6M))</f>
        <v>123528.546875</v>
      </c>
      <c r="AC985" s="31" cm="1">
        <f t="array" ref="AC985">IF(LEFT(_xll.BDP($C985, VOLUME_AVG_12M), 4) = "#N/A", "",  _xll.BDP($C985, VOLUME_AVG_12M))</f>
        <v>95839.8515625</v>
      </c>
      <c r="AD985" s="41" cm="1">
        <f t="array" ref="AD985">IF(LEFT(_xll.BDP($C985, LAST_PRICE), 4) = "#N/A", "",  _xll.BDP($C985, LAST_PRICE))</f>
        <v>27.03</v>
      </c>
    </row>
    <row r="986" spans="1:30" x14ac:dyDescent="0.35">
      <c r="A986" s="1">
        <f t="shared" si="15"/>
        <v>983</v>
      </c>
      <c r="B986" s="28">
        <v>45700</v>
      </c>
      <c r="C986" s="29" t="s">
        <v>2023</v>
      </c>
      <c r="D986" s="29" t="s">
        <v>2023</v>
      </c>
      <c r="E986" s="29" t="s">
        <v>2024</v>
      </c>
      <c r="F986" s="29" t="s">
        <v>33</v>
      </c>
      <c r="G986" s="30" t="s">
        <v>34</v>
      </c>
      <c r="H986" s="31">
        <v>72591496</v>
      </c>
      <c r="I986" s="31">
        <v>-183251504</v>
      </c>
      <c r="J986" s="32">
        <v>4.25</v>
      </c>
      <c r="K986" s="33">
        <v>45700</v>
      </c>
      <c r="L986" s="31"/>
      <c r="M986" s="32"/>
      <c r="N986" s="31"/>
      <c r="O986" s="33">
        <v>45699</v>
      </c>
      <c r="P986" s="34">
        <v>211765.359375</v>
      </c>
      <c r="Q986" s="34">
        <v>214737.8125</v>
      </c>
      <c r="R986" s="34">
        <v>149090.734375</v>
      </c>
      <c r="S986" s="29"/>
      <c r="T986" s="33"/>
      <c r="U986" s="35" t="b">
        <v>0</v>
      </c>
      <c r="V986" s="35" t="b">
        <v>0</v>
      </c>
      <c r="W986" s="35" t="b">
        <v>1</v>
      </c>
      <c r="Y986" s="31" cm="1">
        <f t="array" ref="Y986">IF(LEFT(_xll.BDP($C986, VOLUME_AVG_10D), 4) = "#N/A", "",  _xll.BDP($C986, VOLUME_AVG_10D))</f>
        <v>184862.296875</v>
      </c>
      <c r="Z986" s="31" cm="1">
        <f t="array" ref="Z986">IF(LEFT(_xll.BDP($C986, VOLUME_AVG_30D), 4) = "#N/A", "",  _xll.BDP($C986, VOLUME_AVG_30D))</f>
        <v>211765.359375</v>
      </c>
      <c r="AA986" s="31" cm="1">
        <f t="array" ref="AA986">IF(LEFT(_xll.BDP($C986, VOLUME_AVG_3M), 4) = "#N/A", "",  _xll.BDP($C986, VOLUME_AVG_3M))</f>
        <v>214737.8125</v>
      </c>
      <c r="AB986" s="31" cm="1">
        <f t="array" ref="AB986">IF(LEFT(_xll.BDP($C986, VOLUME_AVG_6M), 4) = "#N/A", "",  _xll.BDP($C986, VOLUME_AVG_6M))</f>
        <v>149090.734375</v>
      </c>
      <c r="AC986" s="31" cm="1">
        <f t="array" ref="AC986">IF(LEFT(_xll.BDP($C986, VOLUME_AVG_12M), 4) = "#N/A", "",  _xll.BDP($C986, VOLUME_AVG_12M))</f>
        <v>177175.765625</v>
      </c>
      <c r="AD986" s="41" cm="1">
        <f t="array" ref="AD986">IF(LEFT(_xll.BDP($C986, LAST_PRICE), 4) = "#N/A", "",  _xll.BDP($C986, LAST_PRICE))</f>
        <v>4.25</v>
      </c>
    </row>
    <row r="987" spans="1:30" x14ac:dyDescent="0.35">
      <c r="A987" s="1">
        <f t="shared" si="15"/>
        <v>984</v>
      </c>
      <c r="B987" s="28">
        <v>45700</v>
      </c>
      <c r="C987" s="29" t="s">
        <v>2025</v>
      </c>
      <c r="D987" s="29" t="s">
        <v>2025</v>
      </c>
      <c r="E987" s="29" t="s">
        <v>2026</v>
      </c>
      <c r="F987" s="29" t="s">
        <v>33</v>
      </c>
      <c r="G987" s="30" t="s">
        <v>34</v>
      </c>
      <c r="H987" s="31">
        <v>13771780.5508518</v>
      </c>
      <c r="I987" s="31">
        <v>11229780.5508518</v>
      </c>
      <c r="J987" s="32">
        <v>2.8699998855590798</v>
      </c>
      <c r="K987" s="33">
        <v>45700</v>
      </c>
      <c r="L987" s="31">
        <v>3900</v>
      </c>
      <c r="M987" s="32">
        <v>-130</v>
      </c>
      <c r="N987" s="31" t="s">
        <v>35</v>
      </c>
      <c r="O987" s="33">
        <v>45699</v>
      </c>
      <c r="P987" s="34">
        <v>560308.1875</v>
      </c>
      <c r="Q987" s="34">
        <v>278412</v>
      </c>
      <c r="R987" s="34">
        <v>156170.25</v>
      </c>
      <c r="S987" s="29"/>
      <c r="T987" s="33"/>
      <c r="U987" s="35" t="b">
        <v>1</v>
      </c>
      <c r="V987" s="35" t="b">
        <v>0</v>
      </c>
      <c r="W987" s="35" t="b">
        <v>0</v>
      </c>
      <c r="Y987" s="31" cm="1">
        <f t="array" ref="Y987">IF(LEFT(_xll.BDP($C987, VOLUME_AVG_10D), 4) = "#N/A", "",  _xll.BDP($C987, VOLUME_AVG_10D))</f>
        <v>234236.703125</v>
      </c>
      <c r="Z987" s="31" cm="1">
        <f t="array" ref="Z987">IF(LEFT(_xll.BDP($C987, VOLUME_AVG_30D), 4) = "#N/A", "",  _xll.BDP($C987, VOLUME_AVG_30D))</f>
        <v>560308.1875</v>
      </c>
      <c r="AA987" s="31" cm="1">
        <f t="array" ref="AA987">IF(LEFT(_xll.BDP($C987, VOLUME_AVG_3M), 4) = "#N/A", "",  _xll.BDP($C987, VOLUME_AVG_3M))</f>
        <v>278412</v>
      </c>
      <c r="AB987" s="31" cm="1">
        <f t="array" ref="AB987">IF(LEFT(_xll.BDP($C987, VOLUME_AVG_6M), 4) = "#N/A", "",  _xll.BDP($C987, VOLUME_AVG_6M))</f>
        <v>156170.25</v>
      </c>
      <c r="AC987" s="31" cm="1">
        <f t="array" ref="AC987">IF(LEFT(_xll.BDP($C987, VOLUME_AVG_12M), 4) = "#N/A", "",  _xll.BDP($C987, VOLUME_AVG_12M))</f>
        <v>229458.25</v>
      </c>
      <c r="AD987" s="41" cm="1">
        <f t="array" ref="AD987">IF(LEFT(_xll.BDP($C987, LAST_PRICE), 4) = "#N/A", "",  _xll.BDP($C987, LAST_PRICE))</f>
        <v>2.87</v>
      </c>
    </row>
    <row r="988" spans="1:30" x14ac:dyDescent="0.35">
      <c r="A988" s="1">
        <f t="shared" si="15"/>
        <v>985</v>
      </c>
      <c r="B988" s="28">
        <v>45700</v>
      </c>
      <c r="C988" s="29" t="s">
        <v>2027</v>
      </c>
      <c r="D988" s="29" t="s">
        <v>2027</v>
      </c>
      <c r="E988" s="29" t="s">
        <v>2028</v>
      </c>
      <c r="F988" s="29" t="s">
        <v>40</v>
      </c>
      <c r="G988" s="30" t="s">
        <v>41</v>
      </c>
      <c r="H988" s="31">
        <v>308776.91809829802</v>
      </c>
      <c r="I988" s="31">
        <v>6777516.9180982998</v>
      </c>
      <c r="J988" s="32">
        <v>4.9999998882412902E-3</v>
      </c>
      <c r="K988" s="33">
        <v>45700</v>
      </c>
      <c r="L988" s="31"/>
      <c r="M988" s="32"/>
      <c r="N988" s="31"/>
      <c r="O988" s="33">
        <v>45699</v>
      </c>
      <c r="P988" s="34">
        <v>92924.66</v>
      </c>
      <c r="Q988" s="34">
        <v>135297.4</v>
      </c>
      <c r="R988" s="34">
        <v>159956.9</v>
      </c>
      <c r="S988" s="29"/>
      <c r="T988" s="33"/>
      <c r="U988" s="35" t="b">
        <v>1</v>
      </c>
      <c r="V988" s="35" t="b">
        <v>1</v>
      </c>
      <c r="W988" s="35" t="b">
        <v>0</v>
      </c>
      <c r="Y988" s="31" cm="1">
        <f t="array" ref="Y988">IF(LEFT(_xll.BDP($C988, VOLUME_AVG_10D), 4) = "#N/A", "",  _xll.BDP($C988, VOLUME_AVG_10D))</f>
        <v>47127.5</v>
      </c>
      <c r="Z988" s="31" cm="1">
        <f t="array" ref="Z988">IF(LEFT(_xll.BDP($C988, VOLUME_AVG_30D), 4) = "#N/A", "",  _xll.BDP($C988, VOLUME_AVG_30D))</f>
        <v>92924.66</v>
      </c>
      <c r="AA988" s="31" cm="1">
        <f t="array" ref="AA988">IF(LEFT(_xll.BDP($C988, VOLUME_AVG_3M), 4) = "#N/A", "",  _xll.BDP($C988, VOLUME_AVG_3M))</f>
        <v>135297.4</v>
      </c>
      <c r="AB988" s="31" cm="1">
        <f t="array" ref="AB988">IF(LEFT(_xll.BDP($C988, VOLUME_AVG_6M), 4) = "#N/A", "",  _xll.BDP($C988, VOLUME_AVG_6M))</f>
        <v>159956.9</v>
      </c>
      <c r="AC988" s="31" cm="1">
        <f t="array" ref="AC988">IF(LEFT(_xll.BDP($C988, VOLUME_AVG_12M), 4) = "#N/A", "",  _xll.BDP($C988, VOLUME_AVG_12M))</f>
        <v>225885.7</v>
      </c>
      <c r="AD988" s="41" cm="1">
        <f t="array" ref="AD988">IF(LEFT(_xll.BDP($C988, LAST_PRICE), 4) = "#N/A", "",  _xll.BDP($C988, LAST_PRICE))</f>
        <v>5.0000000000000001E-3</v>
      </c>
    </row>
    <row r="989" spans="1:30" x14ac:dyDescent="0.35">
      <c r="A989" s="1">
        <f t="shared" si="15"/>
        <v>986</v>
      </c>
      <c r="B989" s="28">
        <v>45700</v>
      </c>
      <c r="C989" s="29" t="s">
        <v>2029</v>
      </c>
      <c r="D989" s="29" t="s">
        <v>2029</v>
      </c>
      <c r="E989" s="29" t="s">
        <v>2030</v>
      </c>
      <c r="F989" s="29" t="s">
        <v>33</v>
      </c>
      <c r="G989" s="30" t="s">
        <v>34</v>
      </c>
      <c r="H989" s="31"/>
      <c r="I989" s="31"/>
      <c r="J989" s="32"/>
      <c r="K989" s="33">
        <v>45700</v>
      </c>
      <c r="L989" s="31"/>
      <c r="M989" s="32"/>
      <c r="N989" s="31"/>
      <c r="O989" s="33">
        <v>45699</v>
      </c>
      <c r="P989" s="34"/>
      <c r="Q989" s="34"/>
      <c r="R989" s="34"/>
      <c r="S989" s="29"/>
      <c r="T989" s="33"/>
      <c r="U989" s="35" t="b">
        <v>1</v>
      </c>
      <c r="V989" s="35" t="b">
        <v>1</v>
      </c>
      <c r="W989" s="35" t="b">
        <v>1</v>
      </c>
      <c r="Y989" s="31" t="str" cm="1">
        <f t="array" ref="Y989">IF(LEFT(_xll.BDP($C989, VOLUME_AVG_10D), 4) = "#N/A", "",  _xll.BDP($C989, VOLUME_AVG_10D))</f>
        <v/>
      </c>
      <c r="Z989" s="31" t="str" cm="1">
        <f t="array" ref="Z989">IF(LEFT(_xll.BDP($C989, VOLUME_AVG_30D), 4) = "#N/A", "",  _xll.BDP($C989, VOLUME_AVG_30D))</f>
        <v/>
      </c>
      <c r="AA989" s="31" t="str" cm="1">
        <f t="array" ref="AA989">IF(LEFT(_xll.BDP($C989, VOLUME_AVG_3M), 4) = "#N/A", "",  _xll.BDP($C989, VOLUME_AVG_3M))</f>
        <v/>
      </c>
      <c r="AB989" s="31" t="str" cm="1">
        <f t="array" ref="AB989">IF(LEFT(_xll.BDP($C989, VOLUME_AVG_6M), 4) = "#N/A", "",  _xll.BDP($C989, VOLUME_AVG_6M))</f>
        <v/>
      </c>
      <c r="AC989" s="31" t="str" cm="1">
        <f t="array" ref="AC989">IF(LEFT(_xll.BDP($C989, VOLUME_AVG_12M), 4) = "#N/A", "",  _xll.BDP($C989, VOLUME_AVG_12M))</f>
        <v/>
      </c>
      <c r="AD989" s="41" t="str" cm="1">
        <f t="array" ref="AD989">IF(LEFT(_xll.BDP($C989, LAST_PRICE), 4) = "#N/A", "",  _xll.BDP($C989, LAST_PRICE))</f>
        <v/>
      </c>
    </row>
    <row r="990" spans="1:30" x14ac:dyDescent="0.35">
      <c r="A990" s="1">
        <f t="shared" si="15"/>
        <v>987</v>
      </c>
      <c r="B990" s="28">
        <v>45700</v>
      </c>
      <c r="C990" s="29" t="s">
        <v>2031</v>
      </c>
      <c r="D990" s="29" t="s">
        <v>2031</v>
      </c>
      <c r="E990" s="29" t="s">
        <v>2032</v>
      </c>
      <c r="F990" s="29" t="s">
        <v>33</v>
      </c>
      <c r="G990" s="30" t="s">
        <v>34</v>
      </c>
      <c r="H990" s="31">
        <v>209105733.68183601</v>
      </c>
      <c r="I990" s="31">
        <v>202717687.68183601</v>
      </c>
      <c r="J990" s="32">
        <v>6.28999996185303</v>
      </c>
      <c r="K990" s="33">
        <v>45700</v>
      </c>
      <c r="L990" s="31">
        <v>2823700</v>
      </c>
      <c r="M990" s="32">
        <v>3.88</v>
      </c>
      <c r="N990" s="31" t="s">
        <v>35</v>
      </c>
      <c r="O990" s="33">
        <v>45699</v>
      </c>
      <c r="P990" s="34">
        <v>406805.0625</v>
      </c>
      <c r="Q990" s="34">
        <v>356660.65625</v>
      </c>
      <c r="R990" s="34">
        <v>257792.875</v>
      </c>
      <c r="S990" s="29"/>
      <c r="T990" s="33"/>
      <c r="U990" s="35" t="b">
        <v>0</v>
      </c>
      <c r="V990" s="35" t="b">
        <v>0</v>
      </c>
      <c r="W990" s="35" t="b">
        <v>0</v>
      </c>
      <c r="Y990" s="31" cm="1">
        <f t="array" ref="Y990">IF(LEFT(_xll.BDP($C990, VOLUME_AVG_10D), 4) = "#N/A", "",  _xll.BDP($C990, VOLUME_AVG_10D))</f>
        <v>331239.3125</v>
      </c>
      <c r="Z990" s="31" cm="1">
        <f t="array" ref="Z990">IF(LEFT(_xll.BDP($C990, VOLUME_AVG_30D), 4) = "#N/A", "",  _xll.BDP($C990, VOLUME_AVG_30D))</f>
        <v>406805.0625</v>
      </c>
      <c r="AA990" s="31" cm="1">
        <f t="array" ref="AA990">IF(LEFT(_xll.BDP($C990, VOLUME_AVG_3M), 4) = "#N/A", "",  _xll.BDP($C990, VOLUME_AVG_3M))</f>
        <v>356660.65625</v>
      </c>
      <c r="AB990" s="31" cm="1">
        <f t="array" ref="AB990">IF(LEFT(_xll.BDP($C990, VOLUME_AVG_6M), 4) = "#N/A", "",  _xll.BDP($C990, VOLUME_AVG_6M))</f>
        <v>257792.875</v>
      </c>
      <c r="AC990" s="31" cm="1">
        <f t="array" ref="AC990">IF(LEFT(_xll.BDP($C990, VOLUME_AVG_12M), 4) = "#N/A", "",  _xll.BDP($C990, VOLUME_AVG_12M))</f>
        <v>314332.84375</v>
      </c>
      <c r="AD990" s="41" cm="1">
        <f t="array" ref="AD990">IF(LEFT(_xll.BDP($C990, LAST_PRICE), 4) = "#N/A", "",  _xll.BDP($C990, LAST_PRICE))</f>
        <v>6.29</v>
      </c>
    </row>
    <row r="991" spans="1:30" x14ac:dyDescent="0.35">
      <c r="A991" s="1">
        <f t="shared" si="15"/>
        <v>988</v>
      </c>
      <c r="B991" s="28">
        <v>45700</v>
      </c>
      <c r="C991" s="29" t="s">
        <v>2033</v>
      </c>
      <c r="D991" s="29" t="s">
        <v>2033</v>
      </c>
      <c r="E991" s="29" t="s">
        <v>2034</v>
      </c>
      <c r="F991" s="29" t="s">
        <v>33</v>
      </c>
      <c r="G991" s="30" t="s">
        <v>34</v>
      </c>
      <c r="H991" s="31">
        <v>275832.408</v>
      </c>
      <c r="I991" s="31">
        <v>-934167.59199999995</v>
      </c>
      <c r="J991" s="32">
        <v>8.0000000000000002E-3</v>
      </c>
      <c r="K991" s="33">
        <v>45700</v>
      </c>
      <c r="L991" s="31">
        <v>149500</v>
      </c>
      <c r="M991" s="32">
        <v>-5.2</v>
      </c>
      <c r="N991" s="31" t="s">
        <v>35</v>
      </c>
      <c r="O991" s="33">
        <v>45699</v>
      </c>
      <c r="P991" s="34">
        <v>7216.63330078125</v>
      </c>
      <c r="Q991" s="34">
        <v>4566.48388671875</v>
      </c>
      <c r="R991" s="34">
        <v>3205.23803710938</v>
      </c>
      <c r="S991" s="29"/>
      <c r="T991" s="33"/>
      <c r="U991" s="35" t="b">
        <v>1</v>
      </c>
      <c r="V991" s="35" t="b">
        <v>1</v>
      </c>
      <c r="W991" s="35" t="b">
        <v>1</v>
      </c>
      <c r="Y991" s="31" cm="1">
        <f t="array" ref="Y991">IF(LEFT(_xll.BDP($C991, VOLUME_AVG_10D), 4) = "#N/A", "",  _xll.BDP($C991, VOLUME_AVG_10D))</f>
        <v>16219.2998046875</v>
      </c>
      <c r="Z991" s="31" cm="1">
        <f t="array" ref="Z991">IF(LEFT(_xll.BDP($C991, VOLUME_AVG_30D), 4) = "#N/A", "",  _xll.BDP($C991, VOLUME_AVG_30D))</f>
        <v>7216.63330078125</v>
      </c>
      <c r="AA991" s="31" cm="1">
        <f t="array" ref="AA991">IF(LEFT(_xll.BDP($C991, VOLUME_AVG_3M), 4) = "#N/A", "",  _xll.BDP($C991, VOLUME_AVG_3M))</f>
        <v>4566.48388671875</v>
      </c>
      <c r="AB991" s="31" cm="1">
        <f t="array" ref="AB991">IF(LEFT(_xll.BDP($C991, VOLUME_AVG_6M), 4) = "#N/A", "",  _xll.BDP($C991, VOLUME_AVG_6M))</f>
        <v>3205.238037109375</v>
      </c>
      <c r="AC991" s="31" cm="1">
        <f t="array" ref="AC991">IF(LEFT(_xll.BDP($C991, VOLUME_AVG_12M), 4) = "#N/A", "",  _xll.BDP($C991, VOLUME_AVG_12M))</f>
        <v>6369.5498046875</v>
      </c>
      <c r="AD991" s="41" cm="1">
        <f t="array" ref="AD991">IF(LEFT(_xll.BDP($C991, LAST_PRICE), 4) = "#N/A", "",  _xll.BDP($C991, LAST_PRICE))</f>
        <v>8.0000000000000002E-3</v>
      </c>
    </row>
    <row r="992" spans="1:30" x14ac:dyDescent="0.35">
      <c r="A992" s="1">
        <f t="shared" si="15"/>
        <v>989</v>
      </c>
      <c r="B992" s="28">
        <v>45700</v>
      </c>
      <c r="C992" s="29" t="s">
        <v>2035</v>
      </c>
      <c r="D992" s="29" t="s">
        <v>2035</v>
      </c>
      <c r="E992" s="29" t="s">
        <v>2036</v>
      </c>
      <c r="F992" s="29" t="s">
        <v>33</v>
      </c>
      <c r="G992" s="30" t="s">
        <v>34</v>
      </c>
      <c r="H992" s="31">
        <v>1191651174.5908699</v>
      </c>
      <c r="I992" s="31">
        <v>1234851174.5908699</v>
      </c>
      <c r="J992" s="32">
        <v>13.0900001525879</v>
      </c>
      <c r="K992" s="33">
        <v>45700</v>
      </c>
      <c r="L992" s="31">
        <v>38968200</v>
      </c>
      <c r="M992" s="32">
        <v>3.88</v>
      </c>
      <c r="N992" s="31" t="s">
        <v>35</v>
      </c>
      <c r="O992" s="33">
        <v>45699</v>
      </c>
      <c r="P992" s="34">
        <v>1005738.9375</v>
      </c>
      <c r="Q992" s="34">
        <v>1028199.625</v>
      </c>
      <c r="R992" s="34">
        <v>869461.8125</v>
      </c>
      <c r="S992" s="29" t="s">
        <v>671</v>
      </c>
      <c r="T992" s="33">
        <v>45215</v>
      </c>
      <c r="U992" s="35" t="b">
        <v>0</v>
      </c>
      <c r="V992" s="35" t="b">
        <v>0</v>
      </c>
      <c r="W992" s="35" t="b">
        <v>0</v>
      </c>
      <c r="Y992" s="31" cm="1">
        <f t="array" ref="Y992">IF(LEFT(_xll.BDP($C992, VOLUME_AVG_10D), 4) = "#N/A", "",  _xll.BDP($C992, VOLUME_AVG_10D))</f>
        <v>1148762.25</v>
      </c>
      <c r="Z992" s="31" cm="1">
        <f t="array" ref="Z992">IF(LEFT(_xll.BDP($C992, VOLUME_AVG_30D), 4) = "#N/A", "",  _xll.BDP($C992, VOLUME_AVG_30D))</f>
        <v>1005738.9375</v>
      </c>
      <c r="AA992" s="31" cm="1">
        <f t="array" ref="AA992">IF(LEFT(_xll.BDP($C992, VOLUME_AVG_3M), 4) = "#N/A", "",  _xll.BDP($C992, VOLUME_AVG_3M))</f>
        <v>1028199.625</v>
      </c>
      <c r="AB992" s="31" cm="1">
        <f t="array" ref="AB992">IF(LEFT(_xll.BDP($C992, VOLUME_AVG_6M), 4) = "#N/A", "",  _xll.BDP($C992, VOLUME_AVG_6M))</f>
        <v>869461.8125</v>
      </c>
      <c r="AC992" s="31" cm="1">
        <f t="array" ref="AC992">IF(LEFT(_xll.BDP($C992, VOLUME_AVG_12M), 4) = "#N/A", "",  _xll.BDP($C992, VOLUME_AVG_12M))</f>
        <v>818431.6875</v>
      </c>
      <c r="AD992" s="41" cm="1">
        <f t="array" ref="AD992">IF(LEFT(_xll.BDP($C992, LAST_PRICE), 4) = "#N/A", "",  _xll.BDP($C992, LAST_PRICE))</f>
        <v>13.09</v>
      </c>
    </row>
    <row r="993" spans="1:30" x14ac:dyDescent="0.35">
      <c r="A993" s="1">
        <f t="shared" si="15"/>
        <v>990</v>
      </c>
      <c r="B993" s="28">
        <v>45700</v>
      </c>
      <c r="C993" s="29" t="s">
        <v>2037</v>
      </c>
      <c r="D993" s="29" t="s">
        <v>2037</v>
      </c>
      <c r="E993" s="29" t="s">
        <v>2038</v>
      </c>
      <c r="F993" s="29" t="s">
        <v>33</v>
      </c>
      <c r="G993" s="30" t="s">
        <v>34</v>
      </c>
      <c r="H993" s="31">
        <v>5276507.3602999998</v>
      </c>
      <c r="I993" s="31">
        <v>10778575.360300001</v>
      </c>
      <c r="J993" s="32">
        <v>4.5475000000000002E-2</v>
      </c>
      <c r="K993" s="33">
        <v>45700</v>
      </c>
      <c r="L993" s="31"/>
      <c r="M993" s="32"/>
      <c r="N993" s="31"/>
      <c r="O993" s="33">
        <v>45699</v>
      </c>
      <c r="P993" s="34">
        <v>1737.33337402344</v>
      </c>
      <c r="Q993" s="34">
        <v>1258.79028320313</v>
      </c>
      <c r="R993" s="34">
        <v>1924.78576660156</v>
      </c>
      <c r="S993" s="29"/>
      <c r="T993" s="33"/>
      <c r="U993" s="35" t="b">
        <v>1</v>
      </c>
      <c r="V993" s="35" t="b">
        <v>1</v>
      </c>
      <c r="W993" s="35" t="b">
        <v>0</v>
      </c>
      <c r="Y993" s="31" cm="1">
        <f t="array" ref="Y993">IF(LEFT(_xll.BDP($C993, VOLUME_AVG_10D), 4) = "#N/A", "",  _xll.BDP($C993, VOLUME_AVG_10D))</f>
        <v>4185.39990234375</v>
      </c>
      <c r="Z993" s="31" cm="1">
        <f t="array" ref="Z993">IF(LEFT(_xll.BDP($C993, VOLUME_AVG_30D), 4) = "#N/A", "",  _xll.BDP($C993, VOLUME_AVG_30D))</f>
        <v>1737.3333740234375</v>
      </c>
      <c r="AA993" s="31" cm="1">
        <f t="array" ref="AA993">IF(LEFT(_xll.BDP($C993, VOLUME_AVG_3M), 4) = "#N/A", "",  _xll.BDP($C993, VOLUME_AVG_3M))</f>
        <v>1258.790283203125</v>
      </c>
      <c r="AB993" s="31" cm="1">
        <f t="array" ref="AB993">IF(LEFT(_xll.BDP($C993, VOLUME_AVG_6M), 4) = "#N/A", "",  _xll.BDP($C993, VOLUME_AVG_6M))</f>
        <v>1924.7857666015625</v>
      </c>
      <c r="AC993" s="31" cm="1">
        <f t="array" ref="AC993">IF(LEFT(_xll.BDP($C993, VOLUME_AVG_12M), 4) = "#N/A", "",  _xll.BDP($C993, VOLUME_AVG_12M))</f>
        <v>2039.72509765625</v>
      </c>
      <c r="AD993" s="41" cm="1">
        <f t="array" ref="AD993">IF(LEFT(_xll.BDP($C993, LAST_PRICE), 4) = "#N/A", "",  _xll.BDP($C993, LAST_PRICE))</f>
        <v>4.5499999999999999E-2</v>
      </c>
    </row>
    <row r="994" spans="1:30" x14ac:dyDescent="0.35">
      <c r="A994" s="1">
        <f t="shared" si="15"/>
        <v>991</v>
      </c>
      <c r="B994" s="28">
        <v>45700</v>
      </c>
      <c r="C994" s="29" t="s">
        <v>2039</v>
      </c>
      <c r="D994" s="29" t="s">
        <v>2039</v>
      </c>
      <c r="E994" s="29" t="s">
        <v>2040</v>
      </c>
      <c r="F994" s="29" t="s">
        <v>40</v>
      </c>
      <c r="G994" s="30" t="s">
        <v>41</v>
      </c>
      <c r="H994" s="31">
        <v>35099246.519945599</v>
      </c>
      <c r="I994" s="31">
        <v>52520246.519945599</v>
      </c>
      <c r="J994" s="32">
        <v>0.31000000238418601</v>
      </c>
      <c r="K994" s="33">
        <v>45700</v>
      </c>
      <c r="L994" s="31">
        <v>456400</v>
      </c>
      <c r="M994" s="32">
        <v>-0.45</v>
      </c>
      <c r="N994" s="31" t="s">
        <v>35</v>
      </c>
      <c r="O994" s="33">
        <v>45699</v>
      </c>
      <c r="P994" s="34">
        <v>111014.5</v>
      </c>
      <c r="Q994" s="34">
        <v>188242.8</v>
      </c>
      <c r="R994" s="34">
        <v>142231.9</v>
      </c>
      <c r="S994" s="29"/>
      <c r="T994" s="33"/>
      <c r="U994" s="35" t="b">
        <v>0</v>
      </c>
      <c r="V994" s="35" t="b">
        <v>0</v>
      </c>
      <c r="W994" s="35" t="b">
        <v>0</v>
      </c>
      <c r="Y994" s="31" cm="1">
        <f t="array" ref="Y994">IF(LEFT(_xll.BDP($C994, VOLUME_AVG_10D), 4) = "#N/A", "",  _xll.BDP($C994, VOLUME_AVG_10D))</f>
        <v>199580.79999999999</v>
      </c>
      <c r="Z994" s="31" cm="1">
        <f t="array" ref="Z994">IF(LEFT(_xll.BDP($C994, VOLUME_AVG_30D), 4) = "#N/A", "",  _xll.BDP($C994, VOLUME_AVG_30D))</f>
        <v>111014.5</v>
      </c>
      <c r="AA994" s="31" cm="1">
        <f t="array" ref="AA994">IF(LEFT(_xll.BDP($C994, VOLUME_AVG_3M), 4) = "#N/A", "",  _xll.BDP($C994, VOLUME_AVG_3M))</f>
        <v>188242.8</v>
      </c>
      <c r="AB994" s="31" cm="1">
        <f t="array" ref="AB994">IF(LEFT(_xll.BDP($C994, VOLUME_AVG_6M), 4) = "#N/A", "",  _xll.BDP($C994, VOLUME_AVG_6M))</f>
        <v>142231.9</v>
      </c>
      <c r="AC994" s="31" cm="1">
        <f t="array" ref="AC994">IF(LEFT(_xll.BDP($C994, VOLUME_AVG_12M), 4) = "#N/A", "",  _xll.BDP($C994, VOLUME_AVG_12M))</f>
        <v>124597.7</v>
      </c>
      <c r="AD994" s="41" cm="1">
        <f t="array" ref="AD994">IF(LEFT(_xll.BDP($C994, LAST_PRICE), 4) = "#N/A", "",  _xll.BDP($C994, LAST_PRICE))</f>
        <v>0.31</v>
      </c>
    </row>
    <row r="995" spans="1:30" x14ac:dyDescent="0.35">
      <c r="A995" s="1">
        <f t="shared" si="15"/>
        <v>992</v>
      </c>
      <c r="B995" s="28">
        <v>45700</v>
      </c>
      <c r="C995" s="29" t="s">
        <v>2041</v>
      </c>
      <c r="D995" s="29" t="s">
        <v>2041</v>
      </c>
      <c r="E995" s="29" t="s">
        <v>2042</v>
      </c>
      <c r="F995" s="29" t="s">
        <v>33</v>
      </c>
      <c r="G995" s="30" t="s">
        <v>34</v>
      </c>
      <c r="H995" s="31">
        <v>404021986.77063</v>
      </c>
      <c r="I995" s="31">
        <v>355119986.77063</v>
      </c>
      <c r="J995" s="32">
        <v>6.9899997711181596</v>
      </c>
      <c r="K995" s="33">
        <v>45700</v>
      </c>
      <c r="L995" s="31"/>
      <c r="M995" s="32"/>
      <c r="N995" s="31"/>
      <c r="O995" s="33">
        <v>45699</v>
      </c>
      <c r="P995" s="34">
        <v>3507170.75</v>
      </c>
      <c r="Q995" s="34">
        <v>3501237.5</v>
      </c>
      <c r="R995" s="34">
        <v>2115261.75</v>
      </c>
      <c r="S995" s="29"/>
      <c r="T995" s="33"/>
      <c r="U995" s="35" t="b">
        <v>0</v>
      </c>
      <c r="V995" s="35" t="b">
        <v>0</v>
      </c>
      <c r="W995" s="35" t="b">
        <v>0</v>
      </c>
      <c r="Y995" s="31" cm="1">
        <f t="array" ref="Y995">IF(LEFT(_xll.BDP($C995, VOLUME_AVG_10D), 4) = "#N/A", "",  _xll.BDP($C995, VOLUME_AVG_10D))</f>
        <v>2041062.125</v>
      </c>
      <c r="Z995" s="31" cm="1">
        <f t="array" ref="Z995">IF(LEFT(_xll.BDP($C995, VOLUME_AVG_30D), 4) = "#N/A", "",  _xll.BDP($C995, VOLUME_AVG_30D))</f>
        <v>3507170.75</v>
      </c>
      <c r="AA995" s="31" cm="1">
        <f t="array" ref="AA995">IF(LEFT(_xll.BDP($C995, VOLUME_AVG_3M), 4) = "#N/A", "",  _xll.BDP($C995, VOLUME_AVG_3M))</f>
        <v>3501237.5</v>
      </c>
      <c r="AB995" s="31" cm="1">
        <f t="array" ref="AB995">IF(LEFT(_xll.BDP($C995, VOLUME_AVG_6M), 4) = "#N/A", "",  _xll.BDP($C995, VOLUME_AVG_6M))</f>
        <v>2115261.75</v>
      </c>
      <c r="AC995" s="31" cm="1">
        <f t="array" ref="AC995">IF(LEFT(_xll.BDP($C995, VOLUME_AVG_12M), 4) = "#N/A", "",  _xll.BDP($C995, VOLUME_AVG_12M))</f>
        <v>2340080.25</v>
      </c>
      <c r="AD995" s="41" cm="1">
        <f t="array" ref="AD995">IF(LEFT(_xll.BDP($C995, LAST_PRICE), 4) = "#N/A", "",  _xll.BDP($C995, LAST_PRICE))</f>
        <v>6.99</v>
      </c>
    </row>
    <row r="996" spans="1:30" x14ac:dyDescent="0.35">
      <c r="A996" s="1">
        <f t="shared" si="15"/>
        <v>993</v>
      </c>
      <c r="B996" s="28">
        <v>45700</v>
      </c>
      <c r="C996" s="29" t="s">
        <v>2043</v>
      </c>
      <c r="D996" s="29" t="s">
        <v>2043</v>
      </c>
      <c r="E996" s="29" t="s">
        <v>2044</v>
      </c>
      <c r="F996" s="29" t="s">
        <v>33</v>
      </c>
      <c r="G996" s="30" t="s">
        <v>34</v>
      </c>
      <c r="H996" s="31"/>
      <c r="I996" s="31"/>
      <c r="J996" s="32">
        <v>9.9999999747524292E-7</v>
      </c>
      <c r="K996" s="33">
        <v>45700</v>
      </c>
      <c r="L996" s="31"/>
      <c r="M996" s="32"/>
      <c r="N996" s="31"/>
      <c r="O996" s="33">
        <v>45699</v>
      </c>
      <c r="P996" s="34">
        <v>6204.2333984375</v>
      </c>
      <c r="Q996" s="34">
        <v>5517.7744140625</v>
      </c>
      <c r="R996" s="34">
        <v>2746.84130859375</v>
      </c>
      <c r="S996" s="29"/>
      <c r="T996" s="33"/>
      <c r="U996" s="35" t="b">
        <v>1</v>
      </c>
      <c r="V996" s="35" t="b">
        <v>1</v>
      </c>
      <c r="W996" s="35" t="b">
        <v>1</v>
      </c>
      <c r="Y996" s="31" cm="1">
        <f t="array" ref="Y996">IF(LEFT(_xll.BDP($C996, VOLUME_AVG_10D), 4) = "#N/A", "",  _xll.BDP($C996, VOLUME_AVG_10D))</f>
        <v>18572.69921875</v>
      </c>
      <c r="Z996" s="31" cm="1">
        <f t="array" ref="Z996">IF(LEFT(_xll.BDP($C996, VOLUME_AVG_30D), 4) = "#N/A", "",  _xll.BDP($C996, VOLUME_AVG_30D))</f>
        <v>6204.2333984375</v>
      </c>
      <c r="AA996" s="31" cm="1">
        <f t="array" ref="AA996">IF(LEFT(_xll.BDP($C996, VOLUME_AVG_3M), 4) = "#N/A", "",  _xll.BDP($C996, VOLUME_AVG_3M))</f>
        <v>5517.7744140625</v>
      </c>
      <c r="AB996" s="31" cm="1">
        <f t="array" ref="AB996">IF(LEFT(_xll.BDP($C996, VOLUME_AVG_6M), 4) = "#N/A", "",  _xll.BDP($C996, VOLUME_AVG_6M))</f>
        <v>2746.84130859375</v>
      </c>
      <c r="AC996" s="31" cm="1">
        <f t="array" ref="AC996">IF(LEFT(_xll.BDP($C996, VOLUME_AVG_12M), 4) = "#N/A", "",  _xll.BDP($C996, VOLUME_AVG_12M))</f>
        <v>1401.0438232421875</v>
      </c>
      <c r="AD996" s="41" cm="1">
        <f t="array" ref="AD996">IF(LEFT(_xll.BDP($C996, LAST_PRICE), 4) = "#N/A", "",  _xll.BDP($C996, LAST_PRICE))</f>
        <v>9.9999999999999995E-7</v>
      </c>
    </row>
    <row r="997" spans="1:30" x14ac:dyDescent="0.35">
      <c r="A997" s="1">
        <f t="shared" si="15"/>
        <v>994</v>
      </c>
      <c r="B997" s="28">
        <v>45700</v>
      </c>
      <c r="C997" s="29" t="s">
        <v>2045</v>
      </c>
      <c r="D997" s="29" t="s">
        <v>2045</v>
      </c>
      <c r="E997" s="29" t="s">
        <v>2046</v>
      </c>
      <c r="F997" s="29" t="s">
        <v>33</v>
      </c>
      <c r="G997" s="30" t="s">
        <v>34</v>
      </c>
      <c r="H997" s="31"/>
      <c r="I997" s="31"/>
      <c r="J997" s="32"/>
      <c r="K997" s="33">
        <v>45700</v>
      </c>
      <c r="L997" s="31"/>
      <c r="M997" s="32"/>
      <c r="N997" s="31"/>
      <c r="O997" s="33">
        <v>45699</v>
      </c>
      <c r="P997" s="34">
        <v>1833.33337402344</v>
      </c>
      <c r="Q997" s="34">
        <v>11081.2578125</v>
      </c>
      <c r="R997" s="34">
        <v>8533.873046875</v>
      </c>
      <c r="S997" s="29"/>
      <c r="T997" s="33"/>
      <c r="U997" s="35" t="b">
        <v>1</v>
      </c>
      <c r="V997" s="35" t="b">
        <v>1</v>
      </c>
      <c r="W997" s="35" t="b">
        <v>1</v>
      </c>
      <c r="Y997" s="31" cm="1">
        <f t="array" ref="Y997">IF(LEFT(_xll.BDP($C997, VOLUME_AVG_10D), 4) = "#N/A", "",  _xll.BDP($C997, VOLUME_AVG_10D))</f>
        <v>0</v>
      </c>
      <c r="Z997" s="31" cm="1">
        <f t="array" ref="Z997">IF(LEFT(_xll.BDP($C997, VOLUME_AVG_30D), 4) = "#N/A", "",  _xll.BDP($C997, VOLUME_AVG_30D))</f>
        <v>1833.3333740234375</v>
      </c>
      <c r="AA997" s="31" cm="1">
        <f t="array" ref="AA997">IF(LEFT(_xll.BDP($C997, VOLUME_AVG_3M), 4) = "#N/A", "",  _xll.BDP($C997, VOLUME_AVG_3M))</f>
        <v>11081.2578125</v>
      </c>
      <c r="AB997" s="31" cm="1">
        <f t="array" ref="AB997">IF(LEFT(_xll.BDP($C997, VOLUME_AVG_6M), 4) = "#N/A", "",  _xll.BDP($C997, VOLUME_AVG_6M))</f>
        <v>8533.873046875</v>
      </c>
      <c r="AC997" s="31" cm="1">
        <f t="array" ref="AC997">IF(LEFT(_xll.BDP($C997, VOLUME_AVG_12M), 4) = "#N/A", "",  _xll.BDP($C997, VOLUME_AVG_12M))</f>
        <v>6608.82470703125</v>
      </c>
      <c r="AD997" s="41" cm="1">
        <f t="array" ref="AD997">IF(LEFT(_xll.BDP($C997, LAST_PRICE), 4) = "#N/A", "",  _xll.BDP($C997, LAST_PRICE))</f>
        <v>9.9999999999999995E-7</v>
      </c>
    </row>
    <row r="998" spans="1:30" x14ac:dyDescent="0.35">
      <c r="A998" s="1">
        <f t="shared" si="15"/>
        <v>995</v>
      </c>
      <c r="B998" s="28">
        <v>45700</v>
      </c>
      <c r="C998" s="29" t="s">
        <v>2047</v>
      </c>
      <c r="D998" s="29" t="s">
        <v>2047</v>
      </c>
      <c r="E998" s="29" t="s">
        <v>2048</v>
      </c>
      <c r="F998" s="29" t="s">
        <v>33</v>
      </c>
      <c r="G998" s="30" t="s">
        <v>34</v>
      </c>
      <c r="H998" s="31"/>
      <c r="I998" s="31"/>
      <c r="J998" s="32"/>
      <c r="K998" s="33">
        <v>45700</v>
      </c>
      <c r="L998" s="31"/>
      <c r="M998" s="32"/>
      <c r="N998" s="31"/>
      <c r="O998" s="33">
        <v>45699</v>
      </c>
      <c r="P998" s="34">
        <v>10.199999809265099</v>
      </c>
      <c r="Q998" s="34">
        <v>24.806451797485401</v>
      </c>
      <c r="R998" s="34">
        <v>16.0793647766113</v>
      </c>
      <c r="S998" s="29"/>
      <c r="T998" s="33"/>
      <c r="U998" s="35" t="b">
        <v>1</v>
      </c>
      <c r="V998" s="35" t="b">
        <v>1</v>
      </c>
      <c r="W998" s="35" t="b">
        <v>1</v>
      </c>
      <c r="Y998" s="31" cm="1">
        <f t="array" ref="Y998">IF(LEFT(_xll.BDP($C998, VOLUME_AVG_10D), 4) = "#N/A", "",  _xll.BDP($C998, VOLUME_AVG_10D))</f>
        <v>0</v>
      </c>
      <c r="Z998" s="31" cm="1">
        <f t="array" ref="Z998">IF(LEFT(_xll.BDP($C998, VOLUME_AVG_30D), 4) = "#N/A", "",  _xll.BDP($C998, VOLUME_AVG_30D))</f>
        <v>10.199999809265137</v>
      </c>
      <c r="AA998" s="31" cm="1">
        <f t="array" ref="AA998">IF(LEFT(_xll.BDP($C998, VOLUME_AVG_3M), 4) = "#N/A", "",  _xll.BDP($C998, VOLUME_AVG_3M))</f>
        <v>24.806451797485352</v>
      </c>
      <c r="AB998" s="31" cm="1">
        <f t="array" ref="AB998">IF(LEFT(_xll.BDP($C998, VOLUME_AVG_6M), 4) = "#N/A", "",  _xll.BDP($C998, VOLUME_AVG_6M))</f>
        <v>16.079364776611328</v>
      </c>
      <c r="AC998" s="31" cm="1">
        <f t="array" ref="AC998">IF(LEFT(_xll.BDP($C998, VOLUME_AVG_12M), 4) = "#N/A", "",  _xll.BDP($C998, VOLUME_AVG_12M))</f>
        <v>8.573704719543457</v>
      </c>
      <c r="AD998" s="41" t="str" cm="1">
        <f t="array" ref="AD998">IF(LEFT(_xll.BDP($C998, LAST_PRICE), 4) = "#N/A", "",  _xll.BDP($C998, LAST_PRICE))</f>
        <v/>
      </c>
    </row>
    <row r="999" spans="1:30" x14ac:dyDescent="0.35">
      <c r="A999" s="1">
        <f t="shared" si="15"/>
        <v>996</v>
      </c>
      <c r="B999" s="28">
        <v>45700</v>
      </c>
      <c r="C999" s="29" t="s">
        <v>2049</v>
      </c>
      <c r="D999" s="29" t="s">
        <v>2049</v>
      </c>
      <c r="E999" s="29" t="s">
        <v>2050</v>
      </c>
      <c r="F999" s="29" t="s">
        <v>40</v>
      </c>
      <c r="G999" s="30" t="s">
        <v>41</v>
      </c>
      <c r="H999" s="31">
        <v>758485.42322923196</v>
      </c>
      <c r="I999" s="31">
        <v>785695.27472923195</v>
      </c>
      <c r="J999" s="32">
        <v>0.140000000596046</v>
      </c>
      <c r="K999" s="33">
        <v>45700</v>
      </c>
      <c r="L999" s="31"/>
      <c r="M999" s="32"/>
      <c r="N999" s="31"/>
      <c r="O999" s="33">
        <v>45699</v>
      </c>
      <c r="P999" s="34">
        <v>15344.7</v>
      </c>
      <c r="Q999" s="34">
        <v>9002.375</v>
      </c>
      <c r="R999" s="34">
        <v>9258.9449999999997</v>
      </c>
      <c r="S999" s="29"/>
      <c r="T999" s="33"/>
      <c r="U999" s="35" t="b">
        <v>1</v>
      </c>
      <c r="V999" s="35" t="b">
        <v>0</v>
      </c>
      <c r="W999" s="35" t="b">
        <v>0</v>
      </c>
      <c r="Y999" s="31" cm="1">
        <f t="array" ref="Y999">IF(LEFT(_xll.BDP($C999, VOLUME_AVG_10D), 4) = "#N/A", "",  _xll.BDP($C999, VOLUME_AVG_10D))</f>
        <v>20806.599999999999</v>
      </c>
      <c r="Z999" s="31" cm="1">
        <f t="array" ref="Z999">IF(LEFT(_xll.BDP($C999, VOLUME_AVG_30D), 4) = "#N/A", "",  _xll.BDP($C999, VOLUME_AVG_30D))</f>
        <v>15344.7</v>
      </c>
      <c r="AA999" s="31" cm="1">
        <f t="array" ref="AA999">IF(LEFT(_xll.BDP($C999, VOLUME_AVG_3M), 4) = "#N/A", "",  _xll.BDP($C999, VOLUME_AVG_3M))</f>
        <v>9002.375</v>
      </c>
      <c r="AB999" s="31" cm="1">
        <f t="array" ref="AB999">IF(LEFT(_xll.BDP($C999, VOLUME_AVG_6M), 4) = "#N/A", "",  _xll.BDP($C999, VOLUME_AVG_6M))</f>
        <v>9258.9449999999997</v>
      </c>
      <c r="AC999" s="31" cm="1">
        <f t="array" ref="AC999">IF(LEFT(_xll.BDP($C999, VOLUME_AVG_12M), 4) = "#N/A", "",  _xll.BDP($C999, VOLUME_AVG_12M))</f>
        <v>5783.02</v>
      </c>
      <c r="AD999" s="41" cm="1">
        <f t="array" ref="AD999">IF(LEFT(_xll.BDP($C999, LAST_PRICE), 4) = "#N/A", "",  _xll.BDP($C999, LAST_PRICE))</f>
        <v>0.14000000000000001</v>
      </c>
    </row>
    <row r="1000" spans="1:30" x14ac:dyDescent="0.35">
      <c r="A1000" s="1">
        <f t="shared" si="15"/>
        <v>997</v>
      </c>
      <c r="B1000" s="28">
        <v>45700</v>
      </c>
      <c r="C1000" s="29" t="s">
        <v>2051</v>
      </c>
      <c r="D1000" s="29" t="s">
        <v>2051</v>
      </c>
      <c r="E1000" s="29" t="s">
        <v>2052</v>
      </c>
      <c r="F1000" s="29" t="s">
        <v>33</v>
      </c>
      <c r="G1000" s="30" t="s">
        <v>34</v>
      </c>
      <c r="H1000" s="31">
        <v>2728967.1633362798</v>
      </c>
      <c r="I1000" s="31">
        <v>1549967.16333628</v>
      </c>
      <c r="J1000" s="32">
        <v>0.44459998607635498</v>
      </c>
      <c r="K1000" s="33">
        <v>45700</v>
      </c>
      <c r="L1000" s="31">
        <v>321700</v>
      </c>
      <c r="M1000" s="32">
        <v>-77.75</v>
      </c>
      <c r="N1000" s="31" t="s">
        <v>35</v>
      </c>
      <c r="O1000" s="33">
        <v>45699</v>
      </c>
      <c r="P1000" s="34">
        <v>6360461.5</v>
      </c>
      <c r="Q1000" s="34">
        <v>3324696.75</v>
      </c>
      <c r="R1000" s="34">
        <v>1721492.375</v>
      </c>
      <c r="S1000" s="29"/>
      <c r="T1000" s="33"/>
      <c r="U1000" s="35" t="b">
        <v>1</v>
      </c>
      <c r="V1000" s="35" t="b">
        <v>0</v>
      </c>
      <c r="W1000" s="35" t="b">
        <v>0</v>
      </c>
      <c r="Y1000" s="31" cm="1">
        <f t="array" ref="Y1000">IF(LEFT(_xll.BDP($C1000, VOLUME_AVG_10D), 4) = "#N/A", "",  _xll.BDP($C1000, VOLUME_AVG_10D))</f>
        <v>11518386</v>
      </c>
      <c r="Z1000" s="31" cm="1">
        <f t="array" ref="Z1000">IF(LEFT(_xll.BDP($C1000, VOLUME_AVG_30D), 4) = "#N/A", "",  _xll.BDP($C1000, VOLUME_AVG_30D))</f>
        <v>6360461.5</v>
      </c>
      <c r="AA1000" s="31" cm="1">
        <f t="array" ref="AA1000">IF(LEFT(_xll.BDP($C1000, VOLUME_AVG_3M), 4) = "#N/A", "",  _xll.BDP($C1000, VOLUME_AVG_3M))</f>
        <v>3324696.75</v>
      </c>
      <c r="AB1000" s="31" cm="1">
        <f t="array" ref="AB1000">IF(LEFT(_xll.BDP($C1000, VOLUME_AVG_6M), 4) = "#N/A", "",  _xll.BDP($C1000, VOLUME_AVG_6M))</f>
        <v>1721492.375</v>
      </c>
      <c r="AC1000" s="31" cm="1">
        <f t="array" ref="AC1000">IF(LEFT(_xll.BDP($C1000, VOLUME_AVG_12M), 4) = "#N/A", "",  _xll.BDP($C1000, VOLUME_AVG_12M))</f>
        <v>887304.5</v>
      </c>
      <c r="AD1000" s="41" cm="1">
        <f t="array" ref="AD1000">IF(LEFT(_xll.BDP($C1000, LAST_PRICE), 4) = "#N/A", "",  _xll.BDP($C1000, LAST_PRICE))</f>
        <v>0.4446</v>
      </c>
    </row>
    <row r="1001" spans="1:30" x14ac:dyDescent="0.35">
      <c r="A1001" s="1">
        <f t="shared" si="15"/>
        <v>998</v>
      </c>
      <c r="B1001" s="28">
        <v>45700</v>
      </c>
      <c r="C1001" s="29" t="s">
        <v>2053</v>
      </c>
      <c r="D1001" s="29" t="s">
        <v>2053</v>
      </c>
      <c r="E1001" s="29" t="s">
        <v>2054</v>
      </c>
      <c r="F1001" s="29" t="s">
        <v>33</v>
      </c>
      <c r="G1001" s="30" t="s">
        <v>34</v>
      </c>
      <c r="H1001" s="31">
        <v>20085799.657940902</v>
      </c>
      <c r="I1001" s="31">
        <v>16219519.6579409</v>
      </c>
      <c r="J1001" s="32">
        <v>1.3999999761581401</v>
      </c>
      <c r="K1001" s="33">
        <v>45700</v>
      </c>
      <c r="L1001" s="31">
        <v>455300</v>
      </c>
      <c r="M1001" s="32">
        <v>-5.4</v>
      </c>
      <c r="N1001" s="31" t="s">
        <v>35</v>
      </c>
      <c r="O1001" s="33">
        <v>45699</v>
      </c>
      <c r="P1001" s="34">
        <v>444591.375</v>
      </c>
      <c r="Q1001" s="34">
        <v>339937.84375</v>
      </c>
      <c r="R1001" s="34">
        <v>270391.0625</v>
      </c>
      <c r="S1001" s="29"/>
      <c r="T1001" s="33"/>
      <c r="U1001" s="35" t="b">
        <v>0</v>
      </c>
      <c r="V1001" s="35" t="b">
        <v>0</v>
      </c>
      <c r="W1001" s="35" t="b">
        <v>0</v>
      </c>
      <c r="Y1001" s="31" cm="1">
        <f t="array" ref="Y1001">IF(LEFT(_xll.BDP($C1001, VOLUME_AVG_10D), 4) = "#N/A", "",  _xll.BDP($C1001, VOLUME_AVG_10D))</f>
        <v>333172</v>
      </c>
      <c r="Z1001" s="31" cm="1">
        <f t="array" ref="Z1001">IF(LEFT(_xll.BDP($C1001, VOLUME_AVG_30D), 4) = "#N/A", "",  _xll.BDP($C1001, VOLUME_AVG_30D))</f>
        <v>444591.375</v>
      </c>
      <c r="AA1001" s="31" cm="1">
        <f t="array" ref="AA1001">IF(LEFT(_xll.BDP($C1001, VOLUME_AVG_3M), 4) = "#N/A", "",  _xll.BDP($C1001, VOLUME_AVG_3M))</f>
        <v>339937.84375</v>
      </c>
      <c r="AB1001" s="31" cm="1">
        <f t="array" ref="AB1001">IF(LEFT(_xll.BDP($C1001, VOLUME_AVG_6M), 4) = "#N/A", "",  _xll.BDP($C1001, VOLUME_AVG_6M))</f>
        <v>270391.0625</v>
      </c>
      <c r="AC1001" s="31" cm="1">
        <f t="array" ref="AC1001">IF(LEFT(_xll.BDP($C1001, VOLUME_AVG_12M), 4) = "#N/A", "",  _xll.BDP($C1001, VOLUME_AVG_12M))</f>
        <v>234483.609375</v>
      </c>
      <c r="AD1001" s="41" cm="1">
        <f t="array" ref="AD1001">IF(LEFT(_xll.BDP($C1001, LAST_PRICE), 4) = "#N/A", "",  _xll.BDP($C1001, LAST_PRICE))</f>
        <v>1.4</v>
      </c>
    </row>
    <row r="1002" spans="1:30" x14ac:dyDescent="0.35">
      <c r="A1002" s="1">
        <f t="shared" si="15"/>
        <v>999</v>
      </c>
      <c r="B1002" s="28">
        <v>45700</v>
      </c>
      <c r="C1002" s="29" t="s">
        <v>2055</v>
      </c>
      <c r="D1002" s="29" t="s">
        <v>2055</v>
      </c>
      <c r="E1002" s="29" t="s">
        <v>2056</v>
      </c>
      <c r="F1002" s="29" t="s">
        <v>33</v>
      </c>
      <c r="G1002" s="30" t="s">
        <v>34</v>
      </c>
      <c r="H1002" s="31">
        <v>27471.347304818901</v>
      </c>
      <c r="I1002" s="31">
        <v>208450471.347305</v>
      </c>
      <c r="J1002" s="32">
        <v>1.00000004749745E-3</v>
      </c>
      <c r="K1002" s="33">
        <v>45700</v>
      </c>
      <c r="L1002" s="31"/>
      <c r="M1002" s="32"/>
      <c r="N1002" s="31"/>
      <c r="O1002" s="33">
        <v>45699</v>
      </c>
      <c r="P1002" s="34">
        <v>383.79998779296898</v>
      </c>
      <c r="Q1002" s="34">
        <v>446.43548583984398</v>
      </c>
      <c r="R1002" s="34">
        <v>323.30157470703102</v>
      </c>
      <c r="S1002" s="29"/>
      <c r="T1002" s="33"/>
      <c r="U1002" s="35" t="b">
        <v>1</v>
      </c>
      <c r="V1002" s="35" t="b">
        <v>1</v>
      </c>
      <c r="W1002" s="35" t="b">
        <v>0</v>
      </c>
      <c r="Y1002" s="31" cm="1">
        <f t="array" ref="Y1002">IF(LEFT(_xll.BDP($C1002, VOLUME_AVG_10D), 4) = "#N/A", "",  _xll.BDP($C1002, VOLUME_AVG_10D))</f>
        <v>247.19999694824219</v>
      </c>
      <c r="Z1002" s="31" cm="1">
        <f t="array" ref="Z1002">IF(LEFT(_xll.BDP($C1002, VOLUME_AVG_30D), 4) = "#N/A", "",  _xll.BDP($C1002, VOLUME_AVG_30D))</f>
        <v>383.79998779296875</v>
      </c>
      <c r="AA1002" s="31" cm="1">
        <f t="array" ref="AA1002">IF(LEFT(_xll.BDP($C1002, VOLUME_AVG_3M), 4) = "#N/A", "",  _xll.BDP($C1002, VOLUME_AVG_3M))</f>
        <v>446.43548583984375</v>
      </c>
      <c r="AB1002" s="31" cm="1">
        <f t="array" ref="AB1002">IF(LEFT(_xll.BDP($C1002, VOLUME_AVG_6M), 4) = "#N/A", "",  _xll.BDP($C1002, VOLUME_AVG_6M))</f>
        <v>323.30157470703125</v>
      </c>
      <c r="AC1002" s="31" cm="1">
        <f t="array" ref="AC1002">IF(LEFT(_xll.BDP($C1002, VOLUME_AVG_12M), 4) = "#N/A", "",  _xll.BDP($C1002, VOLUME_AVG_12M))</f>
        <v>1823.0836181640625</v>
      </c>
      <c r="AD1002" s="41" cm="1">
        <f t="array" ref="AD1002">IF(LEFT(_xll.BDP($C1002, LAST_PRICE), 4) = "#N/A", "",  _xll.BDP($C1002, LAST_PRICE))</f>
        <v>1E-3</v>
      </c>
    </row>
    <row r="1003" spans="1:30" x14ac:dyDescent="0.35">
      <c r="A1003" s="1">
        <f t="shared" si="15"/>
        <v>1000</v>
      </c>
      <c r="B1003" s="28">
        <v>45700</v>
      </c>
      <c r="C1003" s="29" t="s">
        <v>2057</v>
      </c>
      <c r="D1003" s="29" t="s">
        <v>2057</v>
      </c>
      <c r="E1003" s="29" t="s">
        <v>2058</v>
      </c>
      <c r="F1003" s="29" t="s">
        <v>33</v>
      </c>
      <c r="G1003" s="30" t="s">
        <v>34</v>
      </c>
      <c r="H1003" s="31">
        <v>22700978908.304401</v>
      </c>
      <c r="I1003" s="31">
        <v>22254377908.304401</v>
      </c>
      <c r="J1003" s="32">
        <v>171.94999694824199</v>
      </c>
      <c r="K1003" s="33">
        <v>45700</v>
      </c>
      <c r="L1003" s="31">
        <v>49141600</v>
      </c>
      <c r="M1003" s="32">
        <v>3.88</v>
      </c>
      <c r="N1003" s="31" t="s">
        <v>35</v>
      </c>
      <c r="O1003" s="33">
        <v>45699</v>
      </c>
      <c r="P1003" s="34">
        <v>1284919.875</v>
      </c>
      <c r="Q1003" s="34">
        <v>1389313.125</v>
      </c>
      <c r="R1003" s="34">
        <v>1226788.375</v>
      </c>
      <c r="S1003" s="29" t="s">
        <v>671</v>
      </c>
      <c r="T1003" s="33">
        <v>45215</v>
      </c>
      <c r="U1003" s="35" t="b">
        <v>0</v>
      </c>
      <c r="V1003" s="35" t="b">
        <v>0</v>
      </c>
      <c r="W1003" s="35" t="b">
        <v>0</v>
      </c>
      <c r="Y1003" s="31" cm="1">
        <f t="array" ref="Y1003">IF(LEFT(_xll.BDP($C1003, VOLUME_AVG_10D), 4) = "#N/A", "",  _xll.BDP($C1003, VOLUME_AVG_10D))</f>
        <v>1230899.75</v>
      </c>
      <c r="Z1003" s="31" cm="1">
        <f t="array" ref="Z1003">IF(LEFT(_xll.BDP($C1003, VOLUME_AVG_30D), 4) = "#N/A", "",  _xll.BDP($C1003, VOLUME_AVG_30D))</f>
        <v>1284919.875</v>
      </c>
      <c r="AA1003" s="31" cm="1">
        <f t="array" ref="AA1003">IF(LEFT(_xll.BDP($C1003, VOLUME_AVG_3M), 4) = "#N/A", "",  _xll.BDP($C1003, VOLUME_AVG_3M))</f>
        <v>1389313.125</v>
      </c>
      <c r="AB1003" s="31" cm="1">
        <f t="array" ref="AB1003">IF(LEFT(_xll.BDP($C1003, VOLUME_AVG_6M), 4) = "#N/A", "",  _xll.BDP($C1003, VOLUME_AVG_6M))</f>
        <v>1226788.375</v>
      </c>
      <c r="AC1003" s="31" cm="1">
        <f t="array" ref="AC1003">IF(LEFT(_xll.BDP($C1003, VOLUME_AVG_12M), 4) = "#N/A", "",  _xll.BDP($C1003, VOLUME_AVG_12M))</f>
        <v>1309137.75</v>
      </c>
      <c r="AD1003" s="41" cm="1">
        <f t="array" ref="AD1003">IF(LEFT(_xll.BDP($C1003, LAST_PRICE), 4) = "#N/A", "",  _xll.BDP($C1003, LAST_PRICE))</f>
        <v>171.95</v>
      </c>
    </row>
    <row r="1004" spans="1:30" x14ac:dyDescent="0.35">
      <c r="A1004" s="1">
        <f t="shared" si="15"/>
        <v>1001</v>
      </c>
      <c r="B1004" s="28">
        <v>45700</v>
      </c>
      <c r="C1004" s="29" t="s">
        <v>2059</v>
      </c>
      <c r="D1004" s="29" t="s">
        <v>2059</v>
      </c>
      <c r="E1004" s="29" t="s">
        <v>2060</v>
      </c>
      <c r="F1004" s="29" t="s">
        <v>33</v>
      </c>
      <c r="G1004" s="30" t="s">
        <v>34</v>
      </c>
      <c r="H1004" s="31">
        <v>3518231.8620000002</v>
      </c>
      <c r="I1004" s="31">
        <v>5039456.8619999997</v>
      </c>
      <c r="J1004" s="32">
        <v>2.2800000000000001E-2</v>
      </c>
      <c r="K1004" s="33">
        <v>45700</v>
      </c>
      <c r="L1004" s="31">
        <v>13000</v>
      </c>
      <c r="M1004" s="32">
        <v>3.3</v>
      </c>
      <c r="N1004" s="31" t="s">
        <v>35</v>
      </c>
      <c r="O1004" s="33">
        <v>45699</v>
      </c>
      <c r="P1004" s="34">
        <v>2289.53344726563</v>
      </c>
      <c r="Q1004" s="34">
        <v>1535.16125488281</v>
      </c>
      <c r="R1004" s="34">
        <v>1201.84130859375</v>
      </c>
      <c r="S1004" s="29"/>
      <c r="T1004" s="33"/>
      <c r="U1004" s="35" t="b">
        <v>1</v>
      </c>
      <c r="V1004" s="35" t="b">
        <v>1</v>
      </c>
      <c r="W1004" s="35" t="b">
        <v>0</v>
      </c>
      <c r="Y1004" s="31" cm="1">
        <f t="array" ref="Y1004">IF(LEFT(_xll.BDP($C1004, VOLUME_AVG_10D), 4) = "#N/A", "",  _xll.BDP($C1004, VOLUME_AVG_10D))</f>
        <v>5316.60009765625</v>
      </c>
      <c r="Z1004" s="31" cm="1">
        <f t="array" ref="Z1004">IF(LEFT(_xll.BDP($C1004, VOLUME_AVG_30D), 4) = "#N/A", "",  _xll.BDP($C1004, VOLUME_AVG_30D))</f>
        <v>2289.533447265625</v>
      </c>
      <c r="AA1004" s="31" cm="1">
        <f t="array" ref="AA1004">IF(LEFT(_xll.BDP($C1004, VOLUME_AVG_3M), 4) = "#N/A", "",  _xll.BDP($C1004, VOLUME_AVG_3M))</f>
        <v>1535.1612548828125</v>
      </c>
      <c r="AB1004" s="31" cm="1">
        <f t="array" ref="AB1004">IF(LEFT(_xll.BDP($C1004, VOLUME_AVG_6M), 4) = "#N/A", "",  _xll.BDP($C1004, VOLUME_AVG_6M))</f>
        <v>1201.84130859375</v>
      </c>
      <c r="AC1004" s="31" cm="1">
        <f t="array" ref="AC1004">IF(LEFT(_xll.BDP($C1004, VOLUME_AVG_12M), 4) = "#N/A", "",  _xll.BDP($C1004, VOLUME_AVG_12M))</f>
        <v>910.912353515625</v>
      </c>
      <c r="AD1004" s="41" cm="1">
        <f t="array" ref="AD1004">IF(LEFT(_xll.BDP($C1004, LAST_PRICE), 4) = "#N/A", "",  _xll.BDP($C1004, LAST_PRICE))</f>
        <v>2.2800000000000001E-2</v>
      </c>
    </row>
    <row r="1005" spans="1:30" x14ac:dyDescent="0.35">
      <c r="A1005" s="1">
        <f t="shared" si="15"/>
        <v>1002</v>
      </c>
      <c r="B1005" s="28">
        <v>45700</v>
      </c>
      <c r="C1005" s="29" t="s">
        <v>2061</v>
      </c>
      <c r="D1005" s="29" t="s">
        <v>2061</v>
      </c>
      <c r="E1005" s="29" t="s">
        <v>2062</v>
      </c>
      <c r="F1005" s="29" t="s">
        <v>33</v>
      </c>
      <c r="G1005" s="30" t="s">
        <v>34</v>
      </c>
      <c r="H1005" s="31">
        <v>1547195166.8775899</v>
      </c>
      <c r="I1005" s="31">
        <v>1408496166.8775899</v>
      </c>
      <c r="J1005" s="32">
        <v>100.199996948242</v>
      </c>
      <c r="K1005" s="33">
        <v>45700</v>
      </c>
      <c r="L1005" s="31">
        <v>3845900</v>
      </c>
      <c r="M1005" s="32">
        <v>3.88</v>
      </c>
      <c r="N1005" s="31" t="s">
        <v>35</v>
      </c>
      <c r="O1005" s="33">
        <v>45699</v>
      </c>
      <c r="P1005" s="34">
        <v>54583.33203125</v>
      </c>
      <c r="Q1005" s="34">
        <v>53084.32421875</v>
      </c>
      <c r="R1005" s="34">
        <v>56380.5625</v>
      </c>
      <c r="S1005" s="29"/>
      <c r="T1005" s="33"/>
      <c r="U1005" s="35" t="b">
        <v>0</v>
      </c>
      <c r="V1005" s="35" t="b">
        <v>0</v>
      </c>
      <c r="W1005" s="35" t="b">
        <v>0</v>
      </c>
      <c r="Y1005" s="31" cm="1">
        <f t="array" ref="Y1005">IF(LEFT(_xll.BDP($C1005, VOLUME_AVG_10D), 4) = "#N/A", "",  _xll.BDP($C1005, VOLUME_AVG_10D))</f>
        <v>47117.30078125</v>
      </c>
      <c r="Z1005" s="31" cm="1">
        <f t="array" ref="Z1005">IF(LEFT(_xll.BDP($C1005, VOLUME_AVG_30D), 4) = "#N/A", "",  _xll.BDP($C1005, VOLUME_AVG_30D))</f>
        <v>54583.33203125</v>
      </c>
      <c r="AA1005" s="31" cm="1">
        <f t="array" ref="AA1005">IF(LEFT(_xll.BDP($C1005, VOLUME_AVG_3M), 4) = "#N/A", "",  _xll.BDP($C1005, VOLUME_AVG_3M))</f>
        <v>53084.32421875</v>
      </c>
      <c r="AB1005" s="31" cm="1">
        <f t="array" ref="AB1005">IF(LEFT(_xll.BDP($C1005, VOLUME_AVG_6M), 4) = "#N/A", "",  _xll.BDP($C1005, VOLUME_AVG_6M))</f>
        <v>56380.5625</v>
      </c>
      <c r="AC1005" s="31" cm="1">
        <f t="array" ref="AC1005">IF(LEFT(_xll.BDP($C1005, VOLUME_AVG_12M), 4) = "#N/A", "",  _xll.BDP($C1005, VOLUME_AVG_12M))</f>
        <v>58026.01171875</v>
      </c>
      <c r="AD1005" s="41" cm="1">
        <f t="array" ref="AD1005">IF(LEFT(_xll.BDP($C1005, LAST_PRICE), 4) = "#N/A", "",  _xll.BDP($C1005, LAST_PRICE))</f>
        <v>100.2</v>
      </c>
    </row>
    <row r="1006" spans="1:30" x14ac:dyDescent="0.35">
      <c r="A1006" s="1">
        <f t="shared" si="15"/>
        <v>1003</v>
      </c>
      <c r="B1006" s="28">
        <v>45700</v>
      </c>
      <c r="C1006" s="29" t="s">
        <v>2063</v>
      </c>
      <c r="D1006" s="29" t="s">
        <v>2063</v>
      </c>
      <c r="E1006" s="29" t="s">
        <v>2064</v>
      </c>
      <c r="F1006" s="29" t="s">
        <v>33</v>
      </c>
      <c r="G1006" s="30" t="s">
        <v>34</v>
      </c>
      <c r="H1006" s="31">
        <v>404961690</v>
      </c>
      <c r="I1006" s="31">
        <v>463412690</v>
      </c>
      <c r="J1006" s="32">
        <v>17.25</v>
      </c>
      <c r="K1006" s="33">
        <v>45700</v>
      </c>
      <c r="L1006" s="31">
        <v>5089300</v>
      </c>
      <c r="M1006" s="32">
        <v>3.88</v>
      </c>
      <c r="N1006" s="31" t="s">
        <v>35</v>
      </c>
      <c r="O1006" s="33">
        <v>45699</v>
      </c>
      <c r="P1006" s="34">
        <v>75542.8984375</v>
      </c>
      <c r="Q1006" s="34">
        <v>91642.1640625</v>
      </c>
      <c r="R1006" s="34">
        <v>83103.21875</v>
      </c>
      <c r="S1006" s="29"/>
      <c r="T1006" s="33"/>
      <c r="U1006" s="35" t="b">
        <v>0</v>
      </c>
      <c r="V1006" s="35" t="b">
        <v>0</v>
      </c>
      <c r="W1006" s="35" t="b">
        <v>0</v>
      </c>
      <c r="Y1006" s="31" cm="1">
        <f t="array" ref="Y1006">IF(LEFT(_xll.BDP($C1006, VOLUME_AVG_10D), 4) = "#N/A", "",  _xll.BDP($C1006, VOLUME_AVG_10D))</f>
        <v>79354.296875</v>
      </c>
      <c r="Z1006" s="31" cm="1">
        <f t="array" ref="Z1006">IF(LEFT(_xll.BDP($C1006, VOLUME_AVG_30D), 4) = "#N/A", "",  _xll.BDP($C1006, VOLUME_AVG_30D))</f>
        <v>75542.8984375</v>
      </c>
      <c r="AA1006" s="31" cm="1">
        <f t="array" ref="AA1006">IF(LEFT(_xll.BDP($C1006, VOLUME_AVG_3M), 4) = "#N/A", "",  _xll.BDP($C1006, VOLUME_AVG_3M))</f>
        <v>91642.1640625</v>
      </c>
      <c r="AB1006" s="31" cm="1">
        <f t="array" ref="AB1006">IF(LEFT(_xll.BDP($C1006, VOLUME_AVG_6M), 4) = "#N/A", "",  _xll.BDP($C1006, VOLUME_AVG_6M))</f>
        <v>83103.21875</v>
      </c>
      <c r="AC1006" s="31" cm="1">
        <f t="array" ref="AC1006">IF(LEFT(_xll.BDP($C1006, VOLUME_AVG_12M), 4) = "#N/A", "",  _xll.BDP($C1006, VOLUME_AVG_12M))</f>
        <v>87164.6484375</v>
      </c>
      <c r="AD1006" s="41" cm="1">
        <f t="array" ref="AD1006">IF(LEFT(_xll.BDP($C1006, LAST_PRICE), 4) = "#N/A", "",  _xll.BDP($C1006, LAST_PRICE))</f>
        <v>17.25</v>
      </c>
    </row>
    <row r="1007" spans="1:30" x14ac:dyDescent="0.35">
      <c r="A1007" s="1">
        <f t="shared" si="15"/>
        <v>1004</v>
      </c>
      <c r="B1007" s="28">
        <v>45700</v>
      </c>
      <c r="C1007" s="29" t="s">
        <v>2065</v>
      </c>
      <c r="D1007" s="29" t="s">
        <v>2065</v>
      </c>
      <c r="E1007" s="29" t="s">
        <v>2066</v>
      </c>
      <c r="F1007" s="29" t="s">
        <v>33</v>
      </c>
      <c r="G1007" s="30" t="s">
        <v>34</v>
      </c>
      <c r="H1007" s="31"/>
      <c r="I1007" s="31"/>
      <c r="J1007" s="32">
        <v>9.9999999747524292E-7</v>
      </c>
      <c r="K1007" s="33">
        <v>45700</v>
      </c>
      <c r="L1007" s="31"/>
      <c r="M1007" s="32"/>
      <c r="N1007" s="31"/>
      <c r="O1007" s="33">
        <v>45699</v>
      </c>
      <c r="P1007" s="34">
        <v>400</v>
      </c>
      <c r="Q1007" s="34">
        <v>475.80645751953102</v>
      </c>
      <c r="R1007" s="34">
        <v>309.52380371093801</v>
      </c>
      <c r="S1007" s="29"/>
      <c r="T1007" s="33"/>
      <c r="U1007" s="35" t="b">
        <v>1</v>
      </c>
      <c r="V1007" s="35" t="b">
        <v>1</v>
      </c>
      <c r="W1007" s="35" t="b">
        <v>1</v>
      </c>
      <c r="Y1007" s="31" cm="1">
        <f t="array" ref="Y1007">IF(LEFT(_xll.BDP($C1007, VOLUME_AVG_10D), 4) = "#N/A", "",  _xll.BDP($C1007, VOLUME_AVG_10D))</f>
        <v>1200</v>
      </c>
      <c r="Z1007" s="31" cm="1">
        <f t="array" ref="Z1007">IF(LEFT(_xll.BDP($C1007, VOLUME_AVG_30D), 4) = "#N/A", "",  _xll.BDP($C1007, VOLUME_AVG_30D))</f>
        <v>400</v>
      </c>
      <c r="AA1007" s="31" cm="1">
        <f t="array" ref="AA1007">IF(LEFT(_xll.BDP($C1007, VOLUME_AVG_3M), 4) = "#N/A", "",  _xll.BDP($C1007, VOLUME_AVG_3M))</f>
        <v>475.80645751953125</v>
      </c>
      <c r="AB1007" s="31" cm="1">
        <f t="array" ref="AB1007">IF(LEFT(_xll.BDP($C1007, VOLUME_AVG_6M), 4) = "#N/A", "",  _xll.BDP($C1007, VOLUME_AVG_6M))</f>
        <v>309.5238037109375</v>
      </c>
      <c r="AC1007" s="31" cm="1">
        <f t="array" ref="AC1007">IF(LEFT(_xll.BDP($C1007, VOLUME_AVG_12M), 4) = "#N/A", "",  _xll.BDP($C1007, VOLUME_AVG_12M))</f>
        <v>302.39044189453125</v>
      </c>
      <c r="AD1007" s="41" cm="1">
        <f t="array" ref="AD1007">IF(LEFT(_xll.BDP($C1007, LAST_PRICE), 4) = "#N/A", "",  _xll.BDP($C1007, LAST_PRICE))</f>
        <v>9.9999999999999995E-7</v>
      </c>
    </row>
    <row r="1008" spans="1:30" x14ac:dyDescent="0.35">
      <c r="A1008" s="1">
        <f t="shared" si="15"/>
        <v>1005</v>
      </c>
      <c r="B1008" s="28">
        <v>45700</v>
      </c>
      <c r="C1008" s="29" t="s">
        <v>2067</v>
      </c>
      <c r="D1008" s="29" t="s">
        <v>2067</v>
      </c>
      <c r="E1008" s="29" t="s">
        <v>2068</v>
      </c>
      <c r="F1008" s="29" t="s">
        <v>33</v>
      </c>
      <c r="G1008" s="30" t="s">
        <v>34</v>
      </c>
      <c r="H1008" s="31">
        <v>200902346.993678</v>
      </c>
      <c r="I1008" s="31">
        <v>62112346.993678197</v>
      </c>
      <c r="J1008" s="32">
        <v>1.6000000238418599</v>
      </c>
      <c r="K1008" s="33">
        <v>45700</v>
      </c>
      <c r="L1008" s="31">
        <v>7748100</v>
      </c>
      <c r="M1008" s="32">
        <v>3.88</v>
      </c>
      <c r="N1008" s="31" t="s">
        <v>35</v>
      </c>
      <c r="O1008" s="33">
        <v>45699</v>
      </c>
      <c r="P1008" s="34">
        <v>114988.3671875</v>
      </c>
      <c r="Q1008" s="34">
        <v>140655.03125</v>
      </c>
      <c r="R1008" s="34">
        <v>107038.59375</v>
      </c>
      <c r="S1008" s="29" t="s">
        <v>671</v>
      </c>
      <c r="T1008" s="33">
        <v>45215</v>
      </c>
      <c r="U1008" s="35" t="b">
        <v>0</v>
      </c>
      <c r="V1008" s="35" t="b">
        <v>0</v>
      </c>
      <c r="W1008" s="35" t="b">
        <v>0</v>
      </c>
      <c r="Y1008" s="31" cm="1">
        <f t="array" ref="Y1008">IF(LEFT(_xll.BDP($C1008, VOLUME_AVG_10D), 4) = "#N/A", "",  _xll.BDP($C1008, VOLUME_AVG_10D))</f>
        <v>70783.703125</v>
      </c>
      <c r="Z1008" s="31" cm="1">
        <f t="array" ref="Z1008">IF(LEFT(_xll.BDP($C1008, VOLUME_AVG_30D), 4) = "#N/A", "",  _xll.BDP($C1008, VOLUME_AVG_30D))</f>
        <v>114988.3671875</v>
      </c>
      <c r="AA1008" s="31" cm="1">
        <f t="array" ref="AA1008">IF(LEFT(_xll.BDP($C1008, VOLUME_AVG_3M), 4) = "#N/A", "",  _xll.BDP($C1008, VOLUME_AVG_3M))</f>
        <v>140655.03125</v>
      </c>
      <c r="AB1008" s="31" cm="1">
        <f t="array" ref="AB1008">IF(LEFT(_xll.BDP($C1008, VOLUME_AVG_6M), 4) = "#N/A", "",  _xll.BDP($C1008, VOLUME_AVG_6M))</f>
        <v>107038.59375</v>
      </c>
      <c r="AC1008" s="31" cm="1">
        <f t="array" ref="AC1008">IF(LEFT(_xll.BDP($C1008, VOLUME_AVG_12M), 4) = "#N/A", "",  _xll.BDP($C1008, VOLUME_AVG_12M))</f>
        <v>91759.4921875</v>
      </c>
      <c r="AD1008" s="41" cm="1">
        <f t="array" ref="AD1008">IF(LEFT(_xll.BDP($C1008, LAST_PRICE), 4) = "#N/A", "",  _xll.BDP($C1008, LAST_PRICE))</f>
        <v>1.6</v>
      </c>
    </row>
    <row r="1009" spans="1:30" x14ac:dyDescent="0.35">
      <c r="A1009" s="1">
        <f t="shared" si="15"/>
        <v>1006</v>
      </c>
      <c r="B1009" s="28">
        <v>45700</v>
      </c>
      <c r="C1009" s="29" t="s">
        <v>2069</v>
      </c>
      <c r="D1009" s="29" t="s">
        <v>2069</v>
      </c>
      <c r="E1009" s="29" t="s">
        <v>2070</v>
      </c>
      <c r="F1009" s="29" t="s">
        <v>33</v>
      </c>
      <c r="G1009" s="30" t="s">
        <v>34</v>
      </c>
      <c r="H1009" s="31">
        <v>60050.6338522519</v>
      </c>
      <c r="I1009" s="31">
        <v>-2252476.3661477501</v>
      </c>
      <c r="J1009" s="32">
        <v>6.00000028498471E-4</v>
      </c>
      <c r="K1009" s="33">
        <v>45700</v>
      </c>
      <c r="L1009" s="31">
        <v>505500</v>
      </c>
      <c r="M1009" s="32">
        <v>-1.45</v>
      </c>
      <c r="N1009" s="31" t="s">
        <v>35</v>
      </c>
      <c r="O1009" s="33">
        <v>45699</v>
      </c>
      <c r="P1009" s="34">
        <v>20803.732421875</v>
      </c>
      <c r="Q1009" s="34">
        <v>22501.466796875</v>
      </c>
      <c r="R1009" s="34">
        <v>16122.150390625</v>
      </c>
      <c r="S1009" s="29"/>
      <c r="T1009" s="33"/>
      <c r="U1009" s="35" t="b">
        <v>1</v>
      </c>
      <c r="V1009" s="35" t="b">
        <v>1</v>
      </c>
      <c r="W1009" s="35" t="b">
        <v>1</v>
      </c>
      <c r="Y1009" s="31" cm="1">
        <f t="array" ref="Y1009">IF(LEFT(_xll.BDP($C1009, VOLUME_AVG_10D), 4) = "#N/A", "",  _xll.BDP($C1009, VOLUME_AVG_10D))</f>
        <v>9010</v>
      </c>
      <c r="Z1009" s="31" cm="1">
        <f t="array" ref="Z1009">IF(LEFT(_xll.BDP($C1009, VOLUME_AVG_30D), 4) = "#N/A", "",  _xll.BDP($C1009, VOLUME_AVG_30D))</f>
        <v>20803.732421875</v>
      </c>
      <c r="AA1009" s="31" cm="1">
        <f t="array" ref="AA1009">IF(LEFT(_xll.BDP($C1009, VOLUME_AVG_3M), 4) = "#N/A", "",  _xll.BDP($C1009, VOLUME_AVG_3M))</f>
        <v>22501.466796875</v>
      </c>
      <c r="AB1009" s="31" cm="1">
        <f t="array" ref="AB1009">IF(LEFT(_xll.BDP($C1009, VOLUME_AVG_6M), 4) = "#N/A", "",  _xll.BDP($C1009, VOLUME_AVG_6M))</f>
        <v>16122.150390625</v>
      </c>
      <c r="AC1009" s="31" cm="1">
        <f t="array" ref="AC1009">IF(LEFT(_xll.BDP($C1009, VOLUME_AVG_12M), 4) = "#N/A", "",  _xll.BDP($C1009, VOLUME_AVG_12M))</f>
        <v>35063.78515625</v>
      </c>
      <c r="AD1009" s="41" cm="1">
        <f t="array" ref="AD1009">IF(LEFT(_xll.BDP($C1009, LAST_PRICE), 4) = "#N/A", "",  _xll.BDP($C1009, LAST_PRICE))</f>
        <v>5.9999999999999995E-4</v>
      </c>
    </row>
    <row r="1010" spans="1:30" x14ac:dyDescent="0.35">
      <c r="A1010" s="1">
        <f t="shared" si="15"/>
        <v>1007</v>
      </c>
      <c r="B1010" s="28">
        <v>45700</v>
      </c>
      <c r="C1010" s="29" t="s">
        <v>2071</v>
      </c>
      <c r="D1010" s="29" t="s">
        <v>2071</v>
      </c>
      <c r="E1010" s="29" t="s">
        <v>2072</v>
      </c>
      <c r="F1010" s="29" t="s">
        <v>33</v>
      </c>
      <c r="G1010" s="30" t="s">
        <v>34</v>
      </c>
      <c r="H1010" s="31">
        <v>2551606.6613917402</v>
      </c>
      <c r="I1010" s="31">
        <v>15059178.6613917</v>
      </c>
      <c r="J1010" s="32">
        <v>0.36000001430511502</v>
      </c>
      <c r="K1010" s="33">
        <v>45700</v>
      </c>
      <c r="L1010" s="31">
        <v>95200</v>
      </c>
      <c r="M1010" s="32">
        <v>-20.399999999999999</v>
      </c>
      <c r="N1010" s="31" t="s">
        <v>35</v>
      </c>
      <c r="O1010" s="33">
        <v>45699</v>
      </c>
      <c r="P1010" s="34">
        <v>258853.296875</v>
      </c>
      <c r="Q1010" s="34">
        <v>158134.78125</v>
      </c>
      <c r="R1010" s="34">
        <v>661115.5</v>
      </c>
      <c r="S1010" s="29"/>
      <c r="T1010" s="33"/>
      <c r="U1010" s="35" t="b">
        <v>1</v>
      </c>
      <c r="V1010" s="35" t="b">
        <v>0</v>
      </c>
      <c r="W1010" s="35" t="b">
        <v>0</v>
      </c>
      <c r="Y1010" s="31" cm="1">
        <f t="array" ref="Y1010">IF(LEFT(_xll.BDP($C1010, VOLUME_AVG_10D), 4) = "#N/A", "",  _xll.BDP($C1010, VOLUME_AVG_10D))</f>
        <v>119755.8984375</v>
      </c>
      <c r="Z1010" s="31" cm="1">
        <f t="array" ref="Z1010">IF(LEFT(_xll.BDP($C1010, VOLUME_AVG_30D), 4) = "#N/A", "",  _xll.BDP($C1010, VOLUME_AVG_30D))</f>
        <v>258853.296875</v>
      </c>
      <c r="AA1010" s="31" cm="1">
        <f t="array" ref="AA1010">IF(LEFT(_xll.BDP($C1010, VOLUME_AVG_3M), 4) = "#N/A", "",  _xll.BDP($C1010, VOLUME_AVG_3M))</f>
        <v>158134.78125</v>
      </c>
      <c r="AB1010" s="31" cm="1">
        <f t="array" ref="AB1010">IF(LEFT(_xll.BDP($C1010, VOLUME_AVG_6M), 4) = "#N/A", "",  _xll.BDP($C1010, VOLUME_AVG_6M))</f>
        <v>661115.5</v>
      </c>
      <c r="AC1010" s="31" cm="1">
        <f t="array" ref="AC1010">IF(LEFT(_xll.BDP($C1010, VOLUME_AVG_12M), 4) = "#N/A", "",  _xll.BDP($C1010, VOLUME_AVG_12M))</f>
        <v>1349808.25</v>
      </c>
      <c r="AD1010" s="41" cm="1">
        <f t="array" ref="AD1010">IF(LEFT(_xll.BDP($C1010, LAST_PRICE), 4) = "#N/A", "",  _xll.BDP($C1010, LAST_PRICE))</f>
        <v>0.36</v>
      </c>
    </row>
    <row r="1011" spans="1:30" x14ac:dyDescent="0.35">
      <c r="A1011" s="1">
        <f t="shared" si="15"/>
        <v>1008</v>
      </c>
      <c r="B1011" s="28">
        <v>45700</v>
      </c>
      <c r="C1011" s="29" t="s">
        <v>2073</v>
      </c>
      <c r="D1011" s="29" t="s">
        <v>2073</v>
      </c>
      <c r="E1011" s="29" t="s">
        <v>2074</v>
      </c>
      <c r="F1011" s="29" t="s">
        <v>33</v>
      </c>
      <c r="G1011" s="30" t="s">
        <v>34</v>
      </c>
      <c r="H1011" s="31">
        <v>134839006.747435</v>
      </c>
      <c r="I1011" s="31">
        <v>-1393993.2525646701</v>
      </c>
      <c r="J1011" s="32">
        <v>0.73100000619888295</v>
      </c>
      <c r="K1011" s="33">
        <v>45700</v>
      </c>
      <c r="L1011" s="31">
        <v>35318600</v>
      </c>
      <c r="M1011" s="32">
        <v>3.8</v>
      </c>
      <c r="N1011" s="31" t="s">
        <v>35</v>
      </c>
      <c r="O1011" s="33">
        <v>45699</v>
      </c>
      <c r="P1011" s="34">
        <v>1865835.5</v>
      </c>
      <c r="Q1011" s="34">
        <v>1930719.375</v>
      </c>
      <c r="R1011" s="34">
        <v>1557383.5</v>
      </c>
      <c r="S1011" s="29" t="s">
        <v>73</v>
      </c>
      <c r="T1011" s="33">
        <v>45446</v>
      </c>
      <c r="U1011" s="35" t="b">
        <v>0</v>
      </c>
      <c r="V1011" s="35" t="b">
        <v>0</v>
      </c>
      <c r="W1011" s="35" t="b">
        <v>1</v>
      </c>
      <c r="Y1011" s="31" cm="1">
        <f t="array" ref="Y1011">IF(LEFT(_xll.BDP($C1011, VOLUME_AVG_10D), 4) = "#N/A", "",  _xll.BDP($C1011, VOLUME_AVG_10D))</f>
        <v>2668221.5</v>
      </c>
      <c r="Z1011" s="31" cm="1">
        <f t="array" ref="Z1011">IF(LEFT(_xll.BDP($C1011, VOLUME_AVG_30D), 4) = "#N/A", "",  _xll.BDP($C1011, VOLUME_AVG_30D))</f>
        <v>1865835.5</v>
      </c>
      <c r="AA1011" s="31" cm="1">
        <f t="array" ref="AA1011">IF(LEFT(_xll.BDP($C1011, VOLUME_AVG_3M), 4) = "#N/A", "",  _xll.BDP($C1011, VOLUME_AVG_3M))</f>
        <v>1930719.375</v>
      </c>
      <c r="AB1011" s="31" cm="1">
        <f t="array" ref="AB1011">IF(LEFT(_xll.BDP($C1011, VOLUME_AVG_6M), 4) = "#N/A", "",  _xll.BDP($C1011, VOLUME_AVG_6M))</f>
        <v>1557383.5</v>
      </c>
      <c r="AC1011" s="31" cm="1">
        <f t="array" ref="AC1011">IF(LEFT(_xll.BDP($C1011, VOLUME_AVG_12M), 4) = "#N/A", "",  _xll.BDP($C1011, VOLUME_AVG_12M))</f>
        <v>1887444.25</v>
      </c>
      <c r="AD1011" s="41" cm="1">
        <f t="array" ref="AD1011">IF(LEFT(_xll.BDP($C1011, LAST_PRICE), 4) = "#N/A", "",  _xll.BDP($C1011, LAST_PRICE))</f>
        <v>0.73099999999999998</v>
      </c>
    </row>
    <row r="1012" spans="1:30" x14ac:dyDescent="0.35">
      <c r="A1012" s="1">
        <f t="shared" si="15"/>
        <v>1009</v>
      </c>
      <c r="B1012" s="28">
        <v>45700</v>
      </c>
      <c r="C1012" s="29" t="s">
        <v>2075</v>
      </c>
      <c r="D1012" s="29" t="s">
        <v>2075</v>
      </c>
      <c r="E1012" s="29" t="s">
        <v>2076</v>
      </c>
      <c r="F1012" s="29" t="s">
        <v>33</v>
      </c>
      <c r="G1012" s="30" t="s">
        <v>34</v>
      </c>
      <c r="H1012" s="31">
        <v>4035.1702</v>
      </c>
      <c r="I1012" s="31">
        <v>19509657.170200001</v>
      </c>
      <c r="J1012" s="32">
        <v>1E-4</v>
      </c>
      <c r="K1012" s="33">
        <v>45700</v>
      </c>
      <c r="L1012" s="31"/>
      <c r="M1012" s="32"/>
      <c r="N1012" s="31"/>
      <c r="O1012" s="33">
        <v>45699</v>
      </c>
      <c r="P1012" s="34">
        <v>10932.466796875</v>
      </c>
      <c r="Q1012" s="34">
        <v>6513.67724609375</v>
      </c>
      <c r="R1012" s="34">
        <v>7844.4521484375</v>
      </c>
      <c r="S1012" s="29"/>
      <c r="T1012" s="33"/>
      <c r="U1012" s="35" t="b">
        <v>1</v>
      </c>
      <c r="V1012" s="35" t="b">
        <v>1</v>
      </c>
      <c r="W1012" s="35" t="b">
        <v>0</v>
      </c>
      <c r="Y1012" s="31" cm="1">
        <f t="array" ref="Y1012">IF(LEFT(_xll.BDP($C1012, VOLUME_AVG_10D), 4) = "#N/A", "",  _xll.BDP($C1012, VOLUME_AVG_10D))</f>
        <v>10208.900390625</v>
      </c>
      <c r="Z1012" s="31" cm="1">
        <f t="array" ref="Z1012">IF(LEFT(_xll.BDP($C1012, VOLUME_AVG_30D), 4) = "#N/A", "",  _xll.BDP($C1012, VOLUME_AVG_30D))</f>
        <v>10932.466796875</v>
      </c>
      <c r="AA1012" s="31" cm="1">
        <f t="array" ref="AA1012">IF(LEFT(_xll.BDP($C1012, VOLUME_AVG_3M), 4) = "#N/A", "",  _xll.BDP($C1012, VOLUME_AVG_3M))</f>
        <v>6513.67724609375</v>
      </c>
      <c r="AB1012" s="31" cm="1">
        <f t="array" ref="AB1012">IF(LEFT(_xll.BDP($C1012, VOLUME_AVG_6M), 4) = "#N/A", "",  _xll.BDP($C1012, VOLUME_AVG_6M))</f>
        <v>7844.4521484375</v>
      </c>
      <c r="AC1012" s="31" cm="1">
        <f t="array" ref="AC1012">IF(LEFT(_xll.BDP($C1012, VOLUME_AVG_12M), 4) = "#N/A", "",  _xll.BDP($C1012, VOLUME_AVG_12M))</f>
        <v>19778.548828125</v>
      </c>
      <c r="AD1012" s="41" cm="1">
        <f t="array" ref="AD1012">IF(LEFT(_xll.BDP($C1012, LAST_PRICE), 4) = "#N/A", "",  _xll.BDP($C1012, LAST_PRICE))</f>
        <v>1E-4</v>
      </c>
    </row>
    <row r="1013" spans="1:30" x14ac:dyDescent="0.35">
      <c r="A1013" s="1">
        <f t="shared" si="15"/>
        <v>1010</v>
      </c>
      <c r="B1013" s="28">
        <v>45700</v>
      </c>
      <c r="C1013" s="29" t="s">
        <v>2077</v>
      </c>
      <c r="D1013" s="29" t="s">
        <v>2077</v>
      </c>
      <c r="E1013" s="29" t="s">
        <v>2078</v>
      </c>
      <c r="F1013" s="29" t="s">
        <v>33</v>
      </c>
      <c r="G1013" s="30" t="s">
        <v>34</v>
      </c>
      <c r="H1013" s="31">
        <v>2158592927.7712102</v>
      </c>
      <c r="I1013" s="31">
        <v>2910804927.7712102</v>
      </c>
      <c r="J1013" s="32">
        <v>9.9499998092651403</v>
      </c>
      <c r="K1013" s="33">
        <v>45700</v>
      </c>
      <c r="L1013" s="31">
        <v>48269900</v>
      </c>
      <c r="M1013" s="32">
        <v>3.88</v>
      </c>
      <c r="N1013" s="31" t="s">
        <v>35</v>
      </c>
      <c r="O1013" s="33">
        <v>45699</v>
      </c>
      <c r="P1013" s="34">
        <v>2717499</v>
      </c>
      <c r="Q1013" s="34">
        <v>2329111.75</v>
      </c>
      <c r="R1013" s="34">
        <v>1857572</v>
      </c>
      <c r="S1013" s="29"/>
      <c r="T1013" s="33"/>
      <c r="U1013" s="35" t="b">
        <v>0</v>
      </c>
      <c r="V1013" s="35" t="b">
        <v>0</v>
      </c>
      <c r="W1013" s="35" t="b">
        <v>0</v>
      </c>
      <c r="Y1013" s="31" cm="1">
        <f t="array" ref="Y1013">IF(LEFT(_xll.BDP($C1013, VOLUME_AVG_10D), 4) = "#N/A", "",  _xll.BDP($C1013, VOLUME_AVG_10D))</f>
        <v>2154769.75</v>
      </c>
      <c r="Z1013" s="31" cm="1">
        <f t="array" ref="Z1013">IF(LEFT(_xll.BDP($C1013, VOLUME_AVG_30D), 4) = "#N/A", "",  _xll.BDP($C1013, VOLUME_AVG_30D))</f>
        <v>2717499</v>
      </c>
      <c r="AA1013" s="31" cm="1">
        <f t="array" ref="AA1013">IF(LEFT(_xll.BDP($C1013, VOLUME_AVG_3M), 4) = "#N/A", "",  _xll.BDP($C1013, VOLUME_AVG_3M))</f>
        <v>2329111.75</v>
      </c>
      <c r="AB1013" s="31" cm="1">
        <f t="array" ref="AB1013">IF(LEFT(_xll.BDP($C1013, VOLUME_AVG_6M), 4) = "#N/A", "",  _xll.BDP($C1013, VOLUME_AVG_6M))</f>
        <v>1857572</v>
      </c>
      <c r="AC1013" s="31" cm="1">
        <f t="array" ref="AC1013">IF(LEFT(_xll.BDP($C1013, VOLUME_AVG_12M), 4) = "#N/A", "",  _xll.BDP($C1013, VOLUME_AVG_12M))</f>
        <v>1950407.875</v>
      </c>
      <c r="AD1013" s="41" cm="1">
        <f t="array" ref="AD1013">IF(LEFT(_xll.BDP($C1013, LAST_PRICE), 4) = "#N/A", "",  _xll.BDP($C1013, LAST_PRICE))</f>
        <v>9.9499999999999993</v>
      </c>
    </row>
    <row r="1014" spans="1:30" x14ac:dyDescent="0.35">
      <c r="A1014" s="1">
        <f t="shared" si="15"/>
        <v>1011</v>
      </c>
      <c r="B1014" s="28">
        <v>45700</v>
      </c>
      <c r="C1014" s="29" t="s">
        <v>2079</v>
      </c>
      <c r="D1014" s="29" t="s">
        <v>2079</v>
      </c>
      <c r="E1014" s="29" t="s">
        <v>2080</v>
      </c>
      <c r="F1014" s="29" t="s">
        <v>33</v>
      </c>
      <c r="G1014" s="30" t="s">
        <v>34</v>
      </c>
      <c r="H1014" s="31">
        <v>1768812768.10395</v>
      </c>
      <c r="I1014" s="31">
        <v>1987267768.10395</v>
      </c>
      <c r="J1014" s="32">
        <v>13.7799997329712</v>
      </c>
      <c r="K1014" s="33">
        <v>45700</v>
      </c>
      <c r="L1014" s="31">
        <v>48483500</v>
      </c>
      <c r="M1014" s="32">
        <v>3.88</v>
      </c>
      <c r="N1014" s="31" t="s">
        <v>35</v>
      </c>
      <c r="O1014" s="33">
        <v>45699</v>
      </c>
      <c r="P1014" s="34">
        <v>990634.625</v>
      </c>
      <c r="Q1014" s="34">
        <v>834257.75</v>
      </c>
      <c r="R1014" s="34">
        <v>780357.6875</v>
      </c>
      <c r="S1014" s="29"/>
      <c r="T1014" s="33"/>
      <c r="U1014" s="35" t="b">
        <v>0</v>
      </c>
      <c r="V1014" s="35" t="b">
        <v>0</v>
      </c>
      <c r="W1014" s="35" t="b">
        <v>0</v>
      </c>
      <c r="Y1014" s="31" cm="1">
        <f t="array" ref="Y1014">IF(LEFT(_xll.BDP($C1014, VOLUME_AVG_10D), 4) = "#N/A", "",  _xll.BDP($C1014, VOLUME_AVG_10D))</f>
        <v>693565.375</v>
      </c>
      <c r="Z1014" s="31" cm="1">
        <f t="array" ref="Z1014">IF(LEFT(_xll.BDP($C1014, VOLUME_AVG_30D), 4) = "#N/A", "",  _xll.BDP($C1014, VOLUME_AVG_30D))</f>
        <v>990634.625</v>
      </c>
      <c r="AA1014" s="31" cm="1">
        <f t="array" ref="AA1014">IF(LEFT(_xll.BDP($C1014, VOLUME_AVG_3M), 4) = "#N/A", "",  _xll.BDP($C1014, VOLUME_AVG_3M))</f>
        <v>834257.75</v>
      </c>
      <c r="AB1014" s="31" cm="1">
        <f t="array" ref="AB1014">IF(LEFT(_xll.BDP($C1014, VOLUME_AVG_6M), 4) = "#N/A", "",  _xll.BDP($C1014, VOLUME_AVG_6M))</f>
        <v>780357.6875</v>
      </c>
      <c r="AC1014" s="31" cm="1">
        <f t="array" ref="AC1014">IF(LEFT(_xll.BDP($C1014, VOLUME_AVG_12M), 4) = "#N/A", "",  _xll.BDP($C1014, VOLUME_AVG_12M))</f>
        <v>817350.1875</v>
      </c>
      <c r="AD1014" s="41" cm="1">
        <f t="array" ref="AD1014">IF(LEFT(_xll.BDP($C1014, LAST_PRICE), 4) = "#N/A", "",  _xll.BDP($C1014, LAST_PRICE))</f>
        <v>13.78</v>
      </c>
    </row>
    <row r="1015" spans="1:30" x14ac:dyDescent="0.35">
      <c r="A1015" s="1">
        <f t="shared" si="15"/>
        <v>1012</v>
      </c>
      <c r="B1015" s="28">
        <v>45700</v>
      </c>
      <c r="C1015" s="29" t="s">
        <v>2081</v>
      </c>
      <c r="D1015" s="29" t="s">
        <v>2081</v>
      </c>
      <c r="E1015" s="29" t="s">
        <v>2082</v>
      </c>
      <c r="F1015" s="29" t="s">
        <v>40</v>
      </c>
      <c r="G1015" s="30" t="s">
        <v>41</v>
      </c>
      <c r="H1015" s="31">
        <v>211047204.18314499</v>
      </c>
      <c r="I1015" s="31">
        <v>190168005.18314499</v>
      </c>
      <c r="J1015" s="32">
        <v>2.9900000095367401</v>
      </c>
      <c r="K1015" s="33">
        <v>45700</v>
      </c>
      <c r="L1015" s="31">
        <v>656800</v>
      </c>
      <c r="M1015" s="32">
        <v>-2</v>
      </c>
      <c r="N1015" s="31" t="s">
        <v>35</v>
      </c>
      <c r="O1015" s="33">
        <v>45699</v>
      </c>
      <c r="P1015" s="34">
        <v>52106.83</v>
      </c>
      <c r="Q1015" s="34">
        <v>69949.19</v>
      </c>
      <c r="R1015" s="34">
        <v>61857.69</v>
      </c>
      <c r="S1015" s="29"/>
      <c r="T1015" s="33"/>
      <c r="U1015" s="35" t="b">
        <v>0</v>
      </c>
      <c r="V1015" s="35" t="b">
        <v>0</v>
      </c>
      <c r="W1015" s="35" t="b">
        <v>0</v>
      </c>
      <c r="Y1015" s="31" cm="1">
        <f t="array" ref="Y1015">IF(LEFT(_xll.BDP($C1015, VOLUME_AVG_10D), 4) = "#N/A", "",  _xll.BDP($C1015, VOLUME_AVG_10D))</f>
        <v>34030.300000000003</v>
      </c>
      <c r="Z1015" s="31" cm="1">
        <f t="array" ref="Z1015">IF(LEFT(_xll.BDP($C1015, VOLUME_AVG_30D), 4) = "#N/A", "",  _xll.BDP($C1015, VOLUME_AVG_30D))</f>
        <v>52106.83</v>
      </c>
      <c r="AA1015" s="31" cm="1">
        <f t="array" ref="AA1015">IF(LEFT(_xll.BDP($C1015, VOLUME_AVG_3M), 4) = "#N/A", "",  _xll.BDP($C1015, VOLUME_AVG_3M))</f>
        <v>69949.19</v>
      </c>
      <c r="AB1015" s="31" cm="1">
        <f t="array" ref="AB1015">IF(LEFT(_xll.BDP($C1015, VOLUME_AVG_6M), 4) = "#N/A", "",  _xll.BDP($C1015, VOLUME_AVG_6M))</f>
        <v>61857.69</v>
      </c>
      <c r="AC1015" s="31" cm="1">
        <f t="array" ref="AC1015">IF(LEFT(_xll.BDP($C1015, VOLUME_AVG_12M), 4) = "#N/A", "",  _xll.BDP($C1015, VOLUME_AVG_12M))</f>
        <v>95978.559999999998</v>
      </c>
      <c r="AD1015" s="41" cm="1">
        <f t="array" ref="AD1015">IF(LEFT(_xll.BDP($C1015, LAST_PRICE), 4) = "#N/A", "",  _xll.BDP($C1015, LAST_PRICE))</f>
        <v>2.99</v>
      </c>
    </row>
    <row r="1016" spans="1:30" x14ac:dyDescent="0.35">
      <c r="A1016" s="1">
        <f t="shared" si="15"/>
        <v>1013</v>
      </c>
      <c r="B1016" s="28">
        <v>45700</v>
      </c>
      <c r="C1016" s="29" t="s">
        <v>2083</v>
      </c>
      <c r="D1016" s="29" t="s">
        <v>2083</v>
      </c>
      <c r="E1016" s="29" t="s">
        <v>2084</v>
      </c>
      <c r="F1016" s="29" t="s">
        <v>33</v>
      </c>
      <c r="G1016" s="30" t="s">
        <v>34</v>
      </c>
      <c r="H1016" s="31">
        <v>178972.74129561699</v>
      </c>
      <c r="I1016" s="31">
        <v>20972.741295617001</v>
      </c>
      <c r="J1016" s="32">
        <v>8.9999996125698107E-3</v>
      </c>
      <c r="K1016" s="33">
        <v>45700</v>
      </c>
      <c r="L1016" s="31"/>
      <c r="M1016" s="32"/>
      <c r="N1016" s="31"/>
      <c r="O1016" s="33">
        <v>45699</v>
      </c>
      <c r="P1016" s="34">
        <v>454.43331909179699</v>
      </c>
      <c r="Q1016" s="34">
        <v>2464.16137695313</v>
      </c>
      <c r="R1016" s="34">
        <v>2523.32543945313</v>
      </c>
      <c r="S1016" s="29"/>
      <c r="T1016" s="33"/>
      <c r="U1016" s="35" t="b">
        <v>1</v>
      </c>
      <c r="V1016" s="35" t="b">
        <v>1</v>
      </c>
      <c r="W1016" s="35" t="b">
        <v>0</v>
      </c>
      <c r="Y1016" s="31" cm="1">
        <f t="array" ref="Y1016">IF(LEFT(_xll.BDP($C1016, VOLUME_AVG_10D), 4) = "#N/A", "",  _xll.BDP($C1016, VOLUME_AVG_10D))</f>
        <v>1153.9000244140625</v>
      </c>
      <c r="Z1016" s="31" cm="1">
        <f t="array" ref="Z1016">IF(LEFT(_xll.BDP($C1016, VOLUME_AVG_30D), 4) = "#N/A", "",  _xll.BDP($C1016, VOLUME_AVG_30D))</f>
        <v>454.43331909179688</v>
      </c>
      <c r="AA1016" s="31" cm="1">
        <f t="array" ref="AA1016">IF(LEFT(_xll.BDP($C1016, VOLUME_AVG_3M), 4) = "#N/A", "",  _xll.BDP($C1016, VOLUME_AVG_3M))</f>
        <v>2464.161376953125</v>
      </c>
      <c r="AB1016" s="31" cm="1">
        <f t="array" ref="AB1016">IF(LEFT(_xll.BDP($C1016, VOLUME_AVG_6M), 4) = "#N/A", "",  _xll.BDP($C1016, VOLUME_AVG_6M))</f>
        <v>2523.325439453125</v>
      </c>
      <c r="AC1016" s="31" cm="1">
        <f t="array" ref="AC1016">IF(LEFT(_xll.BDP($C1016, VOLUME_AVG_12M), 4) = "#N/A", "",  _xll.BDP($C1016, VOLUME_AVG_12M))</f>
        <v>2744.266845703125</v>
      </c>
      <c r="AD1016" s="41" cm="1">
        <f t="array" ref="AD1016">IF(LEFT(_xll.BDP($C1016, LAST_PRICE), 4) = "#N/A", "",  _xll.BDP($C1016, LAST_PRICE))</f>
        <v>8.9999999999999993E-3</v>
      </c>
    </row>
    <row r="1017" spans="1:30" x14ac:dyDescent="0.35">
      <c r="A1017" s="1">
        <f t="shared" si="15"/>
        <v>1014</v>
      </c>
      <c r="B1017" s="28">
        <v>45700</v>
      </c>
      <c r="C1017" s="29" t="s">
        <v>2085</v>
      </c>
      <c r="D1017" s="29" t="s">
        <v>2085</v>
      </c>
      <c r="E1017" s="29" t="s">
        <v>2086</v>
      </c>
      <c r="F1017" s="29" t="s">
        <v>33</v>
      </c>
      <c r="G1017" s="30" t="s">
        <v>34</v>
      </c>
      <c r="H1017" s="31"/>
      <c r="I1017" s="31"/>
      <c r="J1017" s="32"/>
      <c r="K1017" s="33">
        <v>45700</v>
      </c>
      <c r="L1017" s="31"/>
      <c r="M1017" s="32"/>
      <c r="N1017" s="31"/>
      <c r="O1017" s="33">
        <v>45699</v>
      </c>
      <c r="P1017" s="34"/>
      <c r="Q1017" s="34">
        <v>1774.19360351563</v>
      </c>
      <c r="R1017" s="34">
        <v>873.015869140625</v>
      </c>
      <c r="S1017" s="29"/>
      <c r="T1017" s="33"/>
      <c r="U1017" s="35" t="b">
        <v>1</v>
      </c>
      <c r="V1017" s="35" t="b">
        <v>1</v>
      </c>
      <c r="W1017" s="35" t="b">
        <v>1</v>
      </c>
      <c r="Y1017" s="31" cm="1">
        <f t="array" ref="Y1017">IF(LEFT(_xll.BDP($C1017, VOLUME_AVG_10D), 4) = "#N/A", "",  _xll.BDP($C1017, VOLUME_AVG_10D))</f>
        <v>0</v>
      </c>
      <c r="Z1017" s="31" cm="1">
        <f t="array" ref="Z1017">IF(LEFT(_xll.BDP($C1017, VOLUME_AVG_30D), 4) = "#N/A", "",  _xll.BDP($C1017, VOLUME_AVG_30D))</f>
        <v>0</v>
      </c>
      <c r="AA1017" s="31" cm="1">
        <f t="array" ref="AA1017">IF(LEFT(_xll.BDP($C1017, VOLUME_AVG_3M), 4) = "#N/A", "",  _xll.BDP($C1017, VOLUME_AVG_3M))</f>
        <v>1774.193603515625</v>
      </c>
      <c r="AB1017" s="31" cm="1">
        <f t="array" ref="AB1017">IF(LEFT(_xll.BDP($C1017, VOLUME_AVG_6M), 4) = "#N/A", "",  _xll.BDP($C1017, VOLUME_AVG_6M))</f>
        <v>873.015869140625</v>
      </c>
      <c r="AC1017" s="31" cm="1">
        <f t="array" ref="AC1017">IF(LEFT(_xll.BDP($C1017, VOLUME_AVG_12M), 4) = "#N/A", "",  _xll.BDP($C1017, VOLUME_AVG_12M))</f>
        <v>438.24700927734375</v>
      </c>
      <c r="AD1017" s="41" t="str" cm="1">
        <f t="array" ref="AD1017">IF(LEFT(_xll.BDP($C1017, LAST_PRICE), 4) = "#N/A", "",  _xll.BDP($C1017, LAST_PRICE))</f>
        <v/>
      </c>
    </row>
    <row r="1018" spans="1:30" x14ac:dyDescent="0.35">
      <c r="A1018" s="1">
        <f t="shared" si="15"/>
        <v>1015</v>
      </c>
      <c r="B1018" s="28">
        <v>45700</v>
      </c>
      <c r="C1018" s="29" t="s">
        <v>2087</v>
      </c>
      <c r="D1018" s="29" t="s">
        <v>2087</v>
      </c>
      <c r="E1018" s="29" t="s">
        <v>2088</v>
      </c>
      <c r="F1018" s="29" t="s">
        <v>40</v>
      </c>
      <c r="G1018" s="30" t="s">
        <v>41</v>
      </c>
      <c r="H1018" s="31">
        <v>77783564.826915696</v>
      </c>
      <c r="I1018" s="31">
        <v>77718662.826915696</v>
      </c>
      <c r="J1018" s="32">
        <v>1.03999996185303</v>
      </c>
      <c r="K1018" s="33">
        <v>45700</v>
      </c>
      <c r="L1018" s="31">
        <v>1300</v>
      </c>
      <c r="M1018" s="32">
        <v>-0.9</v>
      </c>
      <c r="N1018" s="31" t="s">
        <v>35</v>
      </c>
      <c r="O1018" s="33">
        <v>45699</v>
      </c>
      <c r="P1018" s="34">
        <v>96023.97</v>
      </c>
      <c r="Q1018" s="34">
        <v>214359.5</v>
      </c>
      <c r="R1018" s="34">
        <v>159316.4</v>
      </c>
      <c r="S1018" s="29"/>
      <c r="T1018" s="33"/>
      <c r="U1018" s="35" t="b">
        <v>0</v>
      </c>
      <c r="V1018" s="35" t="b">
        <v>0</v>
      </c>
      <c r="W1018" s="35" t="b">
        <v>0</v>
      </c>
      <c r="Y1018" s="31" cm="1">
        <f t="array" ref="Y1018">IF(LEFT(_xll.BDP($C1018, VOLUME_AVG_10D), 4) = "#N/A", "",  _xll.BDP($C1018, VOLUME_AVG_10D))</f>
        <v>122278.1</v>
      </c>
      <c r="Z1018" s="31" cm="1">
        <f t="array" ref="Z1018">IF(LEFT(_xll.BDP($C1018, VOLUME_AVG_30D), 4) = "#N/A", "",  _xll.BDP($C1018, VOLUME_AVG_30D))</f>
        <v>96023.97</v>
      </c>
      <c r="AA1018" s="31" cm="1">
        <f t="array" ref="AA1018">IF(LEFT(_xll.BDP($C1018, VOLUME_AVG_3M), 4) = "#N/A", "",  _xll.BDP($C1018, VOLUME_AVG_3M))</f>
        <v>214359.5</v>
      </c>
      <c r="AB1018" s="31" cm="1">
        <f t="array" ref="AB1018">IF(LEFT(_xll.BDP($C1018, VOLUME_AVG_6M), 4) = "#N/A", "",  _xll.BDP($C1018, VOLUME_AVG_6M))</f>
        <v>159316.4</v>
      </c>
      <c r="AC1018" s="31" cm="1">
        <f t="array" ref="AC1018">IF(LEFT(_xll.BDP($C1018, VOLUME_AVG_12M), 4) = "#N/A", "",  _xll.BDP($C1018, VOLUME_AVG_12M))</f>
        <v>118912.1</v>
      </c>
      <c r="AD1018" s="41" cm="1">
        <f t="array" ref="AD1018">IF(LEFT(_xll.BDP($C1018, LAST_PRICE), 4) = "#N/A", "",  _xll.BDP($C1018, LAST_PRICE))</f>
        <v>1.04</v>
      </c>
    </row>
    <row r="1019" spans="1:30" x14ac:dyDescent="0.35">
      <c r="A1019" s="1">
        <f t="shared" si="15"/>
        <v>1016</v>
      </c>
      <c r="B1019" s="28">
        <v>45700</v>
      </c>
      <c r="C1019" s="29" t="s">
        <v>2089</v>
      </c>
      <c r="D1019" s="29" t="s">
        <v>2089</v>
      </c>
      <c r="E1019" s="29" t="s">
        <v>2090</v>
      </c>
      <c r="F1019" s="29" t="s">
        <v>33</v>
      </c>
      <c r="G1019" s="30" t="s">
        <v>34</v>
      </c>
      <c r="H1019" s="31">
        <v>60736078.837831497</v>
      </c>
      <c r="I1019" s="31">
        <v>1376367078.8378301</v>
      </c>
      <c r="J1019" s="32">
        <v>7.3299999237060502</v>
      </c>
      <c r="K1019" s="33">
        <v>45700</v>
      </c>
      <c r="L1019" s="31">
        <v>60000</v>
      </c>
      <c r="M1019" s="32">
        <v>-21.95</v>
      </c>
      <c r="N1019" s="31" t="s">
        <v>35</v>
      </c>
      <c r="O1019" s="33">
        <v>45699</v>
      </c>
      <c r="P1019" s="34">
        <v>32900.30078125</v>
      </c>
      <c r="Q1019" s="34">
        <v>36797.2734375</v>
      </c>
      <c r="R1019" s="34">
        <v>22495.103515625</v>
      </c>
      <c r="S1019" s="29"/>
      <c r="T1019" s="33"/>
      <c r="U1019" s="35" t="b">
        <v>0</v>
      </c>
      <c r="V1019" s="35" t="b">
        <v>0</v>
      </c>
      <c r="W1019" s="35" t="b">
        <v>0</v>
      </c>
      <c r="Y1019" s="31" cm="1">
        <f t="array" ref="Y1019">IF(LEFT(_xll.BDP($C1019, VOLUME_AVG_10D), 4) = "#N/A", "",  _xll.BDP($C1019, VOLUME_AVG_10D))</f>
        <v>13456.7001953125</v>
      </c>
      <c r="Z1019" s="31" cm="1">
        <f t="array" ref="Z1019">IF(LEFT(_xll.BDP($C1019, VOLUME_AVG_30D), 4) = "#N/A", "",  _xll.BDP($C1019, VOLUME_AVG_30D))</f>
        <v>32900.30078125</v>
      </c>
      <c r="AA1019" s="31" cm="1">
        <f t="array" ref="AA1019">IF(LEFT(_xll.BDP($C1019, VOLUME_AVG_3M), 4) = "#N/A", "",  _xll.BDP($C1019, VOLUME_AVG_3M))</f>
        <v>36797.2734375</v>
      </c>
      <c r="AB1019" s="31" cm="1">
        <f t="array" ref="AB1019">IF(LEFT(_xll.BDP($C1019, VOLUME_AVG_6M), 4) = "#N/A", "",  _xll.BDP($C1019, VOLUME_AVG_6M))</f>
        <v>22495.103515625</v>
      </c>
      <c r="AC1019" s="31" cm="1">
        <f t="array" ref="AC1019">IF(LEFT(_xll.BDP($C1019, VOLUME_AVG_12M), 4) = "#N/A", "",  _xll.BDP($C1019, VOLUME_AVG_12M))</f>
        <v>17818.458984375</v>
      </c>
      <c r="AD1019" s="41" cm="1">
        <f t="array" ref="AD1019">IF(LEFT(_xll.BDP($C1019, LAST_PRICE), 4) = "#N/A", "",  _xll.BDP($C1019, LAST_PRICE))</f>
        <v>7.33</v>
      </c>
    </row>
    <row r="1020" spans="1:30" x14ac:dyDescent="0.35">
      <c r="A1020" s="1">
        <f t="shared" si="15"/>
        <v>1017</v>
      </c>
      <c r="B1020" s="28">
        <v>45700</v>
      </c>
      <c r="C1020" s="29" t="s">
        <v>2091</v>
      </c>
      <c r="D1020" s="29" t="s">
        <v>2091</v>
      </c>
      <c r="E1020" s="29" t="s">
        <v>2092</v>
      </c>
      <c r="F1020" s="29" t="s">
        <v>33</v>
      </c>
      <c r="G1020" s="30" t="s">
        <v>34</v>
      </c>
      <c r="H1020" s="31">
        <v>274653816.50383198</v>
      </c>
      <c r="I1020" s="31">
        <v>-63720183.496168204</v>
      </c>
      <c r="J1020" s="32">
        <v>1.70000004768372</v>
      </c>
      <c r="K1020" s="33">
        <v>45700</v>
      </c>
      <c r="L1020" s="31">
        <v>11468300</v>
      </c>
      <c r="M1020" s="32">
        <v>3.6</v>
      </c>
      <c r="N1020" s="31" t="s">
        <v>35</v>
      </c>
      <c r="O1020" s="33">
        <v>45699</v>
      </c>
      <c r="P1020" s="34">
        <v>5240987.5</v>
      </c>
      <c r="Q1020" s="34">
        <v>3037148.25</v>
      </c>
      <c r="R1020" s="34">
        <v>1970647.125</v>
      </c>
      <c r="S1020" s="29"/>
      <c r="T1020" s="33"/>
      <c r="U1020" s="35" t="b">
        <v>0</v>
      </c>
      <c r="V1020" s="35" t="b">
        <v>0</v>
      </c>
      <c r="W1020" s="35" t="b">
        <v>1</v>
      </c>
      <c r="Y1020" s="31" cm="1">
        <f t="array" ref="Y1020">IF(LEFT(_xll.BDP($C1020, VOLUME_AVG_10D), 4) = "#N/A", "",  _xll.BDP($C1020, VOLUME_AVG_10D))</f>
        <v>1778072.875</v>
      </c>
      <c r="Z1020" s="31" cm="1">
        <f t="array" ref="Z1020">IF(LEFT(_xll.BDP($C1020, VOLUME_AVG_30D), 4) = "#N/A", "",  _xll.BDP($C1020, VOLUME_AVG_30D))</f>
        <v>5240987.5</v>
      </c>
      <c r="AA1020" s="31" cm="1">
        <f t="array" ref="AA1020">IF(LEFT(_xll.BDP($C1020, VOLUME_AVG_3M), 4) = "#N/A", "",  _xll.BDP($C1020, VOLUME_AVG_3M))</f>
        <v>3037148.25</v>
      </c>
      <c r="AB1020" s="31" cm="1">
        <f t="array" ref="AB1020">IF(LEFT(_xll.BDP($C1020, VOLUME_AVG_6M), 4) = "#N/A", "",  _xll.BDP($C1020, VOLUME_AVG_6M))</f>
        <v>1970647.125</v>
      </c>
      <c r="AC1020" s="31" cm="1">
        <f t="array" ref="AC1020">IF(LEFT(_xll.BDP($C1020, VOLUME_AVG_12M), 4) = "#N/A", "",  _xll.BDP($C1020, VOLUME_AVG_12M))</f>
        <v>1348544.625</v>
      </c>
      <c r="AD1020" s="41" cm="1">
        <f t="array" ref="AD1020">IF(LEFT(_xll.BDP($C1020, LAST_PRICE), 4) = "#N/A", "",  _xll.BDP($C1020, LAST_PRICE))</f>
        <v>1.7</v>
      </c>
    </row>
    <row r="1021" spans="1:30" x14ac:dyDescent="0.35">
      <c r="A1021" s="1">
        <f t="shared" si="15"/>
        <v>1018</v>
      </c>
      <c r="B1021" s="28">
        <v>45700</v>
      </c>
      <c r="C1021" s="29" t="s">
        <v>2093</v>
      </c>
      <c r="D1021" s="29" t="s">
        <v>2093</v>
      </c>
      <c r="E1021" s="29" t="s">
        <v>2094</v>
      </c>
      <c r="F1021" s="29" t="s">
        <v>40</v>
      </c>
      <c r="G1021" s="30" t="s">
        <v>41</v>
      </c>
      <c r="H1021" s="31">
        <v>11801268.411546901</v>
      </c>
      <c r="I1021" s="31">
        <v>16855268.411546901</v>
      </c>
      <c r="J1021" s="32">
        <v>0.20999999344348899</v>
      </c>
      <c r="K1021" s="33">
        <v>45700</v>
      </c>
      <c r="L1021" s="31"/>
      <c r="M1021" s="32"/>
      <c r="N1021" s="31"/>
      <c r="O1021" s="33">
        <v>45699</v>
      </c>
      <c r="P1021" s="34">
        <v>162738.20000000001</v>
      </c>
      <c r="Q1021" s="34">
        <v>209419</v>
      </c>
      <c r="R1021" s="34">
        <v>156468.9</v>
      </c>
      <c r="S1021" s="29"/>
      <c r="T1021" s="33"/>
      <c r="U1021" s="35" t="b">
        <v>1</v>
      </c>
      <c r="V1021" s="35" t="b">
        <v>0</v>
      </c>
      <c r="W1021" s="35" t="b">
        <v>0</v>
      </c>
      <c r="Y1021" s="31" cm="1">
        <f t="array" ref="Y1021">IF(LEFT(_xll.BDP($C1021, VOLUME_AVG_10D), 4) = "#N/A", "",  _xll.BDP($C1021, VOLUME_AVG_10D))</f>
        <v>111020.7</v>
      </c>
      <c r="Z1021" s="31" cm="1">
        <f t="array" ref="Z1021">IF(LEFT(_xll.BDP($C1021, VOLUME_AVG_30D), 4) = "#N/A", "",  _xll.BDP($C1021, VOLUME_AVG_30D))</f>
        <v>162738.20000000001</v>
      </c>
      <c r="AA1021" s="31" cm="1">
        <f t="array" ref="AA1021">IF(LEFT(_xll.BDP($C1021, VOLUME_AVG_3M), 4) = "#N/A", "",  _xll.BDP($C1021, VOLUME_AVG_3M))</f>
        <v>209419</v>
      </c>
      <c r="AB1021" s="31" cm="1">
        <f t="array" ref="AB1021">IF(LEFT(_xll.BDP($C1021, VOLUME_AVG_6M), 4) = "#N/A", "",  _xll.BDP($C1021, VOLUME_AVG_6M))</f>
        <v>156468.9</v>
      </c>
      <c r="AC1021" s="31" cm="1">
        <f t="array" ref="AC1021">IF(LEFT(_xll.BDP($C1021, VOLUME_AVG_12M), 4) = "#N/A", "",  _xll.BDP($C1021, VOLUME_AVG_12M))</f>
        <v>112518.3</v>
      </c>
      <c r="AD1021" s="41" cm="1">
        <f t="array" ref="AD1021">IF(LEFT(_xll.BDP($C1021, LAST_PRICE), 4) = "#N/A", "",  _xll.BDP($C1021, LAST_PRICE))</f>
        <v>0.21</v>
      </c>
    </row>
    <row r="1022" spans="1:30" x14ac:dyDescent="0.35">
      <c r="A1022" s="1">
        <f t="shared" si="15"/>
        <v>1019</v>
      </c>
      <c r="B1022" s="28">
        <v>45700</v>
      </c>
      <c r="C1022" s="29" t="s">
        <v>3290</v>
      </c>
      <c r="D1022" s="29" t="s">
        <v>3290</v>
      </c>
      <c r="E1022" s="29" t="s">
        <v>3291</v>
      </c>
      <c r="F1022" s="29" t="s">
        <v>33</v>
      </c>
      <c r="G1022" s="30" t="s">
        <v>34</v>
      </c>
      <c r="H1022" s="31">
        <v>7540691.3563852301</v>
      </c>
      <c r="I1022" s="31">
        <v>-4540726.9346147701</v>
      </c>
      <c r="J1022" s="32">
        <v>4.6300001144409197</v>
      </c>
      <c r="K1022" s="33">
        <v>45700</v>
      </c>
      <c r="L1022" s="31">
        <v>93800</v>
      </c>
      <c r="M1022" s="32">
        <v>-145.6</v>
      </c>
      <c r="N1022" s="31" t="s">
        <v>35</v>
      </c>
      <c r="O1022" s="33">
        <v>45699</v>
      </c>
      <c r="P1022" s="34">
        <v>1011811.5625</v>
      </c>
      <c r="Q1022" s="34">
        <v>562275.625</v>
      </c>
      <c r="R1022" s="34">
        <v>668196.4375</v>
      </c>
      <c r="S1022" s="29"/>
      <c r="T1022" s="33"/>
      <c r="U1022" s="35" t="b">
        <v>1</v>
      </c>
      <c r="V1022" s="35" t="b">
        <v>0</v>
      </c>
      <c r="W1022" s="35" t="b">
        <v>1</v>
      </c>
      <c r="Y1022" s="31" cm="1">
        <f t="array" ref="Y1022">IF(LEFT(_xll.BDP($C1022, VOLUME_AVG_10D), 4) = "#N/A", "",  _xll.BDP($C1022, VOLUME_AVG_10D))</f>
        <v>190122.203125</v>
      </c>
      <c r="Z1022" s="31" cm="1">
        <f t="array" ref="Z1022">IF(LEFT(_xll.BDP($C1022, VOLUME_AVG_30D), 4) = "#N/A", "",  _xll.BDP($C1022, VOLUME_AVG_30D))</f>
        <v>1011811.5625</v>
      </c>
      <c r="AA1022" s="31" cm="1">
        <f t="array" ref="AA1022">IF(LEFT(_xll.BDP($C1022, VOLUME_AVG_3M), 4) = "#N/A", "",  _xll.BDP($C1022, VOLUME_AVG_3M))</f>
        <v>562275.625</v>
      </c>
      <c r="AB1022" s="31" cm="1">
        <f t="array" ref="AB1022">IF(LEFT(_xll.BDP($C1022, VOLUME_AVG_6M), 4) = "#N/A", "",  _xll.BDP($C1022, VOLUME_AVG_6M))</f>
        <v>668196.4375</v>
      </c>
      <c r="AC1022" s="31" cm="1">
        <f t="array" ref="AC1022">IF(LEFT(_xll.BDP($C1022, VOLUME_AVG_12M), 4) = "#N/A", "",  _xll.BDP($C1022, VOLUME_AVG_12M))</f>
        <v>358975.71875</v>
      </c>
      <c r="AD1022" s="41" cm="1">
        <f t="array" ref="AD1022">IF(LEFT(_xll.BDP($C1022, LAST_PRICE), 4) = "#N/A", "",  _xll.BDP($C1022, LAST_PRICE))</f>
        <v>4.63</v>
      </c>
    </row>
    <row r="1023" spans="1:30" x14ac:dyDescent="0.35">
      <c r="A1023" s="1">
        <f t="shared" si="15"/>
        <v>1020</v>
      </c>
      <c r="B1023" s="28">
        <v>45700</v>
      </c>
      <c r="C1023" s="29" t="s">
        <v>2095</v>
      </c>
      <c r="D1023" s="29" t="s">
        <v>2095</v>
      </c>
      <c r="E1023" s="29" t="s">
        <v>2096</v>
      </c>
      <c r="F1023" s="29" t="s">
        <v>33</v>
      </c>
      <c r="G1023" s="30" t="s">
        <v>34</v>
      </c>
      <c r="H1023" s="31">
        <v>16543137.1911764</v>
      </c>
      <c r="I1023" s="31">
        <v>16688837.1911764</v>
      </c>
      <c r="J1023" s="32">
        <v>2.3699998855590798</v>
      </c>
      <c r="K1023" s="33">
        <v>45700</v>
      </c>
      <c r="L1023" s="31">
        <v>23400</v>
      </c>
      <c r="M1023" s="32">
        <v>-9.5</v>
      </c>
      <c r="N1023" s="31" t="s">
        <v>35</v>
      </c>
      <c r="O1023" s="33">
        <v>45699</v>
      </c>
      <c r="P1023" s="34">
        <v>24321.3671875</v>
      </c>
      <c r="Q1023" s="34">
        <v>28103.337890625</v>
      </c>
      <c r="R1023" s="34">
        <v>18209.673828125</v>
      </c>
      <c r="S1023" s="29"/>
      <c r="T1023" s="33"/>
      <c r="U1023" s="35" t="b">
        <v>1</v>
      </c>
      <c r="V1023" s="35" t="b">
        <v>0</v>
      </c>
      <c r="W1023" s="35" t="b">
        <v>0</v>
      </c>
      <c r="Y1023" s="31" cm="1">
        <f t="array" ref="Y1023">IF(LEFT(_xll.BDP($C1023, VOLUME_AVG_10D), 4) = "#N/A", "",  _xll.BDP($C1023, VOLUME_AVG_10D))</f>
        <v>19346.599609375</v>
      </c>
      <c r="Z1023" s="31" cm="1">
        <f t="array" ref="Z1023">IF(LEFT(_xll.BDP($C1023, VOLUME_AVG_30D), 4) = "#N/A", "",  _xll.BDP($C1023, VOLUME_AVG_30D))</f>
        <v>24321.3671875</v>
      </c>
      <c r="AA1023" s="31" cm="1">
        <f t="array" ref="AA1023">IF(LEFT(_xll.BDP($C1023, VOLUME_AVG_3M), 4) = "#N/A", "",  _xll.BDP($C1023, VOLUME_AVG_3M))</f>
        <v>28103.337890625</v>
      </c>
      <c r="AB1023" s="31" cm="1">
        <f t="array" ref="AB1023">IF(LEFT(_xll.BDP($C1023, VOLUME_AVG_6M), 4) = "#N/A", "",  _xll.BDP($C1023, VOLUME_AVG_6M))</f>
        <v>18209.673828125</v>
      </c>
      <c r="AC1023" s="31" cm="1">
        <f t="array" ref="AC1023">IF(LEFT(_xll.BDP($C1023, VOLUME_AVG_12M), 4) = "#N/A", "",  _xll.BDP($C1023, VOLUME_AVG_12M))</f>
        <v>13906.4541015625</v>
      </c>
      <c r="AD1023" s="41" cm="1">
        <f t="array" ref="AD1023">IF(LEFT(_xll.BDP($C1023, LAST_PRICE), 4) = "#N/A", "",  _xll.BDP($C1023, LAST_PRICE))</f>
        <v>2.37</v>
      </c>
    </row>
    <row r="1024" spans="1:30" x14ac:dyDescent="0.35">
      <c r="A1024" s="1">
        <f t="shared" si="15"/>
        <v>1021</v>
      </c>
      <c r="B1024" s="28">
        <v>45700</v>
      </c>
      <c r="C1024" s="29" t="s">
        <v>2097</v>
      </c>
      <c r="D1024" s="29" t="s">
        <v>2097</v>
      </c>
      <c r="E1024" s="29" t="s">
        <v>2098</v>
      </c>
      <c r="F1024" s="29" t="s">
        <v>33</v>
      </c>
      <c r="G1024" s="30" t="s">
        <v>34</v>
      </c>
      <c r="H1024" s="31"/>
      <c r="I1024" s="31"/>
      <c r="J1024" s="32">
        <v>9.9999999747524292E-7</v>
      </c>
      <c r="K1024" s="33">
        <v>45700</v>
      </c>
      <c r="L1024" s="31"/>
      <c r="M1024" s="32"/>
      <c r="N1024" s="31"/>
      <c r="O1024" s="33">
        <v>45699</v>
      </c>
      <c r="P1024" s="34">
        <v>16598.5</v>
      </c>
      <c r="Q1024" s="34">
        <v>8144.88720703125</v>
      </c>
      <c r="R1024" s="34">
        <v>4007.80151367188</v>
      </c>
      <c r="S1024" s="29"/>
      <c r="T1024" s="33"/>
      <c r="U1024" s="35" t="b">
        <v>1</v>
      </c>
      <c r="V1024" s="35" t="b">
        <v>1</v>
      </c>
      <c r="W1024" s="35" t="b">
        <v>1</v>
      </c>
      <c r="Y1024" s="31" cm="1">
        <f t="array" ref="Y1024">IF(LEFT(_xll.BDP($C1024, VOLUME_AVG_10D), 4) = "#N/A", "",  _xll.BDP($C1024, VOLUME_AVG_10D))</f>
        <v>49795.5</v>
      </c>
      <c r="Z1024" s="31" cm="1">
        <f t="array" ref="Z1024">IF(LEFT(_xll.BDP($C1024, VOLUME_AVG_30D), 4) = "#N/A", "",  _xll.BDP($C1024, VOLUME_AVG_30D))</f>
        <v>16598.5</v>
      </c>
      <c r="AA1024" s="31" cm="1">
        <f t="array" ref="AA1024">IF(LEFT(_xll.BDP($C1024, VOLUME_AVG_3M), 4) = "#N/A", "",  _xll.BDP($C1024, VOLUME_AVG_3M))</f>
        <v>8144.88720703125</v>
      </c>
      <c r="AB1024" s="31" cm="1">
        <f t="array" ref="AB1024">IF(LEFT(_xll.BDP($C1024, VOLUME_AVG_6M), 4) = "#N/A", "",  _xll.BDP($C1024, VOLUME_AVG_6M))</f>
        <v>4007.801513671875</v>
      </c>
      <c r="AC1024" s="31" cm="1">
        <f t="array" ref="AC1024">IF(LEFT(_xll.BDP($C1024, VOLUME_AVG_12M), 4) = "#N/A", "",  _xll.BDP($C1024, VOLUME_AVG_12M))</f>
        <v>12154.2431640625</v>
      </c>
      <c r="AD1024" s="41" cm="1">
        <f t="array" ref="AD1024">IF(LEFT(_xll.BDP($C1024, LAST_PRICE), 4) = "#N/A", "",  _xll.BDP($C1024, LAST_PRICE))</f>
        <v>9.9999999999999995E-7</v>
      </c>
    </row>
    <row r="1025" spans="1:30" x14ac:dyDescent="0.35">
      <c r="A1025" s="1">
        <f t="shared" si="15"/>
        <v>1022</v>
      </c>
      <c r="B1025" s="28">
        <v>45700</v>
      </c>
      <c r="C1025" s="29" t="s">
        <v>2099</v>
      </c>
      <c r="D1025" s="29" t="s">
        <v>2099</v>
      </c>
      <c r="E1025" s="29" t="s">
        <v>2100</v>
      </c>
      <c r="F1025" s="29" t="s">
        <v>33</v>
      </c>
      <c r="G1025" s="30" t="s">
        <v>34</v>
      </c>
      <c r="H1025" s="31">
        <v>11683259324.2871</v>
      </c>
      <c r="I1025" s="31">
        <v>11102859324.2871</v>
      </c>
      <c r="J1025" s="32">
        <v>117.18000030517599</v>
      </c>
      <c r="K1025" s="33">
        <v>45700</v>
      </c>
      <c r="L1025" s="31">
        <v>38362600</v>
      </c>
      <c r="M1025" s="32">
        <v>3.88</v>
      </c>
      <c r="N1025" s="31" t="s">
        <v>35</v>
      </c>
      <c r="O1025" s="33">
        <v>45699</v>
      </c>
      <c r="P1025" s="34">
        <v>1257187.875</v>
      </c>
      <c r="Q1025" s="34">
        <v>1134748.75</v>
      </c>
      <c r="R1025" s="34">
        <v>1044848</v>
      </c>
      <c r="S1025" s="29" t="s">
        <v>82</v>
      </c>
      <c r="T1025" s="33">
        <v>45446</v>
      </c>
      <c r="U1025" s="35" t="b">
        <v>0</v>
      </c>
      <c r="V1025" s="35" t="b">
        <v>0</v>
      </c>
      <c r="W1025" s="35" t="b">
        <v>0</v>
      </c>
      <c r="Y1025" s="31" cm="1">
        <f t="array" ref="Y1025">IF(LEFT(_xll.BDP($C1025, VOLUME_AVG_10D), 4) = "#N/A", "",  _xll.BDP($C1025, VOLUME_AVG_10D))</f>
        <v>1911030</v>
      </c>
      <c r="Z1025" s="31" cm="1">
        <f t="array" ref="Z1025">IF(LEFT(_xll.BDP($C1025, VOLUME_AVG_30D), 4) = "#N/A", "",  _xll.BDP($C1025, VOLUME_AVG_30D))</f>
        <v>1257187.875</v>
      </c>
      <c r="AA1025" s="31" cm="1">
        <f t="array" ref="AA1025">IF(LEFT(_xll.BDP($C1025, VOLUME_AVG_3M), 4) = "#N/A", "",  _xll.BDP($C1025, VOLUME_AVG_3M))</f>
        <v>1134748.75</v>
      </c>
      <c r="AB1025" s="31" cm="1">
        <f t="array" ref="AB1025">IF(LEFT(_xll.BDP($C1025, VOLUME_AVG_6M), 4) = "#N/A", "",  _xll.BDP($C1025, VOLUME_AVG_6M))</f>
        <v>1044848</v>
      </c>
      <c r="AC1025" s="31" cm="1">
        <f t="array" ref="AC1025">IF(LEFT(_xll.BDP($C1025, VOLUME_AVG_12M), 4) = "#N/A", "",  _xll.BDP($C1025, VOLUME_AVG_12M))</f>
        <v>941098.3125</v>
      </c>
      <c r="AD1025" s="41" cm="1">
        <f t="array" ref="AD1025">IF(LEFT(_xll.BDP($C1025, LAST_PRICE), 4) = "#N/A", "",  _xll.BDP($C1025, LAST_PRICE))</f>
        <v>117.18</v>
      </c>
    </row>
    <row r="1026" spans="1:30" x14ac:dyDescent="0.35">
      <c r="A1026" s="1">
        <f t="shared" si="15"/>
        <v>1023</v>
      </c>
      <c r="B1026" s="28">
        <v>45700</v>
      </c>
      <c r="C1026" s="29" t="s">
        <v>2101</v>
      </c>
      <c r="D1026" s="29" t="s">
        <v>2101</v>
      </c>
      <c r="E1026" s="29" t="s">
        <v>2102</v>
      </c>
      <c r="F1026" s="29" t="s">
        <v>33</v>
      </c>
      <c r="G1026" s="30" t="s">
        <v>34</v>
      </c>
      <c r="H1026" s="31">
        <v>351308906.95665699</v>
      </c>
      <c r="I1026" s="31">
        <v>225434906.95665699</v>
      </c>
      <c r="J1026" s="32">
        <v>18.569999694824201</v>
      </c>
      <c r="K1026" s="33">
        <v>45700</v>
      </c>
      <c r="L1026" s="31">
        <v>1440300</v>
      </c>
      <c r="M1026" s="32">
        <v>3.55</v>
      </c>
      <c r="N1026" s="31" t="s">
        <v>35</v>
      </c>
      <c r="O1026" s="33">
        <v>45699</v>
      </c>
      <c r="P1026" s="34">
        <v>270108.28125</v>
      </c>
      <c r="Q1026" s="34">
        <v>430935.90625</v>
      </c>
      <c r="R1026" s="34">
        <v>278923.3125</v>
      </c>
      <c r="S1026" s="29" t="s">
        <v>68</v>
      </c>
      <c r="T1026" s="33">
        <v>45446</v>
      </c>
      <c r="U1026" s="35" t="b">
        <v>0</v>
      </c>
      <c r="V1026" s="35" t="b">
        <v>0</v>
      </c>
      <c r="W1026" s="35" t="b">
        <v>0</v>
      </c>
      <c r="Y1026" s="31" cm="1">
        <f t="array" ref="Y1026">IF(LEFT(_xll.BDP($C1026, VOLUME_AVG_10D), 4) = "#N/A", "",  _xll.BDP($C1026, VOLUME_AVG_10D))</f>
        <v>367955.40625</v>
      </c>
      <c r="Z1026" s="31" cm="1">
        <f t="array" ref="Z1026">IF(LEFT(_xll.BDP($C1026, VOLUME_AVG_30D), 4) = "#N/A", "",  _xll.BDP($C1026, VOLUME_AVG_30D))</f>
        <v>270108.28125</v>
      </c>
      <c r="AA1026" s="31" cm="1">
        <f t="array" ref="AA1026">IF(LEFT(_xll.BDP($C1026, VOLUME_AVG_3M), 4) = "#N/A", "",  _xll.BDP($C1026, VOLUME_AVG_3M))</f>
        <v>430935.90625</v>
      </c>
      <c r="AB1026" s="31" cm="1">
        <f t="array" ref="AB1026">IF(LEFT(_xll.BDP($C1026, VOLUME_AVG_6M), 4) = "#N/A", "",  _xll.BDP($C1026, VOLUME_AVG_6M))</f>
        <v>278923.3125</v>
      </c>
      <c r="AC1026" s="31" cm="1">
        <f t="array" ref="AC1026">IF(LEFT(_xll.BDP($C1026, VOLUME_AVG_12M), 4) = "#N/A", "",  _xll.BDP($C1026, VOLUME_AVG_12M))</f>
        <v>205548.25</v>
      </c>
      <c r="AD1026" s="41" cm="1">
        <f t="array" ref="AD1026">IF(LEFT(_xll.BDP($C1026, LAST_PRICE), 4) = "#N/A", "",  _xll.BDP($C1026, LAST_PRICE))</f>
        <v>18.57</v>
      </c>
    </row>
    <row r="1027" spans="1:30" x14ac:dyDescent="0.35">
      <c r="A1027" s="1">
        <f t="shared" si="15"/>
        <v>1024</v>
      </c>
      <c r="B1027" s="28">
        <v>45700</v>
      </c>
      <c r="C1027" s="29" t="s">
        <v>2103</v>
      </c>
      <c r="D1027" s="29" t="s">
        <v>2103</v>
      </c>
      <c r="E1027" s="29" t="s">
        <v>2104</v>
      </c>
      <c r="F1027" s="29" t="s">
        <v>33</v>
      </c>
      <c r="G1027" s="30" t="s">
        <v>34</v>
      </c>
      <c r="H1027" s="31">
        <v>8946978.0537672006</v>
      </c>
      <c r="I1027" s="31">
        <v>-8809295.9462327994</v>
      </c>
      <c r="J1027" s="32">
        <v>4.3800001144409197</v>
      </c>
      <c r="K1027" s="33">
        <v>45700</v>
      </c>
      <c r="L1027" s="31">
        <v>81700</v>
      </c>
      <c r="M1027" s="32">
        <v>-6.2</v>
      </c>
      <c r="N1027" s="31" t="s">
        <v>35</v>
      </c>
      <c r="O1027" s="33">
        <v>45699</v>
      </c>
      <c r="P1027" s="34">
        <v>18859.400390625</v>
      </c>
      <c r="Q1027" s="34">
        <v>21486.59765625</v>
      </c>
      <c r="R1027" s="34">
        <v>20674.9921875</v>
      </c>
      <c r="S1027" s="29"/>
      <c r="T1027" s="33"/>
      <c r="U1027" s="35" t="b">
        <v>1</v>
      </c>
      <c r="V1027" s="35" t="b">
        <v>0</v>
      </c>
      <c r="W1027" s="35" t="b">
        <v>1</v>
      </c>
      <c r="Y1027" s="31" cm="1">
        <f t="array" ref="Y1027">IF(LEFT(_xll.BDP($C1027, VOLUME_AVG_10D), 4) = "#N/A", "",  _xll.BDP($C1027, VOLUME_AVG_10D))</f>
        <v>19189.400390625</v>
      </c>
      <c r="Z1027" s="31" cm="1">
        <f t="array" ref="Z1027">IF(LEFT(_xll.BDP($C1027, VOLUME_AVG_30D), 4) = "#N/A", "",  _xll.BDP($C1027, VOLUME_AVG_30D))</f>
        <v>18859.400390625</v>
      </c>
      <c r="AA1027" s="31" cm="1">
        <f t="array" ref="AA1027">IF(LEFT(_xll.BDP($C1027, VOLUME_AVG_3M), 4) = "#N/A", "",  _xll.BDP($C1027, VOLUME_AVG_3M))</f>
        <v>21486.59765625</v>
      </c>
      <c r="AB1027" s="31" cm="1">
        <f t="array" ref="AB1027">IF(LEFT(_xll.BDP($C1027, VOLUME_AVG_6M), 4) = "#N/A", "",  _xll.BDP($C1027, VOLUME_AVG_6M))</f>
        <v>20674.9921875</v>
      </c>
      <c r="AC1027" s="31" cm="1">
        <f t="array" ref="AC1027">IF(LEFT(_xll.BDP($C1027, VOLUME_AVG_12M), 4) = "#N/A", "",  _xll.BDP($C1027, VOLUME_AVG_12M))</f>
        <v>25045.828125</v>
      </c>
      <c r="AD1027" s="41" cm="1">
        <f t="array" ref="AD1027">IF(LEFT(_xll.BDP($C1027, LAST_PRICE), 4) = "#N/A", "",  _xll.BDP($C1027, LAST_PRICE))</f>
        <v>4.38</v>
      </c>
    </row>
    <row r="1028" spans="1:30" x14ac:dyDescent="0.35">
      <c r="A1028" s="1">
        <f t="shared" si="15"/>
        <v>1025</v>
      </c>
      <c r="B1028" s="28">
        <v>45700</v>
      </c>
      <c r="C1028" s="29" t="s">
        <v>2105</v>
      </c>
      <c r="D1028" s="29" t="s">
        <v>2105</v>
      </c>
      <c r="E1028" s="29" t="s">
        <v>2106</v>
      </c>
      <c r="F1028" s="29" t="s">
        <v>33</v>
      </c>
      <c r="G1028" s="30" t="s">
        <v>34</v>
      </c>
      <c r="H1028" s="31">
        <v>253018582.054627</v>
      </c>
      <c r="I1028" s="31">
        <v>280848582.054627</v>
      </c>
      <c r="J1028" s="32">
        <v>3.9749999046325701</v>
      </c>
      <c r="K1028" s="33">
        <v>45700</v>
      </c>
      <c r="L1028" s="31">
        <v>2811300</v>
      </c>
      <c r="M1028" s="32">
        <v>2.0499999999999998</v>
      </c>
      <c r="N1028" s="31" t="s">
        <v>35</v>
      </c>
      <c r="O1028" s="33">
        <v>45699</v>
      </c>
      <c r="P1028" s="34">
        <v>1502016.5</v>
      </c>
      <c r="Q1028" s="34">
        <v>1040647.625</v>
      </c>
      <c r="R1028" s="34">
        <v>735751.5625</v>
      </c>
      <c r="S1028" s="29"/>
      <c r="T1028" s="33"/>
      <c r="U1028" s="35" t="b">
        <v>0</v>
      </c>
      <c r="V1028" s="35" t="b">
        <v>0</v>
      </c>
      <c r="W1028" s="35" t="b">
        <v>0</v>
      </c>
      <c r="Y1028" s="31" cm="1">
        <f t="array" ref="Y1028">IF(LEFT(_xll.BDP($C1028, VOLUME_AVG_10D), 4) = "#N/A", "",  _xll.BDP($C1028, VOLUME_AVG_10D))</f>
        <v>2138688.75</v>
      </c>
      <c r="Z1028" s="31" cm="1">
        <f t="array" ref="Z1028">IF(LEFT(_xll.BDP($C1028, VOLUME_AVG_30D), 4) = "#N/A", "",  _xll.BDP($C1028, VOLUME_AVG_30D))</f>
        <v>1502016.5</v>
      </c>
      <c r="AA1028" s="31" cm="1">
        <f t="array" ref="AA1028">IF(LEFT(_xll.BDP($C1028, VOLUME_AVG_3M), 4) = "#N/A", "",  _xll.BDP($C1028, VOLUME_AVG_3M))</f>
        <v>1040647.625</v>
      </c>
      <c r="AB1028" s="31" cm="1">
        <f t="array" ref="AB1028">IF(LEFT(_xll.BDP($C1028, VOLUME_AVG_6M), 4) = "#N/A", "",  _xll.BDP($C1028, VOLUME_AVG_6M))</f>
        <v>735751.5625</v>
      </c>
      <c r="AC1028" s="31" cm="1">
        <f t="array" ref="AC1028">IF(LEFT(_xll.BDP($C1028, VOLUME_AVG_12M), 4) = "#N/A", "",  _xll.BDP($C1028, VOLUME_AVG_12M))</f>
        <v>449659.71875</v>
      </c>
      <c r="AD1028" s="41" cm="1">
        <f t="array" ref="AD1028">IF(LEFT(_xll.BDP($C1028, LAST_PRICE), 4) = "#N/A", "",  _xll.BDP($C1028, LAST_PRICE))</f>
        <v>3.9750000000000001</v>
      </c>
    </row>
    <row r="1029" spans="1:30" x14ac:dyDescent="0.35">
      <c r="A1029" s="1">
        <f t="shared" si="15"/>
        <v>1026</v>
      </c>
      <c r="B1029" s="28">
        <v>45700</v>
      </c>
      <c r="C1029" s="29" t="s">
        <v>2107</v>
      </c>
      <c r="D1029" s="29" t="s">
        <v>2107</v>
      </c>
      <c r="E1029" s="29" t="s">
        <v>2108</v>
      </c>
      <c r="F1029" s="29" t="s">
        <v>33</v>
      </c>
      <c r="G1029" s="30" t="s">
        <v>34</v>
      </c>
      <c r="H1029" s="31">
        <v>34566047.187164098</v>
      </c>
      <c r="I1029" s="31">
        <v>33669074.187164098</v>
      </c>
      <c r="J1029" s="32">
        <v>1.12000000476837</v>
      </c>
      <c r="K1029" s="33">
        <v>45700</v>
      </c>
      <c r="L1029" s="31">
        <v>2053500</v>
      </c>
      <c r="M1029" s="32">
        <v>-0.95</v>
      </c>
      <c r="N1029" s="31" t="s">
        <v>35</v>
      </c>
      <c r="O1029" s="33">
        <v>45699</v>
      </c>
      <c r="P1029" s="34">
        <v>251291.734375</v>
      </c>
      <c r="Q1029" s="34">
        <v>242541.15625</v>
      </c>
      <c r="R1029" s="34">
        <v>149222.515625</v>
      </c>
      <c r="S1029" s="29"/>
      <c r="T1029" s="33"/>
      <c r="U1029" s="35" t="b">
        <v>0</v>
      </c>
      <c r="V1029" s="35" t="b">
        <v>0</v>
      </c>
      <c r="W1029" s="35" t="b">
        <v>0</v>
      </c>
      <c r="Y1029" s="31" cm="1">
        <f t="array" ref="Y1029">IF(LEFT(_xll.BDP($C1029, VOLUME_AVG_10D), 4) = "#N/A", "",  _xll.BDP($C1029, VOLUME_AVG_10D))</f>
        <v>203619.59375</v>
      </c>
      <c r="Z1029" s="31" cm="1">
        <f t="array" ref="Z1029">IF(LEFT(_xll.BDP($C1029, VOLUME_AVG_30D), 4) = "#N/A", "",  _xll.BDP($C1029, VOLUME_AVG_30D))</f>
        <v>251291.734375</v>
      </c>
      <c r="AA1029" s="31" cm="1">
        <f t="array" ref="AA1029">IF(LEFT(_xll.BDP($C1029, VOLUME_AVG_3M), 4) = "#N/A", "",  _xll.BDP($C1029, VOLUME_AVG_3M))</f>
        <v>242541.15625</v>
      </c>
      <c r="AB1029" s="31" cm="1">
        <f t="array" ref="AB1029">IF(LEFT(_xll.BDP($C1029, VOLUME_AVG_6M), 4) = "#N/A", "",  _xll.BDP($C1029, VOLUME_AVG_6M))</f>
        <v>149222.515625</v>
      </c>
      <c r="AC1029" s="31" cm="1">
        <f t="array" ref="AC1029">IF(LEFT(_xll.BDP($C1029, VOLUME_AVG_12M), 4) = "#N/A", "",  _xll.BDP($C1029, VOLUME_AVG_12M))</f>
        <v>156410.328125</v>
      </c>
      <c r="AD1029" s="41" cm="1">
        <f t="array" ref="AD1029">IF(LEFT(_xll.BDP($C1029, LAST_PRICE), 4) = "#N/A", "",  _xll.BDP($C1029, LAST_PRICE))</f>
        <v>1.1200000000000001</v>
      </c>
    </row>
    <row r="1030" spans="1:30" x14ac:dyDescent="0.35">
      <c r="A1030" s="1">
        <f t="shared" ref="A1030:A1093" si="16">IF(B1030="","", A1029+1)</f>
        <v>1027</v>
      </c>
      <c r="B1030" s="28">
        <v>45700</v>
      </c>
      <c r="C1030" s="29" t="s">
        <v>2109</v>
      </c>
      <c r="D1030" s="29" t="s">
        <v>2109</v>
      </c>
      <c r="E1030" s="29" t="s">
        <v>2110</v>
      </c>
      <c r="F1030" s="29" t="s">
        <v>33</v>
      </c>
      <c r="G1030" s="30" t="s">
        <v>34</v>
      </c>
      <c r="H1030" s="31">
        <v>360863545.64445901</v>
      </c>
      <c r="I1030" s="31">
        <v>377532545.64445901</v>
      </c>
      <c r="J1030" s="32">
        <v>12.0900001525879</v>
      </c>
      <c r="K1030" s="33">
        <v>45700</v>
      </c>
      <c r="L1030" s="31">
        <v>5160500</v>
      </c>
      <c r="M1030" s="32">
        <v>3</v>
      </c>
      <c r="N1030" s="31" t="s">
        <v>35</v>
      </c>
      <c r="O1030" s="33">
        <v>45699</v>
      </c>
      <c r="P1030" s="34">
        <v>155894.03125</v>
      </c>
      <c r="Q1030" s="34">
        <v>121304.109375</v>
      </c>
      <c r="R1030" s="34">
        <v>94642.578125</v>
      </c>
      <c r="S1030" s="29"/>
      <c r="T1030" s="33"/>
      <c r="U1030" s="35" t="b">
        <v>0</v>
      </c>
      <c r="V1030" s="35" t="b">
        <v>0</v>
      </c>
      <c r="W1030" s="35" t="b">
        <v>0</v>
      </c>
      <c r="Y1030" s="31" cm="1">
        <f t="array" ref="Y1030">IF(LEFT(_xll.BDP($C1030, VOLUME_AVG_10D), 4) = "#N/A", "",  _xll.BDP($C1030, VOLUME_AVG_10D))</f>
        <v>211527.40625</v>
      </c>
      <c r="Z1030" s="31" cm="1">
        <f t="array" ref="Z1030">IF(LEFT(_xll.BDP($C1030, VOLUME_AVG_30D), 4) = "#N/A", "",  _xll.BDP($C1030, VOLUME_AVG_30D))</f>
        <v>155894.03125</v>
      </c>
      <c r="AA1030" s="31" cm="1">
        <f t="array" ref="AA1030">IF(LEFT(_xll.BDP($C1030, VOLUME_AVG_3M), 4) = "#N/A", "",  _xll.BDP($C1030, VOLUME_AVG_3M))</f>
        <v>121304.109375</v>
      </c>
      <c r="AB1030" s="31" cm="1">
        <f t="array" ref="AB1030">IF(LEFT(_xll.BDP($C1030, VOLUME_AVG_6M), 4) = "#N/A", "",  _xll.BDP($C1030, VOLUME_AVG_6M))</f>
        <v>94642.578125</v>
      </c>
      <c r="AC1030" s="31" cm="1">
        <f t="array" ref="AC1030">IF(LEFT(_xll.BDP($C1030, VOLUME_AVG_12M), 4) = "#N/A", "",  _xll.BDP($C1030, VOLUME_AVG_12M))</f>
        <v>103124.0234375</v>
      </c>
      <c r="AD1030" s="41" cm="1">
        <f t="array" ref="AD1030">IF(LEFT(_xll.BDP($C1030, LAST_PRICE), 4) = "#N/A", "",  _xll.BDP($C1030, LAST_PRICE))</f>
        <v>12.09</v>
      </c>
    </row>
    <row r="1031" spans="1:30" x14ac:dyDescent="0.35">
      <c r="A1031" s="1">
        <f t="shared" si="16"/>
        <v>1028</v>
      </c>
      <c r="B1031" s="28">
        <v>45700</v>
      </c>
      <c r="C1031" s="29" t="s">
        <v>2111</v>
      </c>
      <c r="D1031" s="29" t="s">
        <v>2111</v>
      </c>
      <c r="E1031" s="29" t="s">
        <v>2112</v>
      </c>
      <c r="F1031" s="29" t="s">
        <v>33</v>
      </c>
      <c r="G1031" s="30" t="s">
        <v>34</v>
      </c>
      <c r="H1031" s="31">
        <v>23962939.682996001</v>
      </c>
      <c r="I1031" s="31"/>
      <c r="J1031" s="32">
        <v>1.1570999622345</v>
      </c>
      <c r="K1031" s="33">
        <v>45700</v>
      </c>
      <c r="L1031" s="31"/>
      <c r="M1031" s="32"/>
      <c r="N1031" s="31"/>
      <c r="O1031" s="33">
        <v>45699</v>
      </c>
      <c r="P1031" s="34">
        <v>164088.296875</v>
      </c>
      <c r="Q1031" s="34">
        <v>281178.875</v>
      </c>
      <c r="R1031" s="34">
        <v>257810.90625</v>
      </c>
      <c r="S1031" s="29"/>
      <c r="T1031" s="33"/>
      <c r="U1031" s="35" t="b">
        <v>0</v>
      </c>
      <c r="V1031" s="35" t="b">
        <v>0</v>
      </c>
      <c r="W1031" s="35" t="b">
        <v>1</v>
      </c>
      <c r="Y1031" s="31" cm="1">
        <f t="array" ref="Y1031">IF(LEFT(_xll.BDP($C1031, VOLUME_AVG_10D), 4) = "#N/A", "",  _xll.BDP($C1031, VOLUME_AVG_10D))</f>
        <v>161065.796875</v>
      </c>
      <c r="Z1031" s="31" cm="1">
        <f t="array" ref="Z1031">IF(LEFT(_xll.BDP($C1031, VOLUME_AVG_30D), 4) = "#N/A", "",  _xll.BDP($C1031, VOLUME_AVG_30D))</f>
        <v>164088.296875</v>
      </c>
      <c r="AA1031" s="31" cm="1">
        <f t="array" ref="AA1031">IF(LEFT(_xll.BDP($C1031, VOLUME_AVG_3M), 4) = "#N/A", "",  _xll.BDP($C1031, VOLUME_AVG_3M))</f>
        <v>281178.875</v>
      </c>
      <c r="AB1031" s="31" cm="1">
        <f t="array" ref="AB1031">IF(LEFT(_xll.BDP($C1031, VOLUME_AVG_6M), 4) = "#N/A", "",  _xll.BDP($C1031, VOLUME_AVG_6M))</f>
        <v>257810.90625</v>
      </c>
      <c r="AC1031" s="31" cm="1">
        <f t="array" ref="AC1031">IF(LEFT(_xll.BDP($C1031, VOLUME_AVG_12M), 4) = "#N/A", "",  _xll.BDP($C1031, VOLUME_AVG_12M))</f>
        <v>277824.125</v>
      </c>
      <c r="AD1031" s="41" cm="1">
        <f t="array" ref="AD1031">IF(LEFT(_xll.BDP($C1031, LAST_PRICE), 4) = "#N/A", "",  _xll.BDP($C1031, LAST_PRICE))</f>
        <v>1.1571</v>
      </c>
    </row>
    <row r="1032" spans="1:30" x14ac:dyDescent="0.35">
      <c r="A1032" s="1">
        <f t="shared" si="16"/>
        <v>1029</v>
      </c>
      <c r="B1032" s="28">
        <v>45700</v>
      </c>
      <c r="C1032" s="29" t="s">
        <v>2113</v>
      </c>
      <c r="D1032" s="29" t="s">
        <v>2113</v>
      </c>
      <c r="E1032" s="29" t="s">
        <v>2114</v>
      </c>
      <c r="F1032" s="29" t="s">
        <v>33</v>
      </c>
      <c r="G1032" s="30" t="s">
        <v>34</v>
      </c>
      <c r="H1032" s="31">
        <v>216535963.137508</v>
      </c>
      <c r="I1032" s="31">
        <v>186431963.137508</v>
      </c>
      <c r="J1032" s="32">
        <v>5.7199997901916504</v>
      </c>
      <c r="K1032" s="33">
        <v>45700</v>
      </c>
      <c r="L1032" s="31">
        <v>11182200</v>
      </c>
      <c r="M1032" s="32">
        <v>3.88</v>
      </c>
      <c r="N1032" s="31" t="s">
        <v>35</v>
      </c>
      <c r="O1032" s="33">
        <v>45699</v>
      </c>
      <c r="P1032" s="34">
        <v>1138132.75</v>
      </c>
      <c r="Q1032" s="34">
        <v>864533.75</v>
      </c>
      <c r="R1032" s="34">
        <v>685395.0625</v>
      </c>
      <c r="S1032" s="29"/>
      <c r="T1032" s="33"/>
      <c r="U1032" s="35" t="b">
        <v>0</v>
      </c>
      <c r="V1032" s="35" t="b">
        <v>0</v>
      </c>
      <c r="W1032" s="35" t="b">
        <v>0</v>
      </c>
      <c r="Y1032" s="31" cm="1">
        <f t="array" ref="Y1032">IF(LEFT(_xll.BDP($C1032, VOLUME_AVG_10D), 4) = "#N/A", "",  _xll.BDP($C1032, VOLUME_AVG_10D))</f>
        <v>2237505.5</v>
      </c>
      <c r="Z1032" s="31" cm="1">
        <f t="array" ref="Z1032">IF(LEFT(_xll.BDP($C1032, VOLUME_AVG_30D), 4) = "#N/A", "",  _xll.BDP($C1032, VOLUME_AVG_30D))</f>
        <v>1138132.75</v>
      </c>
      <c r="AA1032" s="31" cm="1">
        <f t="array" ref="AA1032">IF(LEFT(_xll.BDP($C1032, VOLUME_AVG_3M), 4) = "#N/A", "",  _xll.BDP($C1032, VOLUME_AVG_3M))</f>
        <v>864533.75</v>
      </c>
      <c r="AB1032" s="31" cm="1">
        <f t="array" ref="AB1032">IF(LEFT(_xll.BDP($C1032, VOLUME_AVG_6M), 4) = "#N/A", "",  _xll.BDP($C1032, VOLUME_AVG_6M))</f>
        <v>685395.0625</v>
      </c>
      <c r="AC1032" s="31" cm="1">
        <f t="array" ref="AC1032">IF(LEFT(_xll.BDP($C1032, VOLUME_AVG_12M), 4) = "#N/A", "",  _xll.BDP($C1032, VOLUME_AVG_12M))</f>
        <v>633650.25</v>
      </c>
      <c r="AD1032" s="41" cm="1">
        <f t="array" ref="AD1032">IF(LEFT(_xll.BDP($C1032, LAST_PRICE), 4) = "#N/A", "",  _xll.BDP($C1032, LAST_PRICE))</f>
        <v>5.72</v>
      </c>
    </row>
    <row r="1033" spans="1:30" x14ac:dyDescent="0.35">
      <c r="A1033" s="1">
        <f t="shared" si="16"/>
        <v>1030</v>
      </c>
      <c r="B1033" s="28">
        <v>45700</v>
      </c>
      <c r="C1033" s="29" t="s">
        <v>2115</v>
      </c>
      <c r="D1033" s="29" t="s">
        <v>2115</v>
      </c>
      <c r="E1033" s="29" t="s">
        <v>2116</v>
      </c>
      <c r="F1033" s="29" t="s">
        <v>33</v>
      </c>
      <c r="G1033" s="30" t="s">
        <v>34</v>
      </c>
      <c r="H1033" s="31">
        <v>3353.6766152790001</v>
      </c>
      <c r="I1033" s="31">
        <v>-426690646.323385</v>
      </c>
      <c r="J1033" s="32">
        <v>9.9999997473787503E-5</v>
      </c>
      <c r="K1033" s="33">
        <v>45700</v>
      </c>
      <c r="L1033" s="31"/>
      <c r="M1033" s="32"/>
      <c r="N1033" s="31"/>
      <c r="O1033" s="33">
        <v>45699</v>
      </c>
      <c r="P1033" s="34">
        <v>157.76666259765599</v>
      </c>
      <c r="Q1033" s="34">
        <v>272.03225708007801</v>
      </c>
      <c r="R1033" s="34">
        <v>535.84124755859398</v>
      </c>
      <c r="S1033" s="29"/>
      <c r="T1033" s="33"/>
      <c r="U1033" s="35" t="b">
        <v>1</v>
      </c>
      <c r="V1033" s="35" t="b">
        <v>1</v>
      </c>
      <c r="W1033" s="35" t="b">
        <v>1</v>
      </c>
      <c r="Y1033" s="31" cm="1">
        <f t="array" ref="Y1033">IF(LEFT(_xll.BDP($C1033, VOLUME_AVG_10D), 4) = "#N/A", "",  _xll.BDP($C1033, VOLUME_AVG_10D))</f>
        <v>73.300003051757813</v>
      </c>
      <c r="Z1033" s="31" cm="1">
        <f t="array" ref="Z1033">IF(LEFT(_xll.BDP($C1033, VOLUME_AVG_30D), 4) = "#N/A", "",  _xll.BDP($C1033, VOLUME_AVG_30D))</f>
        <v>157.76666259765625</v>
      </c>
      <c r="AA1033" s="31" cm="1">
        <f t="array" ref="AA1033">IF(LEFT(_xll.BDP($C1033, VOLUME_AVG_3M), 4) = "#N/A", "",  _xll.BDP($C1033, VOLUME_AVG_3M))</f>
        <v>272.03225708007813</v>
      </c>
      <c r="AB1033" s="31" cm="1">
        <f t="array" ref="AB1033">IF(LEFT(_xll.BDP($C1033, VOLUME_AVG_6M), 4) = "#N/A", "",  _xll.BDP($C1033, VOLUME_AVG_6M))</f>
        <v>535.84124755859375</v>
      </c>
      <c r="AC1033" s="31" cm="1">
        <f t="array" ref="AC1033">IF(LEFT(_xll.BDP($C1033, VOLUME_AVG_12M), 4) = "#N/A", "",  _xll.BDP($C1033, VOLUME_AVG_12M))</f>
        <v>408.72113037109375</v>
      </c>
      <c r="AD1033" s="41" cm="1">
        <f t="array" ref="AD1033">IF(LEFT(_xll.BDP($C1033, LAST_PRICE), 4) = "#N/A", "",  _xll.BDP($C1033, LAST_PRICE))</f>
        <v>1E-4</v>
      </c>
    </row>
    <row r="1034" spans="1:30" x14ac:dyDescent="0.35">
      <c r="A1034" s="1">
        <f t="shared" si="16"/>
        <v>1031</v>
      </c>
      <c r="B1034" s="28">
        <v>45700</v>
      </c>
      <c r="C1034" s="29" t="s">
        <v>2117</v>
      </c>
      <c r="D1034" s="29" t="s">
        <v>2117</v>
      </c>
      <c r="E1034" s="29" t="s">
        <v>2118</v>
      </c>
      <c r="F1034" s="29" t="s">
        <v>33</v>
      </c>
      <c r="G1034" s="30" t="s">
        <v>34</v>
      </c>
      <c r="H1034" s="31">
        <v>2024227439.73259</v>
      </c>
      <c r="I1034" s="31">
        <v>1683837439.73259</v>
      </c>
      <c r="J1034" s="32">
        <v>19.370000839233398</v>
      </c>
      <c r="K1034" s="33">
        <v>45700</v>
      </c>
      <c r="L1034" s="31"/>
      <c r="M1034" s="32"/>
      <c r="N1034" s="31"/>
      <c r="O1034" s="33">
        <v>45699</v>
      </c>
      <c r="P1034" s="34">
        <v>637392.9375</v>
      </c>
      <c r="Q1034" s="34">
        <v>911537.9375</v>
      </c>
      <c r="R1034" s="34">
        <v>613667.375</v>
      </c>
      <c r="S1034" s="29"/>
      <c r="T1034" s="33"/>
      <c r="U1034" s="35" t="b">
        <v>0</v>
      </c>
      <c r="V1034" s="35" t="b">
        <v>0</v>
      </c>
      <c r="W1034" s="35" t="b">
        <v>0</v>
      </c>
      <c r="Y1034" s="31" cm="1">
        <f t="array" ref="Y1034">IF(LEFT(_xll.BDP($C1034, VOLUME_AVG_10D), 4) = "#N/A", "",  _xll.BDP($C1034, VOLUME_AVG_10D))</f>
        <v>652063.3125</v>
      </c>
      <c r="Z1034" s="31" cm="1">
        <f t="array" ref="Z1034">IF(LEFT(_xll.BDP($C1034, VOLUME_AVG_30D), 4) = "#N/A", "",  _xll.BDP($C1034, VOLUME_AVG_30D))</f>
        <v>637392.9375</v>
      </c>
      <c r="AA1034" s="31" cm="1">
        <f t="array" ref="AA1034">IF(LEFT(_xll.BDP($C1034, VOLUME_AVG_3M), 4) = "#N/A", "",  _xll.BDP($C1034, VOLUME_AVG_3M))</f>
        <v>911537.9375</v>
      </c>
      <c r="AB1034" s="31" cm="1">
        <f t="array" ref="AB1034">IF(LEFT(_xll.BDP($C1034, VOLUME_AVG_6M), 4) = "#N/A", "",  _xll.BDP($C1034, VOLUME_AVG_6M))</f>
        <v>613667.375</v>
      </c>
      <c r="AC1034" s="31" cm="1">
        <f t="array" ref="AC1034">IF(LEFT(_xll.BDP($C1034, VOLUME_AVG_12M), 4) = "#N/A", "",  _xll.BDP($C1034, VOLUME_AVG_12M))</f>
        <v>424194.8125</v>
      </c>
      <c r="AD1034" s="41" cm="1">
        <f t="array" ref="AD1034">IF(LEFT(_xll.BDP($C1034, LAST_PRICE), 4) = "#N/A", "",  _xll.BDP($C1034, LAST_PRICE))</f>
        <v>19.37</v>
      </c>
    </row>
    <row r="1035" spans="1:30" x14ac:dyDescent="0.35">
      <c r="A1035" s="1">
        <f t="shared" si="16"/>
        <v>1032</v>
      </c>
      <c r="B1035" s="28">
        <v>45700</v>
      </c>
      <c r="C1035" s="29" t="s">
        <v>2119</v>
      </c>
      <c r="D1035" s="29" t="s">
        <v>2119</v>
      </c>
      <c r="E1035" s="29" t="s">
        <v>2120</v>
      </c>
      <c r="F1035" s="29" t="s">
        <v>33</v>
      </c>
      <c r="G1035" s="30" t="s">
        <v>34</v>
      </c>
      <c r="H1035" s="31"/>
      <c r="I1035" s="31"/>
      <c r="J1035" s="32">
        <v>9.9999999747524292E-7</v>
      </c>
      <c r="K1035" s="33">
        <v>45700</v>
      </c>
      <c r="L1035" s="31"/>
      <c r="M1035" s="32"/>
      <c r="N1035" s="31"/>
      <c r="O1035" s="33">
        <v>45699</v>
      </c>
      <c r="P1035" s="34">
        <v>5043.33349609375</v>
      </c>
      <c r="Q1035" s="34">
        <v>3078.70971679688</v>
      </c>
      <c r="R1035" s="34">
        <v>1514.92065429688</v>
      </c>
      <c r="S1035" s="29"/>
      <c r="T1035" s="33"/>
      <c r="U1035" s="35" t="b">
        <v>1</v>
      </c>
      <c r="V1035" s="35" t="b">
        <v>1</v>
      </c>
      <c r="W1035" s="35" t="b">
        <v>1</v>
      </c>
      <c r="Y1035" s="31" cm="1">
        <f t="array" ref="Y1035">IF(LEFT(_xll.BDP($C1035, VOLUME_AVG_10D), 4) = "#N/A", "",  _xll.BDP($C1035, VOLUME_AVG_10D))</f>
        <v>130</v>
      </c>
      <c r="Z1035" s="31" cm="1">
        <f t="array" ref="Z1035">IF(LEFT(_xll.BDP($C1035, VOLUME_AVG_30D), 4) = "#N/A", "",  _xll.BDP($C1035, VOLUME_AVG_30D))</f>
        <v>5043.33349609375</v>
      </c>
      <c r="AA1035" s="31" cm="1">
        <f t="array" ref="AA1035">IF(LEFT(_xll.BDP($C1035, VOLUME_AVG_3M), 4) = "#N/A", "",  _xll.BDP($C1035, VOLUME_AVG_3M))</f>
        <v>3078.709716796875</v>
      </c>
      <c r="AB1035" s="31" cm="1">
        <f t="array" ref="AB1035">IF(LEFT(_xll.BDP($C1035, VOLUME_AVG_6M), 4) = "#N/A", "",  _xll.BDP($C1035, VOLUME_AVG_6M))</f>
        <v>1514.920654296875</v>
      </c>
      <c r="AC1035" s="31" cm="1">
        <f t="array" ref="AC1035">IF(LEFT(_xll.BDP($C1035, VOLUME_AVG_12M), 4) = "#N/A", "",  _xll.BDP($C1035, VOLUME_AVG_12M))</f>
        <v>766.45416259765625</v>
      </c>
      <c r="AD1035" s="41" cm="1">
        <f t="array" ref="AD1035">IF(LEFT(_xll.BDP($C1035, LAST_PRICE), 4) = "#N/A", "",  _xll.BDP($C1035, LAST_PRICE))</f>
        <v>9.9999999999999995E-7</v>
      </c>
    </row>
    <row r="1036" spans="1:30" x14ac:dyDescent="0.35">
      <c r="A1036" s="1">
        <f t="shared" si="16"/>
        <v>1033</v>
      </c>
      <c r="B1036" s="28">
        <v>45700</v>
      </c>
      <c r="C1036" s="29" t="s">
        <v>2121</v>
      </c>
      <c r="D1036" s="29" t="s">
        <v>2121</v>
      </c>
      <c r="E1036" s="29" t="s">
        <v>2122</v>
      </c>
      <c r="F1036" s="29" t="s">
        <v>33</v>
      </c>
      <c r="G1036" s="30" t="s">
        <v>34</v>
      </c>
      <c r="H1036" s="31">
        <v>1447722.5247834199</v>
      </c>
      <c r="I1036" s="31">
        <v>1405498.5247834199</v>
      </c>
      <c r="J1036" s="32">
        <v>2.1300001144409202</v>
      </c>
      <c r="K1036" s="33">
        <v>45700</v>
      </c>
      <c r="L1036" s="31"/>
      <c r="M1036" s="32"/>
      <c r="N1036" s="31"/>
      <c r="O1036" s="33">
        <v>45699</v>
      </c>
      <c r="P1036" s="34">
        <v>599266.625</v>
      </c>
      <c r="Q1036" s="34">
        <v>439822.96875</v>
      </c>
      <c r="R1036" s="34">
        <v>313106.65625</v>
      </c>
      <c r="S1036" s="29"/>
      <c r="T1036" s="33"/>
      <c r="U1036" s="35" t="b">
        <v>1</v>
      </c>
      <c r="V1036" s="35" t="b">
        <v>0</v>
      </c>
      <c r="W1036" s="35" t="b">
        <v>0</v>
      </c>
      <c r="Y1036" s="31" cm="1">
        <f t="array" ref="Y1036">IF(LEFT(_xll.BDP($C1036, VOLUME_AVG_10D), 4) = "#N/A", "",  _xll.BDP($C1036, VOLUME_AVG_10D))</f>
        <v>1300983.875</v>
      </c>
      <c r="Z1036" s="31" cm="1">
        <f t="array" ref="Z1036">IF(LEFT(_xll.BDP($C1036, VOLUME_AVG_30D), 4) = "#N/A", "",  _xll.BDP($C1036, VOLUME_AVG_30D))</f>
        <v>599266.625</v>
      </c>
      <c r="AA1036" s="31" cm="1">
        <f t="array" ref="AA1036">IF(LEFT(_xll.BDP($C1036, VOLUME_AVG_3M), 4) = "#N/A", "",  _xll.BDP($C1036, VOLUME_AVG_3M))</f>
        <v>439822.96875</v>
      </c>
      <c r="AB1036" s="31" cm="1">
        <f t="array" ref="AB1036">IF(LEFT(_xll.BDP($C1036, VOLUME_AVG_6M), 4) = "#N/A", "",  _xll.BDP($C1036, VOLUME_AVG_6M))</f>
        <v>313106.65625</v>
      </c>
      <c r="AC1036" s="31" cm="1">
        <f t="array" ref="AC1036">IF(LEFT(_xll.BDP($C1036, VOLUME_AVG_12M), 4) = "#N/A", "",  _xll.BDP($C1036, VOLUME_AVG_12M))</f>
        <v>230453.890625</v>
      </c>
      <c r="AD1036" s="41" cm="1">
        <f t="array" ref="AD1036">IF(LEFT(_xll.BDP($C1036, LAST_PRICE), 4) = "#N/A", "",  _xll.BDP($C1036, LAST_PRICE))</f>
        <v>2.13</v>
      </c>
    </row>
    <row r="1037" spans="1:30" x14ac:dyDescent="0.35">
      <c r="A1037" s="1">
        <f t="shared" si="16"/>
        <v>1034</v>
      </c>
      <c r="B1037" s="28">
        <v>45700</v>
      </c>
      <c r="C1037" s="29" t="s">
        <v>2123</v>
      </c>
      <c r="D1037" s="29" t="s">
        <v>2123</v>
      </c>
      <c r="E1037" s="29" t="s">
        <v>2124</v>
      </c>
      <c r="F1037" s="29" t="s">
        <v>40</v>
      </c>
      <c r="G1037" s="30" t="s">
        <v>41</v>
      </c>
      <c r="H1037" s="31">
        <v>866326.51500000001</v>
      </c>
      <c r="I1037" s="31">
        <v>5245993.5149999997</v>
      </c>
      <c r="J1037" s="32">
        <v>5.0000000000000001E-3</v>
      </c>
      <c r="K1037" s="33">
        <v>45700</v>
      </c>
      <c r="L1037" s="31"/>
      <c r="M1037" s="32"/>
      <c r="N1037" s="31"/>
      <c r="O1037" s="33">
        <v>45699</v>
      </c>
      <c r="P1037" s="34">
        <v>6525.2</v>
      </c>
      <c r="Q1037" s="34">
        <v>23863.06</v>
      </c>
      <c r="R1037" s="34">
        <v>167141.1</v>
      </c>
      <c r="S1037" s="29"/>
      <c r="T1037" s="33"/>
      <c r="U1037" s="35" t="b">
        <v>1</v>
      </c>
      <c r="V1037" s="35" t="b">
        <v>1</v>
      </c>
      <c r="W1037" s="35" t="b">
        <v>0</v>
      </c>
      <c r="Y1037" s="31" cm="1">
        <f t="array" ref="Y1037">IF(LEFT(_xll.BDP($C1037, VOLUME_AVG_10D), 4) = "#N/A", "",  _xll.BDP($C1037, VOLUME_AVG_10D))</f>
        <v>5000</v>
      </c>
      <c r="Z1037" s="31" cm="1">
        <f t="array" ref="Z1037">IF(LEFT(_xll.BDP($C1037, VOLUME_AVG_30D), 4) = "#N/A", "",  _xll.BDP($C1037, VOLUME_AVG_30D))</f>
        <v>6525.2</v>
      </c>
      <c r="AA1037" s="31" cm="1">
        <f t="array" ref="AA1037">IF(LEFT(_xll.BDP($C1037, VOLUME_AVG_3M), 4) = "#N/A", "",  _xll.BDP($C1037, VOLUME_AVG_3M))</f>
        <v>23863.06</v>
      </c>
      <c r="AB1037" s="31" cm="1">
        <f t="array" ref="AB1037">IF(LEFT(_xll.BDP($C1037, VOLUME_AVG_6M), 4) = "#N/A", "",  _xll.BDP($C1037, VOLUME_AVG_6M))</f>
        <v>167141.1</v>
      </c>
      <c r="AC1037" s="31" cm="1">
        <f t="array" ref="AC1037">IF(LEFT(_xll.BDP($C1037, VOLUME_AVG_12M), 4) = "#N/A", "",  _xll.BDP($C1037, VOLUME_AVG_12M))</f>
        <v>117196.3</v>
      </c>
      <c r="AD1037" s="41" cm="1">
        <f t="array" ref="AD1037">IF(LEFT(_xll.BDP($C1037, LAST_PRICE), 4) = "#N/A", "",  _xll.BDP($C1037, LAST_PRICE))</f>
        <v>5.0000000000000001E-3</v>
      </c>
    </row>
    <row r="1038" spans="1:30" x14ac:dyDescent="0.35">
      <c r="A1038" s="1">
        <f t="shared" si="16"/>
        <v>1035</v>
      </c>
      <c r="B1038" s="28">
        <v>45700</v>
      </c>
      <c r="C1038" s="29" t="s">
        <v>2125</v>
      </c>
      <c r="D1038" s="29" t="s">
        <v>2125</v>
      </c>
      <c r="E1038" s="29" t="s">
        <v>2126</v>
      </c>
      <c r="F1038" s="29" t="s">
        <v>33</v>
      </c>
      <c r="G1038" s="30" t="s">
        <v>34</v>
      </c>
      <c r="H1038" s="31">
        <v>42039133.821850501</v>
      </c>
      <c r="I1038" s="31">
        <v>39095163.821850501</v>
      </c>
      <c r="J1038" s="32">
        <v>3.1600000858306898</v>
      </c>
      <c r="K1038" s="33">
        <v>45700</v>
      </c>
      <c r="L1038" s="31">
        <v>343900</v>
      </c>
      <c r="M1038" s="32">
        <v>-37.799999999999997</v>
      </c>
      <c r="N1038" s="31" t="s">
        <v>35</v>
      </c>
      <c r="O1038" s="33">
        <v>45699</v>
      </c>
      <c r="P1038" s="34">
        <v>412470.9375</v>
      </c>
      <c r="Q1038" s="34">
        <v>572608.9375</v>
      </c>
      <c r="R1038" s="34">
        <v>1006346.375</v>
      </c>
      <c r="S1038" s="29"/>
      <c r="T1038" s="33"/>
      <c r="U1038" s="35" t="b">
        <v>0</v>
      </c>
      <c r="V1038" s="35" t="b">
        <v>0</v>
      </c>
      <c r="W1038" s="35" t="b">
        <v>0</v>
      </c>
      <c r="Y1038" s="31" cm="1">
        <f t="array" ref="Y1038">IF(LEFT(_xll.BDP($C1038, VOLUME_AVG_10D), 4) = "#N/A", "",  _xll.BDP($C1038, VOLUME_AVG_10D))</f>
        <v>486160.1875</v>
      </c>
      <c r="Z1038" s="31" cm="1">
        <f t="array" ref="Z1038">IF(LEFT(_xll.BDP($C1038, VOLUME_AVG_30D), 4) = "#N/A", "",  _xll.BDP($C1038, VOLUME_AVG_30D))</f>
        <v>412470.9375</v>
      </c>
      <c r="AA1038" s="31" cm="1">
        <f t="array" ref="AA1038">IF(LEFT(_xll.BDP($C1038, VOLUME_AVG_3M), 4) = "#N/A", "",  _xll.BDP($C1038, VOLUME_AVG_3M))</f>
        <v>572608.9375</v>
      </c>
      <c r="AB1038" s="31" cm="1">
        <f t="array" ref="AB1038">IF(LEFT(_xll.BDP($C1038, VOLUME_AVG_6M), 4) = "#N/A", "",  _xll.BDP($C1038, VOLUME_AVG_6M))</f>
        <v>1006346.375</v>
      </c>
      <c r="AC1038" s="31" cm="1">
        <f t="array" ref="AC1038">IF(LEFT(_xll.BDP($C1038, VOLUME_AVG_12M), 4) = "#N/A", "",  _xll.BDP($C1038, VOLUME_AVG_12M))</f>
        <v>1407725.25</v>
      </c>
      <c r="AD1038" s="41" cm="1">
        <f t="array" ref="AD1038">IF(LEFT(_xll.BDP($C1038, LAST_PRICE), 4) = "#N/A", "",  _xll.BDP($C1038, LAST_PRICE))</f>
        <v>3.16</v>
      </c>
    </row>
    <row r="1039" spans="1:30" x14ac:dyDescent="0.35">
      <c r="A1039" s="1">
        <f t="shared" si="16"/>
        <v>1036</v>
      </c>
      <c r="B1039" s="28">
        <v>45700</v>
      </c>
      <c r="C1039" s="29" t="s">
        <v>2127</v>
      </c>
      <c r="D1039" s="29" t="s">
        <v>2127</v>
      </c>
      <c r="E1039" s="29" t="s">
        <v>2128</v>
      </c>
      <c r="F1039" s="29" t="s">
        <v>33</v>
      </c>
      <c r="G1039" s="30" t="s">
        <v>34</v>
      </c>
      <c r="H1039" s="31">
        <v>21662579.018571399</v>
      </c>
      <c r="I1039" s="31">
        <v>23815579.018571399</v>
      </c>
      <c r="J1039" s="32">
        <v>3.1900000572204599</v>
      </c>
      <c r="K1039" s="33">
        <v>45700</v>
      </c>
      <c r="L1039" s="31">
        <v>248000</v>
      </c>
      <c r="M1039" s="32">
        <v>2.9</v>
      </c>
      <c r="N1039" s="31" t="s">
        <v>35</v>
      </c>
      <c r="O1039" s="33">
        <v>45699</v>
      </c>
      <c r="P1039" s="34">
        <v>111058.8984375</v>
      </c>
      <c r="Q1039" s="34">
        <v>132134.09375</v>
      </c>
      <c r="R1039" s="34">
        <v>88578.8828125</v>
      </c>
      <c r="S1039" s="29"/>
      <c r="T1039" s="33"/>
      <c r="U1039" s="35" t="b">
        <v>0</v>
      </c>
      <c r="V1039" s="35" t="b">
        <v>0</v>
      </c>
      <c r="W1039" s="35" t="b">
        <v>0</v>
      </c>
      <c r="Y1039" s="31" cm="1">
        <f t="array" ref="Y1039">IF(LEFT(_xll.BDP($C1039, VOLUME_AVG_10D), 4) = "#N/A", "",  _xll.BDP($C1039, VOLUME_AVG_10D))</f>
        <v>60922.8984375</v>
      </c>
      <c r="Z1039" s="31" cm="1">
        <f t="array" ref="Z1039">IF(LEFT(_xll.BDP($C1039, VOLUME_AVG_30D), 4) = "#N/A", "",  _xll.BDP($C1039, VOLUME_AVG_30D))</f>
        <v>111058.8984375</v>
      </c>
      <c r="AA1039" s="31" cm="1">
        <f t="array" ref="AA1039">IF(LEFT(_xll.BDP($C1039, VOLUME_AVG_3M), 4) = "#N/A", "",  _xll.BDP($C1039, VOLUME_AVG_3M))</f>
        <v>132134.09375</v>
      </c>
      <c r="AB1039" s="31" cm="1">
        <f t="array" ref="AB1039">IF(LEFT(_xll.BDP($C1039, VOLUME_AVG_6M), 4) = "#N/A", "",  _xll.BDP($C1039, VOLUME_AVG_6M))</f>
        <v>88578.8828125</v>
      </c>
      <c r="AC1039" s="31" cm="1">
        <f t="array" ref="AC1039">IF(LEFT(_xll.BDP($C1039, VOLUME_AVG_12M), 4) = "#N/A", "",  _xll.BDP($C1039, VOLUME_AVG_12M))</f>
        <v>60680.55859375</v>
      </c>
      <c r="AD1039" s="41" cm="1">
        <f t="array" ref="AD1039">IF(LEFT(_xll.BDP($C1039, LAST_PRICE), 4) = "#N/A", "",  _xll.BDP($C1039, LAST_PRICE))</f>
        <v>3.19</v>
      </c>
    </row>
    <row r="1040" spans="1:30" x14ac:dyDescent="0.35">
      <c r="A1040" s="1">
        <f t="shared" si="16"/>
        <v>1037</v>
      </c>
      <c r="B1040" s="28">
        <v>45700</v>
      </c>
      <c r="C1040" s="29" t="s">
        <v>2129</v>
      </c>
      <c r="D1040" s="29" t="s">
        <v>2129</v>
      </c>
      <c r="E1040" s="29" t="s">
        <v>2130</v>
      </c>
      <c r="F1040" s="29" t="s">
        <v>33</v>
      </c>
      <c r="G1040" s="30" t="s">
        <v>34</v>
      </c>
      <c r="H1040" s="31">
        <v>495405.37199999997</v>
      </c>
      <c r="I1040" s="31">
        <v>39593405.779218897</v>
      </c>
      <c r="J1040" s="32">
        <v>7.0000000000000001E-3</v>
      </c>
      <c r="K1040" s="33">
        <v>45700</v>
      </c>
      <c r="L1040" s="31"/>
      <c r="M1040" s="32"/>
      <c r="N1040" s="31"/>
      <c r="O1040" s="33">
        <v>45699</v>
      </c>
      <c r="P1040" s="34">
        <v>7512.5</v>
      </c>
      <c r="Q1040" s="34">
        <v>12684.548828125</v>
      </c>
      <c r="R1040" s="34">
        <v>13325.3251953125</v>
      </c>
      <c r="S1040" s="29"/>
      <c r="T1040" s="33"/>
      <c r="U1040" s="35" t="b">
        <v>1</v>
      </c>
      <c r="V1040" s="35" t="b">
        <v>1</v>
      </c>
      <c r="W1040" s="35" t="b">
        <v>0</v>
      </c>
      <c r="Y1040" s="31" cm="1">
        <f t="array" ref="Y1040">IF(LEFT(_xll.BDP($C1040, VOLUME_AVG_10D), 4) = "#N/A", "",  _xll.BDP($C1040, VOLUME_AVG_10D))</f>
        <v>10475.7001953125</v>
      </c>
      <c r="Z1040" s="31" cm="1">
        <f t="array" ref="Z1040">IF(LEFT(_xll.BDP($C1040, VOLUME_AVG_30D), 4) = "#N/A", "",  _xll.BDP($C1040, VOLUME_AVG_30D))</f>
        <v>7512.5</v>
      </c>
      <c r="AA1040" s="31" cm="1">
        <f t="array" ref="AA1040">IF(LEFT(_xll.BDP($C1040, VOLUME_AVG_3M), 4) = "#N/A", "",  _xll.BDP($C1040, VOLUME_AVG_3M))</f>
        <v>12684.548828125</v>
      </c>
      <c r="AB1040" s="31" cm="1">
        <f t="array" ref="AB1040">IF(LEFT(_xll.BDP($C1040, VOLUME_AVG_6M), 4) = "#N/A", "",  _xll.BDP($C1040, VOLUME_AVG_6M))</f>
        <v>13325.3251953125</v>
      </c>
      <c r="AC1040" s="31" cm="1">
        <f t="array" ref="AC1040">IF(LEFT(_xll.BDP($C1040, VOLUME_AVG_12M), 4) = "#N/A", "",  _xll.BDP($C1040, VOLUME_AVG_12M))</f>
        <v>11425.103515625</v>
      </c>
      <c r="AD1040" s="41" cm="1">
        <f t="array" ref="AD1040">IF(LEFT(_xll.BDP($C1040, LAST_PRICE), 4) = "#N/A", "",  _xll.BDP($C1040, LAST_PRICE))</f>
        <v>7.0000000000000001E-3</v>
      </c>
    </row>
    <row r="1041" spans="1:30" x14ac:dyDescent="0.35">
      <c r="A1041" s="1">
        <f t="shared" si="16"/>
        <v>1038</v>
      </c>
      <c r="B1041" s="28">
        <v>45700</v>
      </c>
      <c r="C1041" s="29" t="s">
        <v>2131</v>
      </c>
      <c r="D1041" s="29" t="s">
        <v>2131</v>
      </c>
      <c r="E1041" s="29" t="s">
        <v>2132</v>
      </c>
      <c r="F1041" s="29" t="s">
        <v>33</v>
      </c>
      <c r="G1041" s="30" t="s">
        <v>34</v>
      </c>
      <c r="H1041" s="31">
        <v>154808.481</v>
      </c>
      <c r="I1041" s="31">
        <v>-4298089.5190000003</v>
      </c>
      <c r="J1041" s="32">
        <v>0.111</v>
      </c>
      <c r="K1041" s="33">
        <v>45700</v>
      </c>
      <c r="L1041" s="31">
        <v>33500</v>
      </c>
      <c r="M1041" s="32">
        <v>-125.65</v>
      </c>
      <c r="N1041" s="31" t="s">
        <v>35</v>
      </c>
      <c r="O1041" s="33">
        <v>45699</v>
      </c>
      <c r="P1041" s="34">
        <v>10071.5</v>
      </c>
      <c r="Q1041" s="34">
        <v>7504.48388671875</v>
      </c>
      <c r="R1041" s="34">
        <v>5303.16650390625</v>
      </c>
      <c r="S1041" s="29"/>
      <c r="T1041" s="33"/>
      <c r="U1041" s="35" t="b">
        <v>1</v>
      </c>
      <c r="V1041" s="35" t="b">
        <v>0</v>
      </c>
      <c r="W1041" s="35" t="b">
        <v>1</v>
      </c>
      <c r="Y1041" s="31" cm="1">
        <f t="array" ref="Y1041">IF(LEFT(_xll.BDP($C1041, VOLUME_AVG_10D), 4) = "#N/A", "",  _xll.BDP($C1041, VOLUME_AVG_10D))</f>
        <v>55.200000762939453</v>
      </c>
      <c r="Z1041" s="31" cm="1">
        <f t="array" ref="Z1041">IF(LEFT(_xll.BDP($C1041, VOLUME_AVG_30D), 4) = "#N/A", "",  _xll.BDP($C1041, VOLUME_AVG_30D))</f>
        <v>10071.5</v>
      </c>
      <c r="AA1041" s="31" cm="1">
        <f t="array" ref="AA1041">IF(LEFT(_xll.BDP($C1041, VOLUME_AVG_3M), 4) = "#N/A", "",  _xll.BDP($C1041, VOLUME_AVG_3M))</f>
        <v>7504.48388671875</v>
      </c>
      <c r="AB1041" s="31" cm="1">
        <f t="array" ref="AB1041">IF(LEFT(_xll.BDP($C1041, VOLUME_AVG_6M), 4) = "#N/A", "",  _xll.BDP($C1041, VOLUME_AVG_6M))</f>
        <v>5303.16650390625</v>
      </c>
      <c r="AC1041" s="31" cm="1">
        <f t="array" ref="AC1041">IF(LEFT(_xll.BDP($C1041, VOLUME_AVG_12M), 4) = "#N/A", "",  _xll.BDP($C1041, VOLUME_AVG_12M))</f>
        <v>164289.046875</v>
      </c>
      <c r="AD1041" s="41" cm="1">
        <f t="array" ref="AD1041">IF(LEFT(_xll.BDP($C1041, LAST_PRICE), 4) = "#N/A", "",  _xll.BDP($C1041, LAST_PRICE))</f>
        <v>0.111</v>
      </c>
    </row>
    <row r="1042" spans="1:30" x14ac:dyDescent="0.35">
      <c r="A1042" s="1">
        <f t="shared" si="16"/>
        <v>1039</v>
      </c>
      <c r="B1042" s="28">
        <v>45700</v>
      </c>
      <c r="C1042" s="29" t="s">
        <v>2133</v>
      </c>
      <c r="D1042" s="29" t="s">
        <v>2133</v>
      </c>
      <c r="E1042" s="29" t="s">
        <v>2134</v>
      </c>
      <c r="F1042" s="29" t="s">
        <v>33</v>
      </c>
      <c r="G1042" s="30" t="s">
        <v>34</v>
      </c>
      <c r="H1042" s="31">
        <v>19501054.9025288</v>
      </c>
      <c r="I1042" s="31">
        <v>-50418945.0974712</v>
      </c>
      <c r="J1042" s="32">
        <v>0.696300029754639</v>
      </c>
      <c r="K1042" s="33">
        <v>45700</v>
      </c>
      <c r="L1042" s="31">
        <v>2698400</v>
      </c>
      <c r="M1042" s="32">
        <v>3.25</v>
      </c>
      <c r="N1042" s="31" t="s">
        <v>35</v>
      </c>
      <c r="O1042" s="33">
        <v>45699</v>
      </c>
      <c r="P1042" s="34">
        <v>158006.765625</v>
      </c>
      <c r="Q1042" s="34">
        <v>164443.21875</v>
      </c>
      <c r="R1042" s="34">
        <v>96045.4765625</v>
      </c>
      <c r="S1042" s="29"/>
      <c r="T1042" s="33"/>
      <c r="U1042" s="35" t="b">
        <v>1</v>
      </c>
      <c r="V1042" s="35" t="b">
        <v>0</v>
      </c>
      <c r="W1042" s="35" t="b">
        <v>1</v>
      </c>
      <c r="Y1042" s="31" cm="1">
        <f t="array" ref="Y1042">IF(LEFT(_xll.BDP($C1042, VOLUME_AVG_10D), 4) = "#N/A", "",  _xll.BDP($C1042, VOLUME_AVG_10D))</f>
        <v>62141.3984375</v>
      </c>
      <c r="Z1042" s="31" cm="1">
        <f t="array" ref="Z1042">IF(LEFT(_xll.BDP($C1042, VOLUME_AVG_30D), 4) = "#N/A", "",  _xll.BDP($C1042, VOLUME_AVG_30D))</f>
        <v>158006.765625</v>
      </c>
      <c r="AA1042" s="31" cm="1">
        <f t="array" ref="AA1042">IF(LEFT(_xll.BDP($C1042, VOLUME_AVG_3M), 4) = "#N/A", "",  _xll.BDP($C1042, VOLUME_AVG_3M))</f>
        <v>164443.21875</v>
      </c>
      <c r="AB1042" s="31" cm="1">
        <f t="array" ref="AB1042">IF(LEFT(_xll.BDP($C1042, VOLUME_AVG_6M), 4) = "#N/A", "",  _xll.BDP($C1042, VOLUME_AVG_6M))</f>
        <v>96045.4765625</v>
      </c>
      <c r="AC1042" s="31" cm="1">
        <f t="array" ref="AC1042">IF(LEFT(_xll.BDP($C1042, VOLUME_AVG_12M), 4) = "#N/A", "",  _xll.BDP($C1042, VOLUME_AVG_12M))</f>
        <v>139795.359375</v>
      </c>
      <c r="AD1042" s="41" cm="1">
        <f t="array" ref="AD1042">IF(LEFT(_xll.BDP($C1042, LAST_PRICE), 4) = "#N/A", "",  _xll.BDP($C1042, LAST_PRICE))</f>
        <v>0.69630000000000003</v>
      </c>
    </row>
    <row r="1043" spans="1:30" x14ac:dyDescent="0.35">
      <c r="A1043" s="1">
        <f t="shared" si="16"/>
        <v>1040</v>
      </c>
      <c r="B1043" s="28">
        <v>45700</v>
      </c>
      <c r="C1043" s="29" t="s">
        <v>2135</v>
      </c>
      <c r="D1043" s="29" t="s">
        <v>2135</v>
      </c>
      <c r="E1043" s="29" t="s">
        <v>2136</v>
      </c>
      <c r="F1043" s="29" t="s">
        <v>40</v>
      </c>
      <c r="G1043" s="30" t="s">
        <v>41</v>
      </c>
      <c r="H1043" s="31">
        <v>10572821.6771912</v>
      </c>
      <c r="I1043" s="31">
        <v>10518978.6771912</v>
      </c>
      <c r="J1043" s="32">
        <v>6.4999997615814195E-2</v>
      </c>
      <c r="K1043" s="33">
        <v>45700</v>
      </c>
      <c r="L1043" s="31"/>
      <c r="M1043" s="32"/>
      <c r="N1043" s="31"/>
      <c r="O1043" s="33">
        <v>45699</v>
      </c>
      <c r="P1043" s="34">
        <v>157697.79999999999</v>
      </c>
      <c r="Q1043" s="34">
        <v>147340.1</v>
      </c>
      <c r="R1043" s="34">
        <v>132687.70000000001</v>
      </c>
      <c r="S1043" s="29"/>
      <c r="T1043" s="33"/>
      <c r="U1043" s="35" t="b">
        <v>1</v>
      </c>
      <c r="V1043" s="35" t="b">
        <v>1</v>
      </c>
      <c r="W1043" s="35" t="b">
        <v>0</v>
      </c>
      <c r="Y1043" s="31" cm="1">
        <f t="array" ref="Y1043">IF(LEFT(_xll.BDP($C1043, VOLUME_AVG_10D), 4) = "#N/A", "",  _xll.BDP($C1043, VOLUME_AVG_10D))</f>
        <v>104315.3</v>
      </c>
      <c r="Z1043" s="31" cm="1">
        <f t="array" ref="Z1043">IF(LEFT(_xll.BDP($C1043, VOLUME_AVG_30D), 4) = "#N/A", "",  _xll.BDP($C1043, VOLUME_AVG_30D))</f>
        <v>157697.79999999999</v>
      </c>
      <c r="AA1043" s="31" cm="1">
        <f t="array" ref="AA1043">IF(LEFT(_xll.BDP($C1043, VOLUME_AVG_3M), 4) = "#N/A", "",  _xll.BDP($C1043, VOLUME_AVG_3M))</f>
        <v>147340.1</v>
      </c>
      <c r="AB1043" s="31" cm="1">
        <f t="array" ref="AB1043">IF(LEFT(_xll.BDP($C1043, VOLUME_AVG_6M), 4) = "#N/A", "",  _xll.BDP($C1043, VOLUME_AVG_6M))</f>
        <v>132687.70000000001</v>
      </c>
      <c r="AC1043" s="31" cm="1">
        <f t="array" ref="AC1043">IF(LEFT(_xll.BDP($C1043, VOLUME_AVG_12M), 4) = "#N/A", "",  _xll.BDP($C1043, VOLUME_AVG_12M))</f>
        <v>152557.9</v>
      </c>
      <c r="AD1043" s="41" cm="1">
        <f t="array" ref="AD1043">IF(LEFT(_xll.BDP($C1043, LAST_PRICE), 4) = "#N/A", "",  _xll.BDP($C1043, LAST_PRICE))</f>
        <v>6.5000000000000002E-2</v>
      </c>
    </row>
    <row r="1044" spans="1:30" x14ac:dyDescent="0.35">
      <c r="A1044" s="1">
        <f t="shared" si="16"/>
        <v>1041</v>
      </c>
      <c r="B1044" s="28">
        <v>45700</v>
      </c>
      <c r="C1044" s="29" t="s">
        <v>2137</v>
      </c>
      <c r="D1044" s="29" t="s">
        <v>2137</v>
      </c>
      <c r="E1044" s="29" t="s">
        <v>2138</v>
      </c>
      <c r="F1044" s="29" t="s">
        <v>33</v>
      </c>
      <c r="G1044" s="30" t="s">
        <v>34</v>
      </c>
      <c r="H1044" s="31">
        <v>1018519500</v>
      </c>
      <c r="I1044" s="31"/>
      <c r="J1044" s="32">
        <v>1</v>
      </c>
      <c r="K1044" s="33">
        <v>45700</v>
      </c>
      <c r="L1044" s="31"/>
      <c r="M1044" s="32"/>
      <c r="N1044" s="31"/>
      <c r="O1044" s="33">
        <v>45699</v>
      </c>
      <c r="P1044" s="34">
        <v>69.199996948242202</v>
      </c>
      <c r="Q1044" s="34">
        <v>68.516128540039105</v>
      </c>
      <c r="R1044" s="34">
        <v>86.523811340332003</v>
      </c>
      <c r="S1044" s="29"/>
      <c r="T1044" s="33"/>
      <c r="U1044" s="35" t="b">
        <v>0</v>
      </c>
      <c r="V1044" s="35" t="b">
        <v>0</v>
      </c>
      <c r="W1044" s="35" t="b">
        <v>1</v>
      </c>
      <c r="Y1044" s="31" cm="1">
        <f t="array" ref="Y1044">IF(LEFT(_xll.BDP($C1044, VOLUME_AVG_10D), 4) = "#N/A", "",  _xll.BDP($C1044, VOLUME_AVG_10D))</f>
        <v>77.5</v>
      </c>
      <c r="Z1044" s="31" cm="1">
        <f t="array" ref="Z1044">IF(LEFT(_xll.BDP($C1044, VOLUME_AVG_30D), 4) = "#N/A", "",  _xll.BDP($C1044, VOLUME_AVG_30D))</f>
        <v>69.199996948242188</v>
      </c>
      <c r="AA1044" s="31" cm="1">
        <f t="array" ref="AA1044">IF(LEFT(_xll.BDP($C1044, VOLUME_AVG_3M), 4) = "#N/A", "",  _xll.BDP($C1044, VOLUME_AVG_3M))</f>
        <v>68.516128540039063</v>
      </c>
      <c r="AB1044" s="31" cm="1">
        <f t="array" ref="AB1044">IF(LEFT(_xll.BDP($C1044, VOLUME_AVG_6M), 4) = "#N/A", "",  _xll.BDP($C1044, VOLUME_AVG_6M))</f>
        <v>86.523811340332031</v>
      </c>
      <c r="AC1044" s="31" t="str" cm="1">
        <f t="array" ref="AC1044">IF(LEFT(_xll.BDP($C1044, VOLUME_AVG_12M), 4) = "#N/A", "",  _xll.BDP($C1044, VOLUME_AVG_12M))</f>
        <v/>
      </c>
      <c r="AD1044" s="41" cm="1">
        <f t="array" ref="AD1044">IF(LEFT(_xll.BDP($C1044, LAST_PRICE), 4) = "#N/A", "",  _xll.BDP($C1044, LAST_PRICE))</f>
        <v>1</v>
      </c>
    </row>
    <row r="1045" spans="1:30" x14ac:dyDescent="0.35">
      <c r="A1045" s="1">
        <f t="shared" si="16"/>
        <v>1042</v>
      </c>
      <c r="B1045" s="28">
        <v>45700</v>
      </c>
      <c r="C1045" s="29" t="s">
        <v>2139</v>
      </c>
      <c r="D1045" s="29" t="s">
        <v>2139</v>
      </c>
      <c r="E1045" s="29" t="s">
        <v>2140</v>
      </c>
      <c r="F1045" s="29" t="s">
        <v>33</v>
      </c>
      <c r="G1045" s="30" t="s">
        <v>34</v>
      </c>
      <c r="H1045" s="31">
        <v>146077316.06902701</v>
      </c>
      <c r="I1045" s="31">
        <v>-51528683.930972598</v>
      </c>
      <c r="J1045" s="32">
        <v>2.0699999332428001</v>
      </c>
      <c r="K1045" s="33">
        <v>45700</v>
      </c>
      <c r="L1045" s="31">
        <v>7854600</v>
      </c>
      <c r="M1045" s="32">
        <v>3.7</v>
      </c>
      <c r="N1045" s="31" t="s">
        <v>35</v>
      </c>
      <c r="O1045" s="33">
        <v>45699</v>
      </c>
      <c r="P1045" s="34">
        <v>1106374.875</v>
      </c>
      <c r="Q1045" s="34">
        <v>1538666.25</v>
      </c>
      <c r="R1045" s="34">
        <v>1100526.625</v>
      </c>
      <c r="S1045" s="29" t="s">
        <v>73</v>
      </c>
      <c r="T1045" s="33">
        <v>45446</v>
      </c>
      <c r="U1045" s="35" t="b">
        <v>0</v>
      </c>
      <c r="V1045" s="35" t="b">
        <v>0</v>
      </c>
      <c r="W1045" s="35" t="b">
        <v>1</v>
      </c>
      <c r="Y1045" s="31" cm="1">
        <f t="array" ref="Y1045">IF(LEFT(_xll.BDP($C1045, VOLUME_AVG_10D), 4) = "#N/A", "",  _xll.BDP($C1045, VOLUME_AVG_10D))</f>
        <v>798407</v>
      </c>
      <c r="Z1045" s="31" cm="1">
        <f t="array" ref="Z1045">IF(LEFT(_xll.BDP($C1045, VOLUME_AVG_30D), 4) = "#N/A", "",  _xll.BDP($C1045, VOLUME_AVG_30D))</f>
        <v>1106374.875</v>
      </c>
      <c r="AA1045" s="31" cm="1">
        <f t="array" ref="AA1045">IF(LEFT(_xll.BDP($C1045, VOLUME_AVG_3M), 4) = "#N/A", "",  _xll.BDP($C1045, VOLUME_AVG_3M))</f>
        <v>1538666.25</v>
      </c>
      <c r="AB1045" s="31" cm="1">
        <f t="array" ref="AB1045">IF(LEFT(_xll.BDP($C1045, VOLUME_AVG_6M), 4) = "#N/A", "",  _xll.BDP($C1045, VOLUME_AVG_6M))</f>
        <v>1100526.625</v>
      </c>
      <c r="AC1045" s="31" cm="1">
        <f t="array" ref="AC1045">IF(LEFT(_xll.BDP($C1045, VOLUME_AVG_12M), 4) = "#N/A", "",  _xll.BDP($C1045, VOLUME_AVG_12M))</f>
        <v>987333.75</v>
      </c>
      <c r="AD1045" s="41" cm="1">
        <f t="array" ref="AD1045">IF(LEFT(_xll.BDP($C1045, LAST_PRICE), 4) = "#N/A", "",  _xll.BDP($C1045, LAST_PRICE))</f>
        <v>2.0699999999999998</v>
      </c>
    </row>
    <row r="1046" spans="1:30" x14ac:dyDescent="0.35">
      <c r="A1046" s="1">
        <f t="shared" si="16"/>
        <v>1043</v>
      </c>
      <c r="B1046" s="28">
        <v>45700</v>
      </c>
      <c r="C1046" s="29" t="s">
        <v>2141</v>
      </c>
      <c r="D1046" s="29" t="s">
        <v>2141</v>
      </c>
      <c r="E1046" s="29" t="s">
        <v>2142</v>
      </c>
      <c r="F1046" s="29" t="s">
        <v>33</v>
      </c>
      <c r="G1046" s="30" t="s">
        <v>34</v>
      </c>
      <c r="H1046" s="31">
        <v>37836878.4296083</v>
      </c>
      <c r="I1046" s="31">
        <v>60712878.4296083</v>
      </c>
      <c r="J1046" s="32">
        <v>0.84179997444152799</v>
      </c>
      <c r="K1046" s="33">
        <v>45700</v>
      </c>
      <c r="L1046" s="31">
        <v>275500</v>
      </c>
      <c r="M1046" s="32">
        <v>-13.85</v>
      </c>
      <c r="N1046" s="31" t="s">
        <v>35</v>
      </c>
      <c r="O1046" s="33">
        <v>45699</v>
      </c>
      <c r="P1046" s="34">
        <v>239301.0625</v>
      </c>
      <c r="Q1046" s="34">
        <v>531685.625</v>
      </c>
      <c r="R1046" s="34">
        <v>827145.375</v>
      </c>
      <c r="S1046" s="29"/>
      <c r="T1046" s="33"/>
      <c r="U1046" s="35" t="b">
        <v>0</v>
      </c>
      <c r="V1046" s="35" t="b">
        <v>0</v>
      </c>
      <c r="W1046" s="35" t="b">
        <v>0</v>
      </c>
      <c r="Y1046" s="31" cm="1">
        <f t="array" ref="Y1046">IF(LEFT(_xll.BDP($C1046, VOLUME_AVG_10D), 4) = "#N/A", "",  _xll.BDP($C1046, VOLUME_AVG_10D))</f>
        <v>109825.296875</v>
      </c>
      <c r="Z1046" s="31" cm="1">
        <f t="array" ref="Z1046">IF(LEFT(_xll.BDP($C1046, VOLUME_AVG_30D), 4) = "#N/A", "",  _xll.BDP($C1046, VOLUME_AVG_30D))</f>
        <v>239301.0625</v>
      </c>
      <c r="AA1046" s="31" cm="1">
        <f t="array" ref="AA1046">IF(LEFT(_xll.BDP($C1046, VOLUME_AVG_3M), 4) = "#N/A", "",  _xll.BDP($C1046, VOLUME_AVG_3M))</f>
        <v>531685.625</v>
      </c>
      <c r="AB1046" s="31" cm="1">
        <f t="array" ref="AB1046">IF(LEFT(_xll.BDP($C1046, VOLUME_AVG_6M), 4) = "#N/A", "",  _xll.BDP($C1046, VOLUME_AVG_6M))</f>
        <v>827145.375</v>
      </c>
      <c r="AC1046" s="31" cm="1">
        <f t="array" ref="AC1046">IF(LEFT(_xll.BDP($C1046, VOLUME_AVG_12M), 4) = "#N/A", "",  _xll.BDP($C1046, VOLUME_AVG_12M))</f>
        <v>1675573.125</v>
      </c>
      <c r="AD1046" s="41" cm="1">
        <f t="array" ref="AD1046">IF(LEFT(_xll.BDP($C1046, LAST_PRICE), 4) = "#N/A", "",  _xll.BDP($C1046, LAST_PRICE))</f>
        <v>0.84179999999999999</v>
      </c>
    </row>
    <row r="1047" spans="1:30" x14ac:dyDescent="0.35">
      <c r="A1047" s="1">
        <f t="shared" si="16"/>
        <v>1044</v>
      </c>
      <c r="B1047" s="28">
        <v>45700</v>
      </c>
      <c r="C1047" s="29" t="s">
        <v>2143</v>
      </c>
      <c r="D1047" s="29" t="s">
        <v>2143</v>
      </c>
      <c r="E1047" s="29" t="s">
        <v>2144</v>
      </c>
      <c r="F1047" s="29" t="s">
        <v>33</v>
      </c>
      <c r="G1047" s="30" t="s">
        <v>34</v>
      </c>
      <c r="H1047" s="31">
        <v>2742362.0804107501</v>
      </c>
      <c r="I1047" s="31">
        <v>-6206037.9195892503</v>
      </c>
      <c r="J1047" s="32">
        <v>2.3399999141693102</v>
      </c>
      <c r="K1047" s="33">
        <v>45700</v>
      </c>
      <c r="L1047" s="31"/>
      <c r="M1047" s="32"/>
      <c r="N1047" s="31"/>
      <c r="O1047" s="33">
        <v>45699</v>
      </c>
      <c r="P1047" s="34">
        <v>5435065.5</v>
      </c>
      <c r="Q1047" s="34">
        <v>2812568.75</v>
      </c>
      <c r="R1047" s="34">
        <v>1488511.625</v>
      </c>
      <c r="S1047" s="29"/>
      <c r="T1047" s="33"/>
      <c r="U1047" s="35" t="b">
        <v>1</v>
      </c>
      <c r="V1047" s="35" t="b">
        <v>0</v>
      </c>
      <c r="W1047" s="35" t="b">
        <v>1</v>
      </c>
      <c r="Y1047" s="31" cm="1">
        <f t="array" ref="Y1047">IF(LEFT(_xll.BDP($C1047, VOLUME_AVG_10D), 4) = "#N/A", "",  _xll.BDP($C1047, VOLUME_AVG_10D))</f>
        <v>11472258</v>
      </c>
      <c r="Z1047" s="31" cm="1">
        <f t="array" ref="Z1047">IF(LEFT(_xll.BDP($C1047, VOLUME_AVG_30D), 4) = "#N/A", "",  _xll.BDP($C1047, VOLUME_AVG_30D))</f>
        <v>5435065.5</v>
      </c>
      <c r="AA1047" s="31" cm="1">
        <f t="array" ref="AA1047">IF(LEFT(_xll.BDP($C1047, VOLUME_AVG_3M), 4) = "#N/A", "",  _xll.BDP($C1047, VOLUME_AVG_3M))</f>
        <v>2812568.75</v>
      </c>
      <c r="AB1047" s="31" cm="1">
        <f t="array" ref="AB1047">IF(LEFT(_xll.BDP($C1047, VOLUME_AVG_6M), 4) = "#N/A", "",  _xll.BDP($C1047, VOLUME_AVG_6M))</f>
        <v>1488511.625</v>
      </c>
      <c r="AC1047" s="31" cm="1">
        <f t="array" ref="AC1047">IF(LEFT(_xll.BDP($C1047, VOLUME_AVG_12M), 4) = "#N/A", "",  _xll.BDP($C1047, VOLUME_AVG_12M))</f>
        <v>827036.875</v>
      </c>
      <c r="AD1047" s="41" cm="1">
        <f t="array" ref="AD1047">IF(LEFT(_xll.BDP($C1047, LAST_PRICE), 4) = "#N/A", "",  _xll.BDP($C1047, LAST_PRICE))</f>
        <v>2.34</v>
      </c>
    </row>
    <row r="1048" spans="1:30" x14ac:dyDescent="0.35">
      <c r="A1048" s="1">
        <f t="shared" si="16"/>
        <v>1045</v>
      </c>
      <c r="B1048" s="28">
        <v>45700</v>
      </c>
      <c r="C1048" s="29" t="s">
        <v>2145</v>
      </c>
      <c r="D1048" s="29" t="s">
        <v>2145</v>
      </c>
      <c r="E1048" s="29" t="s">
        <v>2146</v>
      </c>
      <c r="F1048" s="29" t="s">
        <v>33</v>
      </c>
      <c r="G1048" s="30" t="s">
        <v>34</v>
      </c>
      <c r="H1048" s="31">
        <v>464431.96500000003</v>
      </c>
      <c r="I1048" s="31">
        <v>1014431.965</v>
      </c>
      <c r="J1048" s="32">
        <v>3.0000000000000001E-3</v>
      </c>
      <c r="K1048" s="33">
        <v>45700</v>
      </c>
      <c r="L1048" s="31"/>
      <c r="M1048" s="32"/>
      <c r="N1048" s="31"/>
      <c r="O1048" s="33">
        <v>45699</v>
      </c>
      <c r="P1048" s="34">
        <v>12847.400390625</v>
      </c>
      <c r="Q1048" s="34">
        <v>24812.177734375</v>
      </c>
      <c r="R1048" s="34">
        <v>15932.642578125</v>
      </c>
      <c r="S1048" s="29"/>
      <c r="T1048" s="33"/>
      <c r="U1048" s="35" t="b">
        <v>1</v>
      </c>
      <c r="V1048" s="35" t="b">
        <v>1</v>
      </c>
      <c r="W1048" s="35" t="b">
        <v>0</v>
      </c>
      <c r="Y1048" s="31" cm="1">
        <f t="array" ref="Y1048">IF(LEFT(_xll.BDP($C1048, VOLUME_AVG_10D), 4) = "#N/A", "",  _xll.BDP($C1048, VOLUME_AVG_10D))</f>
        <v>16069.099609375</v>
      </c>
      <c r="Z1048" s="31" cm="1">
        <f t="array" ref="Z1048">IF(LEFT(_xll.BDP($C1048, VOLUME_AVG_30D), 4) = "#N/A", "",  _xll.BDP($C1048, VOLUME_AVG_30D))</f>
        <v>12847.400390625</v>
      </c>
      <c r="AA1048" s="31" cm="1">
        <f t="array" ref="AA1048">IF(LEFT(_xll.BDP($C1048, VOLUME_AVG_3M), 4) = "#N/A", "",  _xll.BDP($C1048, VOLUME_AVG_3M))</f>
        <v>24812.177734375</v>
      </c>
      <c r="AB1048" s="31" cm="1">
        <f t="array" ref="AB1048">IF(LEFT(_xll.BDP($C1048, VOLUME_AVG_6M), 4) = "#N/A", "",  _xll.BDP($C1048, VOLUME_AVG_6M))</f>
        <v>15932.642578125</v>
      </c>
      <c r="AC1048" s="31" cm="1">
        <f t="array" ref="AC1048">IF(LEFT(_xll.BDP($C1048, VOLUME_AVG_12M), 4) = "#N/A", "",  _xll.BDP($C1048, VOLUME_AVG_12M))</f>
        <v>8997.6171875</v>
      </c>
      <c r="AD1048" s="41" cm="1">
        <f t="array" ref="AD1048">IF(LEFT(_xll.BDP($C1048, LAST_PRICE), 4) = "#N/A", "",  _xll.BDP($C1048, LAST_PRICE))</f>
        <v>3.0000000000000001E-3</v>
      </c>
    </row>
    <row r="1049" spans="1:30" x14ac:dyDescent="0.35">
      <c r="A1049" s="1">
        <f t="shared" si="16"/>
        <v>1046</v>
      </c>
      <c r="B1049" s="28">
        <v>45700</v>
      </c>
      <c r="C1049" s="29" t="s">
        <v>2147</v>
      </c>
      <c r="D1049" s="29" t="s">
        <v>2147</v>
      </c>
      <c r="E1049" s="29" t="s">
        <v>2148</v>
      </c>
      <c r="F1049" s="29" t="s">
        <v>33</v>
      </c>
      <c r="G1049" s="30" t="s">
        <v>34</v>
      </c>
      <c r="H1049" s="31">
        <v>326826536.16267198</v>
      </c>
      <c r="I1049" s="31">
        <v>362842536.16267198</v>
      </c>
      <c r="J1049" s="32">
        <v>0.25189998745918302</v>
      </c>
      <c r="K1049" s="33">
        <v>45700</v>
      </c>
      <c r="L1049" s="31">
        <v>9200</v>
      </c>
      <c r="M1049" s="32">
        <v>-7.15</v>
      </c>
      <c r="N1049" s="31" t="s">
        <v>35</v>
      </c>
      <c r="O1049" s="33">
        <v>45699</v>
      </c>
      <c r="P1049" s="34">
        <v>3068932.75</v>
      </c>
      <c r="Q1049" s="34">
        <v>2774604.5</v>
      </c>
      <c r="R1049" s="34">
        <v>2539269.75</v>
      </c>
      <c r="S1049" s="29"/>
      <c r="T1049" s="33"/>
      <c r="U1049" s="35" t="b">
        <v>0</v>
      </c>
      <c r="V1049" s="35" t="b">
        <v>0</v>
      </c>
      <c r="W1049" s="35" t="b">
        <v>0</v>
      </c>
      <c r="Y1049" s="31" cm="1">
        <f t="array" ref="Y1049">IF(LEFT(_xll.BDP($C1049, VOLUME_AVG_10D), 4) = "#N/A", "",  _xll.BDP($C1049, VOLUME_AVG_10D))</f>
        <v>2756938.75</v>
      </c>
      <c r="Z1049" s="31" cm="1">
        <f t="array" ref="Z1049">IF(LEFT(_xll.BDP($C1049, VOLUME_AVG_30D), 4) = "#N/A", "",  _xll.BDP($C1049, VOLUME_AVG_30D))</f>
        <v>3068932.75</v>
      </c>
      <c r="AA1049" s="31" cm="1">
        <f t="array" ref="AA1049">IF(LEFT(_xll.BDP($C1049, VOLUME_AVG_3M), 4) = "#N/A", "",  _xll.BDP($C1049, VOLUME_AVG_3M))</f>
        <v>2774604.5</v>
      </c>
      <c r="AB1049" s="31" cm="1">
        <f t="array" ref="AB1049">IF(LEFT(_xll.BDP($C1049, VOLUME_AVG_6M), 4) = "#N/A", "",  _xll.BDP($C1049, VOLUME_AVG_6M))</f>
        <v>2539269.75</v>
      </c>
      <c r="AC1049" s="31" cm="1">
        <f t="array" ref="AC1049">IF(LEFT(_xll.BDP($C1049, VOLUME_AVG_12M), 4) = "#N/A", "",  _xll.BDP($C1049, VOLUME_AVG_12M))</f>
        <v>2150904</v>
      </c>
      <c r="AD1049" s="41" cm="1">
        <f t="array" ref="AD1049">IF(LEFT(_xll.BDP($C1049, LAST_PRICE), 4) = "#N/A", "",  _xll.BDP($C1049, LAST_PRICE))</f>
        <v>0.25190000000000001</v>
      </c>
    </row>
    <row r="1050" spans="1:30" x14ac:dyDescent="0.35">
      <c r="A1050" s="1">
        <f t="shared" si="16"/>
        <v>1047</v>
      </c>
      <c r="B1050" s="28">
        <v>45700</v>
      </c>
      <c r="C1050" s="29" t="s">
        <v>2149</v>
      </c>
      <c r="D1050" s="29" t="s">
        <v>2149</v>
      </c>
      <c r="E1050" s="29" t="s">
        <v>2150</v>
      </c>
      <c r="F1050" s="29" t="s">
        <v>33</v>
      </c>
      <c r="G1050" s="30" t="s">
        <v>34</v>
      </c>
      <c r="H1050" s="31">
        <v>3011.1732999999999</v>
      </c>
      <c r="I1050" s="31">
        <v>289967.18144535302</v>
      </c>
      <c r="J1050" s="32">
        <v>1E-4</v>
      </c>
      <c r="K1050" s="33">
        <v>45700</v>
      </c>
      <c r="L1050" s="31"/>
      <c r="M1050" s="32"/>
      <c r="N1050" s="31"/>
      <c r="O1050" s="33">
        <v>45699</v>
      </c>
      <c r="P1050" s="34">
        <v>2717542.5</v>
      </c>
      <c r="Q1050" s="34">
        <v>4587067.5</v>
      </c>
      <c r="R1050" s="34">
        <v>4199213.5</v>
      </c>
      <c r="S1050" s="29"/>
      <c r="T1050" s="33"/>
      <c r="U1050" s="35" t="b">
        <v>1</v>
      </c>
      <c r="V1050" s="35" t="b">
        <v>1</v>
      </c>
      <c r="W1050" s="35" t="b">
        <v>0</v>
      </c>
      <c r="Y1050" s="31" cm="1">
        <f t="array" ref="Y1050">IF(LEFT(_xll.BDP($C1050, VOLUME_AVG_10D), 4) = "#N/A", "",  _xll.BDP($C1050, VOLUME_AVG_10D))</f>
        <v>3549887.5</v>
      </c>
      <c r="Z1050" s="31" cm="1">
        <f t="array" ref="Z1050">IF(LEFT(_xll.BDP($C1050, VOLUME_AVG_30D), 4) = "#N/A", "",  _xll.BDP($C1050, VOLUME_AVG_30D))</f>
        <v>2717542.5</v>
      </c>
      <c r="AA1050" s="31" cm="1">
        <f t="array" ref="AA1050">IF(LEFT(_xll.BDP($C1050, VOLUME_AVG_3M), 4) = "#N/A", "",  _xll.BDP($C1050, VOLUME_AVG_3M))</f>
        <v>4587067.5</v>
      </c>
      <c r="AB1050" s="31" cm="1">
        <f t="array" ref="AB1050">IF(LEFT(_xll.BDP($C1050, VOLUME_AVG_6M), 4) = "#N/A", "",  _xll.BDP($C1050, VOLUME_AVG_6M))</f>
        <v>4199213.5</v>
      </c>
      <c r="AC1050" s="31" cm="1">
        <f t="array" ref="AC1050">IF(LEFT(_xll.BDP($C1050, VOLUME_AVG_12M), 4) = "#N/A", "",  _xll.BDP($C1050, VOLUME_AVG_12M))</f>
        <v>3457285.25</v>
      </c>
      <c r="AD1050" s="41" cm="1">
        <f t="array" ref="AD1050">IF(LEFT(_xll.BDP($C1050, LAST_PRICE), 4) = "#N/A", "",  _xll.BDP($C1050, LAST_PRICE))</f>
        <v>1E-4</v>
      </c>
    </row>
    <row r="1051" spans="1:30" x14ac:dyDescent="0.35">
      <c r="A1051" s="1">
        <f t="shared" si="16"/>
        <v>1048</v>
      </c>
      <c r="B1051" s="28">
        <v>45700</v>
      </c>
      <c r="C1051" s="29" t="s">
        <v>2151</v>
      </c>
      <c r="D1051" s="29" t="s">
        <v>2151</v>
      </c>
      <c r="E1051" s="29" t="s">
        <v>2152</v>
      </c>
      <c r="F1051" s="29" t="s">
        <v>40</v>
      </c>
      <c r="G1051" s="30" t="s">
        <v>41</v>
      </c>
      <c r="H1051" s="31">
        <v>23574848.976780299</v>
      </c>
      <c r="I1051" s="31">
        <v>16356884.434269</v>
      </c>
      <c r="J1051" s="32">
        <v>0.270000010728836</v>
      </c>
      <c r="K1051" s="33">
        <v>45700</v>
      </c>
      <c r="L1051" s="31">
        <v>21000</v>
      </c>
      <c r="M1051" s="32">
        <v>-1.1499999999999999</v>
      </c>
      <c r="N1051" s="31" t="s">
        <v>35</v>
      </c>
      <c r="O1051" s="33">
        <v>45699</v>
      </c>
      <c r="P1051" s="34">
        <v>15299.93</v>
      </c>
      <c r="Q1051" s="34">
        <v>26775.41</v>
      </c>
      <c r="R1051" s="34">
        <v>34610.81</v>
      </c>
      <c r="S1051" s="29"/>
      <c r="T1051" s="33"/>
      <c r="U1051" s="35" t="b">
        <v>0</v>
      </c>
      <c r="V1051" s="35" t="b">
        <v>0</v>
      </c>
      <c r="W1051" s="35" t="b">
        <v>0</v>
      </c>
      <c r="Y1051" s="31" cm="1">
        <f t="array" ref="Y1051">IF(LEFT(_xll.BDP($C1051, VOLUME_AVG_10D), 4) = "#N/A", "",  _xll.BDP($C1051, VOLUME_AVG_10D))</f>
        <v>17143.099999999999</v>
      </c>
      <c r="Z1051" s="31" cm="1">
        <f t="array" ref="Z1051">IF(LEFT(_xll.BDP($C1051, VOLUME_AVG_30D), 4) = "#N/A", "",  _xll.BDP($C1051, VOLUME_AVG_30D))</f>
        <v>15299.93</v>
      </c>
      <c r="AA1051" s="31" cm="1">
        <f t="array" ref="AA1051">IF(LEFT(_xll.BDP($C1051, VOLUME_AVG_3M), 4) = "#N/A", "",  _xll.BDP($C1051, VOLUME_AVG_3M))</f>
        <v>26775.41</v>
      </c>
      <c r="AB1051" s="31" cm="1">
        <f t="array" ref="AB1051">IF(LEFT(_xll.BDP($C1051, VOLUME_AVG_6M), 4) = "#N/A", "",  _xll.BDP($C1051, VOLUME_AVG_6M))</f>
        <v>34610.81</v>
      </c>
      <c r="AC1051" s="31" cm="1">
        <f t="array" ref="AC1051">IF(LEFT(_xll.BDP($C1051, VOLUME_AVG_12M), 4) = "#N/A", "",  _xll.BDP($C1051, VOLUME_AVG_12M))</f>
        <v>37449.82</v>
      </c>
      <c r="AD1051" s="41" cm="1">
        <f t="array" ref="AD1051">IF(LEFT(_xll.BDP($C1051, LAST_PRICE), 4) = "#N/A", "",  _xll.BDP($C1051, LAST_PRICE))</f>
        <v>0.27</v>
      </c>
    </row>
    <row r="1052" spans="1:30" x14ac:dyDescent="0.35">
      <c r="A1052" s="1">
        <f t="shared" si="16"/>
        <v>1049</v>
      </c>
      <c r="B1052" s="28">
        <v>45700</v>
      </c>
      <c r="C1052" s="29" t="s">
        <v>2153</v>
      </c>
      <c r="D1052" s="29" t="s">
        <v>2153</v>
      </c>
      <c r="E1052" s="29" t="s">
        <v>2154</v>
      </c>
      <c r="F1052" s="29" t="s">
        <v>33</v>
      </c>
      <c r="G1052" s="30" t="s">
        <v>34</v>
      </c>
      <c r="H1052" s="31">
        <v>3175700.3335159998</v>
      </c>
      <c r="I1052" s="31">
        <v>4494700.3335159998</v>
      </c>
      <c r="J1052" s="32">
        <v>0.64999997615814198</v>
      </c>
      <c r="K1052" s="33">
        <v>45700</v>
      </c>
      <c r="L1052" s="31">
        <v>262600</v>
      </c>
      <c r="M1052" s="32">
        <v>-14.2</v>
      </c>
      <c r="N1052" s="31" t="s">
        <v>35</v>
      </c>
      <c r="O1052" s="33">
        <v>45699</v>
      </c>
      <c r="P1052" s="34">
        <v>365309.21875</v>
      </c>
      <c r="Q1052" s="34">
        <v>249699.53125</v>
      </c>
      <c r="R1052" s="34">
        <v>1571937.375</v>
      </c>
      <c r="S1052" s="29"/>
      <c r="T1052" s="33"/>
      <c r="U1052" s="35" t="b">
        <v>1</v>
      </c>
      <c r="V1052" s="35" t="b">
        <v>0</v>
      </c>
      <c r="W1052" s="35" t="b">
        <v>0</v>
      </c>
      <c r="Y1052" s="31" cm="1">
        <f t="array" ref="Y1052">IF(LEFT(_xll.BDP($C1052, VOLUME_AVG_10D), 4) = "#N/A", "",  _xll.BDP($C1052, VOLUME_AVG_10D))</f>
        <v>92096.796875</v>
      </c>
      <c r="Z1052" s="31" cm="1">
        <f t="array" ref="Z1052">IF(LEFT(_xll.BDP($C1052, VOLUME_AVG_30D), 4) = "#N/A", "",  _xll.BDP($C1052, VOLUME_AVG_30D))</f>
        <v>365309.21875</v>
      </c>
      <c r="AA1052" s="31" cm="1">
        <f t="array" ref="AA1052">IF(LEFT(_xll.BDP($C1052, VOLUME_AVG_3M), 4) = "#N/A", "",  _xll.BDP($C1052, VOLUME_AVG_3M))</f>
        <v>249699.53125</v>
      </c>
      <c r="AB1052" s="31" cm="1">
        <f t="array" ref="AB1052">IF(LEFT(_xll.BDP($C1052, VOLUME_AVG_6M), 4) = "#N/A", "",  _xll.BDP($C1052, VOLUME_AVG_6M))</f>
        <v>1571937.375</v>
      </c>
      <c r="AC1052" s="31" cm="1">
        <f t="array" ref="AC1052">IF(LEFT(_xll.BDP($C1052, VOLUME_AVG_12M), 4) = "#N/A", "",  _xll.BDP($C1052, VOLUME_AVG_12M))</f>
        <v>917294.25</v>
      </c>
      <c r="AD1052" s="41" cm="1">
        <f t="array" ref="AD1052">IF(LEFT(_xll.BDP($C1052, LAST_PRICE), 4) = "#N/A", "",  _xll.BDP($C1052, LAST_PRICE))</f>
        <v>0.65</v>
      </c>
    </row>
    <row r="1053" spans="1:30" x14ac:dyDescent="0.35">
      <c r="A1053" s="1">
        <f t="shared" si="16"/>
        <v>1050</v>
      </c>
      <c r="B1053" s="28">
        <v>45700</v>
      </c>
      <c r="C1053" s="29" t="s">
        <v>2155</v>
      </c>
      <c r="D1053" s="29" t="s">
        <v>2155</v>
      </c>
      <c r="E1053" s="29" t="s">
        <v>2156</v>
      </c>
      <c r="F1053" s="29" t="s">
        <v>33</v>
      </c>
      <c r="G1053" s="30" t="s">
        <v>34</v>
      </c>
      <c r="H1053" s="31">
        <v>18572.079600000001</v>
      </c>
      <c r="I1053" s="31">
        <v>2056787.0796000001</v>
      </c>
      <c r="J1053" s="32">
        <v>2.9999999999999997E-4</v>
      </c>
      <c r="K1053" s="33">
        <v>45700</v>
      </c>
      <c r="L1053" s="31"/>
      <c r="M1053" s="32"/>
      <c r="N1053" s="31"/>
      <c r="O1053" s="33">
        <v>45699</v>
      </c>
      <c r="P1053" s="34">
        <v>5315.63330078125</v>
      </c>
      <c r="Q1053" s="34">
        <v>20784.822265625</v>
      </c>
      <c r="R1053" s="34">
        <v>37339.9609375</v>
      </c>
      <c r="S1053" s="29"/>
      <c r="T1053" s="33"/>
      <c r="U1053" s="35" t="b">
        <v>1</v>
      </c>
      <c r="V1053" s="35" t="b">
        <v>1</v>
      </c>
      <c r="W1053" s="35" t="b">
        <v>0</v>
      </c>
      <c r="Y1053" s="31" cm="1">
        <f t="array" ref="Y1053">IF(LEFT(_xll.BDP($C1053, VOLUME_AVG_10D), 4) = "#N/A", "",  _xll.BDP($C1053, VOLUME_AVG_10D))</f>
        <v>8010</v>
      </c>
      <c r="Z1053" s="31" cm="1">
        <f t="array" ref="Z1053">IF(LEFT(_xll.BDP($C1053, VOLUME_AVG_30D), 4) = "#N/A", "",  _xll.BDP($C1053, VOLUME_AVG_30D))</f>
        <v>5315.63330078125</v>
      </c>
      <c r="AA1053" s="31" cm="1">
        <f t="array" ref="AA1053">IF(LEFT(_xll.BDP($C1053, VOLUME_AVG_3M), 4) = "#N/A", "",  _xll.BDP($C1053, VOLUME_AVG_3M))</f>
        <v>20784.822265625</v>
      </c>
      <c r="AB1053" s="31" cm="1">
        <f t="array" ref="AB1053">IF(LEFT(_xll.BDP($C1053, VOLUME_AVG_6M), 4) = "#N/A", "",  _xll.BDP($C1053, VOLUME_AVG_6M))</f>
        <v>37339.9609375</v>
      </c>
      <c r="AC1053" s="31" cm="1">
        <f t="array" ref="AC1053">IF(LEFT(_xll.BDP($C1053, VOLUME_AVG_12M), 4) = "#N/A", "",  _xll.BDP($C1053, VOLUME_AVG_12M))</f>
        <v>189890.078125</v>
      </c>
      <c r="AD1053" s="41" cm="1">
        <f t="array" ref="AD1053">IF(LEFT(_xll.BDP($C1053, LAST_PRICE), 4) = "#N/A", "",  _xll.BDP($C1053, LAST_PRICE))</f>
        <v>2.9999999999999997E-4</v>
      </c>
    </row>
    <row r="1054" spans="1:30" x14ac:dyDescent="0.35">
      <c r="A1054" s="1">
        <f t="shared" si="16"/>
        <v>1051</v>
      </c>
      <c r="B1054" s="28">
        <v>45700</v>
      </c>
      <c r="C1054" s="29" t="s">
        <v>2157</v>
      </c>
      <c r="D1054" s="29" t="s">
        <v>2157</v>
      </c>
      <c r="E1054" s="29" t="s">
        <v>2158</v>
      </c>
      <c r="F1054" s="29" t="s">
        <v>33</v>
      </c>
      <c r="G1054" s="30" t="s">
        <v>34</v>
      </c>
      <c r="H1054" s="31"/>
      <c r="I1054" s="31"/>
      <c r="J1054" s="32">
        <v>9.9999999747524292E-7</v>
      </c>
      <c r="K1054" s="33">
        <v>45700</v>
      </c>
      <c r="L1054" s="31"/>
      <c r="M1054" s="32"/>
      <c r="N1054" s="31"/>
      <c r="O1054" s="33">
        <v>45699</v>
      </c>
      <c r="P1054" s="34">
        <v>245089</v>
      </c>
      <c r="Q1054" s="34">
        <v>1314203.5</v>
      </c>
      <c r="R1054" s="34">
        <v>834346.4375</v>
      </c>
      <c r="S1054" s="29"/>
      <c r="T1054" s="33"/>
      <c r="U1054" s="35" t="b">
        <v>1</v>
      </c>
      <c r="V1054" s="35" t="b">
        <v>1</v>
      </c>
      <c r="W1054" s="35" t="b">
        <v>1</v>
      </c>
      <c r="Y1054" s="31" cm="1">
        <f t="array" ref="Y1054">IF(LEFT(_xll.BDP($C1054, VOLUME_AVG_10D), 4) = "#N/A", "",  _xll.BDP($C1054, VOLUME_AVG_10D))</f>
        <v>31085</v>
      </c>
      <c r="Z1054" s="31" cm="1">
        <f t="array" ref="Z1054">IF(LEFT(_xll.BDP($C1054, VOLUME_AVG_30D), 4) = "#N/A", "",  _xll.BDP($C1054, VOLUME_AVG_30D))</f>
        <v>245089</v>
      </c>
      <c r="AA1054" s="31" cm="1">
        <f t="array" ref="AA1054">IF(LEFT(_xll.BDP($C1054, VOLUME_AVG_3M), 4) = "#N/A", "",  _xll.BDP($C1054, VOLUME_AVG_3M))</f>
        <v>1314203.5</v>
      </c>
      <c r="AB1054" s="31" cm="1">
        <f t="array" ref="AB1054">IF(LEFT(_xll.BDP($C1054, VOLUME_AVG_6M), 4) = "#N/A", "",  _xll.BDP($C1054, VOLUME_AVG_6M))</f>
        <v>834346.4375</v>
      </c>
      <c r="AC1054" s="31" cm="1">
        <f t="array" ref="AC1054">IF(LEFT(_xll.BDP($C1054, VOLUME_AVG_12M), 4) = "#N/A", "",  _xll.BDP($C1054, VOLUME_AVG_12M))</f>
        <v>898816.375</v>
      </c>
      <c r="AD1054" s="41" cm="1">
        <f t="array" ref="AD1054">IF(LEFT(_xll.BDP($C1054, LAST_PRICE), 4) = "#N/A", "",  _xll.BDP($C1054, LAST_PRICE))</f>
        <v>0</v>
      </c>
    </row>
    <row r="1055" spans="1:30" x14ac:dyDescent="0.35">
      <c r="A1055" s="1">
        <f t="shared" si="16"/>
        <v>1052</v>
      </c>
      <c r="B1055" s="28">
        <v>45700</v>
      </c>
      <c r="C1055" s="29" t="s">
        <v>2159</v>
      </c>
      <c r="D1055" s="29" t="s">
        <v>2159</v>
      </c>
      <c r="E1055" s="29" t="s">
        <v>2160</v>
      </c>
      <c r="F1055" s="29" t="s">
        <v>33</v>
      </c>
      <c r="G1055" s="30" t="s">
        <v>34</v>
      </c>
      <c r="H1055" s="31">
        <v>1254248490.7988501</v>
      </c>
      <c r="I1055" s="31">
        <v>578025490.79885495</v>
      </c>
      <c r="J1055" s="32">
        <v>7.8299999237060502</v>
      </c>
      <c r="K1055" s="33">
        <v>45700</v>
      </c>
      <c r="L1055" s="31">
        <v>20795200</v>
      </c>
      <c r="M1055" s="32">
        <v>3.65</v>
      </c>
      <c r="N1055" s="31" t="s">
        <v>35</v>
      </c>
      <c r="O1055" s="33">
        <v>45699</v>
      </c>
      <c r="P1055" s="34">
        <v>4308978.5</v>
      </c>
      <c r="Q1055" s="34">
        <v>4507518.5</v>
      </c>
      <c r="R1055" s="34">
        <v>5235130.5</v>
      </c>
      <c r="S1055" s="29" t="s">
        <v>353</v>
      </c>
      <c r="T1055" s="33">
        <v>45446</v>
      </c>
      <c r="U1055" s="35" t="b">
        <v>0</v>
      </c>
      <c r="V1055" s="35" t="b">
        <v>0</v>
      </c>
      <c r="W1055" s="35" t="b">
        <v>0</v>
      </c>
      <c r="Y1055" s="31" cm="1">
        <f t="array" ref="Y1055">IF(LEFT(_xll.BDP($C1055, VOLUME_AVG_10D), 4) = "#N/A", "",  _xll.BDP($C1055, VOLUME_AVG_10D))</f>
        <v>3362797</v>
      </c>
      <c r="Z1055" s="31" cm="1">
        <f t="array" ref="Z1055">IF(LEFT(_xll.BDP($C1055, VOLUME_AVG_30D), 4) = "#N/A", "",  _xll.BDP($C1055, VOLUME_AVG_30D))</f>
        <v>4308978.5</v>
      </c>
      <c r="AA1055" s="31" cm="1">
        <f t="array" ref="AA1055">IF(LEFT(_xll.BDP($C1055, VOLUME_AVG_3M), 4) = "#N/A", "",  _xll.BDP($C1055, VOLUME_AVG_3M))</f>
        <v>4507518.5</v>
      </c>
      <c r="AB1055" s="31" cm="1">
        <f t="array" ref="AB1055">IF(LEFT(_xll.BDP($C1055, VOLUME_AVG_6M), 4) = "#N/A", "",  _xll.BDP($C1055, VOLUME_AVG_6M))</f>
        <v>5235130.5</v>
      </c>
      <c r="AC1055" s="31" cm="1">
        <f t="array" ref="AC1055">IF(LEFT(_xll.BDP($C1055, VOLUME_AVG_12M), 4) = "#N/A", "",  _xll.BDP($C1055, VOLUME_AVG_12M))</f>
        <v>8717197</v>
      </c>
      <c r="AD1055" s="41" cm="1">
        <f t="array" ref="AD1055">IF(LEFT(_xll.BDP($C1055, LAST_PRICE), 4) = "#N/A", "",  _xll.BDP($C1055, LAST_PRICE))</f>
        <v>7.83</v>
      </c>
    </row>
    <row r="1056" spans="1:30" x14ac:dyDescent="0.35">
      <c r="A1056" s="1">
        <f t="shared" si="16"/>
        <v>1053</v>
      </c>
      <c r="B1056" s="28">
        <v>45700</v>
      </c>
      <c r="C1056" s="29" t="s">
        <v>2161</v>
      </c>
      <c r="D1056" s="29" t="s">
        <v>2161</v>
      </c>
      <c r="E1056" s="29" t="s">
        <v>2162</v>
      </c>
      <c r="F1056" s="29" t="s">
        <v>33</v>
      </c>
      <c r="G1056" s="30" t="s">
        <v>34</v>
      </c>
      <c r="H1056" s="31">
        <v>445374.01250000001</v>
      </c>
      <c r="I1056" s="31">
        <v>1589601.0125</v>
      </c>
      <c r="J1056" s="32">
        <v>9.4999999999999998E-3</v>
      </c>
      <c r="K1056" s="33">
        <v>45700</v>
      </c>
      <c r="L1056" s="31"/>
      <c r="M1056" s="32"/>
      <c r="N1056" s="31"/>
      <c r="O1056" s="33">
        <v>45699</v>
      </c>
      <c r="P1056" s="34">
        <v>5057.89990234375</v>
      </c>
      <c r="Q1056" s="34">
        <v>8529.2744140625</v>
      </c>
      <c r="R1056" s="34">
        <v>5402.01611328125</v>
      </c>
      <c r="S1056" s="29"/>
      <c r="T1056" s="33"/>
      <c r="U1056" s="35" t="b">
        <v>1</v>
      </c>
      <c r="V1056" s="35" t="b">
        <v>1</v>
      </c>
      <c r="W1056" s="35" t="b">
        <v>0</v>
      </c>
      <c r="Y1056" s="31" cm="1">
        <f t="array" ref="Y1056">IF(LEFT(_xll.BDP($C1056, VOLUME_AVG_10D), 4) = "#N/A", "",  _xll.BDP($C1056, VOLUME_AVG_10D))</f>
        <v>78.300003051757813</v>
      </c>
      <c r="Z1056" s="31" cm="1">
        <f t="array" ref="Z1056">IF(LEFT(_xll.BDP($C1056, VOLUME_AVG_30D), 4) = "#N/A", "",  _xll.BDP($C1056, VOLUME_AVG_30D))</f>
        <v>5057.89990234375</v>
      </c>
      <c r="AA1056" s="31" cm="1">
        <f t="array" ref="AA1056">IF(LEFT(_xll.BDP($C1056, VOLUME_AVG_3M), 4) = "#N/A", "",  _xll.BDP($C1056, VOLUME_AVG_3M))</f>
        <v>8529.2744140625</v>
      </c>
      <c r="AB1056" s="31" cm="1">
        <f t="array" ref="AB1056">IF(LEFT(_xll.BDP($C1056, VOLUME_AVG_6M), 4) = "#N/A", "",  _xll.BDP($C1056, VOLUME_AVG_6M))</f>
        <v>5402.01611328125</v>
      </c>
      <c r="AC1056" s="31" cm="1">
        <f t="array" ref="AC1056">IF(LEFT(_xll.BDP($C1056, VOLUME_AVG_12M), 4) = "#N/A", "",  _xll.BDP($C1056, VOLUME_AVG_12M))</f>
        <v>2912.2470703125</v>
      </c>
      <c r="AD1056" s="41" cm="1">
        <f t="array" ref="AD1056">IF(LEFT(_xll.BDP($C1056, LAST_PRICE), 4) = "#N/A", "",  _xll.BDP($C1056, LAST_PRICE))</f>
        <v>9.4999999999999998E-3</v>
      </c>
    </row>
    <row r="1057" spans="1:30" x14ac:dyDescent="0.35">
      <c r="A1057" s="1">
        <f t="shared" si="16"/>
        <v>1054</v>
      </c>
      <c r="B1057" s="28">
        <v>45700</v>
      </c>
      <c r="C1057" s="29" t="s">
        <v>2163</v>
      </c>
      <c r="D1057" s="29" t="s">
        <v>2163</v>
      </c>
      <c r="E1057" s="29" t="s">
        <v>2164</v>
      </c>
      <c r="F1057" s="29" t="s">
        <v>33</v>
      </c>
      <c r="G1057" s="30" t="s">
        <v>34</v>
      </c>
      <c r="H1057" s="31">
        <v>1217356.2667131301</v>
      </c>
      <c r="I1057" s="31">
        <v>5717519.2667131303</v>
      </c>
      <c r="J1057" s="32">
        <v>6.1700001358985901E-2</v>
      </c>
      <c r="K1057" s="33">
        <v>45700</v>
      </c>
      <c r="L1057" s="31"/>
      <c r="M1057" s="32"/>
      <c r="N1057" s="31"/>
      <c r="O1057" s="33">
        <v>45699</v>
      </c>
      <c r="P1057" s="34">
        <v>125496.5</v>
      </c>
      <c r="Q1057" s="34">
        <v>147648.21875</v>
      </c>
      <c r="R1057" s="34">
        <v>412209.5625</v>
      </c>
      <c r="S1057" s="29"/>
      <c r="T1057" s="33"/>
      <c r="U1057" s="35" t="b">
        <v>1</v>
      </c>
      <c r="V1057" s="35" t="b">
        <v>1</v>
      </c>
      <c r="W1057" s="35" t="b">
        <v>0</v>
      </c>
      <c r="Y1057" s="31" cm="1">
        <f t="array" ref="Y1057">IF(LEFT(_xll.BDP($C1057, VOLUME_AVG_10D), 4) = "#N/A", "",  _xll.BDP($C1057, VOLUME_AVG_10D))</f>
        <v>33467.69921875</v>
      </c>
      <c r="Z1057" s="31" cm="1">
        <f t="array" ref="Z1057">IF(LEFT(_xll.BDP($C1057, VOLUME_AVG_30D), 4) = "#N/A", "",  _xll.BDP($C1057, VOLUME_AVG_30D))</f>
        <v>125496.5</v>
      </c>
      <c r="AA1057" s="31" cm="1">
        <f t="array" ref="AA1057">IF(LEFT(_xll.BDP($C1057, VOLUME_AVG_3M), 4) = "#N/A", "",  _xll.BDP($C1057, VOLUME_AVG_3M))</f>
        <v>147648.21875</v>
      </c>
      <c r="AB1057" s="31" cm="1">
        <f t="array" ref="AB1057">IF(LEFT(_xll.BDP($C1057, VOLUME_AVG_6M), 4) = "#N/A", "",  _xll.BDP($C1057, VOLUME_AVG_6M))</f>
        <v>412209.5625</v>
      </c>
      <c r="AC1057" s="31" cm="1">
        <f t="array" ref="AC1057">IF(LEFT(_xll.BDP($C1057, VOLUME_AVG_12M), 4) = "#N/A", "",  _xll.BDP($C1057, VOLUME_AVG_12M))</f>
        <v>2184554.5</v>
      </c>
      <c r="AD1057" s="41" cm="1">
        <f t="array" ref="AD1057">IF(LEFT(_xll.BDP($C1057, LAST_PRICE), 4) = "#N/A", "",  _xll.BDP($C1057, LAST_PRICE))</f>
        <v>6.1699999999999998E-2</v>
      </c>
    </row>
    <row r="1058" spans="1:30" x14ac:dyDescent="0.35">
      <c r="A1058" s="1">
        <f t="shared" si="16"/>
        <v>1055</v>
      </c>
      <c r="B1058" s="28">
        <v>45700</v>
      </c>
      <c r="C1058" s="29" t="s">
        <v>2165</v>
      </c>
      <c r="D1058" s="29" t="s">
        <v>2165</v>
      </c>
      <c r="E1058" s="29" t="s">
        <v>2166</v>
      </c>
      <c r="F1058" s="29" t="s">
        <v>33</v>
      </c>
      <c r="G1058" s="30" t="s">
        <v>34</v>
      </c>
      <c r="H1058" s="31">
        <v>2312264735.38626</v>
      </c>
      <c r="I1058" s="31">
        <v>1373510735.38626</v>
      </c>
      <c r="J1058" s="32">
        <v>21.370000839233398</v>
      </c>
      <c r="K1058" s="33">
        <v>45700</v>
      </c>
      <c r="L1058" s="31"/>
      <c r="M1058" s="32"/>
      <c r="N1058" s="31"/>
      <c r="O1058" s="33">
        <v>45699</v>
      </c>
      <c r="P1058" s="34">
        <v>870489.25</v>
      </c>
      <c r="Q1058" s="34">
        <v>1188124.25</v>
      </c>
      <c r="R1058" s="34">
        <v>1126811.5</v>
      </c>
      <c r="S1058" s="29"/>
      <c r="T1058" s="33"/>
      <c r="U1058" s="35" t="b">
        <v>0</v>
      </c>
      <c r="V1058" s="35" t="b">
        <v>0</v>
      </c>
      <c r="W1058" s="35" t="b">
        <v>0</v>
      </c>
      <c r="Y1058" s="31" cm="1">
        <f t="array" ref="Y1058">IF(LEFT(_xll.BDP($C1058, VOLUME_AVG_10D), 4) = "#N/A", "",  _xll.BDP($C1058, VOLUME_AVG_10D))</f>
        <v>758859.875</v>
      </c>
      <c r="Z1058" s="31" cm="1">
        <f t="array" ref="Z1058">IF(LEFT(_xll.BDP($C1058, VOLUME_AVG_30D), 4) = "#N/A", "",  _xll.BDP($C1058, VOLUME_AVG_30D))</f>
        <v>870489.25</v>
      </c>
      <c r="AA1058" s="31" cm="1">
        <f t="array" ref="AA1058">IF(LEFT(_xll.BDP($C1058, VOLUME_AVG_3M), 4) = "#N/A", "",  _xll.BDP($C1058, VOLUME_AVG_3M))</f>
        <v>1188124.25</v>
      </c>
      <c r="AB1058" s="31" cm="1">
        <f t="array" ref="AB1058">IF(LEFT(_xll.BDP($C1058, VOLUME_AVG_6M), 4) = "#N/A", "",  _xll.BDP($C1058, VOLUME_AVG_6M))</f>
        <v>1126811.5</v>
      </c>
      <c r="AC1058" s="31" cm="1">
        <f t="array" ref="AC1058">IF(LEFT(_xll.BDP($C1058, VOLUME_AVG_12M), 4) = "#N/A", "",  _xll.BDP($C1058, VOLUME_AVG_12M))</f>
        <v>1268709</v>
      </c>
      <c r="AD1058" s="41" cm="1">
        <f t="array" ref="AD1058">IF(LEFT(_xll.BDP($C1058, LAST_PRICE), 4) = "#N/A", "",  _xll.BDP($C1058, LAST_PRICE))</f>
        <v>21.37</v>
      </c>
    </row>
    <row r="1059" spans="1:30" x14ac:dyDescent="0.35">
      <c r="A1059" s="1">
        <f t="shared" si="16"/>
        <v>1056</v>
      </c>
      <c r="B1059" s="28">
        <v>45700</v>
      </c>
      <c r="C1059" s="29" t="s">
        <v>2167</v>
      </c>
      <c r="D1059" s="29" t="s">
        <v>2167</v>
      </c>
      <c r="E1059" s="29" t="s">
        <v>2168</v>
      </c>
      <c r="F1059" s="29" t="s">
        <v>33</v>
      </c>
      <c r="G1059" s="30" t="s">
        <v>34</v>
      </c>
      <c r="H1059" s="31">
        <v>35556637.052029602</v>
      </c>
      <c r="I1059" s="31">
        <v>39945637.052029602</v>
      </c>
      <c r="J1059" s="32">
        <v>2.9400000572204599</v>
      </c>
      <c r="K1059" s="33">
        <v>45700</v>
      </c>
      <c r="L1059" s="31">
        <v>238600</v>
      </c>
      <c r="M1059" s="32">
        <v>-4.25</v>
      </c>
      <c r="N1059" s="31" t="s">
        <v>35</v>
      </c>
      <c r="O1059" s="33">
        <v>45699</v>
      </c>
      <c r="P1059" s="34">
        <v>2048308.375</v>
      </c>
      <c r="Q1059" s="34">
        <v>1168067.125</v>
      </c>
      <c r="R1059" s="34">
        <v>632427.625</v>
      </c>
      <c r="S1059" s="29"/>
      <c r="T1059" s="33"/>
      <c r="U1059" s="35" t="b">
        <v>0</v>
      </c>
      <c r="V1059" s="35" t="b">
        <v>0</v>
      </c>
      <c r="W1059" s="35" t="b">
        <v>0</v>
      </c>
      <c r="Y1059" s="31" cm="1">
        <f t="array" ref="Y1059">IF(LEFT(_xll.BDP($C1059, VOLUME_AVG_10D), 4) = "#N/A", "",  _xll.BDP($C1059, VOLUME_AVG_10D))</f>
        <v>470689.90625</v>
      </c>
      <c r="Z1059" s="31" cm="1">
        <f t="array" ref="Z1059">IF(LEFT(_xll.BDP($C1059, VOLUME_AVG_30D), 4) = "#N/A", "",  _xll.BDP($C1059, VOLUME_AVG_30D))</f>
        <v>2048308.375</v>
      </c>
      <c r="AA1059" s="31" cm="1">
        <f t="array" ref="AA1059">IF(LEFT(_xll.BDP($C1059, VOLUME_AVG_3M), 4) = "#N/A", "",  _xll.BDP($C1059, VOLUME_AVG_3M))</f>
        <v>1168067.125</v>
      </c>
      <c r="AB1059" s="31" cm="1">
        <f t="array" ref="AB1059">IF(LEFT(_xll.BDP($C1059, VOLUME_AVG_6M), 4) = "#N/A", "",  _xll.BDP($C1059, VOLUME_AVG_6M))</f>
        <v>632427.625</v>
      </c>
      <c r="AC1059" s="31" cm="1">
        <f t="array" ref="AC1059">IF(LEFT(_xll.BDP($C1059, VOLUME_AVG_12M), 4) = "#N/A", "",  _xll.BDP($C1059, VOLUME_AVG_12M))</f>
        <v>453848.90625</v>
      </c>
      <c r="AD1059" s="41" cm="1">
        <f t="array" ref="AD1059">IF(LEFT(_xll.BDP($C1059, LAST_PRICE), 4) = "#N/A", "",  _xll.BDP($C1059, LAST_PRICE))</f>
        <v>2.94</v>
      </c>
    </row>
    <row r="1060" spans="1:30" x14ac:dyDescent="0.35">
      <c r="A1060" s="1">
        <f t="shared" si="16"/>
        <v>1057</v>
      </c>
      <c r="B1060" s="28">
        <v>45700</v>
      </c>
      <c r="C1060" s="29" t="s">
        <v>2169</v>
      </c>
      <c r="D1060" s="29" t="s">
        <v>2169</v>
      </c>
      <c r="E1060" s="29" t="s">
        <v>2170</v>
      </c>
      <c r="F1060" s="29" t="s">
        <v>33</v>
      </c>
      <c r="G1060" s="30" t="s">
        <v>34</v>
      </c>
      <c r="H1060" s="31">
        <v>3392872.0564365401</v>
      </c>
      <c r="I1060" s="31">
        <v>-8410916.7215896901</v>
      </c>
      <c r="J1060" s="32">
        <v>0.86000001430511497</v>
      </c>
      <c r="K1060" s="33">
        <v>45700</v>
      </c>
      <c r="L1060" s="31">
        <v>292000</v>
      </c>
      <c r="M1060" s="32">
        <v>-412.75</v>
      </c>
      <c r="N1060" s="31" t="s">
        <v>35</v>
      </c>
      <c r="O1060" s="33">
        <v>45699</v>
      </c>
      <c r="P1060" s="34">
        <v>172989.265625</v>
      </c>
      <c r="Q1060" s="34">
        <v>140143.265625</v>
      </c>
      <c r="R1060" s="34">
        <v>806174.8125</v>
      </c>
      <c r="S1060" s="29"/>
      <c r="T1060" s="33"/>
      <c r="U1060" s="35" t="b">
        <v>1</v>
      </c>
      <c r="V1060" s="35" t="b">
        <v>0</v>
      </c>
      <c r="W1060" s="35" t="b">
        <v>1</v>
      </c>
      <c r="Y1060" s="31" cm="1">
        <f t="array" ref="Y1060">IF(LEFT(_xll.BDP($C1060, VOLUME_AVG_10D), 4) = "#N/A", "",  _xll.BDP($C1060, VOLUME_AVG_10D))</f>
        <v>55209.19921875</v>
      </c>
      <c r="Z1060" s="31" cm="1">
        <f t="array" ref="Z1060">IF(LEFT(_xll.BDP($C1060, VOLUME_AVG_30D), 4) = "#N/A", "",  _xll.BDP($C1060, VOLUME_AVG_30D))</f>
        <v>172989.265625</v>
      </c>
      <c r="AA1060" s="31" cm="1">
        <f t="array" ref="AA1060">IF(LEFT(_xll.BDP($C1060, VOLUME_AVG_3M), 4) = "#N/A", "",  _xll.BDP($C1060, VOLUME_AVG_3M))</f>
        <v>140143.265625</v>
      </c>
      <c r="AB1060" s="31" cm="1">
        <f t="array" ref="AB1060">IF(LEFT(_xll.BDP($C1060, VOLUME_AVG_6M), 4) = "#N/A", "",  _xll.BDP($C1060, VOLUME_AVG_6M))</f>
        <v>806174.8125</v>
      </c>
      <c r="AC1060" s="31" cm="1">
        <f t="array" ref="AC1060">IF(LEFT(_xll.BDP($C1060, VOLUME_AVG_12M), 4) = "#N/A", "",  _xll.BDP($C1060, VOLUME_AVG_12M))</f>
        <v>430528.1875</v>
      </c>
      <c r="AD1060" s="41" cm="1">
        <f t="array" ref="AD1060">IF(LEFT(_xll.BDP($C1060, LAST_PRICE), 4) = "#N/A", "",  _xll.BDP($C1060, LAST_PRICE))</f>
        <v>0.86</v>
      </c>
    </row>
    <row r="1061" spans="1:30" x14ac:dyDescent="0.35">
      <c r="A1061" s="1">
        <f t="shared" si="16"/>
        <v>1058</v>
      </c>
      <c r="B1061" s="28">
        <v>45700</v>
      </c>
      <c r="C1061" s="29" t="s">
        <v>2171</v>
      </c>
      <c r="D1061" s="29" t="s">
        <v>2171</v>
      </c>
      <c r="E1061" s="29" t="s">
        <v>2172</v>
      </c>
      <c r="F1061" s="29" t="s">
        <v>40</v>
      </c>
      <c r="G1061" s="30" t="s">
        <v>41</v>
      </c>
      <c r="H1061" s="31">
        <v>16116055</v>
      </c>
      <c r="I1061" s="31">
        <v>19491832</v>
      </c>
      <c r="J1061" s="32">
        <v>0.05</v>
      </c>
      <c r="K1061" s="33">
        <v>45700</v>
      </c>
      <c r="L1061" s="31">
        <v>1389400</v>
      </c>
      <c r="M1061" s="32">
        <v>0.2</v>
      </c>
      <c r="N1061" s="31" t="s">
        <v>35</v>
      </c>
      <c r="O1061" s="33">
        <v>45699</v>
      </c>
      <c r="P1061" s="34">
        <v>426532.7</v>
      </c>
      <c r="Q1061" s="34">
        <v>1279647</v>
      </c>
      <c r="R1061" s="34">
        <v>975065.4</v>
      </c>
      <c r="S1061" s="29"/>
      <c r="T1061" s="33"/>
      <c r="U1061" s="35" t="b">
        <v>1</v>
      </c>
      <c r="V1061" s="35" t="b">
        <v>1</v>
      </c>
      <c r="W1061" s="35" t="b">
        <v>0</v>
      </c>
      <c r="Y1061" s="31" cm="1">
        <f t="array" ref="Y1061">IF(LEFT(_xll.BDP($C1061, VOLUME_AVG_10D), 4) = "#N/A", "",  _xll.BDP($C1061, VOLUME_AVG_10D))</f>
        <v>155437.6</v>
      </c>
      <c r="Z1061" s="31" cm="1">
        <f t="array" ref="Z1061">IF(LEFT(_xll.BDP($C1061, VOLUME_AVG_30D), 4) = "#N/A", "",  _xll.BDP($C1061, VOLUME_AVG_30D))</f>
        <v>426532.7</v>
      </c>
      <c r="AA1061" s="31" cm="1">
        <f t="array" ref="AA1061">IF(LEFT(_xll.BDP($C1061, VOLUME_AVG_3M), 4) = "#N/A", "",  _xll.BDP($C1061, VOLUME_AVG_3M))</f>
        <v>1279647</v>
      </c>
      <c r="AB1061" s="31" cm="1">
        <f t="array" ref="AB1061">IF(LEFT(_xll.BDP($C1061, VOLUME_AVG_6M), 4) = "#N/A", "",  _xll.BDP($C1061, VOLUME_AVG_6M))</f>
        <v>975065.4</v>
      </c>
      <c r="AC1061" s="31" cm="1">
        <f t="array" ref="AC1061">IF(LEFT(_xll.BDP($C1061, VOLUME_AVG_12M), 4) = "#N/A", "",  _xll.BDP($C1061, VOLUME_AVG_12M))</f>
        <v>1129459</v>
      </c>
      <c r="AD1061" s="41" cm="1">
        <f t="array" ref="AD1061">IF(LEFT(_xll.BDP($C1061, LAST_PRICE), 4) = "#N/A", "",  _xll.BDP($C1061, LAST_PRICE))</f>
        <v>0.05</v>
      </c>
    </row>
    <row r="1062" spans="1:30" x14ac:dyDescent="0.35">
      <c r="A1062" s="1">
        <f t="shared" si="16"/>
        <v>1059</v>
      </c>
      <c r="B1062" s="28">
        <v>45700</v>
      </c>
      <c r="C1062" s="29" t="s">
        <v>2173</v>
      </c>
      <c r="D1062" s="29" t="s">
        <v>2173</v>
      </c>
      <c r="E1062" s="29" t="s">
        <v>2174</v>
      </c>
      <c r="F1062" s="29" t="s">
        <v>33</v>
      </c>
      <c r="G1062" s="30" t="s">
        <v>34</v>
      </c>
      <c r="H1062" s="31">
        <v>1313600761.74207</v>
      </c>
      <c r="I1062" s="31">
        <v>732320761.74206698</v>
      </c>
      <c r="J1062" s="32">
        <v>17.309999465942401</v>
      </c>
      <c r="K1062" s="33">
        <v>45700</v>
      </c>
      <c r="L1062" s="31">
        <v>15043400</v>
      </c>
      <c r="M1062" s="32">
        <v>3.88</v>
      </c>
      <c r="N1062" s="31" t="s">
        <v>35</v>
      </c>
      <c r="O1062" s="33">
        <v>45699</v>
      </c>
      <c r="P1062" s="34">
        <v>691228.5625</v>
      </c>
      <c r="Q1062" s="34">
        <v>820569.75</v>
      </c>
      <c r="R1062" s="34">
        <v>777932.125</v>
      </c>
      <c r="S1062" s="29" t="s">
        <v>46</v>
      </c>
      <c r="T1062" s="33">
        <v>45446</v>
      </c>
      <c r="U1062" s="35" t="b">
        <v>0</v>
      </c>
      <c r="V1062" s="35" t="b">
        <v>0</v>
      </c>
      <c r="W1062" s="35" t="b">
        <v>0</v>
      </c>
      <c r="Y1062" s="31" cm="1">
        <f t="array" ref="Y1062">IF(LEFT(_xll.BDP($C1062, VOLUME_AVG_10D), 4) = "#N/A", "",  _xll.BDP($C1062, VOLUME_AVG_10D))</f>
        <v>723831.125</v>
      </c>
      <c r="Z1062" s="31" cm="1">
        <f t="array" ref="Z1062">IF(LEFT(_xll.BDP($C1062, VOLUME_AVG_30D), 4) = "#N/A", "",  _xll.BDP($C1062, VOLUME_AVG_30D))</f>
        <v>691228.5625</v>
      </c>
      <c r="AA1062" s="31" cm="1">
        <f t="array" ref="AA1062">IF(LEFT(_xll.BDP($C1062, VOLUME_AVG_3M), 4) = "#N/A", "",  _xll.BDP($C1062, VOLUME_AVG_3M))</f>
        <v>820569.75</v>
      </c>
      <c r="AB1062" s="31" cm="1">
        <f t="array" ref="AB1062">IF(LEFT(_xll.BDP($C1062, VOLUME_AVG_6M), 4) = "#N/A", "",  _xll.BDP($C1062, VOLUME_AVG_6M))</f>
        <v>777932.125</v>
      </c>
      <c r="AC1062" s="31" cm="1">
        <f t="array" ref="AC1062">IF(LEFT(_xll.BDP($C1062, VOLUME_AVG_12M), 4) = "#N/A", "",  _xll.BDP($C1062, VOLUME_AVG_12M))</f>
        <v>912804.5625</v>
      </c>
      <c r="AD1062" s="41" cm="1">
        <f t="array" ref="AD1062">IF(LEFT(_xll.BDP($C1062, LAST_PRICE), 4) = "#N/A", "",  _xll.BDP($C1062, LAST_PRICE))</f>
        <v>17.309999999999999</v>
      </c>
    </row>
    <row r="1063" spans="1:30" x14ac:dyDescent="0.35">
      <c r="A1063" s="1">
        <f t="shared" si="16"/>
        <v>1060</v>
      </c>
      <c r="B1063" s="28">
        <v>45700</v>
      </c>
      <c r="C1063" s="29" t="s">
        <v>2175</v>
      </c>
      <c r="D1063" s="29" t="s">
        <v>2175</v>
      </c>
      <c r="E1063" s="29" t="s">
        <v>2176</v>
      </c>
      <c r="F1063" s="29" t="s">
        <v>33</v>
      </c>
      <c r="G1063" s="30" t="s">
        <v>34</v>
      </c>
      <c r="H1063" s="31">
        <v>316977270.75189602</v>
      </c>
      <c r="I1063" s="31">
        <v>592645311.75189602</v>
      </c>
      <c r="J1063" s="32">
        <v>58.299999237060497</v>
      </c>
      <c r="K1063" s="33">
        <v>45700</v>
      </c>
      <c r="L1063" s="31">
        <v>213900</v>
      </c>
      <c r="M1063" s="32">
        <v>2.5</v>
      </c>
      <c r="N1063" s="31" t="s">
        <v>35</v>
      </c>
      <c r="O1063" s="33">
        <v>45699</v>
      </c>
      <c r="P1063" s="34">
        <v>39829.80078125</v>
      </c>
      <c r="Q1063" s="34">
        <v>46213.8046875</v>
      </c>
      <c r="R1063" s="34">
        <v>60189.0390625</v>
      </c>
      <c r="S1063" s="29"/>
      <c r="T1063" s="33"/>
      <c r="U1063" s="35" t="b">
        <v>0</v>
      </c>
      <c r="V1063" s="35" t="b">
        <v>0</v>
      </c>
      <c r="W1063" s="35" t="b">
        <v>0</v>
      </c>
      <c r="Y1063" s="31" cm="1">
        <f t="array" ref="Y1063">IF(LEFT(_xll.BDP($C1063, VOLUME_AVG_10D), 4) = "#N/A", "",  _xll.BDP($C1063, VOLUME_AVG_10D))</f>
        <v>54024.19921875</v>
      </c>
      <c r="Z1063" s="31" cm="1">
        <f t="array" ref="Z1063">IF(LEFT(_xll.BDP($C1063, VOLUME_AVG_30D), 4) = "#N/A", "",  _xll.BDP($C1063, VOLUME_AVG_30D))</f>
        <v>39829.80078125</v>
      </c>
      <c r="AA1063" s="31" cm="1">
        <f t="array" ref="AA1063">IF(LEFT(_xll.BDP($C1063, VOLUME_AVG_3M), 4) = "#N/A", "",  _xll.BDP($C1063, VOLUME_AVG_3M))</f>
        <v>46213.8046875</v>
      </c>
      <c r="AB1063" s="31" cm="1">
        <f t="array" ref="AB1063">IF(LEFT(_xll.BDP($C1063, VOLUME_AVG_6M), 4) = "#N/A", "",  _xll.BDP($C1063, VOLUME_AVG_6M))</f>
        <v>60189.0390625</v>
      </c>
      <c r="AC1063" s="31" cm="1">
        <f t="array" ref="AC1063">IF(LEFT(_xll.BDP($C1063, VOLUME_AVG_12M), 4) = "#N/A", "",  _xll.BDP($C1063, VOLUME_AVG_12M))</f>
        <v>45624.375</v>
      </c>
      <c r="AD1063" s="41" cm="1">
        <f t="array" ref="AD1063">IF(LEFT(_xll.BDP($C1063, LAST_PRICE), 4) = "#N/A", "",  _xll.BDP($C1063, LAST_PRICE))</f>
        <v>58.3</v>
      </c>
    </row>
    <row r="1064" spans="1:30" x14ac:dyDescent="0.35">
      <c r="A1064" s="1">
        <f t="shared" si="16"/>
        <v>1061</v>
      </c>
      <c r="B1064" s="28">
        <v>45700</v>
      </c>
      <c r="C1064" s="29" t="s">
        <v>2177</v>
      </c>
      <c r="D1064" s="29" t="s">
        <v>2177</v>
      </c>
      <c r="E1064" s="29" t="s">
        <v>2178</v>
      </c>
      <c r="F1064" s="29" t="s">
        <v>33</v>
      </c>
      <c r="G1064" s="30" t="s">
        <v>34</v>
      </c>
      <c r="H1064" s="31">
        <v>759685.22140000004</v>
      </c>
      <c r="I1064" s="31">
        <v>10390747.2214</v>
      </c>
      <c r="J1064" s="32">
        <v>1E-4</v>
      </c>
      <c r="K1064" s="33">
        <v>45700</v>
      </c>
      <c r="L1064" s="31"/>
      <c r="M1064" s="32"/>
      <c r="N1064" s="31"/>
      <c r="O1064" s="33">
        <v>45699</v>
      </c>
      <c r="P1064" s="34">
        <v>188668.46875</v>
      </c>
      <c r="Q1064" s="34">
        <v>202118.28125</v>
      </c>
      <c r="R1064" s="34">
        <v>103192.4609375</v>
      </c>
      <c r="S1064" s="29"/>
      <c r="T1064" s="33"/>
      <c r="U1064" s="35" t="b">
        <v>1</v>
      </c>
      <c r="V1064" s="35" t="b">
        <v>1</v>
      </c>
      <c r="W1064" s="35" t="b">
        <v>0</v>
      </c>
      <c r="Y1064" s="31" cm="1">
        <f t="array" ref="Y1064">IF(LEFT(_xll.BDP($C1064, VOLUME_AVG_10D), 4) = "#N/A", "",  _xll.BDP($C1064, VOLUME_AVG_10D))</f>
        <v>8170.89990234375</v>
      </c>
      <c r="Z1064" s="31" cm="1">
        <f t="array" ref="Z1064">IF(LEFT(_xll.BDP($C1064, VOLUME_AVG_30D), 4) = "#N/A", "",  _xll.BDP($C1064, VOLUME_AVG_30D))</f>
        <v>188668.46875</v>
      </c>
      <c r="AA1064" s="31" cm="1">
        <f t="array" ref="AA1064">IF(LEFT(_xll.BDP($C1064, VOLUME_AVG_3M), 4) = "#N/A", "",  _xll.BDP($C1064, VOLUME_AVG_3M))</f>
        <v>202118.28125</v>
      </c>
      <c r="AB1064" s="31" cm="1">
        <f t="array" ref="AB1064">IF(LEFT(_xll.BDP($C1064, VOLUME_AVG_6M), 4) = "#N/A", "",  _xll.BDP($C1064, VOLUME_AVG_6M))</f>
        <v>103192.4609375</v>
      </c>
      <c r="AC1064" s="31" cm="1">
        <f t="array" ref="AC1064">IF(LEFT(_xll.BDP($C1064, VOLUME_AVG_12M), 4) = "#N/A", "",  _xll.BDP($C1064, VOLUME_AVG_12M))</f>
        <v>145043.109375</v>
      </c>
      <c r="AD1064" s="41" cm="1">
        <f t="array" ref="AD1064">IF(LEFT(_xll.BDP($C1064, LAST_PRICE), 4) = "#N/A", "",  _xll.BDP($C1064, LAST_PRICE))</f>
        <v>1E-4</v>
      </c>
    </row>
    <row r="1065" spans="1:30" x14ac:dyDescent="0.35">
      <c r="A1065" s="1">
        <f t="shared" si="16"/>
        <v>1062</v>
      </c>
      <c r="B1065" s="28">
        <v>45700</v>
      </c>
      <c r="C1065" s="29" t="s">
        <v>2179</v>
      </c>
      <c r="D1065" s="29" t="s">
        <v>2179</v>
      </c>
      <c r="E1065" s="29" t="s">
        <v>2180</v>
      </c>
      <c r="F1065" s="29" t="s">
        <v>33</v>
      </c>
      <c r="G1065" s="30" t="s">
        <v>34</v>
      </c>
      <c r="H1065" s="31">
        <v>79076035.928997993</v>
      </c>
      <c r="I1065" s="31">
        <v>73578329.928997993</v>
      </c>
      <c r="J1065" s="32">
        <v>7.1199998855590803</v>
      </c>
      <c r="K1065" s="33">
        <v>45700</v>
      </c>
      <c r="L1065" s="31">
        <v>25900</v>
      </c>
      <c r="M1065" s="32">
        <v>-4.25</v>
      </c>
      <c r="N1065" s="31" t="s">
        <v>35</v>
      </c>
      <c r="O1065" s="33">
        <v>45699</v>
      </c>
      <c r="P1065" s="34">
        <v>365942.46875</v>
      </c>
      <c r="Q1065" s="34">
        <v>190112.859375</v>
      </c>
      <c r="R1065" s="34">
        <v>110215.7421875</v>
      </c>
      <c r="S1065" s="29"/>
      <c r="T1065" s="33"/>
      <c r="U1065" s="35" t="b">
        <v>0</v>
      </c>
      <c r="V1065" s="35" t="b">
        <v>0</v>
      </c>
      <c r="W1065" s="35" t="b">
        <v>0</v>
      </c>
      <c r="Y1065" s="31" cm="1">
        <f t="array" ref="Y1065">IF(LEFT(_xll.BDP($C1065, VOLUME_AVG_10D), 4) = "#N/A", "",  _xll.BDP($C1065, VOLUME_AVG_10D))</f>
        <v>190433.296875</v>
      </c>
      <c r="Z1065" s="31" cm="1">
        <f t="array" ref="Z1065">IF(LEFT(_xll.BDP($C1065, VOLUME_AVG_30D), 4) = "#N/A", "",  _xll.BDP($C1065, VOLUME_AVG_30D))</f>
        <v>365942.46875</v>
      </c>
      <c r="AA1065" s="31" cm="1">
        <f t="array" ref="AA1065">IF(LEFT(_xll.BDP($C1065, VOLUME_AVG_3M), 4) = "#N/A", "",  _xll.BDP($C1065, VOLUME_AVG_3M))</f>
        <v>190112.859375</v>
      </c>
      <c r="AB1065" s="31" cm="1">
        <f t="array" ref="AB1065">IF(LEFT(_xll.BDP($C1065, VOLUME_AVG_6M), 4) = "#N/A", "",  _xll.BDP($C1065, VOLUME_AVG_6M))</f>
        <v>110215.7421875</v>
      </c>
      <c r="AC1065" s="31" cm="1">
        <f t="array" ref="AC1065">IF(LEFT(_xll.BDP($C1065, VOLUME_AVG_12M), 4) = "#N/A", "",  _xll.BDP($C1065, VOLUME_AVG_12M))</f>
        <v>76516.109375</v>
      </c>
      <c r="AD1065" s="41" cm="1">
        <f t="array" ref="AD1065">IF(LEFT(_xll.BDP($C1065, LAST_PRICE), 4) = "#N/A", "",  _xll.BDP($C1065, LAST_PRICE))</f>
        <v>7.12</v>
      </c>
    </row>
    <row r="1066" spans="1:30" x14ac:dyDescent="0.35">
      <c r="A1066" s="1">
        <f t="shared" si="16"/>
        <v>1063</v>
      </c>
      <c r="B1066" s="28">
        <v>45700</v>
      </c>
      <c r="C1066" s="29" t="s">
        <v>2181</v>
      </c>
      <c r="D1066" s="29" t="s">
        <v>2181</v>
      </c>
      <c r="E1066" s="29" t="s">
        <v>2182</v>
      </c>
      <c r="F1066" s="29" t="s">
        <v>33</v>
      </c>
      <c r="G1066" s="30" t="s">
        <v>34</v>
      </c>
      <c r="H1066" s="31">
        <v>5772309741.3753595</v>
      </c>
      <c r="I1066" s="31">
        <v>5052404741.3753595</v>
      </c>
      <c r="J1066" s="32">
        <v>81.239997863769503</v>
      </c>
      <c r="K1066" s="33">
        <v>45700</v>
      </c>
      <c r="L1066" s="31">
        <v>11643500</v>
      </c>
      <c r="M1066" s="32">
        <v>3.88</v>
      </c>
      <c r="N1066" s="31" t="s">
        <v>35</v>
      </c>
      <c r="O1066" s="33">
        <v>45699</v>
      </c>
      <c r="P1066" s="34">
        <v>502121.28125</v>
      </c>
      <c r="Q1066" s="34">
        <v>458288.1875</v>
      </c>
      <c r="R1066" s="34">
        <v>485220.875</v>
      </c>
      <c r="S1066" s="29" t="s">
        <v>46</v>
      </c>
      <c r="T1066" s="33">
        <v>45446</v>
      </c>
      <c r="U1066" s="35" t="b">
        <v>0</v>
      </c>
      <c r="V1066" s="35" t="b">
        <v>0</v>
      </c>
      <c r="W1066" s="35" t="b">
        <v>0</v>
      </c>
      <c r="Y1066" s="31" cm="1">
        <f t="array" ref="Y1066">IF(LEFT(_xll.BDP($C1066, VOLUME_AVG_10D), 4) = "#N/A", "",  _xll.BDP($C1066, VOLUME_AVG_10D))</f>
        <v>389208.59375</v>
      </c>
      <c r="Z1066" s="31" cm="1">
        <f t="array" ref="Z1066">IF(LEFT(_xll.BDP($C1066, VOLUME_AVG_30D), 4) = "#N/A", "",  _xll.BDP($C1066, VOLUME_AVG_30D))</f>
        <v>502121.28125</v>
      </c>
      <c r="AA1066" s="31" cm="1">
        <f t="array" ref="AA1066">IF(LEFT(_xll.BDP($C1066, VOLUME_AVG_3M), 4) = "#N/A", "",  _xll.BDP($C1066, VOLUME_AVG_3M))</f>
        <v>458288.1875</v>
      </c>
      <c r="AB1066" s="31" cm="1">
        <f t="array" ref="AB1066">IF(LEFT(_xll.BDP($C1066, VOLUME_AVG_6M), 4) = "#N/A", "",  _xll.BDP($C1066, VOLUME_AVG_6M))</f>
        <v>485220.875</v>
      </c>
      <c r="AC1066" s="31" cm="1">
        <f t="array" ref="AC1066">IF(LEFT(_xll.BDP($C1066, VOLUME_AVG_12M), 4) = "#N/A", "",  _xll.BDP($C1066, VOLUME_AVG_12M))</f>
        <v>457406.40625</v>
      </c>
      <c r="AD1066" s="41" cm="1">
        <f t="array" ref="AD1066">IF(LEFT(_xll.BDP($C1066, LAST_PRICE), 4) = "#N/A", "",  _xll.BDP($C1066, LAST_PRICE))</f>
        <v>81.239999999999995</v>
      </c>
    </row>
    <row r="1067" spans="1:30" x14ac:dyDescent="0.35">
      <c r="A1067" s="1">
        <f t="shared" si="16"/>
        <v>1064</v>
      </c>
      <c r="B1067" s="28">
        <v>45700</v>
      </c>
      <c r="C1067" s="29" t="s">
        <v>2183</v>
      </c>
      <c r="D1067" s="29" t="s">
        <v>2183</v>
      </c>
      <c r="E1067" s="29" t="s">
        <v>2184</v>
      </c>
      <c r="F1067" s="29" t="s">
        <v>33</v>
      </c>
      <c r="G1067" s="30" t="s">
        <v>34</v>
      </c>
      <c r="H1067" s="31">
        <v>769651667.34214401</v>
      </c>
      <c r="I1067" s="31">
        <v>231708667.34214401</v>
      </c>
      <c r="J1067" s="32">
        <v>2.2799999713897701</v>
      </c>
      <c r="K1067" s="33">
        <v>45700</v>
      </c>
      <c r="L1067" s="31">
        <v>32468700</v>
      </c>
      <c r="M1067" s="32">
        <v>3.88</v>
      </c>
      <c r="N1067" s="31" t="s">
        <v>35</v>
      </c>
      <c r="O1067" s="33">
        <v>45699</v>
      </c>
      <c r="P1067" s="34">
        <v>2491417.5</v>
      </c>
      <c r="Q1067" s="34">
        <v>2566983.25</v>
      </c>
      <c r="R1067" s="34">
        <v>2069688.75</v>
      </c>
      <c r="S1067" s="29" t="s">
        <v>46</v>
      </c>
      <c r="T1067" s="33">
        <v>45446</v>
      </c>
      <c r="U1067" s="35" t="b">
        <v>0</v>
      </c>
      <c r="V1067" s="35" t="b">
        <v>0</v>
      </c>
      <c r="W1067" s="35" t="b">
        <v>0</v>
      </c>
      <c r="Y1067" s="31" cm="1">
        <f t="array" ref="Y1067">IF(LEFT(_xll.BDP($C1067, VOLUME_AVG_10D), 4) = "#N/A", "",  _xll.BDP($C1067, VOLUME_AVG_10D))</f>
        <v>1832075.25</v>
      </c>
      <c r="Z1067" s="31" cm="1">
        <f t="array" ref="Z1067">IF(LEFT(_xll.BDP($C1067, VOLUME_AVG_30D), 4) = "#N/A", "",  _xll.BDP($C1067, VOLUME_AVG_30D))</f>
        <v>2491417.5</v>
      </c>
      <c r="AA1067" s="31" cm="1">
        <f t="array" ref="AA1067">IF(LEFT(_xll.BDP($C1067, VOLUME_AVG_3M), 4) = "#N/A", "",  _xll.BDP($C1067, VOLUME_AVG_3M))</f>
        <v>2566983.25</v>
      </c>
      <c r="AB1067" s="31" cm="1">
        <f t="array" ref="AB1067">IF(LEFT(_xll.BDP($C1067, VOLUME_AVG_6M), 4) = "#N/A", "",  _xll.BDP($C1067, VOLUME_AVG_6M))</f>
        <v>2069688.75</v>
      </c>
      <c r="AC1067" s="31" cm="1">
        <f t="array" ref="AC1067">IF(LEFT(_xll.BDP($C1067, VOLUME_AVG_12M), 4) = "#N/A", "",  _xll.BDP($C1067, VOLUME_AVG_12M))</f>
        <v>1820805.375</v>
      </c>
      <c r="AD1067" s="41" cm="1">
        <f t="array" ref="AD1067">IF(LEFT(_xll.BDP($C1067, LAST_PRICE), 4) = "#N/A", "",  _xll.BDP($C1067, LAST_PRICE))</f>
        <v>2.2799999999999998</v>
      </c>
    </row>
    <row r="1068" spans="1:30" x14ac:dyDescent="0.35">
      <c r="A1068" s="1">
        <f t="shared" si="16"/>
        <v>1065</v>
      </c>
      <c r="B1068" s="28">
        <v>45700</v>
      </c>
      <c r="C1068" s="29" t="s">
        <v>2185</v>
      </c>
      <c r="D1068" s="29" t="s">
        <v>2185</v>
      </c>
      <c r="E1068" s="29" t="s">
        <v>2186</v>
      </c>
      <c r="F1068" s="29" t="s">
        <v>33</v>
      </c>
      <c r="G1068" s="30" t="s">
        <v>34</v>
      </c>
      <c r="H1068" s="31">
        <v>166762994.885665</v>
      </c>
      <c r="I1068" s="31">
        <v>149593994.885665</v>
      </c>
      <c r="J1068" s="32">
        <v>6.8600001335143999</v>
      </c>
      <c r="K1068" s="33">
        <v>45700</v>
      </c>
      <c r="L1068" s="31">
        <v>19600</v>
      </c>
      <c r="M1068" s="32">
        <v>-24.4</v>
      </c>
      <c r="N1068" s="31" t="s">
        <v>35</v>
      </c>
      <c r="O1068" s="33">
        <v>45699</v>
      </c>
      <c r="P1068" s="34">
        <v>117187.53125</v>
      </c>
      <c r="Q1068" s="34">
        <v>158153.859375</v>
      </c>
      <c r="R1068" s="34">
        <v>144129.0625</v>
      </c>
      <c r="S1068" s="29"/>
      <c r="T1068" s="33"/>
      <c r="U1068" s="35" t="b">
        <v>0</v>
      </c>
      <c r="V1068" s="35" t="b">
        <v>0</v>
      </c>
      <c r="W1068" s="35" t="b">
        <v>0</v>
      </c>
      <c r="Y1068" s="31" cm="1">
        <f t="array" ref="Y1068">IF(LEFT(_xll.BDP($C1068, VOLUME_AVG_10D), 4) = "#N/A", "",  _xll.BDP($C1068, VOLUME_AVG_10D))</f>
        <v>140933</v>
      </c>
      <c r="Z1068" s="31" cm="1">
        <f t="array" ref="Z1068">IF(LEFT(_xll.BDP($C1068, VOLUME_AVG_30D), 4) = "#N/A", "",  _xll.BDP($C1068, VOLUME_AVG_30D))</f>
        <v>117187.53125</v>
      </c>
      <c r="AA1068" s="31" cm="1">
        <f t="array" ref="AA1068">IF(LEFT(_xll.BDP($C1068, VOLUME_AVG_3M), 4) = "#N/A", "",  _xll.BDP($C1068, VOLUME_AVG_3M))</f>
        <v>158153.859375</v>
      </c>
      <c r="AB1068" s="31" cm="1">
        <f t="array" ref="AB1068">IF(LEFT(_xll.BDP($C1068, VOLUME_AVG_6M), 4) = "#N/A", "",  _xll.BDP($C1068, VOLUME_AVG_6M))</f>
        <v>144129.0625</v>
      </c>
      <c r="AC1068" s="31" cm="1">
        <f t="array" ref="AC1068">IF(LEFT(_xll.BDP($C1068, VOLUME_AVG_12M), 4) = "#N/A", "",  _xll.BDP($C1068, VOLUME_AVG_12M))</f>
        <v>119768.453125</v>
      </c>
      <c r="AD1068" s="41" cm="1">
        <f t="array" ref="AD1068">IF(LEFT(_xll.BDP($C1068, LAST_PRICE), 4) = "#N/A", "",  _xll.BDP($C1068, LAST_PRICE))</f>
        <v>6.86</v>
      </c>
    </row>
    <row r="1069" spans="1:30" x14ac:dyDescent="0.35">
      <c r="A1069" s="1">
        <f t="shared" si="16"/>
        <v>1066</v>
      </c>
      <c r="B1069" s="28">
        <v>45700</v>
      </c>
      <c r="C1069" s="29" t="s">
        <v>2187</v>
      </c>
      <c r="D1069" s="29" t="s">
        <v>2187</v>
      </c>
      <c r="E1069" s="29" t="s">
        <v>2188</v>
      </c>
      <c r="F1069" s="29" t="s">
        <v>33</v>
      </c>
      <c r="G1069" s="30" t="s">
        <v>34</v>
      </c>
      <c r="H1069" s="31">
        <v>5292501.4468536396</v>
      </c>
      <c r="I1069" s="31">
        <v>3987501.44685364</v>
      </c>
      <c r="J1069" s="32">
        <v>1.21000003814697</v>
      </c>
      <c r="K1069" s="33">
        <v>45700</v>
      </c>
      <c r="L1069" s="31">
        <v>137300</v>
      </c>
      <c r="M1069" s="32">
        <v>-108.5</v>
      </c>
      <c r="N1069" s="31" t="s">
        <v>35</v>
      </c>
      <c r="O1069" s="33">
        <v>45699</v>
      </c>
      <c r="P1069" s="34">
        <v>829347.1875</v>
      </c>
      <c r="Q1069" s="34">
        <v>1017242.1875</v>
      </c>
      <c r="R1069" s="34">
        <v>1696752.25</v>
      </c>
      <c r="S1069" s="29"/>
      <c r="T1069" s="33"/>
      <c r="U1069" s="35" t="b">
        <v>1</v>
      </c>
      <c r="V1069" s="35" t="b">
        <v>0</v>
      </c>
      <c r="W1069" s="35" t="b">
        <v>0</v>
      </c>
      <c r="Y1069" s="31" cm="1">
        <f t="array" ref="Y1069">IF(LEFT(_xll.BDP($C1069, VOLUME_AVG_10D), 4) = "#N/A", "",  _xll.BDP($C1069, VOLUME_AVG_10D))</f>
        <v>2008873.25</v>
      </c>
      <c r="Z1069" s="31" cm="1">
        <f t="array" ref="Z1069">IF(LEFT(_xll.BDP($C1069, VOLUME_AVG_30D), 4) = "#N/A", "",  _xll.BDP($C1069, VOLUME_AVG_30D))</f>
        <v>829347.1875</v>
      </c>
      <c r="AA1069" s="31" cm="1">
        <f t="array" ref="AA1069">IF(LEFT(_xll.BDP($C1069, VOLUME_AVG_3M), 4) = "#N/A", "",  _xll.BDP($C1069, VOLUME_AVG_3M))</f>
        <v>1017242.1875</v>
      </c>
      <c r="AB1069" s="31" cm="1">
        <f t="array" ref="AB1069">IF(LEFT(_xll.BDP($C1069, VOLUME_AVG_6M), 4) = "#N/A", "",  _xll.BDP($C1069, VOLUME_AVG_6M))</f>
        <v>1696752.25</v>
      </c>
      <c r="AC1069" s="31" cm="1">
        <f t="array" ref="AC1069">IF(LEFT(_xll.BDP($C1069, VOLUME_AVG_12M), 4) = "#N/A", "",  _xll.BDP($C1069, VOLUME_AVG_12M))</f>
        <v>984660.125</v>
      </c>
      <c r="AD1069" s="41" cm="1">
        <f t="array" ref="AD1069">IF(LEFT(_xll.BDP($C1069, LAST_PRICE), 4) = "#N/A", "",  _xll.BDP($C1069, LAST_PRICE))</f>
        <v>1.21</v>
      </c>
    </row>
    <row r="1070" spans="1:30" x14ac:dyDescent="0.35">
      <c r="A1070" s="1">
        <f t="shared" si="16"/>
        <v>1067</v>
      </c>
      <c r="B1070" s="28">
        <v>45700</v>
      </c>
      <c r="C1070" s="29" t="s">
        <v>2189</v>
      </c>
      <c r="D1070" s="29" t="s">
        <v>2189</v>
      </c>
      <c r="E1070" s="29" t="s">
        <v>2190</v>
      </c>
      <c r="F1070" s="29" t="s">
        <v>33</v>
      </c>
      <c r="G1070" s="30" t="s">
        <v>34</v>
      </c>
      <c r="H1070" s="31">
        <v>6516392.7904395498</v>
      </c>
      <c r="I1070" s="31">
        <v>19354392.790439501</v>
      </c>
      <c r="J1070" s="32">
        <v>0.17380000650882699</v>
      </c>
      <c r="K1070" s="33">
        <v>45700</v>
      </c>
      <c r="L1070" s="31">
        <v>11762700</v>
      </c>
      <c r="M1070" s="32">
        <v>-69.8</v>
      </c>
      <c r="N1070" s="31" t="s">
        <v>35</v>
      </c>
      <c r="O1070" s="33">
        <v>45699</v>
      </c>
      <c r="P1070" s="34">
        <v>47804824</v>
      </c>
      <c r="Q1070" s="34">
        <v>23311648</v>
      </c>
      <c r="R1070" s="34">
        <v>11498545</v>
      </c>
      <c r="S1070" s="29"/>
      <c r="T1070" s="33"/>
      <c r="U1070" s="35" t="b">
        <v>1</v>
      </c>
      <c r="V1070" s="35" t="b">
        <v>0</v>
      </c>
      <c r="W1070" s="35" t="b">
        <v>0</v>
      </c>
      <c r="Y1070" s="31" cm="1">
        <f t="array" ref="Y1070">IF(LEFT(_xll.BDP($C1070, VOLUME_AVG_10D), 4) = "#N/A", "",  _xll.BDP($C1070, VOLUME_AVG_10D))</f>
        <v>143019488</v>
      </c>
      <c r="Z1070" s="31" cm="1">
        <f t="array" ref="Z1070">IF(LEFT(_xll.BDP($C1070, VOLUME_AVG_30D), 4) = "#N/A", "",  _xll.BDP($C1070, VOLUME_AVG_30D))</f>
        <v>47804824</v>
      </c>
      <c r="AA1070" s="31" cm="1">
        <f t="array" ref="AA1070">IF(LEFT(_xll.BDP($C1070, VOLUME_AVG_3M), 4) = "#N/A", "",  _xll.BDP($C1070, VOLUME_AVG_3M))</f>
        <v>23311648</v>
      </c>
      <c r="AB1070" s="31" cm="1">
        <f t="array" ref="AB1070">IF(LEFT(_xll.BDP($C1070, VOLUME_AVG_6M), 4) = "#N/A", "",  _xll.BDP($C1070, VOLUME_AVG_6M))</f>
        <v>11498545</v>
      </c>
      <c r="AC1070" s="31" cm="1">
        <f t="array" ref="AC1070">IF(LEFT(_xll.BDP($C1070, VOLUME_AVG_12M), 4) = "#N/A", "",  _xll.BDP($C1070, VOLUME_AVG_12M))</f>
        <v>7536412.5</v>
      </c>
      <c r="AD1070" s="41" cm="1">
        <f t="array" ref="AD1070">IF(LEFT(_xll.BDP($C1070, LAST_PRICE), 4) = "#N/A", "",  _xll.BDP($C1070, LAST_PRICE))</f>
        <v>0.17380000000000001</v>
      </c>
    </row>
    <row r="1071" spans="1:30" x14ac:dyDescent="0.35">
      <c r="A1071" s="1">
        <f t="shared" si="16"/>
        <v>1068</v>
      </c>
      <c r="B1071" s="28">
        <v>45700</v>
      </c>
      <c r="C1071" s="29" t="s">
        <v>2191</v>
      </c>
      <c r="D1071" s="29" t="s">
        <v>2191</v>
      </c>
      <c r="E1071" s="29" t="s">
        <v>2192</v>
      </c>
      <c r="F1071" s="29" t="s">
        <v>33</v>
      </c>
      <c r="G1071" s="30" t="s">
        <v>34</v>
      </c>
      <c r="H1071" s="31">
        <v>192024991.330387</v>
      </c>
      <c r="I1071" s="31">
        <v>160111991.330387</v>
      </c>
      <c r="J1071" s="32">
        <v>0.66000002622604403</v>
      </c>
      <c r="K1071" s="33">
        <v>45700</v>
      </c>
      <c r="L1071" s="31">
        <v>3670600</v>
      </c>
      <c r="M1071" s="32">
        <v>1.25</v>
      </c>
      <c r="N1071" s="31" t="s">
        <v>35</v>
      </c>
      <c r="O1071" s="33">
        <v>45699</v>
      </c>
      <c r="P1071" s="34">
        <v>4295795</v>
      </c>
      <c r="Q1071" s="34">
        <v>4656303.5</v>
      </c>
      <c r="R1071" s="34">
        <v>4092538.25</v>
      </c>
      <c r="S1071" s="29"/>
      <c r="T1071" s="33"/>
      <c r="U1071" s="35" t="b">
        <v>0</v>
      </c>
      <c r="V1071" s="35" t="b">
        <v>0</v>
      </c>
      <c r="W1071" s="35" t="b">
        <v>0</v>
      </c>
      <c r="Y1071" s="31" cm="1">
        <f t="array" ref="Y1071">IF(LEFT(_xll.BDP($C1071, VOLUME_AVG_10D), 4) = "#N/A", "",  _xll.BDP($C1071, VOLUME_AVG_10D))</f>
        <v>3145996.5</v>
      </c>
      <c r="Z1071" s="31" cm="1">
        <f t="array" ref="Z1071">IF(LEFT(_xll.BDP($C1071, VOLUME_AVG_30D), 4) = "#N/A", "",  _xll.BDP($C1071, VOLUME_AVG_30D))</f>
        <v>4295795</v>
      </c>
      <c r="AA1071" s="31" cm="1">
        <f t="array" ref="AA1071">IF(LEFT(_xll.BDP($C1071, VOLUME_AVG_3M), 4) = "#N/A", "",  _xll.BDP($C1071, VOLUME_AVG_3M))</f>
        <v>4656303.5</v>
      </c>
      <c r="AB1071" s="31" cm="1">
        <f t="array" ref="AB1071">IF(LEFT(_xll.BDP($C1071, VOLUME_AVG_6M), 4) = "#N/A", "",  _xll.BDP($C1071, VOLUME_AVG_6M))</f>
        <v>4092538.25</v>
      </c>
      <c r="AC1071" s="31" cm="1">
        <f t="array" ref="AC1071">IF(LEFT(_xll.BDP($C1071, VOLUME_AVG_12M), 4) = "#N/A", "",  _xll.BDP($C1071, VOLUME_AVG_12M))</f>
        <v>6169454.5</v>
      </c>
      <c r="AD1071" s="41" cm="1">
        <f t="array" ref="AD1071">IF(LEFT(_xll.BDP($C1071, LAST_PRICE), 4) = "#N/A", "",  _xll.BDP($C1071, LAST_PRICE))</f>
        <v>0.66</v>
      </c>
    </row>
    <row r="1072" spans="1:30" x14ac:dyDescent="0.35">
      <c r="A1072" s="1">
        <f t="shared" si="16"/>
        <v>1069</v>
      </c>
      <c r="B1072" s="28">
        <v>45700</v>
      </c>
      <c r="C1072" s="29" t="s">
        <v>2193</v>
      </c>
      <c r="D1072" s="29" t="s">
        <v>2193</v>
      </c>
      <c r="E1072" s="29" t="s">
        <v>2194</v>
      </c>
      <c r="F1072" s="29" t="s">
        <v>33</v>
      </c>
      <c r="G1072" s="30" t="s">
        <v>34</v>
      </c>
      <c r="H1072" s="31">
        <v>1172055906.2902601</v>
      </c>
      <c r="I1072" s="31">
        <v>819959906.29026198</v>
      </c>
      <c r="J1072" s="32">
        <v>7.4549999237060502</v>
      </c>
      <c r="K1072" s="33">
        <v>45700</v>
      </c>
      <c r="L1072" s="31">
        <v>19201300</v>
      </c>
      <c r="M1072" s="32">
        <v>3.88</v>
      </c>
      <c r="N1072" s="31" t="s">
        <v>35</v>
      </c>
      <c r="O1072" s="33">
        <v>45699</v>
      </c>
      <c r="P1072" s="34">
        <v>943916.0625</v>
      </c>
      <c r="Q1072" s="34">
        <v>918623</v>
      </c>
      <c r="R1072" s="34">
        <v>1011539.125</v>
      </c>
      <c r="S1072" s="29" t="s">
        <v>49</v>
      </c>
      <c r="T1072" s="33">
        <v>45446</v>
      </c>
      <c r="U1072" s="35" t="b">
        <v>0</v>
      </c>
      <c r="V1072" s="35" t="b">
        <v>0</v>
      </c>
      <c r="W1072" s="35" t="b">
        <v>0</v>
      </c>
      <c r="Y1072" s="31" cm="1">
        <f t="array" ref="Y1072">IF(LEFT(_xll.BDP($C1072, VOLUME_AVG_10D), 4) = "#N/A", "",  _xll.BDP($C1072, VOLUME_AVG_10D))</f>
        <v>1056964.25</v>
      </c>
      <c r="Z1072" s="31" cm="1">
        <f t="array" ref="Z1072">IF(LEFT(_xll.BDP($C1072, VOLUME_AVG_30D), 4) = "#N/A", "",  _xll.BDP($C1072, VOLUME_AVG_30D))</f>
        <v>943916.0625</v>
      </c>
      <c r="AA1072" s="31" cm="1">
        <f t="array" ref="AA1072">IF(LEFT(_xll.BDP($C1072, VOLUME_AVG_3M), 4) = "#N/A", "",  _xll.BDP($C1072, VOLUME_AVG_3M))</f>
        <v>918623</v>
      </c>
      <c r="AB1072" s="31" cm="1">
        <f t="array" ref="AB1072">IF(LEFT(_xll.BDP($C1072, VOLUME_AVG_6M), 4) = "#N/A", "",  _xll.BDP($C1072, VOLUME_AVG_6M))</f>
        <v>1011539.125</v>
      </c>
      <c r="AC1072" s="31" cm="1">
        <f t="array" ref="AC1072">IF(LEFT(_xll.BDP($C1072, VOLUME_AVG_12M), 4) = "#N/A", "",  _xll.BDP($C1072, VOLUME_AVG_12M))</f>
        <v>1703602</v>
      </c>
      <c r="AD1072" s="41" cm="1">
        <f t="array" ref="AD1072">IF(LEFT(_xll.BDP($C1072, LAST_PRICE), 4) = "#N/A", "",  _xll.BDP($C1072, LAST_PRICE))</f>
        <v>7.4550000000000001</v>
      </c>
    </row>
    <row r="1073" spans="1:30" x14ac:dyDescent="0.35">
      <c r="A1073" s="1">
        <f t="shared" si="16"/>
        <v>1070</v>
      </c>
      <c r="B1073" s="28">
        <v>45700</v>
      </c>
      <c r="C1073" s="29" t="s">
        <v>2195</v>
      </c>
      <c r="D1073" s="29" t="s">
        <v>2195</v>
      </c>
      <c r="E1073" s="29" t="s">
        <v>2196</v>
      </c>
      <c r="F1073" s="29" t="s">
        <v>33</v>
      </c>
      <c r="G1073" s="30" t="s">
        <v>34</v>
      </c>
      <c r="H1073" s="31">
        <v>886305750.99858296</v>
      </c>
      <c r="I1073" s="31">
        <v>762887007.99858296</v>
      </c>
      <c r="J1073" s="32">
        <v>21.280000686645501</v>
      </c>
      <c r="K1073" s="33">
        <v>45700</v>
      </c>
      <c r="L1073" s="31"/>
      <c r="M1073" s="32"/>
      <c r="N1073" s="31"/>
      <c r="O1073" s="33">
        <v>45699</v>
      </c>
      <c r="P1073" s="34">
        <v>101726.9296875</v>
      </c>
      <c r="Q1073" s="34">
        <v>69856</v>
      </c>
      <c r="R1073" s="34">
        <v>58449.73046875</v>
      </c>
      <c r="S1073" s="29"/>
      <c r="T1073" s="33"/>
      <c r="U1073" s="35" t="b">
        <v>0</v>
      </c>
      <c r="V1073" s="35" t="b">
        <v>0</v>
      </c>
      <c r="W1073" s="35" t="b">
        <v>0</v>
      </c>
      <c r="Y1073" s="31" cm="1">
        <f t="array" ref="Y1073">IF(LEFT(_xll.BDP($C1073, VOLUME_AVG_10D), 4) = "#N/A", "",  _xll.BDP($C1073, VOLUME_AVG_10D))</f>
        <v>59269.80078125</v>
      </c>
      <c r="Z1073" s="31" cm="1">
        <f t="array" ref="Z1073">IF(LEFT(_xll.BDP($C1073, VOLUME_AVG_30D), 4) = "#N/A", "",  _xll.BDP($C1073, VOLUME_AVG_30D))</f>
        <v>101726.9296875</v>
      </c>
      <c r="AA1073" s="31" cm="1">
        <f t="array" ref="AA1073">IF(LEFT(_xll.BDP($C1073, VOLUME_AVG_3M), 4) = "#N/A", "",  _xll.BDP($C1073, VOLUME_AVG_3M))</f>
        <v>69856</v>
      </c>
      <c r="AB1073" s="31" cm="1">
        <f t="array" ref="AB1073">IF(LEFT(_xll.BDP($C1073, VOLUME_AVG_6M), 4) = "#N/A", "",  _xll.BDP($C1073, VOLUME_AVG_6M))</f>
        <v>58449.73046875</v>
      </c>
      <c r="AC1073" s="31" cm="1">
        <f t="array" ref="AC1073">IF(LEFT(_xll.BDP($C1073, VOLUME_AVG_12M), 4) = "#N/A", "",  _xll.BDP($C1073, VOLUME_AVG_12M))</f>
        <v>42277.91796875</v>
      </c>
      <c r="AD1073" s="41" cm="1">
        <f t="array" ref="AD1073">IF(LEFT(_xll.BDP($C1073, LAST_PRICE), 4) = "#N/A", "",  _xll.BDP($C1073, LAST_PRICE))</f>
        <v>21.28</v>
      </c>
    </row>
    <row r="1074" spans="1:30" x14ac:dyDescent="0.35">
      <c r="A1074" s="1">
        <f t="shared" si="16"/>
        <v>1071</v>
      </c>
      <c r="B1074" s="28">
        <v>45700</v>
      </c>
      <c r="C1074" s="29" t="s">
        <v>2197</v>
      </c>
      <c r="D1074" s="29" t="s">
        <v>2197</v>
      </c>
      <c r="E1074" s="29" t="s">
        <v>2198</v>
      </c>
      <c r="F1074" s="29" t="s">
        <v>40</v>
      </c>
      <c r="G1074" s="30" t="s">
        <v>41</v>
      </c>
      <c r="H1074" s="31">
        <v>38924591.747254401</v>
      </c>
      <c r="I1074" s="31">
        <v>40858363.747254401</v>
      </c>
      <c r="J1074" s="32">
        <v>0.32499998807907099</v>
      </c>
      <c r="K1074" s="33">
        <v>45700</v>
      </c>
      <c r="L1074" s="31"/>
      <c r="M1074" s="32"/>
      <c r="N1074" s="31"/>
      <c r="O1074" s="33">
        <v>45699</v>
      </c>
      <c r="P1074" s="34">
        <v>22140.27</v>
      </c>
      <c r="Q1074" s="34">
        <v>19863.09</v>
      </c>
      <c r="R1074" s="34">
        <v>24338.49</v>
      </c>
      <c r="S1074" s="29"/>
      <c r="T1074" s="33"/>
      <c r="U1074" s="35" t="b">
        <v>0</v>
      </c>
      <c r="V1074" s="35" t="b">
        <v>0</v>
      </c>
      <c r="W1074" s="35" t="b">
        <v>0</v>
      </c>
      <c r="Y1074" s="31" cm="1">
        <f t="array" ref="Y1074">IF(LEFT(_xll.BDP($C1074, VOLUME_AVG_10D), 4) = "#N/A", "",  _xll.BDP($C1074, VOLUME_AVG_10D))</f>
        <v>21742.1</v>
      </c>
      <c r="Z1074" s="31" cm="1">
        <f t="array" ref="Z1074">IF(LEFT(_xll.BDP($C1074, VOLUME_AVG_30D), 4) = "#N/A", "",  _xll.BDP($C1074, VOLUME_AVG_30D))</f>
        <v>22140.27</v>
      </c>
      <c r="AA1074" s="31" cm="1">
        <f t="array" ref="AA1074">IF(LEFT(_xll.BDP($C1074, VOLUME_AVG_3M), 4) = "#N/A", "",  _xll.BDP($C1074, VOLUME_AVG_3M))</f>
        <v>19863.09</v>
      </c>
      <c r="AB1074" s="31" cm="1">
        <f t="array" ref="AB1074">IF(LEFT(_xll.BDP($C1074, VOLUME_AVG_6M), 4) = "#N/A", "",  _xll.BDP($C1074, VOLUME_AVG_6M))</f>
        <v>24338.49</v>
      </c>
      <c r="AC1074" s="31" cm="1">
        <f t="array" ref="AC1074">IF(LEFT(_xll.BDP($C1074, VOLUME_AVG_12M), 4) = "#N/A", "",  _xll.BDP($C1074, VOLUME_AVG_12M))</f>
        <v>20844.099999999999</v>
      </c>
      <c r="AD1074" s="41" cm="1">
        <f t="array" ref="AD1074">IF(LEFT(_xll.BDP($C1074, LAST_PRICE), 4) = "#N/A", "",  _xll.BDP($C1074, LAST_PRICE))</f>
        <v>0.32500000000000001</v>
      </c>
    </row>
    <row r="1075" spans="1:30" x14ac:dyDescent="0.35">
      <c r="A1075" s="1">
        <f t="shared" si="16"/>
        <v>1072</v>
      </c>
      <c r="B1075" s="28">
        <v>45700</v>
      </c>
      <c r="C1075" s="29" t="s">
        <v>2199</v>
      </c>
      <c r="D1075" s="29" t="s">
        <v>2199</v>
      </c>
      <c r="E1075" s="29" t="s">
        <v>2200</v>
      </c>
      <c r="F1075" s="29" t="s">
        <v>33</v>
      </c>
      <c r="G1075" s="30" t="s">
        <v>34</v>
      </c>
      <c r="H1075" s="31">
        <v>36881585.569408901</v>
      </c>
      <c r="I1075" s="31"/>
      <c r="J1075" s="32">
        <v>1.0900000333786</v>
      </c>
      <c r="K1075" s="33">
        <v>45700</v>
      </c>
      <c r="L1075" s="31"/>
      <c r="M1075" s="32"/>
      <c r="N1075" s="31"/>
      <c r="O1075" s="33">
        <v>45699</v>
      </c>
      <c r="P1075" s="34">
        <v>230738.59375</v>
      </c>
      <c r="Q1075" s="34">
        <v>127179.46875</v>
      </c>
      <c r="R1075" s="34">
        <v>162806.140625</v>
      </c>
      <c r="S1075" s="29"/>
      <c r="T1075" s="33"/>
      <c r="U1075" s="35" t="b">
        <v>0</v>
      </c>
      <c r="V1075" s="35" t="b">
        <v>0</v>
      </c>
      <c r="W1075" s="35" t="b">
        <v>1</v>
      </c>
      <c r="Y1075" s="31" cm="1">
        <f t="array" ref="Y1075">IF(LEFT(_xll.BDP($C1075, VOLUME_AVG_10D), 4) = "#N/A", "",  _xll.BDP($C1075, VOLUME_AVG_10D))</f>
        <v>488460.59375</v>
      </c>
      <c r="Z1075" s="31" cm="1">
        <f t="array" ref="Z1075">IF(LEFT(_xll.BDP($C1075, VOLUME_AVG_30D), 4) = "#N/A", "",  _xll.BDP($C1075, VOLUME_AVG_30D))</f>
        <v>230738.59375</v>
      </c>
      <c r="AA1075" s="31" cm="1">
        <f t="array" ref="AA1075">IF(LEFT(_xll.BDP($C1075, VOLUME_AVG_3M), 4) = "#N/A", "",  _xll.BDP($C1075, VOLUME_AVG_3M))</f>
        <v>127179.46875</v>
      </c>
      <c r="AB1075" s="31" cm="1">
        <f t="array" ref="AB1075">IF(LEFT(_xll.BDP($C1075, VOLUME_AVG_6M), 4) = "#N/A", "",  _xll.BDP($C1075, VOLUME_AVG_6M))</f>
        <v>162806.140625</v>
      </c>
      <c r="AC1075" s="31" cm="1">
        <f t="array" ref="AC1075">IF(LEFT(_xll.BDP($C1075, VOLUME_AVG_12M), 4) = "#N/A", "",  _xll.BDP($C1075, VOLUME_AVG_12M))</f>
        <v>111512.9765625</v>
      </c>
      <c r="AD1075" s="41" cm="1">
        <f t="array" ref="AD1075">IF(LEFT(_xll.BDP($C1075, LAST_PRICE), 4) = "#N/A", "",  _xll.BDP($C1075, LAST_PRICE))</f>
        <v>1.0900000000000001</v>
      </c>
    </row>
    <row r="1076" spans="1:30" x14ac:dyDescent="0.35">
      <c r="A1076" s="1">
        <f t="shared" si="16"/>
        <v>1073</v>
      </c>
      <c r="B1076" s="28">
        <v>45700</v>
      </c>
      <c r="C1076" s="29" t="s">
        <v>2201</v>
      </c>
      <c r="D1076" s="29" t="s">
        <v>2201</v>
      </c>
      <c r="E1076" s="29" t="s">
        <v>2202</v>
      </c>
      <c r="F1076" s="29" t="s">
        <v>33</v>
      </c>
      <c r="G1076" s="30" t="s">
        <v>34</v>
      </c>
      <c r="H1076" s="31">
        <v>337565345.01004899</v>
      </c>
      <c r="I1076" s="31">
        <v>124501345.010049</v>
      </c>
      <c r="J1076" s="32">
        <v>4.9400000572204599</v>
      </c>
      <c r="K1076" s="33">
        <v>45700</v>
      </c>
      <c r="L1076" s="31">
        <v>6710400</v>
      </c>
      <c r="M1076" s="32">
        <v>3.88</v>
      </c>
      <c r="N1076" s="31" t="s">
        <v>35</v>
      </c>
      <c r="O1076" s="33">
        <v>45699</v>
      </c>
      <c r="P1076" s="34">
        <v>1255252.5</v>
      </c>
      <c r="Q1076" s="34">
        <v>1106348.125</v>
      </c>
      <c r="R1076" s="34">
        <v>778493.8125</v>
      </c>
      <c r="S1076" s="29" t="s">
        <v>46</v>
      </c>
      <c r="T1076" s="33">
        <v>45446</v>
      </c>
      <c r="U1076" s="35" t="b">
        <v>0</v>
      </c>
      <c r="V1076" s="35" t="b">
        <v>0</v>
      </c>
      <c r="W1076" s="35" t="b">
        <v>0</v>
      </c>
      <c r="Y1076" s="31" cm="1">
        <f t="array" ref="Y1076">IF(LEFT(_xll.BDP($C1076, VOLUME_AVG_10D), 4) = "#N/A", "",  _xll.BDP($C1076, VOLUME_AVG_10D))</f>
        <v>1032029.6875</v>
      </c>
      <c r="Z1076" s="31" cm="1">
        <f t="array" ref="Z1076">IF(LEFT(_xll.BDP($C1076, VOLUME_AVG_30D), 4) = "#N/A", "",  _xll.BDP($C1076, VOLUME_AVG_30D))</f>
        <v>1255252.5</v>
      </c>
      <c r="AA1076" s="31" cm="1">
        <f t="array" ref="AA1076">IF(LEFT(_xll.BDP($C1076, VOLUME_AVG_3M), 4) = "#N/A", "",  _xll.BDP($C1076, VOLUME_AVG_3M))</f>
        <v>1106348.125</v>
      </c>
      <c r="AB1076" s="31" cm="1">
        <f t="array" ref="AB1076">IF(LEFT(_xll.BDP($C1076, VOLUME_AVG_6M), 4) = "#N/A", "",  _xll.BDP($C1076, VOLUME_AVG_6M))</f>
        <v>778493.8125</v>
      </c>
      <c r="AC1076" s="31" cm="1">
        <f t="array" ref="AC1076">IF(LEFT(_xll.BDP($C1076, VOLUME_AVG_12M), 4) = "#N/A", "",  _xll.BDP($C1076, VOLUME_AVG_12M))</f>
        <v>835422.6875</v>
      </c>
      <c r="AD1076" s="41" cm="1">
        <f t="array" ref="AD1076">IF(LEFT(_xll.BDP($C1076, LAST_PRICE), 4) = "#N/A", "",  _xll.BDP($C1076, LAST_PRICE))</f>
        <v>4.9400000000000004</v>
      </c>
    </row>
    <row r="1077" spans="1:30" x14ac:dyDescent="0.35">
      <c r="A1077" s="1">
        <f t="shared" si="16"/>
        <v>1074</v>
      </c>
      <c r="B1077" s="28">
        <v>45700</v>
      </c>
      <c r="C1077" s="29" t="s">
        <v>2203</v>
      </c>
      <c r="D1077" s="29" t="s">
        <v>2203</v>
      </c>
      <c r="E1077" s="29" t="s">
        <v>2204</v>
      </c>
      <c r="F1077" s="29" t="s">
        <v>33</v>
      </c>
      <c r="G1077" s="30" t="s">
        <v>34</v>
      </c>
      <c r="H1077" s="31">
        <v>14395214.8519866</v>
      </c>
      <c r="I1077" s="31">
        <v>69394214.851986602</v>
      </c>
      <c r="J1077" s="32">
        <v>0.259999990463257</v>
      </c>
      <c r="K1077" s="33">
        <v>45700</v>
      </c>
      <c r="L1077" s="31">
        <v>945600</v>
      </c>
      <c r="M1077" s="32">
        <v>-24.45</v>
      </c>
      <c r="N1077" s="31" t="s">
        <v>35</v>
      </c>
      <c r="O1077" s="33">
        <v>45699</v>
      </c>
      <c r="P1077" s="34">
        <v>13025378</v>
      </c>
      <c r="Q1077" s="34">
        <v>6453439</v>
      </c>
      <c r="R1077" s="34">
        <v>3297730.5</v>
      </c>
      <c r="S1077" s="29" t="s">
        <v>46</v>
      </c>
      <c r="T1077" s="33">
        <v>45446</v>
      </c>
      <c r="U1077" s="35" t="b">
        <v>1</v>
      </c>
      <c r="V1077" s="35" t="b">
        <v>0</v>
      </c>
      <c r="W1077" s="35" t="b">
        <v>0</v>
      </c>
      <c r="Y1077" s="31" cm="1">
        <f t="array" ref="Y1077">IF(LEFT(_xll.BDP($C1077, VOLUME_AVG_10D), 4) = "#N/A", "",  _xll.BDP($C1077, VOLUME_AVG_10D))</f>
        <v>37723092</v>
      </c>
      <c r="Z1077" s="31" cm="1">
        <f t="array" ref="Z1077">IF(LEFT(_xll.BDP($C1077, VOLUME_AVG_30D), 4) = "#N/A", "",  _xll.BDP($C1077, VOLUME_AVG_30D))</f>
        <v>13025378</v>
      </c>
      <c r="AA1077" s="31" cm="1">
        <f t="array" ref="AA1077">IF(LEFT(_xll.BDP($C1077, VOLUME_AVG_3M), 4) = "#N/A", "",  _xll.BDP($C1077, VOLUME_AVG_3M))</f>
        <v>6453439</v>
      </c>
      <c r="AB1077" s="31" cm="1">
        <f t="array" ref="AB1077">IF(LEFT(_xll.BDP($C1077, VOLUME_AVG_6M), 4) = "#N/A", "",  _xll.BDP($C1077, VOLUME_AVG_6M))</f>
        <v>3297730.5</v>
      </c>
      <c r="AC1077" s="31" cm="1">
        <f t="array" ref="AC1077">IF(LEFT(_xll.BDP($C1077, VOLUME_AVG_12M), 4) = "#N/A", "",  _xll.BDP($C1077, VOLUME_AVG_12M))</f>
        <v>1869904</v>
      </c>
      <c r="AD1077" s="41" cm="1">
        <f t="array" ref="AD1077">IF(LEFT(_xll.BDP($C1077, LAST_PRICE), 4) = "#N/A", "",  _xll.BDP($C1077, LAST_PRICE))</f>
        <v>0.26</v>
      </c>
    </row>
    <row r="1078" spans="1:30" x14ac:dyDescent="0.35">
      <c r="A1078" s="1">
        <f t="shared" si="16"/>
        <v>1075</v>
      </c>
      <c r="B1078" s="28">
        <v>45700</v>
      </c>
      <c r="C1078" s="29" t="s">
        <v>2205</v>
      </c>
      <c r="D1078" s="29" t="s">
        <v>2205</v>
      </c>
      <c r="E1078" s="29" t="s">
        <v>2206</v>
      </c>
      <c r="F1078" s="29" t="s">
        <v>33</v>
      </c>
      <c r="G1078" s="30" t="s">
        <v>34</v>
      </c>
      <c r="H1078" s="31">
        <v>494890948.18939197</v>
      </c>
      <c r="I1078" s="31">
        <v>581204948.18939197</v>
      </c>
      <c r="J1078" s="32">
        <v>8.5399999618530291</v>
      </c>
      <c r="K1078" s="33">
        <v>45700</v>
      </c>
      <c r="L1078" s="31">
        <v>3033000</v>
      </c>
      <c r="M1078" s="32">
        <v>3.6</v>
      </c>
      <c r="N1078" s="31" t="s">
        <v>35</v>
      </c>
      <c r="O1078" s="33">
        <v>45699</v>
      </c>
      <c r="P1078" s="34">
        <v>577380.9375</v>
      </c>
      <c r="Q1078" s="34">
        <v>1103189.5</v>
      </c>
      <c r="R1078" s="34">
        <v>664429.875</v>
      </c>
      <c r="S1078" s="29"/>
      <c r="T1078" s="33"/>
      <c r="U1078" s="35" t="b">
        <v>0</v>
      </c>
      <c r="V1078" s="35" t="b">
        <v>0</v>
      </c>
      <c r="W1078" s="35" t="b">
        <v>0</v>
      </c>
      <c r="Y1078" s="31" cm="1">
        <f t="array" ref="Y1078">IF(LEFT(_xll.BDP($C1078, VOLUME_AVG_10D), 4) = "#N/A", "",  _xll.BDP($C1078, VOLUME_AVG_10D))</f>
        <v>379192.5</v>
      </c>
      <c r="Z1078" s="31" cm="1">
        <f t="array" ref="Z1078">IF(LEFT(_xll.BDP($C1078, VOLUME_AVG_30D), 4) = "#N/A", "",  _xll.BDP($C1078, VOLUME_AVG_30D))</f>
        <v>577380.9375</v>
      </c>
      <c r="AA1078" s="31" cm="1">
        <f t="array" ref="AA1078">IF(LEFT(_xll.BDP($C1078, VOLUME_AVG_3M), 4) = "#N/A", "",  _xll.BDP($C1078, VOLUME_AVG_3M))</f>
        <v>1103189.5</v>
      </c>
      <c r="AB1078" s="31" cm="1">
        <f t="array" ref="AB1078">IF(LEFT(_xll.BDP($C1078, VOLUME_AVG_6M), 4) = "#N/A", "",  _xll.BDP($C1078, VOLUME_AVG_6M))</f>
        <v>664429.875</v>
      </c>
      <c r="AC1078" s="31" cm="1">
        <f t="array" ref="AC1078">IF(LEFT(_xll.BDP($C1078, VOLUME_AVG_12M), 4) = "#N/A", "",  _xll.BDP($C1078, VOLUME_AVG_12M))</f>
        <v>541119.0625</v>
      </c>
      <c r="AD1078" s="41" cm="1">
        <f t="array" ref="AD1078">IF(LEFT(_xll.BDP($C1078, LAST_PRICE), 4) = "#N/A", "",  _xll.BDP($C1078, LAST_PRICE))</f>
        <v>8.5399999999999991</v>
      </c>
    </row>
    <row r="1079" spans="1:30" x14ac:dyDescent="0.35">
      <c r="A1079" s="1">
        <f t="shared" si="16"/>
        <v>1076</v>
      </c>
      <c r="B1079" s="28">
        <v>45700</v>
      </c>
      <c r="C1079" s="29" t="s">
        <v>2207</v>
      </c>
      <c r="D1079" s="29" t="s">
        <v>2207</v>
      </c>
      <c r="E1079" s="29" t="s">
        <v>2208</v>
      </c>
      <c r="F1079" s="29" t="s">
        <v>33</v>
      </c>
      <c r="G1079" s="30" t="s">
        <v>34</v>
      </c>
      <c r="H1079" s="31">
        <v>23150.514599999999</v>
      </c>
      <c r="I1079" s="31">
        <v>6418806.5146000003</v>
      </c>
      <c r="J1079" s="32"/>
      <c r="K1079" s="33">
        <v>45700</v>
      </c>
      <c r="L1079" s="31"/>
      <c r="M1079" s="32"/>
      <c r="N1079" s="31"/>
      <c r="O1079" s="33">
        <v>45699</v>
      </c>
      <c r="P1079" s="34"/>
      <c r="Q1079" s="34">
        <v>8.0645160675048793</v>
      </c>
      <c r="R1079" s="34">
        <v>3.9682538509368901</v>
      </c>
      <c r="S1079" s="29"/>
      <c r="T1079" s="33"/>
      <c r="U1079" s="35" t="b">
        <v>1</v>
      </c>
      <c r="V1079" s="35" t="b">
        <v>1</v>
      </c>
      <c r="W1079" s="35" t="b">
        <v>0</v>
      </c>
      <c r="Y1079" s="31" cm="1">
        <f t="array" ref="Y1079">IF(LEFT(_xll.BDP($C1079, VOLUME_AVG_10D), 4) = "#N/A", "",  _xll.BDP($C1079, VOLUME_AVG_10D))</f>
        <v>0</v>
      </c>
      <c r="Z1079" s="31" cm="1">
        <f t="array" ref="Z1079">IF(LEFT(_xll.BDP($C1079, VOLUME_AVG_30D), 4) = "#N/A", "",  _xll.BDP($C1079, VOLUME_AVG_30D))</f>
        <v>0</v>
      </c>
      <c r="AA1079" s="31" cm="1">
        <f t="array" ref="AA1079">IF(LEFT(_xll.BDP($C1079, VOLUME_AVG_3M), 4) = "#N/A", "",  _xll.BDP($C1079, VOLUME_AVG_3M))</f>
        <v>8.0645160675048828</v>
      </c>
      <c r="AB1079" s="31" cm="1">
        <f t="array" ref="AB1079">IF(LEFT(_xll.BDP($C1079, VOLUME_AVG_6M), 4) = "#N/A", "",  _xll.BDP($C1079, VOLUME_AVG_6M))</f>
        <v>3.9682538509368896</v>
      </c>
      <c r="AC1079" s="31" cm="1">
        <f t="array" ref="AC1079">IF(LEFT(_xll.BDP($C1079, VOLUME_AVG_12M), 4) = "#N/A", "",  _xll.BDP($C1079, VOLUME_AVG_12M))</f>
        <v>3.9840638637542725</v>
      </c>
      <c r="AD1079" s="41" t="str" cm="1">
        <f t="array" ref="AD1079">IF(LEFT(_xll.BDP($C1079, LAST_PRICE), 4) = "#N/A", "",  _xll.BDP($C1079, LAST_PRICE))</f>
        <v/>
      </c>
    </row>
    <row r="1080" spans="1:30" x14ac:dyDescent="0.35">
      <c r="A1080" s="1">
        <f t="shared" si="16"/>
        <v>1077</v>
      </c>
      <c r="B1080" s="28">
        <v>45700</v>
      </c>
      <c r="C1080" s="29" t="s">
        <v>2209</v>
      </c>
      <c r="D1080" s="29" t="s">
        <v>2209</v>
      </c>
      <c r="E1080" s="29" t="s">
        <v>2210</v>
      </c>
      <c r="F1080" s="29" t="s">
        <v>33</v>
      </c>
      <c r="G1080" s="30" t="s">
        <v>34</v>
      </c>
      <c r="H1080" s="31">
        <v>432014913.23153901</v>
      </c>
      <c r="I1080" s="31">
        <v>396472913.23153901</v>
      </c>
      <c r="J1080" s="32">
        <v>3.5699999332428001</v>
      </c>
      <c r="K1080" s="33">
        <v>45700</v>
      </c>
      <c r="L1080" s="31">
        <v>20092200</v>
      </c>
      <c r="M1080" s="32">
        <v>3.88</v>
      </c>
      <c r="N1080" s="31" t="s">
        <v>35</v>
      </c>
      <c r="O1080" s="33">
        <v>45699</v>
      </c>
      <c r="P1080" s="34">
        <v>531923.3125</v>
      </c>
      <c r="Q1080" s="34">
        <v>522551.5625</v>
      </c>
      <c r="R1080" s="34">
        <v>451582.625</v>
      </c>
      <c r="S1080" s="29" t="s">
        <v>2211</v>
      </c>
      <c r="T1080" s="33">
        <v>45446</v>
      </c>
      <c r="U1080" s="35" t="b">
        <v>0</v>
      </c>
      <c r="V1080" s="35" t="b">
        <v>0</v>
      </c>
      <c r="W1080" s="35" t="b">
        <v>0</v>
      </c>
      <c r="Y1080" s="31" cm="1">
        <f t="array" ref="Y1080">IF(LEFT(_xll.BDP($C1080, VOLUME_AVG_10D), 4) = "#N/A", "",  _xll.BDP($C1080, VOLUME_AVG_10D))</f>
        <v>519632.6875</v>
      </c>
      <c r="Z1080" s="31" cm="1">
        <f t="array" ref="Z1080">IF(LEFT(_xll.BDP($C1080, VOLUME_AVG_30D), 4) = "#N/A", "",  _xll.BDP($C1080, VOLUME_AVG_30D))</f>
        <v>531923.3125</v>
      </c>
      <c r="AA1080" s="31" cm="1">
        <f t="array" ref="AA1080">IF(LEFT(_xll.BDP($C1080, VOLUME_AVG_3M), 4) = "#N/A", "",  _xll.BDP($C1080, VOLUME_AVG_3M))</f>
        <v>522551.5625</v>
      </c>
      <c r="AB1080" s="31" cm="1">
        <f t="array" ref="AB1080">IF(LEFT(_xll.BDP($C1080, VOLUME_AVG_6M), 4) = "#N/A", "",  _xll.BDP($C1080, VOLUME_AVG_6M))</f>
        <v>451582.625</v>
      </c>
      <c r="AC1080" s="31" cm="1">
        <f t="array" ref="AC1080">IF(LEFT(_xll.BDP($C1080, VOLUME_AVG_12M), 4) = "#N/A", "",  _xll.BDP($C1080, VOLUME_AVG_12M))</f>
        <v>520928.4375</v>
      </c>
      <c r="AD1080" s="41" cm="1">
        <f t="array" ref="AD1080">IF(LEFT(_xll.BDP($C1080, LAST_PRICE), 4) = "#N/A", "",  _xll.BDP($C1080, LAST_PRICE))</f>
        <v>3.57</v>
      </c>
    </row>
    <row r="1081" spans="1:30" x14ac:dyDescent="0.35">
      <c r="A1081" s="1">
        <f t="shared" si="16"/>
        <v>1078</v>
      </c>
      <c r="B1081" s="28">
        <v>45700</v>
      </c>
      <c r="C1081" s="29" t="s">
        <v>2212</v>
      </c>
      <c r="D1081" s="29" t="s">
        <v>2212</v>
      </c>
      <c r="E1081" s="29" t="s">
        <v>2213</v>
      </c>
      <c r="F1081" s="29" t="s">
        <v>33</v>
      </c>
      <c r="G1081" s="30" t="s">
        <v>34</v>
      </c>
      <c r="H1081" s="31">
        <v>1875368321.99125</v>
      </c>
      <c r="I1081" s="31">
        <v>1878011321.99125</v>
      </c>
      <c r="J1081" s="32">
        <v>40.490001678466797</v>
      </c>
      <c r="K1081" s="33">
        <v>45700</v>
      </c>
      <c r="L1081" s="31">
        <v>20376200</v>
      </c>
      <c r="M1081" s="32">
        <v>3.88</v>
      </c>
      <c r="N1081" s="31" t="s">
        <v>35</v>
      </c>
      <c r="O1081" s="33">
        <v>45699</v>
      </c>
      <c r="P1081" s="34">
        <v>398803.59375</v>
      </c>
      <c r="Q1081" s="34">
        <v>525098.5625</v>
      </c>
      <c r="R1081" s="34">
        <v>513243.9375</v>
      </c>
      <c r="S1081" s="29"/>
      <c r="T1081" s="33"/>
      <c r="U1081" s="35" t="b">
        <v>0</v>
      </c>
      <c r="V1081" s="35" t="b">
        <v>0</v>
      </c>
      <c r="W1081" s="35" t="b">
        <v>0</v>
      </c>
      <c r="Y1081" s="31" cm="1">
        <f t="array" ref="Y1081">IF(LEFT(_xll.BDP($C1081, VOLUME_AVG_10D), 4) = "#N/A", "",  _xll.BDP($C1081, VOLUME_AVG_10D))</f>
        <v>549501.625</v>
      </c>
      <c r="Z1081" s="31" cm="1">
        <f t="array" ref="Z1081">IF(LEFT(_xll.BDP($C1081, VOLUME_AVG_30D), 4) = "#N/A", "",  _xll.BDP($C1081, VOLUME_AVG_30D))</f>
        <v>398803.59375</v>
      </c>
      <c r="AA1081" s="31" cm="1">
        <f t="array" ref="AA1081">IF(LEFT(_xll.BDP($C1081, VOLUME_AVG_3M), 4) = "#N/A", "",  _xll.BDP($C1081, VOLUME_AVG_3M))</f>
        <v>525098.5625</v>
      </c>
      <c r="AB1081" s="31" cm="1">
        <f t="array" ref="AB1081">IF(LEFT(_xll.BDP($C1081, VOLUME_AVG_6M), 4) = "#N/A", "",  _xll.BDP($C1081, VOLUME_AVG_6M))</f>
        <v>513243.9375</v>
      </c>
      <c r="AC1081" s="31" cm="1">
        <f t="array" ref="AC1081">IF(LEFT(_xll.BDP($C1081, VOLUME_AVG_12M), 4) = "#N/A", "",  _xll.BDP($C1081, VOLUME_AVG_12M))</f>
        <v>522239.40625</v>
      </c>
      <c r="AD1081" s="41" cm="1">
        <f t="array" ref="AD1081">IF(LEFT(_xll.BDP($C1081, LAST_PRICE), 4) = "#N/A", "",  _xll.BDP($C1081, LAST_PRICE))</f>
        <v>40.49</v>
      </c>
    </row>
    <row r="1082" spans="1:30" x14ac:dyDescent="0.35">
      <c r="A1082" s="1">
        <f t="shared" si="16"/>
        <v>1079</v>
      </c>
      <c r="B1082" s="28">
        <v>45700</v>
      </c>
      <c r="C1082" s="29" t="s">
        <v>2214</v>
      </c>
      <c r="D1082" s="29" t="s">
        <v>2214</v>
      </c>
      <c r="E1082" s="29" t="s">
        <v>2215</v>
      </c>
      <c r="F1082" s="29" t="s">
        <v>33</v>
      </c>
      <c r="G1082" s="30" t="s">
        <v>34</v>
      </c>
      <c r="H1082" s="31"/>
      <c r="I1082" s="31"/>
      <c r="J1082" s="32"/>
      <c r="K1082" s="33">
        <v>45700</v>
      </c>
      <c r="L1082" s="31"/>
      <c r="M1082" s="32"/>
      <c r="N1082" s="31"/>
      <c r="O1082" s="33">
        <v>45699</v>
      </c>
      <c r="P1082" s="34"/>
      <c r="Q1082" s="34"/>
      <c r="R1082" s="34"/>
      <c r="S1082" s="29"/>
      <c r="T1082" s="33"/>
      <c r="U1082" s="35" t="b">
        <v>1</v>
      </c>
      <c r="V1082" s="35" t="b">
        <v>1</v>
      </c>
      <c r="W1082" s="35" t="b">
        <v>1</v>
      </c>
      <c r="Y1082" s="31" t="str" cm="1">
        <f t="array" ref="Y1082">IF(LEFT(_xll.BDP($C1082, VOLUME_AVG_10D), 4) = "#N/A", "",  _xll.BDP($C1082, VOLUME_AVG_10D))</f>
        <v/>
      </c>
      <c r="Z1082" s="31" t="str" cm="1">
        <f t="array" ref="Z1082">IF(LEFT(_xll.BDP($C1082, VOLUME_AVG_30D), 4) = "#N/A", "",  _xll.BDP($C1082, VOLUME_AVG_30D))</f>
        <v/>
      </c>
      <c r="AA1082" s="31" t="str" cm="1">
        <f t="array" ref="AA1082">IF(LEFT(_xll.BDP($C1082, VOLUME_AVG_3M), 4) = "#N/A", "",  _xll.BDP($C1082, VOLUME_AVG_3M))</f>
        <v/>
      </c>
      <c r="AB1082" s="31" t="str" cm="1">
        <f t="array" ref="AB1082">IF(LEFT(_xll.BDP($C1082, VOLUME_AVG_6M), 4) = "#N/A", "",  _xll.BDP($C1082, VOLUME_AVG_6M))</f>
        <v/>
      </c>
      <c r="AC1082" s="31" t="str" cm="1">
        <f t="array" ref="AC1082">IF(LEFT(_xll.BDP($C1082, VOLUME_AVG_12M), 4) = "#N/A", "",  _xll.BDP($C1082, VOLUME_AVG_12M))</f>
        <v/>
      </c>
      <c r="AD1082" s="41" t="str" cm="1">
        <f t="array" ref="AD1082">IF(LEFT(_xll.BDP($C1082, LAST_PRICE), 4) = "#N/A", "",  _xll.BDP($C1082, LAST_PRICE))</f>
        <v/>
      </c>
    </row>
    <row r="1083" spans="1:30" x14ac:dyDescent="0.35">
      <c r="A1083" s="1">
        <f t="shared" si="16"/>
        <v>1080</v>
      </c>
      <c r="B1083" s="28">
        <v>45700</v>
      </c>
      <c r="C1083" s="29" t="s">
        <v>2216</v>
      </c>
      <c r="D1083" s="29" t="s">
        <v>2216</v>
      </c>
      <c r="E1083" s="29" t="s">
        <v>2217</v>
      </c>
      <c r="F1083" s="29" t="s">
        <v>33</v>
      </c>
      <c r="G1083" s="30" t="s">
        <v>34</v>
      </c>
      <c r="H1083" s="31">
        <v>71784210.097255901</v>
      </c>
      <c r="I1083" s="31">
        <v>72412210.097255901</v>
      </c>
      <c r="J1083" s="32">
        <v>2.5099999904632599</v>
      </c>
      <c r="K1083" s="33">
        <v>45700</v>
      </c>
      <c r="L1083" s="31">
        <v>1633900</v>
      </c>
      <c r="M1083" s="32">
        <v>3.55</v>
      </c>
      <c r="N1083" s="31" t="s">
        <v>35</v>
      </c>
      <c r="O1083" s="33">
        <v>45699</v>
      </c>
      <c r="P1083" s="34">
        <v>69035.8359375</v>
      </c>
      <c r="Q1083" s="34">
        <v>94910.484375</v>
      </c>
      <c r="R1083" s="34">
        <v>56460.09375</v>
      </c>
      <c r="S1083" s="29"/>
      <c r="T1083" s="33"/>
      <c r="U1083" s="35" t="b">
        <v>0</v>
      </c>
      <c r="V1083" s="35" t="b">
        <v>0</v>
      </c>
      <c r="W1083" s="35" t="b">
        <v>0</v>
      </c>
      <c r="Y1083" s="31" cm="1">
        <f t="array" ref="Y1083">IF(LEFT(_xll.BDP($C1083, VOLUME_AVG_10D), 4) = "#N/A", "",  _xll.BDP($C1083, VOLUME_AVG_10D))</f>
        <v>97182.703125</v>
      </c>
      <c r="Z1083" s="31" cm="1">
        <f t="array" ref="Z1083">IF(LEFT(_xll.BDP($C1083, VOLUME_AVG_30D), 4) = "#N/A", "",  _xll.BDP($C1083, VOLUME_AVG_30D))</f>
        <v>69035.8359375</v>
      </c>
      <c r="AA1083" s="31" cm="1">
        <f t="array" ref="AA1083">IF(LEFT(_xll.BDP($C1083, VOLUME_AVG_3M), 4) = "#N/A", "",  _xll.BDP($C1083, VOLUME_AVG_3M))</f>
        <v>94910.484375</v>
      </c>
      <c r="AB1083" s="31" cm="1">
        <f t="array" ref="AB1083">IF(LEFT(_xll.BDP($C1083, VOLUME_AVG_6M), 4) = "#N/A", "",  _xll.BDP($C1083, VOLUME_AVG_6M))</f>
        <v>56460.09375</v>
      </c>
      <c r="AC1083" s="31" cm="1">
        <f t="array" ref="AC1083">IF(LEFT(_xll.BDP($C1083, VOLUME_AVG_12M), 4) = "#N/A", "",  _xll.BDP($C1083, VOLUME_AVG_12M))</f>
        <v>52923.6796875</v>
      </c>
      <c r="AD1083" s="41" cm="1">
        <f t="array" ref="AD1083">IF(LEFT(_xll.BDP($C1083, LAST_PRICE), 4) = "#N/A", "",  _xll.BDP($C1083, LAST_PRICE))</f>
        <v>2.5099999999999998</v>
      </c>
    </row>
    <row r="1084" spans="1:30" x14ac:dyDescent="0.35">
      <c r="A1084" s="1">
        <f t="shared" si="16"/>
        <v>1081</v>
      </c>
      <c r="B1084" s="28">
        <v>45700</v>
      </c>
      <c r="C1084" s="29" t="s">
        <v>2218</v>
      </c>
      <c r="D1084" s="29" t="s">
        <v>2218</v>
      </c>
      <c r="E1084" s="29" t="s">
        <v>2219</v>
      </c>
      <c r="F1084" s="29" t="s">
        <v>33</v>
      </c>
      <c r="G1084" s="30" t="s">
        <v>34</v>
      </c>
      <c r="H1084" s="31">
        <v>73661.572499999995</v>
      </c>
      <c r="I1084" s="31">
        <v>9485881.5724999998</v>
      </c>
      <c r="J1084" s="32">
        <v>1E-4</v>
      </c>
      <c r="K1084" s="33">
        <v>45700</v>
      </c>
      <c r="L1084" s="31"/>
      <c r="M1084" s="32"/>
      <c r="N1084" s="31"/>
      <c r="O1084" s="33">
        <v>45699</v>
      </c>
      <c r="P1084" s="34">
        <v>120487.3984375</v>
      </c>
      <c r="Q1084" s="34">
        <v>162937.453125</v>
      </c>
      <c r="R1084" s="34">
        <v>81144.375</v>
      </c>
      <c r="S1084" s="29"/>
      <c r="T1084" s="33"/>
      <c r="U1084" s="35" t="b">
        <v>1</v>
      </c>
      <c r="V1084" s="35" t="b">
        <v>1</v>
      </c>
      <c r="W1084" s="35" t="b">
        <v>0</v>
      </c>
      <c r="Y1084" s="31" cm="1">
        <f t="array" ref="Y1084">IF(LEFT(_xll.BDP($C1084, VOLUME_AVG_10D), 4) = "#N/A", "",  _xll.BDP($C1084, VOLUME_AVG_10D))</f>
        <v>11000</v>
      </c>
      <c r="Z1084" s="31" cm="1">
        <f t="array" ref="Z1084">IF(LEFT(_xll.BDP($C1084, VOLUME_AVG_30D), 4) = "#N/A", "",  _xll.BDP($C1084, VOLUME_AVG_30D))</f>
        <v>120487.3984375</v>
      </c>
      <c r="AA1084" s="31" cm="1">
        <f t="array" ref="AA1084">IF(LEFT(_xll.BDP($C1084, VOLUME_AVG_3M), 4) = "#N/A", "",  _xll.BDP($C1084, VOLUME_AVG_3M))</f>
        <v>162937.453125</v>
      </c>
      <c r="AB1084" s="31" cm="1">
        <f t="array" ref="AB1084">IF(LEFT(_xll.BDP($C1084, VOLUME_AVG_6M), 4) = "#N/A", "",  _xll.BDP($C1084, VOLUME_AVG_6M))</f>
        <v>81144.375</v>
      </c>
      <c r="AC1084" s="31" cm="1">
        <f t="array" ref="AC1084">IF(LEFT(_xll.BDP($C1084, VOLUME_AVG_12M), 4) = "#N/A", "",  _xll.BDP($C1084, VOLUME_AVG_12M))</f>
        <v>69247.9453125</v>
      </c>
      <c r="AD1084" s="41" cm="1">
        <f t="array" ref="AD1084">IF(LEFT(_xll.BDP($C1084, LAST_PRICE), 4) = "#N/A", "",  _xll.BDP($C1084, LAST_PRICE))</f>
        <v>1E-4</v>
      </c>
    </row>
    <row r="1085" spans="1:30" x14ac:dyDescent="0.35">
      <c r="A1085" s="1">
        <f t="shared" si="16"/>
        <v>1082</v>
      </c>
      <c r="B1085" s="28">
        <v>45700</v>
      </c>
      <c r="C1085" s="29" t="s">
        <v>2220</v>
      </c>
      <c r="D1085" s="29" t="s">
        <v>2220</v>
      </c>
      <c r="E1085" s="29" t="s">
        <v>2221</v>
      </c>
      <c r="F1085" s="29" t="s">
        <v>33</v>
      </c>
      <c r="G1085" s="30" t="s">
        <v>34</v>
      </c>
      <c r="H1085" s="31">
        <v>71607337.164556995</v>
      </c>
      <c r="I1085" s="31">
        <v>75578337.164556995</v>
      </c>
      <c r="J1085" s="32">
        <v>0.94770002365112305</v>
      </c>
      <c r="K1085" s="33">
        <v>45700</v>
      </c>
      <c r="L1085" s="31">
        <v>3587900</v>
      </c>
      <c r="M1085" s="32">
        <v>0.7</v>
      </c>
      <c r="N1085" s="31" t="s">
        <v>35</v>
      </c>
      <c r="O1085" s="33">
        <v>45699</v>
      </c>
      <c r="P1085" s="34">
        <v>1007631.3125</v>
      </c>
      <c r="Q1085" s="34">
        <v>2162962.25</v>
      </c>
      <c r="R1085" s="34">
        <v>1136600.75</v>
      </c>
      <c r="S1085" s="29"/>
      <c r="T1085" s="33"/>
      <c r="U1085" s="35" t="b">
        <v>0</v>
      </c>
      <c r="V1085" s="35" t="b">
        <v>0</v>
      </c>
      <c r="W1085" s="35" t="b">
        <v>0</v>
      </c>
      <c r="Y1085" s="31" cm="1">
        <f t="array" ref="Y1085">IF(LEFT(_xll.BDP($C1085, VOLUME_AVG_10D), 4) = "#N/A", "",  _xll.BDP($C1085, VOLUME_AVG_10D))</f>
        <v>999677</v>
      </c>
      <c r="Z1085" s="31" cm="1">
        <f t="array" ref="Z1085">IF(LEFT(_xll.BDP($C1085, VOLUME_AVG_30D), 4) = "#N/A", "",  _xll.BDP($C1085, VOLUME_AVG_30D))</f>
        <v>1007631.3125</v>
      </c>
      <c r="AA1085" s="31" cm="1">
        <f t="array" ref="AA1085">IF(LEFT(_xll.BDP($C1085, VOLUME_AVG_3M), 4) = "#N/A", "",  _xll.BDP($C1085, VOLUME_AVG_3M))</f>
        <v>2162962.25</v>
      </c>
      <c r="AB1085" s="31" cm="1">
        <f t="array" ref="AB1085">IF(LEFT(_xll.BDP($C1085, VOLUME_AVG_6M), 4) = "#N/A", "",  _xll.BDP($C1085, VOLUME_AVG_6M))</f>
        <v>1136600.75</v>
      </c>
      <c r="AC1085" s="31" cm="1">
        <f t="array" ref="AC1085">IF(LEFT(_xll.BDP($C1085, VOLUME_AVG_12M), 4) = "#N/A", "",  _xll.BDP($C1085, VOLUME_AVG_12M))</f>
        <v>642415.6875</v>
      </c>
      <c r="AD1085" s="41" cm="1">
        <f t="array" ref="AD1085">IF(LEFT(_xll.BDP($C1085, LAST_PRICE), 4) = "#N/A", "",  _xll.BDP($C1085, LAST_PRICE))</f>
        <v>0.94769999999999999</v>
      </c>
    </row>
    <row r="1086" spans="1:30" x14ac:dyDescent="0.35">
      <c r="A1086" s="1">
        <f t="shared" si="16"/>
        <v>1083</v>
      </c>
      <c r="B1086" s="28">
        <v>45700</v>
      </c>
      <c r="C1086" s="29" t="s">
        <v>2222</v>
      </c>
      <c r="D1086" s="29" t="s">
        <v>2222</v>
      </c>
      <c r="E1086" s="29" t="s">
        <v>2223</v>
      </c>
      <c r="F1086" s="29" t="s">
        <v>33</v>
      </c>
      <c r="G1086" s="30" t="s">
        <v>34</v>
      </c>
      <c r="H1086" s="31">
        <v>2733.8217</v>
      </c>
      <c r="I1086" s="31">
        <v>249733.81189503599</v>
      </c>
      <c r="J1086" s="32">
        <v>1E-4</v>
      </c>
      <c r="K1086" s="33">
        <v>45700</v>
      </c>
      <c r="L1086" s="31"/>
      <c r="M1086" s="32"/>
      <c r="N1086" s="31"/>
      <c r="O1086" s="33">
        <v>45699</v>
      </c>
      <c r="P1086" s="34">
        <v>4207.56689453125</v>
      </c>
      <c r="Q1086" s="34">
        <v>8536.1455078125</v>
      </c>
      <c r="R1086" s="34">
        <v>7622.08740234375</v>
      </c>
      <c r="S1086" s="29"/>
      <c r="T1086" s="33"/>
      <c r="U1086" s="35" t="b">
        <v>1</v>
      </c>
      <c r="V1086" s="35" t="b">
        <v>1</v>
      </c>
      <c r="W1086" s="35" t="b">
        <v>0</v>
      </c>
      <c r="Y1086" s="31" cm="1">
        <f t="array" ref="Y1086">IF(LEFT(_xll.BDP($C1086, VOLUME_AVG_10D), 4) = "#N/A", "",  _xll.BDP($C1086, VOLUME_AVG_10D))</f>
        <v>454.20001220703125</v>
      </c>
      <c r="Z1086" s="31" cm="1">
        <f t="array" ref="Z1086">IF(LEFT(_xll.BDP($C1086, VOLUME_AVG_30D), 4) = "#N/A", "",  _xll.BDP($C1086, VOLUME_AVG_30D))</f>
        <v>4207.56689453125</v>
      </c>
      <c r="AA1086" s="31" cm="1">
        <f t="array" ref="AA1086">IF(LEFT(_xll.BDP($C1086, VOLUME_AVG_3M), 4) = "#N/A", "",  _xll.BDP($C1086, VOLUME_AVG_3M))</f>
        <v>8536.1455078125</v>
      </c>
      <c r="AB1086" s="31" cm="1">
        <f t="array" ref="AB1086">IF(LEFT(_xll.BDP($C1086, VOLUME_AVG_6M), 4) = "#N/A", "",  _xll.BDP($C1086, VOLUME_AVG_6M))</f>
        <v>7622.08740234375</v>
      </c>
      <c r="AC1086" s="31" cm="1">
        <f t="array" ref="AC1086">IF(LEFT(_xll.BDP($C1086, VOLUME_AVG_12M), 4) = "#N/A", "",  _xll.BDP($C1086, VOLUME_AVG_12M))</f>
        <v>5184.78076171875</v>
      </c>
      <c r="AD1086" s="41" cm="1">
        <f t="array" ref="AD1086">IF(LEFT(_xll.BDP($C1086, LAST_PRICE), 4) = "#N/A", "",  _xll.BDP($C1086, LAST_PRICE))</f>
        <v>1E-4</v>
      </c>
    </row>
    <row r="1087" spans="1:30" x14ac:dyDescent="0.35">
      <c r="A1087" s="1">
        <f t="shared" si="16"/>
        <v>1084</v>
      </c>
      <c r="B1087" s="28">
        <v>45700</v>
      </c>
      <c r="C1087" s="29" t="s">
        <v>2224</v>
      </c>
      <c r="D1087" s="29" t="s">
        <v>2224</v>
      </c>
      <c r="E1087" s="29" t="s">
        <v>2225</v>
      </c>
      <c r="F1087" s="29" t="s">
        <v>40</v>
      </c>
      <c r="G1087" s="30" t="s">
        <v>41</v>
      </c>
      <c r="H1087" s="31">
        <v>88822346.554697201</v>
      </c>
      <c r="I1087" s="31">
        <v>70288346.554697201</v>
      </c>
      <c r="J1087" s="32">
        <v>1.1100000143051101</v>
      </c>
      <c r="K1087" s="33">
        <v>45700</v>
      </c>
      <c r="L1087" s="31">
        <v>97400</v>
      </c>
      <c r="M1087" s="32">
        <v>-9.75</v>
      </c>
      <c r="N1087" s="31" t="s">
        <v>35</v>
      </c>
      <c r="O1087" s="33">
        <v>45699</v>
      </c>
      <c r="P1087" s="34">
        <v>254405.7</v>
      </c>
      <c r="Q1087" s="34">
        <v>256961.6</v>
      </c>
      <c r="R1087" s="34">
        <v>220703.5</v>
      </c>
      <c r="S1087" s="29"/>
      <c r="T1087" s="33"/>
      <c r="U1087" s="35" t="b">
        <v>0</v>
      </c>
      <c r="V1087" s="35" t="b">
        <v>0</v>
      </c>
      <c r="W1087" s="35" t="b">
        <v>0</v>
      </c>
      <c r="Y1087" s="31" cm="1">
        <f t="array" ref="Y1087">IF(LEFT(_xll.BDP($C1087, VOLUME_AVG_10D), 4) = "#N/A", "",  _xll.BDP($C1087, VOLUME_AVG_10D))</f>
        <v>258598.3</v>
      </c>
      <c r="Z1087" s="31" cm="1">
        <f t="array" ref="Z1087">IF(LEFT(_xll.BDP($C1087, VOLUME_AVG_30D), 4) = "#N/A", "",  _xll.BDP($C1087, VOLUME_AVG_30D))</f>
        <v>254405.7</v>
      </c>
      <c r="AA1087" s="31" cm="1">
        <f t="array" ref="AA1087">IF(LEFT(_xll.BDP($C1087, VOLUME_AVG_3M), 4) = "#N/A", "",  _xll.BDP($C1087, VOLUME_AVG_3M))</f>
        <v>256961.6</v>
      </c>
      <c r="AB1087" s="31" cm="1">
        <f t="array" ref="AB1087">IF(LEFT(_xll.BDP($C1087, VOLUME_AVG_6M), 4) = "#N/A", "",  _xll.BDP($C1087, VOLUME_AVG_6M))</f>
        <v>220703.5</v>
      </c>
      <c r="AC1087" s="31" cm="1">
        <f t="array" ref="AC1087">IF(LEFT(_xll.BDP($C1087, VOLUME_AVG_12M), 4) = "#N/A", "",  _xll.BDP($C1087, VOLUME_AVG_12M))</f>
        <v>153432.4</v>
      </c>
      <c r="AD1087" s="41" cm="1">
        <f t="array" ref="AD1087">IF(LEFT(_xll.BDP($C1087, LAST_PRICE), 4) = "#N/A", "",  _xll.BDP($C1087, LAST_PRICE))</f>
        <v>1.1100000000000001</v>
      </c>
    </row>
    <row r="1088" spans="1:30" x14ac:dyDescent="0.35">
      <c r="A1088" s="1">
        <f t="shared" si="16"/>
        <v>1085</v>
      </c>
      <c r="B1088" s="28">
        <v>45700</v>
      </c>
      <c r="C1088" s="29" t="s">
        <v>2226</v>
      </c>
      <c r="D1088" s="29" t="s">
        <v>2226</v>
      </c>
      <c r="E1088" s="29" t="s">
        <v>2227</v>
      </c>
      <c r="F1088" s="29" t="s">
        <v>33</v>
      </c>
      <c r="G1088" s="30" t="s">
        <v>34</v>
      </c>
      <c r="H1088" s="31">
        <v>7972225.6866202401</v>
      </c>
      <c r="I1088" s="31">
        <v>20161624.686620198</v>
      </c>
      <c r="J1088" s="32">
        <v>0.54809999465942405</v>
      </c>
      <c r="K1088" s="33">
        <v>45700</v>
      </c>
      <c r="L1088" s="31">
        <v>476300</v>
      </c>
      <c r="M1088" s="32">
        <v>-104</v>
      </c>
      <c r="N1088" s="31" t="s">
        <v>35</v>
      </c>
      <c r="O1088" s="33">
        <v>45699</v>
      </c>
      <c r="P1088" s="34">
        <v>17870696</v>
      </c>
      <c r="Q1088" s="34">
        <v>8828569</v>
      </c>
      <c r="R1088" s="34">
        <v>4693407.5</v>
      </c>
      <c r="S1088" s="29"/>
      <c r="T1088" s="33"/>
      <c r="U1088" s="35" t="b">
        <v>1</v>
      </c>
      <c r="V1088" s="35" t="b">
        <v>0</v>
      </c>
      <c r="W1088" s="35" t="b">
        <v>0</v>
      </c>
      <c r="Y1088" s="31" cm="1">
        <f t="array" ref="Y1088">IF(LEFT(_xll.BDP($C1088, VOLUME_AVG_10D), 4) = "#N/A", "",  _xll.BDP($C1088, VOLUME_AVG_10D))</f>
        <v>668477.5</v>
      </c>
      <c r="Z1088" s="31" cm="1">
        <f t="array" ref="Z1088">IF(LEFT(_xll.BDP($C1088, VOLUME_AVG_30D), 4) = "#N/A", "",  _xll.BDP($C1088, VOLUME_AVG_30D))</f>
        <v>17870696</v>
      </c>
      <c r="AA1088" s="31" cm="1">
        <f t="array" ref="AA1088">IF(LEFT(_xll.BDP($C1088, VOLUME_AVG_3M), 4) = "#N/A", "",  _xll.BDP($C1088, VOLUME_AVG_3M))</f>
        <v>8828569</v>
      </c>
      <c r="AB1088" s="31" cm="1">
        <f t="array" ref="AB1088">IF(LEFT(_xll.BDP($C1088, VOLUME_AVG_6M), 4) = "#N/A", "",  _xll.BDP($C1088, VOLUME_AVG_6M))</f>
        <v>4693407.5</v>
      </c>
      <c r="AC1088" s="31" cm="1">
        <f t="array" ref="AC1088">IF(LEFT(_xll.BDP($C1088, VOLUME_AVG_12M), 4) = "#N/A", "",  _xll.BDP($C1088, VOLUME_AVG_12M))</f>
        <v>2438783.5</v>
      </c>
      <c r="AD1088" s="41" cm="1">
        <f t="array" ref="AD1088">IF(LEFT(_xll.BDP($C1088, LAST_PRICE), 4) = "#N/A", "",  _xll.BDP($C1088, LAST_PRICE))</f>
        <v>0.54810000000000003</v>
      </c>
    </row>
    <row r="1089" spans="1:30" x14ac:dyDescent="0.35">
      <c r="A1089" s="1">
        <f t="shared" si="16"/>
        <v>1086</v>
      </c>
      <c r="B1089" s="28">
        <v>45700</v>
      </c>
      <c r="C1089" s="29" t="s">
        <v>2228</v>
      </c>
      <c r="D1089" s="29" t="s">
        <v>2228</v>
      </c>
      <c r="E1089" s="29" t="s">
        <v>2229</v>
      </c>
      <c r="F1089" s="29" t="s">
        <v>33</v>
      </c>
      <c r="G1089" s="30" t="s">
        <v>34</v>
      </c>
      <c r="H1089" s="31">
        <v>14560604.523237901</v>
      </c>
      <c r="I1089" s="31">
        <v>26626215.523237899</v>
      </c>
      <c r="J1089" s="32">
        <v>3.5750001668930102E-2</v>
      </c>
      <c r="K1089" s="33">
        <v>45700</v>
      </c>
      <c r="L1089" s="31">
        <v>848600</v>
      </c>
      <c r="M1089" s="32">
        <v>2.95</v>
      </c>
      <c r="N1089" s="31" t="s">
        <v>35</v>
      </c>
      <c r="O1089" s="33">
        <v>45699</v>
      </c>
      <c r="P1089" s="34">
        <v>168185.796875</v>
      </c>
      <c r="Q1089" s="34">
        <v>159725.140625</v>
      </c>
      <c r="R1089" s="34">
        <v>256745.953125</v>
      </c>
      <c r="S1089" s="29"/>
      <c r="T1089" s="33"/>
      <c r="U1089" s="35" t="b">
        <v>1</v>
      </c>
      <c r="V1089" s="35" t="b">
        <v>1</v>
      </c>
      <c r="W1089" s="35" t="b">
        <v>0</v>
      </c>
      <c r="Y1089" s="31" cm="1">
        <f t="array" ref="Y1089">IF(LEFT(_xll.BDP($C1089, VOLUME_AVG_10D), 4) = "#N/A", "",  _xll.BDP($C1089, VOLUME_AVG_10D))</f>
        <v>141137.703125</v>
      </c>
      <c r="Z1089" s="31" cm="1">
        <f t="array" ref="Z1089">IF(LEFT(_xll.BDP($C1089, VOLUME_AVG_30D), 4) = "#N/A", "",  _xll.BDP($C1089, VOLUME_AVG_30D))</f>
        <v>168185.796875</v>
      </c>
      <c r="AA1089" s="31" cm="1">
        <f t="array" ref="AA1089">IF(LEFT(_xll.BDP($C1089, VOLUME_AVG_3M), 4) = "#N/A", "",  _xll.BDP($C1089, VOLUME_AVG_3M))</f>
        <v>159725.140625</v>
      </c>
      <c r="AB1089" s="31" cm="1">
        <f t="array" ref="AB1089">IF(LEFT(_xll.BDP($C1089, VOLUME_AVG_6M), 4) = "#N/A", "",  _xll.BDP($C1089, VOLUME_AVG_6M))</f>
        <v>256745.953125</v>
      </c>
      <c r="AC1089" s="31" cm="1">
        <f t="array" ref="AC1089">IF(LEFT(_xll.BDP($C1089, VOLUME_AVG_12M), 4) = "#N/A", "",  _xll.BDP($C1089, VOLUME_AVG_12M))</f>
        <v>165733.375</v>
      </c>
      <c r="AD1089" s="41" cm="1">
        <f t="array" ref="AD1089">IF(LEFT(_xll.BDP($C1089, LAST_PRICE), 4) = "#N/A", "",  _xll.BDP($C1089, LAST_PRICE))</f>
        <v>3.5749999999999997E-2</v>
      </c>
    </row>
    <row r="1090" spans="1:30" x14ac:dyDescent="0.35">
      <c r="A1090" s="1">
        <f t="shared" si="16"/>
        <v>1087</v>
      </c>
      <c r="B1090" s="28">
        <v>45700</v>
      </c>
      <c r="C1090" s="29" t="s">
        <v>2230</v>
      </c>
      <c r="D1090" s="29" t="s">
        <v>2230</v>
      </c>
      <c r="E1090" s="29" t="s">
        <v>2231</v>
      </c>
      <c r="F1090" s="29" t="s">
        <v>33</v>
      </c>
      <c r="G1090" s="30" t="s">
        <v>34</v>
      </c>
      <c r="H1090" s="31">
        <v>4711.7060000000001</v>
      </c>
      <c r="I1090" s="31"/>
      <c r="J1090" s="32"/>
      <c r="K1090" s="33">
        <v>45700</v>
      </c>
      <c r="L1090" s="31"/>
      <c r="M1090" s="32"/>
      <c r="N1090" s="31"/>
      <c r="O1090" s="33">
        <v>45699</v>
      </c>
      <c r="P1090" s="34"/>
      <c r="Q1090" s="34">
        <v>1473.14514160156</v>
      </c>
      <c r="R1090" s="34">
        <v>829.25396728515602</v>
      </c>
      <c r="S1090" s="29"/>
      <c r="T1090" s="33"/>
      <c r="U1090" s="35" t="b">
        <v>1</v>
      </c>
      <c r="V1090" s="35" t="b">
        <v>1</v>
      </c>
      <c r="W1090" s="35" t="b">
        <v>1</v>
      </c>
      <c r="Y1090" s="31" cm="1">
        <f t="array" ref="Y1090">IF(LEFT(_xll.BDP($C1090, VOLUME_AVG_10D), 4) = "#N/A", "",  _xll.BDP($C1090, VOLUME_AVG_10D))</f>
        <v>0</v>
      </c>
      <c r="Z1090" s="31" cm="1">
        <f t="array" ref="Z1090">IF(LEFT(_xll.BDP($C1090, VOLUME_AVG_30D), 4) = "#N/A", "",  _xll.BDP($C1090, VOLUME_AVG_30D))</f>
        <v>0</v>
      </c>
      <c r="AA1090" s="31" cm="1">
        <f t="array" ref="AA1090">IF(LEFT(_xll.BDP($C1090, VOLUME_AVG_3M), 4) = "#N/A", "",  _xll.BDP($C1090, VOLUME_AVG_3M))</f>
        <v>1473.1451416015625</v>
      </c>
      <c r="AB1090" s="31" cm="1">
        <f t="array" ref="AB1090">IF(LEFT(_xll.BDP($C1090, VOLUME_AVG_6M), 4) = "#N/A", "",  _xll.BDP($C1090, VOLUME_AVG_6M))</f>
        <v>829.25396728515625</v>
      </c>
      <c r="AC1090" s="31" cm="1">
        <f t="array" ref="AC1090">IF(LEFT(_xll.BDP($C1090, VOLUME_AVG_12M), 4) = "#N/A", "",  _xll.BDP($C1090, VOLUME_AVG_12M))</f>
        <v>1654.613525390625</v>
      </c>
      <c r="AD1090" s="41" t="str" cm="1">
        <f t="array" ref="AD1090">IF(LEFT(_xll.BDP($C1090, LAST_PRICE), 4) = "#N/A", "",  _xll.BDP($C1090, LAST_PRICE))</f>
        <v/>
      </c>
    </row>
    <row r="1091" spans="1:30" x14ac:dyDescent="0.35">
      <c r="A1091" s="1">
        <f t="shared" si="16"/>
        <v>1088</v>
      </c>
      <c r="B1091" s="28">
        <v>45700</v>
      </c>
      <c r="C1091" s="29" t="s">
        <v>2232</v>
      </c>
      <c r="D1091" s="29" t="s">
        <v>2232</v>
      </c>
      <c r="E1091" s="29" t="s">
        <v>2233</v>
      </c>
      <c r="F1091" s="29" t="s">
        <v>33</v>
      </c>
      <c r="G1091" s="30" t="s">
        <v>34</v>
      </c>
      <c r="H1091" s="31">
        <v>2789157.64889233</v>
      </c>
      <c r="I1091" s="31">
        <v>10920024.6488923</v>
      </c>
      <c r="J1091" s="32">
        <v>2.6340000331401801E-2</v>
      </c>
      <c r="K1091" s="33">
        <v>45700</v>
      </c>
      <c r="L1091" s="31"/>
      <c r="M1091" s="32"/>
      <c r="N1091" s="31"/>
      <c r="O1091" s="33">
        <v>45699</v>
      </c>
      <c r="P1091" s="34">
        <v>103163.203125</v>
      </c>
      <c r="Q1091" s="34">
        <v>181692.78125</v>
      </c>
      <c r="R1091" s="34">
        <v>174696.203125</v>
      </c>
      <c r="S1091" s="29"/>
      <c r="T1091" s="33"/>
      <c r="U1091" s="35" t="b">
        <v>1</v>
      </c>
      <c r="V1091" s="35" t="b">
        <v>1</v>
      </c>
      <c r="W1091" s="35" t="b">
        <v>0</v>
      </c>
      <c r="Y1091" s="31" cm="1">
        <f t="array" ref="Y1091">IF(LEFT(_xll.BDP($C1091, VOLUME_AVG_10D), 4) = "#N/A", "",  _xll.BDP($C1091, VOLUME_AVG_10D))</f>
        <v>155983.703125</v>
      </c>
      <c r="Z1091" s="31" cm="1">
        <f t="array" ref="Z1091">IF(LEFT(_xll.BDP($C1091, VOLUME_AVG_30D), 4) = "#N/A", "",  _xll.BDP($C1091, VOLUME_AVG_30D))</f>
        <v>103163.203125</v>
      </c>
      <c r="AA1091" s="31" cm="1">
        <f t="array" ref="AA1091">IF(LEFT(_xll.BDP($C1091, VOLUME_AVG_3M), 4) = "#N/A", "",  _xll.BDP($C1091, VOLUME_AVG_3M))</f>
        <v>181692.78125</v>
      </c>
      <c r="AB1091" s="31" cm="1">
        <f t="array" ref="AB1091">IF(LEFT(_xll.BDP($C1091, VOLUME_AVG_6M), 4) = "#N/A", "",  _xll.BDP($C1091, VOLUME_AVG_6M))</f>
        <v>174696.203125</v>
      </c>
      <c r="AC1091" s="31" cm="1">
        <f t="array" ref="AC1091">IF(LEFT(_xll.BDP($C1091, VOLUME_AVG_12M), 4) = "#N/A", "",  _xll.BDP($C1091, VOLUME_AVG_12M))</f>
        <v>137084.234375</v>
      </c>
      <c r="AD1091" s="41" cm="1">
        <f t="array" ref="AD1091">IF(LEFT(_xll.BDP($C1091, LAST_PRICE), 4) = "#N/A", "",  _xll.BDP($C1091, LAST_PRICE))</f>
        <v>2.63E-2</v>
      </c>
    </row>
    <row r="1092" spans="1:30" x14ac:dyDescent="0.35">
      <c r="A1092" s="1">
        <f t="shared" si="16"/>
        <v>1089</v>
      </c>
      <c r="B1092" s="28">
        <v>45700</v>
      </c>
      <c r="C1092" s="29" t="s">
        <v>2234</v>
      </c>
      <c r="D1092" s="29" t="s">
        <v>2234</v>
      </c>
      <c r="E1092" s="29" t="s">
        <v>2235</v>
      </c>
      <c r="F1092" s="29" t="s">
        <v>33</v>
      </c>
      <c r="G1092" s="30" t="s">
        <v>34</v>
      </c>
      <c r="H1092" s="31"/>
      <c r="I1092" s="31"/>
      <c r="J1092" s="32">
        <v>9.9999999747524292E-7</v>
      </c>
      <c r="K1092" s="33">
        <v>45700</v>
      </c>
      <c r="L1092" s="31"/>
      <c r="M1092" s="32"/>
      <c r="N1092" s="31"/>
      <c r="O1092" s="33">
        <v>45699</v>
      </c>
      <c r="P1092" s="34">
        <v>450</v>
      </c>
      <c r="Q1092" s="34">
        <v>252.419357299805</v>
      </c>
      <c r="R1092" s="34">
        <v>1074.04760742188</v>
      </c>
      <c r="S1092" s="29"/>
      <c r="T1092" s="33"/>
      <c r="U1092" s="35" t="b">
        <v>1</v>
      </c>
      <c r="V1092" s="35" t="b">
        <v>1</v>
      </c>
      <c r="W1092" s="35" t="b">
        <v>1</v>
      </c>
      <c r="Y1092" s="31" cm="1">
        <f t="array" ref="Y1092">IF(LEFT(_xll.BDP($C1092, VOLUME_AVG_10D), 4) = "#N/A", "",  _xll.BDP($C1092, VOLUME_AVG_10D))</f>
        <v>1300</v>
      </c>
      <c r="Z1092" s="31" cm="1">
        <f t="array" ref="Z1092">IF(LEFT(_xll.BDP($C1092, VOLUME_AVG_30D), 4) = "#N/A", "",  _xll.BDP($C1092, VOLUME_AVG_30D))</f>
        <v>450</v>
      </c>
      <c r="AA1092" s="31" cm="1">
        <f t="array" ref="AA1092">IF(LEFT(_xll.BDP($C1092, VOLUME_AVG_3M), 4) = "#N/A", "",  _xll.BDP($C1092, VOLUME_AVG_3M))</f>
        <v>252.41935729980469</v>
      </c>
      <c r="AB1092" s="31" cm="1">
        <f t="array" ref="AB1092">IF(LEFT(_xll.BDP($C1092, VOLUME_AVG_6M), 4) = "#N/A", "",  _xll.BDP($C1092, VOLUME_AVG_6M))</f>
        <v>1074.047607421875</v>
      </c>
      <c r="AC1092" s="31" cm="1">
        <f t="array" ref="AC1092">IF(LEFT(_xll.BDP($C1092, VOLUME_AVG_12M), 4) = "#N/A", "",  _xll.BDP($C1092, VOLUME_AVG_12M))</f>
        <v>1184.67724609375</v>
      </c>
      <c r="AD1092" s="41" cm="1">
        <f t="array" ref="AD1092">IF(LEFT(_xll.BDP($C1092, LAST_PRICE), 4) = "#N/A", "",  _xll.BDP($C1092, LAST_PRICE))</f>
        <v>9.9999999999999995E-7</v>
      </c>
    </row>
    <row r="1093" spans="1:30" x14ac:dyDescent="0.35">
      <c r="A1093" s="1">
        <f t="shared" si="16"/>
        <v>1090</v>
      </c>
      <c r="B1093" s="28">
        <v>45700</v>
      </c>
      <c r="C1093" s="29" t="s">
        <v>2236</v>
      </c>
      <c r="D1093" s="29" t="s">
        <v>2236</v>
      </c>
      <c r="E1093" s="29" t="s">
        <v>2237</v>
      </c>
      <c r="F1093" s="29" t="s">
        <v>33</v>
      </c>
      <c r="G1093" s="30" t="s">
        <v>34</v>
      </c>
      <c r="H1093" s="31">
        <v>28555024.620504402</v>
      </c>
      <c r="I1093" s="31">
        <v>28508016.620504402</v>
      </c>
      <c r="J1093" s="32">
        <v>0.93400001525878895</v>
      </c>
      <c r="K1093" s="33">
        <v>45700</v>
      </c>
      <c r="L1093" s="31">
        <v>246600</v>
      </c>
      <c r="M1093" s="32">
        <v>-12.9</v>
      </c>
      <c r="N1093" s="31" t="s">
        <v>35</v>
      </c>
      <c r="O1093" s="33">
        <v>45699</v>
      </c>
      <c r="P1093" s="34">
        <v>130853.296875</v>
      </c>
      <c r="Q1093" s="34">
        <v>331305.8125</v>
      </c>
      <c r="R1093" s="34">
        <v>220815.28125</v>
      </c>
      <c r="S1093" s="29"/>
      <c r="T1093" s="33"/>
      <c r="U1093" s="35" t="b">
        <v>0</v>
      </c>
      <c r="V1093" s="35" t="b">
        <v>0</v>
      </c>
      <c r="W1093" s="35" t="b">
        <v>0</v>
      </c>
      <c r="Y1093" s="31" cm="1">
        <f t="array" ref="Y1093">IF(LEFT(_xll.BDP($C1093, VOLUME_AVG_10D), 4) = "#N/A", "",  _xll.BDP($C1093, VOLUME_AVG_10D))</f>
        <v>60893.5</v>
      </c>
      <c r="Z1093" s="31" cm="1">
        <f t="array" ref="Z1093">IF(LEFT(_xll.BDP($C1093, VOLUME_AVG_30D), 4) = "#N/A", "",  _xll.BDP($C1093, VOLUME_AVG_30D))</f>
        <v>130853.296875</v>
      </c>
      <c r="AA1093" s="31" cm="1">
        <f t="array" ref="AA1093">IF(LEFT(_xll.BDP($C1093, VOLUME_AVG_3M), 4) = "#N/A", "",  _xll.BDP($C1093, VOLUME_AVG_3M))</f>
        <v>331305.8125</v>
      </c>
      <c r="AB1093" s="31" cm="1">
        <f t="array" ref="AB1093">IF(LEFT(_xll.BDP($C1093, VOLUME_AVG_6M), 4) = "#N/A", "",  _xll.BDP($C1093, VOLUME_AVG_6M))</f>
        <v>220815.28125</v>
      </c>
      <c r="AC1093" s="31" cm="1">
        <f t="array" ref="AC1093">IF(LEFT(_xll.BDP($C1093, VOLUME_AVG_12M), 4) = "#N/A", "",  _xll.BDP($C1093, VOLUME_AVG_12M))</f>
        <v>2141920.5</v>
      </c>
      <c r="AD1093" s="41" cm="1">
        <f t="array" ref="AD1093">IF(LEFT(_xll.BDP($C1093, LAST_PRICE), 4) = "#N/A", "",  _xll.BDP($C1093, LAST_PRICE))</f>
        <v>0.93400000000000005</v>
      </c>
    </row>
    <row r="1094" spans="1:30" x14ac:dyDescent="0.35">
      <c r="A1094" s="1">
        <f t="shared" ref="A1094:A1157" si="17">IF(B1094="","", A1093+1)</f>
        <v>1091</v>
      </c>
      <c r="B1094" s="28">
        <v>45700</v>
      </c>
      <c r="C1094" s="29" t="s">
        <v>2238</v>
      </c>
      <c r="D1094" s="29" t="s">
        <v>2238</v>
      </c>
      <c r="E1094" s="29" t="s">
        <v>2239</v>
      </c>
      <c r="F1094" s="29" t="s">
        <v>33</v>
      </c>
      <c r="G1094" s="30" t="s">
        <v>34</v>
      </c>
      <c r="H1094" s="31">
        <v>72699820.105708107</v>
      </c>
      <c r="I1094" s="31">
        <v>-3303179.8942918801</v>
      </c>
      <c r="J1094" s="32">
        <v>5.4499998092651403</v>
      </c>
      <c r="K1094" s="33">
        <v>45700</v>
      </c>
      <c r="L1094" s="31">
        <v>209600</v>
      </c>
      <c r="M1094" s="32">
        <v>-10.050000000000001</v>
      </c>
      <c r="N1094" s="31" t="s">
        <v>35</v>
      </c>
      <c r="O1094" s="33">
        <v>45699</v>
      </c>
      <c r="P1094" s="34">
        <v>114394.6015625</v>
      </c>
      <c r="Q1094" s="34">
        <v>113768.515625</v>
      </c>
      <c r="R1094" s="34">
        <v>77512.9765625</v>
      </c>
      <c r="S1094" s="29"/>
      <c r="T1094" s="33"/>
      <c r="U1094" s="35" t="b">
        <v>0</v>
      </c>
      <c r="V1094" s="35" t="b">
        <v>0</v>
      </c>
      <c r="W1094" s="35" t="b">
        <v>1</v>
      </c>
      <c r="Y1094" s="31" cm="1">
        <f t="array" ref="Y1094">IF(LEFT(_xll.BDP($C1094, VOLUME_AVG_10D), 4) = "#N/A", "",  _xll.BDP($C1094, VOLUME_AVG_10D))</f>
        <v>59984.6015625</v>
      </c>
      <c r="Z1094" s="31" cm="1">
        <f t="array" ref="Z1094">IF(LEFT(_xll.BDP($C1094, VOLUME_AVG_30D), 4) = "#N/A", "",  _xll.BDP($C1094, VOLUME_AVG_30D))</f>
        <v>114394.6015625</v>
      </c>
      <c r="AA1094" s="31" cm="1">
        <f t="array" ref="AA1094">IF(LEFT(_xll.BDP($C1094, VOLUME_AVG_3M), 4) = "#N/A", "",  _xll.BDP($C1094, VOLUME_AVG_3M))</f>
        <v>113768.515625</v>
      </c>
      <c r="AB1094" s="31" cm="1">
        <f t="array" ref="AB1094">IF(LEFT(_xll.BDP($C1094, VOLUME_AVG_6M), 4) = "#N/A", "",  _xll.BDP($C1094, VOLUME_AVG_6M))</f>
        <v>77512.9765625</v>
      </c>
      <c r="AC1094" s="31" cm="1">
        <f t="array" ref="AC1094">IF(LEFT(_xll.BDP($C1094, VOLUME_AVG_12M), 4) = "#N/A", "",  _xll.BDP($C1094, VOLUME_AVG_12M))</f>
        <v>49243.62890625</v>
      </c>
      <c r="AD1094" s="41" cm="1">
        <f t="array" ref="AD1094">IF(LEFT(_xll.BDP($C1094, LAST_PRICE), 4) = "#N/A", "",  _xll.BDP($C1094, LAST_PRICE))</f>
        <v>5.45</v>
      </c>
    </row>
    <row r="1095" spans="1:30" x14ac:dyDescent="0.35">
      <c r="A1095" s="1">
        <f t="shared" si="17"/>
        <v>1092</v>
      </c>
      <c r="B1095" s="28">
        <v>45700</v>
      </c>
      <c r="C1095" s="29" t="s">
        <v>2240</v>
      </c>
      <c r="D1095" s="29" t="s">
        <v>2240</v>
      </c>
      <c r="E1095" s="29" t="s">
        <v>2241</v>
      </c>
      <c r="F1095" s="29" t="s">
        <v>33</v>
      </c>
      <c r="G1095" s="30" t="s">
        <v>34</v>
      </c>
      <c r="H1095" s="31">
        <v>5904984.2994387103</v>
      </c>
      <c r="I1095" s="31">
        <v>6040984.2994387103</v>
      </c>
      <c r="J1095" s="32">
        <v>1.3999999761581401</v>
      </c>
      <c r="K1095" s="33">
        <v>45700</v>
      </c>
      <c r="L1095" s="31">
        <v>106800</v>
      </c>
      <c r="M1095" s="32">
        <v>-40.950000000000003</v>
      </c>
      <c r="N1095" s="31" t="s">
        <v>35</v>
      </c>
      <c r="O1095" s="33">
        <v>45699</v>
      </c>
      <c r="P1095" s="34">
        <v>51692.734375</v>
      </c>
      <c r="Q1095" s="34">
        <v>48880.32421875</v>
      </c>
      <c r="R1095" s="34">
        <v>879451.3125</v>
      </c>
      <c r="S1095" s="29"/>
      <c r="T1095" s="33"/>
      <c r="U1095" s="35" t="b">
        <v>1</v>
      </c>
      <c r="V1095" s="35" t="b">
        <v>0</v>
      </c>
      <c r="W1095" s="35" t="b">
        <v>0</v>
      </c>
      <c r="Y1095" s="31" cm="1">
        <f t="array" ref="Y1095">IF(LEFT(_xll.BDP($C1095, VOLUME_AVG_10D), 4) = "#N/A", "",  _xll.BDP($C1095, VOLUME_AVG_10D))</f>
        <v>24011.099609375</v>
      </c>
      <c r="Z1095" s="31" cm="1">
        <f t="array" ref="Z1095">IF(LEFT(_xll.BDP($C1095, VOLUME_AVG_30D), 4) = "#N/A", "",  _xll.BDP($C1095, VOLUME_AVG_30D))</f>
        <v>51692.734375</v>
      </c>
      <c r="AA1095" s="31" cm="1">
        <f t="array" ref="AA1095">IF(LEFT(_xll.BDP($C1095, VOLUME_AVG_3M), 4) = "#N/A", "",  _xll.BDP($C1095, VOLUME_AVG_3M))</f>
        <v>48880.32421875</v>
      </c>
      <c r="AB1095" s="31" cm="1">
        <f t="array" ref="AB1095">IF(LEFT(_xll.BDP($C1095, VOLUME_AVG_6M), 4) = "#N/A", "",  _xll.BDP($C1095, VOLUME_AVG_6M))</f>
        <v>879451.3125</v>
      </c>
      <c r="AC1095" s="31" cm="1">
        <f t="array" ref="AC1095">IF(LEFT(_xll.BDP($C1095, VOLUME_AVG_12M), 4) = "#N/A", "",  _xll.BDP($C1095, VOLUME_AVG_12M))</f>
        <v>566748</v>
      </c>
      <c r="AD1095" s="41" cm="1">
        <f t="array" ref="AD1095">IF(LEFT(_xll.BDP($C1095, LAST_PRICE), 4) = "#N/A", "",  _xll.BDP($C1095, LAST_PRICE))</f>
        <v>1.4</v>
      </c>
    </row>
    <row r="1096" spans="1:30" x14ac:dyDescent="0.35">
      <c r="A1096" s="1">
        <f t="shared" si="17"/>
        <v>1093</v>
      </c>
      <c r="B1096" s="28">
        <v>45700</v>
      </c>
      <c r="C1096" s="29" t="s">
        <v>2242</v>
      </c>
      <c r="D1096" s="29" t="s">
        <v>2242</v>
      </c>
      <c r="E1096" s="29" t="s">
        <v>2243</v>
      </c>
      <c r="F1096" s="29" t="s">
        <v>33</v>
      </c>
      <c r="G1096" s="30" t="s">
        <v>34</v>
      </c>
      <c r="H1096" s="31">
        <v>13793312.1180085</v>
      </c>
      <c r="I1096" s="31">
        <v>14401518.1180085</v>
      </c>
      <c r="J1096" s="32">
        <v>1.37000000476837</v>
      </c>
      <c r="K1096" s="33">
        <v>45700</v>
      </c>
      <c r="L1096" s="31">
        <v>56600</v>
      </c>
      <c r="M1096" s="32">
        <v>-24.65</v>
      </c>
      <c r="N1096" s="31" t="s">
        <v>35</v>
      </c>
      <c r="O1096" s="33">
        <v>45699</v>
      </c>
      <c r="P1096" s="34">
        <v>4434.2998046875</v>
      </c>
      <c r="Q1096" s="34">
        <v>5118.14501953125</v>
      </c>
      <c r="R1096" s="34">
        <v>8554.1904296875</v>
      </c>
      <c r="S1096" s="29"/>
      <c r="T1096" s="33"/>
      <c r="U1096" s="35" t="b">
        <v>1</v>
      </c>
      <c r="V1096" s="35" t="b">
        <v>0</v>
      </c>
      <c r="W1096" s="35" t="b">
        <v>0</v>
      </c>
      <c r="Y1096" s="31" cm="1">
        <f t="array" ref="Y1096">IF(LEFT(_xll.BDP($C1096, VOLUME_AVG_10D), 4) = "#N/A", "",  _xll.BDP($C1096, VOLUME_AVG_10D))</f>
        <v>624</v>
      </c>
      <c r="Z1096" s="31" cm="1">
        <f t="array" ref="Z1096">IF(LEFT(_xll.BDP($C1096, VOLUME_AVG_30D), 4) = "#N/A", "",  _xll.BDP($C1096, VOLUME_AVG_30D))</f>
        <v>4434.2998046875</v>
      </c>
      <c r="AA1096" s="31" cm="1">
        <f t="array" ref="AA1096">IF(LEFT(_xll.BDP($C1096, VOLUME_AVG_3M), 4) = "#N/A", "",  _xll.BDP($C1096, VOLUME_AVG_3M))</f>
        <v>5118.14501953125</v>
      </c>
      <c r="AB1096" s="31" cm="1">
        <f t="array" ref="AB1096">IF(LEFT(_xll.BDP($C1096, VOLUME_AVG_6M), 4) = "#N/A", "",  _xll.BDP($C1096, VOLUME_AVG_6M))</f>
        <v>8554.1904296875</v>
      </c>
      <c r="AC1096" s="31" cm="1">
        <f t="array" ref="AC1096">IF(LEFT(_xll.BDP($C1096, VOLUME_AVG_12M), 4) = "#N/A", "",  _xll.BDP($C1096, VOLUME_AVG_12M))</f>
        <v>53597.1328125</v>
      </c>
      <c r="AD1096" s="41" cm="1">
        <f t="array" ref="AD1096">IF(LEFT(_xll.BDP($C1096, LAST_PRICE), 4) = "#N/A", "",  _xll.BDP($C1096, LAST_PRICE))</f>
        <v>1.37</v>
      </c>
    </row>
    <row r="1097" spans="1:30" x14ac:dyDescent="0.35">
      <c r="A1097" s="1">
        <f t="shared" si="17"/>
        <v>1094</v>
      </c>
      <c r="B1097" s="28">
        <v>45700</v>
      </c>
      <c r="C1097" s="29" t="s">
        <v>2244</v>
      </c>
      <c r="D1097" s="29" t="s">
        <v>2244</v>
      </c>
      <c r="E1097" s="29" t="s">
        <v>2245</v>
      </c>
      <c r="F1097" s="29" t="s">
        <v>33</v>
      </c>
      <c r="G1097" s="30" t="s">
        <v>34</v>
      </c>
      <c r="H1097" s="31">
        <v>1119272157.7969999</v>
      </c>
      <c r="I1097" s="31">
        <v>1220499157.7969999</v>
      </c>
      <c r="J1097" s="32">
        <v>1.6399999856948899</v>
      </c>
      <c r="K1097" s="33">
        <v>45700</v>
      </c>
      <c r="L1097" s="31">
        <v>10811800</v>
      </c>
      <c r="M1097" s="32">
        <v>3.25</v>
      </c>
      <c r="N1097" s="31" t="s">
        <v>35</v>
      </c>
      <c r="O1097" s="33">
        <v>45699</v>
      </c>
      <c r="P1097" s="34">
        <v>2892830.25</v>
      </c>
      <c r="Q1097" s="34">
        <v>3853057.75</v>
      </c>
      <c r="R1097" s="34">
        <v>3529262.25</v>
      </c>
      <c r="S1097" s="29"/>
      <c r="T1097" s="33"/>
      <c r="U1097" s="35" t="b">
        <v>0</v>
      </c>
      <c r="V1097" s="35" t="b">
        <v>0</v>
      </c>
      <c r="W1097" s="35" t="b">
        <v>0</v>
      </c>
      <c r="Y1097" s="31" cm="1">
        <f t="array" ref="Y1097">IF(LEFT(_xll.BDP($C1097, VOLUME_AVG_10D), 4) = "#N/A", "",  _xll.BDP($C1097, VOLUME_AVG_10D))</f>
        <v>3573211</v>
      </c>
      <c r="Z1097" s="31" cm="1">
        <f t="array" ref="Z1097">IF(LEFT(_xll.BDP($C1097, VOLUME_AVG_30D), 4) = "#N/A", "",  _xll.BDP($C1097, VOLUME_AVG_30D))</f>
        <v>2892830.25</v>
      </c>
      <c r="AA1097" s="31" cm="1">
        <f t="array" ref="AA1097">IF(LEFT(_xll.BDP($C1097, VOLUME_AVG_3M), 4) = "#N/A", "",  _xll.BDP($C1097, VOLUME_AVG_3M))</f>
        <v>3853057.75</v>
      </c>
      <c r="AB1097" s="31" cm="1">
        <f t="array" ref="AB1097">IF(LEFT(_xll.BDP($C1097, VOLUME_AVG_6M), 4) = "#N/A", "",  _xll.BDP($C1097, VOLUME_AVG_6M))</f>
        <v>3529262.25</v>
      </c>
      <c r="AC1097" s="31" cm="1">
        <f t="array" ref="AC1097">IF(LEFT(_xll.BDP($C1097, VOLUME_AVG_12M), 4) = "#N/A", "",  _xll.BDP($C1097, VOLUME_AVG_12M))</f>
        <v>4686951</v>
      </c>
      <c r="AD1097" s="41" cm="1">
        <f t="array" ref="AD1097">IF(LEFT(_xll.BDP($C1097, LAST_PRICE), 4) = "#N/A", "",  _xll.BDP($C1097, LAST_PRICE))</f>
        <v>1.64</v>
      </c>
    </row>
    <row r="1098" spans="1:30" x14ac:dyDescent="0.35">
      <c r="A1098" s="1">
        <f t="shared" si="17"/>
        <v>1095</v>
      </c>
      <c r="B1098" s="28">
        <v>45700</v>
      </c>
      <c r="C1098" s="29" t="s">
        <v>2246</v>
      </c>
      <c r="D1098" s="29" t="s">
        <v>2246</v>
      </c>
      <c r="E1098" s="29" t="s">
        <v>2247</v>
      </c>
      <c r="F1098" s="29" t="s">
        <v>33</v>
      </c>
      <c r="G1098" s="30" t="s">
        <v>34</v>
      </c>
      <c r="H1098" s="31">
        <v>102972867.350807</v>
      </c>
      <c r="I1098" s="31">
        <v>122561867.350807</v>
      </c>
      <c r="J1098" s="32">
        <v>5.5900001525878897</v>
      </c>
      <c r="K1098" s="33">
        <v>45700</v>
      </c>
      <c r="L1098" s="31">
        <v>4525600</v>
      </c>
      <c r="M1098" s="32">
        <v>3.88</v>
      </c>
      <c r="N1098" s="31" t="s">
        <v>35</v>
      </c>
      <c r="O1098" s="33">
        <v>45699</v>
      </c>
      <c r="P1098" s="34">
        <v>161996.4375</v>
      </c>
      <c r="Q1098" s="34">
        <v>296016.03125</v>
      </c>
      <c r="R1098" s="34">
        <v>210237.46875</v>
      </c>
      <c r="S1098" s="29"/>
      <c r="T1098" s="33"/>
      <c r="U1098" s="35" t="b">
        <v>0</v>
      </c>
      <c r="V1098" s="35" t="b">
        <v>0</v>
      </c>
      <c r="W1098" s="35" t="b">
        <v>0</v>
      </c>
      <c r="Y1098" s="31" cm="1">
        <f t="array" ref="Y1098">IF(LEFT(_xll.BDP($C1098, VOLUME_AVG_10D), 4) = "#N/A", "",  _xll.BDP($C1098, VOLUME_AVG_10D))</f>
        <v>115237</v>
      </c>
      <c r="Z1098" s="31" cm="1">
        <f t="array" ref="Z1098">IF(LEFT(_xll.BDP($C1098, VOLUME_AVG_30D), 4) = "#N/A", "",  _xll.BDP($C1098, VOLUME_AVG_30D))</f>
        <v>161996.4375</v>
      </c>
      <c r="AA1098" s="31" cm="1">
        <f t="array" ref="AA1098">IF(LEFT(_xll.BDP($C1098, VOLUME_AVG_3M), 4) = "#N/A", "",  _xll.BDP($C1098, VOLUME_AVG_3M))</f>
        <v>296016.03125</v>
      </c>
      <c r="AB1098" s="31" cm="1">
        <f t="array" ref="AB1098">IF(LEFT(_xll.BDP($C1098, VOLUME_AVG_6M), 4) = "#N/A", "",  _xll.BDP($C1098, VOLUME_AVG_6M))</f>
        <v>210237.46875</v>
      </c>
      <c r="AC1098" s="31" cm="1">
        <f t="array" ref="AC1098">IF(LEFT(_xll.BDP($C1098, VOLUME_AVG_12M), 4) = "#N/A", "",  _xll.BDP($C1098, VOLUME_AVG_12M))</f>
        <v>172308.71875</v>
      </c>
      <c r="AD1098" s="41" cm="1">
        <f t="array" ref="AD1098">IF(LEFT(_xll.BDP($C1098, LAST_PRICE), 4) = "#N/A", "",  _xll.BDP($C1098, LAST_PRICE))</f>
        <v>5.59</v>
      </c>
    </row>
    <row r="1099" spans="1:30" x14ac:dyDescent="0.35">
      <c r="A1099" s="1">
        <f t="shared" si="17"/>
        <v>1096</v>
      </c>
      <c r="B1099" s="28">
        <v>45700</v>
      </c>
      <c r="C1099" s="29" t="s">
        <v>2248</v>
      </c>
      <c r="D1099" s="29" t="s">
        <v>2248</v>
      </c>
      <c r="E1099" s="29" t="s">
        <v>2249</v>
      </c>
      <c r="F1099" s="29" t="s">
        <v>33</v>
      </c>
      <c r="G1099" s="30" t="s">
        <v>34</v>
      </c>
      <c r="H1099" s="31">
        <v>55404707.872809</v>
      </c>
      <c r="I1099" s="31">
        <v>98892707.872808993</v>
      </c>
      <c r="J1099" s="32">
        <v>5.5100002288818404</v>
      </c>
      <c r="K1099" s="33">
        <v>45700</v>
      </c>
      <c r="L1099" s="31">
        <v>587900</v>
      </c>
      <c r="M1099" s="32">
        <v>3.1</v>
      </c>
      <c r="N1099" s="31" t="s">
        <v>35</v>
      </c>
      <c r="O1099" s="33">
        <v>45699</v>
      </c>
      <c r="P1099" s="34">
        <v>48319.4765625</v>
      </c>
      <c r="Q1099" s="34">
        <v>67267.1484375</v>
      </c>
      <c r="R1099" s="34">
        <v>44522.1953125</v>
      </c>
      <c r="S1099" s="29" t="s">
        <v>1464</v>
      </c>
      <c r="T1099" s="33">
        <v>45446</v>
      </c>
      <c r="U1099" s="35" t="b">
        <v>0</v>
      </c>
      <c r="V1099" s="35" t="b">
        <v>0</v>
      </c>
      <c r="W1099" s="35" t="b">
        <v>0</v>
      </c>
      <c r="Y1099" s="31" cm="1">
        <f t="array" ref="Y1099">IF(LEFT(_xll.BDP($C1099, VOLUME_AVG_10D), 4) = "#N/A", "",  _xll.BDP($C1099, VOLUME_AVG_10D))</f>
        <v>19212.80078125</v>
      </c>
      <c r="Z1099" s="31" cm="1">
        <f t="array" ref="Z1099">IF(LEFT(_xll.BDP($C1099, VOLUME_AVG_30D), 4) = "#N/A", "",  _xll.BDP($C1099, VOLUME_AVG_30D))</f>
        <v>48319.4765625</v>
      </c>
      <c r="AA1099" s="31" cm="1">
        <f t="array" ref="AA1099">IF(LEFT(_xll.BDP($C1099, VOLUME_AVG_3M), 4) = "#N/A", "",  _xll.BDP($C1099, VOLUME_AVG_3M))</f>
        <v>67267.1484375</v>
      </c>
      <c r="AB1099" s="31" cm="1">
        <f t="array" ref="AB1099">IF(LEFT(_xll.BDP($C1099, VOLUME_AVG_6M), 4) = "#N/A", "",  _xll.BDP($C1099, VOLUME_AVG_6M))</f>
        <v>44522.1953125</v>
      </c>
      <c r="AC1099" s="31" cm="1">
        <f t="array" ref="AC1099">IF(LEFT(_xll.BDP($C1099, VOLUME_AVG_12M), 4) = "#N/A", "",  _xll.BDP($C1099, VOLUME_AVG_12M))</f>
        <v>55450.98828125</v>
      </c>
      <c r="AD1099" s="41" cm="1">
        <f t="array" ref="AD1099">IF(LEFT(_xll.BDP($C1099, LAST_PRICE), 4) = "#N/A", "",  _xll.BDP($C1099, LAST_PRICE))</f>
        <v>5.51</v>
      </c>
    </row>
    <row r="1100" spans="1:30" x14ac:dyDescent="0.35">
      <c r="A1100" s="1">
        <f t="shared" si="17"/>
        <v>1097</v>
      </c>
      <c r="B1100" s="28">
        <v>45700</v>
      </c>
      <c r="C1100" s="29" t="s">
        <v>2250</v>
      </c>
      <c r="D1100" s="29" t="s">
        <v>2250</v>
      </c>
      <c r="E1100" s="29" t="s">
        <v>2251</v>
      </c>
      <c r="F1100" s="29" t="s">
        <v>33</v>
      </c>
      <c r="G1100" s="30" t="s">
        <v>34</v>
      </c>
      <c r="H1100" s="31">
        <v>5421974346.5503798</v>
      </c>
      <c r="I1100" s="31">
        <v>6160458346.5503798</v>
      </c>
      <c r="J1100" s="32">
        <v>31.860000610351602</v>
      </c>
      <c r="K1100" s="33">
        <v>45700</v>
      </c>
      <c r="L1100" s="31">
        <v>72705504</v>
      </c>
      <c r="M1100" s="32">
        <v>3.88</v>
      </c>
      <c r="N1100" s="31" t="s">
        <v>35</v>
      </c>
      <c r="O1100" s="33">
        <v>45699</v>
      </c>
      <c r="P1100" s="34">
        <v>1765315.625</v>
      </c>
      <c r="Q1100" s="34">
        <v>1925918.625</v>
      </c>
      <c r="R1100" s="34">
        <v>1811410.875</v>
      </c>
      <c r="S1100" s="29"/>
      <c r="T1100" s="33"/>
      <c r="U1100" s="35" t="b">
        <v>0</v>
      </c>
      <c r="V1100" s="35" t="b">
        <v>0</v>
      </c>
      <c r="W1100" s="35" t="b">
        <v>0</v>
      </c>
      <c r="Y1100" s="31" cm="1">
        <f t="array" ref="Y1100">IF(LEFT(_xll.BDP($C1100, VOLUME_AVG_10D), 4) = "#N/A", "",  _xll.BDP($C1100, VOLUME_AVG_10D))</f>
        <v>1214455.625</v>
      </c>
      <c r="Z1100" s="31" cm="1">
        <f t="array" ref="Z1100">IF(LEFT(_xll.BDP($C1100, VOLUME_AVG_30D), 4) = "#N/A", "",  _xll.BDP($C1100, VOLUME_AVG_30D))</f>
        <v>1765315.625</v>
      </c>
      <c r="AA1100" s="31" cm="1">
        <f t="array" ref="AA1100">IF(LEFT(_xll.BDP($C1100, VOLUME_AVG_3M), 4) = "#N/A", "",  _xll.BDP($C1100, VOLUME_AVG_3M))</f>
        <v>1925918.625</v>
      </c>
      <c r="AB1100" s="31" cm="1">
        <f t="array" ref="AB1100">IF(LEFT(_xll.BDP($C1100, VOLUME_AVG_6M), 4) = "#N/A", "",  _xll.BDP($C1100, VOLUME_AVG_6M))</f>
        <v>1811410.875</v>
      </c>
      <c r="AC1100" s="31" cm="1">
        <f t="array" ref="AC1100">IF(LEFT(_xll.BDP($C1100, VOLUME_AVG_12M), 4) = "#N/A", "",  _xll.BDP($C1100, VOLUME_AVG_12M))</f>
        <v>1642354</v>
      </c>
      <c r="AD1100" s="41" cm="1">
        <f t="array" ref="AD1100">IF(LEFT(_xll.BDP($C1100, LAST_PRICE), 4) = "#N/A", "",  _xll.BDP($C1100, LAST_PRICE))</f>
        <v>31.86</v>
      </c>
    </row>
    <row r="1101" spans="1:30" x14ac:dyDescent="0.35">
      <c r="A1101" s="1">
        <f t="shared" si="17"/>
        <v>1098</v>
      </c>
      <c r="B1101" s="28">
        <v>45700</v>
      </c>
      <c r="C1101" s="29" t="s">
        <v>2252</v>
      </c>
      <c r="D1101" s="29" t="s">
        <v>2252</v>
      </c>
      <c r="E1101" s="29" t="s">
        <v>2253</v>
      </c>
      <c r="F1101" s="29" t="s">
        <v>33</v>
      </c>
      <c r="G1101" s="30" t="s">
        <v>34</v>
      </c>
      <c r="H1101" s="31">
        <v>35988040.5284096</v>
      </c>
      <c r="I1101" s="31">
        <v>-646959.47159039997</v>
      </c>
      <c r="J1101" s="32">
        <v>1.1399999856948899</v>
      </c>
      <c r="K1101" s="33">
        <v>45700</v>
      </c>
      <c r="L1101" s="31">
        <v>1416200</v>
      </c>
      <c r="M1101" s="32">
        <v>3.75</v>
      </c>
      <c r="N1101" s="31" t="s">
        <v>35</v>
      </c>
      <c r="O1101" s="33">
        <v>45699</v>
      </c>
      <c r="P1101" s="34">
        <v>189873.59375</v>
      </c>
      <c r="Q1101" s="34">
        <v>226252.109375</v>
      </c>
      <c r="R1101" s="34">
        <v>184589.4375</v>
      </c>
      <c r="S1101" s="29"/>
      <c r="T1101" s="33"/>
      <c r="U1101" s="35" t="b">
        <v>0</v>
      </c>
      <c r="V1101" s="35" t="b">
        <v>0</v>
      </c>
      <c r="W1101" s="35" t="b">
        <v>1</v>
      </c>
      <c r="Y1101" s="31" cm="1">
        <f t="array" ref="Y1101">IF(LEFT(_xll.BDP($C1101, VOLUME_AVG_10D), 4) = "#N/A", "",  _xll.BDP($C1101, VOLUME_AVG_10D))</f>
        <v>167876.203125</v>
      </c>
      <c r="Z1101" s="31" cm="1">
        <f t="array" ref="Z1101">IF(LEFT(_xll.BDP($C1101, VOLUME_AVG_30D), 4) = "#N/A", "",  _xll.BDP($C1101, VOLUME_AVG_30D))</f>
        <v>189873.59375</v>
      </c>
      <c r="AA1101" s="31" cm="1">
        <f t="array" ref="AA1101">IF(LEFT(_xll.BDP($C1101, VOLUME_AVG_3M), 4) = "#N/A", "",  _xll.BDP($C1101, VOLUME_AVG_3M))</f>
        <v>226252.109375</v>
      </c>
      <c r="AB1101" s="31" cm="1">
        <f t="array" ref="AB1101">IF(LEFT(_xll.BDP($C1101, VOLUME_AVG_6M), 4) = "#N/A", "",  _xll.BDP($C1101, VOLUME_AVG_6M))</f>
        <v>184589.4375</v>
      </c>
      <c r="AC1101" s="31" cm="1">
        <f t="array" ref="AC1101">IF(LEFT(_xll.BDP($C1101, VOLUME_AVG_12M), 4) = "#N/A", "",  _xll.BDP($C1101, VOLUME_AVG_12M))</f>
        <v>182087.359375</v>
      </c>
      <c r="AD1101" s="41" cm="1">
        <f t="array" ref="AD1101">IF(LEFT(_xll.BDP($C1101, LAST_PRICE), 4) = "#N/A", "",  _xll.BDP($C1101, LAST_PRICE))</f>
        <v>1.1399999999999999</v>
      </c>
    </row>
    <row r="1102" spans="1:30" x14ac:dyDescent="0.35">
      <c r="A1102" s="1">
        <f t="shared" si="17"/>
        <v>1099</v>
      </c>
      <c r="B1102" s="28">
        <v>45700</v>
      </c>
      <c r="C1102" s="29" t="s">
        <v>2254</v>
      </c>
      <c r="D1102" s="29" t="s">
        <v>2254</v>
      </c>
      <c r="E1102" s="29" t="s">
        <v>2255</v>
      </c>
      <c r="F1102" s="29" t="s">
        <v>33</v>
      </c>
      <c r="G1102" s="30" t="s">
        <v>34</v>
      </c>
      <c r="H1102" s="31">
        <v>4030682.6667313301</v>
      </c>
      <c r="I1102" s="31">
        <v>2998748.6667313301</v>
      </c>
      <c r="J1102" s="32">
        <v>0.29399999976158098</v>
      </c>
      <c r="K1102" s="33">
        <v>45700</v>
      </c>
      <c r="L1102" s="31">
        <v>1170800</v>
      </c>
      <c r="M1102" s="32">
        <v>-80</v>
      </c>
      <c r="N1102" s="31" t="s">
        <v>35</v>
      </c>
      <c r="O1102" s="33">
        <v>45699</v>
      </c>
      <c r="P1102" s="34">
        <v>9718047</v>
      </c>
      <c r="Q1102" s="34">
        <v>5279758.5</v>
      </c>
      <c r="R1102" s="34">
        <v>2949964.5</v>
      </c>
      <c r="S1102" s="29"/>
      <c r="T1102" s="33"/>
      <c r="U1102" s="35" t="b">
        <v>1</v>
      </c>
      <c r="V1102" s="35" t="b">
        <v>0</v>
      </c>
      <c r="W1102" s="35" t="b">
        <v>0</v>
      </c>
      <c r="Y1102" s="31" cm="1">
        <f t="array" ref="Y1102">IF(LEFT(_xll.BDP($C1102, VOLUME_AVG_10D), 4) = "#N/A", "",  _xll.BDP($C1102, VOLUME_AVG_10D))</f>
        <v>27934944</v>
      </c>
      <c r="Z1102" s="31" cm="1">
        <f t="array" ref="Z1102">IF(LEFT(_xll.BDP($C1102, VOLUME_AVG_30D), 4) = "#N/A", "",  _xll.BDP($C1102, VOLUME_AVG_30D))</f>
        <v>9718047</v>
      </c>
      <c r="AA1102" s="31" cm="1">
        <f t="array" ref="AA1102">IF(LEFT(_xll.BDP($C1102, VOLUME_AVG_3M), 4) = "#N/A", "",  _xll.BDP($C1102, VOLUME_AVG_3M))</f>
        <v>5279758.5</v>
      </c>
      <c r="AB1102" s="31" cm="1">
        <f t="array" ref="AB1102">IF(LEFT(_xll.BDP($C1102, VOLUME_AVG_6M), 4) = "#N/A", "",  _xll.BDP($C1102, VOLUME_AVG_6M))</f>
        <v>2949964.5</v>
      </c>
      <c r="AC1102" s="31" cm="1">
        <f t="array" ref="AC1102">IF(LEFT(_xll.BDP($C1102, VOLUME_AVG_12M), 4) = "#N/A", "",  _xll.BDP($C1102, VOLUME_AVG_12M))</f>
        <v>1587660.125</v>
      </c>
      <c r="AD1102" s="41" cm="1">
        <f t="array" ref="AD1102">IF(LEFT(_xll.BDP($C1102, LAST_PRICE), 4) = "#N/A", "",  _xll.BDP($C1102, LAST_PRICE))</f>
        <v>0.29399999999999998</v>
      </c>
    </row>
    <row r="1103" spans="1:30" x14ac:dyDescent="0.35">
      <c r="A1103" s="1">
        <f t="shared" si="17"/>
        <v>1100</v>
      </c>
      <c r="B1103" s="28">
        <v>45700</v>
      </c>
      <c r="C1103" s="29" t="s">
        <v>2256</v>
      </c>
      <c r="D1103" s="29" t="s">
        <v>2256</v>
      </c>
      <c r="E1103" s="29" t="s">
        <v>2257</v>
      </c>
      <c r="F1103" s="29" t="s">
        <v>33</v>
      </c>
      <c r="G1103" s="30" t="s">
        <v>34</v>
      </c>
      <c r="H1103" s="31">
        <v>99570811.583337501</v>
      </c>
      <c r="I1103" s="31">
        <v>13589811.583337501</v>
      </c>
      <c r="J1103" s="32">
        <v>2.4700000286102299</v>
      </c>
      <c r="K1103" s="33">
        <v>45700</v>
      </c>
      <c r="L1103" s="31">
        <v>423900</v>
      </c>
      <c r="M1103" s="32">
        <v>3.65</v>
      </c>
      <c r="N1103" s="31" t="s">
        <v>35</v>
      </c>
      <c r="O1103" s="33">
        <v>45699</v>
      </c>
      <c r="P1103" s="34">
        <v>342273.1875</v>
      </c>
      <c r="Q1103" s="34">
        <v>263145</v>
      </c>
      <c r="R1103" s="34">
        <v>178718.96875</v>
      </c>
      <c r="S1103" s="29" t="s">
        <v>585</v>
      </c>
      <c r="T1103" s="33">
        <v>45215</v>
      </c>
      <c r="U1103" s="35" t="b">
        <v>0</v>
      </c>
      <c r="V1103" s="35" t="b">
        <v>0</v>
      </c>
      <c r="W1103" s="35" t="b">
        <v>0</v>
      </c>
      <c r="Y1103" s="31" cm="1">
        <f t="array" ref="Y1103">IF(LEFT(_xll.BDP($C1103, VOLUME_AVG_10D), 4) = "#N/A", "",  _xll.BDP($C1103, VOLUME_AVG_10D))</f>
        <v>751833.1875</v>
      </c>
      <c r="Z1103" s="31" cm="1">
        <f t="array" ref="Z1103">IF(LEFT(_xll.BDP($C1103, VOLUME_AVG_30D), 4) = "#N/A", "",  _xll.BDP($C1103, VOLUME_AVG_30D))</f>
        <v>342273.1875</v>
      </c>
      <c r="AA1103" s="31" cm="1">
        <f t="array" ref="AA1103">IF(LEFT(_xll.BDP($C1103, VOLUME_AVG_3M), 4) = "#N/A", "",  _xll.BDP($C1103, VOLUME_AVG_3M))</f>
        <v>263145</v>
      </c>
      <c r="AB1103" s="31" cm="1">
        <f t="array" ref="AB1103">IF(LEFT(_xll.BDP($C1103, VOLUME_AVG_6M), 4) = "#N/A", "",  _xll.BDP($C1103, VOLUME_AVG_6M))</f>
        <v>178718.96875</v>
      </c>
      <c r="AC1103" s="31" cm="1">
        <f t="array" ref="AC1103">IF(LEFT(_xll.BDP($C1103, VOLUME_AVG_12M), 4) = "#N/A", "",  _xll.BDP($C1103, VOLUME_AVG_12M))</f>
        <v>159122.296875</v>
      </c>
      <c r="AD1103" s="41" cm="1">
        <f t="array" ref="AD1103">IF(LEFT(_xll.BDP($C1103, LAST_PRICE), 4) = "#N/A", "",  _xll.BDP($C1103, LAST_PRICE))</f>
        <v>2.4700000000000002</v>
      </c>
    </row>
    <row r="1104" spans="1:30" x14ac:dyDescent="0.35">
      <c r="A1104" s="1">
        <f t="shared" si="17"/>
        <v>1101</v>
      </c>
      <c r="B1104" s="28">
        <v>45700</v>
      </c>
      <c r="C1104" s="29" t="s">
        <v>2258</v>
      </c>
      <c r="D1104" s="29" t="s">
        <v>2258</v>
      </c>
      <c r="E1104" s="29" t="s">
        <v>2259</v>
      </c>
      <c r="F1104" s="29" t="s">
        <v>33</v>
      </c>
      <c r="G1104" s="30" t="s">
        <v>34</v>
      </c>
      <c r="H1104" s="31">
        <v>278982136.67138499</v>
      </c>
      <c r="I1104" s="31">
        <v>11518136.671385299</v>
      </c>
      <c r="J1104" s="32">
        <v>3.7400000095367401</v>
      </c>
      <c r="K1104" s="33">
        <v>45700</v>
      </c>
      <c r="L1104" s="31">
        <v>24294900</v>
      </c>
      <c r="M1104" s="32">
        <v>3.88</v>
      </c>
      <c r="N1104" s="31" t="s">
        <v>35</v>
      </c>
      <c r="O1104" s="33">
        <v>45699</v>
      </c>
      <c r="P1104" s="34">
        <v>853863.75</v>
      </c>
      <c r="Q1104" s="34">
        <v>886231.3125</v>
      </c>
      <c r="R1104" s="34">
        <v>742699.9375</v>
      </c>
      <c r="S1104" s="29" t="s">
        <v>671</v>
      </c>
      <c r="T1104" s="33">
        <v>45215</v>
      </c>
      <c r="U1104" s="35" t="b">
        <v>0</v>
      </c>
      <c r="V1104" s="35" t="b">
        <v>0</v>
      </c>
      <c r="W1104" s="35" t="b">
        <v>0</v>
      </c>
      <c r="Y1104" s="31" cm="1">
        <f t="array" ref="Y1104">IF(LEFT(_xll.BDP($C1104, VOLUME_AVG_10D), 4) = "#N/A", "",  _xll.BDP($C1104, VOLUME_AVG_10D))</f>
        <v>915190.125</v>
      </c>
      <c r="Z1104" s="31" cm="1">
        <f t="array" ref="Z1104">IF(LEFT(_xll.BDP($C1104, VOLUME_AVG_30D), 4) = "#N/A", "",  _xll.BDP($C1104, VOLUME_AVG_30D))</f>
        <v>853863.75</v>
      </c>
      <c r="AA1104" s="31" cm="1">
        <f t="array" ref="AA1104">IF(LEFT(_xll.BDP($C1104, VOLUME_AVG_3M), 4) = "#N/A", "",  _xll.BDP($C1104, VOLUME_AVG_3M))</f>
        <v>886231.3125</v>
      </c>
      <c r="AB1104" s="31" cm="1">
        <f t="array" ref="AB1104">IF(LEFT(_xll.BDP($C1104, VOLUME_AVG_6M), 4) = "#N/A", "",  _xll.BDP($C1104, VOLUME_AVG_6M))</f>
        <v>742699.9375</v>
      </c>
      <c r="AC1104" s="31" cm="1">
        <f t="array" ref="AC1104">IF(LEFT(_xll.BDP($C1104, VOLUME_AVG_12M), 4) = "#N/A", "",  _xll.BDP($C1104, VOLUME_AVG_12M))</f>
        <v>907982.1875</v>
      </c>
      <c r="AD1104" s="41" cm="1">
        <f t="array" ref="AD1104">IF(LEFT(_xll.BDP($C1104, LAST_PRICE), 4) = "#N/A", "",  _xll.BDP($C1104, LAST_PRICE))</f>
        <v>3.74</v>
      </c>
    </row>
    <row r="1105" spans="1:30" x14ac:dyDescent="0.35">
      <c r="A1105" s="1">
        <f t="shared" si="17"/>
        <v>1102</v>
      </c>
      <c r="B1105" s="28">
        <v>45700</v>
      </c>
      <c r="C1105" s="29" t="s">
        <v>2260</v>
      </c>
      <c r="D1105" s="29" t="s">
        <v>2260</v>
      </c>
      <c r="E1105" s="29" t="s">
        <v>2261</v>
      </c>
      <c r="F1105" s="29" t="s">
        <v>33</v>
      </c>
      <c r="G1105" s="30" t="s">
        <v>34</v>
      </c>
      <c r="H1105" s="31">
        <v>202612090.67979801</v>
      </c>
      <c r="I1105" s="31">
        <v>115085090.67979801</v>
      </c>
      <c r="J1105" s="32">
        <v>5.3299999237060502</v>
      </c>
      <c r="K1105" s="33">
        <v>45700</v>
      </c>
      <c r="L1105" s="31">
        <v>2477100</v>
      </c>
      <c r="M1105" s="32">
        <v>3.6</v>
      </c>
      <c r="N1105" s="31" t="s">
        <v>35</v>
      </c>
      <c r="O1105" s="33">
        <v>45699</v>
      </c>
      <c r="P1105" s="34">
        <v>136650</v>
      </c>
      <c r="Q1105" s="34">
        <v>97280.390625</v>
      </c>
      <c r="R1105" s="34">
        <v>77973.59375</v>
      </c>
      <c r="S1105" s="29"/>
      <c r="T1105" s="33"/>
      <c r="U1105" s="35" t="b">
        <v>0</v>
      </c>
      <c r="V1105" s="35" t="b">
        <v>0</v>
      </c>
      <c r="W1105" s="35" t="b">
        <v>0</v>
      </c>
      <c r="Y1105" s="31" cm="1">
        <f t="array" ref="Y1105">IF(LEFT(_xll.BDP($C1105, VOLUME_AVG_10D), 4) = "#N/A", "",  _xll.BDP($C1105, VOLUME_AVG_10D))</f>
        <v>50297.69921875</v>
      </c>
      <c r="Z1105" s="31" cm="1">
        <f t="array" ref="Z1105">IF(LEFT(_xll.BDP($C1105, VOLUME_AVG_30D), 4) = "#N/A", "",  _xll.BDP($C1105, VOLUME_AVG_30D))</f>
        <v>136650</v>
      </c>
      <c r="AA1105" s="31" cm="1">
        <f t="array" ref="AA1105">IF(LEFT(_xll.BDP($C1105, VOLUME_AVG_3M), 4) = "#N/A", "",  _xll.BDP($C1105, VOLUME_AVG_3M))</f>
        <v>97280.390625</v>
      </c>
      <c r="AB1105" s="31" cm="1">
        <f t="array" ref="AB1105">IF(LEFT(_xll.BDP($C1105, VOLUME_AVG_6M), 4) = "#N/A", "",  _xll.BDP($C1105, VOLUME_AVG_6M))</f>
        <v>77973.59375</v>
      </c>
      <c r="AC1105" s="31" cm="1">
        <f t="array" ref="AC1105">IF(LEFT(_xll.BDP($C1105, VOLUME_AVG_12M), 4) = "#N/A", "",  _xll.BDP($C1105, VOLUME_AVG_12M))</f>
        <v>83627.078125</v>
      </c>
      <c r="AD1105" s="41" cm="1">
        <f t="array" ref="AD1105">IF(LEFT(_xll.BDP($C1105, LAST_PRICE), 4) = "#N/A", "",  _xll.BDP($C1105, LAST_PRICE))</f>
        <v>5.33</v>
      </c>
    </row>
    <row r="1106" spans="1:30" x14ac:dyDescent="0.35">
      <c r="A1106" s="1">
        <f t="shared" si="17"/>
        <v>1103</v>
      </c>
      <c r="B1106" s="28">
        <v>45700</v>
      </c>
      <c r="C1106" s="29" t="s">
        <v>2262</v>
      </c>
      <c r="D1106" s="29" t="s">
        <v>2262</v>
      </c>
      <c r="E1106" s="29" t="s">
        <v>2263</v>
      </c>
      <c r="F1106" s="29" t="s">
        <v>40</v>
      </c>
      <c r="G1106" s="30" t="s">
        <v>41</v>
      </c>
      <c r="H1106" s="31">
        <v>242220806.74594301</v>
      </c>
      <c r="I1106" s="31">
        <v>205291806.74594301</v>
      </c>
      <c r="J1106" s="32">
        <v>1.91999995708466</v>
      </c>
      <c r="K1106" s="33">
        <v>45700</v>
      </c>
      <c r="L1106" s="31">
        <v>4526700</v>
      </c>
      <c r="M1106" s="32">
        <v>3.7</v>
      </c>
      <c r="N1106" s="31" t="s">
        <v>35</v>
      </c>
      <c r="O1106" s="33">
        <v>45699</v>
      </c>
      <c r="P1106" s="34">
        <v>439280.2</v>
      </c>
      <c r="Q1106" s="34">
        <v>447281.4</v>
      </c>
      <c r="R1106" s="34">
        <v>461203.9</v>
      </c>
      <c r="S1106" s="29"/>
      <c r="T1106" s="33"/>
      <c r="U1106" s="35" t="b">
        <v>0</v>
      </c>
      <c r="V1106" s="35" t="b">
        <v>0</v>
      </c>
      <c r="W1106" s="35" t="b">
        <v>0</v>
      </c>
      <c r="Y1106" s="31" cm="1">
        <f t="array" ref="Y1106">IF(LEFT(_xll.BDP($C1106, VOLUME_AVG_10D), 4) = "#N/A", "",  _xll.BDP($C1106, VOLUME_AVG_10D))</f>
        <v>672188.1</v>
      </c>
      <c r="Z1106" s="31" cm="1">
        <f t="array" ref="Z1106">IF(LEFT(_xll.BDP($C1106, VOLUME_AVG_30D), 4) = "#N/A", "",  _xll.BDP($C1106, VOLUME_AVG_30D))</f>
        <v>439280.2</v>
      </c>
      <c r="AA1106" s="31" cm="1">
        <f t="array" ref="AA1106">IF(LEFT(_xll.BDP($C1106, VOLUME_AVG_3M), 4) = "#N/A", "",  _xll.BDP($C1106, VOLUME_AVG_3M))</f>
        <v>447281.4</v>
      </c>
      <c r="AB1106" s="31" cm="1">
        <f t="array" ref="AB1106">IF(LEFT(_xll.BDP($C1106, VOLUME_AVG_6M), 4) = "#N/A", "",  _xll.BDP($C1106, VOLUME_AVG_6M))</f>
        <v>461203.9</v>
      </c>
      <c r="AC1106" s="31" cm="1">
        <f t="array" ref="AC1106">IF(LEFT(_xll.BDP($C1106, VOLUME_AVG_12M), 4) = "#N/A", "",  _xll.BDP($C1106, VOLUME_AVG_12M))</f>
        <v>557821.4</v>
      </c>
      <c r="AD1106" s="41" cm="1">
        <f t="array" ref="AD1106">IF(LEFT(_xll.BDP($C1106, LAST_PRICE), 4) = "#N/A", "",  _xll.BDP($C1106, LAST_PRICE))</f>
        <v>1.92</v>
      </c>
    </row>
    <row r="1107" spans="1:30" x14ac:dyDescent="0.35">
      <c r="A1107" s="1">
        <f t="shared" si="17"/>
        <v>1104</v>
      </c>
      <c r="B1107" s="28">
        <v>45700</v>
      </c>
      <c r="C1107" s="29" t="s">
        <v>2264</v>
      </c>
      <c r="D1107" s="29" t="s">
        <v>2264</v>
      </c>
      <c r="E1107" s="29" t="s">
        <v>2265</v>
      </c>
      <c r="F1107" s="29" t="s">
        <v>33</v>
      </c>
      <c r="G1107" s="30" t="s">
        <v>34</v>
      </c>
      <c r="H1107" s="31">
        <v>460156424.15113199</v>
      </c>
      <c r="I1107" s="31">
        <v>472199424.15113199</v>
      </c>
      <c r="J1107" s="32">
        <v>3.6600000858306898</v>
      </c>
      <c r="K1107" s="33">
        <v>45700</v>
      </c>
      <c r="L1107" s="31">
        <v>23028300</v>
      </c>
      <c r="M1107" s="32">
        <v>3.88</v>
      </c>
      <c r="N1107" s="31" t="s">
        <v>35</v>
      </c>
      <c r="O1107" s="33">
        <v>45699</v>
      </c>
      <c r="P1107" s="34">
        <v>471960.3125</v>
      </c>
      <c r="Q1107" s="34">
        <v>740140.6875</v>
      </c>
      <c r="R1107" s="34">
        <v>634735.375</v>
      </c>
      <c r="S1107" s="29" t="s">
        <v>1464</v>
      </c>
      <c r="T1107" s="33">
        <v>45446</v>
      </c>
      <c r="U1107" s="35" t="b">
        <v>0</v>
      </c>
      <c r="V1107" s="35" t="b">
        <v>0</v>
      </c>
      <c r="W1107" s="35" t="b">
        <v>0</v>
      </c>
      <c r="Y1107" s="31" cm="1">
        <f t="array" ref="Y1107">IF(LEFT(_xll.BDP($C1107, VOLUME_AVG_10D), 4) = "#N/A", "",  _xll.BDP($C1107, VOLUME_AVG_10D))</f>
        <v>340723.09375</v>
      </c>
      <c r="Z1107" s="31" cm="1">
        <f t="array" ref="Z1107">IF(LEFT(_xll.BDP($C1107, VOLUME_AVG_30D), 4) = "#N/A", "",  _xll.BDP($C1107, VOLUME_AVG_30D))</f>
        <v>471960.3125</v>
      </c>
      <c r="AA1107" s="31" cm="1">
        <f t="array" ref="AA1107">IF(LEFT(_xll.BDP($C1107, VOLUME_AVG_3M), 4) = "#N/A", "",  _xll.BDP($C1107, VOLUME_AVG_3M))</f>
        <v>740140.6875</v>
      </c>
      <c r="AB1107" s="31" cm="1">
        <f t="array" ref="AB1107">IF(LEFT(_xll.BDP($C1107, VOLUME_AVG_6M), 4) = "#N/A", "",  _xll.BDP($C1107, VOLUME_AVG_6M))</f>
        <v>634735.375</v>
      </c>
      <c r="AC1107" s="31" cm="1">
        <f t="array" ref="AC1107">IF(LEFT(_xll.BDP($C1107, VOLUME_AVG_12M), 4) = "#N/A", "",  _xll.BDP($C1107, VOLUME_AVG_12M))</f>
        <v>815725</v>
      </c>
      <c r="AD1107" s="41" cm="1">
        <f t="array" ref="AD1107">IF(LEFT(_xll.BDP($C1107, LAST_PRICE), 4) = "#N/A", "",  _xll.BDP($C1107, LAST_PRICE))</f>
        <v>3.66</v>
      </c>
    </row>
    <row r="1108" spans="1:30" x14ac:dyDescent="0.35">
      <c r="A1108" s="1">
        <f t="shared" si="17"/>
        <v>1105</v>
      </c>
      <c r="B1108" s="28">
        <v>45700</v>
      </c>
      <c r="C1108" s="29" t="s">
        <v>2266</v>
      </c>
      <c r="D1108" s="29" t="s">
        <v>2266</v>
      </c>
      <c r="E1108" s="29" t="s">
        <v>2267</v>
      </c>
      <c r="F1108" s="29" t="s">
        <v>33</v>
      </c>
      <c r="G1108" s="30" t="s">
        <v>34</v>
      </c>
      <c r="H1108" s="31">
        <v>3785821413.3783598</v>
      </c>
      <c r="I1108" s="31">
        <v>11771821413.378401</v>
      </c>
      <c r="J1108" s="32">
        <v>14.699999809265099</v>
      </c>
      <c r="K1108" s="33">
        <v>45700</v>
      </c>
      <c r="L1108" s="31">
        <v>65494500</v>
      </c>
      <c r="M1108" s="32">
        <v>3.88</v>
      </c>
      <c r="N1108" s="31" t="s">
        <v>35</v>
      </c>
      <c r="O1108" s="33">
        <v>45699</v>
      </c>
      <c r="P1108" s="34">
        <v>2534031.25</v>
      </c>
      <c r="Q1108" s="34">
        <v>3207272.75</v>
      </c>
      <c r="R1108" s="34">
        <v>2660287</v>
      </c>
      <c r="S1108" s="29" t="s">
        <v>285</v>
      </c>
      <c r="T1108" s="33">
        <v>45446</v>
      </c>
      <c r="U1108" s="35" t="b">
        <v>0</v>
      </c>
      <c r="V1108" s="35" t="b">
        <v>0</v>
      </c>
      <c r="W1108" s="35" t="b">
        <v>0</v>
      </c>
      <c r="Y1108" s="31" cm="1">
        <f t="array" ref="Y1108">IF(LEFT(_xll.BDP($C1108, VOLUME_AVG_10D), 4) = "#N/A", "",  _xll.BDP($C1108, VOLUME_AVG_10D))</f>
        <v>2330664</v>
      </c>
      <c r="Z1108" s="31" cm="1">
        <f t="array" ref="Z1108">IF(LEFT(_xll.BDP($C1108, VOLUME_AVG_30D), 4) = "#N/A", "",  _xll.BDP($C1108, VOLUME_AVG_30D))</f>
        <v>2534031.25</v>
      </c>
      <c r="AA1108" s="31" cm="1">
        <f t="array" ref="AA1108">IF(LEFT(_xll.BDP($C1108, VOLUME_AVG_3M), 4) = "#N/A", "",  _xll.BDP($C1108, VOLUME_AVG_3M))</f>
        <v>3207272.75</v>
      </c>
      <c r="AB1108" s="31" cm="1">
        <f t="array" ref="AB1108">IF(LEFT(_xll.BDP($C1108, VOLUME_AVG_6M), 4) = "#N/A", "",  _xll.BDP($C1108, VOLUME_AVG_6M))</f>
        <v>2660287</v>
      </c>
      <c r="AC1108" s="31" cm="1">
        <f t="array" ref="AC1108">IF(LEFT(_xll.BDP($C1108, VOLUME_AVG_12M), 4) = "#N/A", "",  _xll.BDP($C1108, VOLUME_AVG_12M))</f>
        <v>2349343</v>
      </c>
      <c r="AD1108" s="41" cm="1">
        <f t="array" ref="AD1108">IF(LEFT(_xll.BDP($C1108, LAST_PRICE), 4) = "#N/A", "",  _xll.BDP($C1108, LAST_PRICE))</f>
        <v>14.7</v>
      </c>
    </row>
    <row r="1109" spans="1:30" x14ac:dyDescent="0.35">
      <c r="A1109" s="1">
        <f t="shared" si="17"/>
        <v>1106</v>
      </c>
      <c r="B1109" s="28">
        <v>45700</v>
      </c>
      <c r="C1109" s="29" t="s">
        <v>2268</v>
      </c>
      <c r="D1109" s="29" t="s">
        <v>2268</v>
      </c>
      <c r="E1109" s="29" t="s">
        <v>2269</v>
      </c>
      <c r="F1109" s="29" t="s">
        <v>33</v>
      </c>
      <c r="G1109" s="30" t="s">
        <v>34</v>
      </c>
      <c r="H1109" s="31">
        <v>5545526.8283388</v>
      </c>
      <c r="I1109" s="31">
        <v>3544526.8283388</v>
      </c>
      <c r="J1109" s="32">
        <v>0.36090001463890098</v>
      </c>
      <c r="K1109" s="33">
        <v>45700</v>
      </c>
      <c r="L1109" s="31">
        <v>923900</v>
      </c>
      <c r="M1109" s="32">
        <v>-8.3000000000000007</v>
      </c>
      <c r="N1109" s="31" t="s">
        <v>35</v>
      </c>
      <c r="O1109" s="33">
        <v>45699</v>
      </c>
      <c r="P1109" s="34">
        <v>191099.796875</v>
      </c>
      <c r="Q1109" s="34">
        <v>212546.828125</v>
      </c>
      <c r="R1109" s="34">
        <v>136874.546875</v>
      </c>
      <c r="S1109" s="29"/>
      <c r="T1109" s="33"/>
      <c r="U1109" s="35" t="b">
        <v>1</v>
      </c>
      <c r="V1109" s="35" t="b">
        <v>0</v>
      </c>
      <c r="W1109" s="35" t="b">
        <v>0</v>
      </c>
      <c r="Y1109" s="31" cm="1">
        <f t="array" ref="Y1109">IF(LEFT(_xll.BDP($C1109, VOLUME_AVG_10D), 4) = "#N/A", "",  _xll.BDP($C1109, VOLUME_AVG_10D))</f>
        <v>76922.8984375</v>
      </c>
      <c r="Z1109" s="31" cm="1">
        <f t="array" ref="Z1109">IF(LEFT(_xll.BDP($C1109, VOLUME_AVG_30D), 4) = "#N/A", "",  _xll.BDP($C1109, VOLUME_AVG_30D))</f>
        <v>191099.796875</v>
      </c>
      <c r="AA1109" s="31" cm="1">
        <f t="array" ref="AA1109">IF(LEFT(_xll.BDP($C1109, VOLUME_AVG_3M), 4) = "#N/A", "",  _xll.BDP($C1109, VOLUME_AVG_3M))</f>
        <v>212546.828125</v>
      </c>
      <c r="AB1109" s="31" cm="1">
        <f t="array" ref="AB1109">IF(LEFT(_xll.BDP($C1109, VOLUME_AVG_6M), 4) = "#N/A", "",  _xll.BDP($C1109, VOLUME_AVG_6M))</f>
        <v>136874.546875</v>
      </c>
      <c r="AC1109" s="31" cm="1">
        <f t="array" ref="AC1109">IF(LEFT(_xll.BDP($C1109, VOLUME_AVG_12M), 4) = "#N/A", "",  _xll.BDP($C1109, VOLUME_AVG_12M))</f>
        <v>364432.96875</v>
      </c>
      <c r="AD1109" s="41" cm="1">
        <f t="array" ref="AD1109">IF(LEFT(_xll.BDP($C1109, LAST_PRICE), 4) = "#N/A", "",  _xll.BDP($C1109, LAST_PRICE))</f>
        <v>0.3609</v>
      </c>
    </row>
    <row r="1110" spans="1:30" x14ac:dyDescent="0.35">
      <c r="A1110" s="1">
        <f t="shared" si="17"/>
        <v>1107</v>
      </c>
      <c r="B1110" s="28">
        <v>45700</v>
      </c>
      <c r="C1110" s="29" t="s">
        <v>2270</v>
      </c>
      <c r="D1110" s="29" t="s">
        <v>2270</v>
      </c>
      <c r="E1110" s="29" t="s">
        <v>2271</v>
      </c>
      <c r="F1110" s="29" t="s">
        <v>33</v>
      </c>
      <c r="G1110" s="30" t="s">
        <v>34</v>
      </c>
      <c r="H1110" s="31">
        <v>8787721.8464889508</v>
      </c>
      <c r="I1110" s="31">
        <v>18216721.846489001</v>
      </c>
      <c r="J1110" s="32">
        <v>1.70000004768372</v>
      </c>
      <c r="K1110" s="33">
        <v>45700</v>
      </c>
      <c r="L1110" s="31">
        <v>14500</v>
      </c>
      <c r="M1110" s="32">
        <v>-0.1</v>
      </c>
      <c r="N1110" s="31" t="s">
        <v>35</v>
      </c>
      <c r="O1110" s="33">
        <v>45699</v>
      </c>
      <c r="P1110" s="34">
        <v>9001.099609375</v>
      </c>
      <c r="Q1110" s="34">
        <v>10634.3388671875</v>
      </c>
      <c r="R1110" s="34">
        <v>24695.3515625</v>
      </c>
      <c r="S1110" s="29"/>
      <c r="T1110" s="33"/>
      <c r="U1110" s="35" t="b">
        <v>1</v>
      </c>
      <c r="V1110" s="35" t="b">
        <v>0</v>
      </c>
      <c r="W1110" s="35" t="b">
        <v>0</v>
      </c>
      <c r="Y1110" s="31" cm="1">
        <f t="array" ref="Y1110">IF(LEFT(_xll.BDP($C1110, VOLUME_AVG_10D), 4) = "#N/A", "",  _xll.BDP($C1110, VOLUME_AVG_10D))</f>
        <v>6475.2998046875</v>
      </c>
      <c r="Z1110" s="31" cm="1">
        <f t="array" ref="Z1110">IF(LEFT(_xll.BDP($C1110, VOLUME_AVG_30D), 4) = "#N/A", "",  _xll.BDP($C1110, VOLUME_AVG_30D))</f>
        <v>9001.099609375</v>
      </c>
      <c r="AA1110" s="31" cm="1">
        <f t="array" ref="AA1110">IF(LEFT(_xll.BDP($C1110, VOLUME_AVG_3M), 4) = "#N/A", "",  _xll.BDP($C1110, VOLUME_AVG_3M))</f>
        <v>10634.3388671875</v>
      </c>
      <c r="AB1110" s="31" cm="1">
        <f t="array" ref="AB1110">IF(LEFT(_xll.BDP($C1110, VOLUME_AVG_6M), 4) = "#N/A", "",  _xll.BDP($C1110, VOLUME_AVG_6M))</f>
        <v>24695.3515625</v>
      </c>
      <c r="AC1110" s="31" cm="1">
        <f t="array" ref="AC1110">IF(LEFT(_xll.BDP($C1110, VOLUME_AVG_12M), 4) = "#N/A", "",  _xll.BDP($C1110, VOLUME_AVG_12M))</f>
        <v>21898.646484375</v>
      </c>
      <c r="AD1110" s="41" cm="1">
        <f t="array" ref="AD1110">IF(LEFT(_xll.BDP($C1110, LAST_PRICE), 4) = "#N/A", "",  _xll.BDP($C1110, LAST_PRICE))</f>
        <v>1.7</v>
      </c>
    </row>
    <row r="1111" spans="1:30" x14ac:dyDescent="0.35">
      <c r="A1111" s="1">
        <f t="shared" si="17"/>
        <v>1108</v>
      </c>
      <c r="B1111" s="28">
        <v>45700</v>
      </c>
      <c r="C1111" s="29" t="s">
        <v>2272</v>
      </c>
      <c r="D1111" s="29" t="s">
        <v>2272</v>
      </c>
      <c r="E1111" s="29" t="s">
        <v>2273</v>
      </c>
      <c r="F1111" s="29" t="s">
        <v>33</v>
      </c>
      <c r="G1111" s="30" t="s">
        <v>34</v>
      </c>
      <c r="H1111" s="31">
        <v>2269.5545999999999</v>
      </c>
      <c r="I1111" s="31"/>
      <c r="J1111" s="32">
        <v>2.0000000000000001E-4</v>
      </c>
      <c r="K1111" s="33">
        <v>45700</v>
      </c>
      <c r="L1111" s="31"/>
      <c r="M1111" s="32"/>
      <c r="N1111" s="31"/>
      <c r="O1111" s="33">
        <v>45699</v>
      </c>
      <c r="P1111" s="34">
        <v>3453.2333984375</v>
      </c>
      <c r="Q1111" s="34">
        <v>48593.2109375</v>
      </c>
      <c r="R1111" s="34">
        <v>98101.5234375</v>
      </c>
      <c r="S1111" s="29"/>
      <c r="T1111" s="33"/>
      <c r="U1111" s="35" t="b">
        <v>1</v>
      </c>
      <c r="V1111" s="35" t="b">
        <v>1</v>
      </c>
      <c r="W1111" s="35" t="b">
        <v>1</v>
      </c>
      <c r="Y1111" s="31" cm="1">
        <f t="array" ref="Y1111">IF(LEFT(_xll.BDP($C1111, VOLUME_AVG_10D), 4) = "#N/A", "",  _xll.BDP($C1111, VOLUME_AVG_10D))</f>
        <v>2448.89990234375</v>
      </c>
      <c r="Z1111" s="31" cm="1">
        <f t="array" ref="Z1111">IF(LEFT(_xll.BDP($C1111, VOLUME_AVG_30D), 4) = "#N/A", "",  _xll.BDP($C1111, VOLUME_AVG_30D))</f>
        <v>3453.2333984375</v>
      </c>
      <c r="AA1111" s="31" cm="1">
        <f t="array" ref="AA1111">IF(LEFT(_xll.BDP($C1111, VOLUME_AVG_3M), 4) = "#N/A", "",  _xll.BDP($C1111, VOLUME_AVG_3M))</f>
        <v>48593.2109375</v>
      </c>
      <c r="AB1111" s="31" cm="1">
        <f t="array" ref="AB1111">IF(LEFT(_xll.BDP($C1111, VOLUME_AVG_6M), 4) = "#N/A", "",  _xll.BDP($C1111, VOLUME_AVG_6M))</f>
        <v>98101.5234375</v>
      </c>
      <c r="AC1111" s="31" cm="1">
        <f t="array" ref="AC1111">IF(LEFT(_xll.BDP($C1111, VOLUME_AVG_12M), 4) = "#N/A", "",  _xll.BDP($C1111, VOLUME_AVG_12M))</f>
        <v>114631.8046875</v>
      </c>
      <c r="AD1111" s="41" cm="1">
        <f t="array" ref="AD1111">IF(LEFT(_xll.BDP($C1111, LAST_PRICE), 4) = "#N/A", "",  _xll.BDP($C1111, LAST_PRICE))</f>
        <v>2.0000000000000001E-4</v>
      </c>
    </row>
    <row r="1112" spans="1:30" x14ac:dyDescent="0.35">
      <c r="A1112" s="1">
        <f t="shared" si="17"/>
        <v>1109</v>
      </c>
      <c r="B1112" s="28">
        <v>45700</v>
      </c>
      <c r="C1112" s="29" t="s">
        <v>2274</v>
      </c>
      <c r="D1112" s="29" t="s">
        <v>2274</v>
      </c>
      <c r="E1112" s="29" t="s">
        <v>2275</v>
      </c>
      <c r="F1112" s="29" t="s">
        <v>33</v>
      </c>
      <c r="G1112" s="30" t="s">
        <v>34</v>
      </c>
      <c r="H1112" s="31">
        <v>666857664.04042196</v>
      </c>
      <c r="I1112" s="31">
        <v>394488664.04042202</v>
      </c>
      <c r="J1112" s="32">
        <v>9.4499998092651403</v>
      </c>
      <c r="K1112" s="33">
        <v>45700</v>
      </c>
      <c r="L1112" s="31">
        <v>9251400</v>
      </c>
      <c r="M1112" s="32">
        <v>3.88</v>
      </c>
      <c r="N1112" s="31" t="s">
        <v>35</v>
      </c>
      <c r="O1112" s="33">
        <v>45699</v>
      </c>
      <c r="P1112" s="34">
        <v>1080248.625</v>
      </c>
      <c r="Q1112" s="34">
        <v>707382.1875</v>
      </c>
      <c r="R1112" s="34">
        <v>580958.3125</v>
      </c>
      <c r="S1112" s="29" t="s">
        <v>46</v>
      </c>
      <c r="T1112" s="33">
        <v>45446</v>
      </c>
      <c r="U1112" s="35" t="b">
        <v>0</v>
      </c>
      <c r="V1112" s="35" t="b">
        <v>0</v>
      </c>
      <c r="W1112" s="35" t="b">
        <v>0</v>
      </c>
      <c r="Y1112" s="31" cm="1">
        <f t="array" ref="Y1112">IF(LEFT(_xll.BDP($C1112, VOLUME_AVG_10D), 4) = "#N/A", "",  _xll.BDP($C1112, VOLUME_AVG_10D))</f>
        <v>1910707.375</v>
      </c>
      <c r="Z1112" s="31" cm="1">
        <f t="array" ref="Z1112">IF(LEFT(_xll.BDP($C1112, VOLUME_AVG_30D), 4) = "#N/A", "",  _xll.BDP($C1112, VOLUME_AVG_30D))</f>
        <v>1080248.625</v>
      </c>
      <c r="AA1112" s="31" cm="1">
        <f t="array" ref="AA1112">IF(LEFT(_xll.BDP($C1112, VOLUME_AVG_3M), 4) = "#N/A", "",  _xll.BDP($C1112, VOLUME_AVG_3M))</f>
        <v>707382.1875</v>
      </c>
      <c r="AB1112" s="31" cm="1">
        <f t="array" ref="AB1112">IF(LEFT(_xll.BDP($C1112, VOLUME_AVG_6M), 4) = "#N/A", "",  _xll.BDP($C1112, VOLUME_AVG_6M))</f>
        <v>580958.3125</v>
      </c>
      <c r="AC1112" s="31" cm="1">
        <f t="array" ref="AC1112">IF(LEFT(_xll.BDP($C1112, VOLUME_AVG_12M), 4) = "#N/A", "",  _xll.BDP($C1112, VOLUME_AVG_12M))</f>
        <v>573616.6875</v>
      </c>
      <c r="AD1112" s="41" cm="1">
        <f t="array" ref="AD1112">IF(LEFT(_xll.BDP($C1112, LAST_PRICE), 4) = "#N/A", "",  _xll.BDP($C1112, LAST_PRICE))</f>
        <v>9.4499999999999993</v>
      </c>
    </row>
    <row r="1113" spans="1:30" x14ac:dyDescent="0.35">
      <c r="A1113" s="1">
        <f t="shared" si="17"/>
        <v>1110</v>
      </c>
      <c r="B1113" s="28">
        <v>45700</v>
      </c>
      <c r="C1113" s="29" t="s">
        <v>2276</v>
      </c>
      <c r="D1113" s="29" t="s">
        <v>2276</v>
      </c>
      <c r="E1113" s="29" t="s">
        <v>2277</v>
      </c>
      <c r="F1113" s="29" t="s">
        <v>33</v>
      </c>
      <c r="G1113" s="30" t="s">
        <v>34</v>
      </c>
      <c r="H1113" s="31">
        <v>690148196.81142199</v>
      </c>
      <c r="I1113" s="31">
        <v>816266196.81142199</v>
      </c>
      <c r="J1113" s="32">
        <v>18.059999465942401</v>
      </c>
      <c r="K1113" s="33">
        <v>45700</v>
      </c>
      <c r="L1113" s="31">
        <v>9393800</v>
      </c>
      <c r="M1113" s="32">
        <v>3.88</v>
      </c>
      <c r="N1113" s="31" t="s">
        <v>35</v>
      </c>
      <c r="O1113" s="33">
        <v>45699</v>
      </c>
      <c r="P1113" s="34">
        <v>174950.640625</v>
      </c>
      <c r="Q1113" s="34">
        <v>222462.65625</v>
      </c>
      <c r="R1113" s="34">
        <v>227211.578125</v>
      </c>
      <c r="S1113" s="29"/>
      <c r="T1113" s="33"/>
      <c r="U1113" s="35" t="b">
        <v>0</v>
      </c>
      <c r="V1113" s="35" t="b">
        <v>0</v>
      </c>
      <c r="W1113" s="35" t="b">
        <v>0</v>
      </c>
      <c r="Y1113" s="31" cm="1">
        <f t="array" ref="Y1113">IF(LEFT(_xll.BDP($C1113, VOLUME_AVG_10D), 4) = "#N/A", "",  _xll.BDP($C1113, VOLUME_AVG_10D))</f>
        <v>118964.8984375</v>
      </c>
      <c r="Z1113" s="31" cm="1">
        <f t="array" ref="Z1113">IF(LEFT(_xll.BDP($C1113, VOLUME_AVG_30D), 4) = "#N/A", "",  _xll.BDP($C1113, VOLUME_AVG_30D))</f>
        <v>174950.640625</v>
      </c>
      <c r="AA1113" s="31" cm="1">
        <f t="array" ref="AA1113">IF(LEFT(_xll.BDP($C1113, VOLUME_AVG_3M), 4) = "#N/A", "",  _xll.BDP($C1113, VOLUME_AVG_3M))</f>
        <v>222462.65625</v>
      </c>
      <c r="AB1113" s="31" cm="1">
        <f t="array" ref="AB1113">IF(LEFT(_xll.BDP($C1113, VOLUME_AVG_6M), 4) = "#N/A", "",  _xll.BDP($C1113, VOLUME_AVG_6M))</f>
        <v>227211.578125</v>
      </c>
      <c r="AC1113" s="31" cm="1">
        <f t="array" ref="AC1113">IF(LEFT(_xll.BDP($C1113, VOLUME_AVG_12M), 4) = "#N/A", "",  _xll.BDP($C1113, VOLUME_AVG_12M))</f>
        <v>281409.875</v>
      </c>
      <c r="AD1113" s="41" cm="1">
        <f t="array" ref="AD1113">IF(LEFT(_xll.BDP($C1113, LAST_PRICE), 4) = "#N/A", "",  _xll.BDP($C1113, LAST_PRICE))</f>
        <v>18.059999999999999</v>
      </c>
    </row>
    <row r="1114" spans="1:30" x14ac:dyDescent="0.35">
      <c r="A1114" s="1">
        <f t="shared" si="17"/>
        <v>1111</v>
      </c>
      <c r="B1114" s="28">
        <v>45700</v>
      </c>
      <c r="C1114" s="29" t="s">
        <v>2278</v>
      </c>
      <c r="D1114" s="29" t="s">
        <v>2278</v>
      </c>
      <c r="E1114" s="29" t="s">
        <v>2279</v>
      </c>
      <c r="F1114" s="29" t="s">
        <v>33</v>
      </c>
      <c r="G1114" s="30" t="s">
        <v>34</v>
      </c>
      <c r="H1114" s="31"/>
      <c r="I1114" s="31"/>
      <c r="J1114" s="32"/>
      <c r="K1114" s="33">
        <v>45700</v>
      </c>
      <c r="L1114" s="31"/>
      <c r="M1114" s="32"/>
      <c r="N1114" s="31"/>
      <c r="O1114" s="33">
        <v>45699</v>
      </c>
      <c r="P1114" s="34"/>
      <c r="Q1114" s="34"/>
      <c r="R1114" s="34"/>
      <c r="S1114" s="29"/>
      <c r="T1114" s="33"/>
      <c r="U1114" s="35" t="b">
        <v>1</v>
      </c>
      <c r="V1114" s="35" t="b">
        <v>1</v>
      </c>
      <c r="W1114" s="35" t="b">
        <v>1</v>
      </c>
      <c r="Y1114" s="31" t="str" cm="1">
        <f t="array" ref="Y1114">IF(LEFT(_xll.BDP($C1114, VOLUME_AVG_10D), 4) = "#N/A", "",  _xll.BDP($C1114, VOLUME_AVG_10D))</f>
        <v/>
      </c>
      <c r="Z1114" s="31" t="str" cm="1">
        <f t="array" ref="Z1114">IF(LEFT(_xll.BDP($C1114, VOLUME_AVG_30D), 4) = "#N/A", "",  _xll.BDP($C1114, VOLUME_AVG_30D))</f>
        <v/>
      </c>
      <c r="AA1114" s="31" t="str" cm="1">
        <f t="array" ref="AA1114">IF(LEFT(_xll.BDP($C1114, VOLUME_AVG_3M), 4) = "#N/A", "",  _xll.BDP($C1114, VOLUME_AVG_3M))</f>
        <v/>
      </c>
      <c r="AB1114" s="31" t="str" cm="1">
        <f t="array" ref="AB1114">IF(LEFT(_xll.BDP($C1114, VOLUME_AVG_6M), 4) = "#N/A", "",  _xll.BDP($C1114, VOLUME_AVG_6M))</f>
        <v/>
      </c>
      <c r="AC1114" s="31" t="str" cm="1">
        <f t="array" ref="AC1114">IF(LEFT(_xll.BDP($C1114, VOLUME_AVG_12M), 4) = "#N/A", "",  _xll.BDP($C1114, VOLUME_AVG_12M))</f>
        <v/>
      </c>
      <c r="AD1114" s="41" t="str" cm="1">
        <f t="array" ref="AD1114">IF(LEFT(_xll.BDP($C1114, LAST_PRICE), 4) = "#N/A", "",  _xll.BDP($C1114, LAST_PRICE))</f>
        <v/>
      </c>
    </row>
    <row r="1115" spans="1:30" x14ac:dyDescent="0.35">
      <c r="A1115" s="1">
        <f t="shared" si="17"/>
        <v>1112</v>
      </c>
      <c r="B1115" s="28">
        <v>45700</v>
      </c>
      <c r="C1115" s="29" t="s">
        <v>2280</v>
      </c>
      <c r="D1115" s="29" t="s">
        <v>2280</v>
      </c>
      <c r="E1115" s="29" t="s">
        <v>2281</v>
      </c>
      <c r="F1115" s="29" t="s">
        <v>33</v>
      </c>
      <c r="G1115" s="30" t="s">
        <v>34</v>
      </c>
      <c r="H1115" s="31">
        <v>603218962.06494105</v>
      </c>
      <c r="I1115" s="31">
        <v>604625962.06494105</v>
      </c>
      <c r="J1115" s="32">
        <v>24.909999847412099</v>
      </c>
      <c r="K1115" s="33">
        <v>45700</v>
      </c>
      <c r="L1115" s="31">
        <v>5241400</v>
      </c>
      <c r="M1115" s="32">
        <v>3.88</v>
      </c>
      <c r="N1115" s="31" t="s">
        <v>35</v>
      </c>
      <c r="O1115" s="33">
        <v>45699</v>
      </c>
      <c r="P1115" s="34">
        <v>317388.875</v>
      </c>
      <c r="Q1115" s="34">
        <v>278003.40625</v>
      </c>
      <c r="R1115" s="34">
        <v>217861.203125</v>
      </c>
      <c r="S1115" s="29"/>
      <c r="T1115" s="33"/>
      <c r="U1115" s="35" t="b">
        <v>0</v>
      </c>
      <c r="V1115" s="35" t="b">
        <v>0</v>
      </c>
      <c r="W1115" s="35" t="b">
        <v>0</v>
      </c>
      <c r="Y1115" s="31" cm="1">
        <f t="array" ref="Y1115">IF(LEFT(_xll.BDP($C1115, VOLUME_AVG_10D), 4) = "#N/A", "",  _xll.BDP($C1115, VOLUME_AVG_10D))</f>
        <v>312572.1875</v>
      </c>
      <c r="Z1115" s="31" cm="1">
        <f t="array" ref="Z1115">IF(LEFT(_xll.BDP($C1115, VOLUME_AVG_30D), 4) = "#N/A", "",  _xll.BDP($C1115, VOLUME_AVG_30D))</f>
        <v>317388.875</v>
      </c>
      <c r="AA1115" s="31" cm="1">
        <f t="array" ref="AA1115">IF(LEFT(_xll.BDP($C1115, VOLUME_AVG_3M), 4) = "#N/A", "",  _xll.BDP($C1115, VOLUME_AVG_3M))</f>
        <v>278003.40625</v>
      </c>
      <c r="AB1115" s="31" cm="1">
        <f t="array" ref="AB1115">IF(LEFT(_xll.BDP($C1115, VOLUME_AVG_6M), 4) = "#N/A", "",  _xll.BDP($C1115, VOLUME_AVG_6M))</f>
        <v>217861.203125</v>
      </c>
      <c r="AC1115" s="31" cm="1">
        <f t="array" ref="AC1115">IF(LEFT(_xll.BDP($C1115, VOLUME_AVG_12M), 4) = "#N/A", "",  _xll.BDP($C1115, VOLUME_AVG_12M))</f>
        <v>190661.875</v>
      </c>
      <c r="AD1115" s="41" cm="1">
        <f t="array" ref="AD1115">IF(LEFT(_xll.BDP($C1115, LAST_PRICE), 4) = "#N/A", "",  _xll.BDP($C1115, LAST_PRICE))</f>
        <v>24.91</v>
      </c>
    </row>
    <row r="1116" spans="1:30" x14ac:dyDescent="0.35">
      <c r="A1116" s="1">
        <f t="shared" si="17"/>
        <v>1113</v>
      </c>
      <c r="B1116" s="28">
        <v>45700</v>
      </c>
      <c r="C1116" s="29" t="s">
        <v>2282</v>
      </c>
      <c r="D1116" s="29" t="s">
        <v>2282</v>
      </c>
      <c r="E1116" s="29" t="s">
        <v>2283</v>
      </c>
      <c r="F1116" s="29" t="s">
        <v>33</v>
      </c>
      <c r="G1116" s="30" t="s">
        <v>34</v>
      </c>
      <c r="H1116" s="31">
        <v>417331984.47642303</v>
      </c>
      <c r="I1116" s="31">
        <v>63216984.476423301</v>
      </c>
      <c r="J1116" s="32">
        <v>11.8699998855591</v>
      </c>
      <c r="K1116" s="33">
        <v>45700</v>
      </c>
      <c r="L1116" s="31">
        <v>1510400</v>
      </c>
      <c r="M1116" s="32">
        <v>-2.4</v>
      </c>
      <c r="N1116" s="31" t="s">
        <v>35</v>
      </c>
      <c r="O1116" s="33">
        <v>45699</v>
      </c>
      <c r="P1116" s="34">
        <v>297068.96875</v>
      </c>
      <c r="Q1116" s="34">
        <v>312504.0625</v>
      </c>
      <c r="R1116" s="34">
        <v>191740.953125</v>
      </c>
      <c r="S1116" s="29"/>
      <c r="T1116" s="33"/>
      <c r="U1116" s="35" t="b">
        <v>0</v>
      </c>
      <c r="V1116" s="35" t="b">
        <v>0</v>
      </c>
      <c r="W1116" s="35" t="b">
        <v>0</v>
      </c>
      <c r="Y1116" s="31" cm="1">
        <f t="array" ref="Y1116">IF(LEFT(_xll.BDP($C1116, VOLUME_AVG_10D), 4) = "#N/A", "",  _xll.BDP($C1116, VOLUME_AVG_10D))</f>
        <v>296552.8125</v>
      </c>
      <c r="Z1116" s="31" cm="1">
        <f t="array" ref="Z1116">IF(LEFT(_xll.BDP($C1116, VOLUME_AVG_30D), 4) = "#N/A", "",  _xll.BDP($C1116, VOLUME_AVG_30D))</f>
        <v>297068.96875</v>
      </c>
      <c r="AA1116" s="31" cm="1">
        <f t="array" ref="AA1116">IF(LEFT(_xll.BDP($C1116, VOLUME_AVG_3M), 4) = "#N/A", "",  _xll.BDP($C1116, VOLUME_AVG_3M))</f>
        <v>312504.0625</v>
      </c>
      <c r="AB1116" s="31" cm="1">
        <f t="array" ref="AB1116">IF(LEFT(_xll.BDP($C1116, VOLUME_AVG_6M), 4) = "#N/A", "",  _xll.BDP($C1116, VOLUME_AVG_6M))</f>
        <v>191740.953125</v>
      </c>
      <c r="AC1116" s="31" cm="1">
        <f t="array" ref="AC1116">IF(LEFT(_xll.BDP($C1116, VOLUME_AVG_12M), 4) = "#N/A", "",  _xll.BDP($C1116, VOLUME_AVG_12M))</f>
        <v>128073.59375</v>
      </c>
      <c r="AD1116" s="41" cm="1">
        <f t="array" ref="AD1116">IF(LEFT(_xll.BDP($C1116, LAST_PRICE), 4) = "#N/A", "",  _xll.BDP($C1116, LAST_PRICE))</f>
        <v>11.87</v>
      </c>
    </row>
    <row r="1117" spans="1:30" x14ac:dyDescent="0.35">
      <c r="A1117" s="1">
        <f t="shared" si="17"/>
        <v>1114</v>
      </c>
      <c r="B1117" s="28">
        <v>45700</v>
      </c>
      <c r="C1117" s="29" t="s">
        <v>2284</v>
      </c>
      <c r="D1117" s="29" t="s">
        <v>2284</v>
      </c>
      <c r="E1117" s="29" t="s">
        <v>2285</v>
      </c>
      <c r="F1117" s="29" t="s">
        <v>33</v>
      </c>
      <c r="G1117" s="30" t="s">
        <v>34</v>
      </c>
      <c r="H1117" s="31">
        <v>41444518.816312902</v>
      </c>
      <c r="I1117" s="31">
        <v>51621972.816312902</v>
      </c>
      <c r="J1117" s="32">
        <v>1.8899999856948899</v>
      </c>
      <c r="K1117" s="33">
        <v>45700</v>
      </c>
      <c r="L1117" s="31">
        <v>115500</v>
      </c>
      <c r="M1117" s="32">
        <v>-28.25</v>
      </c>
      <c r="N1117" s="31" t="s">
        <v>35</v>
      </c>
      <c r="O1117" s="33">
        <v>45699</v>
      </c>
      <c r="P1117" s="34">
        <v>901044</v>
      </c>
      <c r="Q1117" s="34">
        <v>481521.78125</v>
      </c>
      <c r="R1117" s="34">
        <v>268414.6875</v>
      </c>
      <c r="S1117" s="29"/>
      <c r="T1117" s="33"/>
      <c r="U1117" s="35" t="b">
        <v>0</v>
      </c>
      <c r="V1117" s="35" t="b">
        <v>0</v>
      </c>
      <c r="W1117" s="35" t="b">
        <v>0</v>
      </c>
      <c r="Y1117" s="31" cm="1">
        <f t="array" ref="Y1117">IF(LEFT(_xll.BDP($C1117, VOLUME_AVG_10D), 4) = "#N/A", "",  _xll.BDP($C1117, VOLUME_AVG_10D))</f>
        <v>348635.5</v>
      </c>
      <c r="Z1117" s="31" cm="1">
        <f t="array" ref="Z1117">IF(LEFT(_xll.BDP($C1117, VOLUME_AVG_30D), 4) = "#N/A", "",  _xll.BDP($C1117, VOLUME_AVG_30D))</f>
        <v>901044</v>
      </c>
      <c r="AA1117" s="31" cm="1">
        <f t="array" ref="AA1117">IF(LEFT(_xll.BDP($C1117, VOLUME_AVG_3M), 4) = "#N/A", "",  _xll.BDP($C1117, VOLUME_AVG_3M))</f>
        <v>481521.78125</v>
      </c>
      <c r="AB1117" s="31" cm="1">
        <f t="array" ref="AB1117">IF(LEFT(_xll.BDP($C1117, VOLUME_AVG_6M), 4) = "#N/A", "",  _xll.BDP($C1117, VOLUME_AVG_6M))</f>
        <v>268414.6875</v>
      </c>
      <c r="AC1117" s="31" t="str" cm="1">
        <f t="array" ref="AC1117">IF(LEFT(_xll.BDP($C1117, VOLUME_AVG_12M), 4) = "#N/A", "",  _xll.BDP($C1117, VOLUME_AVG_12M))</f>
        <v/>
      </c>
      <c r="AD1117" s="41" cm="1">
        <f t="array" ref="AD1117">IF(LEFT(_xll.BDP($C1117, LAST_PRICE), 4) = "#N/A", "",  _xll.BDP($C1117, LAST_PRICE))</f>
        <v>1.89</v>
      </c>
    </row>
    <row r="1118" spans="1:30" x14ac:dyDescent="0.35">
      <c r="A1118" s="1">
        <f t="shared" si="17"/>
        <v>1115</v>
      </c>
      <c r="B1118" s="28">
        <v>45700</v>
      </c>
      <c r="C1118" s="29" t="s">
        <v>2286</v>
      </c>
      <c r="D1118" s="29" t="s">
        <v>2286</v>
      </c>
      <c r="E1118" s="29" t="s">
        <v>2287</v>
      </c>
      <c r="F1118" s="29" t="s">
        <v>33</v>
      </c>
      <c r="G1118" s="30" t="s">
        <v>34</v>
      </c>
      <c r="H1118" s="31">
        <v>55709891.765339598</v>
      </c>
      <c r="I1118" s="31">
        <v>70520182.765339598</v>
      </c>
      <c r="J1118" s="32">
        <v>1.7400000095367401</v>
      </c>
      <c r="K1118" s="33">
        <v>45700</v>
      </c>
      <c r="L1118" s="31">
        <v>478600</v>
      </c>
      <c r="M1118" s="32">
        <v>-8.1</v>
      </c>
      <c r="N1118" s="31" t="s">
        <v>35</v>
      </c>
      <c r="O1118" s="33">
        <v>45699</v>
      </c>
      <c r="P1118" s="34">
        <v>1051703.25</v>
      </c>
      <c r="Q1118" s="34">
        <v>2089239.75</v>
      </c>
      <c r="R1118" s="34">
        <v>1157345.5</v>
      </c>
      <c r="S1118" s="29"/>
      <c r="T1118" s="33"/>
      <c r="U1118" s="35" t="b">
        <v>0</v>
      </c>
      <c r="V1118" s="35" t="b">
        <v>0</v>
      </c>
      <c r="W1118" s="35" t="b">
        <v>0</v>
      </c>
      <c r="Y1118" s="31" cm="1">
        <f t="array" ref="Y1118">IF(LEFT(_xll.BDP($C1118, VOLUME_AVG_10D), 4) = "#N/A", "",  _xll.BDP($C1118, VOLUME_AVG_10D))</f>
        <v>712466.125</v>
      </c>
      <c r="Z1118" s="31" cm="1">
        <f t="array" ref="Z1118">IF(LEFT(_xll.BDP($C1118, VOLUME_AVG_30D), 4) = "#N/A", "",  _xll.BDP($C1118, VOLUME_AVG_30D))</f>
        <v>1051703.25</v>
      </c>
      <c r="AA1118" s="31" cm="1">
        <f t="array" ref="AA1118">IF(LEFT(_xll.BDP($C1118, VOLUME_AVG_3M), 4) = "#N/A", "",  _xll.BDP($C1118, VOLUME_AVG_3M))</f>
        <v>2089239.75</v>
      </c>
      <c r="AB1118" s="31" cm="1">
        <f t="array" ref="AB1118">IF(LEFT(_xll.BDP($C1118, VOLUME_AVG_6M), 4) = "#N/A", "",  _xll.BDP($C1118, VOLUME_AVG_6M))</f>
        <v>1157345.5</v>
      </c>
      <c r="AC1118" s="31" cm="1">
        <f t="array" ref="AC1118">IF(LEFT(_xll.BDP($C1118, VOLUME_AVG_12M), 4) = "#N/A", "",  _xll.BDP($C1118, VOLUME_AVG_12M))</f>
        <v>804182.875</v>
      </c>
      <c r="AD1118" s="41" cm="1">
        <f t="array" ref="AD1118">IF(LEFT(_xll.BDP($C1118, LAST_PRICE), 4) = "#N/A", "",  _xll.BDP($C1118, LAST_PRICE))</f>
        <v>1.74</v>
      </c>
    </row>
    <row r="1119" spans="1:30" x14ac:dyDescent="0.35">
      <c r="A1119" s="1">
        <f t="shared" si="17"/>
        <v>1116</v>
      </c>
      <c r="B1119" s="28">
        <v>45700</v>
      </c>
      <c r="C1119" s="29" t="s">
        <v>2288</v>
      </c>
      <c r="D1119" s="29" t="s">
        <v>2288</v>
      </c>
      <c r="E1119" s="29" t="s">
        <v>2289</v>
      </c>
      <c r="F1119" s="29" t="s">
        <v>33</v>
      </c>
      <c r="G1119" s="30" t="s">
        <v>34</v>
      </c>
      <c r="H1119" s="31">
        <v>43820188.335688099</v>
      </c>
      <c r="I1119" s="31">
        <v>-3816810.41431189</v>
      </c>
      <c r="J1119" s="32">
        <v>0.61710000038146995</v>
      </c>
      <c r="K1119" s="33">
        <v>45700</v>
      </c>
      <c r="L1119" s="31">
        <v>10158600</v>
      </c>
      <c r="M1119" s="32">
        <v>3.8</v>
      </c>
      <c r="N1119" s="31" t="s">
        <v>35</v>
      </c>
      <c r="O1119" s="33">
        <v>45699</v>
      </c>
      <c r="P1119" s="34">
        <v>440703.40625</v>
      </c>
      <c r="Q1119" s="34">
        <v>369611.90625</v>
      </c>
      <c r="R1119" s="34">
        <v>268476.96875</v>
      </c>
      <c r="S1119" s="29" t="s">
        <v>97</v>
      </c>
      <c r="T1119" s="33">
        <v>45215</v>
      </c>
      <c r="U1119" s="35" t="b">
        <v>0</v>
      </c>
      <c r="V1119" s="35" t="b">
        <v>0</v>
      </c>
      <c r="W1119" s="35" t="b">
        <v>1</v>
      </c>
      <c r="Y1119" s="31" cm="1">
        <f t="array" ref="Y1119">IF(LEFT(_xll.BDP($C1119, VOLUME_AVG_10D), 4) = "#N/A", "",  _xll.BDP($C1119, VOLUME_AVG_10D))</f>
        <v>585842.6875</v>
      </c>
      <c r="Z1119" s="31" cm="1">
        <f t="array" ref="Z1119">IF(LEFT(_xll.BDP($C1119, VOLUME_AVG_30D), 4) = "#N/A", "",  _xll.BDP($C1119, VOLUME_AVG_30D))</f>
        <v>440703.40625</v>
      </c>
      <c r="AA1119" s="31" cm="1">
        <f t="array" ref="AA1119">IF(LEFT(_xll.BDP($C1119, VOLUME_AVG_3M), 4) = "#N/A", "",  _xll.BDP($C1119, VOLUME_AVG_3M))</f>
        <v>369611.90625</v>
      </c>
      <c r="AB1119" s="31" cm="1">
        <f t="array" ref="AB1119">IF(LEFT(_xll.BDP($C1119, VOLUME_AVG_6M), 4) = "#N/A", "",  _xll.BDP($C1119, VOLUME_AVG_6M))</f>
        <v>268476.96875</v>
      </c>
      <c r="AC1119" s="31" cm="1">
        <f t="array" ref="AC1119">IF(LEFT(_xll.BDP($C1119, VOLUME_AVG_12M), 4) = "#N/A", "",  _xll.BDP($C1119, VOLUME_AVG_12M))</f>
        <v>412658.1875</v>
      </c>
      <c r="AD1119" s="41" cm="1">
        <f t="array" ref="AD1119">IF(LEFT(_xll.BDP($C1119, LAST_PRICE), 4) = "#N/A", "",  _xll.BDP($C1119, LAST_PRICE))</f>
        <v>0.61709999999999998</v>
      </c>
    </row>
    <row r="1120" spans="1:30" x14ac:dyDescent="0.35">
      <c r="A1120" s="1">
        <f t="shared" si="17"/>
        <v>1117</v>
      </c>
      <c r="B1120" s="28">
        <v>45700</v>
      </c>
      <c r="C1120" s="29" t="s">
        <v>2290</v>
      </c>
      <c r="D1120" s="29" t="s">
        <v>2290</v>
      </c>
      <c r="E1120" s="29" t="s">
        <v>2291</v>
      </c>
      <c r="F1120" s="29" t="s">
        <v>33</v>
      </c>
      <c r="G1120" s="30" t="s">
        <v>34</v>
      </c>
      <c r="H1120" s="31">
        <v>631522448.32378805</v>
      </c>
      <c r="I1120" s="31">
        <v>2759085448.3237901</v>
      </c>
      <c r="J1120" s="32">
        <v>8.1899995803833008</v>
      </c>
      <c r="K1120" s="33">
        <v>45700</v>
      </c>
      <c r="L1120" s="31">
        <v>28014900</v>
      </c>
      <c r="M1120" s="32">
        <v>3.88</v>
      </c>
      <c r="N1120" s="31" t="s">
        <v>35</v>
      </c>
      <c r="O1120" s="33">
        <v>45699</v>
      </c>
      <c r="P1120" s="34">
        <v>965904.5625</v>
      </c>
      <c r="Q1120" s="34">
        <v>764829.375</v>
      </c>
      <c r="R1120" s="34">
        <v>829295.375</v>
      </c>
      <c r="S1120" s="29"/>
      <c r="T1120" s="33"/>
      <c r="U1120" s="35" t="b">
        <v>0</v>
      </c>
      <c r="V1120" s="35" t="b">
        <v>0</v>
      </c>
      <c r="W1120" s="35" t="b">
        <v>0</v>
      </c>
      <c r="Y1120" s="31" cm="1">
        <f t="array" ref="Y1120">IF(LEFT(_xll.BDP($C1120, VOLUME_AVG_10D), 4) = "#N/A", "",  _xll.BDP($C1120, VOLUME_AVG_10D))</f>
        <v>1812851.75</v>
      </c>
      <c r="Z1120" s="31" cm="1">
        <f t="array" ref="Z1120">IF(LEFT(_xll.BDP($C1120, VOLUME_AVG_30D), 4) = "#N/A", "",  _xll.BDP($C1120, VOLUME_AVG_30D))</f>
        <v>965904.5625</v>
      </c>
      <c r="AA1120" s="31" cm="1">
        <f t="array" ref="AA1120">IF(LEFT(_xll.BDP($C1120, VOLUME_AVG_3M), 4) = "#N/A", "",  _xll.BDP($C1120, VOLUME_AVG_3M))</f>
        <v>764829.375</v>
      </c>
      <c r="AB1120" s="31" cm="1">
        <f t="array" ref="AB1120">IF(LEFT(_xll.BDP($C1120, VOLUME_AVG_6M), 4) = "#N/A", "",  _xll.BDP($C1120, VOLUME_AVG_6M))</f>
        <v>829295.375</v>
      </c>
      <c r="AC1120" s="31" cm="1">
        <f t="array" ref="AC1120">IF(LEFT(_xll.BDP($C1120, VOLUME_AVG_12M), 4) = "#N/A", "",  _xll.BDP($C1120, VOLUME_AVG_12M))</f>
        <v>842859.625</v>
      </c>
      <c r="AD1120" s="41" cm="1">
        <f t="array" ref="AD1120">IF(LEFT(_xll.BDP($C1120, LAST_PRICE), 4) = "#N/A", "",  _xll.BDP($C1120, LAST_PRICE))</f>
        <v>8.19</v>
      </c>
    </row>
    <row r="1121" spans="1:30" x14ac:dyDescent="0.35">
      <c r="A1121" s="1">
        <f t="shared" si="17"/>
        <v>1118</v>
      </c>
      <c r="B1121" s="28">
        <v>45700</v>
      </c>
      <c r="C1121" s="29" t="s">
        <v>2292</v>
      </c>
      <c r="D1121" s="29" t="s">
        <v>2292</v>
      </c>
      <c r="E1121" s="29" t="s">
        <v>2293</v>
      </c>
      <c r="F1121" s="29" t="s">
        <v>33</v>
      </c>
      <c r="G1121" s="30" t="s">
        <v>34</v>
      </c>
      <c r="H1121" s="31">
        <v>75048875.047223598</v>
      </c>
      <c r="I1121" s="31">
        <v>68636604.047223598</v>
      </c>
      <c r="J1121" s="32">
        <v>4.6799998283386204</v>
      </c>
      <c r="K1121" s="33">
        <v>45700</v>
      </c>
      <c r="L1121" s="31">
        <v>544900</v>
      </c>
      <c r="M1121" s="32">
        <v>3.88</v>
      </c>
      <c r="N1121" s="31" t="s">
        <v>35</v>
      </c>
      <c r="O1121" s="33">
        <v>45699</v>
      </c>
      <c r="P1121" s="34">
        <v>32574.5</v>
      </c>
      <c r="Q1121" s="34">
        <v>43291.7421875</v>
      </c>
      <c r="R1121" s="34">
        <v>40025.0703125</v>
      </c>
      <c r="S1121" s="29"/>
      <c r="T1121" s="33"/>
      <c r="U1121" s="35" t="b">
        <v>0</v>
      </c>
      <c r="V1121" s="35" t="b">
        <v>0</v>
      </c>
      <c r="W1121" s="35" t="b">
        <v>0</v>
      </c>
      <c r="Y1121" s="31" cm="1">
        <f t="array" ref="Y1121">IF(LEFT(_xll.BDP($C1121, VOLUME_AVG_10D), 4) = "#N/A", "",  _xll.BDP($C1121, VOLUME_AVG_10D))</f>
        <v>33732.5</v>
      </c>
      <c r="Z1121" s="31" cm="1">
        <f t="array" ref="Z1121">IF(LEFT(_xll.BDP($C1121, VOLUME_AVG_30D), 4) = "#N/A", "",  _xll.BDP($C1121, VOLUME_AVG_30D))</f>
        <v>32574.5</v>
      </c>
      <c r="AA1121" s="31" cm="1">
        <f t="array" ref="AA1121">IF(LEFT(_xll.BDP($C1121, VOLUME_AVG_3M), 4) = "#N/A", "",  _xll.BDP($C1121, VOLUME_AVG_3M))</f>
        <v>43291.7421875</v>
      </c>
      <c r="AB1121" s="31" cm="1">
        <f t="array" ref="AB1121">IF(LEFT(_xll.BDP($C1121, VOLUME_AVG_6M), 4) = "#N/A", "",  _xll.BDP($C1121, VOLUME_AVG_6M))</f>
        <v>40025.0703125</v>
      </c>
      <c r="AC1121" s="31" cm="1">
        <f t="array" ref="AC1121">IF(LEFT(_xll.BDP($C1121, VOLUME_AVG_12M), 4) = "#N/A", "",  _xll.BDP($C1121, VOLUME_AVG_12M))</f>
        <v>32113.578125</v>
      </c>
      <c r="AD1121" s="41" cm="1">
        <f t="array" ref="AD1121">IF(LEFT(_xll.BDP($C1121, LAST_PRICE), 4) = "#N/A", "",  _xll.BDP($C1121, LAST_PRICE))</f>
        <v>4.68</v>
      </c>
    </row>
    <row r="1122" spans="1:30" x14ac:dyDescent="0.35">
      <c r="A1122" s="1">
        <f t="shared" si="17"/>
        <v>1119</v>
      </c>
      <c r="B1122" s="28">
        <v>45700</v>
      </c>
      <c r="C1122" s="29" t="s">
        <v>2294</v>
      </c>
      <c r="D1122" s="29" t="s">
        <v>2294</v>
      </c>
      <c r="E1122" s="29" t="s">
        <v>2295</v>
      </c>
      <c r="F1122" s="29" t="s">
        <v>33</v>
      </c>
      <c r="G1122" s="30" t="s">
        <v>34</v>
      </c>
      <c r="H1122" s="31">
        <v>72949614.654899895</v>
      </c>
      <c r="I1122" s="31">
        <v>297978614.65490001</v>
      </c>
      <c r="J1122" s="32">
        <v>0.20299999415874501</v>
      </c>
      <c r="K1122" s="33">
        <v>45700</v>
      </c>
      <c r="L1122" s="31">
        <v>428700</v>
      </c>
      <c r="M1122" s="32">
        <v>-2.2000000000000002</v>
      </c>
      <c r="N1122" s="31" t="s">
        <v>35</v>
      </c>
      <c r="O1122" s="33">
        <v>45699</v>
      </c>
      <c r="P1122" s="34">
        <v>3942548.25</v>
      </c>
      <c r="Q1122" s="34">
        <v>2234343.75</v>
      </c>
      <c r="R1122" s="34">
        <v>1412395.375</v>
      </c>
      <c r="S1122" s="29"/>
      <c r="T1122" s="33"/>
      <c r="U1122" s="35" t="b">
        <v>0</v>
      </c>
      <c r="V1122" s="35" t="b">
        <v>0</v>
      </c>
      <c r="W1122" s="35" t="b">
        <v>0</v>
      </c>
      <c r="Y1122" s="31" cm="1">
        <f t="array" ref="Y1122">IF(LEFT(_xll.BDP($C1122, VOLUME_AVG_10D), 4) = "#N/A", "",  _xll.BDP($C1122, VOLUME_AVG_10D))</f>
        <v>835156.8125</v>
      </c>
      <c r="Z1122" s="31" cm="1">
        <f t="array" ref="Z1122">IF(LEFT(_xll.BDP($C1122, VOLUME_AVG_30D), 4) = "#N/A", "",  _xll.BDP($C1122, VOLUME_AVG_30D))</f>
        <v>3942548.25</v>
      </c>
      <c r="AA1122" s="31" cm="1">
        <f t="array" ref="AA1122">IF(LEFT(_xll.BDP($C1122, VOLUME_AVG_3M), 4) = "#N/A", "",  _xll.BDP($C1122, VOLUME_AVG_3M))</f>
        <v>2234343.75</v>
      </c>
      <c r="AB1122" s="31" cm="1">
        <f t="array" ref="AB1122">IF(LEFT(_xll.BDP($C1122, VOLUME_AVG_6M), 4) = "#N/A", "",  _xll.BDP($C1122, VOLUME_AVG_6M))</f>
        <v>1412395.375</v>
      </c>
      <c r="AC1122" s="31" cm="1">
        <f t="array" ref="AC1122">IF(LEFT(_xll.BDP($C1122, VOLUME_AVG_12M), 4) = "#N/A", "",  _xll.BDP($C1122, VOLUME_AVG_12M))</f>
        <v>897670.1875</v>
      </c>
      <c r="AD1122" s="41" cm="1">
        <f t="array" ref="AD1122">IF(LEFT(_xll.BDP($C1122, LAST_PRICE), 4) = "#N/A", "",  _xll.BDP($C1122, LAST_PRICE))</f>
        <v>0.20300000000000001</v>
      </c>
    </row>
    <row r="1123" spans="1:30" x14ac:dyDescent="0.35">
      <c r="A1123" s="1">
        <f t="shared" si="17"/>
        <v>1120</v>
      </c>
      <c r="B1123" s="28">
        <v>45700</v>
      </c>
      <c r="C1123" s="29" t="s">
        <v>2296</v>
      </c>
      <c r="D1123" s="29" t="s">
        <v>2296</v>
      </c>
      <c r="E1123" s="29" t="s">
        <v>2297</v>
      </c>
      <c r="F1123" s="29" t="s">
        <v>33</v>
      </c>
      <c r="G1123" s="30" t="s">
        <v>34</v>
      </c>
      <c r="H1123" s="31">
        <v>372454423.757649</v>
      </c>
      <c r="I1123" s="31">
        <v>822059423.75764894</v>
      </c>
      <c r="J1123" s="32">
        <v>1.3600000143051101</v>
      </c>
      <c r="K1123" s="33">
        <v>45700</v>
      </c>
      <c r="L1123" s="31"/>
      <c r="M1123" s="32"/>
      <c r="N1123" s="31"/>
      <c r="O1123" s="33">
        <v>45699</v>
      </c>
      <c r="P1123" s="34">
        <v>10535280</v>
      </c>
      <c r="Q1123" s="34">
        <v>10164677</v>
      </c>
      <c r="R1123" s="34">
        <v>9381562</v>
      </c>
      <c r="S1123" s="29"/>
      <c r="T1123" s="33"/>
      <c r="U1123" s="35" t="b">
        <v>0</v>
      </c>
      <c r="V1123" s="35" t="b">
        <v>0</v>
      </c>
      <c r="W1123" s="35" t="b">
        <v>0</v>
      </c>
      <c r="Y1123" s="31" cm="1">
        <f t="array" ref="Y1123">IF(LEFT(_xll.BDP($C1123, VOLUME_AVG_10D), 4) = "#N/A", "",  _xll.BDP($C1123, VOLUME_AVG_10D))</f>
        <v>10920340</v>
      </c>
      <c r="Z1123" s="31" cm="1">
        <f t="array" ref="Z1123">IF(LEFT(_xll.BDP($C1123, VOLUME_AVG_30D), 4) = "#N/A", "",  _xll.BDP($C1123, VOLUME_AVG_30D))</f>
        <v>10535280</v>
      </c>
      <c r="AA1123" s="31" cm="1">
        <f t="array" ref="AA1123">IF(LEFT(_xll.BDP($C1123, VOLUME_AVG_3M), 4) = "#N/A", "",  _xll.BDP($C1123, VOLUME_AVG_3M))</f>
        <v>10164677</v>
      </c>
      <c r="AB1123" s="31" cm="1">
        <f t="array" ref="AB1123">IF(LEFT(_xll.BDP($C1123, VOLUME_AVG_6M), 4) = "#N/A", "",  _xll.BDP($C1123, VOLUME_AVG_6M))</f>
        <v>9381562</v>
      </c>
      <c r="AC1123" s="31" cm="1">
        <f t="array" ref="AC1123">IF(LEFT(_xll.BDP($C1123, VOLUME_AVG_12M), 4) = "#N/A", "",  _xll.BDP($C1123, VOLUME_AVG_12M))</f>
        <v>9750438</v>
      </c>
      <c r="AD1123" s="41" cm="1">
        <f t="array" ref="AD1123">IF(LEFT(_xll.BDP($C1123, LAST_PRICE), 4) = "#N/A", "",  _xll.BDP($C1123, LAST_PRICE))</f>
        <v>1.36</v>
      </c>
    </row>
    <row r="1124" spans="1:30" x14ac:dyDescent="0.35">
      <c r="A1124" s="1">
        <f t="shared" si="17"/>
        <v>1121</v>
      </c>
      <c r="B1124" s="28">
        <v>45700</v>
      </c>
      <c r="C1124" s="29" t="s">
        <v>2298</v>
      </c>
      <c r="D1124" s="29" t="s">
        <v>2298</v>
      </c>
      <c r="E1124" s="29" t="s">
        <v>2299</v>
      </c>
      <c r="F1124" s="29" t="s">
        <v>33</v>
      </c>
      <c r="G1124" s="30" t="s">
        <v>34</v>
      </c>
      <c r="H1124" s="31">
        <v>9087999.7253418006</v>
      </c>
      <c r="I1124" s="31">
        <v>-1655467.2746582001</v>
      </c>
      <c r="J1124" s="32">
        <v>0.70999997854232799</v>
      </c>
      <c r="K1124" s="33">
        <v>45700</v>
      </c>
      <c r="L1124" s="31"/>
      <c r="M1124" s="32"/>
      <c r="N1124" s="31"/>
      <c r="O1124" s="33">
        <v>45699</v>
      </c>
      <c r="P1124" s="34">
        <v>1925.46667480469</v>
      </c>
      <c r="Q1124" s="34">
        <v>2152.01611328125</v>
      </c>
      <c r="R1124" s="34">
        <v>3398.07934570313</v>
      </c>
      <c r="S1124" s="29"/>
      <c r="T1124" s="33"/>
      <c r="U1124" s="35" t="b">
        <v>1</v>
      </c>
      <c r="V1124" s="35" t="b">
        <v>0</v>
      </c>
      <c r="W1124" s="35" t="b">
        <v>1</v>
      </c>
      <c r="Y1124" s="31" cm="1">
        <f t="array" ref="Y1124">IF(LEFT(_xll.BDP($C1124, VOLUME_AVG_10D), 4) = "#N/A", "",  _xll.BDP($C1124, VOLUME_AVG_10D))</f>
        <v>2224.39990234375</v>
      </c>
      <c r="Z1124" s="31" cm="1">
        <f t="array" ref="Z1124">IF(LEFT(_xll.BDP($C1124, VOLUME_AVG_30D), 4) = "#N/A", "",  _xll.BDP($C1124, VOLUME_AVG_30D))</f>
        <v>1925.4666748046875</v>
      </c>
      <c r="AA1124" s="31" cm="1">
        <f t="array" ref="AA1124">IF(LEFT(_xll.BDP($C1124, VOLUME_AVG_3M), 4) = "#N/A", "",  _xll.BDP($C1124, VOLUME_AVG_3M))</f>
        <v>2152.01611328125</v>
      </c>
      <c r="AB1124" s="31" cm="1">
        <f t="array" ref="AB1124">IF(LEFT(_xll.BDP($C1124, VOLUME_AVG_6M), 4) = "#N/A", "",  _xll.BDP($C1124, VOLUME_AVG_6M))</f>
        <v>3398.079345703125</v>
      </c>
      <c r="AC1124" s="31" cm="1">
        <f t="array" ref="AC1124">IF(LEFT(_xll.BDP($C1124, VOLUME_AVG_12M), 4) = "#N/A", "",  _xll.BDP($C1124, VOLUME_AVG_12M))</f>
        <v>3373.7529296875</v>
      </c>
      <c r="AD1124" s="41" cm="1">
        <f t="array" ref="AD1124">IF(LEFT(_xll.BDP($C1124, LAST_PRICE), 4) = "#N/A", "",  _xll.BDP($C1124, LAST_PRICE))</f>
        <v>0.71</v>
      </c>
    </row>
    <row r="1125" spans="1:30" x14ac:dyDescent="0.35">
      <c r="A1125" s="1">
        <f t="shared" si="17"/>
        <v>1122</v>
      </c>
      <c r="B1125" s="28">
        <v>45700</v>
      </c>
      <c r="C1125" s="29" t="s">
        <v>2300</v>
      </c>
      <c r="D1125" s="29" t="s">
        <v>2300</v>
      </c>
      <c r="E1125" s="29" t="s">
        <v>2301</v>
      </c>
      <c r="F1125" s="29" t="s">
        <v>33</v>
      </c>
      <c r="G1125" s="30" t="s">
        <v>34</v>
      </c>
      <c r="H1125" s="31">
        <v>1252679962.4498799</v>
      </c>
      <c r="I1125" s="31">
        <v>1443292962.4498799</v>
      </c>
      <c r="J1125" s="32">
        <v>27.129999160766602</v>
      </c>
      <c r="K1125" s="33">
        <v>45700</v>
      </c>
      <c r="L1125" s="31">
        <v>19173900</v>
      </c>
      <c r="M1125" s="32">
        <v>3.88</v>
      </c>
      <c r="N1125" s="31" t="s">
        <v>35</v>
      </c>
      <c r="O1125" s="33">
        <v>45699</v>
      </c>
      <c r="P1125" s="34">
        <v>812255.125</v>
      </c>
      <c r="Q1125" s="34">
        <v>809937.625</v>
      </c>
      <c r="R1125" s="34">
        <v>929381.5625</v>
      </c>
      <c r="S1125" s="29" t="s">
        <v>285</v>
      </c>
      <c r="T1125" s="33">
        <v>45446</v>
      </c>
      <c r="U1125" s="35" t="b">
        <v>0</v>
      </c>
      <c r="V1125" s="35" t="b">
        <v>0</v>
      </c>
      <c r="W1125" s="35" t="b">
        <v>0</v>
      </c>
      <c r="Y1125" s="31" cm="1">
        <f t="array" ref="Y1125">IF(LEFT(_xll.BDP($C1125, VOLUME_AVG_10D), 4) = "#N/A", "",  _xll.BDP($C1125, VOLUME_AVG_10D))</f>
        <v>822369.6875</v>
      </c>
      <c r="Z1125" s="31" cm="1">
        <f t="array" ref="Z1125">IF(LEFT(_xll.BDP($C1125, VOLUME_AVG_30D), 4) = "#N/A", "",  _xll.BDP($C1125, VOLUME_AVG_30D))</f>
        <v>812255.125</v>
      </c>
      <c r="AA1125" s="31" cm="1">
        <f t="array" ref="AA1125">IF(LEFT(_xll.BDP($C1125, VOLUME_AVG_3M), 4) = "#N/A", "",  _xll.BDP($C1125, VOLUME_AVG_3M))</f>
        <v>809937.625</v>
      </c>
      <c r="AB1125" s="31" cm="1">
        <f t="array" ref="AB1125">IF(LEFT(_xll.BDP($C1125, VOLUME_AVG_6M), 4) = "#N/A", "",  _xll.BDP($C1125, VOLUME_AVG_6M))</f>
        <v>929381.5625</v>
      </c>
      <c r="AC1125" s="31" cm="1">
        <f t="array" ref="AC1125">IF(LEFT(_xll.BDP($C1125, VOLUME_AVG_12M), 4) = "#N/A", "",  _xll.BDP($C1125, VOLUME_AVG_12M))</f>
        <v>884115.5625</v>
      </c>
      <c r="AD1125" s="41" cm="1">
        <f t="array" ref="AD1125">IF(LEFT(_xll.BDP($C1125, LAST_PRICE), 4) = "#N/A", "",  _xll.BDP($C1125, LAST_PRICE))</f>
        <v>27.13</v>
      </c>
    </row>
    <row r="1126" spans="1:30" x14ac:dyDescent="0.35">
      <c r="A1126" s="1">
        <f t="shared" si="17"/>
        <v>1123</v>
      </c>
      <c r="B1126" s="28">
        <v>45700</v>
      </c>
      <c r="C1126" s="29" t="s">
        <v>2302</v>
      </c>
      <c r="D1126" s="29" t="s">
        <v>2302</v>
      </c>
      <c r="E1126" s="29" t="s">
        <v>2303</v>
      </c>
      <c r="F1126" s="29" t="s">
        <v>33</v>
      </c>
      <c r="G1126" s="30" t="s">
        <v>34</v>
      </c>
      <c r="H1126" s="31">
        <v>2181795869.7750702</v>
      </c>
      <c r="I1126" s="31">
        <v>4539242869.7750702</v>
      </c>
      <c r="J1126" s="32">
        <v>14.060000419616699</v>
      </c>
      <c r="K1126" s="33">
        <v>45700</v>
      </c>
      <c r="L1126" s="31">
        <v>17511800</v>
      </c>
      <c r="M1126" s="32">
        <v>3.88</v>
      </c>
      <c r="N1126" s="31" t="s">
        <v>35</v>
      </c>
      <c r="O1126" s="33">
        <v>45699</v>
      </c>
      <c r="P1126" s="34">
        <v>556790.875</v>
      </c>
      <c r="Q1126" s="34">
        <v>897934.4375</v>
      </c>
      <c r="R1126" s="34">
        <v>1093403.5</v>
      </c>
      <c r="S1126" s="29"/>
      <c r="T1126" s="33"/>
      <c r="U1126" s="35" t="b">
        <v>0</v>
      </c>
      <c r="V1126" s="35" t="b">
        <v>0</v>
      </c>
      <c r="W1126" s="35" t="b">
        <v>0</v>
      </c>
      <c r="Y1126" s="31" cm="1">
        <f t="array" ref="Y1126">IF(LEFT(_xll.BDP($C1126, VOLUME_AVG_10D), 4) = "#N/A", "",  _xll.BDP($C1126, VOLUME_AVG_10D))</f>
        <v>601338</v>
      </c>
      <c r="Z1126" s="31" cm="1">
        <f t="array" ref="Z1126">IF(LEFT(_xll.BDP($C1126, VOLUME_AVG_30D), 4) = "#N/A", "",  _xll.BDP($C1126, VOLUME_AVG_30D))</f>
        <v>556790.875</v>
      </c>
      <c r="AA1126" s="31" cm="1">
        <f t="array" ref="AA1126">IF(LEFT(_xll.BDP($C1126, VOLUME_AVG_3M), 4) = "#N/A", "",  _xll.BDP($C1126, VOLUME_AVG_3M))</f>
        <v>897934.4375</v>
      </c>
      <c r="AB1126" s="31" cm="1">
        <f t="array" ref="AB1126">IF(LEFT(_xll.BDP($C1126, VOLUME_AVG_6M), 4) = "#N/A", "",  _xll.BDP($C1126, VOLUME_AVG_6M))</f>
        <v>1093403.5</v>
      </c>
      <c r="AC1126" s="31" t="str" cm="1">
        <f t="array" ref="AC1126">IF(LEFT(_xll.BDP($C1126, VOLUME_AVG_12M), 4) = "#N/A", "",  _xll.BDP($C1126, VOLUME_AVG_12M))</f>
        <v/>
      </c>
      <c r="AD1126" s="41" cm="1">
        <f t="array" ref="AD1126">IF(LEFT(_xll.BDP($C1126, LAST_PRICE), 4) = "#N/A", "",  _xll.BDP($C1126, LAST_PRICE))</f>
        <v>14.06</v>
      </c>
    </row>
    <row r="1127" spans="1:30" x14ac:dyDescent="0.35">
      <c r="A1127" s="1">
        <f t="shared" si="17"/>
        <v>1124</v>
      </c>
      <c r="B1127" s="28">
        <v>45700</v>
      </c>
      <c r="C1127" s="29" t="s">
        <v>2304</v>
      </c>
      <c r="D1127" s="29" t="s">
        <v>2304</v>
      </c>
      <c r="E1127" s="29" t="s">
        <v>2305</v>
      </c>
      <c r="F1127" s="29" t="s">
        <v>33</v>
      </c>
      <c r="G1127" s="30" t="s">
        <v>34</v>
      </c>
      <c r="H1127" s="31">
        <v>1689161.6980419201</v>
      </c>
      <c r="I1127" s="31"/>
      <c r="J1127" s="32">
        <v>2.8599998950958301</v>
      </c>
      <c r="K1127" s="33">
        <v>45700</v>
      </c>
      <c r="L1127" s="31"/>
      <c r="M1127" s="32"/>
      <c r="N1127" s="31"/>
      <c r="O1127" s="33">
        <v>45699</v>
      </c>
      <c r="P1127" s="34">
        <v>779863.5625</v>
      </c>
      <c r="Q1127" s="34">
        <v>3561905.5</v>
      </c>
      <c r="R1127" s="34">
        <v>1816166.375</v>
      </c>
      <c r="S1127" s="29"/>
      <c r="T1127" s="33"/>
      <c r="U1127" s="35" t="b">
        <v>1</v>
      </c>
      <c r="V1127" s="35" t="b">
        <v>0</v>
      </c>
      <c r="W1127" s="35" t="b">
        <v>1</v>
      </c>
      <c r="Y1127" s="31" cm="1">
        <f t="array" ref="Y1127">IF(LEFT(_xll.BDP($C1127, VOLUME_AVG_10D), 4) = "#N/A", "",  _xll.BDP($C1127, VOLUME_AVG_10D))</f>
        <v>82217.5</v>
      </c>
      <c r="Z1127" s="31" cm="1">
        <f t="array" ref="Z1127">IF(LEFT(_xll.BDP($C1127, VOLUME_AVG_30D), 4) = "#N/A", "",  _xll.BDP($C1127, VOLUME_AVG_30D))</f>
        <v>779863.5625</v>
      </c>
      <c r="AA1127" s="31" cm="1">
        <f t="array" ref="AA1127">IF(LEFT(_xll.BDP($C1127, VOLUME_AVG_3M), 4) = "#N/A", "",  _xll.BDP($C1127, VOLUME_AVG_3M))</f>
        <v>3561905.5</v>
      </c>
      <c r="AB1127" s="31" cm="1">
        <f t="array" ref="AB1127">IF(LEFT(_xll.BDP($C1127, VOLUME_AVG_6M), 4) = "#N/A", "",  _xll.BDP($C1127, VOLUME_AVG_6M))</f>
        <v>1816166.375</v>
      </c>
      <c r="AC1127" s="31" cm="1">
        <f t="array" ref="AC1127">IF(LEFT(_xll.BDP($C1127, VOLUME_AVG_12M), 4) = "#N/A", "",  _xll.BDP($C1127, VOLUME_AVG_12M))</f>
        <v>915397.8125</v>
      </c>
      <c r="AD1127" s="41" cm="1">
        <f t="array" ref="AD1127">IF(LEFT(_xll.BDP($C1127, LAST_PRICE), 4) = "#N/A", "",  _xll.BDP($C1127, LAST_PRICE))</f>
        <v>2.86</v>
      </c>
    </row>
    <row r="1128" spans="1:30" x14ac:dyDescent="0.35">
      <c r="A1128" s="1">
        <f t="shared" si="17"/>
        <v>1125</v>
      </c>
      <c r="B1128" s="28">
        <v>45700</v>
      </c>
      <c r="C1128" s="29" t="s">
        <v>2306</v>
      </c>
      <c r="D1128" s="29" t="s">
        <v>2306</v>
      </c>
      <c r="E1128" s="29" t="s">
        <v>2307</v>
      </c>
      <c r="F1128" s="29" t="s">
        <v>33</v>
      </c>
      <c r="G1128" s="30" t="s">
        <v>34</v>
      </c>
      <c r="H1128" s="31">
        <v>23986534.949102201</v>
      </c>
      <c r="I1128" s="31">
        <v>22475814.949102201</v>
      </c>
      <c r="J1128" s="32">
        <v>0.98970001935958896</v>
      </c>
      <c r="K1128" s="33">
        <v>45700</v>
      </c>
      <c r="L1128" s="31">
        <v>1208100</v>
      </c>
      <c r="M1128" s="32">
        <v>-1.5</v>
      </c>
      <c r="N1128" s="31" t="s">
        <v>35</v>
      </c>
      <c r="O1128" s="33">
        <v>45699</v>
      </c>
      <c r="P1128" s="34">
        <v>1136331.625</v>
      </c>
      <c r="Q1128" s="34">
        <v>789148.8125</v>
      </c>
      <c r="R1128" s="34">
        <v>528931.1875</v>
      </c>
      <c r="S1128" s="29" t="s">
        <v>1464</v>
      </c>
      <c r="T1128" s="33">
        <v>45446</v>
      </c>
      <c r="U1128" s="35" t="b">
        <v>0</v>
      </c>
      <c r="V1128" s="35" t="b">
        <v>0</v>
      </c>
      <c r="W1128" s="35" t="b">
        <v>0</v>
      </c>
      <c r="Y1128" s="31" cm="1">
        <f t="array" ref="Y1128">IF(LEFT(_xll.BDP($C1128, VOLUME_AVG_10D), 4) = "#N/A", "",  _xll.BDP($C1128, VOLUME_AVG_10D))</f>
        <v>2676795</v>
      </c>
      <c r="Z1128" s="31" cm="1">
        <f t="array" ref="Z1128">IF(LEFT(_xll.BDP($C1128, VOLUME_AVG_30D), 4) = "#N/A", "",  _xll.BDP($C1128, VOLUME_AVG_30D))</f>
        <v>1136331.625</v>
      </c>
      <c r="AA1128" s="31" cm="1">
        <f t="array" ref="AA1128">IF(LEFT(_xll.BDP($C1128, VOLUME_AVG_3M), 4) = "#N/A", "",  _xll.BDP($C1128, VOLUME_AVG_3M))</f>
        <v>789148.8125</v>
      </c>
      <c r="AB1128" s="31" cm="1">
        <f t="array" ref="AB1128">IF(LEFT(_xll.BDP($C1128, VOLUME_AVG_6M), 4) = "#N/A", "",  _xll.BDP($C1128, VOLUME_AVG_6M))</f>
        <v>528931.1875</v>
      </c>
      <c r="AC1128" s="31" cm="1">
        <f t="array" ref="AC1128">IF(LEFT(_xll.BDP($C1128, VOLUME_AVG_12M), 4) = "#N/A", "",  _xll.BDP($C1128, VOLUME_AVG_12M))</f>
        <v>448517.40625</v>
      </c>
      <c r="AD1128" s="41" cm="1">
        <f t="array" ref="AD1128">IF(LEFT(_xll.BDP($C1128, LAST_PRICE), 4) = "#N/A", "",  _xll.BDP($C1128, LAST_PRICE))</f>
        <v>0.98970000000000002</v>
      </c>
    </row>
    <row r="1129" spans="1:30" x14ac:dyDescent="0.35">
      <c r="A1129" s="1">
        <f t="shared" si="17"/>
        <v>1126</v>
      </c>
      <c r="B1129" s="28">
        <v>45700</v>
      </c>
      <c r="C1129" s="29" t="s">
        <v>2308</v>
      </c>
      <c r="D1129" s="29" t="s">
        <v>2308</v>
      </c>
      <c r="E1129" s="29" t="s">
        <v>2309</v>
      </c>
      <c r="F1129" s="29" t="s">
        <v>33</v>
      </c>
      <c r="G1129" s="30" t="s">
        <v>34</v>
      </c>
      <c r="H1129" s="31">
        <v>1722460.71215534</v>
      </c>
      <c r="I1129" s="31">
        <v>-5958539.2878446598</v>
      </c>
      <c r="J1129" s="32">
        <v>1.0299999713897701</v>
      </c>
      <c r="K1129" s="33">
        <v>45700</v>
      </c>
      <c r="L1129" s="31">
        <v>164800</v>
      </c>
      <c r="M1129" s="32">
        <v>-28.2</v>
      </c>
      <c r="N1129" s="31" t="s">
        <v>35</v>
      </c>
      <c r="O1129" s="33">
        <v>45699</v>
      </c>
      <c r="P1129" s="34">
        <v>677625.4375</v>
      </c>
      <c r="Q1129" s="34">
        <v>1540985.875</v>
      </c>
      <c r="R1129" s="34">
        <v>796097.4375</v>
      </c>
      <c r="S1129" s="29"/>
      <c r="T1129" s="33"/>
      <c r="U1129" s="35" t="b">
        <v>1</v>
      </c>
      <c r="V1129" s="35" t="b">
        <v>0</v>
      </c>
      <c r="W1129" s="35" t="b">
        <v>1</v>
      </c>
      <c r="Y1129" s="31" cm="1">
        <f t="array" ref="Y1129">IF(LEFT(_xll.BDP($C1129, VOLUME_AVG_10D), 4) = "#N/A", "",  _xll.BDP($C1129, VOLUME_AVG_10D))</f>
        <v>181144.90625</v>
      </c>
      <c r="Z1129" s="31" cm="1">
        <f t="array" ref="Z1129">IF(LEFT(_xll.BDP($C1129, VOLUME_AVG_30D), 4) = "#N/A", "",  _xll.BDP($C1129, VOLUME_AVG_30D))</f>
        <v>677625.4375</v>
      </c>
      <c r="AA1129" s="31" cm="1">
        <f t="array" ref="AA1129">IF(LEFT(_xll.BDP($C1129, VOLUME_AVG_3M), 4) = "#N/A", "",  _xll.BDP($C1129, VOLUME_AVG_3M))</f>
        <v>1540985.875</v>
      </c>
      <c r="AB1129" s="31" cm="1">
        <f t="array" ref="AB1129">IF(LEFT(_xll.BDP($C1129, VOLUME_AVG_6M), 4) = "#N/A", "",  _xll.BDP($C1129, VOLUME_AVG_6M))</f>
        <v>796097.4375</v>
      </c>
      <c r="AC1129" s="31" cm="1">
        <f t="array" ref="AC1129">IF(LEFT(_xll.BDP($C1129, VOLUME_AVG_12M), 4) = "#N/A", "",  _xll.BDP($C1129, VOLUME_AVG_12M))</f>
        <v>697741.875</v>
      </c>
      <c r="AD1129" s="41" cm="1">
        <f t="array" ref="AD1129">IF(LEFT(_xll.BDP($C1129, LAST_PRICE), 4) = "#N/A", "",  _xll.BDP($C1129, LAST_PRICE))</f>
        <v>1.03</v>
      </c>
    </row>
    <row r="1130" spans="1:30" x14ac:dyDescent="0.35">
      <c r="A1130" s="1">
        <f t="shared" si="17"/>
        <v>1127</v>
      </c>
      <c r="B1130" s="28">
        <v>45700</v>
      </c>
      <c r="C1130" s="29" t="s">
        <v>3286</v>
      </c>
      <c r="D1130" s="29" t="s">
        <v>3286</v>
      </c>
      <c r="E1130" s="29" t="s">
        <v>2310</v>
      </c>
      <c r="F1130" s="29" t="s">
        <v>33</v>
      </c>
      <c r="G1130" s="30" t="s">
        <v>34</v>
      </c>
      <c r="H1130" s="31">
        <v>189415652.742704</v>
      </c>
      <c r="I1130" s="31">
        <v>170052652.742704</v>
      </c>
      <c r="J1130" s="32">
        <v>16.879999160766602</v>
      </c>
      <c r="K1130" s="33">
        <v>45700</v>
      </c>
      <c r="L1130" s="31">
        <v>124900</v>
      </c>
      <c r="M1130" s="32">
        <v>-13.75</v>
      </c>
      <c r="N1130" s="31" t="s">
        <v>35</v>
      </c>
      <c r="O1130" s="33">
        <v>45699</v>
      </c>
      <c r="P1130" s="34">
        <v>46352.8984375</v>
      </c>
      <c r="Q1130" s="34">
        <v>38454.953125</v>
      </c>
      <c r="R1130" s="34">
        <v>29507.46875</v>
      </c>
      <c r="S1130" s="29"/>
      <c r="T1130" s="33"/>
      <c r="U1130" s="35" t="b">
        <v>0</v>
      </c>
      <c r="V1130" s="35" t="b">
        <v>0</v>
      </c>
      <c r="W1130" s="35" t="b">
        <v>0</v>
      </c>
      <c r="Y1130" s="31" cm="1">
        <f t="array" ref="Y1130">IF(LEFT(_xll.BDP($C1130, VOLUME_AVG_10D), 4) = "#N/A", "",  _xll.BDP($C1130, VOLUME_AVG_10D))</f>
        <v>52337.5</v>
      </c>
      <c r="Z1130" s="31" cm="1">
        <f t="array" ref="Z1130">IF(LEFT(_xll.BDP($C1130, VOLUME_AVG_30D), 4) = "#N/A", "",  _xll.BDP($C1130, VOLUME_AVG_30D))</f>
        <v>46352.8984375</v>
      </c>
      <c r="AA1130" s="31" cm="1">
        <f t="array" ref="AA1130">IF(LEFT(_xll.BDP($C1130, VOLUME_AVG_3M), 4) = "#N/A", "",  _xll.BDP($C1130, VOLUME_AVG_3M))</f>
        <v>38454.953125</v>
      </c>
      <c r="AB1130" s="31" cm="1">
        <f t="array" ref="AB1130">IF(LEFT(_xll.BDP($C1130, VOLUME_AVG_6M), 4) = "#N/A", "",  _xll.BDP($C1130, VOLUME_AVG_6M))</f>
        <v>29507.46875</v>
      </c>
      <c r="AC1130" s="31" cm="1">
        <f t="array" ref="AC1130">IF(LEFT(_xll.BDP($C1130, VOLUME_AVG_12M), 4) = "#N/A", "",  _xll.BDP($C1130, VOLUME_AVG_12M))</f>
        <v>50435.09765625</v>
      </c>
      <c r="AD1130" s="41" cm="1">
        <f t="array" ref="AD1130">IF(LEFT(_xll.BDP($C1130, LAST_PRICE), 4) = "#N/A", "",  _xll.BDP($C1130, LAST_PRICE))</f>
        <v>16.88</v>
      </c>
    </row>
    <row r="1131" spans="1:30" x14ac:dyDescent="0.35">
      <c r="A1131" s="1">
        <f t="shared" si="17"/>
        <v>1128</v>
      </c>
      <c r="B1131" s="28">
        <v>45700</v>
      </c>
      <c r="C1131" s="29" t="s">
        <v>2311</v>
      </c>
      <c r="D1131" s="29" t="s">
        <v>2311</v>
      </c>
      <c r="E1131" s="29" t="s">
        <v>2312</v>
      </c>
      <c r="F1131" s="29" t="s">
        <v>33</v>
      </c>
      <c r="G1131" s="30" t="s">
        <v>34</v>
      </c>
      <c r="H1131" s="31">
        <v>873003.77799975895</v>
      </c>
      <c r="I1131" s="31"/>
      <c r="J1131" s="32">
        <v>4.94749993085861E-2</v>
      </c>
      <c r="K1131" s="33">
        <v>45700</v>
      </c>
      <c r="L1131" s="31"/>
      <c r="M1131" s="32"/>
      <c r="N1131" s="31"/>
      <c r="O1131" s="33">
        <v>45699</v>
      </c>
      <c r="P1131" s="34">
        <v>7992.7333984375</v>
      </c>
      <c r="Q1131" s="34">
        <v>5008.1611328125</v>
      </c>
      <c r="R1131" s="34">
        <v>3271.76977539063</v>
      </c>
      <c r="S1131" s="29"/>
      <c r="T1131" s="33"/>
      <c r="U1131" s="35" t="b">
        <v>1</v>
      </c>
      <c r="V1131" s="35" t="b">
        <v>1</v>
      </c>
      <c r="W1131" s="35" t="b">
        <v>1</v>
      </c>
      <c r="Y1131" s="31" cm="1">
        <f t="array" ref="Y1131">IF(LEFT(_xll.BDP($C1131, VOLUME_AVG_10D), 4) = "#N/A", "",  _xll.BDP($C1131, VOLUME_AVG_10D))</f>
        <v>2549.199951171875</v>
      </c>
      <c r="Z1131" s="31" cm="1">
        <f t="array" ref="Z1131">IF(LEFT(_xll.BDP($C1131, VOLUME_AVG_30D), 4) = "#N/A", "",  _xll.BDP($C1131, VOLUME_AVG_30D))</f>
        <v>7992.7333984375</v>
      </c>
      <c r="AA1131" s="31" cm="1">
        <f t="array" ref="AA1131">IF(LEFT(_xll.BDP($C1131, VOLUME_AVG_3M), 4) = "#N/A", "",  _xll.BDP($C1131, VOLUME_AVG_3M))</f>
        <v>5008.1611328125</v>
      </c>
      <c r="AB1131" s="31" cm="1">
        <f t="array" ref="AB1131">IF(LEFT(_xll.BDP($C1131, VOLUME_AVG_6M), 4) = "#N/A", "",  _xll.BDP($C1131, VOLUME_AVG_6M))</f>
        <v>3271.769775390625</v>
      </c>
      <c r="AC1131" s="31" cm="1">
        <f t="array" ref="AC1131">IF(LEFT(_xll.BDP($C1131, VOLUME_AVG_12M), 4) = "#N/A", "",  _xll.BDP($C1131, VOLUME_AVG_12M))</f>
        <v>3226.418212890625</v>
      </c>
      <c r="AD1131" s="41" cm="1">
        <f t="array" ref="AD1131">IF(LEFT(_xll.BDP($C1131, LAST_PRICE), 4) = "#N/A", "",  _xll.BDP($C1131, LAST_PRICE))</f>
        <v>4.9474999999999998E-2</v>
      </c>
    </row>
    <row r="1132" spans="1:30" x14ac:dyDescent="0.35">
      <c r="A1132" s="1">
        <f t="shared" si="17"/>
        <v>1129</v>
      </c>
      <c r="B1132" s="28">
        <v>45700</v>
      </c>
      <c r="C1132" s="29" t="s">
        <v>2313</v>
      </c>
      <c r="D1132" s="29" t="s">
        <v>2313</v>
      </c>
      <c r="E1132" s="29" t="s">
        <v>2314</v>
      </c>
      <c r="F1132" s="29" t="s">
        <v>33</v>
      </c>
      <c r="G1132" s="30" t="s">
        <v>34</v>
      </c>
      <c r="H1132" s="31"/>
      <c r="I1132" s="31"/>
      <c r="J1132" s="32">
        <v>9.9999999747524292E-7</v>
      </c>
      <c r="K1132" s="33">
        <v>45700</v>
      </c>
      <c r="L1132" s="31"/>
      <c r="M1132" s="32"/>
      <c r="N1132" s="31"/>
      <c r="O1132" s="33">
        <v>45699</v>
      </c>
      <c r="P1132" s="34">
        <v>78.866668701171903</v>
      </c>
      <c r="Q1132" s="34">
        <v>111.32257843017599</v>
      </c>
      <c r="R1132" s="34">
        <v>150.76983642578099</v>
      </c>
      <c r="S1132" s="29"/>
      <c r="T1132" s="33"/>
      <c r="U1132" s="35" t="b">
        <v>1</v>
      </c>
      <c r="V1132" s="35" t="b">
        <v>1</v>
      </c>
      <c r="W1132" s="35" t="b">
        <v>1</v>
      </c>
      <c r="Y1132" s="31" cm="1">
        <f t="array" ref="Y1132">IF(LEFT(_xll.BDP($C1132, VOLUME_AVG_10D), 4) = "#N/A", "",  _xll.BDP($C1132, VOLUME_AVG_10D))</f>
        <v>226.60000610351563</v>
      </c>
      <c r="Z1132" s="31" cm="1">
        <f t="array" ref="Z1132">IF(LEFT(_xll.BDP($C1132, VOLUME_AVG_30D), 4) = "#N/A", "",  _xll.BDP($C1132, VOLUME_AVG_30D))</f>
        <v>78.866668701171875</v>
      </c>
      <c r="AA1132" s="31" cm="1">
        <f t="array" ref="AA1132">IF(LEFT(_xll.BDP($C1132, VOLUME_AVG_3M), 4) = "#N/A", "",  _xll.BDP($C1132, VOLUME_AVG_3M))</f>
        <v>111.32257843017578</v>
      </c>
      <c r="AB1132" s="31" cm="1">
        <f t="array" ref="AB1132">IF(LEFT(_xll.BDP($C1132, VOLUME_AVG_6M), 4) = "#N/A", "",  _xll.BDP($C1132, VOLUME_AVG_6M))</f>
        <v>150.76983642578125</v>
      </c>
      <c r="AC1132" s="31" cm="1">
        <f t="array" ref="AC1132">IF(LEFT(_xll.BDP($C1132, VOLUME_AVG_12M), 4) = "#N/A", "",  _xll.BDP($C1132, VOLUME_AVG_12M))</f>
        <v>103.81673431396484</v>
      </c>
      <c r="AD1132" s="41" cm="1">
        <f t="array" ref="AD1132">IF(LEFT(_xll.BDP($C1132, LAST_PRICE), 4) = "#N/A", "",  _xll.BDP($C1132, LAST_PRICE))</f>
        <v>9.9999999999999995E-7</v>
      </c>
    </row>
    <row r="1133" spans="1:30" x14ac:dyDescent="0.35">
      <c r="A1133" s="1">
        <f t="shared" si="17"/>
        <v>1130</v>
      </c>
      <c r="B1133" s="28">
        <v>45700</v>
      </c>
      <c r="C1133" s="29" t="s">
        <v>2315</v>
      </c>
      <c r="D1133" s="29" t="s">
        <v>2315</v>
      </c>
      <c r="E1133" s="29" t="s">
        <v>2316</v>
      </c>
      <c r="F1133" s="29" t="s">
        <v>33</v>
      </c>
      <c r="G1133" s="30" t="s">
        <v>34</v>
      </c>
      <c r="H1133" s="31">
        <v>1602094.2936615001</v>
      </c>
      <c r="I1133" s="31">
        <v>7854094.2936615003</v>
      </c>
      <c r="J1133" s="32">
        <v>0.33000001311302202</v>
      </c>
      <c r="K1133" s="33">
        <v>45700</v>
      </c>
      <c r="L1133" s="31">
        <v>264500</v>
      </c>
      <c r="M1133" s="32">
        <v>-141.85</v>
      </c>
      <c r="N1133" s="31" t="s">
        <v>35</v>
      </c>
      <c r="O1133" s="33">
        <v>45699</v>
      </c>
      <c r="P1133" s="34">
        <v>22997.3671875</v>
      </c>
      <c r="Q1133" s="34">
        <v>17515.208984375</v>
      </c>
      <c r="R1133" s="34">
        <v>12467.388671875</v>
      </c>
      <c r="S1133" s="29"/>
      <c r="T1133" s="33"/>
      <c r="U1133" s="35" t="b">
        <v>1</v>
      </c>
      <c r="V1133" s="35" t="b">
        <v>0</v>
      </c>
      <c r="W1133" s="35" t="b">
        <v>0</v>
      </c>
      <c r="Y1133" s="31" cm="1">
        <f t="array" ref="Y1133">IF(LEFT(_xll.BDP($C1133, VOLUME_AVG_10D), 4) = "#N/A", "",  _xll.BDP($C1133, VOLUME_AVG_10D))</f>
        <v>23982.19921875</v>
      </c>
      <c r="Z1133" s="31" cm="1">
        <f t="array" ref="Z1133">IF(LEFT(_xll.BDP($C1133, VOLUME_AVG_30D), 4) = "#N/A", "",  _xll.BDP($C1133, VOLUME_AVG_30D))</f>
        <v>22997.3671875</v>
      </c>
      <c r="AA1133" s="31" cm="1">
        <f t="array" ref="AA1133">IF(LEFT(_xll.BDP($C1133, VOLUME_AVG_3M), 4) = "#N/A", "",  _xll.BDP($C1133, VOLUME_AVG_3M))</f>
        <v>17515.208984375</v>
      </c>
      <c r="AB1133" s="31" cm="1">
        <f t="array" ref="AB1133">IF(LEFT(_xll.BDP($C1133, VOLUME_AVG_6M), 4) = "#N/A", "",  _xll.BDP($C1133, VOLUME_AVG_6M))</f>
        <v>12467.388671875</v>
      </c>
      <c r="AC1133" s="31" cm="1">
        <f t="array" ref="AC1133">IF(LEFT(_xll.BDP($C1133, VOLUME_AVG_12M), 4) = "#N/A", "",  _xll.BDP($C1133, VOLUME_AVG_12M))</f>
        <v>77660.1953125</v>
      </c>
      <c r="AD1133" s="41" cm="1">
        <f t="array" ref="AD1133">IF(LEFT(_xll.BDP($C1133, LAST_PRICE), 4) = "#N/A", "",  _xll.BDP($C1133, LAST_PRICE))</f>
        <v>0.33</v>
      </c>
    </row>
    <row r="1134" spans="1:30" x14ac:dyDescent="0.35">
      <c r="A1134" s="1">
        <f t="shared" si="17"/>
        <v>1131</v>
      </c>
      <c r="B1134" s="28">
        <v>45700</v>
      </c>
      <c r="C1134" s="29" t="s">
        <v>2317</v>
      </c>
      <c r="D1134" s="29" t="s">
        <v>2317</v>
      </c>
      <c r="E1134" s="29" t="s">
        <v>2318</v>
      </c>
      <c r="F1134" s="29" t="s">
        <v>33</v>
      </c>
      <c r="G1134" s="30" t="s">
        <v>34</v>
      </c>
      <c r="H1134" s="31"/>
      <c r="I1134" s="31"/>
      <c r="J1134" s="32">
        <v>9.9999999747524292E-7</v>
      </c>
      <c r="K1134" s="33">
        <v>45700</v>
      </c>
      <c r="L1134" s="31"/>
      <c r="M1134" s="32"/>
      <c r="N1134" s="31"/>
      <c r="O1134" s="33">
        <v>45699</v>
      </c>
      <c r="P1134" s="34">
        <v>7142.966796875</v>
      </c>
      <c r="Q1134" s="34">
        <v>19708.564453125</v>
      </c>
      <c r="R1134" s="34">
        <v>14965.5078125</v>
      </c>
      <c r="S1134" s="29"/>
      <c r="T1134" s="33"/>
      <c r="U1134" s="35" t="b">
        <v>1</v>
      </c>
      <c r="V1134" s="35" t="b">
        <v>1</v>
      </c>
      <c r="W1134" s="35" t="b">
        <v>1</v>
      </c>
      <c r="Y1134" s="31" cm="1">
        <f t="array" ref="Y1134">IF(LEFT(_xll.BDP($C1134, VOLUME_AVG_10D), 4) = "#N/A", "",  _xll.BDP($C1134, VOLUME_AVG_10D))</f>
        <v>21428.80078125</v>
      </c>
      <c r="Z1134" s="31" cm="1">
        <f t="array" ref="Z1134">IF(LEFT(_xll.BDP($C1134, VOLUME_AVG_30D), 4) = "#N/A", "",  _xll.BDP($C1134, VOLUME_AVG_30D))</f>
        <v>7142.966796875</v>
      </c>
      <c r="AA1134" s="31" cm="1">
        <f t="array" ref="AA1134">IF(LEFT(_xll.BDP($C1134, VOLUME_AVG_3M), 4) = "#N/A", "",  _xll.BDP($C1134, VOLUME_AVG_3M))</f>
        <v>19708.564453125</v>
      </c>
      <c r="AB1134" s="31" cm="1">
        <f t="array" ref="AB1134">IF(LEFT(_xll.BDP($C1134, VOLUME_AVG_6M), 4) = "#N/A", "",  _xll.BDP($C1134, VOLUME_AVG_6M))</f>
        <v>14965.5078125</v>
      </c>
      <c r="AC1134" s="31" cm="1">
        <f t="array" ref="AC1134">IF(LEFT(_xll.BDP($C1134, VOLUME_AVG_12M), 4) = "#N/A", "",  _xll.BDP($C1134, VOLUME_AVG_12M))</f>
        <v>73164.7578125</v>
      </c>
      <c r="AD1134" s="41" cm="1">
        <f t="array" ref="AD1134">IF(LEFT(_xll.BDP($C1134, LAST_PRICE), 4) = "#N/A", "",  _xll.BDP($C1134, LAST_PRICE))</f>
        <v>0</v>
      </c>
    </row>
    <row r="1135" spans="1:30" x14ac:dyDescent="0.35">
      <c r="A1135" s="1">
        <f t="shared" si="17"/>
        <v>1132</v>
      </c>
      <c r="B1135" s="28">
        <v>45700</v>
      </c>
      <c r="C1135" s="29" t="s">
        <v>2319</v>
      </c>
      <c r="D1135" s="29" t="s">
        <v>2319</v>
      </c>
      <c r="E1135" s="29" t="s">
        <v>2320</v>
      </c>
      <c r="F1135" s="29" t="s">
        <v>33</v>
      </c>
      <c r="G1135" s="30" t="s">
        <v>34</v>
      </c>
      <c r="H1135" s="31">
        <v>1093387753.89046</v>
      </c>
      <c r="I1135" s="31">
        <v>1165855753.89046</v>
      </c>
      <c r="J1135" s="32">
        <v>13.060000419616699</v>
      </c>
      <c r="K1135" s="33">
        <v>45700</v>
      </c>
      <c r="L1135" s="31">
        <v>5872700</v>
      </c>
      <c r="M1135" s="32">
        <v>3.88</v>
      </c>
      <c r="N1135" s="31" t="s">
        <v>35</v>
      </c>
      <c r="O1135" s="33">
        <v>45699</v>
      </c>
      <c r="P1135" s="34">
        <v>1678771.25</v>
      </c>
      <c r="Q1135" s="34">
        <v>1172159.5</v>
      </c>
      <c r="R1135" s="34">
        <v>810280.875</v>
      </c>
      <c r="S1135" s="29"/>
      <c r="T1135" s="33"/>
      <c r="U1135" s="35" t="b">
        <v>0</v>
      </c>
      <c r="V1135" s="35" t="b">
        <v>0</v>
      </c>
      <c r="W1135" s="35" t="b">
        <v>0</v>
      </c>
      <c r="Y1135" s="31" cm="1">
        <f t="array" ref="Y1135">IF(LEFT(_xll.BDP($C1135, VOLUME_AVG_10D), 4) = "#N/A", "",  _xll.BDP($C1135, VOLUME_AVG_10D))</f>
        <v>3996839.25</v>
      </c>
      <c r="Z1135" s="31" cm="1">
        <f t="array" ref="Z1135">IF(LEFT(_xll.BDP($C1135, VOLUME_AVG_30D), 4) = "#N/A", "",  _xll.BDP($C1135, VOLUME_AVG_30D))</f>
        <v>1678771.25</v>
      </c>
      <c r="AA1135" s="31" cm="1">
        <f t="array" ref="AA1135">IF(LEFT(_xll.BDP($C1135, VOLUME_AVG_3M), 4) = "#N/A", "",  _xll.BDP($C1135, VOLUME_AVG_3M))</f>
        <v>1172159.5</v>
      </c>
      <c r="AB1135" s="31" cm="1">
        <f t="array" ref="AB1135">IF(LEFT(_xll.BDP($C1135, VOLUME_AVG_6M), 4) = "#N/A", "",  _xll.BDP($C1135, VOLUME_AVG_6M))</f>
        <v>810280.875</v>
      </c>
      <c r="AC1135" s="31" cm="1">
        <f t="array" ref="AC1135">IF(LEFT(_xll.BDP($C1135, VOLUME_AVG_12M), 4) = "#N/A", "",  _xll.BDP($C1135, VOLUME_AVG_12M))</f>
        <v>745642.875</v>
      </c>
      <c r="AD1135" s="41" cm="1">
        <f t="array" ref="AD1135">IF(LEFT(_xll.BDP($C1135, LAST_PRICE), 4) = "#N/A", "",  _xll.BDP($C1135, LAST_PRICE))</f>
        <v>13.06</v>
      </c>
    </row>
    <row r="1136" spans="1:30" x14ac:dyDescent="0.35">
      <c r="A1136" s="1">
        <f t="shared" si="17"/>
        <v>1133</v>
      </c>
      <c r="B1136" s="28">
        <v>45700</v>
      </c>
      <c r="C1136" s="29" t="s">
        <v>2321</v>
      </c>
      <c r="D1136" s="29" t="s">
        <v>2321</v>
      </c>
      <c r="E1136" s="29" t="s">
        <v>2322</v>
      </c>
      <c r="F1136" s="29" t="s">
        <v>33</v>
      </c>
      <c r="G1136" s="30" t="s">
        <v>34</v>
      </c>
      <c r="H1136" s="31">
        <v>1810990.5435732601</v>
      </c>
      <c r="I1136" s="31">
        <v>-14438381.456426701</v>
      </c>
      <c r="J1136" s="32">
        <v>1.4299999475479099</v>
      </c>
      <c r="K1136" s="33">
        <v>45700</v>
      </c>
      <c r="L1136" s="31">
        <v>78900</v>
      </c>
      <c r="M1136" s="32">
        <v>-217.55</v>
      </c>
      <c r="N1136" s="31" t="s">
        <v>35</v>
      </c>
      <c r="O1136" s="33">
        <v>45699</v>
      </c>
      <c r="P1136" s="34">
        <v>2166280.25</v>
      </c>
      <c r="Q1136" s="34">
        <v>1071916.25</v>
      </c>
      <c r="R1136" s="34">
        <v>1002162</v>
      </c>
      <c r="S1136" s="29"/>
      <c r="T1136" s="33"/>
      <c r="U1136" s="35" t="b">
        <v>1</v>
      </c>
      <c r="V1136" s="35" t="b">
        <v>0</v>
      </c>
      <c r="W1136" s="35" t="b">
        <v>1</v>
      </c>
      <c r="Y1136" s="31" cm="1">
        <f t="array" ref="Y1136">IF(LEFT(_xll.BDP($C1136, VOLUME_AVG_10D), 4) = "#N/A", "",  _xll.BDP($C1136, VOLUME_AVG_10D))</f>
        <v>6412977</v>
      </c>
      <c r="Z1136" s="31" cm="1">
        <f t="array" ref="Z1136">IF(LEFT(_xll.BDP($C1136, VOLUME_AVG_30D), 4) = "#N/A", "",  _xll.BDP($C1136, VOLUME_AVG_30D))</f>
        <v>2166280.25</v>
      </c>
      <c r="AA1136" s="31" cm="1">
        <f t="array" ref="AA1136">IF(LEFT(_xll.BDP($C1136, VOLUME_AVG_3M), 4) = "#N/A", "",  _xll.BDP($C1136, VOLUME_AVG_3M))</f>
        <v>1071916.25</v>
      </c>
      <c r="AB1136" s="31" cm="1">
        <f t="array" ref="AB1136">IF(LEFT(_xll.BDP($C1136, VOLUME_AVG_6M), 4) = "#N/A", "",  _xll.BDP($C1136, VOLUME_AVG_6M))</f>
        <v>1002162</v>
      </c>
      <c r="AC1136" s="31" cm="1">
        <f t="array" ref="AC1136">IF(LEFT(_xll.BDP($C1136, VOLUME_AVG_12M), 4) = "#N/A", "",  _xll.BDP($C1136, VOLUME_AVG_12M))</f>
        <v>506331.6875</v>
      </c>
      <c r="AD1136" s="41" cm="1">
        <f t="array" ref="AD1136">IF(LEFT(_xll.BDP($C1136, LAST_PRICE), 4) = "#N/A", "",  _xll.BDP($C1136, LAST_PRICE))</f>
        <v>1.43</v>
      </c>
    </row>
    <row r="1137" spans="1:30" x14ac:dyDescent="0.35">
      <c r="A1137" s="1">
        <f t="shared" si="17"/>
        <v>1134</v>
      </c>
      <c r="B1137" s="28">
        <v>45700</v>
      </c>
      <c r="C1137" s="29" t="s">
        <v>2323</v>
      </c>
      <c r="D1137" s="29" t="s">
        <v>2323</v>
      </c>
      <c r="E1137" s="29" t="s">
        <v>2324</v>
      </c>
      <c r="F1137" s="29" t="s">
        <v>33</v>
      </c>
      <c r="G1137" s="30" t="s">
        <v>34</v>
      </c>
      <c r="H1137" s="31">
        <v>32075750.630181301</v>
      </c>
      <c r="I1137" s="31">
        <v>-26932249.369818699</v>
      </c>
      <c r="J1137" s="32">
        <v>0.51929998397827104</v>
      </c>
      <c r="K1137" s="33">
        <v>45700</v>
      </c>
      <c r="L1137" s="31">
        <v>4902000</v>
      </c>
      <c r="M1137" s="32">
        <v>3.88</v>
      </c>
      <c r="N1137" s="31" t="s">
        <v>35</v>
      </c>
      <c r="O1137" s="33">
        <v>45699</v>
      </c>
      <c r="P1137" s="34">
        <v>532821.6875</v>
      </c>
      <c r="Q1137" s="34">
        <v>741691.4375</v>
      </c>
      <c r="R1137" s="34">
        <v>483581.78125</v>
      </c>
      <c r="S1137" s="29" t="s">
        <v>97</v>
      </c>
      <c r="T1137" s="33">
        <v>45215</v>
      </c>
      <c r="U1137" s="35" t="b">
        <v>0</v>
      </c>
      <c r="V1137" s="35" t="b">
        <v>0</v>
      </c>
      <c r="W1137" s="35" t="b">
        <v>1</v>
      </c>
      <c r="Y1137" s="31" cm="1">
        <f t="array" ref="Y1137">IF(LEFT(_xll.BDP($C1137, VOLUME_AVG_10D), 4) = "#N/A", "",  _xll.BDP($C1137, VOLUME_AVG_10D))</f>
        <v>158686.203125</v>
      </c>
      <c r="Z1137" s="31" cm="1">
        <f t="array" ref="Z1137">IF(LEFT(_xll.BDP($C1137, VOLUME_AVG_30D), 4) = "#N/A", "",  _xll.BDP($C1137, VOLUME_AVG_30D))</f>
        <v>532821.6875</v>
      </c>
      <c r="AA1137" s="31" cm="1">
        <f t="array" ref="AA1137">IF(LEFT(_xll.BDP($C1137, VOLUME_AVG_3M), 4) = "#N/A", "",  _xll.BDP($C1137, VOLUME_AVG_3M))</f>
        <v>741691.4375</v>
      </c>
      <c r="AB1137" s="31" cm="1">
        <f t="array" ref="AB1137">IF(LEFT(_xll.BDP($C1137, VOLUME_AVG_6M), 4) = "#N/A", "",  _xll.BDP($C1137, VOLUME_AVG_6M))</f>
        <v>483581.78125</v>
      </c>
      <c r="AC1137" s="31" cm="1">
        <f t="array" ref="AC1137">IF(LEFT(_xll.BDP($C1137, VOLUME_AVG_12M), 4) = "#N/A", "",  _xll.BDP($C1137, VOLUME_AVG_12M))</f>
        <v>378672.15625</v>
      </c>
      <c r="AD1137" s="41" cm="1">
        <f t="array" ref="AD1137">IF(LEFT(_xll.BDP($C1137, LAST_PRICE), 4) = "#N/A", "",  _xll.BDP($C1137, LAST_PRICE))</f>
        <v>0.51929999999999998</v>
      </c>
    </row>
    <row r="1138" spans="1:30" x14ac:dyDescent="0.35">
      <c r="A1138" s="1">
        <f t="shared" si="17"/>
        <v>1135</v>
      </c>
      <c r="B1138" s="28">
        <v>45700</v>
      </c>
      <c r="C1138" s="29" t="s">
        <v>2325</v>
      </c>
      <c r="D1138" s="29" t="s">
        <v>2325</v>
      </c>
      <c r="E1138" s="29" t="s">
        <v>2326</v>
      </c>
      <c r="F1138" s="29" t="s">
        <v>33</v>
      </c>
      <c r="G1138" s="30" t="s">
        <v>34</v>
      </c>
      <c r="H1138" s="31"/>
      <c r="I1138" s="31"/>
      <c r="J1138" s="32">
        <v>9.9999999747524292E-7</v>
      </c>
      <c r="K1138" s="33">
        <v>45700</v>
      </c>
      <c r="L1138" s="31"/>
      <c r="M1138" s="32"/>
      <c r="N1138" s="31"/>
      <c r="O1138" s="33">
        <v>45699</v>
      </c>
      <c r="P1138" s="34">
        <v>50</v>
      </c>
      <c r="Q1138" s="34">
        <v>64.516128540039105</v>
      </c>
      <c r="R1138" s="34">
        <v>31.746030807495099</v>
      </c>
      <c r="S1138" s="29"/>
      <c r="T1138" s="33"/>
      <c r="U1138" s="35" t="b">
        <v>1</v>
      </c>
      <c r="V1138" s="35" t="b">
        <v>1</v>
      </c>
      <c r="W1138" s="35" t="b">
        <v>1</v>
      </c>
      <c r="Y1138" s="31" cm="1">
        <f t="array" ref="Y1138">IF(LEFT(_xll.BDP($C1138, VOLUME_AVG_10D), 4) = "#N/A", "",  _xll.BDP($C1138, VOLUME_AVG_10D))</f>
        <v>150</v>
      </c>
      <c r="Z1138" s="31" cm="1">
        <f t="array" ref="Z1138">IF(LEFT(_xll.BDP($C1138, VOLUME_AVG_30D), 4) = "#N/A", "",  _xll.BDP($C1138, VOLUME_AVG_30D))</f>
        <v>50</v>
      </c>
      <c r="AA1138" s="31" cm="1">
        <f t="array" ref="AA1138">IF(LEFT(_xll.BDP($C1138, VOLUME_AVG_3M), 4) = "#N/A", "",  _xll.BDP($C1138, VOLUME_AVG_3M))</f>
        <v>64.516128540039063</v>
      </c>
      <c r="AB1138" s="31" cm="1">
        <f t="array" ref="AB1138">IF(LEFT(_xll.BDP($C1138, VOLUME_AVG_6M), 4) = "#N/A", "",  _xll.BDP($C1138, VOLUME_AVG_6M))</f>
        <v>31.746030807495117</v>
      </c>
      <c r="AC1138" s="31" cm="1">
        <f t="array" ref="AC1138">IF(LEFT(_xll.BDP($C1138, VOLUME_AVG_12M), 4) = "#N/A", "",  _xll.BDP($C1138, VOLUME_AVG_12M))</f>
        <v>43.426296234130859</v>
      </c>
      <c r="AD1138" s="41" cm="1">
        <f t="array" ref="AD1138">IF(LEFT(_xll.BDP($C1138, LAST_PRICE), 4) = "#N/A", "",  _xll.BDP($C1138, LAST_PRICE))</f>
        <v>9.9999999999999995E-7</v>
      </c>
    </row>
    <row r="1139" spans="1:30" x14ac:dyDescent="0.35">
      <c r="A1139" s="1">
        <f t="shared" si="17"/>
        <v>1136</v>
      </c>
      <c r="B1139" s="28">
        <v>45700</v>
      </c>
      <c r="C1139" s="29" t="s">
        <v>2327</v>
      </c>
      <c r="D1139" s="29" t="s">
        <v>2327</v>
      </c>
      <c r="E1139" s="29" t="s">
        <v>2328</v>
      </c>
      <c r="F1139" s="29" t="s">
        <v>33</v>
      </c>
      <c r="G1139" s="30" t="s">
        <v>34</v>
      </c>
      <c r="H1139" s="31">
        <v>2739636854.5658102</v>
      </c>
      <c r="I1139" s="31">
        <v>3394695854.5658102</v>
      </c>
      <c r="J1139" s="32">
        <v>31.040000915527301</v>
      </c>
      <c r="K1139" s="33">
        <v>45700</v>
      </c>
      <c r="L1139" s="31">
        <v>15531800</v>
      </c>
      <c r="M1139" s="32">
        <v>3.88</v>
      </c>
      <c r="N1139" s="31" t="s">
        <v>35</v>
      </c>
      <c r="O1139" s="33">
        <v>45699</v>
      </c>
      <c r="P1139" s="34">
        <v>1430922.375</v>
      </c>
      <c r="Q1139" s="34">
        <v>1493600</v>
      </c>
      <c r="R1139" s="34">
        <v>1165754.75</v>
      </c>
      <c r="S1139" s="29"/>
      <c r="T1139" s="33"/>
      <c r="U1139" s="35" t="b">
        <v>0</v>
      </c>
      <c r="V1139" s="35" t="b">
        <v>0</v>
      </c>
      <c r="W1139" s="35" t="b">
        <v>0</v>
      </c>
      <c r="Y1139" s="31" cm="1">
        <f t="array" ref="Y1139">IF(LEFT(_xll.BDP($C1139, VOLUME_AVG_10D), 4) = "#N/A", "",  _xll.BDP($C1139, VOLUME_AVG_10D))</f>
        <v>894479.625</v>
      </c>
      <c r="Z1139" s="31" cm="1">
        <f t="array" ref="Z1139">IF(LEFT(_xll.BDP($C1139, VOLUME_AVG_30D), 4) = "#N/A", "",  _xll.BDP($C1139, VOLUME_AVG_30D))</f>
        <v>1430922.375</v>
      </c>
      <c r="AA1139" s="31" cm="1">
        <f t="array" ref="AA1139">IF(LEFT(_xll.BDP($C1139, VOLUME_AVG_3M), 4) = "#N/A", "",  _xll.BDP($C1139, VOLUME_AVG_3M))</f>
        <v>1493600</v>
      </c>
      <c r="AB1139" s="31" cm="1">
        <f t="array" ref="AB1139">IF(LEFT(_xll.BDP($C1139, VOLUME_AVG_6M), 4) = "#N/A", "",  _xll.BDP($C1139, VOLUME_AVG_6M))</f>
        <v>1165754.75</v>
      </c>
      <c r="AC1139" s="31" cm="1">
        <f t="array" ref="AC1139">IF(LEFT(_xll.BDP($C1139, VOLUME_AVG_12M), 4) = "#N/A", "",  _xll.BDP($C1139, VOLUME_AVG_12M))</f>
        <v>1021160.5</v>
      </c>
      <c r="AD1139" s="41" cm="1">
        <f t="array" ref="AD1139">IF(LEFT(_xll.BDP($C1139, LAST_PRICE), 4) = "#N/A", "",  _xll.BDP($C1139, LAST_PRICE))</f>
        <v>31.04</v>
      </c>
    </row>
    <row r="1140" spans="1:30" x14ac:dyDescent="0.35">
      <c r="A1140" s="1">
        <f t="shared" si="17"/>
        <v>1137</v>
      </c>
      <c r="B1140" s="28">
        <v>45700</v>
      </c>
      <c r="C1140" s="29" t="s">
        <v>2329</v>
      </c>
      <c r="D1140" s="29" t="s">
        <v>2329</v>
      </c>
      <c r="E1140" s="29" t="s">
        <v>2330</v>
      </c>
      <c r="F1140" s="29" t="s">
        <v>33</v>
      </c>
      <c r="G1140" s="30" t="s">
        <v>34</v>
      </c>
      <c r="H1140" s="31">
        <v>7415939.4047266198</v>
      </c>
      <c r="I1140" s="31">
        <v>40293939.404726602</v>
      </c>
      <c r="J1140" s="32">
        <v>0.67000001668930098</v>
      </c>
      <c r="K1140" s="33">
        <v>45700</v>
      </c>
      <c r="L1140" s="31">
        <v>205300</v>
      </c>
      <c r="M1140" s="32">
        <v>3.88</v>
      </c>
      <c r="N1140" s="31" t="s">
        <v>35</v>
      </c>
      <c r="O1140" s="33">
        <v>45699</v>
      </c>
      <c r="P1140" s="34">
        <v>195861.140625</v>
      </c>
      <c r="Q1140" s="34">
        <v>182775.640625</v>
      </c>
      <c r="R1140" s="34">
        <v>121474.1015625</v>
      </c>
      <c r="S1140" s="29"/>
      <c r="T1140" s="33"/>
      <c r="U1140" s="35" t="b">
        <v>1</v>
      </c>
      <c r="V1140" s="35" t="b">
        <v>0</v>
      </c>
      <c r="W1140" s="35" t="b">
        <v>0</v>
      </c>
      <c r="Y1140" s="31" cm="1">
        <f t="array" ref="Y1140">IF(LEFT(_xll.BDP($C1140, VOLUME_AVG_10D), 4) = "#N/A", "",  _xll.BDP($C1140, VOLUME_AVG_10D))</f>
        <v>161815.40625</v>
      </c>
      <c r="Z1140" s="31" cm="1">
        <f t="array" ref="Z1140">IF(LEFT(_xll.BDP($C1140, VOLUME_AVG_30D), 4) = "#N/A", "",  _xll.BDP($C1140, VOLUME_AVG_30D))</f>
        <v>195861.140625</v>
      </c>
      <c r="AA1140" s="31" cm="1">
        <f t="array" ref="AA1140">IF(LEFT(_xll.BDP($C1140, VOLUME_AVG_3M), 4) = "#N/A", "",  _xll.BDP($C1140, VOLUME_AVG_3M))</f>
        <v>182775.640625</v>
      </c>
      <c r="AB1140" s="31" cm="1">
        <f t="array" ref="AB1140">IF(LEFT(_xll.BDP($C1140, VOLUME_AVG_6M), 4) = "#N/A", "",  _xll.BDP($C1140, VOLUME_AVG_6M))</f>
        <v>121474.1015625</v>
      </c>
      <c r="AC1140" s="31" cm="1">
        <f t="array" ref="AC1140">IF(LEFT(_xll.BDP($C1140, VOLUME_AVG_12M), 4) = "#N/A", "",  _xll.BDP($C1140, VOLUME_AVG_12M))</f>
        <v>93148.7734375</v>
      </c>
      <c r="AD1140" s="41" cm="1">
        <f t="array" ref="AD1140">IF(LEFT(_xll.BDP($C1140, LAST_PRICE), 4) = "#N/A", "",  _xll.BDP($C1140, LAST_PRICE))</f>
        <v>0.67</v>
      </c>
    </row>
    <row r="1141" spans="1:30" x14ac:dyDescent="0.35">
      <c r="A1141" s="1">
        <f t="shared" si="17"/>
        <v>1138</v>
      </c>
      <c r="B1141" s="28">
        <v>45700</v>
      </c>
      <c r="C1141" s="29" t="s">
        <v>2331</v>
      </c>
      <c r="D1141" s="29" t="s">
        <v>2331</v>
      </c>
      <c r="E1141" s="29" t="s">
        <v>2332</v>
      </c>
      <c r="F1141" s="29" t="s">
        <v>33</v>
      </c>
      <c r="G1141" s="30" t="s">
        <v>34</v>
      </c>
      <c r="H1141" s="31">
        <v>337254.27</v>
      </c>
      <c r="I1141" s="31">
        <v>12773.27</v>
      </c>
      <c r="J1141" s="32">
        <v>9.9999999747524292E-7</v>
      </c>
      <c r="K1141" s="33">
        <v>45700</v>
      </c>
      <c r="L1141" s="31"/>
      <c r="M1141" s="32"/>
      <c r="N1141" s="31"/>
      <c r="O1141" s="33">
        <v>45699</v>
      </c>
      <c r="P1141" s="34">
        <v>28026.93359375</v>
      </c>
      <c r="Q1141" s="34">
        <v>35173.14453125</v>
      </c>
      <c r="R1141" s="34">
        <v>62970</v>
      </c>
      <c r="S1141" s="29"/>
      <c r="T1141" s="33"/>
      <c r="U1141" s="35" t="b">
        <v>1</v>
      </c>
      <c r="V1141" s="35" t="b">
        <v>1</v>
      </c>
      <c r="W1141" s="35" t="b">
        <v>0</v>
      </c>
      <c r="Y1141" s="31" cm="1">
        <f t="array" ref="Y1141">IF(LEFT(_xll.BDP($C1141, VOLUME_AVG_10D), 4) = "#N/A", "",  _xll.BDP($C1141, VOLUME_AVG_10D))</f>
        <v>980.70001220703125</v>
      </c>
      <c r="Z1141" s="31" cm="1">
        <f t="array" ref="Z1141">IF(LEFT(_xll.BDP($C1141, VOLUME_AVG_30D), 4) = "#N/A", "",  _xll.BDP($C1141, VOLUME_AVG_30D))</f>
        <v>28026.93359375</v>
      </c>
      <c r="AA1141" s="31" cm="1">
        <f t="array" ref="AA1141">IF(LEFT(_xll.BDP($C1141, VOLUME_AVG_3M), 4) = "#N/A", "",  _xll.BDP($C1141, VOLUME_AVG_3M))</f>
        <v>35173.14453125</v>
      </c>
      <c r="AB1141" s="31" cm="1">
        <f t="array" ref="AB1141">IF(LEFT(_xll.BDP($C1141, VOLUME_AVG_6M), 4) = "#N/A", "",  _xll.BDP($C1141, VOLUME_AVG_6M))</f>
        <v>62970</v>
      </c>
      <c r="AC1141" s="31" cm="1">
        <f t="array" ref="AC1141">IF(LEFT(_xll.BDP($C1141, VOLUME_AVG_12M), 4) = "#N/A", "",  _xll.BDP($C1141, VOLUME_AVG_12M))</f>
        <v>655944</v>
      </c>
      <c r="AD1141" s="41" cm="1">
        <f t="array" ref="AD1141">IF(LEFT(_xll.BDP($C1141, LAST_PRICE), 4) = "#N/A", "",  _xll.BDP($C1141, LAST_PRICE))</f>
        <v>0</v>
      </c>
    </row>
    <row r="1142" spans="1:30" x14ac:dyDescent="0.35">
      <c r="A1142" s="1">
        <f t="shared" si="17"/>
        <v>1139</v>
      </c>
      <c r="B1142" s="28">
        <v>45700</v>
      </c>
      <c r="C1142" s="29" t="s">
        <v>2333</v>
      </c>
      <c r="D1142" s="29" t="s">
        <v>2333</v>
      </c>
      <c r="E1142" s="29" t="s">
        <v>2334</v>
      </c>
      <c r="F1142" s="29" t="s">
        <v>33</v>
      </c>
      <c r="G1142" s="30" t="s">
        <v>34</v>
      </c>
      <c r="H1142" s="31"/>
      <c r="I1142" s="31"/>
      <c r="J1142" s="32"/>
      <c r="K1142" s="33">
        <v>45700</v>
      </c>
      <c r="L1142" s="31"/>
      <c r="M1142" s="32"/>
      <c r="N1142" s="31"/>
      <c r="O1142" s="33">
        <v>45699</v>
      </c>
      <c r="P1142" s="34">
        <v>194.26666259765599</v>
      </c>
      <c r="Q1142" s="34">
        <v>220.17741394043</v>
      </c>
      <c r="R1142" s="34">
        <v>170.285720825195</v>
      </c>
      <c r="S1142" s="29"/>
      <c r="T1142" s="33"/>
      <c r="U1142" s="35" t="b">
        <v>1</v>
      </c>
      <c r="V1142" s="35" t="b">
        <v>1</v>
      </c>
      <c r="W1142" s="35" t="b">
        <v>1</v>
      </c>
      <c r="Y1142" s="31" cm="1">
        <f t="array" ref="Y1142">IF(LEFT(_xll.BDP($C1142, VOLUME_AVG_10D), 4) = "#N/A", "",  _xll.BDP($C1142, VOLUME_AVG_10D))</f>
        <v>0</v>
      </c>
      <c r="Z1142" s="31" cm="1">
        <f t="array" ref="Z1142">IF(LEFT(_xll.BDP($C1142, VOLUME_AVG_30D), 4) = "#N/A", "",  _xll.BDP($C1142, VOLUME_AVG_30D))</f>
        <v>194.26666259765625</v>
      </c>
      <c r="AA1142" s="31" cm="1">
        <f t="array" ref="AA1142">IF(LEFT(_xll.BDP($C1142, VOLUME_AVG_3M), 4) = "#N/A", "",  _xll.BDP($C1142, VOLUME_AVG_3M))</f>
        <v>220.17741394042969</v>
      </c>
      <c r="AB1142" s="31" cm="1">
        <f t="array" ref="AB1142">IF(LEFT(_xll.BDP($C1142, VOLUME_AVG_6M), 4) = "#N/A", "",  _xll.BDP($C1142, VOLUME_AVG_6M))</f>
        <v>170.28572082519531</v>
      </c>
      <c r="AC1142" s="31" cm="1">
        <f t="array" ref="AC1142">IF(LEFT(_xll.BDP($C1142, VOLUME_AVG_12M), 4) = "#N/A", "",  _xll.BDP($C1142, VOLUME_AVG_12M))</f>
        <v>123.54979705810547</v>
      </c>
      <c r="AD1142" s="41" cm="1">
        <f t="array" ref="AD1142">IF(LEFT(_xll.BDP($C1142, LAST_PRICE), 4) = "#N/A", "",  _xll.BDP($C1142, LAST_PRICE))</f>
        <v>2.5</v>
      </c>
    </row>
    <row r="1143" spans="1:30" x14ac:dyDescent="0.35">
      <c r="A1143" s="1">
        <f t="shared" si="17"/>
        <v>1140</v>
      </c>
      <c r="B1143" s="28">
        <v>45700</v>
      </c>
      <c r="C1143" s="29" t="s">
        <v>2335</v>
      </c>
      <c r="D1143" s="29" t="s">
        <v>2335</v>
      </c>
      <c r="E1143" s="29" t="s">
        <v>2336</v>
      </c>
      <c r="F1143" s="29" t="s">
        <v>33</v>
      </c>
      <c r="G1143" s="30" t="s">
        <v>34</v>
      </c>
      <c r="H1143" s="31">
        <v>47883694.289715998</v>
      </c>
      <c r="I1143" s="31">
        <v>22801829.289716002</v>
      </c>
      <c r="J1143" s="32">
        <v>1.2799999713897701</v>
      </c>
      <c r="K1143" s="33">
        <v>45700</v>
      </c>
      <c r="L1143" s="31">
        <v>845700</v>
      </c>
      <c r="M1143" s="32">
        <v>-2.0499999999999998</v>
      </c>
      <c r="N1143" s="31" t="s">
        <v>35</v>
      </c>
      <c r="O1143" s="33">
        <v>45699</v>
      </c>
      <c r="P1143" s="34">
        <v>240632.734375</v>
      </c>
      <c r="Q1143" s="34">
        <v>377887.03125</v>
      </c>
      <c r="R1143" s="34">
        <v>344028.875</v>
      </c>
      <c r="S1143" s="29" t="s">
        <v>46</v>
      </c>
      <c r="T1143" s="33">
        <v>45215</v>
      </c>
      <c r="U1143" s="35" t="b">
        <v>0</v>
      </c>
      <c r="V1143" s="35" t="b">
        <v>0</v>
      </c>
      <c r="W1143" s="35" t="b">
        <v>0</v>
      </c>
      <c r="Y1143" s="31" cm="1">
        <f t="array" ref="Y1143">IF(LEFT(_xll.BDP($C1143, VOLUME_AVG_10D), 4) = "#N/A", "",  _xll.BDP($C1143, VOLUME_AVG_10D))</f>
        <v>212026.40625</v>
      </c>
      <c r="Z1143" s="31" cm="1">
        <f t="array" ref="Z1143">IF(LEFT(_xll.BDP($C1143, VOLUME_AVG_30D), 4) = "#N/A", "",  _xll.BDP($C1143, VOLUME_AVG_30D))</f>
        <v>240632.734375</v>
      </c>
      <c r="AA1143" s="31" cm="1">
        <f t="array" ref="AA1143">IF(LEFT(_xll.BDP($C1143, VOLUME_AVG_3M), 4) = "#N/A", "",  _xll.BDP($C1143, VOLUME_AVG_3M))</f>
        <v>377887.03125</v>
      </c>
      <c r="AB1143" s="31" cm="1">
        <f t="array" ref="AB1143">IF(LEFT(_xll.BDP($C1143, VOLUME_AVG_6M), 4) = "#N/A", "",  _xll.BDP($C1143, VOLUME_AVG_6M))</f>
        <v>344028.875</v>
      </c>
      <c r="AC1143" s="31" cm="1">
        <f t="array" ref="AC1143">IF(LEFT(_xll.BDP($C1143, VOLUME_AVG_12M), 4) = "#N/A", "",  _xll.BDP($C1143, VOLUME_AVG_12M))</f>
        <v>543991.4375</v>
      </c>
      <c r="AD1143" s="41" cm="1">
        <f t="array" ref="AD1143">IF(LEFT(_xll.BDP($C1143, LAST_PRICE), 4) = "#N/A", "",  _xll.BDP($C1143, LAST_PRICE))</f>
        <v>1.28</v>
      </c>
    </row>
    <row r="1144" spans="1:30" x14ac:dyDescent="0.35">
      <c r="A1144" s="1">
        <f t="shared" si="17"/>
        <v>1141</v>
      </c>
      <c r="B1144" s="28">
        <v>45700</v>
      </c>
      <c r="C1144" s="29" t="s">
        <v>2337</v>
      </c>
      <c r="D1144" s="29" t="s">
        <v>2337</v>
      </c>
      <c r="E1144" s="29" t="s">
        <v>2338</v>
      </c>
      <c r="F1144" s="29" t="s">
        <v>33</v>
      </c>
      <c r="G1144" s="30" t="s">
        <v>34</v>
      </c>
      <c r="H1144" s="31">
        <v>890653218.65228999</v>
      </c>
      <c r="I1144" s="31">
        <v>1280994218.6522901</v>
      </c>
      <c r="J1144" s="32">
        <v>25.930000305175799</v>
      </c>
      <c r="K1144" s="33">
        <v>45700</v>
      </c>
      <c r="L1144" s="31">
        <v>9573300</v>
      </c>
      <c r="M1144" s="32">
        <v>3.88</v>
      </c>
      <c r="N1144" s="31" t="s">
        <v>35</v>
      </c>
      <c r="O1144" s="33">
        <v>45699</v>
      </c>
      <c r="P1144" s="34">
        <v>204559.859375</v>
      </c>
      <c r="Q1144" s="34">
        <v>220019.15625</v>
      </c>
      <c r="R1144" s="34">
        <v>248265.453125</v>
      </c>
      <c r="S1144" s="29"/>
      <c r="T1144" s="33"/>
      <c r="U1144" s="35" t="b">
        <v>0</v>
      </c>
      <c r="V1144" s="35" t="b">
        <v>0</v>
      </c>
      <c r="W1144" s="35" t="b">
        <v>0</v>
      </c>
      <c r="Y1144" s="31" cm="1">
        <f t="array" ref="Y1144">IF(LEFT(_xll.BDP($C1144, VOLUME_AVG_10D), 4) = "#N/A", "",  _xll.BDP($C1144, VOLUME_AVG_10D))</f>
        <v>210448.703125</v>
      </c>
      <c r="Z1144" s="31" cm="1">
        <f t="array" ref="Z1144">IF(LEFT(_xll.BDP($C1144, VOLUME_AVG_30D), 4) = "#N/A", "",  _xll.BDP($C1144, VOLUME_AVG_30D))</f>
        <v>204559.859375</v>
      </c>
      <c r="AA1144" s="31" cm="1">
        <f t="array" ref="AA1144">IF(LEFT(_xll.BDP($C1144, VOLUME_AVG_3M), 4) = "#N/A", "",  _xll.BDP($C1144, VOLUME_AVG_3M))</f>
        <v>220019.15625</v>
      </c>
      <c r="AB1144" s="31" cm="1">
        <f t="array" ref="AB1144">IF(LEFT(_xll.BDP($C1144, VOLUME_AVG_6M), 4) = "#N/A", "",  _xll.BDP($C1144, VOLUME_AVG_6M))</f>
        <v>248265.453125</v>
      </c>
      <c r="AC1144" s="31" cm="1">
        <f t="array" ref="AC1144">IF(LEFT(_xll.BDP($C1144, VOLUME_AVG_12M), 4) = "#N/A", "",  _xll.BDP($C1144, VOLUME_AVG_12M))</f>
        <v>212170.234375</v>
      </c>
      <c r="AD1144" s="41" cm="1">
        <f t="array" ref="AD1144">IF(LEFT(_xll.BDP($C1144, LAST_PRICE), 4) = "#N/A", "",  _xll.BDP($C1144, LAST_PRICE))</f>
        <v>25.93</v>
      </c>
    </row>
    <row r="1145" spans="1:30" x14ac:dyDescent="0.35">
      <c r="A1145" s="1">
        <f t="shared" si="17"/>
        <v>1142</v>
      </c>
      <c r="B1145" s="28">
        <v>45700</v>
      </c>
      <c r="C1145" s="29" t="s">
        <v>2339</v>
      </c>
      <c r="D1145" s="29" t="s">
        <v>2339</v>
      </c>
      <c r="E1145" s="29" t="s">
        <v>2340</v>
      </c>
      <c r="F1145" s="29" t="s">
        <v>33</v>
      </c>
      <c r="G1145" s="30" t="s">
        <v>34</v>
      </c>
      <c r="H1145" s="31">
        <v>10249548791.240801</v>
      </c>
      <c r="I1145" s="31">
        <v>10185213791.240801</v>
      </c>
      <c r="J1145" s="32">
        <v>267.05999755859398</v>
      </c>
      <c r="K1145" s="33">
        <v>45700</v>
      </c>
      <c r="L1145" s="31">
        <v>12911200</v>
      </c>
      <c r="M1145" s="32">
        <v>3.88</v>
      </c>
      <c r="N1145" s="31" t="s">
        <v>35</v>
      </c>
      <c r="O1145" s="33">
        <v>45699</v>
      </c>
      <c r="P1145" s="34">
        <v>460749.3125</v>
      </c>
      <c r="Q1145" s="34">
        <v>384525.9375</v>
      </c>
      <c r="R1145" s="34">
        <v>396560.3125</v>
      </c>
      <c r="S1145" s="29"/>
      <c r="T1145" s="33"/>
      <c r="U1145" s="35" t="b">
        <v>0</v>
      </c>
      <c r="V1145" s="35" t="b">
        <v>0</v>
      </c>
      <c r="W1145" s="35" t="b">
        <v>0</v>
      </c>
      <c r="Y1145" s="31" cm="1">
        <f t="array" ref="Y1145">IF(LEFT(_xll.BDP($C1145, VOLUME_AVG_10D), 4) = "#N/A", "",  _xll.BDP($C1145, VOLUME_AVG_10D))</f>
        <v>460016.3125</v>
      </c>
      <c r="Z1145" s="31" cm="1">
        <f t="array" ref="Z1145">IF(LEFT(_xll.BDP($C1145, VOLUME_AVG_30D), 4) = "#N/A", "",  _xll.BDP($C1145, VOLUME_AVG_30D))</f>
        <v>460749.3125</v>
      </c>
      <c r="AA1145" s="31" cm="1">
        <f t="array" ref="AA1145">IF(LEFT(_xll.BDP($C1145, VOLUME_AVG_3M), 4) = "#N/A", "",  _xll.BDP($C1145, VOLUME_AVG_3M))</f>
        <v>384525.9375</v>
      </c>
      <c r="AB1145" s="31" cm="1">
        <f t="array" ref="AB1145">IF(LEFT(_xll.BDP($C1145, VOLUME_AVG_6M), 4) = "#N/A", "",  _xll.BDP($C1145, VOLUME_AVG_6M))</f>
        <v>396560.3125</v>
      </c>
      <c r="AC1145" s="31" cm="1">
        <f t="array" ref="AC1145">IF(LEFT(_xll.BDP($C1145, VOLUME_AVG_12M), 4) = "#N/A", "",  _xll.BDP($C1145, VOLUME_AVG_12M))</f>
        <v>394757.34375</v>
      </c>
      <c r="AD1145" s="41" cm="1">
        <f t="array" ref="AD1145">IF(LEFT(_xll.BDP($C1145, LAST_PRICE), 4) = "#N/A", "",  _xll.BDP($C1145, LAST_PRICE))</f>
        <v>267.06</v>
      </c>
    </row>
    <row r="1146" spans="1:30" x14ac:dyDescent="0.35">
      <c r="A1146" s="1">
        <f t="shared" si="17"/>
        <v>1143</v>
      </c>
      <c r="B1146" s="28">
        <v>45700</v>
      </c>
      <c r="C1146" s="29" t="s">
        <v>2341</v>
      </c>
      <c r="D1146" s="29" t="s">
        <v>2341</v>
      </c>
      <c r="E1146" s="29" t="s">
        <v>2342</v>
      </c>
      <c r="F1146" s="29" t="s">
        <v>33</v>
      </c>
      <c r="G1146" s="30" t="s">
        <v>34</v>
      </c>
      <c r="H1146" s="31">
        <v>39766800.072571501</v>
      </c>
      <c r="I1146" s="31">
        <v>-50536199.927428499</v>
      </c>
      <c r="J1146" s="32">
        <v>1.2200000286102299</v>
      </c>
      <c r="K1146" s="33">
        <v>45700</v>
      </c>
      <c r="L1146" s="31">
        <v>2066800</v>
      </c>
      <c r="M1146" s="32">
        <v>3.7</v>
      </c>
      <c r="N1146" s="31" t="s">
        <v>35</v>
      </c>
      <c r="O1146" s="33">
        <v>45699</v>
      </c>
      <c r="P1146" s="34">
        <v>367090.1875</v>
      </c>
      <c r="Q1146" s="34">
        <v>310741.78125</v>
      </c>
      <c r="R1146" s="34">
        <v>206603.765625</v>
      </c>
      <c r="S1146" s="29" t="s">
        <v>177</v>
      </c>
      <c r="T1146" s="33">
        <v>45446</v>
      </c>
      <c r="U1146" s="35" t="b">
        <v>0</v>
      </c>
      <c r="V1146" s="35" t="b">
        <v>0</v>
      </c>
      <c r="W1146" s="35" t="b">
        <v>1</v>
      </c>
      <c r="Y1146" s="31" cm="1">
        <f t="array" ref="Y1146">IF(LEFT(_xll.BDP($C1146, VOLUME_AVG_10D), 4) = "#N/A", "",  _xll.BDP($C1146, VOLUME_AVG_10D))</f>
        <v>737937.8125</v>
      </c>
      <c r="Z1146" s="31" cm="1">
        <f t="array" ref="Z1146">IF(LEFT(_xll.BDP($C1146, VOLUME_AVG_30D), 4) = "#N/A", "",  _xll.BDP($C1146, VOLUME_AVG_30D))</f>
        <v>367090.1875</v>
      </c>
      <c r="AA1146" s="31" cm="1">
        <f t="array" ref="AA1146">IF(LEFT(_xll.BDP($C1146, VOLUME_AVG_3M), 4) = "#N/A", "",  _xll.BDP($C1146, VOLUME_AVG_3M))</f>
        <v>310741.78125</v>
      </c>
      <c r="AB1146" s="31" cm="1">
        <f t="array" ref="AB1146">IF(LEFT(_xll.BDP($C1146, VOLUME_AVG_6M), 4) = "#N/A", "",  _xll.BDP($C1146, VOLUME_AVG_6M))</f>
        <v>206603.765625</v>
      </c>
      <c r="AC1146" s="31" cm="1">
        <f t="array" ref="AC1146">IF(LEFT(_xll.BDP($C1146, VOLUME_AVG_12M), 4) = "#N/A", "",  _xll.BDP($C1146, VOLUME_AVG_12M))</f>
        <v>160625.734375</v>
      </c>
      <c r="AD1146" s="41" cm="1">
        <f t="array" ref="AD1146">IF(LEFT(_xll.BDP($C1146, LAST_PRICE), 4) = "#N/A", "",  _xll.BDP($C1146, LAST_PRICE))</f>
        <v>1.22</v>
      </c>
    </row>
    <row r="1147" spans="1:30" x14ac:dyDescent="0.35">
      <c r="A1147" s="1">
        <f t="shared" si="17"/>
        <v>1144</v>
      </c>
      <c r="B1147" s="28">
        <v>45700</v>
      </c>
      <c r="C1147" s="29" t="s">
        <v>3287</v>
      </c>
      <c r="D1147" s="29" t="s">
        <v>3287</v>
      </c>
      <c r="E1147" s="29" t="s">
        <v>2343</v>
      </c>
      <c r="F1147" s="29" t="s">
        <v>33</v>
      </c>
      <c r="G1147" s="30" t="s">
        <v>34</v>
      </c>
      <c r="H1147" s="31">
        <v>183984697.93355399</v>
      </c>
      <c r="I1147" s="31">
        <v>185074697.93355399</v>
      </c>
      <c r="J1147" s="32">
        <v>2.3499999046325701</v>
      </c>
      <c r="K1147" s="33">
        <v>45700</v>
      </c>
      <c r="L1147" s="31">
        <v>13840300</v>
      </c>
      <c r="M1147" s="32">
        <v>3.88</v>
      </c>
      <c r="N1147" s="31" t="s">
        <v>35</v>
      </c>
      <c r="O1147" s="33">
        <v>45699</v>
      </c>
      <c r="P1147" s="34">
        <v>158104.296875</v>
      </c>
      <c r="Q1147" s="34">
        <v>156582.828125</v>
      </c>
      <c r="R1147" s="34">
        <v>149459.46875</v>
      </c>
      <c r="S1147" s="29"/>
      <c r="T1147" s="33"/>
      <c r="U1147" s="35" t="b">
        <v>0</v>
      </c>
      <c r="V1147" s="35" t="b">
        <v>0</v>
      </c>
      <c r="W1147" s="35" t="b">
        <v>0</v>
      </c>
      <c r="Y1147" s="31" cm="1">
        <f t="array" ref="Y1147">IF(LEFT(_xll.BDP($C1147, VOLUME_AVG_10D), 4) = "#N/A", "",  _xll.BDP($C1147, VOLUME_AVG_10D))</f>
        <v>107924.8984375</v>
      </c>
      <c r="Z1147" s="31" cm="1">
        <f t="array" ref="Z1147">IF(LEFT(_xll.BDP($C1147, VOLUME_AVG_30D), 4) = "#N/A", "",  _xll.BDP($C1147, VOLUME_AVG_30D))</f>
        <v>158104.296875</v>
      </c>
      <c r="AA1147" s="31" cm="1">
        <f t="array" ref="AA1147">IF(LEFT(_xll.BDP($C1147, VOLUME_AVG_3M), 4) = "#N/A", "",  _xll.BDP($C1147, VOLUME_AVG_3M))</f>
        <v>156582.828125</v>
      </c>
      <c r="AB1147" s="31" cm="1">
        <f t="array" ref="AB1147">IF(LEFT(_xll.BDP($C1147, VOLUME_AVG_6M), 4) = "#N/A", "",  _xll.BDP($C1147, VOLUME_AVG_6M))</f>
        <v>149459.46875</v>
      </c>
      <c r="AC1147" s="31" cm="1">
        <f t="array" ref="AC1147">IF(LEFT(_xll.BDP($C1147, VOLUME_AVG_12M), 4) = "#N/A", "",  _xll.BDP($C1147, VOLUME_AVG_12M))</f>
        <v>174918.59375</v>
      </c>
      <c r="AD1147" s="41" cm="1">
        <f t="array" ref="AD1147">IF(LEFT(_xll.BDP($C1147, LAST_PRICE), 4) = "#N/A", "",  _xll.BDP($C1147, LAST_PRICE))</f>
        <v>2.35</v>
      </c>
    </row>
    <row r="1148" spans="1:30" x14ac:dyDescent="0.35">
      <c r="A1148" s="1">
        <f t="shared" si="17"/>
        <v>1145</v>
      </c>
      <c r="B1148" s="28">
        <v>45700</v>
      </c>
      <c r="C1148" s="29" t="s">
        <v>2344</v>
      </c>
      <c r="D1148" s="29" t="s">
        <v>2344</v>
      </c>
      <c r="E1148" s="29" t="s">
        <v>2345</v>
      </c>
      <c r="F1148" s="29" t="s">
        <v>40</v>
      </c>
      <c r="G1148" s="30" t="s">
        <v>41</v>
      </c>
      <c r="H1148" s="31">
        <v>50497477.226589397</v>
      </c>
      <c r="I1148" s="31">
        <v>37693840.744589403</v>
      </c>
      <c r="J1148" s="32">
        <v>0.54000002145767201</v>
      </c>
      <c r="K1148" s="33">
        <v>45700</v>
      </c>
      <c r="L1148" s="31">
        <v>9000</v>
      </c>
      <c r="M1148" s="32">
        <v>0.4</v>
      </c>
      <c r="N1148" s="31" t="s">
        <v>35</v>
      </c>
      <c r="O1148" s="33">
        <v>45699</v>
      </c>
      <c r="P1148" s="34">
        <v>181579.8</v>
      </c>
      <c r="Q1148" s="34">
        <v>180388.7</v>
      </c>
      <c r="R1148" s="34">
        <v>116480.6</v>
      </c>
      <c r="S1148" s="29"/>
      <c r="T1148" s="33"/>
      <c r="U1148" s="35" t="b">
        <v>0</v>
      </c>
      <c r="V1148" s="35" t="b">
        <v>0</v>
      </c>
      <c r="W1148" s="35" t="b">
        <v>0</v>
      </c>
      <c r="Y1148" s="31" cm="1">
        <f t="array" ref="Y1148">IF(LEFT(_xll.BDP($C1148, VOLUME_AVG_10D), 4) = "#N/A", "",  _xll.BDP($C1148, VOLUME_AVG_10D))</f>
        <v>315337.09999999998</v>
      </c>
      <c r="Z1148" s="31" cm="1">
        <f t="array" ref="Z1148">IF(LEFT(_xll.BDP($C1148, VOLUME_AVG_30D), 4) = "#N/A", "",  _xll.BDP($C1148, VOLUME_AVG_30D))</f>
        <v>181579.8</v>
      </c>
      <c r="AA1148" s="31" cm="1">
        <f t="array" ref="AA1148">IF(LEFT(_xll.BDP($C1148, VOLUME_AVG_3M), 4) = "#N/A", "",  _xll.BDP($C1148, VOLUME_AVG_3M))</f>
        <v>180388.7</v>
      </c>
      <c r="AB1148" s="31" cm="1">
        <f t="array" ref="AB1148">IF(LEFT(_xll.BDP($C1148, VOLUME_AVG_6M), 4) = "#N/A", "",  _xll.BDP($C1148, VOLUME_AVG_6M))</f>
        <v>116480.6</v>
      </c>
      <c r="AC1148" s="31" cm="1">
        <f t="array" ref="AC1148">IF(LEFT(_xll.BDP($C1148, VOLUME_AVG_12M), 4) = "#N/A", "",  _xll.BDP($C1148, VOLUME_AVG_12M))</f>
        <v>82754.2</v>
      </c>
      <c r="AD1148" s="41" cm="1">
        <f t="array" ref="AD1148">IF(LEFT(_xll.BDP($C1148, LAST_PRICE), 4) = "#N/A", "",  _xll.BDP($C1148, LAST_PRICE))</f>
        <v>0.54</v>
      </c>
    </row>
    <row r="1149" spans="1:30" x14ac:dyDescent="0.35">
      <c r="A1149" s="1">
        <f t="shared" si="17"/>
        <v>1146</v>
      </c>
      <c r="B1149" s="28">
        <v>45700</v>
      </c>
      <c r="C1149" s="29" t="s">
        <v>2346</v>
      </c>
      <c r="D1149" s="29" t="s">
        <v>2346</v>
      </c>
      <c r="E1149" s="29" t="s">
        <v>2347</v>
      </c>
      <c r="F1149" s="29" t="s">
        <v>33</v>
      </c>
      <c r="G1149" s="30" t="s">
        <v>34</v>
      </c>
      <c r="H1149" s="31">
        <v>3315195533.1138501</v>
      </c>
      <c r="I1149" s="31">
        <v>6794695533.1138496</v>
      </c>
      <c r="J1149" s="32">
        <v>24.299999237060501</v>
      </c>
      <c r="K1149" s="33">
        <v>45700</v>
      </c>
      <c r="L1149" s="31"/>
      <c r="M1149" s="32"/>
      <c r="N1149" s="31"/>
      <c r="O1149" s="33">
        <v>45699</v>
      </c>
      <c r="P1149" s="34">
        <v>1293017.375</v>
      </c>
      <c r="Q1149" s="34">
        <v>1331958.625</v>
      </c>
      <c r="R1149" s="34">
        <v>1347013</v>
      </c>
      <c r="S1149" s="29" t="s">
        <v>2348</v>
      </c>
      <c r="T1149" s="33">
        <v>45446</v>
      </c>
      <c r="U1149" s="35" t="b">
        <v>0</v>
      </c>
      <c r="V1149" s="35" t="b">
        <v>0</v>
      </c>
      <c r="W1149" s="35" t="b">
        <v>0</v>
      </c>
      <c r="Y1149" s="31" cm="1">
        <f t="array" ref="Y1149">IF(LEFT(_xll.BDP($C1149, VOLUME_AVG_10D), 4) = "#N/A", "",  _xll.BDP($C1149, VOLUME_AVG_10D))</f>
        <v>1146141.75</v>
      </c>
      <c r="Z1149" s="31" cm="1">
        <f t="array" ref="Z1149">IF(LEFT(_xll.BDP($C1149, VOLUME_AVG_30D), 4) = "#N/A", "",  _xll.BDP($C1149, VOLUME_AVG_30D))</f>
        <v>1293017.375</v>
      </c>
      <c r="AA1149" s="31" cm="1">
        <f t="array" ref="AA1149">IF(LEFT(_xll.BDP($C1149, VOLUME_AVG_3M), 4) = "#N/A", "",  _xll.BDP($C1149, VOLUME_AVG_3M))</f>
        <v>1331958.625</v>
      </c>
      <c r="AB1149" s="31" cm="1">
        <f t="array" ref="AB1149">IF(LEFT(_xll.BDP($C1149, VOLUME_AVG_6M), 4) = "#N/A", "",  _xll.BDP($C1149, VOLUME_AVG_6M))</f>
        <v>1347013</v>
      </c>
      <c r="AC1149" s="31" cm="1">
        <f t="array" ref="AC1149">IF(LEFT(_xll.BDP($C1149, VOLUME_AVG_12M), 4) = "#N/A", "",  _xll.BDP($C1149, VOLUME_AVG_12M))</f>
        <v>1587086.125</v>
      </c>
      <c r="AD1149" s="41" cm="1">
        <f t="array" ref="AD1149">IF(LEFT(_xll.BDP($C1149, LAST_PRICE), 4) = "#N/A", "",  _xll.BDP($C1149, LAST_PRICE))</f>
        <v>24.3</v>
      </c>
    </row>
    <row r="1150" spans="1:30" x14ac:dyDescent="0.35">
      <c r="A1150" s="1">
        <f t="shared" si="17"/>
        <v>1147</v>
      </c>
      <c r="B1150" s="28">
        <v>45700</v>
      </c>
      <c r="C1150" s="29" t="s">
        <v>2349</v>
      </c>
      <c r="D1150" s="29" t="s">
        <v>2349</v>
      </c>
      <c r="E1150" s="29" t="s">
        <v>2350</v>
      </c>
      <c r="F1150" s="29" t="s">
        <v>33</v>
      </c>
      <c r="G1150" s="30" t="s">
        <v>34</v>
      </c>
      <c r="H1150" s="31">
        <v>329220060.659958</v>
      </c>
      <c r="I1150" s="31">
        <v>229080060.659958</v>
      </c>
      <c r="J1150" s="32">
        <v>4.6599998474121103</v>
      </c>
      <c r="K1150" s="33">
        <v>45700</v>
      </c>
      <c r="L1150" s="31">
        <v>6519500</v>
      </c>
      <c r="M1150" s="32">
        <v>3.88</v>
      </c>
      <c r="N1150" s="31" t="s">
        <v>35</v>
      </c>
      <c r="O1150" s="33">
        <v>45699</v>
      </c>
      <c r="P1150" s="34">
        <v>1070976.75</v>
      </c>
      <c r="Q1150" s="34">
        <v>1105326.625</v>
      </c>
      <c r="R1150" s="34">
        <v>1069323</v>
      </c>
      <c r="S1150" s="29"/>
      <c r="T1150" s="33"/>
      <c r="U1150" s="35" t="b">
        <v>0</v>
      </c>
      <c r="V1150" s="35" t="b">
        <v>0</v>
      </c>
      <c r="W1150" s="35" t="b">
        <v>0</v>
      </c>
      <c r="Y1150" s="31" cm="1">
        <f t="array" ref="Y1150">IF(LEFT(_xll.BDP($C1150, VOLUME_AVG_10D), 4) = "#N/A", "",  _xll.BDP($C1150, VOLUME_AVG_10D))</f>
        <v>803120.3125</v>
      </c>
      <c r="Z1150" s="31" cm="1">
        <f t="array" ref="Z1150">IF(LEFT(_xll.BDP($C1150, VOLUME_AVG_30D), 4) = "#N/A", "",  _xll.BDP($C1150, VOLUME_AVG_30D))</f>
        <v>1070976.75</v>
      </c>
      <c r="AA1150" s="31" cm="1">
        <f t="array" ref="AA1150">IF(LEFT(_xll.BDP($C1150, VOLUME_AVG_3M), 4) = "#N/A", "",  _xll.BDP($C1150, VOLUME_AVG_3M))</f>
        <v>1105326.625</v>
      </c>
      <c r="AB1150" s="31" cm="1">
        <f t="array" ref="AB1150">IF(LEFT(_xll.BDP($C1150, VOLUME_AVG_6M), 4) = "#N/A", "",  _xll.BDP($C1150, VOLUME_AVG_6M))</f>
        <v>1069323</v>
      </c>
      <c r="AC1150" s="31" cm="1">
        <f t="array" ref="AC1150">IF(LEFT(_xll.BDP($C1150, VOLUME_AVG_12M), 4) = "#N/A", "",  _xll.BDP($C1150, VOLUME_AVG_12M))</f>
        <v>842339.1875</v>
      </c>
      <c r="AD1150" s="41" cm="1">
        <f t="array" ref="AD1150">IF(LEFT(_xll.BDP($C1150, LAST_PRICE), 4) = "#N/A", "",  _xll.BDP($C1150, LAST_PRICE))</f>
        <v>4.66</v>
      </c>
    </row>
    <row r="1151" spans="1:30" x14ac:dyDescent="0.35">
      <c r="A1151" s="1">
        <f t="shared" si="17"/>
        <v>1148</v>
      </c>
      <c r="B1151" s="28">
        <v>45700</v>
      </c>
      <c r="C1151" s="29" t="s">
        <v>2351</v>
      </c>
      <c r="D1151" s="29" t="s">
        <v>2351</v>
      </c>
      <c r="E1151" s="29" t="s">
        <v>2352</v>
      </c>
      <c r="F1151" s="29" t="s">
        <v>33</v>
      </c>
      <c r="G1151" s="30" t="s">
        <v>34</v>
      </c>
      <c r="H1151" s="31">
        <v>204790244.266305</v>
      </c>
      <c r="I1151" s="31">
        <v>-58839755.733695097</v>
      </c>
      <c r="J1151" s="32">
        <v>3.0299999713897701</v>
      </c>
      <c r="K1151" s="33">
        <v>45700</v>
      </c>
      <c r="L1151" s="31">
        <v>10954100</v>
      </c>
      <c r="M1151" s="32">
        <v>3.88</v>
      </c>
      <c r="N1151" s="31" t="s">
        <v>35</v>
      </c>
      <c r="O1151" s="33">
        <v>45699</v>
      </c>
      <c r="P1151" s="34">
        <v>973201.3125</v>
      </c>
      <c r="Q1151" s="34">
        <v>1627789.75</v>
      </c>
      <c r="R1151" s="34">
        <v>1243331.75</v>
      </c>
      <c r="S1151" s="29" t="s">
        <v>46</v>
      </c>
      <c r="T1151" s="33">
        <v>45446</v>
      </c>
      <c r="U1151" s="35" t="b">
        <v>0</v>
      </c>
      <c r="V1151" s="35" t="b">
        <v>0</v>
      </c>
      <c r="W1151" s="35" t="b">
        <v>1</v>
      </c>
      <c r="Y1151" s="31" cm="1">
        <f t="array" ref="Y1151">IF(LEFT(_xll.BDP($C1151, VOLUME_AVG_10D), 4) = "#N/A", "",  _xll.BDP($C1151, VOLUME_AVG_10D))</f>
        <v>609381.6875</v>
      </c>
      <c r="Z1151" s="31" cm="1">
        <f t="array" ref="Z1151">IF(LEFT(_xll.BDP($C1151, VOLUME_AVG_30D), 4) = "#N/A", "",  _xll.BDP($C1151, VOLUME_AVG_30D))</f>
        <v>973201.3125</v>
      </c>
      <c r="AA1151" s="31" cm="1">
        <f t="array" ref="AA1151">IF(LEFT(_xll.BDP($C1151, VOLUME_AVG_3M), 4) = "#N/A", "",  _xll.BDP($C1151, VOLUME_AVG_3M))</f>
        <v>1627789.75</v>
      </c>
      <c r="AB1151" s="31" cm="1">
        <f t="array" ref="AB1151">IF(LEFT(_xll.BDP($C1151, VOLUME_AVG_6M), 4) = "#N/A", "",  _xll.BDP($C1151, VOLUME_AVG_6M))</f>
        <v>1243331.75</v>
      </c>
      <c r="AC1151" s="31" cm="1">
        <f t="array" ref="AC1151">IF(LEFT(_xll.BDP($C1151, VOLUME_AVG_12M), 4) = "#N/A", "",  _xll.BDP($C1151, VOLUME_AVG_12M))</f>
        <v>960422.25</v>
      </c>
      <c r="AD1151" s="41" cm="1">
        <f t="array" ref="AD1151">IF(LEFT(_xll.BDP($C1151, LAST_PRICE), 4) = "#N/A", "",  _xll.BDP($C1151, LAST_PRICE))</f>
        <v>3.03</v>
      </c>
    </row>
    <row r="1152" spans="1:30" x14ac:dyDescent="0.35">
      <c r="A1152" s="1">
        <f t="shared" si="17"/>
        <v>1149</v>
      </c>
      <c r="B1152" s="28">
        <v>45700</v>
      </c>
      <c r="C1152" s="29" t="s">
        <v>2353</v>
      </c>
      <c r="D1152" s="29" t="s">
        <v>2353</v>
      </c>
      <c r="E1152" s="29" t="s">
        <v>2354</v>
      </c>
      <c r="F1152" s="29" t="s">
        <v>33</v>
      </c>
      <c r="G1152" s="30" t="s">
        <v>34</v>
      </c>
      <c r="H1152" s="31">
        <v>2716569.2992799398</v>
      </c>
      <c r="I1152" s="31">
        <v>7330904.2992799403</v>
      </c>
      <c r="J1152" s="32">
        <v>0.239999994635582</v>
      </c>
      <c r="K1152" s="33">
        <v>45700</v>
      </c>
      <c r="L1152" s="31">
        <v>23000</v>
      </c>
      <c r="M1152" s="32">
        <v>-21.6</v>
      </c>
      <c r="N1152" s="31" t="s">
        <v>35</v>
      </c>
      <c r="O1152" s="33">
        <v>45699</v>
      </c>
      <c r="P1152" s="34">
        <v>1092216.75</v>
      </c>
      <c r="Q1152" s="34">
        <v>2019050</v>
      </c>
      <c r="R1152" s="34">
        <v>1076982.875</v>
      </c>
      <c r="S1152" s="29"/>
      <c r="T1152" s="33"/>
      <c r="U1152" s="35" t="b">
        <v>1</v>
      </c>
      <c r="V1152" s="35" t="b">
        <v>0</v>
      </c>
      <c r="W1152" s="35" t="b">
        <v>0</v>
      </c>
      <c r="Y1152" s="31" cm="1">
        <f t="array" ref="Y1152">IF(LEFT(_xll.BDP($C1152, VOLUME_AVG_10D), 4) = "#N/A", "",  _xll.BDP($C1152, VOLUME_AVG_10D))</f>
        <v>317043.5</v>
      </c>
      <c r="Z1152" s="31" cm="1">
        <f t="array" ref="Z1152">IF(LEFT(_xll.BDP($C1152, VOLUME_AVG_30D), 4) = "#N/A", "",  _xll.BDP($C1152, VOLUME_AVG_30D))</f>
        <v>1092216.75</v>
      </c>
      <c r="AA1152" s="31" cm="1">
        <f t="array" ref="AA1152">IF(LEFT(_xll.BDP($C1152, VOLUME_AVG_3M), 4) = "#N/A", "",  _xll.BDP($C1152, VOLUME_AVG_3M))</f>
        <v>2019050</v>
      </c>
      <c r="AB1152" s="31" cm="1">
        <f t="array" ref="AB1152">IF(LEFT(_xll.BDP($C1152, VOLUME_AVG_6M), 4) = "#N/A", "",  _xll.BDP($C1152, VOLUME_AVG_6M))</f>
        <v>1076982.875</v>
      </c>
      <c r="AC1152" s="31" cm="1">
        <f t="array" ref="AC1152">IF(LEFT(_xll.BDP($C1152, VOLUME_AVG_12M), 4) = "#N/A", "",  _xll.BDP($C1152, VOLUME_AVG_12M))</f>
        <v>842013.8125</v>
      </c>
      <c r="AD1152" s="41" cm="1">
        <f t="array" ref="AD1152">IF(LEFT(_xll.BDP($C1152, LAST_PRICE), 4) = "#N/A", "",  _xll.BDP($C1152, LAST_PRICE))</f>
        <v>0.24</v>
      </c>
    </row>
    <row r="1153" spans="1:30" x14ac:dyDescent="0.35">
      <c r="A1153" s="1">
        <f t="shared" si="17"/>
        <v>1150</v>
      </c>
      <c r="B1153" s="28">
        <v>45700</v>
      </c>
      <c r="C1153" s="29" t="s">
        <v>2355</v>
      </c>
      <c r="D1153" s="29" t="s">
        <v>2355</v>
      </c>
      <c r="E1153" s="29" t="s">
        <v>2356</v>
      </c>
      <c r="F1153" s="29" t="s">
        <v>33</v>
      </c>
      <c r="G1153" s="30" t="s">
        <v>34</v>
      </c>
      <c r="H1153" s="31">
        <v>14717159.4305315</v>
      </c>
      <c r="I1153" s="31">
        <v>15695522.4305315</v>
      </c>
      <c r="J1153" s="32">
        <v>0.71530497074127197</v>
      </c>
      <c r="K1153" s="33">
        <v>45700</v>
      </c>
      <c r="L1153" s="31">
        <v>99300</v>
      </c>
      <c r="M1153" s="32">
        <v>-4.95</v>
      </c>
      <c r="N1153" s="31" t="s">
        <v>35</v>
      </c>
      <c r="O1153" s="33">
        <v>45699</v>
      </c>
      <c r="P1153" s="34">
        <v>34752.16796875</v>
      </c>
      <c r="Q1153" s="34">
        <v>30736.40234375</v>
      </c>
      <c r="R1153" s="34">
        <v>26568.365234375</v>
      </c>
      <c r="S1153" s="29"/>
      <c r="T1153" s="33"/>
      <c r="U1153" s="35" t="b">
        <v>1</v>
      </c>
      <c r="V1153" s="35" t="b">
        <v>0</v>
      </c>
      <c r="W1153" s="35" t="b">
        <v>0</v>
      </c>
      <c r="Y1153" s="31" cm="1">
        <f t="array" ref="Y1153">IF(LEFT(_xll.BDP($C1153, VOLUME_AVG_10D), 4) = "#N/A", "",  _xll.BDP($C1153, VOLUME_AVG_10D))</f>
        <v>18887</v>
      </c>
      <c r="Z1153" s="31" cm="1">
        <f t="array" ref="Z1153">IF(LEFT(_xll.BDP($C1153, VOLUME_AVG_30D), 4) = "#N/A", "",  _xll.BDP($C1153, VOLUME_AVG_30D))</f>
        <v>34752.16796875</v>
      </c>
      <c r="AA1153" s="31" cm="1">
        <f t="array" ref="AA1153">IF(LEFT(_xll.BDP($C1153, VOLUME_AVG_3M), 4) = "#N/A", "",  _xll.BDP($C1153, VOLUME_AVG_3M))</f>
        <v>30736.40234375</v>
      </c>
      <c r="AB1153" s="31" cm="1">
        <f t="array" ref="AB1153">IF(LEFT(_xll.BDP($C1153, VOLUME_AVG_6M), 4) = "#N/A", "",  _xll.BDP($C1153, VOLUME_AVG_6M))</f>
        <v>26568.365234375</v>
      </c>
      <c r="AC1153" s="31" cm="1">
        <f t="array" ref="AC1153">IF(LEFT(_xll.BDP($C1153, VOLUME_AVG_12M), 4) = "#N/A", "",  _xll.BDP($C1153, VOLUME_AVG_12M))</f>
        <v>31497.62109375</v>
      </c>
      <c r="AD1153" s="41" cm="1">
        <f t="array" ref="AD1153">IF(LEFT(_xll.BDP($C1153, LAST_PRICE), 4) = "#N/A", "",  _xll.BDP($C1153, LAST_PRICE))</f>
        <v>0.71530499999999997</v>
      </c>
    </row>
    <row r="1154" spans="1:30" x14ac:dyDescent="0.35">
      <c r="A1154" s="1">
        <f t="shared" si="17"/>
        <v>1151</v>
      </c>
      <c r="B1154" s="28">
        <v>45700</v>
      </c>
      <c r="C1154" s="29" t="s">
        <v>2357</v>
      </c>
      <c r="D1154" s="29" t="s">
        <v>2357</v>
      </c>
      <c r="E1154" s="29" t="s">
        <v>2358</v>
      </c>
      <c r="F1154" s="29" t="s">
        <v>33</v>
      </c>
      <c r="G1154" s="30" t="s">
        <v>34</v>
      </c>
      <c r="H1154" s="31">
        <v>144338232300.237</v>
      </c>
      <c r="I1154" s="31"/>
      <c r="J1154" s="32">
        <v>25.469999313354499</v>
      </c>
      <c r="K1154" s="33">
        <v>45700</v>
      </c>
      <c r="L1154" s="31">
        <v>1324675200</v>
      </c>
      <c r="M1154" s="32">
        <v>3.88</v>
      </c>
      <c r="N1154" s="31" t="s">
        <v>35</v>
      </c>
      <c r="O1154" s="33">
        <v>45699</v>
      </c>
      <c r="P1154" s="34">
        <v>38006156</v>
      </c>
      <c r="Q1154" s="34">
        <v>43130164</v>
      </c>
      <c r="R1154" s="34">
        <v>37589180</v>
      </c>
      <c r="S1154" s="29" t="s">
        <v>660</v>
      </c>
      <c r="T1154" s="33">
        <v>45446</v>
      </c>
      <c r="U1154" s="35" t="b">
        <v>0</v>
      </c>
      <c r="V1154" s="35" t="b">
        <v>0</v>
      </c>
      <c r="W1154" s="35" t="b">
        <v>1</v>
      </c>
      <c r="Y1154" s="31" cm="1">
        <f t="array" ref="Y1154">IF(LEFT(_xll.BDP($C1154, VOLUME_AVG_10D), 4) = "#N/A", "",  _xll.BDP($C1154, VOLUME_AVG_10D))</f>
        <v>43076808</v>
      </c>
      <c r="Z1154" s="31" cm="1">
        <f t="array" ref="Z1154">IF(LEFT(_xll.BDP($C1154, VOLUME_AVG_30D), 4) = "#N/A", "",  _xll.BDP($C1154, VOLUME_AVG_30D))</f>
        <v>38006156</v>
      </c>
      <c r="AA1154" s="31" cm="1">
        <f t="array" ref="AA1154">IF(LEFT(_xll.BDP($C1154, VOLUME_AVG_3M), 4) = "#N/A", "",  _xll.BDP($C1154, VOLUME_AVG_3M))</f>
        <v>43130164</v>
      </c>
      <c r="AB1154" s="31" cm="1">
        <f t="array" ref="AB1154">IF(LEFT(_xll.BDP($C1154, VOLUME_AVG_6M), 4) = "#N/A", "",  _xll.BDP($C1154, VOLUME_AVG_6M))</f>
        <v>37589180</v>
      </c>
      <c r="AC1154" s="31" cm="1">
        <f t="array" ref="AC1154">IF(LEFT(_xll.BDP($C1154, VOLUME_AVG_12M), 4) = "#N/A", "",  _xll.BDP($C1154, VOLUME_AVG_12M))</f>
        <v>38074196</v>
      </c>
      <c r="AD1154" s="41" cm="1">
        <f t="array" ref="AD1154">IF(LEFT(_xll.BDP($C1154, LAST_PRICE), 4) = "#N/A", "",  _xll.BDP($C1154, LAST_PRICE))</f>
        <v>25.47</v>
      </c>
    </row>
    <row r="1155" spans="1:30" x14ac:dyDescent="0.35">
      <c r="A1155" s="1">
        <f t="shared" si="17"/>
        <v>1152</v>
      </c>
      <c r="B1155" s="28">
        <v>45700</v>
      </c>
      <c r="C1155" s="29" t="s">
        <v>2359</v>
      </c>
      <c r="D1155" s="29" t="s">
        <v>2359</v>
      </c>
      <c r="E1155" s="29" t="s">
        <v>2360</v>
      </c>
      <c r="F1155" s="29" t="s">
        <v>33</v>
      </c>
      <c r="G1155" s="30" t="s">
        <v>34</v>
      </c>
      <c r="H1155" s="31">
        <v>13292764.709421599</v>
      </c>
      <c r="I1155" s="31">
        <v>741339.70942163304</v>
      </c>
      <c r="J1155" s="32">
        <v>0.57899999618530296</v>
      </c>
      <c r="K1155" s="33">
        <v>45700</v>
      </c>
      <c r="L1155" s="31">
        <v>16600</v>
      </c>
      <c r="M1155" s="32">
        <v>3.3</v>
      </c>
      <c r="N1155" s="31" t="s">
        <v>35</v>
      </c>
      <c r="O1155" s="33">
        <v>45699</v>
      </c>
      <c r="P1155" s="34">
        <v>10577.1337890625</v>
      </c>
      <c r="Q1155" s="34">
        <v>6676.25830078125</v>
      </c>
      <c r="R1155" s="34">
        <v>3851.126953125</v>
      </c>
      <c r="S1155" s="29"/>
      <c r="T1155" s="33"/>
      <c r="U1155" s="35" t="b">
        <v>1</v>
      </c>
      <c r="V1155" s="35" t="b">
        <v>0</v>
      </c>
      <c r="W1155" s="35" t="b">
        <v>0</v>
      </c>
      <c r="Y1155" s="31" cm="1">
        <f t="array" ref="Y1155">IF(LEFT(_xll.BDP($C1155, VOLUME_AVG_10D), 4) = "#N/A", "",  _xll.BDP($C1155, VOLUME_AVG_10D))</f>
        <v>26861.5</v>
      </c>
      <c r="Z1155" s="31" cm="1">
        <f t="array" ref="Z1155">IF(LEFT(_xll.BDP($C1155, VOLUME_AVG_30D), 4) = "#N/A", "",  _xll.BDP($C1155, VOLUME_AVG_30D))</f>
        <v>10577.1337890625</v>
      </c>
      <c r="AA1155" s="31" cm="1">
        <f t="array" ref="AA1155">IF(LEFT(_xll.BDP($C1155, VOLUME_AVG_3M), 4) = "#N/A", "",  _xll.BDP($C1155, VOLUME_AVG_3M))</f>
        <v>6676.25830078125</v>
      </c>
      <c r="AB1155" s="31" cm="1">
        <f t="array" ref="AB1155">IF(LEFT(_xll.BDP($C1155, VOLUME_AVG_6M), 4) = "#N/A", "",  _xll.BDP($C1155, VOLUME_AVG_6M))</f>
        <v>3851.126953125</v>
      </c>
      <c r="AC1155" s="31" cm="1">
        <f t="array" ref="AC1155">IF(LEFT(_xll.BDP($C1155, VOLUME_AVG_12M), 4) = "#N/A", "",  _xll.BDP($C1155, VOLUME_AVG_12M))</f>
        <v>2823.585693359375</v>
      </c>
      <c r="AD1155" s="41" cm="1">
        <f t="array" ref="AD1155">IF(LEFT(_xll.BDP($C1155, LAST_PRICE), 4) = "#N/A", "",  _xll.BDP($C1155, LAST_PRICE))</f>
        <v>0.57899999999999996</v>
      </c>
    </row>
    <row r="1156" spans="1:30" x14ac:dyDescent="0.35">
      <c r="A1156" s="1">
        <f t="shared" si="17"/>
        <v>1153</v>
      </c>
      <c r="B1156" s="28">
        <v>45700</v>
      </c>
      <c r="C1156" s="29" t="s">
        <v>2361</v>
      </c>
      <c r="D1156" s="29" t="s">
        <v>2361</v>
      </c>
      <c r="E1156" s="29" t="s">
        <v>2362</v>
      </c>
      <c r="F1156" s="29" t="s">
        <v>40</v>
      </c>
      <c r="G1156" s="30" t="s">
        <v>41</v>
      </c>
      <c r="H1156" s="31">
        <v>14057971.925779801</v>
      </c>
      <c r="I1156" s="31">
        <v>20867350.925779801</v>
      </c>
      <c r="J1156" s="32">
        <v>7.9999998211860698E-2</v>
      </c>
      <c r="K1156" s="33">
        <v>45700</v>
      </c>
      <c r="L1156" s="31">
        <v>127100</v>
      </c>
      <c r="M1156" s="32">
        <v>-1.7</v>
      </c>
      <c r="N1156" s="31" t="s">
        <v>35</v>
      </c>
      <c r="O1156" s="33">
        <v>45699</v>
      </c>
      <c r="P1156" s="34">
        <v>80863.600000000006</v>
      </c>
      <c r="Q1156" s="34">
        <v>230116.5</v>
      </c>
      <c r="R1156" s="34">
        <v>311251.40000000002</v>
      </c>
      <c r="S1156" s="29"/>
      <c r="T1156" s="33"/>
      <c r="U1156" s="35" t="b">
        <v>1</v>
      </c>
      <c r="V1156" s="35" t="b">
        <v>1</v>
      </c>
      <c r="W1156" s="35" t="b">
        <v>0</v>
      </c>
      <c r="Y1156" s="31" cm="1">
        <f t="array" ref="Y1156">IF(LEFT(_xll.BDP($C1156, VOLUME_AVG_10D), 4) = "#N/A", "",  _xll.BDP($C1156, VOLUME_AVG_10D))</f>
        <v>72242.100000000006</v>
      </c>
      <c r="Z1156" s="31" cm="1">
        <f t="array" ref="Z1156">IF(LEFT(_xll.BDP($C1156, VOLUME_AVG_30D), 4) = "#N/A", "",  _xll.BDP($C1156, VOLUME_AVG_30D))</f>
        <v>80863.600000000006</v>
      </c>
      <c r="AA1156" s="31" cm="1">
        <f t="array" ref="AA1156">IF(LEFT(_xll.BDP($C1156, VOLUME_AVG_3M), 4) = "#N/A", "",  _xll.BDP($C1156, VOLUME_AVG_3M))</f>
        <v>230116.5</v>
      </c>
      <c r="AB1156" s="31" cm="1">
        <f t="array" ref="AB1156">IF(LEFT(_xll.BDP($C1156, VOLUME_AVG_6M), 4) = "#N/A", "",  _xll.BDP($C1156, VOLUME_AVG_6M))</f>
        <v>311251.40000000002</v>
      </c>
      <c r="AC1156" s="31" cm="1">
        <f t="array" ref="AC1156">IF(LEFT(_xll.BDP($C1156, VOLUME_AVG_12M), 4) = "#N/A", "",  _xll.BDP($C1156, VOLUME_AVG_12M))</f>
        <v>257656.1</v>
      </c>
      <c r="AD1156" s="41" cm="1">
        <f t="array" ref="AD1156">IF(LEFT(_xll.BDP($C1156, LAST_PRICE), 4) = "#N/A", "",  _xll.BDP($C1156, LAST_PRICE))</f>
        <v>0.08</v>
      </c>
    </row>
    <row r="1157" spans="1:30" x14ac:dyDescent="0.35">
      <c r="A1157" s="1">
        <f t="shared" si="17"/>
        <v>1154</v>
      </c>
      <c r="B1157" s="28">
        <v>45700</v>
      </c>
      <c r="C1157" s="29" t="s">
        <v>2363</v>
      </c>
      <c r="D1157" s="29" t="s">
        <v>2363</v>
      </c>
      <c r="E1157" s="29" t="s">
        <v>2364</v>
      </c>
      <c r="F1157" s="29" t="s">
        <v>33</v>
      </c>
      <c r="G1157" s="30" t="s">
        <v>34</v>
      </c>
      <c r="H1157" s="31"/>
      <c r="I1157" s="31"/>
      <c r="J1157" s="32"/>
      <c r="K1157" s="33">
        <v>45700</v>
      </c>
      <c r="L1157" s="31"/>
      <c r="M1157" s="32"/>
      <c r="N1157" s="31"/>
      <c r="O1157" s="33">
        <v>45699</v>
      </c>
      <c r="P1157" s="34">
        <v>916666.625</v>
      </c>
      <c r="Q1157" s="34">
        <v>922644.1875</v>
      </c>
      <c r="R1157" s="34">
        <v>884223.125</v>
      </c>
      <c r="S1157" s="29"/>
      <c r="T1157" s="33"/>
      <c r="U1157" s="35" t="b">
        <v>1</v>
      </c>
      <c r="V1157" s="35" t="b">
        <v>1</v>
      </c>
      <c r="W1157" s="35" t="b">
        <v>1</v>
      </c>
      <c r="Y1157" s="31" cm="1">
        <f t="array" ref="Y1157">IF(LEFT(_xll.BDP($C1157, VOLUME_AVG_10D), 4) = "#N/A", "",  _xll.BDP($C1157, VOLUME_AVG_10D))</f>
        <v>0</v>
      </c>
      <c r="Z1157" s="31" cm="1">
        <f t="array" ref="Z1157">IF(LEFT(_xll.BDP($C1157, VOLUME_AVG_30D), 4) = "#N/A", "",  _xll.BDP($C1157, VOLUME_AVG_30D))</f>
        <v>916666.625</v>
      </c>
      <c r="AA1157" s="31" cm="1">
        <f t="array" ref="AA1157">IF(LEFT(_xll.BDP($C1157, VOLUME_AVG_3M), 4) = "#N/A", "",  _xll.BDP($C1157, VOLUME_AVG_3M))</f>
        <v>922644.1875</v>
      </c>
      <c r="AB1157" s="31" cm="1">
        <f t="array" ref="AB1157">IF(LEFT(_xll.BDP($C1157, VOLUME_AVG_6M), 4) = "#N/A", "",  _xll.BDP($C1157, VOLUME_AVG_6M))</f>
        <v>884223.125</v>
      </c>
      <c r="AC1157" s="31" cm="1">
        <f t="array" ref="AC1157">IF(LEFT(_xll.BDP($C1157, VOLUME_AVG_12M), 4) = "#N/A", "",  _xll.BDP($C1157, VOLUME_AVG_12M))</f>
        <v>822853.0625</v>
      </c>
      <c r="AD1157" s="41" cm="1">
        <f t="array" ref="AD1157">IF(LEFT(_xll.BDP($C1157, LAST_PRICE), 4) = "#N/A", "",  _xll.BDP($C1157, LAST_PRICE))</f>
        <v>9.9999999999999995E-7</v>
      </c>
    </row>
    <row r="1158" spans="1:30" x14ac:dyDescent="0.35">
      <c r="A1158" s="1">
        <f t="shared" ref="A1158:A1221" si="18">IF(B1158="","", A1157+1)</f>
        <v>1155</v>
      </c>
      <c r="B1158" s="28">
        <v>45700</v>
      </c>
      <c r="C1158" s="29" t="s">
        <v>2365</v>
      </c>
      <c r="D1158" s="29" t="s">
        <v>2365</v>
      </c>
      <c r="E1158" s="29" t="s">
        <v>2366</v>
      </c>
      <c r="F1158" s="29" t="s">
        <v>33</v>
      </c>
      <c r="G1158" s="30" t="s">
        <v>34</v>
      </c>
      <c r="H1158" s="31">
        <v>11218695.839679999</v>
      </c>
      <c r="I1158" s="31">
        <v>-9621360.1603200398</v>
      </c>
      <c r="J1158" s="32">
        <v>1.6100000143051101</v>
      </c>
      <c r="K1158" s="33">
        <v>45700</v>
      </c>
      <c r="L1158" s="31">
        <v>475600</v>
      </c>
      <c r="M1158" s="32">
        <v>3.5</v>
      </c>
      <c r="N1158" s="31" t="s">
        <v>35</v>
      </c>
      <c r="O1158" s="33">
        <v>45699</v>
      </c>
      <c r="P1158" s="34">
        <v>18187.5</v>
      </c>
      <c r="Q1158" s="34">
        <v>16392.208984375</v>
      </c>
      <c r="R1158" s="34">
        <v>25772.318359375</v>
      </c>
      <c r="S1158" s="29" t="s">
        <v>1273</v>
      </c>
      <c r="T1158" s="33">
        <v>45215</v>
      </c>
      <c r="U1158" s="35" t="b">
        <v>1</v>
      </c>
      <c r="V1158" s="35" t="b">
        <v>0</v>
      </c>
      <c r="W1158" s="35" t="b">
        <v>1</v>
      </c>
      <c r="Y1158" s="31" cm="1">
        <f t="array" ref="Y1158">IF(LEFT(_xll.BDP($C1158, VOLUME_AVG_10D), 4) = "#N/A", "",  _xll.BDP($C1158, VOLUME_AVG_10D))</f>
        <v>24861.80078125</v>
      </c>
      <c r="Z1158" s="31" cm="1">
        <f t="array" ref="Z1158">IF(LEFT(_xll.BDP($C1158, VOLUME_AVG_30D), 4) = "#N/A", "",  _xll.BDP($C1158, VOLUME_AVG_30D))</f>
        <v>18187.5</v>
      </c>
      <c r="AA1158" s="31" cm="1">
        <f t="array" ref="AA1158">IF(LEFT(_xll.BDP($C1158, VOLUME_AVG_3M), 4) = "#N/A", "",  _xll.BDP($C1158, VOLUME_AVG_3M))</f>
        <v>16392.208984375</v>
      </c>
      <c r="AB1158" s="31" cm="1">
        <f t="array" ref="AB1158">IF(LEFT(_xll.BDP($C1158, VOLUME_AVG_6M), 4) = "#N/A", "",  _xll.BDP($C1158, VOLUME_AVG_6M))</f>
        <v>25772.318359375</v>
      </c>
      <c r="AC1158" s="31" cm="1">
        <f t="array" ref="AC1158">IF(LEFT(_xll.BDP($C1158, VOLUME_AVG_12M), 4) = "#N/A", "",  _xll.BDP($C1158, VOLUME_AVG_12M))</f>
        <v>23825.59375</v>
      </c>
      <c r="AD1158" s="41" cm="1">
        <f t="array" ref="AD1158">IF(LEFT(_xll.BDP($C1158, LAST_PRICE), 4) = "#N/A", "",  _xll.BDP($C1158, LAST_PRICE))</f>
        <v>1.61</v>
      </c>
    </row>
    <row r="1159" spans="1:30" x14ac:dyDescent="0.35">
      <c r="A1159" s="1">
        <f t="shared" si="18"/>
        <v>1156</v>
      </c>
      <c r="B1159" s="28">
        <v>45700</v>
      </c>
      <c r="C1159" s="29" t="s">
        <v>2367</v>
      </c>
      <c r="D1159" s="29" t="s">
        <v>2367</v>
      </c>
      <c r="E1159" s="29" t="s">
        <v>2368</v>
      </c>
      <c r="F1159" s="29" t="s">
        <v>33</v>
      </c>
      <c r="G1159" s="30" t="s">
        <v>34</v>
      </c>
      <c r="H1159" s="31">
        <v>5170.7594093756297</v>
      </c>
      <c r="I1159" s="31">
        <v>3189537.7594093801</v>
      </c>
      <c r="J1159" s="32">
        <v>9.9999999747524292E-7</v>
      </c>
      <c r="K1159" s="33">
        <v>45700</v>
      </c>
      <c r="L1159" s="31"/>
      <c r="M1159" s="32"/>
      <c r="N1159" s="31"/>
      <c r="O1159" s="33">
        <v>45699</v>
      </c>
      <c r="P1159" s="34">
        <v>70763.6640625</v>
      </c>
      <c r="Q1159" s="34">
        <v>233008.6875</v>
      </c>
      <c r="R1159" s="34">
        <v>115873.859375</v>
      </c>
      <c r="S1159" s="29"/>
      <c r="T1159" s="33"/>
      <c r="U1159" s="35" t="b">
        <v>1</v>
      </c>
      <c r="V1159" s="35" t="b">
        <v>1</v>
      </c>
      <c r="W1159" s="35" t="b">
        <v>0</v>
      </c>
      <c r="Y1159" s="31" cm="1">
        <f t="array" ref="Y1159">IF(LEFT(_xll.BDP($C1159, VOLUME_AVG_10D), 4) = "#N/A", "",  _xll.BDP($C1159, VOLUME_AVG_10D))</f>
        <v>82829.3984375</v>
      </c>
      <c r="Z1159" s="31" cm="1">
        <f t="array" ref="Z1159">IF(LEFT(_xll.BDP($C1159, VOLUME_AVG_30D), 4) = "#N/A", "",  _xll.BDP($C1159, VOLUME_AVG_30D))</f>
        <v>70763.6640625</v>
      </c>
      <c r="AA1159" s="31" cm="1">
        <f t="array" ref="AA1159">IF(LEFT(_xll.BDP($C1159, VOLUME_AVG_3M), 4) = "#N/A", "",  _xll.BDP($C1159, VOLUME_AVG_3M))</f>
        <v>233008.6875</v>
      </c>
      <c r="AB1159" s="31" cm="1">
        <f t="array" ref="AB1159">IF(LEFT(_xll.BDP($C1159, VOLUME_AVG_6M), 4) = "#N/A", "",  _xll.BDP($C1159, VOLUME_AVG_6M))</f>
        <v>115873.859375</v>
      </c>
      <c r="AC1159" s="31" cm="1">
        <f t="array" ref="AC1159">IF(LEFT(_xll.BDP($C1159, VOLUME_AVG_12M), 4) = "#N/A", "",  _xll.BDP($C1159, VOLUME_AVG_12M))</f>
        <v>58539.4375</v>
      </c>
      <c r="AD1159" s="41" cm="1">
        <f t="array" ref="AD1159">IF(LEFT(_xll.BDP($C1159, LAST_PRICE), 4) = "#N/A", "",  _xll.BDP($C1159, LAST_PRICE))</f>
        <v>9.9999999999999995E-7</v>
      </c>
    </row>
    <row r="1160" spans="1:30" x14ac:dyDescent="0.35">
      <c r="A1160" s="1">
        <f t="shared" si="18"/>
        <v>1157</v>
      </c>
      <c r="B1160" s="28">
        <v>45700</v>
      </c>
      <c r="C1160" s="29" t="s">
        <v>2369</v>
      </c>
      <c r="D1160" s="29" t="s">
        <v>2369</v>
      </c>
      <c r="E1160" s="29" t="s">
        <v>2370</v>
      </c>
      <c r="F1160" s="29" t="s">
        <v>33</v>
      </c>
      <c r="G1160" s="30" t="s">
        <v>34</v>
      </c>
      <c r="H1160" s="31">
        <v>852483.65860193002</v>
      </c>
      <c r="I1160" s="31">
        <v>1199941.6586019299</v>
      </c>
      <c r="J1160" s="32">
        <v>1.70000002253801E-3</v>
      </c>
      <c r="K1160" s="33">
        <v>45700</v>
      </c>
      <c r="L1160" s="31"/>
      <c r="M1160" s="32"/>
      <c r="N1160" s="31"/>
      <c r="O1160" s="33">
        <v>45699</v>
      </c>
      <c r="P1160" s="34">
        <v>4607000</v>
      </c>
      <c r="Q1160" s="34">
        <v>2932778</v>
      </c>
      <c r="R1160" s="34">
        <v>4880861</v>
      </c>
      <c r="S1160" s="29"/>
      <c r="T1160" s="33"/>
      <c r="U1160" s="35" t="b">
        <v>1</v>
      </c>
      <c r="V1160" s="35" t="b">
        <v>1</v>
      </c>
      <c r="W1160" s="35" t="b">
        <v>0</v>
      </c>
      <c r="Y1160" s="31" cm="1">
        <f t="array" ref="Y1160">IF(LEFT(_xll.BDP($C1160, VOLUME_AVG_10D), 4) = "#N/A", "",  _xll.BDP($C1160, VOLUME_AVG_10D))</f>
        <v>4832421.5</v>
      </c>
      <c r="Z1160" s="31" cm="1">
        <f t="array" ref="Z1160">IF(LEFT(_xll.BDP($C1160, VOLUME_AVG_30D), 4) = "#N/A", "",  _xll.BDP($C1160, VOLUME_AVG_30D))</f>
        <v>4607000</v>
      </c>
      <c r="AA1160" s="31" cm="1">
        <f t="array" ref="AA1160">IF(LEFT(_xll.BDP($C1160, VOLUME_AVG_3M), 4) = "#N/A", "",  _xll.BDP($C1160, VOLUME_AVG_3M))</f>
        <v>2932778</v>
      </c>
      <c r="AB1160" s="31" cm="1">
        <f t="array" ref="AB1160">IF(LEFT(_xll.BDP($C1160, VOLUME_AVG_6M), 4) = "#N/A", "",  _xll.BDP($C1160, VOLUME_AVG_6M))</f>
        <v>4880861</v>
      </c>
      <c r="AC1160" s="31" cm="1">
        <f t="array" ref="AC1160">IF(LEFT(_xll.BDP($C1160, VOLUME_AVG_12M), 4) = "#N/A", "",  _xll.BDP($C1160, VOLUME_AVG_12M))</f>
        <v>3093605.75</v>
      </c>
      <c r="AD1160" s="41" cm="1">
        <f t="array" ref="AD1160">IF(LEFT(_xll.BDP($C1160, LAST_PRICE), 4) = "#N/A", "",  _xll.BDP($C1160, LAST_PRICE))</f>
        <v>1.6999999999999999E-3</v>
      </c>
    </row>
    <row r="1161" spans="1:30" x14ac:dyDescent="0.35">
      <c r="A1161" s="1">
        <f t="shared" si="18"/>
        <v>1158</v>
      </c>
      <c r="B1161" s="28">
        <v>45700</v>
      </c>
      <c r="C1161" s="29" t="s">
        <v>2371</v>
      </c>
      <c r="D1161" s="29" t="s">
        <v>2371</v>
      </c>
      <c r="E1161" s="29" t="s">
        <v>2372</v>
      </c>
      <c r="F1161" s="29" t="s">
        <v>33</v>
      </c>
      <c r="G1161" s="30" t="s">
        <v>34</v>
      </c>
      <c r="H1161" s="31">
        <v>955936525.90461302</v>
      </c>
      <c r="I1161" s="31">
        <v>611801355.84604704</v>
      </c>
      <c r="J1161" s="32">
        <v>17.700000762939499</v>
      </c>
      <c r="K1161" s="33">
        <v>45700</v>
      </c>
      <c r="L1161" s="31"/>
      <c r="M1161" s="32"/>
      <c r="N1161" s="31"/>
      <c r="O1161" s="33">
        <v>45699</v>
      </c>
      <c r="P1161" s="34">
        <v>46409.56640625</v>
      </c>
      <c r="Q1161" s="34">
        <v>64889.7578125</v>
      </c>
      <c r="R1161" s="34">
        <v>86182.6796875</v>
      </c>
      <c r="S1161" s="29" t="s">
        <v>177</v>
      </c>
      <c r="T1161" s="33">
        <v>45215</v>
      </c>
      <c r="U1161" s="35" t="b">
        <v>0</v>
      </c>
      <c r="V1161" s="35" t="b">
        <v>0</v>
      </c>
      <c r="W1161" s="35" t="b">
        <v>0</v>
      </c>
      <c r="Y1161" s="31" cm="1">
        <f t="array" ref="Y1161">IF(LEFT(_xll.BDP($C1161, VOLUME_AVG_10D), 4) = "#N/A", "",  _xll.BDP($C1161, VOLUME_AVG_10D))</f>
        <v>36254.8984375</v>
      </c>
      <c r="Z1161" s="31" cm="1">
        <f t="array" ref="Z1161">IF(LEFT(_xll.BDP($C1161, VOLUME_AVG_30D), 4) = "#N/A", "",  _xll.BDP($C1161, VOLUME_AVG_30D))</f>
        <v>46409.56640625</v>
      </c>
      <c r="AA1161" s="31" cm="1">
        <f t="array" ref="AA1161">IF(LEFT(_xll.BDP($C1161, VOLUME_AVG_3M), 4) = "#N/A", "",  _xll.BDP($C1161, VOLUME_AVG_3M))</f>
        <v>64889.7578125</v>
      </c>
      <c r="AB1161" s="31" cm="1">
        <f t="array" ref="AB1161">IF(LEFT(_xll.BDP($C1161, VOLUME_AVG_6M), 4) = "#N/A", "",  _xll.BDP($C1161, VOLUME_AVG_6M))</f>
        <v>86182.6796875</v>
      </c>
      <c r="AC1161" s="31" cm="1">
        <f t="array" ref="AC1161">IF(LEFT(_xll.BDP($C1161, VOLUME_AVG_12M), 4) = "#N/A", "",  _xll.BDP($C1161, VOLUME_AVG_12M))</f>
        <v>77854.3125</v>
      </c>
      <c r="AD1161" s="41" cm="1">
        <f t="array" ref="AD1161">IF(LEFT(_xll.BDP($C1161, LAST_PRICE), 4) = "#N/A", "",  _xll.BDP($C1161, LAST_PRICE))</f>
        <v>17.7</v>
      </c>
    </row>
    <row r="1162" spans="1:30" x14ac:dyDescent="0.35">
      <c r="A1162" s="1">
        <f t="shared" si="18"/>
        <v>1159</v>
      </c>
      <c r="B1162" s="28">
        <v>45700</v>
      </c>
      <c r="C1162" s="29" t="s">
        <v>2373</v>
      </c>
      <c r="D1162" s="29" t="s">
        <v>2373</v>
      </c>
      <c r="E1162" s="29" t="s">
        <v>2374</v>
      </c>
      <c r="F1162" s="29" t="s">
        <v>33</v>
      </c>
      <c r="G1162" s="30" t="s">
        <v>34</v>
      </c>
      <c r="H1162" s="31">
        <v>374708038.224195</v>
      </c>
      <c r="I1162" s="31">
        <v>236633038.224195</v>
      </c>
      <c r="J1162" s="32">
        <v>5.4800000190734899</v>
      </c>
      <c r="K1162" s="33">
        <v>45700</v>
      </c>
      <c r="L1162" s="31">
        <v>6819000</v>
      </c>
      <c r="M1162" s="32">
        <v>3.75</v>
      </c>
      <c r="N1162" s="31" t="s">
        <v>35</v>
      </c>
      <c r="O1162" s="33">
        <v>45699</v>
      </c>
      <c r="P1162" s="34">
        <v>1010951.625</v>
      </c>
      <c r="Q1162" s="34">
        <v>1304634.875</v>
      </c>
      <c r="R1162" s="34">
        <v>1159115.5</v>
      </c>
      <c r="S1162" s="29"/>
      <c r="T1162" s="33"/>
      <c r="U1162" s="35" t="b">
        <v>0</v>
      </c>
      <c r="V1162" s="35" t="b">
        <v>0</v>
      </c>
      <c r="W1162" s="35" t="b">
        <v>0</v>
      </c>
      <c r="Y1162" s="31" cm="1">
        <f t="array" ref="Y1162">IF(LEFT(_xll.BDP($C1162, VOLUME_AVG_10D), 4) = "#N/A", "",  _xll.BDP($C1162, VOLUME_AVG_10D))</f>
        <v>1116380.25</v>
      </c>
      <c r="Z1162" s="31" cm="1">
        <f t="array" ref="Z1162">IF(LEFT(_xll.BDP($C1162, VOLUME_AVG_30D), 4) = "#N/A", "",  _xll.BDP($C1162, VOLUME_AVG_30D))</f>
        <v>1010951.625</v>
      </c>
      <c r="AA1162" s="31" cm="1">
        <f t="array" ref="AA1162">IF(LEFT(_xll.BDP($C1162, VOLUME_AVG_3M), 4) = "#N/A", "",  _xll.BDP($C1162, VOLUME_AVG_3M))</f>
        <v>1304634.875</v>
      </c>
      <c r="AB1162" s="31" cm="1">
        <f t="array" ref="AB1162">IF(LEFT(_xll.BDP($C1162, VOLUME_AVG_6M), 4) = "#N/A", "",  _xll.BDP($C1162, VOLUME_AVG_6M))</f>
        <v>1159115.5</v>
      </c>
      <c r="AC1162" s="31" cm="1">
        <f t="array" ref="AC1162">IF(LEFT(_xll.BDP($C1162, VOLUME_AVG_12M), 4) = "#N/A", "",  _xll.BDP($C1162, VOLUME_AVG_12M))</f>
        <v>963112.75</v>
      </c>
      <c r="AD1162" s="41" cm="1">
        <f t="array" ref="AD1162">IF(LEFT(_xll.BDP($C1162, LAST_PRICE), 4) = "#N/A", "",  _xll.BDP($C1162, LAST_PRICE))</f>
        <v>5.48</v>
      </c>
    </row>
    <row r="1163" spans="1:30" x14ac:dyDescent="0.35">
      <c r="A1163" s="1">
        <f t="shared" si="18"/>
        <v>1160</v>
      </c>
      <c r="B1163" s="28">
        <v>45700</v>
      </c>
      <c r="C1163" s="29" t="s">
        <v>2375</v>
      </c>
      <c r="D1163" s="29" t="s">
        <v>2375</v>
      </c>
      <c r="E1163" s="29" t="s">
        <v>2376</v>
      </c>
      <c r="F1163" s="29" t="s">
        <v>33</v>
      </c>
      <c r="G1163" s="30" t="s">
        <v>34</v>
      </c>
      <c r="H1163" s="31">
        <v>18692879.435062401</v>
      </c>
      <c r="I1163" s="31">
        <v>18838917.435062401</v>
      </c>
      <c r="J1163" s="32">
        <v>2.8399999141693102</v>
      </c>
      <c r="K1163" s="33">
        <v>45700</v>
      </c>
      <c r="L1163" s="31"/>
      <c r="M1163" s="32"/>
      <c r="N1163" s="31"/>
      <c r="O1163" s="33">
        <v>45699</v>
      </c>
      <c r="P1163" s="34">
        <v>44291.16796875</v>
      </c>
      <c r="Q1163" s="34">
        <v>57099.7734375</v>
      </c>
      <c r="R1163" s="34"/>
      <c r="S1163" s="29"/>
      <c r="T1163" s="33"/>
      <c r="U1163" s="35" t="b">
        <v>1</v>
      </c>
      <c r="V1163" s="35" t="b">
        <v>0</v>
      </c>
      <c r="W1163" s="35" t="b">
        <v>0</v>
      </c>
      <c r="Y1163" s="31" cm="1">
        <f t="array" ref="Y1163">IF(LEFT(_xll.BDP($C1163, VOLUME_AVG_10D), 4) = "#N/A", "",  _xll.BDP($C1163, VOLUME_AVG_10D))</f>
        <v>33172.3984375</v>
      </c>
      <c r="Z1163" s="31" cm="1">
        <f t="array" ref="Z1163">IF(LEFT(_xll.BDP($C1163, VOLUME_AVG_30D), 4) = "#N/A", "",  _xll.BDP($C1163, VOLUME_AVG_30D))</f>
        <v>44291.16796875</v>
      </c>
      <c r="AA1163" s="31" cm="1">
        <f t="array" ref="AA1163">IF(LEFT(_xll.BDP($C1163, VOLUME_AVG_3M), 4) = "#N/A", "",  _xll.BDP($C1163, VOLUME_AVG_3M))</f>
        <v>57099.7734375</v>
      </c>
      <c r="AB1163" s="31" t="str" cm="1">
        <f t="array" ref="AB1163">IF(LEFT(_xll.BDP($C1163, VOLUME_AVG_6M), 4) = "#N/A", "",  _xll.BDP($C1163, VOLUME_AVG_6M))</f>
        <v/>
      </c>
      <c r="AC1163" s="31" t="str" cm="1">
        <f t="array" ref="AC1163">IF(LEFT(_xll.BDP($C1163, VOLUME_AVG_12M), 4) = "#N/A", "",  _xll.BDP($C1163, VOLUME_AVG_12M))</f>
        <v/>
      </c>
      <c r="AD1163" s="41" cm="1">
        <f t="array" ref="AD1163">IF(LEFT(_xll.BDP($C1163, LAST_PRICE), 4) = "#N/A", "",  _xll.BDP($C1163, LAST_PRICE))</f>
        <v>2.84</v>
      </c>
    </row>
    <row r="1164" spans="1:30" x14ac:dyDescent="0.35">
      <c r="A1164" s="1">
        <f t="shared" si="18"/>
        <v>1161</v>
      </c>
      <c r="B1164" s="28">
        <v>45700</v>
      </c>
      <c r="C1164" s="29" t="s">
        <v>2377</v>
      </c>
      <c r="D1164" s="29" t="s">
        <v>2377</v>
      </c>
      <c r="E1164" s="29" t="s">
        <v>2378</v>
      </c>
      <c r="F1164" s="29" t="s">
        <v>33</v>
      </c>
      <c r="G1164" s="30" t="s">
        <v>34</v>
      </c>
      <c r="H1164" s="31">
        <v>996388772.25090003</v>
      </c>
      <c r="I1164" s="31">
        <v>1718778772.2509</v>
      </c>
      <c r="J1164" s="32">
        <v>24.600000381469702</v>
      </c>
      <c r="K1164" s="33">
        <v>45700</v>
      </c>
      <c r="L1164" s="31">
        <v>6620200</v>
      </c>
      <c r="M1164" s="32">
        <v>3.88</v>
      </c>
      <c r="N1164" s="31" t="s">
        <v>35</v>
      </c>
      <c r="O1164" s="33">
        <v>45699</v>
      </c>
      <c r="P1164" s="34">
        <v>192781.5625</v>
      </c>
      <c r="Q1164" s="34">
        <v>193295.203125</v>
      </c>
      <c r="R1164" s="34">
        <v>192744.828125</v>
      </c>
      <c r="S1164" s="29" t="s">
        <v>1125</v>
      </c>
      <c r="T1164" s="33">
        <v>45446</v>
      </c>
      <c r="U1164" s="35" t="b">
        <v>0</v>
      </c>
      <c r="V1164" s="35" t="b">
        <v>0</v>
      </c>
      <c r="W1164" s="35" t="b">
        <v>0</v>
      </c>
      <c r="Y1164" s="31" cm="1">
        <f t="array" ref="Y1164">IF(LEFT(_xll.BDP($C1164, VOLUME_AVG_10D), 4) = "#N/A", "",  _xll.BDP($C1164, VOLUME_AVG_10D))</f>
        <v>276250</v>
      </c>
      <c r="Z1164" s="31" cm="1">
        <f t="array" ref="Z1164">IF(LEFT(_xll.BDP($C1164, VOLUME_AVG_30D), 4) = "#N/A", "",  _xll.BDP($C1164, VOLUME_AVG_30D))</f>
        <v>192781.5625</v>
      </c>
      <c r="AA1164" s="31" cm="1">
        <f t="array" ref="AA1164">IF(LEFT(_xll.BDP($C1164, VOLUME_AVG_3M), 4) = "#N/A", "",  _xll.BDP($C1164, VOLUME_AVG_3M))</f>
        <v>193295.203125</v>
      </c>
      <c r="AB1164" s="31" cm="1">
        <f t="array" ref="AB1164">IF(LEFT(_xll.BDP($C1164, VOLUME_AVG_6M), 4) = "#N/A", "",  _xll.BDP($C1164, VOLUME_AVG_6M))</f>
        <v>192744.828125</v>
      </c>
      <c r="AC1164" s="31" cm="1">
        <f t="array" ref="AC1164">IF(LEFT(_xll.BDP($C1164, VOLUME_AVG_12M), 4) = "#N/A", "",  _xll.BDP($C1164, VOLUME_AVG_12M))</f>
        <v>165970.21875</v>
      </c>
      <c r="AD1164" s="41" cm="1">
        <f t="array" ref="AD1164">IF(LEFT(_xll.BDP($C1164, LAST_PRICE), 4) = "#N/A", "",  _xll.BDP($C1164, LAST_PRICE))</f>
        <v>24.6</v>
      </c>
    </row>
    <row r="1165" spans="1:30" x14ac:dyDescent="0.35">
      <c r="A1165" s="1">
        <f t="shared" si="18"/>
        <v>1162</v>
      </c>
      <c r="B1165" s="28">
        <v>45700</v>
      </c>
      <c r="C1165" s="29" t="s">
        <v>2379</v>
      </c>
      <c r="D1165" s="29" t="s">
        <v>2379</v>
      </c>
      <c r="E1165" s="29" t="s">
        <v>2380</v>
      </c>
      <c r="F1165" s="29" t="s">
        <v>33</v>
      </c>
      <c r="G1165" s="30" t="s">
        <v>34</v>
      </c>
      <c r="H1165" s="31">
        <v>8741632.04500008</v>
      </c>
      <c r="I1165" s="31">
        <v>3351632.04500008</v>
      </c>
      <c r="J1165" s="32">
        <v>1.83000004291534</v>
      </c>
      <c r="K1165" s="33">
        <v>45700</v>
      </c>
      <c r="L1165" s="31">
        <v>224400</v>
      </c>
      <c r="M1165" s="32">
        <v>-234.9</v>
      </c>
      <c r="N1165" s="31" t="s">
        <v>35</v>
      </c>
      <c r="O1165" s="33">
        <v>45699</v>
      </c>
      <c r="P1165" s="34">
        <v>12456957</v>
      </c>
      <c r="Q1165" s="34">
        <v>6343303.5</v>
      </c>
      <c r="R1165" s="34">
        <v>3153127.5</v>
      </c>
      <c r="S1165" s="29"/>
      <c r="T1165" s="33"/>
      <c r="U1165" s="35" t="b">
        <v>1</v>
      </c>
      <c r="V1165" s="35" t="b">
        <v>0</v>
      </c>
      <c r="W1165" s="35" t="b">
        <v>0</v>
      </c>
      <c r="Y1165" s="31" cm="1">
        <f t="array" ref="Y1165">IF(LEFT(_xll.BDP($C1165, VOLUME_AVG_10D), 4) = "#N/A", "",  _xll.BDP($C1165, VOLUME_AVG_10D))</f>
        <v>664609.125</v>
      </c>
      <c r="Z1165" s="31" cm="1">
        <f t="array" ref="Z1165">IF(LEFT(_xll.BDP($C1165, VOLUME_AVG_30D), 4) = "#N/A", "",  _xll.BDP($C1165, VOLUME_AVG_30D))</f>
        <v>12456957</v>
      </c>
      <c r="AA1165" s="31" cm="1">
        <f t="array" ref="AA1165">IF(LEFT(_xll.BDP($C1165, VOLUME_AVG_3M), 4) = "#N/A", "",  _xll.BDP($C1165, VOLUME_AVG_3M))</f>
        <v>6343303.5</v>
      </c>
      <c r="AB1165" s="31" cm="1">
        <f t="array" ref="AB1165">IF(LEFT(_xll.BDP($C1165, VOLUME_AVG_6M), 4) = "#N/A", "",  _xll.BDP($C1165, VOLUME_AVG_6M))</f>
        <v>3153127.5</v>
      </c>
      <c r="AC1165" s="31" cm="1">
        <f t="array" ref="AC1165">IF(LEFT(_xll.BDP($C1165, VOLUME_AVG_12M), 4) = "#N/A", "",  _xll.BDP($C1165, VOLUME_AVG_12M))</f>
        <v>1602620.5</v>
      </c>
      <c r="AD1165" s="41" cm="1">
        <f t="array" ref="AD1165">IF(LEFT(_xll.BDP($C1165, LAST_PRICE), 4) = "#N/A", "",  _xll.BDP($C1165, LAST_PRICE))</f>
        <v>1.83</v>
      </c>
    </row>
    <row r="1166" spans="1:30" x14ac:dyDescent="0.35">
      <c r="A1166" s="1">
        <f t="shared" si="18"/>
        <v>1163</v>
      </c>
      <c r="B1166" s="28">
        <v>45700</v>
      </c>
      <c r="C1166" s="29" t="s">
        <v>2381</v>
      </c>
      <c r="D1166" s="29" t="s">
        <v>2381</v>
      </c>
      <c r="E1166" s="29" t="s">
        <v>2382</v>
      </c>
      <c r="F1166" s="29" t="s">
        <v>33</v>
      </c>
      <c r="G1166" s="30" t="s">
        <v>34</v>
      </c>
      <c r="H1166" s="31">
        <v>1652467668.99806</v>
      </c>
      <c r="I1166" s="31">
        <v>1591746668.99806</v>
      </c>
      <c r="J1166" s="32">
        <v>28.430000305175799</v>
      </c>
      <c r="K1166" s="33">
        <v>45700</v>
      </c>
      <c r="L1166" s="31">
        <v>20093000</v>
      </c>
      <c r="M1166" s="32">
        <v>3.88</v>
      </c>
      <c r="N1166" s="31" t="s">
        <v>35</v>
      </c>
      <c r="O1166" s="33">
        <v>45699</v>
      </c>
      <c r="P1166" s="34">
        <v>350616.84375</v>
      </c>
      <c r="Q1166" s="34">
        <v>404917.71875</v>
      </c>
      <c r="R1166" s="34">
        <v>389332.90625</v>
      </c>
      <c r="S1166" s="29"/>
      <c r="T1166" s="33"/>
      <c r="U1166" s="35" t="b">
        <v>0</v>
      </c>
      <c r="V1166" s="35" t="b">
        <v>0</v>
      </c>
      <c r="W1166" s="35" t="b">
        <v>0</v>
      </c>
      <c r="Y1166" s="31" cm="1">
        <f t="array" ref="Y1166">IF(LEFT(_xll.BDP($C1166, VOLUME_AVG_10D), 4) = "#N/A", "",  _xll.BDP($C1166, VOLUME_AVG_10D))</f>
        <v>307714.90625</v>
      </c>
      <c r="Z1166" s="31" cm="1">
        <f t="array" ref="Z1166">IF(LEFT(_xll.BDP($C1166, VOLUME_AVG_30D), 4) = "#N/A", "",  _xll.BDP($C1166, VOLUME_AVG_30D))</f>
        <v>350616.84375</v>
      </c>
      <c r="AA1166" s="31" cm="1">
        <f t="array" ref="AA1166">IF(LEFT(_xll.BDP($C1166, VOLUME_AVG_3M), 4) = "#N/A", "",  _xll.BDP($C1166, VOLUME_AVG_3M))</f>
        <v>404917.71875</v>
      </c>
      <c r="AB1166" s="31" cm="1">
        <f t="array" ref="AB1166">IF(LEFT(_xll.BDP($C1166, VOLUME_AVG_6M), 4) = "#N/A", "",  _xll.BDP($C1166, VOLUME_AVG_6M))</f>
        <v>389332.90625</v>
      </c>
      <c r="AC1166" s="31" cm="1">
        <f t="array" ref="AC1166">IF(LEFT(_xll.BDP($C1166, VOLUME_AVG_12M), 4) = "#N/A", "",  _xll.BDP($C1166, VOLUME_AVG_12M))</f>
        <v>428964.78125</v>
      </c>
      <c r="AD1166" s="41" cm="1">
        <f t="array" ref="AD1166">IF(LEFT(_xll.BDP($C1166, LAST_PRICE), 4) = "#N/A", "",  _xll.BDP($C1166, LAST_PRICE))</f>
        <v>28.43</v>
      </c>
    </row>
    <row r="1167" spans="1:30" x14ac:dyDescent="0.35">
      <c r="A1167" s="1">
        <f t="shared" si="18"/>
        <v>1164</v>
      </c>
      <c r="B1167" s="28">
        <v>45700</v>
      </c>
      <c r="C1167" s="29" t="s">
        <v>2383</v>
      </c>
      <c r="D1167" s="29" t="s">
        <v>2383</v>
      </c>
      <c r="E1167" s="29" t="s">
        <v>2384</v>
      </c>
      <c r="F1167" s="29" t="s">
        <v>33</v>
      </c>
      <c r="G1167" s="30" t="s">
        <v>34</v>
      </c>
      <c r="H1167" s="31">
        <v>24363.035899999999</v>
      </c>
      <c r="I1167" s="31"/>
      <c r="J1167" s="32">
        <v>9.9999999747524292E-7</v>
      </c>
      <c r="K1167" s="33">
        <v>45700</v>
      </c>
      <c r="L1167" s="31"/>
      <c r="M1167" s="32"/>
      <c r="N1167" s="31"/>
      <c r="O1167" s="33">
        <v>45699</v>
      </c>
      <c r="P1167" s="34">
        <v>8532180</v>
      </c>
      <c r="Q1167" s="34">
        <v>18813192</v>
      </c>
      <c r="R1167" s="34">
        <v>27286014</v>
      </c>
      <c r="S1167" s="29"/>
      <c r="T1167" s="33"/>
      <c r="U1167" s="35" t="b">
        <v>1</v>
      </c>
      <c r="V1167" s="35" t="b">
        <v>1</v>
      </c>
      <c r="W1167" s="35" t="b">
        <v>1</v>
      </c>
      <c r="Y1167" s="31" cm="1">
        <f t="array" ref="Y1167">IF(LEFT(_xll.BDP($C1167, VOLUME_AVG_10D), 4) = "#N/A", "",  _xll.BDP($C1167, VOLUME_AVG_10D))</f>
        <v>3418286.5</v>
      </c>
      <c r="Z1167" s="31" cm="1">
        <f t="array" ref="Z1167">IF(LEFT(_xll.BDP($C1167, VOLUME_AVG_30D), 4) = "#N/A", "",  _xll.BDP($C1167, VOLUME_AVG_30D))</f>
        <v>8532180</v>
      </c>
      <c r="AA1167" s="31" cm="1">
        <f t="array" ref="AA1167">IF(LEFT(_xll.BDP($C1167, VOLUME_AVG_3M), 4) = "#N/A", "",  _xll.BDP($C1167, VOLUME_AVG_3M))</f>
        <v>18813192</v>
      </c>
      <c r="AB1167" s="31" cm="1">
        <f t="array" ref="AB1167">IF(LEFT(_xll.BDP($C1167, VOLUME_AVG_6M), 4) = "#N/A", "",  _xll.BDP($C1167, VOLUME_AVG_6M))</f>
        <v>27286014</v>
      </c>
      <c r="AC1167" s="31" cm="1">
        <f t="array" ref="AC1167">IF(LEFT(_xll.BDP($C1167, VOLUME_AVG_12M), 4) = "#N/A", "",  _xll.BDP($C1167, VOLUME_AVG_12M))</f>
        <v>46711736</v>
      </c>
      <c r="AD1167" s="41" cm="1">
        <f t="array" ref="AD1167">IF(LEFT(_xll.BDP($C1167, LAST_PRICE), 4) = "#N/A", "",  _xll.BDP($C1167, LAST_PRICE))</f>
        <v>9.9999999999999995E-7</v>
      </c>
    </row>
    <row r="1168" spans="1:30" x14ac:dyDescent="0.35">
      <c r="A1168" s="1">
        <f t="shared" si="18"/>
        <v>1165</v>
      </c>
      <c r="B1168" s="28">
        <v>45700</v>
      </c>
      <c r="C1168" s="29" t="s">
        <v>2385</v>
      </c>
      <c r="D1168" s="29" t="s">
        <v>2385</v>
      </c>
      <c r="E1168" s="29" t="s">
        <v>2386</v>
      </c>
      <c r="F1168" s="29" t="s">
        <v>40</v>
      </c>
      <c r="G1168" s="30" t="s">
        <v>41</v>
      </c>
      <c r="H1168" s="31">
        <v>169137169.796085</v>
      </c>
      <c r="I1168" s="31">
        <v>210133455.46278501</v>
      </c>
      <c r="J1168" s="32">
        <v>0.519999980926514</v>
      </c>
      <c r="K1168" s="33">
        <v>45700</v>
      </c>
      <c r="L1168" s="31"/>
      <c r="M1168" s="32"/>
      <c r="N1168" s="31"/>
      <c r="O1168" s="33">
        <v>45699</v>
      </c>
      <c r="P1168" s="34">
        <v>212649.2</v>
      </c>
      <c r="Q1168" s="34">
        <v>248819.1</v>
      </c>
      <c r="R1168" s="34">
        <v>229232.4</v>
      </c>
      <c r="S1168" s="29"/>
      <c r="T1168" s="33"/>
      <c r="U1168" s="35" t="b">
        <v>0</v>
      </c>
      <c r="V1168" s="35" t="b">
        <v>0</v>
      </c>
      <c r="W1168" s="35" t="b">
        <v>0</v>
      </c>
      <c r="Y1168" s="31" cm="1">
        <f t="array" ref="Y1168">IF(LEFT(_xll.BDP($C1168, VOLUME_AVG_10D), 4) = "#N/A", "",  _xll.BDP($C1168, VOLUME_AVG_10D))</f>
        <v>263464.5</v>
      </c>
      <c r="Z1168" s="31" cm="1">
        <f t="array" ref="Z1168">IF(LEFT(_xll.BDP($C1168, VOLUME_AVG_30D), 4) = "#N/A", "",  _xll.BDP($C1168, VOLUME_AVG_30D))</f>
        <v>212649.2</v>
      </c>
      <c r="AA1168" s="31" cm="1">
        <f t="array" ref="AA1168">IF(LEFT(_xll.BDP($C1168, VOLUME_AVG_3M), 4) = "#N/A", "",  _xll.BDP($C1168, VOLUME_AVG_3M))</f>
        <v>248819.1</v>
      </c>
      <c r="AB1168" s="31" cm="1">
        <f t="array" ref="AB1168">IF(LEFT(_xll.BDP($C1168, VOLUME_AVG_6M), 4) = "#N/A", "",  _xll.BDP($C1168, VOLUME_AVG_6M))</f>
        <v>229232.4</v>
      </c>
      <c r="AC1168" s="31" cm="1">
        <f t="array" ref="AC1168">IF(LEFT(_xll.BDP($C1168, VOLUME_AVG_12M), 4) = "#N/A", "",  _xll.BDP($C1168, VOLUME_AVG_12M))</f>
        <v>233111.7</v>
      </c>
      <c r="AD1168" s="41" cm="1">
        <f t="array" ref="AD1168">IF(LEFT(_xll.BDP($C1168, LAST_PRICE), 4) = "#N/A", "",  _xll.BDP($C1168, LAST_PRICE))</f>
        <v>0.52</v>
      </c>
    </row>
    <row r="1169" spans="1:30" x14ac:dyDescent="0.35">
      <c r="A1169" s="1">
        <f t="shared" si="18"/>
        <v>1166</v>
      </c>
      <c r="B1169" s="28">
        <v>45700</v>
      </c>
      <c r="C1169" s="29" t="s">
        <v>2387</v>
      </c>
      <c r="D1169" s="29" t="s">
        <v>2387</v>
      </c>
      <c r="E1169" s="29" t="s">
        <v>2388</v>
      </c>
      <c r="F1169" s="29" t="s">
        <v>33</v>
      </c>
      <c r="G1169" s="30" t="s">
        <v>34</v>
      </c>
      <c r="H1169" s="31">
        <v>165521856.301036</v>
      </c>
      <c r="I1169" s="31">
        <v>-208917143.698964</v>
      </c>
      <c r="J1169" s="32">
        <v>2.7200000286102299</v>
      </c>
      <c r="K1169" s="33">
        <v>45700</v>
      </c>
      <c r="L1169" s="31">
        <v>12105500</v>
      </c>
      <c r="M1169" s="32">
        <v>3.88</v>
      </c>
      <c r="N1169" s="31" t="s">
        <v>35</v>
      </c>
      <c r="O1169" s="33">
        <v>45699</v>
      </c>
      <c r="P1169" s="34">
        <v>1486980.875</v>
      </c>
      <c r="Q1169" s="34">
        <v>1032620.3125</v>
      </c>
      <c r="R1169" s="34">
        <v>696349.6875</v>
      </c>
      <c r="S1169" s="29" t="s">
        <v>164</v>
      </c>
      <c r="T1169" s="33">
        <v>45446</v>
      </c>
      <c r="U1169" s="35" t="b">
        <v>0</v>
      </c>
      <c r="V1169" s="35" t="b">
        <v>0</v>
      </c>
      <c r="W1169" s="35" t="b">
        <v>1</v>
      </c>
      <c r="Y1169" s="31" cm="1">
        <f t="array" ref="Y1169">IF(LEFT(_xll.BDP($C1169, VOLUME_AVG_10D), 4) = "#N/A", "",  _xll.BDP($C1169, VOLUME_AVG_10D))</f>
        <v>3508718</v>
      </c>
      <c r="Z1169" s="31" cm="1">
        <f t="array" ref="Z1169">IF(LEFT(_xll.BDP($C1169, VOLUME_AVG_30D), 4) = "#N/A", "",  _xll.BDP($C1169, VOLUME_AVG_30D))</f>
        <v>1486980.875</v>
      </c>
      <c r="AA1169" s="31" cm="1">
        <f t="array" ref="AA1169">IF(LEFT(_xll.BDP($C1169, VOLUME_AVG_3M), 4) = "#N/A", "",  _xll.BDP($C1169, VOLUME_AVG_3M))</f>
        <v>1032620.3125</v>
      </c>
      <c r="AB1169" s="31" cm="1">
        <f t="array" ref="AB1169">IF(LEFT(_xll.BDP($C1169, VOLUME_AVG_6M), 4) = "#N/A", "",  _xll.BDP($C1169, VOLUME_AVG_6M))</f>
        <v>696349.6875</v>
      </c>
      <c r="AC1169" s="31" cm="1">
        <f t="array" ref="AC1169">IF(LEFT(_xll.BDP($C1169, VOLUME_AVG_12M), 4) = "#N/A", "",  _xll.BDP($C1169, VOLUME_AVG_12M))</f>
        <v>592339.5</v>
      </c>
      <c r="AD1169" s="41" cm="1">
        <f t="array" ref="AD1169">IF(LEFT(_xll.BDP($C1169, LAST_PRICE), 4) = "#N/A", "",  _xll.BDP($C1169, LAST_PRICE))</f>
        <v>2.72</v>
      </c>
    </row>
    <row r="1170" spans="1:30" x14ac:dyDescent="0.35">
      <c r="A1170" s="1">
        <f t="shared" si="18"/>
        <v>1167</v>
      </c>
      <c r="B1170" s="28">
        <v>45700</v>
      </c>
      <c r="C1170" s="29" t="s">
        <v>2389</v>
      </c>
      <c r="D1170" s="29" t="s">
        <v>2389</v>
      </c>
      <c r="E1170" s="29" t="s">
        <v>2390</v>
      </c>
      <c r="F1170" s="29" t="s">
        <v>33</v>
      </c>
      <c r="G1170" s="30" t="s">
        <v>34</v>
      </c>
      <c r="H1170" s="31">
        <v>30577500.999240901</v>
      </c>
      <c r="I1170" s="31">
        <v>34698500.999240898</v>
      </c>
      <c r="J1170" s="32">
        <v>4.3699998855590803</v>
      </c>
      <c r="K1170" s="33">
        <v>45700</v>
      </c>
      <c r="L1170" s="31">
        <v>14100</v>
      </c>
      <c r="M1170" s="32">
        <v>-1.1000000000000001</v>
      </c>
      <c r="N1170" s="31" t="s">
        <v>35</v>
      </c>
      <c r="O1170" s="33">
        <v>45699</v>
      </c>
      <c r="P1170" s="34">
        <v>12228.7666015625</v>
      </c>
      <c r="Q1170" s="34">
        <v>23020.37109375</v>
      </c>
      <c r="R1170" s="34">
        <v>18952.904296875</v>
      </c>
      <c r="S1170" s="29"/>
      <c r="T1170" s="33"/>
      <c r="U1170" s="35" t="b">
        <v>0</v>
      </c>
      <c r="V1170" s="35" t="b">
        <v>0</v>
      </c>
      <c r="W1170" s="35" t="b">
        <v>0</v>
      </c>
      <c r="Y1170" s="31" cm="1">
        <f t="array" ref="Y1170">IF(LEFT(_xll.BDP($C1170, VOLUME_AVG_10D), 4) = "#N/A", "",  _xll.BDP($C1170, VOLUME_AVG_10D))</f>
        <v>7051.60009765625</v>
      </c>
      <c r="Z1170" s="31" cm="1">
        <f t="array" ref="Z1170">IF(LEFT(_xll.BDP($C1170, VOLUME_AVG_30D), 4) = "#N/A", "",  _xll.BDP($C1170, VOLUME_AVG_30D))</f>
        <v>12228.7666015625</v>
      </c>
      <c r="AA1170" s="31" cm="1">
        <f t="array" ref="AA1170">IF(LEFT(_xll.BDP($C1170, VOLUME_AVG_3M), 4) = "#N/A", "",  _xll.BDP($C1170, VOLUME_AVG_3M))</f>
        <v>23020.37109375</v>
      </c>
      <c r="AB1170" s="31" cm="1">
        <f t="array" ref="AB1170">IF(LEFT(_xll.BDP($C1170, VOLUME_AVG_6M), 4) = "#N/A", "",  _xll.BDP($C1170, VOLUME_AVG_6M))</f>
        <v>18952.904296875</v>
      </c>
      <c r="AC1170" s="31" cm="1">
        <f t="array" ref="AC1170">IF(LEFT(_xll.BDP($C1170, VOLUME_AVG_12M), 4) = "#N/A", "",  _xll.BDP($C1170, VOLUME_AVG_12M))</f>
        <v>17943.396484375</v>
      </c>
      <c r="AD1170" s="41" cm="1">
        <f t="array" ref="AD1170">IF(LEFT(_xll.BDP($C1170, LAST_PRICE), 4) = "#N/A", "",  _xll.BDP($C1170, LAST_PRICE))</f>
        <v>4.37</v>
      </c>
    </row>
    <row r="1171" spans="1:30" x14ac:dyDescent="0.35">
      <c r="A1171" s="1">
        <f t="shared" si="18"/>
        <v>1168</v>
      </c>
      <c r="B1171" s="28">
        <v>45700</v>
      </c>
      <c r="C1171" s="29" t="s">
        <v>2391</v>
      </c>
      <c r="D1171" s="29" t="s">
        <v>2391</v>
      </c>
      <c r="E1171" s="29" t="s">
        <v>2392</v>
      </c>
      <c r="F1171" s="29" t="s">
        <v>33</v>
      </c>
      <c r="G1171" s="30" t="s">
        <v>34</v>
      </c>
      <c r="H1171" s="31">
        <v>6603892.9881159104</v>
      </c>
      <c r="I1171" s="31">
        <v>5215892.9881159104</v>
      </c>
      <c r="J1171" s="32">
        <v>1.12000000476837</v>
      </c>
      <c r="K1171" s="33">
        <v>45700</v>
      </c>
      <c r="L1171" s="31">
        <v>199000</v>
      </c>
      <c r="M1171" s="32">
        <v>-2.5</v>
      </c>
      <c r="N1171" s="31" t="s">
        <v>35</v>
      </c>
      <c r="O1171" s="33">
        <v>45699</v>
      </c>
      <c r="P1171" s="34">
        <v>25240.19921875</v>
      </c>
      <c r="Q1171" s="34">
        <v>52376.7578125</v>
      </c>
      <c r="R1171" s="34">
        <v>62924.4609375</v>
      </c>
      <c r="S1171" s="29"/>
      <c r="T1171" s="33"/>
      <c r="U1171" s="35" t="b">
        <v>1</v>
      </c>
      <c r="V1171" s="35" t="b">
        <v>0</v>
      </c>
      <c r="W1171" s="35" t="b">
        <v>0</v>
      </c>
      <c r="Y1171" s="31" cm="1">
        <f t="array" ref="Y1171">IF(LEFT(_xll.BDP($C1171, VOLUME_AVG_10D), 4) = "#N/A", "",  _xll.BDP($C1171, VOLUME_AVG_10D))</f>
        <v>21267.80078125</v>
      </c>
      <c r="Z1171" s="31" cm="1">
        <f t="array" ref="Z1171">IF(LEFT(_xll.BDP($C1171, VOLUME_AVG_30D), 4) = "#N/A", "",  _xll.BDP($C1171, VOLUME_AVG_30D))</f>
        <v>25240.19921875</v>
      </c>
      <c r="AA1171" s="31" cm="1">
        <f t="array" ref="AA1171">IF(LEFT(_xll.BDP($C1171, VOLUME_AVG_3M), 4) = "#N/A", "",  _xll.BDP($C1171, VOLUME_AVG_3M))</f>
        <v>52376.7578125</v>
      </c>
      <c r="AB1171" s="31" cm="1">
        <f t="array" ref="AB1171">IF(LEFT(_xll.BDP($C1171, VOLUME_AVG_6M), 4) = "#N/A", "",  _xll.BDP($C1171, VOLUME_AVG_6M))</f>
        <v>62924.4609375</v>
      </c>
      <c r="AC1171" s="31" cm="1">
        <f t="array" ref="AC1171">IF(LEFT(_xll.BDP($C1171, VOLUME_AVG_12M), 4) = "#N/A", "",  _xll.BDP($C1171, VOLUME_AVG_12M))</f>
        <v>63183.23828125</v>
      </c>
      <c r="AD1171" s="41" cm="1">
        <f t="array" ref="AD1171">IF(LEFT(_xll.BDP($C1171, LAST_PRICE), 4) = "#N/A", "",  _xll.BDP($C1171, LAST_PRICE))</f>
        <v>1.1200000000000001</v>
      </c>
    </row>
    <row r="1172" spans="1:30" x14ac:dyDescent="0.35">
      <c r="A1172" s="1">
        <f t="shared" si="18"/>
        <v>1169</v>
      </c>
      <c r="B1172" s="28">
        <v>45700</v>
      </c>
      <c r="C1172" s="29" t="s">
        <v>2393</v>
      </c>
      <c r="D1172" s="29" t="s">
        <v>2393</v>
      </c>
      <c r="E1172" s="29" t="s">
        <v>2394</v>
      </c>
      <c r="F1172" s="29" t="s">
        <v>33</v>
      </c>
      <c r="G1172" s="30" t="s">
        <v>34</v>
      </c>
      <c r="H1172" s="31">
        <v>70376097.540248603</v>
      </c>
      <c r="I1172" s="31">
        <v>-114293902.459751</v>
      </c>
      <c r="J1172" s="32">
        <v>1.3600000143051101</v>
      </c>
      <c r="K1172" s="33">
        <v>45700</v>
      </c>
      <c r="L1172" s="31">
        <v>8954400</v>
      </c>
      <c r="M1172" s="32">
        <v>3.88</v>
      </c>
      <c r="N1172" s="31" t="s">
        <v>35</v>
      </c>
      <c r="O1172" s="33">
        <v>45699</v>
      </c>
      <c r="P1172" s="34">
        <v>143561.0625</v>
      </c>
      <c r="Q1172" s="34">
        <v>171550.96875</v>
      </c>
      <c r="R1172" s="34">
        <v>192702</v>
      </c>
      <c r="S1172" s="29" t="s">
        <v>46</v>
      </c>
      <c r="T1172" s="33">
        <v>45446</v>
      </c>
      <c r="U1172" s="35" t="b">
        <v>0</v>
      </c>
      <c r="V1172" s="35" t="b">
        <v>0</v>
      </c>
      <c r="W1172" s="35" t="b">
        <v>1</v>
      </c>
      <c r="Y1172" s="31" cm="1">
        <f t="array" ref="Y1172">IF(LEFT(_xll.BDP($C1172, VOLUME_AVG_10D), 4) = "#N/A", "",  _xll.BDP($C1172, VOLUME_AVG_10D))</f>
        <v>81903.203125</v>
      </c>
      <c r="Z1172" s="31" cm="1">
        <f t="array" ref="Z1172">IF(LEFT(_xll.BDP($C1172, VOLUME_AVG_30D), 4) = "#N/A", "",  _xll.BDP($C1172, VOLUME_AVG_30D))</f>
        <v>143561.0625</v>
      </c>
      <c r="AA1172" s="31" cm="1">
        <f t="array" ref="AA1172">IF(LEFT(_xll.BDP($C1172, VOLUME_AVG_3M), 4) = "#N/A", "",  _xll.BDP($C1172, VOLUME_AVG_3M))</f>
        <v>171550.96875</v>
      </c>
      <c r="AB1172" s="31" cm="1">
        <f t="array" ref="AB1172">IF(LEFT(_xll.BDP($C1172, VOLUME_AVG_6M), 4) = "#N/A", "",  _xll.BDP($C1172, VOLUME_AVG_6M))</f>
        <v>192702</v>
      </c>
      <c r="AC1172" s="31" cm="1">
        <f t="array" ref="AC1172">IF(LEFT(_xll.BDP($C1172, VOLUME_AVG_12M), 4) = "#N/A", "",  _xll.BDP($C1172, VOLUME_AVG_12M))</f>
        <v>350167.75</v>
      </c>
      <c r="AD1172" s="41" cm="1">
        <f t="array" ref="AD1172">IF(LEFT(_xll.BDP($C1172, LAST_PRICE), 4) = "#N/A", "",  _xll.BDP($C1172, LAST_PRICE))</f>
        <v>1.36</v>
      </c>
    </row>
    <row r="1173" spans="1:30" x14ac:dyDescent="0.35">
      <c r="A1173" s="1">
        <f t="shared" si="18"/>
        <v>1170</v>
      </c>
      <c r="B1173" s="28">
        <v>45700</v>
      </c>
      <c r="C1173" s="29" t="s">
        <v>2395</v>
      </c>
      <c r="D1173" s="29" t="s">
        <v>2395</v>
      </c>
      <c r="E1173" s="29" t="s">
        <v>2396</v>
      </c>
      <c r="F1173" s="29" t="s">
        <v>33</v>
      </c>
      <c r="G1173" s="30" t="s">
        <v>34</v>
      </c>
      <c r="H1173" s="31">
        <v>20206329.8546491</v>
      </c>
      <c r="I1173" s="31"/>
      <c r="J1173" s="32">
        <v>2.9700000286102299</v>
      </c>
      <c r="K1173" s="33">
        <v>45700</v>
      </c>
      <c r="L1173" s="31"/>
      <c r="M1173" s="32"/>
      <c r="N1173" s="31"/>
      <c r="O1173" s="33">
        <v>45699</v>
      </c>
      <c r="P1173" s="34">
        <v>30888.833984375</v>
      </c>
      <c r="Q1173" s="34">
        <v>31572.7421875</v>
      </c>
      <c r="R1173" s="34">
        <v>18365.5390625</v>
      </c>
      <c r="S1173" s="29"/>
      <c r="T1173" s="33"/>
      <c r="U1173" s="35" t="b">
        <v>0</v>
      </c>
      <c r="V1173" s="35" t="b">
        <v>0</v>
      </c>
      <c r="W1173" s="35" t="b">
        <v>1</v>
      </c>
      <c r="Y1173" s="31" cm="1">
        <f t="array" ref="Y1173">IF(LEFT(_xll.BDP($C1173, VOLUME_AVG_10D), 4) = "#N/A", "",  _xll.BDP($C1173, VOLUME_AVG_10D))</f>
        <v>17491</v>
      </c>
      <c r="Z1173" s="31" cm="1">
        <f t="array" ref="Z1173">IF(LEFT(_xll.BDP($C1173, VOLUME_AVG_30D), 4) = "#N/A", "",  _xll.BDP($C1173, VOLUME_AVG_30D))</f>
        <v>30888.833984375</v>
      </c>
      <c r="AA1173" s="31" cm="1">
        <f t="array" ref="AA1173">IF(LEFT(_xll.BDP($C1173, VOLUME_AVG_3M), 4) = "#N/A", "",  _xll.BDP($C1173, VOLUME_AVG_3M))</f>
        <v>31572.7421875</v>
      </c>
      <c r="AB1173" s="31" cm="1">
        <f t="array" ref="AB1173">IF(LEFT(_xll.BDP($C1173, VOLUME_AVG_6M), 4) = "#N/A", "",  _xll.BDP($C1173, VOLUME_AVG_6M))</f>
        <v>18365.5390625</v>
      </c>
      <c r="AC1173" s="31" cm="1">
        <f t="array" ref="AC1173">IF(LEFT(_xll.BDP($C1173, VOLUME_AVG_12M), 4) = "#N/A", "",  _xll.BDP($C1173, VOLUME_AVG_12M))</f>
        <v>11547.20703125</v>
      </c>
      <c r="AD1173" s="41" cm="1">
        <f t="array" ref="AD1173">IF(LEFT(_xll.BDP($C1173, LAST_PRICE), 4) = "#N/A", "",  _xll.BDP($C1173, LAST_PRICE))</f>
        <v>2.97</v>
      </c>
    </row>
    <row r="1174" spans="1:30" x14ac:dyDescent="0.35">
      <c r="A1174" s="1">
        <f t="shared" si="18"/>
        <v>1171</v>
      </c>
      <c r="B1174" s="28">
        <v>45700</v>
      </c>
      <c r="C1174" s="29" t="s">
        <v>2397</v>
      </c>
      <c r="D1174" s="29" t="s">
        <v>2397</v>
      </c>
      <c r="E1174" s="29" t="s">
        <v>2398</v>
      </c>
      <c r="F1174" s="29" t="s">
        <v>33</v>
      </c>
      <c r="G1174" s="30" t="s">
        <v>34</v>
      </c>
      <c r="H1174" s="31">
        <v>4488056.3700074004</v>
      </c>
      <c r="I1174" s="31">
        <v>4732056.3700074004</v>
      </c>
      <c r="J1174" s="32">
        <v>1.0700000524520901</v>
      </c>
      <c r="K1174" s="33">
        <v>45700</v>
      </c>
      <c r="L1174" s="31"/>
      <c r="M1174" s="32"/>
      <c r="N1174" s="31"/>
      <c r="O1174" s="33">
        <v>45699</v>
      </c>
      <c r="P1174" s="34">
        <v>821168.0625</v>
      </c>
      <c r="Q1174" s="34">
        <v>2894816.25</v>
      </c>
      <c r="R1174" s="34"/>
      <c r="S1174" s="29"/>
      <c r="T1174" s="33"/>
      <c r="U1174" s="35" t="b">
        <v>1</v>
      </c>
      <c r="V1174" s="35" t="b">
        <v>0</v>
      </c>
      <c r="W1174" s="35" t="b">
        <v>0</v>
      </c>
      <c r="Y1174" s="31" cm="1">
        <f t="array" ref="Y1174">IF(LEFT(_xll.BDP($C1174, VOLUME_AVG_10D), 4) = "#N/A", "",  _xll.BDP($C1174, VOLUME_AVG_10D))</f>
        <v>204073.203125</v>
      </c>
      <c r="Z1174" s="31" cm="1">
        <f t="array" ref="Z1174">IF(LEFT(_xll.BDP($C1174, VOLUME_AVG_30D), 4) = "#N/A", "",  _xll.BDP($C1174, VOLUME_AVG_30D))</f>
        <v>821168.0625</v>
      </c>
      <c r="AA1174" s="31" cm="1">
        <f t="array" ref="AA1174">IF(LEFT(_xll.BDP($C1174, VOLUME_AVG_3M), 4) = "#N/A", "",  _xll.BDP($C1174, VOLUME_AVG_3M))</f>
        <v>2894816.25</v>
      </c>
      <c r="AB1174" s="31" t="str" cm="1">
        <f t="array" ref="AB1174">IF(LEFT(_xll.BDP($C1174, VOLUME_AVG_6M), 4) = "#N/A", "",  _xll.BDP($C1174, VOLUME_AVG_6M))</f>
        <v/>
      </c>
      <c r="AC1174" s="31" t="str" cm="1">
        <f t="array" ref="AC1174">IF(LEFT(_xll.BDP($C1174, VOLUME_AVG_12M), 4) = "#N/A", "",  _xll.BDP($C1174, VOLUME_AVG_12M))</f>
        <v/>
      </c>
      <c r="AD1174" s="41" cm="1">
        <f t="array" ref="AD1174">IF(LEFT(_xll.BDP($C1174, LAST_PRICE), 4) = "#N/A", "",  _xll.BDP($C1174, LAST_PRICE))</f>
        <v>1.07</v>
      </c>
    </row>
    <row r="1175" spans="1:30" x14ac:dyDescent="0.35">
      <c r="A1175" s="1">
        <f t="shared" si="18"/>
        <v>1172</v>
      </c>
      <c r="B1175" s="28">
        <v>45700</v>
      </c>
      <c r="C1175" s="29" t="s">
        <v>2399</v>
      </c>
      <c r="D1175" s="29" t="s">
        <v>2399</v>
      </c>
      <c r="E1175" s="29" t="s">
        <v>2400</v>
      </c>
      <c r="F1175" s="29" t="s">
        <v>33</v>
      </c>
      <c r="G1175" s="30" t="s">
        <v>34</v>
      </c>
      <c r="H1175" s="31"/>
      <c r="I1175" s="31"/>
      <c r="J1175" s="32"/>
      <c r="K1175" s="33">
        <v>45700</v>
      </c>
      <c r="L1175" s="31"/>
      <c r="M1175" s="32"/>
      <c r="N1175" s="31"/>
      <c r="O1175" s="33">
        <v>45699</v>
      </c>
      <c r="P1175" s="34">
        <v>4.1666665077209499</v>
      </c>
      <c r="Q1175" s="34">
        <v>13.919354438781699</v>
      </c>
      <c r="R1175" s="34">
        <v>7.42857122421265</v>
      </c>
      <c r="S1175" s="29"/>
      <c r="T1175" s="33"/>
      <c r="U1175" s="35" t="b">
        <v>1</v>
      </c>
      <c r="V1175" s="35" t="b">
        <v>1</v>
      </c>
      <c r="W1175" s="35" t="b">
        <v>1</v>
      </c>
      <c r="Y1175" s="31" cm="1">
        <f t="array" ref="Y1175">IF(LEFT(_xll.BDP($C1175, VOLUME_AVG_10D), 4) = "#N/A", "",  _xll.BDP($C1175, VOLUME_AVG_10D))</f>
        <v>0</v>
      </c>
      <c r="Z1175" s="31" cm="1">
        <f t="array" ref="Z1175">IF(LEFT(_xll.BDP($C1175, VOLUME_AVG_30D), 4) = "#N/A", "",  _xll.BDP($C1175, VOLUME_AVG_30D))</f>
        <v>4.1666665077209473</v>
      </c>
      <c r="AA1175" s="31" cm="1">
        <f t="array" ref="AA1175">IF(LEFT(_xll.BDP($C1175, VOLUME_AVG_3M), 4) = "#N/A", "",  _xll.BDP($C1175, VOLUME_AVG_3M))</f>
        <v>13.919354438781738</v>
      </c>
      <c r="AB1175" s="31" cm="1">
        <f t="array" ref="AB1175">IF(LEFT(_xll.BDP($C1175, VOLUME_AVG_6M), 4) = "#N/A", "",  _xll.BDP($C1175, VOLUME_AVG_6M))</f>
        <v>7.4285712242126465</v>
      </c>
      <c r="AC1175" s="31" cm="1">
        <f t="array" ref="AC1175">IF(LEFT(_xll.BDP($C1175, VOLUME_AVG_12M), 4) = "#N/A", "",  _xll.BDP($C1175, VOLUME_AVG_12M))</f>
        <v>164.7689208984375</v>
      </c>
      <c r="AD1175" s="41" t="str" cm="1">
        <f t="array" ref="AD1175">IF(LEFT(_xll.BDP($C1175, LAST_PRICE), 4) = "#N/A", "",  _xll.BDP($C1175, LAST_PRICE))</f>
        <v/>
      </c>
    </row>
    <row r="1176" spans="1:30" x14ac:dyDescent="0.35">
      <c r="A1176" s="1">
        <f t="shared" si="18"/>
        <v>1173</v>
      </c>
      <c r="B1176" s="28">
        <v>45700</v>
      </c>
      <c r="C1176" s="29" t="s">
        <v>2401</v>
      </c>
      <c r="D1176" s="29" t="s">
        <v>2401</v>
      </c>
      <c r="E1176" s="29" t="s">
        <v>2402</v>
      </c>
      <c r="F1176" s="29" t="s">
        <v>33</v>
      </c>
      <c r="G1176" s="30" t="s">
        <v>34</v>
      </c>
      <c r="H1176" s="31">
        <v>5033347.4000072498</v>
      </c>
      <c r="I1176" s="31">
        <v>-640652.59999275196</v>
      </c>
      <c r="J1176" s="32">
        <v>4.8000001907348597</v>
      </c>
      <c r="K1176" s="33">
        <v>45700</v>
      </c>
      <c r="L1176" s="31"/>
      <c r="M1176" s="32"/>
      <c r="N1176" s="31"/>
      <c r="O1176" s="33">
        <v>45699</v>
      </c>
      <c r="P1176" s="34">
        <v>109527.703125</v>
      </c>
      <c r="Q1176" s="34">
        <v>683348.625</v>
      </c>
      <c r="R1176" s="34">
        <v>1248826.375</v>
      </c>
      <c r="S1176" s="29"/>
      <c r="T1176" s="33"/>
      <c r="U1176" s="35" t="b">
        <v>1</v>
      </c>
      <c r="V1176" s="35" t="b">
        <v>0</v>
      </c>
      <c r="W1176" s="35" t="b">
        <v>1</v>
      </c>
      <c r="Y1176" s="31" cm="1">
        <f t="array" ref="Y1176">IF(LEFT(_xll.BDP($C1176, VOLUME_AVG_10D), 4) = "#N/A", "",  _xll.BDP($C1176, VOLUME_AVG_10D))</f>
        <v>224851.59375</v>
      </c>
      <c r="Z1176" s="31" cm="1">
        <f t="array" ref="Z1176">IF(LEFT(_xll.BDP($C1176, VOLUME_AVG_30D), 4) = "#N/A", "",  _xll.BDP($C1176, VOLUME_AVG_30D))</f>
        <v>109527.703125</v>
      </c>
      <c r="AA1176" s="31" cm="1">
        <f t="array" ref="AA1176">IF(LEFT(_xll.BDP($C1176, VOLUME_AVG_3M), 4) = "#N/A", "",  _xll.BDP($C1176, VOLUME_AVG_3M))</f>
        <v>683348.625</v>
      </c>
      <c r="AB1176" s="31" cm="1">
        <f t="array" ref="AB1176">IF(LEFT(_xll.BDP($C1176, VOLUME_AVG_6M), 4) = "#N/A", "",  _xll.BDP($C1176, VOLUME_AVG_6M))</f>
        <v>1248826.375</v>
      </c>
      <c r="AC1176" s="31" cm="1">
        <f t="array" ref="AC1176">IF(LEFT(_xll.BDP($C1176, VOLUME_AVG_12M), 4) = "#N/A", "",  _xll.BDP($C1176, VOLUME_AVG_12M))</f>
        <v>640235.125</v>
      </c>
      <c r="AD1176" s="41" cm="1">
        <f t="array" ref="AD1176">IF(LEFT(_xll.BDP($C1176, LAST_PRICE), 4) = "#N/A", "",  _xll.BDP($C1176, LAST_PRICE))</f>
        <v>4.8</v>
      </c>
    </row>
    <row r="1177" spans="1:30" x14ac:dyDescent="0.35">
      <c r="A1177" s="1">
        <f t="shared" si="18"/>
        <v>1174</v>
      </c>
      <c r="B1177" s="28">
        <v>45700</v>
      </c>
      <c r="C1177" s="29" t="s">
        <v>2403</v>
      </c>
      <c r="D1177" s="29" t="s">
        <v>2403</v>
      </c>
      <c r="E1177" s="29" t="s">
        <v>2404</v>
      </c>
      <c r="F1177" s="29" t="s">
        <v>33</v>
      </c>
      <c r="G1177" s="30" t="s">
        <v>34</v>
      </c>
      <c r="H1177" s="31">
        <v>35696629.881150499</v>
      </c>
      <c r="I1177" s="31">
        <v>37314629.881150499</v>
      </c>
      <c r="J1177" s="32">
        <v>2.50049996376038</v>
      </c>
      <c r="K1177" s="33">
        <v>45700</v>
      </c>
      <c r="L1177" s="31">
        <v>26700</v>
      </c>
      <c r="M1177" s="32">
        <v>-7.1</v>
      </c>
      <c r="N1177" s="31" t="s">
        <v>35</v>
      </c>
      <c r="O1177" s="33">
        <v>45699</v>
      </c>
      <c r="P1177" s="34">
        <v>36775.83203125</v>
      </c>
      <c r="Q1177" s="34">
        <v>25104.515625</v>
      </c>
      <c r="R1177" s="34">
        <v>14282.0078125</v>
      </c>
      <c r="S1177" s="29"/>
      <c r="T1177" s="33"/>
      <c r="U1177" s="35" t="b">
        <v>0</v>
      </c>
      <c r="V1177" s="35" t="b">
        <v>0</v>
      </c>
      <c r="W1177" s="35" t="b">
        <v>0</v>
      </c>
      <c r="Y1177" s="31" cm="1">
        <f t="array" ref="Y1177">IF(LEFT(_xll.BDP($C1177, VOLUME_AVG_10D), 4) = "#N/A", "",  _xll.BDP($C1177, VOLUME_AVG_10D))</f>
        <v>35898.30078125</v>
      </c>
      <c r="Z1177" s="31" cm="1">
        <f t="array" ref="Z1177">IF(LEFT(_xll.BDP($C1177, VOLUME_AVG_30D), 4) = "#N/A", "",  _xll.BDP($C1177, VOLUME_AVG_30D))</f>
        <v>36775.83203125</v>
      </c>
      <c r="AA1177" s="31" cm="1">
        <f t="array" ref="AA1177">IF(LEFT(_xll.BDP($C1177, VOLUME_AVG_3M), 4) = "#N/A", "",  _xll.BDP($C1177, VOLUME_AVG_3M))</f>
        <v>25104.515625</v>
      </c>
      <c r="AB1177" s="31" cm="1">
        <f t="array" ref="AB1177">IF(LEFT(_xll.BDP($C1177, VOLUME_AVG_6M), 4) = "#N/A", "",  _xll.BDP($C1177, VOLUME_AVG_6M))</f>
        <v>14282.0078125</v>
      </c>
      <c r="AC1177" s="31" cm="1">
        <f t="array" ref="AC1177">IF(LEFT(_xll.BDP($C1177, VOLUME_AVG_12M), 4) = "#N/A", "",  _xll.BDP($C1177, VOLUME_AVG_12M))</f>
        <v>8716.494140625</v>
      </c>
      <c r="AD1177" s="41" cm="1">
        <f t="array" ref="AD1177">IF(LEFT(_xll.BDP($C1177, LAST_PRICE), 4) = "#N/A", "",  _xll.BDP($C1177, LAST_PRICE))</f>
        <v>2.5005000000000002</v>
      </c>
    </row>
    <row r="1178" spans="1:30" x14ac:dyDescent="0.35">
      <c r="A1178" s="1">
        <f t="shared" si="18"/>
        <v>1175</v>
      </c>
      <c r="B1178" s="28">
        <v>45700</v>
      </c>
      <c r="C1178" s="29" t="s">
        <v>2405</v>
      </c>
      <c r="D1178" s="29" t="s">
        <v>2405</v>
      </c>
      <c r="E1178" s="29" t="s">
        <v>2406</v>
      </c>
      <c r="F1178" s="29" t="s">
        <v>33</v>
      </c>
      <c r="G1178" s="30" t="s">
        <v>34</v>
      </c>
      <c r="H1178" s="31">
        <v>3.3650999149904202</v>
      </c>
      <c r="I1178" s="31">
        <v>1908918.40797711</v>
      </c>
      <c r="J1178" s="32">
        <v>9.9999997473787503E-5</v>
      </c>
      <c r="K1178" s="33">
        <v>45700</v>
      </c>
      <c r="L1178" s="31"/>
      <c r="M1178" s="32"/>
      <c r="N1178" s="31"/>
      <c r="O1178" s="33">
        <v>45699</v>
      </c>
      <c r="P1178" s="34">
        <v>2791181</v>
      </c>
      <c r="Q1178" s="34">
        <v>4279340.5</v>
      </c>
      <c r="R1178" s="34">
        <v>6199833.5</v>
      </c>
      <c r="S1178" s="29"/>
      <c r="T1178" s="33"/>
      <c r="U1178" s="35" t="b">
        <v>1</v>
      </c>
      <c r="V1178" s="35" t="b">
        <v>1</v>
      </c>
      <c r="W1178" s="35" t="b">
        <v>0</v>
      </c>
      <c r="Y1178" s="31" cm="1">
        <f t="array" ref="Y1178">IF(LEFT(_xll.BDP($C1178, VOLUME_AVG_10D), 4) = "#N/A", "",  _xll.BDP($C1178, VOLUME_AVG_10D))</f>
        <v>2042556</v>
      </c>
      <c r="Z1178" s="31" cm="1">
        <f t="array" ref="Z1178">IF(LEFT(_xll.BDP($C1178, VOLUME_AVG_30D), 4) = "#N/A", "",  _xll.BDP($C1178, VOLUME_AVG_30D))</f>
        <v>2791181</v>
      </c>
      <c r="AA1178" s="31" cm="1">
        <f t="array" ref="AA1178">IF(LEFT(_xll.BDP($C1178, VOLUME_AVG_3M), 4) = "#N/A", "",  _xll.BDP($C1178, VOLUME_AVG_3M))</f>
        <v>4279340.5</v>
      </c>
      <c r="AB1178" s="31" cm="1">
        <f t="array" ref="AB1178">IF(LEFT(_xll.BDP($C1178, VOLUME_AVG_6M), 4) = "#N/A", "",  _xll.BDP($C1178, VOLUME_AVG_6M))</f>
        <v>6199833.5</v>
      </c>
      <c r="AC1178" s="31" cm="1">
        <f t="array" ref="AC1178">IF(LEFT(_xll.BDP($C1178, VOLUME_AVG_12M), 4) = "#N/A", "",  _xll.BDP($C1178, VOLUME_AVG_12M))</f>
        <v>10707195</v>
      </c>
      <c r="AD1178" s="41" cm="1">
        <f t="array" ref="AD1178">IF(LEFT(_xll.BDP($C1178, LAST_PRICE), 4) = "#N/A", "",  _xll.BDP($C1178, LAST_PRICE))</f>
        <v>1E-4</v>
      </c>
    </row>
    <row r="1179" spans="1:30" x14ac:dyDescent="0.35">
      <c r="A1179" s="1">
        <f t="shared" si="18"/>
        <v>1176</v>
      </c>
      <c r="B1179" s="28">
        <v>45700</v>
      </c>
      <c r="C1179" s="29" t="s">
        <v>2407</v>
      </c>
      <c r="D1179" s="29" t="s">
        <v>2407</v>
      </c>
      <c r="E1179" s="29" t="s">
        <v>2408</v>
      </c>
      <c r="F1179" s="29" t="s">
        <v>33</v>
      </c>
      <c r="G1179" s="30" t="s">
        <v>34</v>
      </c>
      <c r="H1179" s="31">
        <v>1591666184.2389901</v>
      </c>
      <c r="I1179" s="31">
        <v>1182153184.2389901</v>
      </c>
      <c r="J1179" s="32">
        <v>85.400001525878906</v>
      </c>
      <c r="K1179" s="33">
        <v>45700</v>
      </c>
      <c r="L1179" s="31">
        <v>4912600</v>
      </c>
      <c r="M1179" s="32">
        <v>3.88</v>
      </c>
      <c r="N1179" s="31" t="s">
        <v>35</v>
      </c>
      <c r="O1179" s="33">
        <v>45699</v>
      </c>
      <c r="P1179" s="34">
        <v>342253.65625</v>
      </c>
      <c r="Q1179" s="34">
        <v>358705.9375</v>
      </c>
      <c r="R1179" s="34">
        <v>315434.90625</v>
      </c>
      <c r="S1179" s="29" t="s">
        <v>82</v>
      </c>
      <c r="T1179" s="33">
        <v>45446</v>
      </c>
      <c r="U1179" s="35" t="b">
        <v>0</v>
      </c>
      <c r="V1179" s="35" t="b">
        <v>0</v>
      </c>
      <c r="W1179" s="35" t="b">
        <v>0</v>
      </c>
      <c r="Y1179" s="31" cm="1">
        <f t="array" ref="Y1179">IF(LEFT(_xll.BDP($C1179, VOLUME_AVG_10D), 4) = "#N/A", "",  _xll.BDP($C1179, VOLUME_AVG_10D))</f>
        <v>371802.6875</v>
      </c>
      <c r="Z1179" s="31" cm="1">
        <f t="array" ref="Z1179">IF(LEFT(_xll.BDP($C1179, VOLUME_AVG_30D), 4) = "#N/A", "",  _xll.BDP($C1179, VOLUME_AVG_30D))</f>
        <v>342253.65625</v>
      </c>
      <c r="AA1179" s="31" cm="1">
        <f t="array" ref="AA1179">IF(LEFT(_xll.BDP($C1179, VOLUME_AVG_3M), 4) = "#N/A", "",  _xll.BDP($C1179, VOLUME_AVG_3M))</f>
        <v>358705.9375</v>
      </c>
      <c r="AB1179" s="31" cm="1">
        <f t="array" ref="AB1179">IF(LEFT(_xll.BDP($C1179, VOLUME_AVG_6M), 4) = "#N/A", "",  _xll.BDP($C1179, VOLUME_AVG_6M))</f>
        <v>315434.90625</v>
      </c>
      <c r="AC1179" s="31" cm="1">
        <f t="array" ref="AC1179">IF(LEFT(_xll.BDP($C1179, VOLUME_AVG_12M), 4) = "#N/A", "",  _xll.BDP($C1179, VOLUME_AVG_12M))</f>
        <v>306125.65625</v>
      </c>
      <c r="AD1179" s="41" cm="1">
        <f t="array" ref="AD1179">IF(LEFT(_xll.BDP($C1179, LAST_PRICE), 4) = "#N/A", "",  _xll.BDP($C1179, LAST_PRICE))</f>
        <v>85.4</v>
      </c>
    </row>
    <row r="1180" spans="1:30" x14ac:dyDescent="0.35">
      <c r="A1180" s="1">
        <f t="shared" si="18"/>
        <v>1177</v>
      </c>
      <c r="B1180" s="28">
        <v>45700</v>
      </c>
      <c r="C1180" s="29" t="s">
        <v>2409</v>
      </c>
      <c r="D1180" s="29" t="s">
        <v>2409</v>
      </c>
      <c r="E1180" s="29" t="s">
        <v>2410</v>
      </c>
      <c r="F1180" s="29" t="s">
        <v>33</v>
      </c>
      <c r="G1180" s="30" t="s">
        <v>34</v>
      </c>
      <c r="H1180" s="31">
        <v>559379965.49443901</v>
      </c>
      <c r="I1180" s="31">
        <v>536497965.49443901</v>
      </c>
      <c r="J1180" s="32">
        <v>1.9099999666214</v>
      </c>
      <c r="K1180" s="33">
        <v>45700</v>
      </c>
      <c r="L1180" s="31">
        <v>8239200</v>
      </c>
      <c r="M1180" s="32">
        <v>3.6</v>
      </c>
      <c r="N1180" s="31" t="s">
        <v>35</v>
      </c>
      <c r="O1180" s="33">
        <v>45699</v>
      </c>
      <c r="P1180" s="34">
        <v>2399416.5</v>
      </c>
      <c r="Q1180" s="34">
        <v>1701498.75</v>
      </c>
      <c r="R1180" s="34">
        <v>1221108.625</v>
      </c>
      <c r="S1180" s="29" t="s">
        <v>46</v>
      </c>
      <c r="T1180" s="33">
        <v>45446</v>
      </c>
      <c r="U1180" s="35" t="b">
        <v>0</v>
      </c>
      <c r="V1180" s="35" t="b">
        <v>0</v>
      </c>
      <c r="W1180" s="35" t="b">
        <v>0</v>
      </c>
      <c r="Y1180" s="31" cm="1">
        <f t="array" ref="Y1180">IF(LEFT(_xll.BDP($C1180, VOLUME_AVG_10D), 4) = "#N/A", "",  _xll.BDP($C1180, VOLUME_AVG_10D))</f>
        <v>2093597</v>
      </c>
      <c r="Z1180" s="31" cm="1">
        <f t="array" ref="Z1180">IF(LEFT(_xll.BDP($C1180, VOLUME_AVG_30D), 4) = "#N/A", "",  _xll.BDP($C1180, VOLUME_AVG_30D))</f>
        <v>2399416.5</v>
      </c>
      <c r="AA1180" s="31" cm="1">
        <f t="array" ref="AA1180">IF(LEFT(_xll.BDP($C1180, VOLUME_AVG_3M), 4) = "#N/A", "",  _xll.BDP($C1180, VOLUME_AVG_3M))</f>
        <v>1701498.75</v>
      </c>
      <c r="AB1180" s="31" cm="1">
        <f t="array" ref="AB1180">IF(LEFT(_xll.BDP($C1180, VOLUME_AVG_6M), 4) = "#N/A", "",  _xll.BDP($C1180, VOLUME_AVG_6M))</f>
        <v>1221108.625</v>
      </c>
      <c r="AC1180" s="31" cm="1">
        <f t="array" ref="AC1180">IF(LEFT(_xll.BDP($C1180, VOLUME_AVG_12M), 4) = "#N/A", "",  _xll.BDP($C1180, VOLUME_AVG_12M))</f>
        <v>1120927.75</v>
      </c>
      <c r="AD1180" s="41" cm="1">
        <f t="array" ref="AD1180">IF(LEFT(_xll.BDP($C1180, LAST_PRICE), 4) = "#N/A", "",  _xll.BDP($C1180, LAST_PRICE))</f>
        <v>1.91</v>
      </c>
    </row>
    <row r="1181" spans="1:30" x14ac:dyDescent="0.35">
      <c r="A1181" s="1">
        <f t="shared" si="18"/>
        <v>1178</v>
      </c>
      <c r="B1181" s="28">
        <v>45700</v>
      </c>
      <c r="C1181" s="29" t="s">
        <v>2411</v>
      </c>
      <c r="D1181" s="29" t="s">
        <v>2411</v>
      </c>
      <c r="E1181" s="29" t="s">
        <v>2412</v>
      </c>
      <c r="F1181" s="29" t="s">
        <v>33</v>
      </c>
      <c r="G1181" s="30" t="s">
        <v>34</v>
      </c>
      <c r="H1181" s="31">
        <v>11073027.198994201</v>
      </c>
      <c r="I1181" s="31">
        <v>11339027.198994201</v>
      </c>
      <c r="J1181" s="32">
        <v>7.4699997901916504</v>
      </c>
      <c r="K1181" s="33">
        <v>45700</v>
      </c>
      <c r="L1181" s="31">
        <v>68400</v>
      </c>
      <c r="M1181" s="32">
        <v>3.88</v>
      </c>
      <c r="N1181" s="31" t="s">
        <v>35</v>
      </c>
      <c r="O1181" s="33">
        <v>45699</v>
      </c>
      <c r="P1181" s="34">
        <v>6964.2001953125</v>
      </c>
      <c r="Q1181" s="34">
        <v>6456.85498046875</v>
      </c>
      <c r="R1181" s="34">
        <v>8071.3095703125</v>
      </c>
      <c r="S1181" s="29"/>
      <c r="T1181" s="33"/>
      <c r="U1181" s="35" t="b">
        <v>1</v>
      </c>
      <c r="V1181" s="35" t="b">
        <v>0</v>
      </c>
      <c r="W1181" s="35" t="b">
        <v>0</v>
      </c>
      <c r="Y1181" s="31" cm="1">
        <f t="array" ref="Y1181">IF(LEFT(_xll.BDP($C1181, VOLUME_AVG_10D), 4) = "#N/A", "",  _xll.BDP($C1181, VOLUME_AVG_10D))</f>
        <v>3513.39990234375</v>
      </c>
      <c r="Z1181" s="31" cm="1">
        <f t="array" ref="Z1181">IF(LEFT(_xll.BDP($C1181, VOLUME_AVG_30D), 4) = "#N/A", "",  _xll.BDP($C1181, VOLUME_AVG_30D))</f>
        <v>6964.2001953125</v>
      </c>
      <c r="AA1181" s="31" cm="1">
        <f t="array" ref="AA1181">IF(LEFT(_xll.BDP($C1181, VOLUME_AVG_3M), 4) = "#N/A", "",  _xll.BDP($C1181, VOLUME_AVG_3M))</f>
        <v>6456.85498046875</v>
      </c>
      <c r="AB1181" s="31" cm="1">
        <f t="array" ref="AB1181">IF(LEFT(_xll.BDP($C1181, VOLUME_AVG_6M), 4) = "#N/A", "",  _xll.BDP($C1181, VOLUME_AVG_6M))</f>
        <v>8071.3095703125</v>
      </c>
      <c r="AC1181" s="31" cm="1">
        <f t="array" ref="AC1181">IF(LEFT(_xll.BDP($C1181, VOLUME_AVG_12M), 4) = "#N/A", "",  _xll.BDP($C1181, VOLUME_AVG_12M))</f>
        <v>6685.705078125</v>
      </c>
      <c r="AD1181" s="41" cm="1">
        <f t="array" ref="AD1181">IF(LEFT(_xll.BDP($C1181, LAST_PRICE), 4) = "#N/A", "",  _xll.BDP($C1181, LAST_PRICE))</f>
        <v>7.47</v>
      </c>
    </row>
    <row r="1182" spans="1:30" x14ac:dyDescent="0.35">
      <c r="A1182" s="1">
        <f t="shared" si="18"/>
        <v>1179</v>
      </c>
      <c r="B1182" s="28">
        <v>45700</v>
      </c>
      <c r="C1182" s="29" t="s">
        <v>2413</v>
      </c>
      <c r="D1182" s="29" t="s">
        <v>2413</v>
      </c>
      <c r="E1182" s="29" t="s">
        <v>2414</v>
      </c>
      <c r="F1182" s="29" t="s">
        <v>33</v>
      </c>
      <c r="G1182" s="30" t="s">
        <v>34</v>
      </c>
      <c r="H1182" s="31">
        <v>38892270.446824603</v>
      </c>
      <c r="I1182" s="31">
        <v>-51830729.553175397</v>
      </c>
      <c r="J1182" s="32">
        <v>5.0700001716613796</v>
      </c>
      <c r="K1182" s="33">
        <v>45700</v>
      </c>
      <c r="L1182" s="31">
        <v>609900</v>
      </c>
      <c r="M1182" s="32">
        <v>3.3</v>
      </c>
      <c r="N1182" s="31" t="s">
        <v>35</v>
      </c>
      <c r="O1182" s="33">
        <v>45699</v>
      </c>
      <c r="P1182" s="34">
        <v>854183.0625</v>
      </c>
      <c r="Q1182" s="34">
        <v>480239.15625</v>
      </c>
      <c r="R1182" s="34">
        <v>267963.09375</v>
      </c>
      <c r="S1182" s="29"/>
      <c r="T1182" s="33"/>
      <c r="U1182" s="35" t="b">
        <v>0</v>
      </c>
      <c r="V1182" s="35" t="b">
        <v>0</v>
      </c>
      <c r="W1182" s="35" t="b">
        <v>1</v>
      </c>
      <c r="Y1182" s="31" cm="1">
        <f t="array" ref="Y1182">IF(LEFT(_xll.BDP($C1182, VOLUME_AVG_10D), 4) = "#N/A", "",  _xll.BDP($C1182, VOLUME_AVG_10D))</f>
        <v>93839.6015625</v>
      </c>
      <c r="Z1182" s="31" cm="1">
        <f t="array" ref="Z1182">IF(LEFT(_xll.BDP($C1182, VOLUME_AVG_30D), 4) = "#N/A", "",  _xll.BDP($C1182, VOLUME_AVG_30D))</f>
        <v>854183.0625</v>
      </c>
      <c r="AA1182" s="31" cm="1">
        <f t="array" ref="AA1182">IF(LEFT(_xll.BDP($C1182, VOLUME_AVG_3M), 4) = "#N/A", "",  _xll.BDP($C1182, VOLUME_AVG_3M))</f>
        <v>480239.15625</v>
      </c>
      <c r="AB1182" s="31" cm="1">
        <f t="array" ref="AB1182">IF(LEFT(_xll.BDP($C1182, VOLUME_AVG_6M), 4) = "#N/A", "",  _xll.BDP($C1182, VOLUME_AVG_6M))</f>
        <v>267963.09375</v>
      </c>
      <c r="AC1182" s="31" cm="1">
        <f t="array" ref="AC1182">IF(LEFT(_xll.BDP($C1182, VOLUME_AVG_12M), 4) = "#N/A", "",  _xll.BDP($C1182, VOLUME_AVG_12M))</f>
        <v>176473.8125</v>
      </c>
      <c r="AD1182" s="41" cm="1">
        <f t="array" ref="AD1182">IF(LEFT(_xll.BDP($C1182, LAST_PRICE), 4) = "#N/A", "",  _xll.BDP($C1182, LAST_PRICE))</f>
        <v>5.07</v>
      </c>
    </row>
    <row r="1183" spans="1:30" x14ac:dyDescent="0.35">
      <c r="A1183" s="1">
        <f t="shared" si="18"/>
        <v>1180</v>
      </c>
      <c r="B1183" s="28">
        <v>45700</v>
      </c>
      <c r="C1183" s="29" t="s">
        <v>2415</v>
      </c>
      <c r="D1183" s="29" t="s">
        <v>2415</v>
      </c>
      <c r="E1183" s="29" t="s">
        <v>2416</v>
      </c>
      <c r="F1183" s="29" t="s">
        <v>33</v>
      </c>
      <c r="G1183" s="30" t="s">
        <v>34</v>
      </c>
      <c r="H1183" s="31">
        <v>31433340.288801201</v>
      </c>
      <c r="I1183" s="31">
        <v>33033950.288801201</v>
      </c>
      <c r="J1183" s="32">
        <v>4.9499998092651403</v>
      </c>
      <c r="K1183" s="33">
        <v>45700</v>
      </c>
      <c r="L1183" s="31">
        <v>122300</v>
      </c>
      <c r="M1183" s="32">
        <v>-11.25</v>
      </c>
      <c r="N1183" s="31" t="s">
        <v>35</v>
      </c>
      <c r="O1183" s="33">
        <v>45699</v>
      </c>
      <c r="P1183" s="34">
        <v>9399.099609375</v>
      </c>
      <c r="Q1183" s="34">
        <v>11483.0966796875</v>
      </c>
      <c r="R1183" s="34">
        <v>14552.9443359375</v>
      </c>
      <c r="S1183" s="29"/>
      <c r="T1183" s="33"/>
      <c r="U1183" s="35" t="b">
        <v>0</v>
      </c>
      <c r="V1183" s="35" t="b">
        <v>0</v>
      </c>
      <c r="W1183" s="35" t="b">
        <v>0</v>
      </c>
      <c r="Y1183" s="31" cm="1">
        <f t="array" ref="Y1183">IF(LEFT(_xll.BDP($C1183, VOLUME_AVG_10D), 4) = "#N/A", "",  _xll.BDP($C1183, VOLUME_AVG_10D))</f>
        <v>7256.7001953125</v>
      </c>
      <c r="Z1183" s="31" cm="1">
        <f t="array" ref="Z1183">IF(LEFT(_xll.BDP($C1183, VOLUME_AVG_30D), 4) = "#N/A", "",  _xll.BDP($C1183, VOLUME_AVG_30D))</f>
        <v>9399.099609375</v>
      </c>
      <c r="AA1183" s="31" cm="1">
        <f t="array" ref="AA1183">IF(LEFT(_xll.BDP($C1183, VOLUME_AVG_3M), 4) = "#N/A", "",  _xll.BDP($C1183, VOLUME_AVG_3M))</f>
        <v>11483.0966796875</v>
      </c>
      <c r="AB1183" s="31" cm="1">
        <f t="array" ref="AB1183">IF(LEFT(_xll.BDP($C1183, VOLUME_AVG_6M), 4) = "#N/A", "",  _xll.BDP($C1183, VOLUME_AVG_6M))</f>
        <v>14552.9443359375</v>
      </c>
      <c r="AC1183" s="31" cm="1">
        <f t="array" ref="AC1183">IF(LEFT(_xll.BDP($C1183, VOLUME_AVG_12M), 4) = "#N/A", "",  _xll.BDP($C1183, VOLUME_AVG_12M))</f>
        <v>9590.79296875</v>
      </c>
      <c r="AD1183" s="41" cm="1">
        <f t="array" ref="AD1183">IF(LEFT(_xll.BDP($C1183, LAST_PRICE), 4) = "#N/A", "",  _xll.BDP($C1183, LAST_PRICE))</f>
        <v>4.95</v>
      </c>
    </row>
    <row r="1184" spans="1:30" x14ac:dyDescent="0.35">
      <c r="A1184" s="1">
        <f t="shared" si="18"/>
        <v>1181</v>
      </c>
      <c r="B1184" s="28">
        <v>45700</v>
      </c>
      <c r="C1184" s="29" t="s">
        <v>2417</v>
      </c>
      <c r="D1184" s="29" t="s">
        <v>2417</v>
      </c>
      <c r="E1184" s="29" t="s">
        <v>2418</v>
      </c>
      <c r="F1184" s="29" t="s">
        <v>33</v>
      </c>
      <c r="G1184" s="30" t="s">
        <v>34</v>
      </c>
      <c r="H1184" s="31">
        <v>9733810.0343255997</v>
      </c>
      <c r="I1184" s="31">
        <v>9052664.0343255997</v>
      </c>
      <c r="J1184" s="32">
        <v>1.46000003814697</v>
      </c>
      <c r="K1184" s="33">
        <v>45700</v>
      </c>
      <c r="L1184" s="31">
        <v>372900</v>
      </c>
      <c r="M1184" s="32">
        <v>-50</v>
      </c>
      <c r="N1184" s="31" t="s">
        <v>35</v>
      </c>
      <c r="O1184" s="33">
        <v>45699</v>
      </c>
      <c r="P1184" s="34">
        <v>4018791.25</v>
      </c>
      <c r="Q1184" s="34">
        <v>1994271.25</v>
      </c>
      <c r="R1184" s="34">
        <v>1039416.8125</v>
      </c>
      <c r="S1184" s="29"/>
      <c r="T1184" s="33"/>
      <c r="U1184" s="35" t="b">
        <v>1</v>
      </c>
      <c r="V1184" s="35" t="b">
        <v>0</v>
      </c>
      <c r="W1184" s="35" t="b">
        <v>0</v>
      </c>
      <c r="Y1184" s="31" cm="1">
        <f t="array" ref="Y1184">IF(LEFT(_xll.BDP($C1184, VOLUME_AVG_10D), 4) = "#N/A", "",  _xll.BDP($C1184, VOLUME_AVG_10D))</f>
        <v>240313.5</v>
      </c>
      <c r="Z1184" s="31" cm="1">
        <f t="array" ref="Z1184">IF(LEFT(_xll.BDP($C1184, VOLUME_AVG_30D), 4) = "#N/A", "",  _xll.BDP($C1184, VOLUME_AVG_30D))</f>
        <v>4018791.25</v>
      </c>
      <c r="AA1184" s="31" cm="1">
        <f t="array" ref="AA1184">IF(LEFT(_xll.BDP($C1184, VOLUME_AVG_3M), 4) = "#N/A", "",  _xll.BDP($C1184, VOLUME_AVG_3M))</f>
        <v>1994271.25</v>
      </c>
      <c r="AB1184" s="31" cm="1">
        <f t="array" ref="AB1184">IF(LEFT(_xll.BDP($C1184, VOLUME_AVG_6M), 4) = "#N/A", "",  _xll.BDP($C1184, VOLUME_AVG_6M))</f>
        <v>1039416.8125</v>
      </c>
      <c r="AC1184" s="31" cm="1">
        <f t="array" ref="AC1184">IF(LEFT(_xll.BDP($C1184, VOLUME_AVG_12M), 4) = "#N/A", "",  _xll.BDP($C1184, VOLUME_AVG_12M))</f>
        <v>1659478.125</v>
      </c>
      <c r="AD1184" s="41" cm="1">
        <f t="array" ref="AD1184">IF(LEFT(_xll.BDP($C1184, LAST_PRICE), 4) = "#N/A", "",  _xll.BDP($C1184, LAST_PRICE))</f>
        <v>1.46</v>
      </c>
    </row>
    <row r="1185" spans="1:30" x14ac:dyDescent="0.35">
      <c r="A1185" s="1">
        <f t="shared" si="18"/>
        <v>1182</v>
      </c>
      <c r="B1185" s="28">
        <v>45700</v>
      </c>
      <c r="C1185" s="29" t="s">
        <v>2419</v>
      </c>
      <c r="D1185" s="29" t="s">
        <v>2419</v>
      </c>
      <c r="E1185" s="29" t="s">
        <v>2420</v>
      </c>
      <c r="F1185" s="29" t="s">
        <v>33</v>
      </c>
      <c r="G1185" s="30" t="s">
        <v>34</v>
      </c>
      <c r="H1185" s="31">
        <v>49855614.523101903</v>
      </c>
      <c r="I1185" s="31">
        <v>-85993385.476898104</v>
      </c>
      <c r="J1185" s="32">
        <v>0.90600001811981201</v>
      </c>
      <c r="K1185" s="33">
        <v>45700</v>
      </c>
      <c r="L1185" s="31">
        <v>2009900</v>
      </c>
      <c r="M1185" s="32">
        <v>3.35</v>
      </c>
      <c r="N1185" s="31" t="s">
        <v>35</v>
      </c>
      <c r="O1185" s="33">
        <v>45699</v>
      </c>
      <c r="P1185" s="34">
        <v>301386.375</v>
      </c>
      <c r="Q1185" s="34">
        <v>450251.1875</v>
      </c>
      <c r="R1185" s="34">
        <v>394953.1875</v>
      </c>
      <c r="S1185" s="29" t="s">
        <v>46</v>
      </c>
      <c r="T1185" s="33">
        <v>45215</v>
      </c>
      <c r="U1185" s="35" t="b">
        <v>0</v>
      </c>
      <c r="V1185" s="35" t="b">
        <v>0</v>
      </c>
      <c r="W1185" s="35" t="b">
        <v>1</v>
      </c>
      <c r="Y1185" s="31" cm="1">
        <f t="array" ref="Y1185">IF(LEFT(_xll.BDP($C1185, VOLUME_AVG_10D), 4) = "#N/A", "",  _xll.BDP($C1185, VOLUME_AVG_10D))</f>
        <v>226887.203125</v>
      </c>
      <c r="Z1185" s="31" cm="1">
        <f t="array" ref="Z1185">IF(LEFT(_xll.BDP($C1185, VOLUME_AVG_30D), 4) = "#N/A", "",  _xll.BDP($C1185, VOLUME_AVG_30D))</f>
        <v>301386.375</v>
      </c>
      <c r="AA1185" s="31" cm="1">
        <f t="array" ref="AA1185">IF(LEFT(_xll.BDP($C1185, VOLUME_AVG_3M), 4) = "#N/A", "",  _xll.BDP($C1185, VOLUME_AVG_3M))</f>
        <v>450251.1875</v>
      </c>
      <c r="AB1185" s="31" cm="1">
        <f t="array" ref="AB1185">IF(LEFT(_xll.BDP($C1185, VOLUME_AVG_6M), 4) = "#N/A", "",  _xll.BDP($C1185, VOLUME_AVG_6M))</f>
        <v>394953.1875</v>
      </c>
      <c r="AC1185" s="31" cm="1">
        <f t="array" ref="AC1185">IF(LEFT(_xll.BDP($C1185, VOLUME_AVG_12M), 4) = "#N/A", "",  _xll.BDP($C1185, VOLUME_AVG_12M))</f>
        <v>239235.921875</v>
      </c>
      <c r="AD1185" s="41" cm="1">
        <f t="array" ref="AD1185">IF(LEFT(_xll.BDP($C1185, LAST_PRICE), 4) = "#N/A", "",  _xll.BDP($C1185, LAST_PRICE))</f>
        <v>0.90600000000000003</v>
      </c>
    </row>
    <row r="1186" spans="1:30" x14ac:dyDescent="0.35">
      <c r="A1186" s="1">
        <f t="shared" si="18"/>
        <v>1183</v>
      </c>
      <c r="B1186" s="28">
        <v>45700</v>
      </c>
      <c r="C1186" s="29" t="s">
        <v>2421</v>
      </c>
      <c r="D1186" s="29" t="s">
        <v>2421</v>
      </c>
      <c r="E1186" s="29" t="s">
        <v>2422</v>
      </c>
      <c r="F1186" s="29" t="s">
        <v>33</v>
      </c>
      <c r="G1186" s="30" t="s">
        <v>34</v>
      </c>
      <c r="H1186" s="31">
        <v>699986.64564103005</v>
      </c>
      <c r="I1186" s="31"/>
      <c r="J1186" s="32">
        <v>6.99999975040555E-4</v>
      </c>
      <c r="K1186" s="33">
        <v>45700</v>
      </c>
      <c r="L1186" s="31"/>
      <c r="M1186" s="32"/>
      <c r="N1186" s="31"/>
      <c r="O1186" s="33">
        <v>45699</v>
      </c>
      <c r="P1186" s="34">
        <v>3353483</v>
      </c>
      <c r="Q1186" s="34">
        <v>3385397.5</v>
      </c>
      <c r="R1186" s="34">
        <v>6122027</v>
      </c>
      <c r="S1186" s="29"/>
      <c r="T1186" s="33"/>
      <c r="U1186" s="35" t="b">
        <v>1</v>
      </c>
      <c r="V1186" s="35" t="b">
        <v>1</v>
      </c>
      <c r="W1186" s="35" t="b">
        <v>1</v>
      </c>
      <c r="Y1186" s="31" cm="1">
        <f t="array" ref="Y1186">IF(LEFT(_xll.BDP($C1186, VOLUME_AVG_10D), 4) = "#N/A", "",  _xll.BDP($C1186, VOLUME_AVG_10D))</f>
        <v>3034648.75</v>
      </c>
      <c r="Z1186" s="31" cm="1">
        <f t="array" ref="Z1186">IF(LEFT(_xll.BDP($C1186, VOLUME_AVG_30D), 4) = "#N/A", "",  _xll.BDP($C1186, VOLUME_AVG_30D))</f>
        <v>3353483</v>
      </c>
      <c r="AA1186" s="31" cm="1">
        <f t="array" ref="AA1186">IF(LEFT(_xll.BDP($C1186, VOLUME_AVG_3M), 4) = "#N/A", "",  _xll.BDP($C1186, VOLUME_AVG_3M))</f>
        <v>3385397.5</v>
      </c>
      <c r="AB1186" s="31" cm="1">
        <f t="array" ref="AB1186">IF(LEFT(_xll.BDP($C1186, VOLUME_AVG_6M), 4) = "#N/A", "",  _xll.BDP($C1186, VOLUME_AVG_6M))</f>
        <v>6122027</v>
      </c>
      <c r="AC1186" s="31" cm="1">
        <f t="array" ref="AC1186">IF(LEFT(_xll.BDP($C1186, VOLUME_AVG_12M), 4) = "#N/A", "",  _xll.BDP($C1186, VOLUME_AVG_12M))</f>
        <v>4200021.5</v>
      </c>
      <c r="AD1186" s="41" cm="1">
        <f t="array" ref="AD1186">IF(LEFT(_xll.BDP($C1186, LAST_PRICE), 4) = "#N/A", "",  _xll.BDP($C1186, LAST_PRICE))</f>
        <v>6.9999999999999999E-4</v>
      </c>
    </row>
    <row r="1187" spans="1:30" x14ac:dyDescent="0.35">
      <c r="A1187" s="1">
        <f t="shared" si="18"/>
        <v>1184</v>
      </c>
      <c r="B1187" s="28">
        <v>45700</v>
      </c>
      <c r="C1187" s="29" t="s">
        <v>2423</v>
      </c>
      <c r="D1187" s="29" t="s">
        <v>2423</v>
      </c>
      <c r="E1187" s="29" t="s">
        <v>2424</v>
      </c>
      <c r="F1187" s="29" t="s">
        <v>40</v>
      </c>
      <c r="G1187" s="30" t="s">
        <v>41</v>
      </c>
      <c r="H1187" s="31">
        <v>9992547.57706815</v>
      </c>
      <c r="I1187" s="31">
        <v>58352547.577068202</v>
      </c>
      <c r="J1187" s="32">
        <v>0.18000000715255701</v>
      </c>
      <c r="K1187" s="33">
        <v>45700</v>
      </c>
      <c r="L1187" s="31"/>
      <c r="M1187" s="32"/>
      <c r="N1187" s="31"/>
      <c r="O1187" s="33">
        <v>45699</v>
      </c>
      <c r="P1187" s="34">
        <v>67550.87</v>
      </c>
      <c r="Q1187" s="34">
        <v>64987.88</v>
      </c>
      <c r="R1187" s="34">
        <v>72924.710000000006</v>
      </c>
      <c r="S1187" s="29"/>
      <c r="T1187" s="33"/>
      <c r="U1187" s="35" t="b">
        <v>1</v>
      </c>
      <c r="V1187" s="35" t="b">
        <v>0</v>
      </c>
      <c r="W1187" s="35" t="b">
        <v>0</v>
      </c>
      <c r="Y1187" s="31" cm="1">
        <f t="array" ref="Y1187">IF(LEFT(_xll.BDP($C1187, VOLUME_AVG_10D), 4) = "#N/A", "",  _xll.BDP($C1187, VOLUME_AVG_10D))</f>
        <v>23379.3</v>
      </c>
      <c r="Z1187" s="31" cm="1">
        <f t="array" ref="Z1187">IF(LEFT(_xll.BDP($C1187, VOLUME_AVG_30D), 4) = "#N/A", "",  _xll.BDP($C1187, VOLUME_AVG_30D))</f>
        <v>67550.87</v>
      </c>
      <c r="AA1187" s="31" cm="1">
        <f t="array" ref="AA1187">IF(LEFT(_xll.BDP($C1187, VOLUME_AVG_3M), 4) = "#N/A", "",  _xll.BDP($C1187, VOLUME_AVG_3M))</f>
        <v>64987.88</v>
      </c>
      <c r="AB1187" s="31" cm="1">
        <f t="array" ref="AB1187">IF(LEFT(_xll.BDP($C1187, VOLUME_AVG_6M), 4) = "#N/A", "",  _xll.BDP($C1187, VOLUME_AVG_6M))</f>
        <v>72924.710000000006</v>
      </c>
      <c r="AC1187" s="31" cm="1">
        <f t="array" ref="AC1187">IF(LEFT(_xll.BDP($C1187, VOLUME_AVG_12M), 4) = "#N/A", "",  _xll.BDP($C1187, VOLUME_AVG_12M))</f>
        <v>62333.71</v>
      </c>
      <c r="AD1187" s="41" cm="1">
        <f t="array" ref="AD1187">IF(LEFT(_xll.BDP($C1187, LAST_PRICE), 4) = "#N/A", "",  _xll.BDP($C1187, LAST_PRICE))</f>
        <v>0.18</v>
      </c>
    </row>
    <row r="1188" spans="1:30" x14ac:dyDescent="0.35">
      <c r="A1188" s="1">
        <f t="shared" si="18"/>
        <v>1185</v>
      </c>
      <c r="B1188" s="28">
        <v>45700</v>
      </c>
      <c r="C1188" s="29" t="s">
        <v>2425</v>
      </c>
      <c r="D1188" s="29" t="s">
        <v>2425</v>
      </c>
      <c r="E1188" s="29" t="s">
        <v>2426</v>
      </c>
      <c r="F1188" s="29" t="s">
        <v>33</v>
      </c>
      <c r="G1188" s="30" t="s">
        <v>34</v>
      </c>
      <c r="H1188" s="31">
        <v>1645359335.73721</v>
      </c>
      <c r="I1188" s="31">
        <v>1727588335.73721</v>
      </c>
      <c r="J1188" s="32">
        <v>18.0200004577637</v>
      </c>
      <c r="K1188" s="33">
        <v>45700</v>
      </c>
      <c r="L1188" s="31">
        <v>22023600</v>
      </c>
      <c r="M1188" s="32">
        <v>3.88</v>
      </c>
      <c r="N1188" s="31" t="s">
        <v>35</v>
      </c>
      <c r="O1188" s="33">
        <v>45699</v>
      </c>
      <c r="P1188" s="34">
        <v>1352495.375</v>
      </c>
      <c r="Q1188" s="34">
        <v>1125081</v>
      </c>
      <c r="R1188" s="34">
        <v>1073080.625</v>
      </c>
      <c r="S1188" s="29"/>
      <c r="T1188" s="33"/>
      <c r="U1188" s="35" t="b">
        <v>0</v>
      </c>
      <c r="V1188" s="35" t="b">
        <v>0</v>
      </c>
      <c r="W1188" s="35" t="b">
        <v>0</v>
      </c>
      <c r="Y1188" s="31" cm="1">
        <f t="array" ref="Y1188">IF(LEFT(_xll.BDP($C1188, VOLUME_AVG_10D), 4) = "#N/A", "",  _xll.BDP($C1188, VOLUME_AVG_10D))</f>
        <v>1633517.75</v>
      </c>
      <c r="Z1188" s="31" cm="1">
        <f t="array" ref="Z1188">IF(LEFT(_xll.BDP($C1188, VOLUME_AVG_30D), 4) = "#N/A", "",  _xll.BDP($C1188, VOLUME_AVG_30D))</f>
        <v>1352495.375</v>
      </c>
      <c r="AA1188" s="31" cm="1">
        <f t="array" ref="AA1188">IF(LEFT(_xll.BDP($C1188, VOLUME_AVG_3M), 4) = "#N/A", "",  _xll.BDP($C1188, VOLUME_AVG_3M))</f>
        <v>1125081</v>
      </c>
      <c r="AB1188" s="31" cm="1">
        <f t="array" ref="AB1188">IF(LEFT(_xll.BDP($C1188, VOLUME_AVG_6M), 4) = "#N/A", "",  _xll.BDP($C1188, VOLUME_AVG_6M))</f>
        <v>1073080.625</v>
      </c>
      <c r="AC1188" s="31" cm="1">
        <f t="array" ref="AC1188">IF(LEFT(_xll.BDP($C1188, VOLUME_AVG_12M), 4) = "#N/A", "",  _xll.BDP($C1188, VOLUME_AVG_12M))</f>
        <v>1335933.5</v>
      </c>
      <c r="AD1188" s="41" cm="1">
        <f t="array" ref="AD1188">IF(LEFT(_xll.BDP($C1188, LAST_PRICE), 4) = "#N/A", "",  _xll.BDP($C1188, LAST_PRICE))</f>
        <v>18.02</v>
      </c>
    </row>
    <row r="1189" spans="1:30" x14ac:dyDescent="0.35">
      <c r="A1189" s="1">
        <f t="shared" si="18"/>
        <v>1186</v>
      </c>
      <c r="B1189" s="28">
        <v>45700</v>
      </c>
      <c r="C1189" s="29" t="s">
        <v>2427</v>
      </c>
      <c r="D1189" s="29" t="s">
        <v>2427</v>
      </c>
      <c r="E1189" s="29" t="s">
        <v>2428</v>
      </c>
      <c r="F1189" s="29" t="s">
        <v>33</v>
      </c>
      <c r="G1189" s="30" t="s">
        <v>34</v>
      </c>
      <c r="H1189" s="31">
        <v>67061148.901107103</v>
      </c>
      <c r="I1189" s="31">
        <v>489362.901107073</v>
      </c>
      <c r="J1189" s="32">
        <v>5.5799999237060502</v>
      </c>
      <c r="K1189" s="33">
        <v>45700</v>
      </c>
      <c r="L1189" s="31"/>
      <c r="M1189" s="32"/>
      <c r="N1189" s="31"/>
      <c r="O1189" s="33">
        <v>45699</v>
      </c>
      <c r="P1189" s="34">
        <v>18341.30078125</v>
      </c>
      <c r="Q1189" s="34">
        <v>14390.193359375</v>
      </c>
      <c r="R1189" s="34">
        <v>16995.71484375</v>
      </c>
      <c r="S1189" s="29"/>
      <c r="T1189" s="33"/>
      <c r="U1189" s="35" t="b">
        <v>0</v>
      </c>
      <c r="V1189" s="35" t="b">
        <v>0</v>
      </c>
      <c r="W1189" s="35" t="b">
        <v>0</v>
      </c>
      <c r="Y1189" s="31" cm="1">
        <f t="array" ref="Y1189">IF(LEFT(_xll.BDP($C1189, VOLUME_AVG_10D), 4) = "#N/A", "",  _xll.BDP($C1189, VOLUME_AVG_10D))</f>
        <v>10359</v>
      </c>
      <c r="Z1189" s="31" cm="1">
        <f t="array" ref="Z1189">IF(LEFT(_xll.BDP($C1189, VOLUME_AVG_30D), 4) = "#N/A", "",  _xll.BDP($C1189, VOLUME_AVG_30D))</f>
        <v>18341.30078125</v>
      </c>
      <c r="AA1189" s="31" cm="1">
        <f t="array" ref="AA1189">IF(LEFT(_xll.BDP($C1189, VOLUME_AVG_3M), 4) = "#N/A", "",  _xll.BDP($C1189, VOLUME_AVG_3M))</f>
        <v>14390.193359375</v>
      </c>
      <c r="AB1189" s="31" cm="1">
        <f t="array" ref="AB1189">IF(LEFT(_xll.BDP($C1189, VOLUME_AVG_6M), 4) = "#N/A", "",  _xll.BDP($C1189, VOLUME_AVG_6M))</f>
        <v>16995.71484375</v>
      </c>
      <c r="AC1189" s="31" cm="1">
        <f t="array" ref="AC1189">IF(LEFT(_xll.BDP($C1189, VOLUME_AVG_12M), 4) = "#N/A", "",  _xll.BDP($C1189, VOLUME_AVG_12M))</f>
        <v>48447.25390625</v>
      </c>
      <c r="AD1189" s="41" cm="1">
        <f t="array" ref="AD1189">IF(LEFT(_xll.BDP($C1189, LAST_PRICE), 4) = "#N/A", "",  _xll.BDP($C1189, LAST_PRICE))</f>
        <v>5.58</v>
      </c>
    </row>
    <row r="1190" spans="1:30" x14ac:dyDescent="0.35">
      <c r="A1190" s="1">
        <f t="shared" si="18"/>
        <v>1187</v>
      </c>
      <c r="B1190" s="28">
        <v>45700</v>
      </c>
      <c r="C1190" s="29" t="s">
        <v>2429</v>
      </c>
      <c r="D1190" s="29" t="s">
        <v>2429</v>
      </c>
      <c r="E1190" s="29" t="s">
        <v>2430</v>
      </c>
      <c r="F1190" s="29" t="s">
        <v>33</v>
      </c>
      <c r="G1190" s="30" t="s">
        <v>34</v>
      </c>
      <c r="H1190" s="31">
        <v>294963.0048</v>
      </c>
      <c r="I1190" s="31">
        <v>28528499.004799999</v>
      </c>
      <c r="J1190" s="32">
        <v>7.1999999999999998E-3</v>
      </c>
      <c r="K1190" s="33">
        <v>45700</v>
      </c>
      <c r="L1190" s="31"/>
      <c r="M1190" s="32"/>
      <c r="N1190" s="31"/>
      <c r="O1190" s="33">
        <v>45699</v>
      </c>
      <c r="P1190" s="34">
        <v>7418.56689453125</v>
      </c>
      <c r="Q1190" s="34">
        <v>6434.8388671875</v>
      </c>
      <c r="R1190" s="34">
        <v>4705.873046875</v>
      </c>
      <c r="S1190" s="29"/>
      <c r="T1190" s="33"/>
      <c r="U1190" s="35" t="b">
        <v>1</v>
      </c>
      <c r="V1190" s="35" t="b">
        <v>1</v>
      </c>
      <c r="W1190" s="35" t="b">
        <v>0</v>
      </c>
      <c r="Y1190" s="31" cm="1">
        <f t="array" ref="Y1190">IF(LEFT(_xll.BDP($C1190, VOLUME_AVG_10D), 4) = "#N/A", "",  _xll.BDP($C1190, VOLUME_AVG_10D))</f>
        <v>6141.39990234375</v>
      </c>
      <c r="Z1190" s="31" cm="1">
        <f t="array" ref="Z1190">IF(LEFT(_xll.BDP($C1190, VOLUME_AVG_30D), 4) = "#N/A", "",  _xll.BDP($C1190, VOLUME_AVG_30D))</f>
        <v>7418.56689453125</v>
      </c>
      <c r="AA1190" s="31" cm="1">
        <f t="array" ref="AA1190">IF(LEFT(_xll.BDP($C1190, VOLUME_AVG_3M), 4) = "#N/A", "",  _xll.BDP($C1190, VOLUME_AVG_3M))</f>
        <v>6434.8388671875</v>
      </c>
      <c r="AB1190" s="31" cm="1">
        <f t="array" ref="AB1190">IF(LEFT(_xll.BDP($C1190, VOLUME_AVG_6M), 4) = "#N/A", "",  _xll.BDP($C1190, VOLUME_AVG_6M))</f>
        <v>4705.873046875</v>
      </c>
      <c r="AC1190" s="31" cm="1">
        <f t="array" ref="AC1190">IF(LEFT(_xll.BDP($C1190, VOLUME_AVG_12M), 4) = "#N/A", "",  _xll.BDP($C1190, VOLUME_AVG_12M))</f>
        <v>32448.900390625</v>
      </c>
      <c r="AD1190" s="41" cm="1">
        <f t="array" ref="AD1190">IF(LEFT(_xll.BDP($C1190, LAST_PRICE), 4) = "#N/A", "",  _xll.BDP($C1190, LAST_PRICE))</f>
        <v>7.1999999999999998E-3</v>
      </c>
    </row>
    <row r="1191" spans="1:30" x14ac:dyDescent="0.35">
      <c r="A1191" s="1">
        <f t="shared" si="18"/>
        <v>1188</v>
      </c>
      <c r="B1191" s="28">
        <v>45700</v>
      </c>
      <c r="C1191" s="29" t="s">
        <v>2431</v>
      </c>
      <c r="D1191" s="29" t="s">
        <v>2431</v>
      </c>
      <c r="E1191" s="29" t="s">
        <v>2432</v>
      </c>
      <c r="F1191" s="29" t="s">
        <v>33</v>
      </c>
      <c r="G1191" s="30" t="s">
        <v>34</v>
      </c>
      <c r="H1191" s="31">
        <v>4171581376.83675</v>
      </c>
      <c r="I1191" s="31">
        <v>5147839376.83675</v>
      </c>
      <c r="J1191" s="32">
        <v>84.209999084472699</v>
      </c>
      <c r="K1191" s="33">
        <v>45700</v>
      </c>
      <c r="L1191" s="31">
        <v>21549100</v>
      </c>
      <c r="M1191" s="32">
        <v>3.88</v>
      </c>
      <c r="N1191" s="31" t="s">
        <v>35</v>
      </c>
      <c r="O1191" s="33">
        <v>45699</v>
      </c>
      <c r="P1191" s="34">
        <v>310636.53125</v>
      </c>
      <c r="Q1191" s="34">
        <v>294736.09375</v>
      </c>
      <c r="R1191" s="34">
        <v>268128.125</v>
      </c>
      <c r="S1191" s="29" t="s">
        <v>2348</v>
      </c>
      <c r="T1191" s="33">
        <v>45446</v>
      </c>
      <c r="U1191" s="35" t="b">
        <v>0</v>
      </c>
      <c r="V1191" s="35" t="b">
        <v>0</v>
      </c>
      <c r="W1191" s="35" t="b">
        <v>0</v>
      </c>
      <c r="Y1191" s="31" cm="1">
        <f t="array" ref="Y1191">IF(LEFT(_xll.BDP($C1191, VOLUME_AVG_10D), 4) = "#N/A", "",  _xll.BDP($C1191, VOLUME_AVG_10D))</f>
        <v>387006.6875</v>
      </c>
      <c r="Z1191" s="31" cm="1">
        <f t="array" ref="Z1191">IF(LEFT(_xll.BDP($C1191, VOLUME_AVG_30D), 4) = "#N/A", "",  _xll.BDP($C1191, VOLUME_AVG_30D))</f>
        <v>310636.53125</v>
      </c>
      <c r="AA1191" s="31" cm="1">
        <f t="array" ref="AA1191">IF(LEFT(_xll.BDP($C1191, VOLUME_AVG_3M), 4) = "#N/A", "",  _xll.BDP($C1191, VOLUME_AVG_3M))</f>
        <v>294736.09375</v>
      </c>
      <c r="AB1191" s="31" cm="1">
        <f t="array" ref="AB1191">IF(LEFT(_xll.BDP($C1191, VOLUME_AVG_6M), 4) = "#N/A", "",  _xll.BDP($C1191, VOLUME_AVG_6M))</f>
        <v>268128.125</v>
      </c>
      <c r="AC1191" s="31" cm="1">
        <f t="array" ref="AC1191">IF(LEFT(_xll.BDP($C1191, VOLUME_AVG_12M), 4) = "#N/A", "",  _xll.BDP($C1191, VOLUME_AVG_12M))</f>
        <v>259792.25</v>
      </c>
      <c r="AD1191" s="41" cm="1">
        <f t="array" ref="AD1191">IF(LEFT(_xll.BDP($C1191, LAST_PRICE), 4) = "#N/A", "",  _xll.BDP($C1191, LAST_PRICE))</f>
        <v>84.21</v>
      </c>
    </row>
    <row r="1192" spans="1:30" x14ac:dyDescent="0.35">
      <c r="A1192" s="1">
        <f t="shared" si="18"/>
        <v>1189</v>
      </c>
      <c r="B1192" s="28">
        <v>45700</v>
      </c>
      <c r="C1192" s="29" t="s">
        <v>2433</v>
      </c>
      <c r="D1192" s="29" t="s">
        <v>2433</v>
      </c>
      <c r="E1192" s="29" t="s">
        <v>2434</v>
      </c>
      <c r="F1192" s="29" t="s">
        <v>33</v>
      </c>
      <c r="G1192" s="30" t="s">
        <v>34</v>
      </c>
      <c r="H1192" s="31">
        <v>334460140.84576398</v>
      </c>
      <c r="I1192" s="31">
        <v>226428140.84576401</v>
      </c>
      <c r="J1192" s="32">
        <v>2.5499999523162802</v>
      </c>
      <c r="K1192" s="33">
        <v>45700</v>
      </c>
      <c r="L1192" s="31">
        <v>496800</v>
      </c>
      <c r="M1192" s="32">
        <v>-3.45</v>
      </c>
      <c r="N1192" s="31" t="s">
        <v>35</v>
      </c>
      <c r="O1192" s="33">
        <v>45699</v>
      </c>
      <c r="P1192" s="34">
        <v>947593.375</v>
      </c>
      <c r="Q1192" s="34">
        <v>1131822.625</v>
      </c>
      <c r="R1192" s="34">
        <v>1274591.875</v>
      </c>
      <c r="S1192" s="29" t="s">
        <v>68</v>
      </c>
      <c r="T1192" s="33">
        <v>45446</v>
      </c>
      <c r="U1192" s="35" t="b">
        <v>0</v>
      </c>
      <c r="V1192" s="35" t="b">
        <v>0</v>
      </c>
      <c r="W1192" s="35" t="b">
        <v>0</v>
      </c>
      <c r="Y1192" s="31" cm="1">
        <f t="array" ref="Y1192">IF(LEFT(_xll.BDP($C1192, VOLUME_AVG_10D), 4) = "#N/A", "",  _xll.BDP($C1192, VOLUME_AVG_10D))</f>
        <v>1018868.8125</v>
      </c>
      <c r="Z1192" s="31" cm="1">
        <f t="array" ref="Z1192">IF(LEFT(_xll.BDP($C1192, VOLUME_AVG_30D), 4) = "#N/A", "",  _xll.BDP($C1192, VOLUME_AVG_30D))</f>
        <v>947593.375</v>
      </c>
      <c r="AA1192" s="31" cm="1">
        <f t="array" ref="AA1192">IF(LEFT(_xll.BDP($C1192, VOLUME_AVG_3M), 4) = "#N/A", "",  _xll.BDP($C1192, VOLUME_AVG_3M))</f>
        <v>1131822.625</v>
      </c>
      <c r="AB1192" s="31" cm="1">
        <f t="array" ref="AB1192">IF(LEFT(_xll.BDP($C1192, VOLUME_AVG_6M), 4) = "#N/A", "",  _xll.BDP($C1192, VOLUME_AVG_6M))</f>
        <v>1274591.875</v>
      </c>
      <c r="AC1192" s="31" cm="1">
        <f t="array" ref="AC1192">IF(LEFT(_xll.BDP($C1192, VOLUME_AVG_12M), 4) = "#N/A", "",  _xll.BDP($C1192, VOLUME_AVG_12M))</f>
        <v>1057494.125</v>
      </c>
      <c r="AD1192" s="41" cm="1">
        <f t="array" ref="AD1192">IF(LEFT(_xll.BDP($C1192, LAST_PRICE), 4) = "#N/A", "",  _xll.BDP($C1192, LAST_PRICE))</f>
        <v>2.5499999999999998</v>
      </c>
    </row>
    <row r="1193" spans="1:30" x14ac:dyDescent="0.35">
      <c r="A1193" s="1">
        <f t="shared" si="18"/>
        <v>1190</v>
      </c>
      <c r="B1193" s="28">
        <v>45700</v>
      </c>
      <c r="C1193" s="29" t="s">
        <v>2435</v>
      </c>
      <c r="D1193" s="29" t="s">
        <v>2435</v>
      </c>
      <c r="E1193" s="29" t="s">
        <v>2436</v>
      </c>
      <c r="F1193" s="29" t="s">
        <v>33</v>
      </c>
      <c r="G1193" s="30" t="s">
        <v>34</v>
      </c>
      <c r="H1193" s="31">
        <v>2896832636.4569898</v>
      </c>
      <c r="I1193" s="31">
        <v>2528308636.4569898</v>
      </c>
      <c r="J1193" s="32">
        <v>24.139999389648398</v>
      </c>
      <c r="K1193" s="33">
        <v>45700</v>
      </c>
      <c r="L1193" s="31">
        <v>38310000</v>
      </c>
      <c r="M1193" s="32">
        <v>3.88</v>
      </c>
      <c r="N1193" s="31" t="s">
        <v>35</v>
      </c>
      <c r="O1193" s="33">
        <v>45699</v>
      </c>
      <c r="P1193" s="34">
        <v>567195.375</v>
      </c>
      <c r="Q1193" s="34">
        <v>588034</v>
      </c>
      <c r="R1193" s="34">
        <v>687991.6875</v>
      </c>
      <c r="S1193" s="29"/>
      <c r="T1193" s="33"/>
      <c r="U1193" s="35" t="b">
        <v>0</v>
      </c>
      <c r="V1193" s="35" t="b">
        <v>0</v>
      </c>
      <c r="W1193" s="35" t="b">
        <v>0</v>
      </c>
      <c r="Y1193" s="31" cm="1">
        <f t="array" ref="Y1193">IF(LEFT(_xll.BDP($C1193, VOLUME_AVG_10D), 4) = "#N/A", "",  _xll.BDP($C1193, VOLUME_AVG_10D))</f>
        <v>601529</v>
      </c>
      <c r="Z1193" s="31" cm="1">
        <f t="array" ref="Z1193">IF(LEFT(_xll.BDP($C1193, VOLUME_AVG_30D), 4) = "#N/A", "",  _xll.BDP($C1193, VOLUME_AVG_30D))</f>
        <v>567195.375</v>
      </c>
      <c r="AA1193" s="31" cm="1">
        <f t="array" ref="AA1193">IF(LEFT(_xll.BDP($C1193, VOLUME_AVG_3M), 4) = "#N/A", "",  _xll.BDP($C1193, VOLUME_AVG_3M))</f>
        <v>588034</v>
      </c>
      <c r="AB1193" s="31" cm="1">
        <f t="array" ref="AB1193">IF(LEFT(_xll.BDP($C1193, VOLUME_AVG_6M), 4) = "#N/A", "",  _xll.BDP($C1193, VOLUME_AVG_6M))</f>
        <v>687991.6875</v>
      </c>
      <c r="AC1193" s="31" cm="1">
        <f t="array" ref="AC1193">IF(LEFT(_xll.BDP($C1193, VOLUME_AVG_12M), 4) = "#N/A", "",  _xll.BDP($C1193, VOLUME_AVG_12M))</f>
        <v>783871.3125</v>
      </c>
      <c r="AD1193" s="41" cm="1">
        <f t="array" ref="AD1193">IF(LEFT(_xll.BDP($C1193, LAST_PRICE), 4) = "#N/A", "",  _xll.BDP($C1193, LAST_PRICE))</f>
        <v>24.14</v>
      </c>
    </row>
    <row r="1194" spans="1:30" x14ac:dyDescent="0.35">
      <c r="A1194" s="1">
        <f t="shared" si="18"/>
        <v>1191</v>
      </c>
      <c r="B1194" s="28">
        <v>45700</v>
      </c>
      <c r="C1194" s="29" t="s">
        <v>2437</v>
      </c>
      <c r="D1194" s="29" t="s">
        <v>2437</v>
      </c>
      <c r="E1194" s="29" t="s">
        <v>2438</v>
      </c>
      <c r="F1194" s="29" t="s">
        <v>33</v>
      </c>
      <c r="G1194" s="30" t="s">
        <v>34</v>
      </c>
      <c r="H1194" s="31">
        <v>112522292.19817001</v>
      </c>
      <c r="I1194" s="31">
        <v>125111292.19817001</v>
      </c>
      <c r="J1194" s="32">
        <v>34.505001068115199</v>
      </c>
      <c r="K1194" s="33">
        <v>45700</v>
      </c>
      <c r="L1194" s="31">
        <v>318300</v>
      </c>
      <c r="M1194" s="32">
        <v>3.65</v>
      </c>
      <c r="N1194" s="31" t="s">
        <v>35</v>
      </c>
      <c r="O1194" s="33">
        <v>45699</v>
      </c>
      <c r="P1194" s="34">
        <v>30722.06640625</v>
      </c>
      <c r="Q1194" s="34">
        <v>33265.61328125</v>
      </c>
      <c r="R1194" s="34">
        <v>30841.650390625</v>
      </c>
      <c r="S1194" s="29"/>
      <c r="T1194" s="33"/>
      <c r="U1194" s="35" t="b">
        <v>0</v>
      </c>
      <c r="V1194" s="35" t="b">
        <v>0</v>
      </c>
      <c r="W1194" s="35" t="b">
        <v>0</v>
      </c>
      <c r="Y1194" s="31" cm="1">
        <f t="array" ref="Y1194">IF(LEFT(_xll.BDP($C1194, VOLUME_AVG_10D), 4) = "#N/A", "",  _xll.BDP($C1194, VOLUME_AVG_10D))</f>
        <v>41191.3984375</v>
      </c>
      <c r="Z1194" s="31" cm="1">
        <f t="array" ref="Z1194">IF(LEFT(_xll.BDP($C1194, VOLUME_AVG_30D), 4) = "#N/A", "",  _xll.BDP($C1194, VOLUME_AVG_30D))</f>
        <v>30722.06640625</v>
      </c>
      <c r="AA1194" s="31" cm="1">
        <f t="array" ref="AA1194">IF(LEFT(_xll.BDP($C1194, VOLUME_AVG_3M), 4) = "#N/A", "",  _xll.BDP($C1194, VOLUME_AVG_3M))</f>
        <v>33265.61328125</v>
      </c>
      <c r="AB1194" s="31" cm="1">
        <f t="array" ref="AB1194">IF(LEFT(_xll.BDP($C1194, VOLUME_AVG_6M), 4) = "#N/A", "",  _xll.BDP($C1194, VOLUME_AVG_6M))</f>
        <v>30841.650390625</v>
      </c>
      <c r="AC1194" s="31" cm="1">
        <f t="array" ref="AC1194">IF(LEFT(_xll.BDP($C1194, VOLUME_AVG_12M), 4) = "#N/A", "",  _xll.BDP($C1194, VOLUME_AVG_12M))</f>
        <v>19083.5703125</v>
      </c>
      <c r="AD1194" s="41" cm="1">
        <f t="array" ref="AD1194">IF(LEFT(_xll.BDP($C1194, LAST_PRICE), 4) = "#N/A", "",  _xll.BDP($C1194, LAST_PRICE))</f>
        <v>34.505000000000003</v>
      </c>
    </row>
    <row r="1195" spans="1:30" x14ac:dyDescent="0.35">
      <c r="A1195" s="1">
        <f t="shared" si="18"/>
        <v>1192</v>
      </c>
      <c r="B1195" s="28">
        <v>45700</v>
      </c>
      <c r="C1195" s="29" t="s">
        <v>2439</v>
      </c>
      <c r="D1195" s="29" t="s">
        <v>2439</v>
      </c>
      <c r="E1195" s="29" t="s">
        <v>2440</v>
      </c>
      <c r="F1195" s="29" t="s">
        <v>33</v>
      </c>
      <c r="G1195" s="30" t="s">
        <v>34</v>
      </c>
      <c r="H1195" s="31">
        <v>3602562488.19946</v>
      </c>
      <c r="I1195" s="31">
        <v>3424544488.19946</v>
      </c>
      <c r="J1195" s="32">
        <v>66.230003356933594</v>
      </c>
      <c r="K1195" s="33">
        <v>45700</v>
      </c>
      <c r="L1195" s="31">
        <v>14665900</v>
      </c>
      <c r="M1195" s="32">
        <v>3.88</v>
      </c>
      <c r="N1195" s="31" t="s">
        <v>35</v>
      </c>
      <c r="O1195" s="33">
        <v>45699</v>
      </c>
      <c r="P1195" s="34">
        <v>803866.625</v>
      </c>
      <c r="Q1195" s="34">
        <v>693945.5625</v>
      </c>
      <c r="R1195" s="34">
        <v>785024.625</v>
      </c>
      <c r="S1195" s="29"/>
      <c r="T1195" s="33"/>
      <c r="U1195" s="35" t="b">
        <v>0</v>
      </c>
      <c r="V1195" s="35" t="b">
        <v>0</v>
      </c>
      <c r="W1195" s="35" t="b">
        <v>0</v>
      </c>
      <c r="Y1195" s="31" cm="1">
        <f t="array" ref="Y1195">IF(LEFT(_xll.BDP($C1195, VOLUME_AVG_10D), 4) = "#N/A", "",  _xll.BDP($C1195, VOLUME_AVG_10D))</f>
        <v>661994.125</v>
      </c>
      <c r="Z1195" s="31" cm="1">
        <f t="array" ref="Z1195">IF(LEFT(_xll.BDP($C1195, VOLUME_AVG_30D), 4) = "#N/A", "",  _xll.BDP($C1195, VOLUME_AVG_30D))</f>
        <v>803866.625</v>
      </c>
      <c r="AA1195" s="31" cm="1">
        <f t="array" ref="AA1195">IF(LEFT(_xll.BDP($C1195, VOLUME_AVG_3M), 4) = "#N/A", "",  _xll.BDP($C1195, VOLUME_AVG_3M))</f>
        <v>693945.5625</v>
      </c>
      <c r="AB1195" s="31" cm="1">
        <f t="array" ref="AB1195">IF(LEFT(_xll.BDP($C1195, VOLUME_AVG_6M), 4) = "#N/A", "",  _xll.BDP($C1195, VOLUME_AVG_6M))</f>
        <v>785024.625</v>
      </c>
      <c r="AC1195" s="31" cm="1">
        <f t="array" ref="AC1195">IF(LEFT(_xll.BDP($C1195, VOLUME_AVG_12M), 4) = "#N/A", "",  _xll.BDP($C1195, VOLUME_AVG_12M))</f>
        <v>685710.375</v>
      </c>
      <c r="AD1195" s="41" cm="1">
        <f t="array" ref="AD1195">IF(LEFT(_xll.BDP($C1195, LAST_PRICE), 4) = "#N/A", "",  _xll.BDP($C1195, LAST_PRICE))</f>
        <v>66.23</v>
      </c>
    </row>
    <row r="1196" spans="1:30" x14ac:dyDescent="0.35">
      <c r="A1196" s="1">
        <f t="shared" si="18"/>
        <v>1193</v>
      </c>
      <c r="B1196" s="28">
        <v>45700</v>
      </c>
      <c r="C1196" s="29" t="s">
        <v>2441</v>
      </c>
      <c r="D1196" s="29" t="s">
        <v>2441</v>
      </c>
      <c r="E1196" s="29" t="s">
        <v>2442</v>
      </c>
      <c r="F1196" s="29" t="s">
        <v>33</v>
      </c>
      <c r="G1196" s="30" t="s">
        <v>34</v>
      </c>
      <c r="H1196" s="31">
        <v>9431135.1277591009</v>
      </c>
      <c r="I1196" s="31">
        <v>6636515.1277590999</v>
      </c>
      <c r="J1196" s="32">
        <v>0.60960000753402699</v>
      </c>
      <c r="K1196" s="33">
        <v>45700</v>
      </c>
      <c r="L1196" s="31">
        <v>198100</v>
      </c>
      <c r="M1196" s="32">
        <v>-21.1</v>
      </c>
      <c r="N1196" s="31" t="s">
        <v>35</v>
      </c>
      <c r="O1196" s="33">
        <v>45699</v>
      </c>
      <c r="P1196" s="34">
        <v>352404.4375</v>
      </c>
      <c r="Q1196" s="34">
        <v>481654.8125</v>
      </c>
      <c r="R1196" s="34">
        <v>274201.375</v>
      </c>
      <c r="S1196" s="29"/>
      <c r="T1196" s="33"/>
      <c r="U1196" s="35" t="b">
        <v>1</v>
      </c>
      <c r="V1196" s="35" t="b">
        <v>0</v>
      </c>
      <c r="W1196" s="35" t="b">
        <v>0</v>
      </c>
      <c r="Y1196" s="31" cm="1">
        <f t="array" ref="Y1196">IF(LEFT(_xll.BDP($C1196, VOLUME_AVG_10D), 4) = "#N/A", "",  _xll.BDP($C1196, VOLUME_AVG_10D))</f>
        <v>901500.375</v>
      </c>
      <c r="Z1196" s="31" cm="1">
        <f t="array" ref="Z1196">IF(LEFT(_xll.BDP($C1196, VOLUME_AVG_30D), 4) = "#N/A", "",  _xll.BDP($C1196, VOLUME_AVG_30D))</f>
        <v>352404.4375</v>
      </c>
      <c r="AA1196" s="31" cm="1">
        <f t="array" ref="AA1196">IF(LEFT(_xll.BDP($C1196, VOLUME_AVG_3M), 4) = "#N/A", "",  _xll.BDP($C1196, VOLUME_AVG_3M))</f>
        <v>481654.8125</v>
      </c>
      <c r="AB1196" s="31" cm="1">
        <f t="array" ref="AB1196">IF(LEFT(_xll.BDP($C1196, VOLUME_AVG_6M), 4) = "#N/A", "",  _xll.BDP($C1196, VOLUME_AVG_6M))</f>
        <v>274201.375</v>
      </c>
      <c r="AC1196" s="31" cm="1">
        <f t="array" ref="AC1196">IF(LEFT(_xll.BDP($C1196, VOLUME_AVG_12M), 4) = "#N/A", "",  _xll.BDP($C1196, VOLUME_AVG_12M))</f>
        <v>765458.875</v>
      </c>
      <c r="AD1196" s="41" cm="1">
        <f t="array" ref="AD1196">IF(LEFT(_xll.BDP($C1196, LAST_PRICE), 4) = "#N/A", "",  _xll.BDP($C1196, LAST_PRICE))</f>
        <v>0.60960000000000003</v>
      </c>
    </row>
    <row r="1197" spans="1:30" x14ac:dyDescent="0.35">
      <c r="A1197" s="1">
        <f t="shared" si="18"/>
        <v>1194</v>
      </c>
      <c r="B1197" s="28">
        <v>45700</v>
      </c>
      <c r="C1197" s="29" t="s">
        <v>2443</v>
      </c>
      <c r="D1197" s="29" t="s">
        <v>2443</v>
      </c>
      <c r="E1197" s="29" t="s">
        <v>2444</v>
      </c>
      <c r="F1197" s="29" t="s">
        <v>33</v>
      </c>
      <c r="G1197" s="30" t="s">
        <v>34</v>
      </c>
      <c r="H1197" s="31">
        <v>1461669.84</v>
      </c>
      <c r="I1197" s="31">
        <v>1570062.84</v>
      </c>
      <c r="J1197" s="32">
        <v>0.18</v>
      </c>
      <c r="K1197" s="33">
        <v>45700</v>
      </c>
      <c r="L1197" s="31"/>
      <c r="M1197" s="32"/>
      <c r="N1197" s="31"/>
      <c r="O1197" s="33">
        <v>45699</v>
      </c>
      <c r="P1197" s="34">
        <v>1856.40002441406</v>
      </c>
      <c r="Q1197" s="34">
        <v>2790.74194335938</v>
      </c>
      <c r="R1197" s="34">
        <v>1929.41271972656</v>
      </c>
      <c r="S1197" s="29"/>
      <c r="T1197" s="33"/>
      <c r="U1197" s="35" t="b">
        <v>1</v>
      </c>
      <c r="V1197" s="35" t="b">
        <v>0</v>
      </c>
      <c r="W1197" s="35" t="b">
        <v>0</v>
      </c>
      <c r="Y1197" s="31" cm="1">
        <f t="array" ref="Y1197">IF(LEFT(_xll.BDP($C1197, VOLUME_AVG_10D), 4) = "#N/A", "",  _xll.BDP($C1197, VOLUME_AVG_10D))</f>
        <v>1500</v>
      </c>
      <c r="Z1197" s="31" cm="1">
        <f t="array" ref="Z1197">IF(LEFT(_xll.BDP($C1197, VOLUME_AVG_30D), 4) = "#N/A", "",  _xll.BDP($C1197, VOLUME_AVG_30D))</f>
        <v>1856.4000244140625</v>
      </c>
      <c r="AA1197" s="31" cm="1">
        <f t="array" ref="AA1197">IF(LEFT(_xll.BDP($C1197, VOLUME_AVG_3M), 4) = "#N/A", "",  _xll.BDP($C1197, VOLUME_AVG_3M))</f>
        <v>2790.741943359375</v>
      </c>
      <c r="AB1197" s="31" cm="1">
        <f t="array" ref="AB1197">IF(LEFT(_xll.BDP($C1197, VOLUME_AVG_6M), 4) = "#N/A", "",  _xll.BDP($C1197, VOLUME_AVG_6M))</f>
        <v>1929.4127197265625</v>
      </c>
      <c r="AC1197" s="31" cm="1">
        <f t="array" ref="AC1197">IF(LEFT(_xll.BDP($C1197, VOLUME_AVG_12M), 4) = "#N/A", "",  _xll.BDP($C1197, VOLUME_AVG_12M))</f>
        <v>1851.0677490234375</v>
      </c>
      <c r="AD1197" s="41" cm="1">
        <f t="array" ref="AD1197">IF(LEFT(_xll.BDP($C1197, LAST_PRICE), 4) = "#N/A", "",  _xll.BDP($C1197, LAST_PRICE))</f>
        <v>0.18</v>
      </c>
    </row>
    <row r="1198" spans="1:30" x14ac:dyDescent="0.35">
      <c r="A1198" s="1">
        <f t="shared" si="18"/>
        <v>1195</v>
      </c>
      <c r="B1198" s="28">
        <v>45700</v>
      </c>
      <c r="C1198" s="29" t="s">
        <v>2445</v>
      </c>
      <c r="D1198" s="29" t="s">
        <v>2445</v>
      </c>
      <c r="E1198" s="29" t="s">
        <v>2446</v>
      </c>
      <c r="F1198" s="29" t="s">
        <v>33</v>
      </c>
      <c r="G1198" s="30" t="s">
        <v>34</v>
      </c>
      <c r="H1198" s="31"/>
      <c r="I1198" s="31"/>
      <c r="J1198" s="32">
        <v>9.9999999747524292E-7</v>
      </c>
      <c r="K1198" s="33">
        <v>45700</v>
      </c>
      <c r="L1198" s="31"/>
      <c r="M1198" s="32"/>
      <c r="N1198" s="31"/>
      <c r="O1198" s="33">
        <v>45699</v>
      </c>
      <c r="P1198" s="34">
        <v>1501.83337402344</v>
      </c>
      <c r="Q1198" s="34">
        <v>726.69354248046898</v>
      </c>
      <c r="R1198" s="34">
        <v>433.73016357421898</v>
      </c>
      <c r="S1198" s="29"/>
      <c r="T1198" s="33"/>
      <c r="U1198" s="35" t="b">
        <v>1</v>
      </c>
      <c r="V1198" s="35" t="b">
        <v>1</v>
      </c>
      <c r="W1198" s="35" t="b">
        <v>1</v>
      </c>
      <c r="Y1198" s="31" cm="1">
        <f t="array" ref="Y1198">IF(LEFT(_xll.BDP($C1198, VOLUME_AVG_10D), 4) = "#N/A", "",  _xll.BDP($C1198, VOLUME_AVG_10D))</f>
        <v>4505.5</v>
      </c>
      <c r="Z1198" s="31" cm="1">
        <f t="array" ref="Z1198">IF(LEFT(_xll.BDP($C1198, VOLUME_AVG_30D), 4) = "#N/A", "",  _xll.BDP($C1198, VOLUME_AVG_30D))</f>
        <v>1501.8333740234375</v>
      </c>
      <c r="AA1198" s="31" cm="1">
        <f t="array" ref="AA1198">IF(LEFT(_xll.BDP($C1198, VOLUME_AVG_3M), 4) = "#N/A", "",  _xll.BDP($C1198, VOLUME_AVG_3M))</f>
        <v>726.69354248046875</v>
      </c>
      <c r="AB1198" s="31" cm="1">
        <f t="array" ref="AB1198">IF(LEFT(_xll.BDP($C1198, VOLUME_AVG_6M), 4) = "#N/A", "",  _xll.BDP($C1198, VOLUME_AVG_6M))</f>
        <v>433.73016357421875</v>
      </c>
      <c r="AC1198" s="31" cm="1">
        <f t="array" ref="AC1198">IF(LEFT(_xll.BDP($C1198, VOLUME_AVG_12M), 4) = "#N/A", "",  _xll.BDP($C1198, VOLUME_AVG_12M))</f>
        <v>222.05577087402344</v>
      </c>
      <c r="AD1198" s="41" cm="1">
        <f t="array" ref="AD1198">IF(LEFT(_xll.BDP($C1198, LAST_PRICE), 4) = "#N/A", "",  _xll.BDP($C1198, LAST_PRICE))</f>
        <v>9.9999999999999995E-7</v>
      </c>
    </row>
    <row r="1199" spans="1:30" x14ac:dyDescent="0.35">
      <c r="A1199" s="1">
        <f t="shared" si="18"/>
        <v>1196</v>
      </c>
      <c r="B1199" s="28">
        <v>45700</v>
      </c>
      <c r="C1199" s="29" t="s">
        <v>2447</v>
      </c>
      <c r="D1199" s="29" t="s">
        <v>2447</v>
      </c>
      <c r="E1199" s="29" t="s">
        <v>2448</v>
      </c>
      <c r="F1199" s="29" t="s">
        <v>40</v>
      </c>
      <c r="G1199" s="30" t="s">
        <v>41</v>
      </c>
      <c r="H1199" s="31">
        <v>267955098.57185599</v>
      </c>
      <c r="I1199" s="31">
        <v>166985446.30183801</v>
      </c>
      <c r="J1199" s="32">
        <v>8.9200000762939506</v>
      </c>
      <c r="K1199" s="33">
        <v>45700</v>
      </c>
      <c r="L1199" s="31">
        <v>1292900</v>
      </c>
      <c r="M1199" s="32">
        <v>-1.45</v>
      </c>
      <c r="N1199" s="31" t="s">
        <v>35</v>
      </c>
      <c r="O1199" s="33">
        <v>45699</v>
      </c>
      <c r="P1199" s="34">
        <v>14230.43</v>
      </c>
      <c r="Q1199" s="34">
        <v>15231.64</v>
      </c>
      <c r="R1199" s="34">
        <v>15173.35</v>
      </c>
      <c r="S1199" s="29"/>
      <c r="T1199" s="33"/>
      <c r="U1199" s="35" t="b">
        <v>0</v>
      </c>
      <c r="V1199" s="35" t="b">
        <v>0</v>
      </c>
      <c r="W1199" s="35" t="b">
        <v>0</v>
      </c>
      <c r="Y1199" s="31" cm="1">
        <f t="array" ref="Y1199">IF(LEFT(_xll.BDP($C1199, VOLUME_AVG_10D), 4) = "#N/A", "",  _xll.BDP($C1199, VOLUME_AVG_10D))</f>
        <v>13723.4</v>
      </c>
      <c r="Z1199" s="31" cm="1">
        <f t="array" ref="Z1199">IF(LEFT(_xll.BDP($C1199, VOLUME_AVG_30D), 4) = "#N/A", "",  _xll.BDP($C1199, VOLUME_AVG_30D))</f>
        <v>14230.43</v>
      </c>
      <c r="AA1199" s="31" cm="1">
        <f t="array" ref="AA1199">IF(LEFT(_xll.BDP($C1199, VOLUME_AVG_3M), 4) = "#N/A", "",  _xll.BDP($C1199, VOLUME_AVG_3M))</f>
        <v>15231.64</v>
      </c>
      <c r="AB1199" s="31" cm="1">
        <f t="array" ref="AB1199">IF(LEFT(_xll.BDP($C1199, VOLUME_AVG_6M), 4) = "#N/A", "",  _xll.BDP($C1199, VOLUME_AVG_6M))</f>
        <v>15173.35</v>
      </c>
      <c r="AC1199" s="31" cm="1">
        <f t="array" ref="AC1199">IF(LEFT(_xll.BDP($C1199, VOLUME_AVG_12M), 4) = "#N/A", "",  _xll.BDP($C1199, VOLUME_AVG_12M))</f>
        <v>13521.17</v>
      </c>
      <c r="AD1199" s="41" cm="1">
        <f t="array" ref="AD1199">IF(LEFT(_xll.BDP($C1199, LAST_PRICE), 4) = "#N/A", "",  _xll.BDP($C1199, LAST_PRICE))</f>
        <v>8.92</v>
      </c>
    </row>
    <row r="1200" spans="1:30" x14ac:dyDescent="0.35">
      <c r="A1200" s="1">
        <f t="shared" si="18"/>
        <v>1197</v>
      </c>
      <c r="B1200" s="28">
        <v>45700</v>
      </c>
      <c r="C1200" s="29" t="s">
        <v>2449</v>
      </c>
      <c r="D1200" s="29" t="s">
        <v>2449</v>
      </c>
      <c r="E1200" s="29" t="s">
        <v>2450</v>
      </c>
      <c r="F1200" s="29" t="s">
        <v>33</v>
      </c>
      <c r="G1200" s="30" t="s">
        <v>34</v>
      </c>
      <c r="H1200" s="31">
        <v>1875074978.32007</v>
      </c>
      <c r="I1200" s="31">
        <v>1658851978.32007</v>
      </c>
      <c r="J1200" s="32">
        <v>22.0200004577637</v>
      </c>
      <c r="K1200" s="33">
        <v>45700</v>
      </c>
      <c r="L1200" s="31">
        <v>31143600</v>
      </c>
      <c r="M1200" s="32">
        <v>3.88</v>
      </c>
      <c r="N1200" s="31" t="s">
        <v>35</v>
      </c>
      <c r="O1200" s="33">
        <v>45699</v>
      </c>
      <c r="P1200" s="34">
        <v>1988002</v>
      </c>
      <c r="Q1200" s="34">
        <v>1885841.75</v>
      </c>
      <c r="R1200" s="34">
        <v>2034439.5</v>
      </c>
      <c r="S1200" s="29"/>
      <c r="T1200" s="33"/>
      <c r="U1200" s="35" t="b">
        <v>0</v>
      </c>
      <c r="V1200" s="35" t="b">
        <v>0</v>
      </c>
      <c r="W1200" s="35" t="b">
        <v>0</v>
      </c>
      <c r="Y1200" s="31" cm="1">
        <f t="array" ref="Y1200">IF(LEFT(_xll.BDP($C1200, VOLUME_AVG_10D), 4) = "#N/A", "",  _xll.BDP($C1200, VOLUME_AVG_10D))</f>
        <v>1596366.125</v>
      </c>
      <c r="Z1200" s="31" cm="1">
        <f t="array" ref="Z1200">IF(LEFT(_xll.BDP($C1200, VOLUME_AVG_30D), 4) = "#N/A", "",  _xll.BDP($C1200, VOLUME_AVG_30D))</f>
        <v>1988002</v>
      </c>
      <c r="AA1200" s="31" cm="1">
        <f t="array" ref="AA1200">IF(LEFT(_xll.BDP($C1200, VOLUME_AVG_3M), 4) = "#N/A", "",  _xll.BDP($C1200, VOLUME_AVG_3M))</f>
        <v>1885841.75</v>
      </c>
      <c r="AB1200" s="31" cm="1">
        <f t="array" ref="AB1200">IF(LEFT(_xll.BDP($C1200, VOLUME_AVG_6M), 4) = "#N/A", "",  _xll.BDP($C1200, VOLUME_AVG_6M))</f>
        <v>2034439.5</v>
      </c>
      <c r="AC1200" s="31" cm="1">
        <f t="array" ref="AC1200">IF(LEFT(_xll.BDP($C1200, VOLUME_AVG_12M), 4) = "#N/A", "",  _xll.BDP($C1200, VOLUME_AVG_12M))</f>
        <v>1585616</v>
      </c>
      <c r="AD1200" s="41" cm="1">
        <f t="array" ref="AD1200">IF(LEFT(_xll.BDP($C1200, LAST_PRICE), 4) = "#N/A", "",  _xll.BDP($C1200, LAST_PRICE))</f>
        <v>22.02</v>
      </c>
    </row>
    <row r="1201" spans="1:30" x14ac:dyDescent="0.35">
      <c r="A1201" s="1">
        <f t="shared" si="18"/>
        <v>1198</v>
      </c>
      <c r="B1201" s="28">
        <v>45700</v>
      </c>
      <c r="C1201" s="29" t="s">
        <v>2451</v>
      </c>
      <c r="D1201" s="29" t="s">
        <v>2451</v>
      </c>
      <c r="E1201" s="29" t="s">
        <v>2452</v>
      </c>
      <c r="F1201" s="29" t="s">
        <v>33</v>
      </c>
      <c r="G1201" s="30" t="s">
        <v>34</v>
      </c>
      <c r="H1201" s="31">
        <v>449051787.45664501</v>
      </c>
      <c r="I1201" s="31">
        <v>1471975787.45665</v>
      </c>
      <c r="J1201" s="32">
        <v>1.53999996185303</v>
      </c>
      <c r="K1201" s="33">
        <v>45700</v>
      </c>
      <c r="L1201" s="31"/>
      <c r="M1201" s="32"/>
      <c r="N1201" s="31"/>
      <c r="O1201" s="33">
        <v>45699</v>
      </c>
      <c r="P1201" s="34">
        <v>422258.5625</v>
      </c>
      <c r="Q1201" s="34">
        <v>446770.25</v>
      </c>
      <c r="R1201" s="34">
        <v>565795.5625</v>
      </c>
      <c r="S1201" s="29" t="s">
        <v>217</v>
      </c>
      <c r="T1201" s="33">
        <v>45215</v>
      </c>
      <c r="U1201" s="35" t="b">
        <v>0</v>
      </c>
      <c r="V1201" s="35" t="b">
        <v>0</v>
      </c>
      <c r="W1201" s="35" t="b">
        <v>0</v>
      </c>
      <c r="Y1201" s="31" cm="1">
        <f t="array" ref="Y1201">IF(LEFT(_xll.BDP($C1201, VOLUME_AVG_10D), 4) = "#N/A", "",  _xll.BDP($C1201, VOLUME_AVG_10D))</f>
        <v>326317.1875</v>
      </c>
      <c r="Z1201" s="31" cm="1">
        <f t="array" ref="Z1201">IF(LEFT(_xll.BDP($C1201, VOLUME_AVG_30D), 4) = "#N/A", "",  _xll.BDP($C1201, VOLUME_AVG_30D))</f>
        <v>422258.5625</v>
      </c>
      <c r="AA1201" s="31" cm="1">
        <f t="array" ref="AA1201">IF(LEFT(_xll.BDP($C1201, VOLUME_AVG_3M), 4) = "#N/A", "",  _xll.BDP($C1201, VOLUME_AVG_3M))</f>
        <v>446770.25</v>
      </c>
      <c r="AB1201" s="31" cm="1">
        <f t="array" ref="AB1201">IF(LEFT(_xll.BDP($C1201, VOLUME_AVG_6M), 4) = "#N/A", "",  _xll.BDP($C1201, VOLUME_AVG_6M))</f>
        <v>565795.5625</v>
      </c>
      <c r="AC1201" s="31" cm="1">
        <f t="array" ref="AC1201">IF(LEFT(_xll.BDP($C1201, VOLUME_AVG_12M), 4) = "#N/A", "",  _xll.BDP($C1201, VOLUME_AVG_12M))</f>
        <v>673447.625</v>
      </c>
      <c r="AD1201" s="41" cm="1">
        <f t="array" ref="AD1201">IF(LEFT(_xll.BDP($C1201, LAST_PRICE), 4) = "#N/A", "",  _xll.BDP($C1201, LAST_PRICE))</f>
        <v>1.54</v>
      </c>
    </row>
    <row r="1202" spans="1:30" x14ac:dyDescent="0.35">
      <c r="A1202" s="1">
        <f t="shared" si="18"/>
        <v>1199</v>
      </c>
      <c r="B1202" s="28">
        <v>45700</v>
      </c>
      <c r="C1202" s="29" t="s">
        <v>2453</v>
      </c>
      <c r="D1202" s="29" t="s">
        <v>2453</v>
      </c>
      <c r="E1202" s="29" t="s">
        <v>2454</v>
      </c>
      <c r="F1202" s="29" t="s">
        <v>33</v>
      </c>
      <c r="G1202" s="30" t="s">
        <v>34</v>
      </c>
      <c r="H1202" s="31">
        <v>29819078.270044301</v>
      </c>
      <c r="I1202" s="31">
        <v>17188574.270044301</v>
      </c>
      <c r="J1202" s="32">
        <v>0.91219997406005904</v>
      </c>
      <c r="K1202" s="33">
        <v>45700</v>
      </c>
      <c r="L1202" s="31"/>
      <c r="M1202" s="32"/>
      <c r="N1202" s="31"/>
      <c r="O1202" s="33">
        <v>45699</v>
      </c>
      <c r="P1202" s="34">
        <v>46729</v>
      </c>
      <c r="Q1202" s="34">
        <v>55362.82421875</v>
      </c>
      <c r="R1202" s="34">
        <v>62129.17578125</v>
      </c>
      <c r="S1202" s="29"/>
      <c r="T1202" s="33"/>
      <c r="U1202" s="35" t="b">
        <v>0</v>
      </c>
      <c r="V1202" s="35" t="b">
        <v>0</v>
      </c>
      <c r="W1202" s="35" t="b">
        <v>0</v>
      </c>
      <c r="Y1202" s="31" cm="1">
        <f t="array" ref="Y1202">IF(LEFT(_xll.BDP($C1202, VOLUME_AVG_10D), 4) = "#N/A", "",  _xll.BDP($C1202, VOLUME_AVG_10D))</f>
        <v>29413.69921875</v>
      </c>
      <c r="Z1202" s="31" cm="1">
        <f t="array" ref="Z1202">IF(LEFT(_xll.BDP($C1202, VOLUME_AVG_30D), 4) = "#N/A", "",  _xll.BDP($C1202, VOLUME_AVG_30D))</f>
        <v>46729</v>
      </c>
      <c r="AA1202" s="31" cm="1">
        <f t="array" ref="AA1202">IF(LEFT(_xll.BDP($C1202, VOLUME_AVG_3M), 4) = "#N/A", "",  _xll.BDP($C1202, VOLUME_AVG_3M))</f>
        <v>55362.82421875</v>
      </c>
      <c r="AB1202" s="31" cm="1">
        <f t="array" ref="AB1202">IF(LEFT(_xll.BDP($C1202, VOLUME_AVG_6M), 4) = "#N/A", "",  _xll.BDP($C1202, VOLUME_AVG_6M))</f>
        <v>62129.17578125</v>
      </c>
      <c r="AC1202" s="31" cm="1">
        <f t="array" ref="AC1202">IF(LEFT(_xll.BDP($C1202, VOLUME_AVG_12M), 4) = "#N/A", "",  _xll.BDP($C1202, VOLUME_AVG_12M))</f>
        <v>67814.7109375</v>
      </c>
      <c r="AD1202" s="41" cm="1">
        <f t="array" ref="AD1202">IF(LEFT(_xll.BDP($C1202, LAST_PRICE), 4) = "#N/A", "",  _xll.BDP($C1202, LAST_PRICE))</f>
        <v>0.91220000000000001</v>
      </c>
    </row>
    <row r="1203" spans="1:30" x14ac:dyDescent="0.35">
      <c r="A1203" s="1">
        <f t="shared" si="18"/>
        <v>1200</v>
      </c>
      <c r="B1203" s="28">
        <v>45700</v>
      </c>
      <c r="C1203" s="29" t="s">
        <v>2455</v>
      </c>
      <c r="D1203" s="29" t="s">
        <v>2455</v>
      </c>
      <c r="E1203" s="29" t="s">
        <v>2456</v>
      </c>
      <c r="F1203" s="29" t="s">
        <v>33</v>
      </c>
      <c r="G1203" s="30" t="s">
        <v>34</v>
      </c>
      <c r="H1203" s="31">
        <v>6696665.0092757298</v>
      </c>
      <c r="I1203" s="31">
        <v>33117665.009275701</v>
      </c>
      <c r="J1203" s="32">
        <v>0.28049999475479098</v>
      </c>
      <c r="K1203" s="33">
        <v>45700</v>
      </c>
      <c r="L1203" s="31">
        <v>946300</v>
      </c>
      <c r="M1203" s="32">
        <v>3.05</v>
      </c>
      <c r="N1203" s="31" t="s">
        <v>35</v>
      </c>
      <c r="O1203" s="33">
        <v>45699</v>
      </c>
      <c r="P1203" s="34">
        <v>992782.8125</v>
      </c>
      <c r="Q1203" s="34">
        <v>603934.25</v>
      </c>
      <c r="R1203" s="34">
        <v>335488.34375</v>
      </c>
      <c r="S1203" s="29" t="s">
        <v>671</v>
      </c>
      <c r="T1203" s="33">
        <v>45215</v>
      </c>
      <c r="U1203" s="35" t="b">
        <v>1</v>
      </c>
      <c r="V1203" s="35" t="b">
        <v>0</v>
      </c>
      <c r="W1203" s="35" t="b">
        <v>0</v>
      </c>
      <c r="Y1203" s="31" cm="1">
        <f t="array" ref="Y1203">IF(LEFT(_xll.BDP($C1203, VOLUME_AVG_10D), 4) = "#N/A", "",  _xll.BDP($C1203, VOLUME_AVG_10D))</f>
        <v>2160218.5</v>
      </c>
      <c r="Z1203" s="31" cm="1">
        <f t="array" ref="Z1203">IF(LEFT(_xll.BDP($C1203, VOLUME_AVG_30D), 4) = "#N/A", "",  _xll.BDP($C1203, VOLUME_AVG_30D))</f>
        <v>992782.8125</v>
      </c>
      <c r="AA1203" s="31" cm="1">
        <f t="array" ref="AA1203">IF(LEFT(_xll.BDP($C1203, VOLUME_AVG_3M), 4) = "#N/A", "",  _xll.BDP($C1203, VOLUME_AVG_3M))</f>
        <v>603934.25</v>
      </c>
      <c r="AB1203" s="31" cm="1">
        <f t="array" ref="AB1203">IF(LEFT(_xll.BDP($C1203, VOLUME_AVG_6M), 4) = "#N/A", "",  _xll.BDP($C1203, VOLUME_AVG_6M))</f>
        <v>335488.34375</v>
      </c>
      <c r="AC1203" s="31" cm="1">
        <f t="array" ref="AC1203">IF(LEFT(_xll.BDP($C1203, VOLUME_AVG_12M), 4) = "#N/A", "",  _xll.BDP($C1203, VOLUME_AVG_12M))</f>
        <v>190508.859375</v>
      </c>
      <c r="AD1203" s="41" cm="1">
        <f t="array" ref="AD1203">IF(LEFT(_xll.BDP($C1203, LAST_PRICE), 4) = "#N/A", "",  _xll.BDP($C1203, LAST_PRICE))</f>
        <v>0.28050000000000003</v>
      </c>
    </row>
    <row r="1204" spans="1:30" x14ac:dyDescent="0.35">
      <c r="A1204" s="1">
        <f t="shared" si="18"/>
        <v>1201</v>
      </c>
      <c r="B1204" s="28">
        <v>45700</v>
      </c>
      <c r="C1204" s="29" t="s">
        <v>2457</v>
      </c>
      <c r="D1204" s="29" t="s">
        <v>2457</v>
      </c>
      <c r="E1204" s="29" t="s">
        <v>2458</v>
      </c>
      <c r="F1204" s="29" t="s">
        <v>33</v>
      </c>
      <c r="G1204" s="30" t="s">
        <v>34</v>
      </c>
      <c r="H1204" s="31">
        <v>235522124.20272899</v>
      </c>
      <c r="I1204" s="31">
        <v>240817831.23232001</v>
      </c>
      <c r="J1204" s="32">
        <v>2.2400000095367401</v>
      </c>
      <c r="K1204" s="33">
        <v>45700</v>
      </c>
      <c r="L1204" s="31"/>
      <c r="M1204" s="32"/>
      <c r="N1204" s="31"/>
      <c r="O1204" s="33">
        <v>45699</v>
      </c>
      <c r="P1204" s="34">
        <v>345147.0625</v>
      </c>
      <c r="Q1204" s="34">
        <v>470001.59375</v>
      </c>
      <c r="R1204" s="34">
        <v>895237</v>
      </c>
      <c r="S1204" s="29"/>
      <c r="T1204" s="33"/>
      <c r="U1204" s="35" t="b">
        <v>0</v>
      </c>
      <c r="V1204" s="35" t="b">
        <v>0</v>
      </c>
      <c r="W1204" s="35" t="b">
        <v>0</v>
      </c>
      <c r="Y1204" s="31" cm="1">
        <f t="array" ref="Y1204">IF(LEFT(_xll.BDP($C1204, VOLUME_AVG_10D), 4) = "#N/A", "",  _xll.BDP($C1204, VOLUME_AVG_10D))</f>
        <v>347720.6875</v>
      </c>
      <c r="Z1204" s="31" cm="1">
        <f t="array" ref="Z1204">IF(LEFT(_xll.BDP($C1204, VOLUME_AVG_30D), 4) = "#N/A", "",  _xll.BDP($C1204, VOLUME_AVG_30D))</f>
        <v>345147.0625</v>
      </c>
      <c r="AA1204" s="31" cm="1">
        <f t="array" ref="AA1204">IF(LEFT(_xll.BDP($C1204, VOLUME_AVG_3M), 4) = "#N/A", "",  _xll.BDP($C1204, VOLUME_AVG_3M))</f>
        <v>470001.59375</v>
      </c>
      <c r="AB1204" s="31" cm="1">
        <f t="array" ref="AB1204">IF(LEFT(_xll.BDP($C1204, VOLUME_AVG_6M), 4) = "#N/A", "",  _xll.BDP($C1204, VOLUME_AVG_6M))</f>
        <v>895237</v>
      </c>
      <c r="AC1204" s="31" cm="1">
        <f t="array" ref="AC1204">IF(LEFT(_xll.BDP($C1204, VOLUME_AVG_12M), 4) = "#N/A", "",  _xll.BDP($C1204, VOLUME_AVG_12M))</f>
        <v>520163.46875</v>
      </c>
      <c r="AD1204" s="41" cm="1">
        <f t="array" ref="AD1204">IF(LEFT(_xll.BDP($C1204, LAST_PRICE), 4) = "#N/A", "",  _xll.BDP($C1204, LAST_PRICE))</f>
        <v>2.2400000000000002</v>
      </c>
    </row>
    <row r="1205" spans="1:30" x14ac:dyDescent="0.35">
      <c r="A1205" s="1">
        <f t="shared" si="18"/>
        <v>1202</v>
      </c>
      <c r="B1205" s="28">
        <v>45700</v>
      </c>
      <c r="C1205" s="29" t="s">
        <v>2459</v>
      </c>
      <c r="D1205" s="29" t="s">
        <v>2459</v>
      </c>
      <c r="E1205" s="29" t="s">
        <v>2460</v>
      </c>
      <c r="F1205" s="29" t="s">
        <v>33</v>
      </c>
      <c r="G1205" s="30" t="s">
        <v>34</v>
      </c>
      <c r="H1205" s="31">
        <v>1937810.1461094001</v>
      </c>
      <c r="I1205" s="31">
        <v>882005.14610940195</v>
      </c>
      <c r="J1205" s="32">
        <v>0.26759999990463301</v>
      </c>
      <c r="K1205" s="33">
        <v>45700</v>
      </c>
      <c r="L1205" s="31">
        <v>121200</v>
      </c>
      <c r="M1205" s="32">
        <v>-2.95</v>
      </c>
      <c r="N1205" s="31" t="s">
        <v>35</v>
      </c>
      <c r="O1205" s="33">
        <v>45699</v>
      </c>
      <c r="P1205" s="34">
        <v>467317.90625</v>
      </c>
      <c r="Q1205" s="34">
        <v>447633.34375</v>
      </c>
      <c r="R1205" s="34">
        <v>348317.46875</v>
      </c>
      <c r="S1205" s="29"/>
      <c r="T1205" s="33"/>
      <c r="U1205" s="35" t="b">
        <v>1</v>
      </c>
      <c r="V1205" s="35" t="b">
        <v>0</v>
      </c>
      <c r="W1205" s="35" t="b">
        <v>0</v>
      </c>
      <c r="Y1205" s="31" cm="1">
        <f t="array" ref="Y1205">IF(LEFT(_xll.BDP($C1205, VOLUME_AVG_10D), 4) = "#N/A", "",  _xll.BDP($C1205, VOLUME_AVG_10D))</f>
        <v>727196.1875</v>
      </c>
      <c r="Z1205" s="31" cm="1">
        <f t="array" ref="Z1205">IF(LEFT(_xll.BDP($C1205, VOLUME_AVG_30D), 4) = "#N/A", "",  _xll.BDP($C1205, VOLUME_AVG_30D))</f>
        <v>467317.90625</v>
      </c>
      <c r="AA1205" s="31" cm="1">
        <f t="array" ref="AA1205">IF(LEFT(_xll.BDP($C1205, VOLUME_AVG_3M), 4) = "#N/A", "",  _xll.BDP($C1205, VOLUME_AVG_3M))</f>
        <v>447633.34375</v>
      </c>
      <c r="AB1205" s="31" cm="1">
        <f t="array" ref="AB1205">IF(LEFT(_xll.BDP($C1205, VOLUME_AVG_6M), 4) = "#N/A", "",  _xll.BDP($C1205, VOLUME_AVG_6M))</f>
        <v>348317.46875</v>
      </c>
      <c r="AC1205" s="31" cm="1">
        <f t="array" ref="AC1205">IF(LEFT(_xll.BDP($C1205, VOLUME_AVG_12M), 4) = "#N/A", "",  _xll.BDP($C1205, VOLUME_AVG_12M))</f>
        <v>181140.6875</v>
      </c>
      <c r="AD1205" s="41" cm="1">
        <f t="array" ref="AD1205">IF(LEFT(_xll.BDP($C1205, LAST_PRICE), 4) = "#N/A", "",  _xll.BDP($C1205, LAST_PRICE))</f>
        <v>0.2676</v>
      </c>
    </row>
    <row r="1206" spans="1:30" x14ac:dyDescent="0.35">
      <c r="A1206" s="1">
        <f t="shared" si="18"/>
        <v>1203</v>
      </c>
      <c r="B1206" s="28">
        <v>45700</v>
      </c>
      <c r="C1206" s="29" t="s">
        <v>2461</v>
      </c>
      <c r="D1206" s="29" t="s">
        <v>2461</v>
      </c>
      <c r="E1206" s="29" t="s">
        <v>2462</v>
      </c>
      <c r="F1206" s="29" t="s">
        <v>33</v>
      </c>
      <c r="G1206" s="30" t="s">
        <v>34</v>
      </c>
      <c r="H1206" s="31">
        <v>2230157724.4327698</v>
      </c>
      <c r="I1206" s="31">
        <v>1657776724.43277</v>
      </c>
      <c r="J1206" s="32">
        <v>37.419998168945298</v>
      </c>
      <c r="K1206" s="33">
        <v>45700</v>
      </c>
      <c r="L1206" s="31">
        <v>19148300</v>
      </c>
      <c r="M1206" s="32">
        <v>3.88</v>
      </c>
      <c r="N1206" s="31" t="s">
        <v>35</v>
      </c>
      <c r="O1206" s="33">
        <v>45699</v>
      </c>
      <c r="P1206" s="34">
        <v>556830.75</v>
      </c>
      <c r="Q1206" s="34">
        <v>688876.5</v>
      </c>
      <c r="R1206" s="34">
        <v>644778.4375</v>
      </c>
      <c r="S1206" s="29" t="s">
        <v>46</v>
      </c>
      <c r="T1206" s="33">
        <v>45446</v>
      </c>
      <c r="U1206" s="35" t="b">
        <v>0</v>
      </c>
      <c r="V1206" s="35" t="b">
        <v>0</v>
      </c>
      <c r="W1206" s="35" t="b">
        <v>0</v>
      </c>
      <c r="Y1206" s="31" cm="1">
        <f t="array" ref="Y1206">IF(LEFT(_xll.BDP($C1206, VOLUME_AVG_10D), 4) = "#N/A", "",  _xll.BDP($C1206, VOLUME_AVG_10D))</f>
        <v>569374.8125</v>
      </c>
      <c r="Z1206" s="31" cm="1">
        <f t="array" ref="Z1206">IF(LEFT(_xll.BDP($C1206, VOLUME_AVG_30D), 4) = "#N/A", "",  _xll.BDP($C1206, VOLUME_AVG_30D))</f>
        <v>556830.75</v>
      </c>
      <c r="AA1206" s="31" cm="1">
        <f t="array" ref="AA1206">IF(LEFT(_xll.BDP($C1206, VOLUME_AVG_3M), 4) = "#N/A", "",  _xll.BDP($C1206, VOLUME_AVG_3M))</f>
        <v>688876.5</v>
      </c>
      <c r="AB1206" s="31" cm="1">
        <f t="array" ref="AB1206">IF(LEFT(_xll.BDP($C1206, VOLUME_AVG_6M), 4) = "#N/A", "",  _xll.BDP($C1206, VOLUME_AVG_6M))</f>
        <v>644778.4375</v>
      </c>
      <c r="AC1206" s="31" cm="1">
        <f t="array" ref="AC1206">IF(LEFT(_xll.BDP($C1206, VOLUME_AVG_12M), 4) = "#N/A", "",  _xll.BDP($C1206, VOLUME_AVG_12M))</f>
        <v>702317.9375</v>
      </c>
      <c r="AD1206" s="41" cm="1">
        <f t="array" ref="AD1206">IF(LEFT(_xll.BDP($C1206, LAST_PRICE), 4) = "#N/A", "",  _xll.BDP($C1206, LAST_PRICE))</f>
        <v>37.42</v>
      </c>
    </row>
    <row r="1207" spans="1:30" x14ac:dyDescent="0.35">
      <c r="A1207" s="1">
        <f t="shared" si="18"/>
        <v>1204</v>
      </c>
      <c r="B1207" s="28">
        <v>45700</v>
      </c>
      <c r="C1207" s="29" t="s">
        <v>2463</v>
      </c>
      <c r="D1207" s="29" t="s">
        <v>2463</v>
      </c>
      <c r="E1207" s="29" t="s">
        <v>2464</v>
      </c>
      <c r="F1207" s="29" t="s">
        <v>33</v>
      </c>
      <c r="G1207" s="30" t="s">
        <v>34</v>
      </c>
      <c r="H1207" s="31">
        <v>196601672.227797</v>
      </c>
      <c r="I1207" s="31">
        <v>174876672.227797</v>
      </c>
      <c r="J1207" s="32">
        <v>2.6700000762939502</v>
      </c>
      <c r="K1207" s="33">
        <v>45700</v>
      </c>
      <c r="L1207" s="31">
        <v>620700</v>
      </c>
      <c r="M1207" s="32">
        <v>1.55</v>
      </c>
      <c r="N1207" s="31" t="s">
        <v>35</v>
      </c>
      <c r="O1207" s="33">
        <v>45699</v>
      </c>
      <c r="P1207" s="34">
        <v>697865.8125</v>
      </c>
      <c r="Q1207" s="34">
        <v>576261.375</v>
      </c>
      <c r="R1207" s="34">
        <v>369597.375</v>
      </c>
      <c r="S1207" s="29"/>
      <c r="T1207" s="33"/>
      <c r="U1207" s="35" t="b">
        <v>0</v>
      </c>
      <c r="V1207" s="35" t="b">
        <v>0</v>
      </c>
      <c r="W1207" s="35" t="b">
        <v>0</v>
      </c>
      <c r="Y1207" s="31" cm="1">
        <f t="array" ref="Y1207">IF(LEFT(_xll.BDP($C1207, VOLUME_AVG_10D), 4) = "#N/A", "",  _xll.BDP($C1207, VOLUME_AVG_10D))</f>
        <v>696165.8125</v>
      </c>
      <c r="Z1207" s="31" cm="1">
        <f t="array" ref="Z1207">IF(LEFT(_xll.BDP($C1207, VOLUME_AVG_30D), 4) = "#N/A", "",  _xll.BDP($C1207, VOLUME_AVG_30D))</f>
        <v>697865.8125</v>
      </c>
      <c r="AA1207" s="31" cm="1">
        <f t="array" ref="AA1207">IF(LEFT(_xll.BDP($C1207, VOLUME_AVG_3M), 4) = "#N/A", "",  _xll.BDP($C1207, VOLUME_AVG_3M))</f>
        <v>576261.375</v>
      </c>
      <c r="AB1207" s="31" cm="1">
        <f t="array" ref="AB1207">IF(LEFT(_xll.BDP($C1207, VOLUME_AVG_6M), 4) = "#N/A", "",  _xll.BDP($C1207, VOLUME_AVG_6M))</f>
        <v>369597.375</v>
      </c>
      <c r="AC1207" s="31" cm="1">
        <f t="array" ref="AC1207">IF(LEFT(_xll.BDP($C1207, VOLUME_AVG_12M), 4) = "#N/A", "",  _xll.BDP($C1207, VOLUME_AVG_12M))</f>
        <v>400385.21875</v>
      </c>
      <c r="AD1207" s="41" cm="1">
        <f t="array" ref="AD1207">IF(LEFT(_xll.BDP($C1207, LAST_PRICE), 4) = "#N/A", "",  _xll.BDP($C1207, LAST_PRICE))</f>
        <v>2.67</v>
      </c>
    </row>
    <row r="1208" spans="1:30" x14ac:dyDescent="0.35">
      <c r="A1208" s="1">
        <f t="shared" si="18"/>
        <v>1205</v>
      </c>
      <c r="B1208" s="28">
        <v>45700</v>
      </c>
      <c r="C1208" s="29" t="s">
        <v>2465</v>
      </c>
      <c r="D1208" s="29" t="s">
        <v>2465</v>
      </c>
      <c r="E1208" s="29" t="s">
        <v>2466</v>
      </c>
      <c r="F1208" s="29" t="s">
        <v>33</v>
      </c>
      <c r="G1208" s="30" t="s">
        <v>34</v>
      </c>
      <c r="H1208" s="31">
        <v>142427057.07298899</v>
      </c>
      <c r="I1208" s="31">
        <v>65664057.072988503</v>
      </c>
      <c r="J1208" s="32">
        <v>4.1500000953674299</v>
      </c>
      <c r="K1208" s="33">
        <v>45700</v>
      </c>
      <c r="L1208" s="31">
        <v>2312100</v>
      </c>
      <c r="M1208" s="32">
        <v>-4.1500000000000004</v>
      </c>
      <c r="N1208" s="31" t="s">
        <v>35</v>
      </c>
      <c r="O1208" s="33">
        <v>45699</v>
      </c>
      <c r="P1208" s="34">
        <v>328549.125</v>
      </c>
      <c r="Q1208" s="34">
        <v>2379183</v>
      </c>
      <c r="R1208" s="34">
        <v>1262372.375</v>
      </c>
      <c r="S1208" s="29" t="s">
        <v>46</v>
      </c>
      <c r="T1208" s="33">
        <v>45446</v>
      </c>
      <c r="U1208" s="35" t="b">
        <v>0</v>
      </c>
      <c r="V1208" s="35" t="b">
        <v>0</v>
      </c>
      <c r="W1208" s="35" t="b">
        <v>0</v>
      </c>
      <c r="Y1208" s="31" cm="1">
        <f t="array" ref="Y1208">IF(LEFT(_xll.BDP($C1208, VOLUME_AVG_10D), 4) = "#N/A", "",  _xll.BDP($C1208, VOLUME_AVG_10D))</f>
        <v>261440.09375</v>
      </c>
      <c r="Z1208" s="31" cm="1">
        <f t="array" ref="Z1208">IF(LEFT(_xll.BDP($C1208, VOLUME_AVG_30D), 4) = "#N/A", "",  _xll.BDP($C1208, VOLUME_AVG_30D))</f>
        <v>328549.125</v>
      </c>
      <c r="AA1208" s="31" cm="1">
        <f t="array" ref="AA1208">IF(LEFT(_xll.BDP($C1208, VOLUME_AVG_3M), 4) = "#N/A", "",  _xll.BDP($C1208, VOLUME_AVG_3M))</f>
        <v>2379183</v>
      </c>
      <c r="AB1208" s="31" cm="1">
        <f t="array" ref="AB1208">IF(LEFT(_xll.BDP($C1208, VOLUME_AVG_6M), 4) = "#N/A", "",  _xll.BDP($C1208, VOLUME_AVG_6M))</f>
        <v>1262372.375</v>
      </c>
      <c r="AC1208" s="31" cm="1">
        <f t="array" ref="AC1208">IF(LEFT(_xll.BDP($C1208, VOLUME_AVG_12M), 4) = "#N/A", "",  _xll.BDP($C1208, VOLUME_AVG_12M))</f>
        <v>769213.9375</v>
      </c>
      <c r="AD1208" s="41" cm="1">
        <f t="array" ref="AD1208">IF(LEFT(_xll.BDP($C1208, LAST_PRICE), 4) = "#N/A", "",  _xll.BDP($C1208, LAST_PRICE))</f>
        <v>4.1500000000000004</v>
      </c>
    </row>
    <row r="1209" spans="1:30" x14ac:dyDescent="0.35">
      <c r="A1209" s="1">
        <f t="shared" si="18"/>
        <v>1206</v>
      </c>
      <c r="B1209" s="28">
        <v>45700</v>
      </c>
      <c r="C1209" s="29" t="s">
        <v>2467</v>
      </c>
      <c r="D1209" s="29" t="s">
        <v>2467</v>
      </c>
      <c r="E1209" s="29" t="s">
        <v>2468</v>
      </c>
      <c r="F1209" s="29" t="s">
        <v>33</v>
      </c>
      <c r="G1209" s="30" t="s">
        <v>34</v>
      </c>
      <c r="H1209" s="31">
        <v>16458390.605104599</v>
      </c>
      <c r="I1209" s="31">
        <v>16559318.605104599</v>
      </c>
      <c r="J1209" s="32">
        <v>0.82492500543594405</v>
      </c>
      <c r="K1209" s="33">
        <v>45700</v>
      </c>
      <c r="L1209" s="31">
        <v>7800</v>
      </c>
      <c r="M1209" s="32">
        <v>3.3</v>
      </c>
      <c r="N1209" s="31" t="s">
        <v>35</v>
      </c>
      <c r="O1209" s="33">
        <v>45699</v>
      </c>
      <c r="P1209" s="34">
        <v>23978.3671875</v>
      </c>
      <c r="Q1209" s="34">
        <v>17431.2421875</v>
      </c>
      <c r="R1209" s="34">
        <v>13124.4365234375</v>
      </c>
      <c r="S1209" s="29"/>
      <c r="T1209" s="33"/>
      <c r="U1209" s="35" t="b">
        <v>1</v>
      </c>
      <c r="V1209" s="35" t="b">
        <v>0</v>
      </c>
      <c r="W1209" s="35" t="b">
        <v>0</v>
      </c>
      <c r="Y1209" s="31" cm="1">
        <f t="array" ref="Y1209">IF(LEFT(_xll.BDP($C1209, VOLUME_AVG_10D), 4) = "#N/A", "",  _xll.BDP($C1209, VOLUME_AVG_10D))</f>
        <v>52584.8984375</v>
      </c>
      <c r="Z1209" s="31" cm="1">
        <f t="array" ref="Z1209">IF(LEFT(_xll.BDP($C1209, VOLUME_AVG_30D), 4) = "#N/A", "",  _xll.BDP($C1209, VOLUME_AVG_30D))</f>
        <v>23978.3671875</v>
      </c>
      <c r="AA1209" s="31" cm="1">
        <f t="array" ref="AA1209">IF(LEFT(_xll.BDP($C1209, VOLUME_AVG_3M), 4) = "#N/A", "",  _xll.BDP($C1209, VOLUME_AVG_3M))</f>
        <v>17431.2421875</v>
      </c>
      <c r="AB1209" s="31" cm="1">
        <f t="array" ref="AB1209">IF(LEFT(_xll.BDP($C1209, VOLUME_AVG_6M), 4) = "#N/A", "",  _xll.BDP($C1209, VOLUME_AVG_6M))</f>
        <v>13124.4365234375</v>
      </c>
      <c r="AC1209" s="31" cm="1">
        <f t="array" ref="AC1209">IF(LEFT(_xll.BDP($C1209, VOLUME_AVG_12M), 4) = "#N/A", "",  _xll.BDP($C1209, VOLUME_AVG_12M))</f>
        <v>12536.708984375</v>
      </c>
      <c r="AD1209" s="41" cm="1">
        <f t="array" ref="AD1209">IF(LEFT(_xll.BDP($C1209, LAST_PRICE), 4) = "#N/A", "",  _xll.BDP($C1209, LAST_PRICE))</f>
        <v>0.82492500000000002</v>
      </c>
    </row>
    <row r="1210" spans="1:30" x14ac:dyDescent="0.35">
      <c r="A1210" s="1">
        <f t="shared" si="18"/>
        <v>1207</v>
      </c>
      <c r="B1210" s="28">
        <v>45700</v>
      </c>
      <c r="C1210" s="29" t="s">
        <v>2469</v>
      </c>
      <c r="D1210" s="29" t="s">
        <v>2469</v>
      </c>
      <c r="E1210" s="29" t="s">
        <v>2470</v>
      </c>
      <c r="F1210" s="29" t="s">
        <v>33</v>
      </c>
      <c r="G1210" s="30" t="s">
        <v>34</v>
      </c>
      <c r="H1210" s="31"/>
      <c r="I1210" s="31"/>
      <c r="J1210" s="32"/>
      <c r="K1210" s="33">
        <v>45700</v>
      </c>
      <c r="L1210" s="31"/>
      <c r="M1210" s="32"/>
      <c r="N1210" s="31"/>
      <c r="O1210" s="33">
        <v>45699</v>
      </c>
      <c r="P1210" s="34">
        <v>153.33332824707</v>
      </c>
      <c r="Q1210" s="34">
        <v>74.193550109863295</v>
      </c>
      <c r="R1210" s="34">
        <v>38.095237731933601</v>
      </c>
      <c r="S1210" s="29"/>
      <c r="T1210" s="33"/>
      <c r="U1210" s="35" t="b">
        <v>1</v>
      </c>
      <c r="V1210" s="35" t="b">
        <v>1</v>
      </c>
      <c r="W1210" s="35" t="b">
        <v>1</v>
      </c>
      <c r="Y1210" s="31" cm="1">
        <f t="array" ref="Y1210">IF(LEFT(_xll.BDP($C1210, VOLUME_AVG_10D), 4) = "#N/A", "",  _xll.BDP($C1210, VOLUME_AVG_10D))</f>
        <v>0</v>
      </c>
      <c r="Z1210" s="31" cm="1">
        <f t="array" ref="Z1210">IF(LEFT(_xll.BDP($C1210, VOLUME_AVG_30D), 4) = "#N/A", "",  _xll.BDP($C1210, VOLUME_AVG_30D))</f>
        <v>153.33332824707031</v>
      </c>
      <c r="AA1210" s="31" cm="1">
        <f t="array" ref="AA1210">IF(LEFT(_xll.BDP($C1210, VOLUME_AVG_3M), 4) = "#N/A", "",  _xll.BDP($C1210, VOLUME_AVG_3M))</f>
        <v>74.193550109863281</v>
      </c>
      <c r="AB1210" s="31" cm="1">
        <f t="array" ref="AB1210">IF(LEFT(_xll.BDP($C1210, VOLUME_AVG_6M), 4) = "#N/A", "",  _xll.BDP($C1210, VOLUME_AVG_6M))</f>
        <v>38.095237731933594</v>
      </c>
      <c r="AC1210" s="31" cm="1">
        <f t="array" ref="AC1210">IF(LEFT(_xll.BDP($C1210, VOLUME_AVG_12M), 4) = "#N/A", "",  _xll.BDP($C1210, VOLUME_AVG_12M))</f>
        <v>139.44223022460938</v>
      </c>
      <c r="AD1210" s="41" t="str" cm="1">
        <f t="array" ref="AD1210">IF(LEFT(_xll.BDP($C1210, LAST_PRICE), 4) = "#N/A", "",  _xll.BDP($C1210, LAST_PRICE))</f>
        <v/>
      </c>
    </row>
    <row r="1211" spans="1:30" x14ac:dyDescent="0.35">
      <c r="A1211" s="1">
        <f t="shared" si="18"/>
        <v>1208</v>
      </c>
      <c r="B1211" s="28">
        <v>45700</v>
      </c>
      <c r="C1211" s="29" t="s">
        <v>2471</v>
      </c>
      <c r="D1211" s="29" t="s">
        <v>2471</v>
      </c>
      <c r="E1211" s="29" t="s">
        <v>2472</v>
      </c>
      <c r="F1211" s="29" t="s">
        <v>33</v>
      </c>
      <c r="G1211" s="30" t="s">
        <v>34</v>
      </c>
      <c r="H1211" s="31">
        <v>1597221.26416337</v>
      </c>
      <c r="I1211" s="31">
        <v>3016844.9741633702</v>
      </c>
      <c r="J1211" s="32">
        <v>8.9999998454004504E-4</v>
      </c>
      <c r="K1211" s="33">
        <v>45700</v>
      </c>
      <c r="L1211" s="31"/>
      <c r="M1211" s="32"/>
      <c r="N1211" s="31"/>
      <c r="O1211" s="33">
        <v>45699</v>
      </c>
      <c r="P1211" s="34">
        <v>5992373.5</v>
      </c>
      <c r="Q1211" s="34">
        <v>5623199.5</v>
      </c>
      <c r="R1211" s="34">
        <v>4917203.5</v>
      </c>
      <c r="S1211" s="29"/>
      <c r="T1211" s="33"/>
      <c r="U1211" s="35" t="b">
        <v>1</v>
      </c>
      <c r="V1211" s="35" t="b">
        <v>1</v>
      </c>
      <c r="W1211" s="35" t="b">
        <v>0</v>
      </c>
      <c r="Y1211" s="31" cm="1">
        <f t="array" ref="Y1211">IF(LEFT(_xll.BDP($C1211, VOLUME_AVG_10D), 4) = "#N/A", "",  _xll.BDP($C1211, VOLUME_AVG_10D))</f>
        <v>7169542</v>
      </c>
      <c r="Z1211" s="31" cm="1">
        <f t="array" ref="Z1211">IF(LEFT(_xll.BDP($C1211, VOLUME_AVG_30D), 4) = "#N/A", "",  _xll.BDP($C1211, VOLUME_AVG_30D))</f>
        <v>5992373.5</v>
      </c>
      <c r="AA1211" s="31" cm="1">
        <f t="array" ref="AA1211">IF(LEFT(_xll.BDP($C1211, VOLUME_AVG_3M), 4) = "#N/A", "",  _xll.BDP($C1211, VOLUME_AVG_3M))</f>
        <v>5623199.5</v>
      </c>
      <c r="AB1211" s="31" cm="1">
        <f t="array" ref="AB1211">IF(LEFT(_xll.BDP($C1211, VOLUME_AVG_6M), 4) = "#N/A", "",  _xll.BDP($C1211, VOLUME_AVG_6M))</f>
        <v>4917203.5</v>
      </c>
      <c r="AC1211" s="31" cm="1">
        <f t="array" ref="AC1211">IF(LEFT(_xll.BDP($C1211, VOLUME_AVG_12M), 4) = "#N/A", "",  _xll.BDP($C1211, VOLUME_AVG_12M))</f>
        <v>7319605</v>
      </c>
      <c r="AD1211" s="41" cm="1">
        <f t="array" ref="AD1211">IF(LEFT(_xll.BDP($C1211, LAST_PRICE), 4) = "#N/A", "",  _xll.BDP($C1211, LAST_PRICE))</f>
        <v>8.9999999999999998E-4</v>
      </c>
    </row>
    <row r="1212" spans="1:30" x14ac:dyDescent="0.35">
      <c r="A1212" s="1">
        <f t="shared" si="18"/>
        <v>1209</v>
      </c>
      <c r="B1212" s="28">
        <v>45700</v>
      </c>
      <c r="C1212" s="29" t="s">
        <v>2473</v>
      </c>
      <c r="D1212" s="29" t="s">
        <v>2473</v>
      </c>
      <c r="E1212" s="29" t="s">
        <v>2474</v>
      </c>
      <c r="F1212" s="29" t="s">
        <v>33</v>
      </c>
      <c r="G1212" s="30" t="s">
        <v>34</v>
      </c>
      <c r="H1212" s="31">
        <v>743636659.81887805</v>
      </c>
      <c r="I1212" s="31">
        <v>235868659.818878</v>
      </c>
      <c r="J1212" s="32">
        <v>13.819999694824199</v>
      </c>
      <c r="K1212" s="33">
        <v>45700</v>
      </c>
      <c r="L1212" s="31"/>
      <c r="M1212" s="32"/>
      <c r="N1212" s="31"/>
      <c r="O1212" s="33">
        <v>45699</v>
      </c>
      <c r="P1212" s="34">
        <v>416667.71875</v>
      </c>
      <c r="Q1212" s="34">
        <v>520833.34375</v>
      </c>
      <c r="R1212" s="34">
        <v>492289.5</v>
      </c>
      <c r="S1212" s="29" t="s">
        <v>82</v>
      </c>
      <c r="T1212" s="33">
        <v>45446</v>
      </c>
      <c r="U1212" s="35" t="b">
        <v>0</v>
      </c>
      <c r="V1212" s="35" t="b">
        <v>0</v>
      </c>
      <c r="W1212" s="35" t="b">
        <v>0</v>
      </c>
      <c r="Y1212" s="31" cm="1">
        <f t="array" ref="Y1212">IF(LEFT(_xll.BDP($C1212, VOLUME_AVG_10D), 4) = "#N/A", "",  _xll.BDP($C1212, VOLUME_AVG_10D))</f>
        <v>313164.5</v>
      </c>
      <c r="Z1212" s="31" cm="1">
        <f t="array" ref="Z1212">IF(LEFT(_xll.BDP($C1212, VOLUME_AVG_30D), 4) = "#N/A", "",  _xll.BDP($C1212, VOLUME_AVG_30D))</f>
        <v>416667.71875</v>
      </c>
      <c r="AA1212" s="31" cm="1">
        <f t="array" ref="AA1212">IF(LEFT(_xll.BDP($C1212, VOLUME_AVG_3M), 4) = "#N/A", "",  _xll.BDP($C1212, VOLUME_AVG_3M))</f>
        <v>520833.34375</v>
      </c>
      <c r="AB1212" s="31" cm="1">
        <f t="array" ref="AB1212">IF(LEFT(_xll.BDP($C1212, VOLUME_AVG_6M), 4) = "#N/A", "",  _xll.BDP($C1212, VOLUME_AVG_6M))</f>
        <v>492289.5</v>
      </c>
      <c r="AC1212" s="31" cm="1">
        <f t="array" ref="AC1212">IF(LEFT(_xll.BDP($C1212, VOLUME_AVG_12M), 4) = "#N/A", "",  _xll.BDP($C1212, VOLUME_AVG_12M))</f>
        <v>519311.9375</v>
      </c>
      <c r="AD1212" s="41" cm="1">
        <f t="array" ref="AD1212">IF(LEFT(_xll.BDP($C1212, LAST_PRICE), 4) = "#N/A", "",  _xll.BDP($C1212, LAST_PRICE))</f>
        <v>13.82</v>
      </c>
    </row>
    <row r="1213" spans="1:30" x14ac:dyDescent="0.35">
      <c r="A1213" s="1">
        <f t="shared" si="18"/>
        <v>1210</v>
      </c>
      <c r="B1213" s="28">
        <v>45700</v>
      </c>
      <c r="C1213" s="29" t="s">
        <v>2475</v>
      </c>
      <c r="D1213" s="29" t="s">
        <v>2475</v>
      </c>
      <c r="E1213" s="29" t="s">
        <v>2476</v>
      </c>
      <c r="F1213" s="29" t="s">
        <v>33</v>
      </c>
      <c r="G1213" s="30" t="s">
        <v>34</v>
      </c>
      <c r="H1213" s="31">
        <v>4036781.6501262798</v>
      </c>
      <c r="I1213" s="31">
        <v>4031091.6501262798</v>
      </c>
      <c r="J1213" s="32">
        <v>1.09999999403954E-2</v>
      </c>
      <c r="K1213" s="33">
        <v>45700</v>
      </c>
      <c r="L1213" s="31"/>
      <c r="M1213" s="32"/>
      <c r="N1213" s="31"/>
      <c r="O1213" s="33">
        <v>45699</v>
      </c>
      <c r="P1213" s="34">
        <v>116212.796875</v>
      </c>
      <c r="Q1213" s="34">
        <v>116647.2734375</v>
      </c>
      <c r="R1213" s="34">
        <v>95585.65625</v>
      </c>
      <c r="S1213" s="29"/>
      <c r="T1213" s="33"/>
      <c r="U1213" s="35" t="b">
        <v>1</v>
      </c>
      <c r="V1213" s="35" t="b">
        <v>1</v>
      </c>
      <c r="W1213" s="35" t="b">
        <v>0</v>
      </c>
      <c r="Y1213" s="31" cm="1">
        <f t="array" ref="Y1213">IF(LEFT(_xll.BDP($C1213, VOLUME_AVG_10D), 4) = "#N/A", "",  _xll.BDP($C1213, VOLUME_AVG_10D))</f>
        <v>109578</v>
      </c>
      <c r="Z1213" s="31" cm="1">
        <f t="array" ref="Z1213">IF(LEFT(_xll.BDP($C1213, VOLUME_AVG_30D), 4) = "#N/A", "",  _xll.BDP($C1213, VOLUME_AVG_30D))</f>
        <v>116212.796875</v>
      </c>
      <c r="AA1213" s="31" cm="1">
        <f t="array" ref="AA1213">IF(LEFT(_xll.BDP($C1213, VOLUME_AVG_3M), 4) = "#N/A", "",  _xll.BDP($C1213, VOLUME_AVG_3M))</f>
        <v>116647.2734375</v>
      </c>
      <c r="AB1213" s="31" cm="1">
        <f t="array" ref="AB1213">IF(LEFT(_xll.BDP($C1213, VOLUME_AVG_6M), 4) = "#N/A", "",  _xll.BDP($C1213, VOLUME_AVG_6M))</f>
        <v>95585.65625</v>
      </c>
      <c r="AC1213" s="31" cm="1">
        <f t="array" ref="AC1213">IF(LEFT(_xll.BDP($C1213, VOLUME_AVG_12M), 4) = "#N/A", "",  _xll.BDP($C1213, VOLUME_AVG_12M))</f>
        <v>93629.671875</v>
      </c>
      <c r="AD1213" s="41" cm="1">
        <f t="array" ref="AD1213">IF(LEFT(_xll.BDP($C1213, LAST_PRICE), 4) = "#N/A", "",  _xll.BDP($C1213, LAST_PRICE))</f>
        <v>1.0999999999999999E-2</v>
      </c>
    </row>
    <row r="1214" spans="1:30" x14ac:dyDescent="0.35">
      <c r="A1214" s="1">
        <f t="shared" si="18"/>
        <v>1211</v>
      </c>
      <c r="B1214" s="28">
        <v>45700</v>
      </c>
      <c r="C1214" s="29" t="s">
        <v>2477</v>
      </c>
      <c r="D1214" s="29" t="s">
        <v>2477</v>
      </c>
      <c r="E1214" s="29" t="s">
        <v>2478</v>
      </c>
      <c r="F1214" s="29" t="s">
        <v>33</v>
      </c>
      <c r="G1214" s="30" t="s">
        <v>34</v>
      </c>
      <c r="H1214" s="31">
        <v>43558228.355902001</v>
      </c>
      <c r="I1214" s="31">
        <v>196226939.35590199</v>
      </c>
      <c r="J1214" s="32">
        <v>0.10364100337028501</v>
      </c>
      <c r="K1214" s="33">
        <v>45700</v>
      </c>
      <c r="L1214" s="31">
        <v>3913800</v>
      </c>
      <c r="M1214" s="32">
        <v>3.3</v>
      </c>
      <c r="N1214" s="31" t="s">
        <v>35</v>
      </c>
      <c r="O1214" s="33">
        <v>45699</v>
      </c>
      <c r="P1214" s="34">
        <v>202723.828125</v>
      </c>
      <c r="Q1214" s="34">
        <v>269968.21875</v>
      </c>
      <c r="R1214" s="34">
        <v>232038.5625</v>
      </c>
      <c r="S1214" s="29"/>
      <c r="T1214" s="33"/>
      <c r="U1214" s="35" t="b">
        <v>0</v>
      </c>
      <c r="V1214" s="35" t="b">
        <v>0</v>
      </c>
      <c r="W1214" s="35" t="b">
        <v>0</v>
      </c>
      <c r="Y1214" s="31" cm="1">
        <f t="array" ref="Y1214">IF(LEFT(_xll.BDP($C1214, VOLUME_AVG_10D), 4) = "#N/A", "",  _xll.BDP($C1214, VOLUME_AVG_10D))</f>
        <v>215367.703125</v>
      </c>
      <c r="Z1214" s="31" cm="1">
        <f t="array" ref="Z1214">IF(LEFT(_xll.BDP($C1214, VOLUME_AVG_30D), 4) = "#N/A", "",  _xll.BDP($C1214, VOLUME_AVG_30D))</f>
        <v>202723.828125</v>
      </c>
      <c r="AA1214" s="31" cm="1">
        <f t="array" ref="AA1214">IF(LEFT(_xll.BDP($C1214, VOLUME_AVG_3M), 4) = "#N/A", "",  _xll.BDP($C1214, VOLUME_AVG_3M))</f>
        <v>269968.21875</v>
      </c>
      <c r="AB1214" s="31" cm="1">
        <f t="array" ref="AB1214">IF(LEFT(_xll.BDP($C1214, VOLUME_AVG_6M), 4) = "#N/A", "",  _xll.BDP($C1214, VOLUME_AVG_6M))</f>
        <v>232038.5625</v>
      </c>
      <c r="AC1214" s="31" cm="1">
        <f t="array" ref="AC1214">IF(LEFT(_xll.BDP($C1214, VOLUME_AVG_12M), 4) = "#N/A", "",  _xll.BDP($C1214, VOLUME_AVG_12M))</f>
        <v>255873.625</v>
      </c>
      <c r="AD1214" s="41" cm="1">
        <f t="array" ref="AD1214">IF(LEFT(_xll.BDP($C1214, LAST_PRICE), 4) = "#N/A", "",  _xll.BDP($C1214, LAST_PRICE))</f>
        <v>0.103641</v>
      </c>
    </row>
    <row r="1215" spans="1:30" x14ac:dyDescent="0.35">
      <c r="A1215" s="1">
        <f t="shared" si="18"/>
        <v>1212</v>
      </c>
      <c r="B1215" s="28">
        <v>45700</v>
      </c>
      <c r="C1215" s="29" t="s">
        <v>2479</v>
      </c>
      <c r="D1215" s="29" t="s">
        <v>2479</v>
      </c>
      <c r="E1215" s="29" t="s">
        <v>2480</v>
      </c>
      <c r="F1215" s="29" t="s">
        <v>33</v>
      </c>
      <c r="G1215" s="30" t="s">
        <v>34</v>
      </c>
      <c r="H1215" s="31">
        <v>12378368.1</v>
      </c>
      <c r="I1215" s="31">
        <v>12134368.1</v>
      </c>
      <c r="J1215" s="32">
        <v>2.1</v>
      </c>
      <c r="K1215" s="33">
        <v>45700</v>
      </c>
      <c r="L1215" s="31">
        <v>15300</v>
      </c>
      <c r="M1215" s="32">
        <v>3.88</v>
      </c>
      <c r="N1215" s="31" t="s">
        <v>35</v>
      </c>
      <c r="O1215" s="33">
        <v>45699</v>
      </c>
      <c r="P1215" s="34">
        <v>9367</v>
      </c>
      <c r="Q1215" s="34">
        <v>37561.14453125</v>
      </c>
      <c r="R1215" s="34">
        <v>38382.65234375</v>
      </c>
      <c r="S1215" s="29"/>
      <c r="T1215" s="33"/>
      <c r="U1215" s="35" t="b">
        <v>1</v>
      </c>
      <c r="V1215" s="35" t="b">
        <v>0</v>
      </c>
      <c r="W1215" s="35" t="b">
        <v>0</v>
      </c>
      <c r="Y1215" s="31" cm="1">
        <f t="array" ref="Y1215">IF(LEFT(_xll.BDP($C1215, VOLUME_AVG_10D), 4) = "#N/A", "",  _xll.BDP($C1215, VOLUME_AVG_10D))</f>
        <v>8342.7001953125</v>
      </c>
      <c r="Z1215" s="31" cm="1">
        <f t="array" ref="Z1215">IF(LEFT(_xll.BDP($C1215, VOLUME_AVG_30D), 4) = "#N/A", "",  _xll.BDP($C1215, VOLUME_AVG_30D))</f>
        <v>9367</v>
      </c>
      <c r="AA1215" s="31" cm="1">
        <f t="array" ref="AA1215">IF(LEFT(_xll.BDP($C1215, VOLUME_AVG_3M), 4) = "#N/A", "",  _xll.BDP($C1215, VOLUME_AVG_3M))</f>
        <v>37561.14453125</v>
      </c>
      <c r="AB1215" s="31" cm="1">
        <f t="array" ref="AB1215">IF(LEFT(_xll.BDP($C1215, VOLUME_AVG_6M), 4) = "#N/A", "",  _xll.BDP($C1215, VOLUME_AVG_6M))</f>
        <v>38382.65234375</v>
      </c>
      <c r="AC1215" s="31" cm="1">
        <f t="array" ref="AC1215">IF(LEFT(_xll.BDP($C1215, VOLUME_AVG_12M), 4) = "#N/A", "",  _xll.BDP($C1215, VOLUME_AVG_12M))</f>
        <v>22767.625</v>
      </c>
      <c r="AD1215" s="41" cm="1">
        <f t="array" ref="AD1215">IF(LEFT(_xll.BDP($C1215, LAST_PRICE), 4) = "#N/A", "",  _xll.BDP($C1215, LAST_PRICE))</f>
        <v>2.1</v>
      </c>
    </row>
    <row r="1216" spans="1:30" x14ac:dyDescent="0.35">
      <c r="A1216" s="1">
        <f t="shared" si="18"/>
        <v>1213</v>
      </c>
      <c r="B1216" s="28">
        <v>45700</v>
      </c>
      <c r="C1216" s="29" t="s">
        <v>2481</v>
      </c>
      <c r="D1216" s="29" t="s">
        <v>2481</v>
      </c>
      <c r="E1216" s="29" t="s">
        <v>2482</v>
      </c>
      <c r="F1216" s="29" t="s">
        <v>33</v>
      </c>
      <c r="G1216" s="30" t="s">
        <v>34</v>
      </c>
      <c r="H1216" s="31">
        <v>4805767.5145225497</v>
      </c>
      <c r="I1216" s="31">
        <v>5745179.8936221004</v>
      </c>
      <c r="J1216" s="32">
        <v>1.2300000190734901</v>
      </c>
      <c r="K1216" s="33">
        <v>45700</v>
      </c>
      <c r="L1216" s="31">
        <v>48200</v>
      </c>
      <c r="M1216" s="32">
        <v>-299.8</v>
      </c>
      <c r="N1216" s="31" t="s">
        <v>35</v>
      </c>
      <c r="O1216" s="33">
        <v>45699</v>
      </c>
      <c r="P1216" s="34">
        <v>418766</v>
      </c>
      <c r="Q1216" s="34">
        <v>2564091.25</v>
      </c>
      <c r="R1216" s="34">
        <v>1303718.75</v>
      </c>
      <c r="S1216" s="29"/>
      <c r="T1216" s="33"/>
      <c r="U1216" s="35" t="b">
        <v>1</v>
      </c>
      <c r="V1216" s="35" t="b">
        <v>0</v>
      </c>
      <c r="W1216" s="35" t="b">
        <v>0</v>
      </c>
      <c r="Y1216" s="31" cm="1">
        <f t="array" ref="Y1216">IF(LEFT(_xll.BDP($C1216, VOLUME_AVG_10D), 4) = "#N/A", "",  _xll.BDP($C1216, VOLUME_AVG_10D))</f>
        <v>238019.796875</v>
      </c>
      <c r="Z1216" s="31" cm="1">
        <f t="array" ref="Z1216">IF(LEFT(_xll.BDP($C1216, VOLUME_AVG_30D), 4) = "#N/A", "",  _xll.BDP($C1216, VOLUME_AVG_30D))</f>
        <v>418766</v>
      </c>
      <c r="AA1216" s="31" cm="1">
        <f t="array" ref="AA1216">IF(LEFT(_xll.BDP($C1216, VOLUME_AVG_3M), 4) = "#N/A", "",  _xll.BDP($C1216, VOLUME_AVG_3M))</f>
        <v>2564091.25</v>
      </c>
      <c r="AB1216" s="31" cm="1">
        <f t="array" ref="AB1216">IF(LEFT(_xll.BDP($C1216, VOLUME_AVG_6M), 4) = "#N/A", "",  _xll.BDP($C1216, VOLUME_AVG_6M))</f>
        <v>1303718.75</v>
      </c>
      <c r="AC1216" s="31" cm="1">
        <f t="array" ref="AC1216">IF(LEFT(_xll.BDP($C1216, VOLUME_AVG_12M), 4) = "#N/A", "",  _xll.BDP($C1216, VOLUME_AVG_12M))</f>
        <v>674670.4375</v>
      </c>
      <c r="AD1216" s="41" cm="1">
        <f t="array" ref="AD1216">IF(LEFT(_xll.BDP($C1216, LAST_PRICE), 4) = "#N/A", "",  _xll.BDP($C1216, LAST_PRICE))</f>
        <v>1.23</v>
      </c>
    </row>
    <row r="1217" spans="1:30" x14ac:dyDescent="0.35">
      <c r="A1217" s="1">
        <f t="shared" si="18"/>
        <v>1214</v>
      </c>
      <c r="B1217" s="28">
        <v>45700</v>
      </c>
      <c r="C1217" s="29" t="s">
        <v>2483</v>
      </c>
      <c r="D1217" s="29" t="s">
        <v>2483</v>
      </c>
      <c r="E1217" s="29" t="s">
        <v>2484</v>
      </c>
      <c r="F1217" s="29" t="s">
        <v>40</v>
      </c>
      <c r="G1217" s="30" t="s">
        <v>41</v>
      </c>
      <c r="H1217" s="31">
        <v>2106231.33</v>
      </c>
      <c r="I1217" s="31">
        <v>23717927.329999998</v>
      </c>
      <c r="J1217" s="32">
        <v>1.4999999999999999E-2</v>
      </c>
      <c r="K1217" s="33">
        <v>45700</v>
      </c>
      <c r="L1217" s="31">
        <v>3110000</v>
      </c>
      <c r="M1217" s="32">
        <v>3.3</v>
      </c>
      <c r="N1217" s="31" t="s">
        <v>35</v>
      </c>
      <c r="O1217" s="33">
        <v>45699</v>
      </c>
      <c r="P1217" s="34">
        <v>21144.97</v>
      </c>
      <c r="Q1217" s="34">
        <v>24423.41</v>
      </c>
      <c r="R1217" s="34">
        <v>27387.56</v>
      </c>
      <c r="S1217" s="29"/>
      <c r="T1217" s="33"/>
      <c r="U1217" s="35" t="b">
        <v>1</v>
      </c>
      <c r="V1217" s="35" t="b">
        <v>1</v>
      </c>
      <c r="W1217" s="35" t="b">
        <v>0</v>
      </c>
      <c r="Y1217" s="31" cm="1">
        <f t="array" ref="Y1217">IF(LEFT(_xll.BDP($C1217, VOLUME_AVG_10D), 4) = "#N/A", "",  _xll.BDP($C1217, VOLUME_AVG_10D))</f>
        <v>5629.3</v>
      </c>
      <c r="Z1217" s="31" cm="1">
        <f t="array" ref="Z1217">IF(LEFT(_xll.BDP($C1217, VOLUME_AVG_30D), 4) = "#N/A", "",  _xll.BDP($C1217, VOLUME_AVG_30D))</f>
        <v>21144.97</v>
      </c>
      <c r="AA1217" s="31" cm="1">
        <f t="array" ref="AA1217">IF(LEFT(_xll.BDP($C1217, VOLUME_AVG_3M), 4) = "#N/A", "",  _xll.BDP($C1217, VOLUME_AVG_3M))</f>
        <v>24423.41</v>
      </c>
      <c r="AB1217" s="31" cm="1">
        <f t="array" ref="AB1217">IF(LEFT(_xll.BDP($C1217, VOLUME_AVG_6M), 4) = "#N/A", "",  _xll.BDP($C1217, VOLUME_AVG_6M))</f>
        <v>27387.56</v>
      </c>
      <c r="AC1217" s="31" cm="1">
        <f t="array" ref="AC1217">IF(LEFT(_xll.BDP($C1217, VOLUME_AVG_12M), 4) = "#N/A", "",  _xll.BDP($C1217, VOLUME_AVG_12M))</f>
        <v>64252.75</v>
      </c>
      <c r="AD1217" s="41" cm="1">
        <f t="array" ref="AD1217">IF(LEFT(_xll.BDP($C1217, LAST_PRICE), 4) = "#N/A", "",  _xll.BDP($C1217, LAST_PRICE))</f>
        <v>1.4999999999999999E-2</v>
      </c>
    </row>
    <row r="1218" spans="1:30" x14ac:dyDescent="0.35">
      <c r="A1218" s="1">
        <f t="shared" si="18"/>
        <v>1215</v>
      </c>
      <c r="B1218" s="28">
        <v>45700</v>
      </c>
      <c r="C1218" s="29" t="s">
        <v>2485</v>
      </c>
      <c r="D1218" s="29" t="s">
        <v>2485</v>
      </c>
      <c r="E1218" s="29" t="s">
        <v>2486</v>
      </c>
      <c r="F1218" s="29" t="s">
        <v>33</v>
      </c>
      <c r="G1218" s="30" t="s">
        <v>34</v>
      </c>
      <c r="H1218" s="31">
        <v>3773733270.5267301</v>
      </c>
      <c r="I1218" s="31">
        <v>3160581270.5267301</v>
      </c>
      <c r="J1218" s="32">
        <v>48.930000305175803</v>
      </c>
      <c r="K1218" s="33">
        <v>45700</v>
      </c>
      <c r="L1218" s="31">
        <v>26972500</v>
      </c>
      <c r="M1218" s="32">
        <v>3.88</v>
      </c>
      <c r="N1218" s="31" t="s">
        <v>35</v>
      </c>
      <c r="O1218" s="33">
        <v>45699</v>
      </c>
      <c r="P1218" s="34">
        <v>680923.3125</v>
      </c>
      <c r="Q1218" s="34">
        <v>749753.375</v>
      </c>
      <c r="R1218" s="34">
        <v>710656.75</v>
      </c>
      <c r="S1218" s="29" t="s">
        <v>177</v>
      </c>
      <c r="T1218" s="33">
        <v>45446</v>
      </c>
      <c r="U1218" s="35" t="b">
        <v>0</v>
      </c>
      <c r="V1218" s="35" t="b">
        <v>0</v>
      </c>
      <c r="W1218" s="35" t="b">
        <v>0</v>
      </c>
      <c r="Y1218" s="31" cm="1">
        <f t="array" ref="Y1218">IF(LEFT(_xll.BDP($C1218, VOLUME_AVG_10D), 4) = "#N/A", "",  _xll.BDP($C1218, VOLUME_AVG_10D))</f>
        <v>867174</v>
      </c>
      <c r="Z1218" s="31" cm="1">
        <f t="array" ref="Z1218">IF(LEFT(_xll.BDP($C1218, VOLUME_AVG_30D), 4) = "#N/A", "",  _xll.BDP($C1218, VOLUME_AVG_30D))</f>
        <v>680923.3125</v>
      </c>
      <c r="AA1218" s="31" cm="1">
        <f t="array" ref="AA1218">IF(LEFT(_xll.BDP($C1218, VOLUME_AVG_3M), 4) = "#N/A", "",  _xll.BDP($C1218, VOLUME_AVG_3M))</f>
        <v>749753.375</v>
      </c>
      <c r="AB1218" s="31" cm="1">
        <f t="array" ref="AB1218">IF(LEFT(_xll.BDP($C1218, VOLUME_AVG_6M), 4) = "#N/A", "",  _xll.BDP($C1218, VOLUME_AVG_6M))</f>
        <v>710656.75</v>
      </c>
      <c r="AC1218" s="31" cm="1">
        <f t="array" ref="AC1218">IF(LEFT(_xll.BDP($C1218, VOLUME_AVG_12M), 4) = "#N/A", "",  _xll.BDP($C1218, VOLUME_AVG_12M))</f>
        <v>793131.625</v>
      </c>
      <c r="AD1218" s="41" cm="1">
        <f t="array" ref="AD1218">IF(LEFT(_xll.BDP($C1218, LAST_PRICE), 4) = "#N/A", "",  _xll.BDP($C1218, LAST_PRICE))</f>
        <v>48.93</v>
      </c>
    </row>
    <row r="1219" spans="1:30" x14ac:dyDescent="0.35">
      <c r="A1219" s="1">
        <f t="shared" si="18"/>
        <v>1216</v>
      </c>
      <c r="B1219" s="28">
        <v>45700</v>
      </c>
      <c r="C1219" s="29" t="s">
        <v>2487</v>
      </c>
      <c r="D1219" s="29" t="s">
        <v>2487</v>
      </c>
      <c r="E1219" s="29" t="s">
        <v>2488</v>
      </c>
      <c r="F1219" s="29" t="s">
        <v>33</v>
      </c>
      <c r="G1219" s="30" t="s">
        <v>34</v>
      </c>
      <c r="H1219" s="31">
        <v>26734726.826956298</v>
      </c>
      <c r="I1219" s="31">
        <v>15952726.8269563</v>
      </c>
      <c r="J1219" s="32">
        <v>7.3200001716613796</v>
      </c>
      <c r="K1219" s="33">
        <v>45700</v>
      </c>
      <c r="L1219" s="31">
        <v>123200</v>
      </c>
      <c r="M1219" s="32">
        <v>-12.05</v>
      </c>
      <c r="N1219" s="31" t="s">
        <v>35</v>
      </c>
      <c r="O1219" s="33">
        <v>45699</v>
      </c>
      <c r="P1219" s="34">
        <v>34474.3671875</v>
      </c>
      <c r="Q1219" s="34">
        <v>486273.65625</v>
      </c>
      <c r="R1219" s="34">
        <v>245659.796875</v>
      </c>
      <c r="S1219" s="29"/>
      <c r="T1219" s="33"/>
      <c r="U1219" s="35" t="b">
        <v>0</v>
      </c>
      <c r="V1219" s="35" t="b">
        <v>0</v>
      </c>
      <c r="W1219" s="35" t="b">
        <v>0</v>
      </c>
      <c r="Y1219" s="31" cm="1">
        <f t="array" ref="Y1219">IF(LEFT(_xll.BDP($C1219, VOLUME_AVG_10D), 4) = "#N/A", "",  _xll.BDP($C1219, VOLUME_AVG_10D))</f>
        <v>21788.5</v>
      </c>
      <c r="Z1219" s="31" cm="1">
        <f t="array" ref="Z1219">IF(LEFT(_xll.BDP($C1219, VOLUME_AVG_30D), 4) = "#N/A", "",  _xll.BDP($C1219, VOLUME_AVG_30D))</f>
        <v>34474.3671875</v>
      </c>
      <c r="AA1219" s="31" cm="1">
        <f t="array" ref="AA1219">IF(LEFT(_xll.BDP($C1219, VOLUME_AVG_3M), 4) = "#N/A", "",  _xll.BDP($C1219, VOLUME_AVG_3M))</f>
        <v>486273.65625</v>
      </c>
      <c r="AB1219" s="31" cm="1">
        <f t="array" ref="AB1219">IF(LEFT(_xll.BDP($C1219, VOLUME_AVG_6M), 4) = "#N/A", "",  _xll.BDP($C1219, VOLUME_AVG_6M))</f>
        <v>245659.796875</v>
      </c>
      <c r="AC1219" s="31" cm="1">
        <f t="array" ref="AC1219">IF(LEFT(_xll.BDP($C1219, VOLUME_AVG_12M), 4) = "#N/A", "",  _xll.BDP($C1219, VOLUME_AVG_12M))</f>
        <v>129672.8984375</v>
      </c>
      <c r="AD1219" s="41" cm="1">
        <f t="array" ref="AD1219">IF(LEFT(_xll.BDP($C1219, LAST_PRICE), 4) = "#N/A", "",  _xll.BDP($C1219, LAST_PRICE))</f>
        <v>7.32</v>
      </c>
    </row>
    <row r="1220" spans="1:30" x14ac:dyDescent="0.35">
      <c r="A1220" s="1">
        <f t="shared" si="18"/>
        <v>1217</v>
      </c>
      <c r="B1220" s="28">
        <v>45700</v>
      </c>
      <c r="C1220" s="29" t="s">
        <v>2489</v>
      </c>
      <c r="D1220" s="29" t="s">
        <v>2489</v>
      </c>
      <c r="E1220" s="29" t="s">
        <v>2490</v>
      </c>
      <c r="F1220" s="29" t="s">
        <v>33</v>
      </c>
      <c r="G1220" s="30" t="s">
        <v>34</v>
      </c>
      <c r="H1220" s="31">
        <v>276810040.828058</v>
      </c>
      <c r="I1220" s="31">
        <v>224840040.828058</v>
      </c>
      <c r="J1220" s="32">
        <v>7.0100002288818404</v>
      </c>
      <c r="K1220" s="33">
        <v>45700</v>
      </c>
      <c r="L1220" s="31">
        <v>10617200</v>
      </c>
      <c r="M1220" s="32">
        <v>3.88</v>
      </c>
      <c r="N1220" s="31" t="s">
        <v>35</v>
      </c>
      <c r="O1220" s="33">
        <v>45699</v>
      </c>
      <c r="P1220" s="34">
        <v>218443.203125</v>
      </c>
      <c r="Q1220" s="34">
        <v>221161.109375</v>
      </c>
      <c r="R1220" s="34">
        <v>238397.828125</v>
      </c>
      <c r="S1220" s="29"/>
      <c r="T1220" s="33"/>
      <c r="U1220" s="35" t="b">
        <v>0</v>
      </c>
      <c r="V1220" s="35" t="b">
        <v>0</v>
      </c>
      <c r="W1220" s="35" t="b">
        <v>0</v>
      </c>
      <c r="Y1220" s="31" cm="1">
        <f t="array" ref="Y1220">IF(LEFT(_xll.BDP($C1220, VOLUME_AVG_10D), 4) = "#N/A", "",  _xll.BDP($C1220, VOLUME_AVG_10D))</f>
        <v>207824.796875</v>
      </c>
      <c r="Z1220" s="31" cm="1">
        <f t="array" ref="Z1220">IF(LEFT(_xll.BDP($C1220, VOLUME_AVG_30D), 4) = "#N/A", "",  _xll.BDP($C1220, VOLUME_AVG_30D))</f>
        <v>218443.203125</v>
      </c>
      <c r="AA1220" s="31" cm="1">
        <f t="array" ref="AA1220">IF(LEFT(_xll.BDP($C1220, VOLUME_AVG_3M), 4) = "#N/A", "",  _xll.BDP($C1220, VOLUME_AVG_3M))</f>
        <v>221161.109375</v>
      </c>
      <c r="AB1220" s="31" cm="1">
        <f t="array" ref="AB1220">IF(LEFT(_xll.BDP($C1220, VOLUME_AVG_6M), 4) = "#N/A", "",  _xll.BDP($C1220, VOLUME_AVG_6M))</f>
        <v>238397.828125</v>
      </c>
      <c r="AC1220" s="31" cm="1">
        <f t="array" ref="AC1220">IF(LEFT(_xll.BDP($C1220, VOLUME_AVG_12M), 4) = "#N/A", "",  _xll.BDP($C1220, VOLUME_AVG_12M))</f>
        <v>366802.28125</v>
      </c>
      <c r="AD1220" s="41" cm="1">
        <f t="array" ref="AD1220">IF(LEFT(_xll.BDP($C1220, LAST_PRICE), 4) = "#N/A", "",  _xll.BDP($C1220, LAST_PRICE))</f>
        <v>7.01</v>
      </c>
    </row>
    <row r="1221" spans="1:30" x14ac:dyDescent="0.35">
      <c r="A1221" s="1">
        <f t="shared" si="18"/>
        <v>1218</v>
      </c>
      <c r="B1221" s="28">
        <v>45700</v>
      </c>
      <c r="C1221" s="29" t="s">
        <v>2491</v>
      </c>
      <c r="D1221" s="29" t="s">
        <v>2491</v>
      </c>
      <c r="E1221" s="29" t="s">
        <v>2492</v>
      </c>
      <c r="F1221" s="29" t="s">
        <v>33</v>
      </c>
      <c r="G1221" s="30" t="s">
        <v>34</v>
      </c>
      <c r="H1221" s="31">
        <v>1318917587.7334499</v>
      </c>
      <c r="I1221" s="31">
        <v>1283696587.7334499</v>
      </c>
      <c r="J1221" s="32">
        <v>21.440000534057599</v>
      </c>
      <c r="K1221" s="33">
        <v>45700</v>
      </c>
      <c r="L1221" s="31">
        <v>393700</v>
      </c>
      <c r="M1221" s="32">
        <v>-2.2000000000000002</v>
      </c>
      <c r="N1221" s="31" t="s">
        <v>35</v>
      </c>
      <c r="O1221" s="33">
        <v>45699</v>
      </c>
      <c r="P1221" s="34">
        <v>156622.96875</v>
      </c>
      <c r="Q1221" s="34">
        <v>174222.4375</v>
      </c>
      <c r="R1221" s="34">
        <v>167049.1875</v>
      </c>
      <c r="S1221" s="29"/>
      <c r="T1221" s="33"/>
      <c r="U1221" s="35" t="b">
        <v>0</v>
      </c>
      <c r="V1221" s="35" t="b">
        <v>0</v>
      </c>
      <c r="W1221" s="35" t="b">
        <v>0</v>
      </c>
      <c r="Y1221" s="31" cm="1">
        <f t="array" ref="Y1221">IF(LEFT(_xll.BDP($C1221, VOLUME_AVG_10D), 4) = "#N/A", "",  _xll.BDP($C1221, VOLUME_AVG_10D))</f>
        <v>202572.59375</v>
      </c>
      <c r="Z1221" s="31" cm="1">
        <f t="array" ref="Z1221">IF(LEFT(_xll.BDP($C1221, VOLUME_AVG_30D), 4) = "#N/A", "",  _xll.BDP($C1221, VOLUME_AVG_30D))</f>
        <v>156622.96875</v>
      </c>
      <c r="AA1221" s="31" cm="1">
        <f t="array" ref="AA1221">IF(LEFT(_xll.BDP($C1221, VOLUME_AVG_3M), 4) = "#N/A", "",  _xll.BDP($C1221, VOLUME_AVG_3M))</f>
        <v>174222.4375</v>
      </c>
      <c r="AB1221" s="31" cm="1">
        <f t="array" ref="AB1221">IF(LEFT(_xll.BDP($C1221, VOLUME_AVG_6M), 4) = "#N/A", "",  _xll.BDP($C1221, VOLUME_AVG_6M))</f>
        <v>167049.1875</v>
      </c>
      <c r="AC1221" s="31" cm="1">
        <f t="array" ref="AC1221">IF(LEFT(_xll.BDP($C1221, VOLUME_AVG_12M), 4) = "#N/A", "",  _xll.BDP($C1221, VOLUME_AVG_12M))</f>
        <v>194755.265625</v>
      </c>
      <c r="AD1221" s="41" cm="1">
        <f t="array" ref="AD1221">IF(LEFT(_xll.BDP($C1221, LAST_PRICE), 4) = "#N/A", "",  _xll.BDP($C1221, LAST_PRICE))</f>
        <v>21.44</v>
      </c>
    </row>
    <row r="1222" spans="1:30" x14ac:dyDescent="0.35">
      <c r="A1222" s="1">
        <f t="shared" ref="A1222:A1285" si="19">IF(B1222="","", A1221+1)</f>
        <v>1219</v>
      </c>
      <c r="B1222" s="28">
        <v>45700</v>
      </c>
      <c r="C1222" s="29" t="s">
        <v>2493</v>
      </c>
      <c r="D1222" s="29" t="s">
        <v>2493</v>
      </c>
      <c r="E1222" s="29" t="s">
        <v>2494</v>
      </c>
      <c r="F1222" s="29" t="s">
        <v>33</v>
      </c>
      <c r="G1222" s="30" t="s">
        <v>34</v>
      </c>
      <c r="H1222" s="31">
        <v>136954636.48745301</v>
      </c>
      <c r="I1222" s="31">
        <v>126599636.487453</v>
      </c>
      <c r="J1222" s="32">
        <v>2.78999996185303</v>
      </c>
      <c r="K1222" s="33">
        <v>45700</v>
      </c>
      <c r="L1222" s="31">
        <v>10442400</v>
      </c>
      <c r="M1222" s="32">
        <v>3.88</v>
      </c>
      <c r="N1222" s="31" t="s">
        <v>35</v>
      </c>
      <c r="O1222" s="33">
        <v>45699</v>
      </c>
      <c r="P1222" s="34">
        <v>616236.875</v>
      </c>
      <c r="Q1222" s="34">
        <v>581224.5625</v>
      </c>
      <c r="R1222" s="34">
        <v>452043.25</v>
      </c>
      <c r="S1222" s="29" t="s">
        <v>46</v>
      </c>
      <c r="T1222" s="33">
        <v>45446</v>
      </c>
      <c r="U1222" s="35" t="b">
        <v>0</v>
      </c>
      <c r="V1222" s="35" t="b">
        <v>0</v>
      </c>
      <c r="W1222" s="35" t="b">
        <v>0</v>
      </c>
      <c r="Y1222" s="31" cm="1">
        <f t="array" ref="Y1222">IF(LEFT(_xll.BDP($C1222, VOLUME_AVG_10D), 4) = "#N/A", "",  _xll.BDP($C1222, VOLUME_AVG_10D))</f>
        <v>302621.59375</v>
      </c>
      <c r="Z1222" s="31" cm="1">
        <f t="array" ref="Z1222">IF(LEFT(_xll.BDP($C1222, VOLUME_AVG_30D), 4) = "#N/A", "",  _xll.BDP($C1222, VOLUME_AVG_30D))</f>
        <v>616236.875</v>
      </c>
      <c r="AA1222" s="31" cm="1">
        <f t="array" ref="AA1222">IF(LEFT(_xll.BDP($C1222, VOLUME_AVG_3M), 4) = "#N/A", "",  _xll.BDP($C1222, VOLUME_AVG_3M))</f>
        <v>581224.5625</v>
      </c>
      <c r="AB1222" s="31" cm="1">
        <f t="array" ref="AB1222">IF(LEFT(_xll.BDP($C1222, VOLUME_AVG_6M), 4) = "#N/A", "",  _xll.BDP($C1222, VOLUME_AVG_6M))</f>
        <v>452043.25</v>
      </c>
      <c r="AC1222" s="31" cm="1">
        <f t="array" ref="AC1222">IF(LEFT(_xll.BDP($C1222, VOLUME_AVG_12M), 4) = "#N/A", "",  _xll.BDP($C1222, VOLUME_AVG_12M))</f>
        <v>491428.46875</v>
      </c>
      <c r="AD1222" s="41" cm="1">
        <f t="array" ref="AD1222">IF(LEFT(_xll.BDP($C1222, LAST_PRICE), 4) = "#N/A", "",  _xll.BDP($C1222, LAST_PRICE))</f>
        <v>2.79</v>
      </c>
    </row>
    <row r="1223" spans="1:30" x14ac:dyDescent="0.35">
      <c r="A1223" s="1">
        <f t="shared" si="19"/>
        <v>1220</v>
      </c>
      <c r="B1223" s="28">
        <v>45700</v>
      </c>
      <c r="C1223" s="29" t="s">
        <v>2495</v>
      </c>
      <c r="D1223" s="29" t="s">
        <v>2495</v>
      </c>
      <c r="E1223" s="29" t="s">
        <v>2496</v>
      </c>
      <c r="F1223" s="29" t="s">
        <v>33</v>
      </c>
      <c r="G1223" s="30" t="s">
        <v>34</v>
      </c>
      <c r="H1223" s="31">
        <v>76116131.418671802</v>
      </c>
      <c r="I1223" s="31">
        <v>-21850868.581328198</v>
      </c>
      <c r="J1223" s="32">
        <v>1.2799999713897701</v>
      </c>
      <c r="K1223" s="33">
        <v>45700</v>
      </c>
      <c r="L1223" s="31">
        <v>3350100</v>
      </c>
      <c r="M1223" s="32">
        <v>3.65</v>
      </c>
      <c r="N1223" s="31" t="s">
        <v>35</v>
      </c>
      <c r="O1223" s="33">
        <v>45699</v>
      </c>
      <c r="P1223" s="34">
        <v>630299.875</v>
      </c>
      <c r="Q1223" s="34">
        <v>1306818</v>
      </c>
      <c r="R1223" s="34">
        <v>890931.25</v>
      </c>
      <c r="S1223" s="29" t="s">
        <v>46</v>
      </c>
      <c r="T1223" s="33">
        <v>45446</v>
      </c>
      <c r="U1223" s="35" t="b">
        <v>0</v>
      </c>
      <c r="V1223" s="35" t="b">
        <v>0</v>
      </c>
      <c r="W1223" s="35" t="b">
        <v>1</v>
      </c>
      <c r="Y1223" s="31" cm="1">
        <f t="array" ref="Y1223">IF(LEFT(_xll.BDP($C1223, VOLUME_AVG_10D), 4) = "#N/A", "",  _xll.BDP($C1223, VOLUME_AVG_10D))</f>
        <v>559214.625</v>
      </c>
      <c r="Z1223" s="31" cm="1">
        <f t="array" ref="Z1223">IF(LEFT(_xll.BDP($C1223, VOLUME_AVG_30D), 4) = "#N/A", "",  _xll.BDP($C1223, VOLUME_AVG_30D))</f>
        <v>630299.875</v>
      </c>
      <c r="AA1223" s="31" cm="1">
        <f t="array" ref="AA1223">IF(LEFT(_xll.BDP($C1223, VOLUME_AVG_3M), 4) = "#N/A", "",  _xll.BDP($C1223, VOLUME_AVG_3M))</f>
        <v>1306818</v>
      </c>
      <c r="AB1223" s="31" cm="1">
        <f t="array" ref="AB1223">IF(LEFT(_xll.BDP($C1223, VOLUME_AVG_6M), 4) = "#N/A", "",  _xll.BDP($C1223, VOLUME_AVG_6M))</f>
        <v>890931.25</v>
      </c>
      <c r="AC1223" s="31" cm="1">
        <f t="array" ref="AC1223">IF(LEFT(_xll.BDP($C1223, VOLUME_AVG_12M), 4) = "#N/A", "",  _xll.BDP($C1223, VOLUME_AVG_12M))</f>
        <v>778575.625</v>
      </c>
      <c r="AD1223" s="41" cm="1">
        <f t="array" ref="AD1223">IF(LEFT(_xll.BDP($C1223, LAST_PRICE), 4) = "#N/A", "",  _xll.BDP($C1223, LAST_PRICE))</f>
        <v>1.28</v>
      </c>
    </row>
    <row r="1224" spans="1:30" x14ac:dyDescent="0.35">
      <c r="A1224" s="1">
        <f t="shared" si="19"/>
        <v>1221</v>
      </c>
      <c r="B1224" s="28">
        <v>45700</v>
      </c>
      <c r="C1224" s="29" t="s">
        <v>2497</v>
      </c>
      <c r="D1224" s="29" t="s">
        <v>2497</v>
      </c>
      <c r="E1224" s="29" t="s">
        <v>2498</v>
      </c>
      <c r="F1224" s="29" t="s">
        <v>33</v>
      </c>
      <c r="G1224" s="30" t="s">
        <v>34</v>
      </c>
      <c r="H1224" s="31">
        <v>43528.361367486097</v>
      </c>
      <c r="I1224" s="31">
        <v>1707530045.5613699</v>
      </c>
      <c r="J1224" s="32">
        <v>3.0000001424923501E-4</v>
      </c>
      <c r="K1224" s="33">
        <v>45700</v>
      </c>
      <c r="L1224" s="31"/>
      <c r="M1224" s="32"/>
      <c r="N1224" s="31"/>
      <c r="O1224" s="33">
        <v>45699</v>
      </c>
      <c r="P1224" s="34">
        <v>14009.7666015625</v>
      </c>
      <c r="Q1224" s="34">
        <v>54262.3046875</v>
      </c>
      <c r="R1224" s="34">
        <v>55641.6015625</v>
      </c>
      <c r="S1224" s="29"/>
      <c r="T1224" s="33"/>
      <c r="U1224" s="35" t="b">
        <v>1</v>
      </c>
      <c r="V1224" s="35" t="b">
        <v>1</v>
      </c>
      <c r="W1224" s="35" t="b">
        <v>0</v>
      </c>
      <c r="Y1224" s="31" cm="1">
        <f t="array" ref="Y1224">IF(LEFT(_xll.BDP($C1224, VOLUME_AVG_10D), 4) = "#N/A", "",  _xll.BDP($C1224, VOLUME_AVG_10D))</f>
        <v>8824.7001953125</v>
      </c>
      <c r="Z1224" s="31" cm="1">
        <f t="array" ref="Z1224">IF(LEFT(_xll.BDP($C1224, VOLUME_AVG_30D), 4) = "#N/A", "",  _xll.BDP($C1224, VOLUME_AVG_30D))</f>
        <v>14009.7666015625</v>
      </c>
      <c r="AA1224" s="31" cm="1">
        <f t="array" ref="AA1224">IF(LEFT(_xll.BDP($C1224, VOLUME_AVG_3M), 4) = "#N/A", "",  _xll.BDP($C1224, VOLUME_AVG_3M))</f>
        <v>54262.3046875</v>
      </c>
      <c r="AB1224" s="31" cm="1">
        <f t="array" ref="AB1224">IF(LEFT(_xll.BDP($C1224, VOLUME_AVG_6M), 4) = "#N/A", "",  _xll.BDP($C1224, VOLUME_AVG_6M))</f>
        <v>55641.6015625</v>
      </c>
      <c r="AC1224" s="31" cm="1">
        <f t="array" ref="AC1224">IF(LEFT(_xll.BDP($C1224, VOLUME_AVG_12M), 4) = "#N/A", "",  _xll.BDP($C1224, VOLUME_AVG_12M))</f>
        <v>36304.35546875</v>
      </c>
      <c r="AD1224" s="41" cm="1">
        <f t="array" ref="AD1224">IF(LEFT(_xll.BDP($C1224, LAST_PRICE), 4) = "#N/A", "",  _xll.BDP($C1224, LAST_PRICE))</f>
        <v>2.9999999999999997E-4</v>
      </c>
    </row>
    <row r="1225" spans="1:30" x14ac:dyDescent="0.35">
      <c r="A1225" s="1">
        <f t="shared" si="19"/>
        <v>1222</v>
      </c>
      <c r="B1225" s="28">
        <v>45700</v>
      </c>
      <c r="C1225" s="29" t="s">
        <v>2499</v>
      </c>
      <c r="D1225" s="29" t="s">
        <v>2499</v>
      </c>
      <c r="E1225" s="29" t="s">
        <v>2500</v>
      </c>
      <c r="F1225" s="29" t="s">
        <v>33</v>
      </c>
      <c r="G1225" s="30" t="s">
        <v>34</v>
      </c>
      <c r="H1225" s="31">
        <v>32400665.705477901</v>
      </c>
      <c r="I1225" s="31">
        <v>-38280334.294522002</v>
      </c>
      <c r="J1225" s="32">
        <v>2.6600000858306898</v>
      </c>
      <c r="K1225" s="33">
        <v>45700</v>
      </c>
      <c r="L1225" s="31">
        <v>127200</v>
      </c>
      <c r="M1225" s="32">
        <v>-16.399999999999999</v>
      </c>
      <c r="N1225" s="31" t="s">
        <v>35</v>
      </c>
      <c r="O1225" s="33">
        <v>45699</v>
      </c>
      <c r="P1225" s="34">
        <v>271607.09375</v>
      </c>
      <c r="Q1225" s="34">
        <v>386343.21875</v>
      </c>
      <c r="R1225" s="34">
        <v>244680.28125</v>
      </c>
      <c r="S1225" s="29" t="s">
        <v>73</v>
      </c>
      <c r="T1225" s="33">
        <v>45446</v>
      </c>
      <c r="U1225" s="35" t="b">
        <v>0</v>
      </c>
      <c r="V1225" s="35" t="b">
        <v>0</v>
      </c>
      <c r="W1225" s="35" t="b">
        <v>1</v>
      </c>
      <c r="Y1225" s="31" cm="1">
        <f t="array" ref="Y1225">IF(LEFT(_xll.BDP($C1225, VOLUME_AVG_10D), 4) = "#N/A", "",  _xll.BDP($C1225, VOLUME_AVG_10D))</f>
        <v>251521.59375</v>
      </c>
      <c r="Z1225" s="31" cm="1">
        <f t="array" ref="Z1225">IF(LEFT(_xll.BDP($C1225, VOLUME_AVG_30D), 4) = "#N/A", "",  _xll.BDP($C1225, VOLUME_AVG_30D))</f>
        <v>271607.09375</v>
      </c>
      <c r="AA1225" s="31" cm="1">
        <f t="array" ref="AA1225">IF(LEFT(_xll.BDP($C1225, VOLUME_AVG_3M), 4) = "#N/A", "",  _xll.BDP($C1225, VOLUME_AVG_3M))</f>
        <v>386343.21875</v>
      </c>
      <c r="AB1225" s="31" cm="1">
        <f t="array" ref="AB1225">IF(LEFT(_xll.BDP($C1225, VOLUME_AVG_6M), 4) = "#N/A", "",  _xll.BDP($C1225, VOLUME_AVG_6M))</f>
        <v>244680.28125</v>
      </c>
      <c r="AC1225" s="31" cm="1">
        <f t="array" ref="AC1225">IF(LEFT(_xll.BDP($C1225, VOLUME_AVG_12M), 4) = "#N/A", "",  _xll.BDP($C1225, VOLUME_AVG_12M))</f>
        <v>152092.484375</v>
      </c>
      <c r="AD1225" s="41" cm="1">
        <f t="array" ref="AD1225">IF(LEFT(_xll.BDP($C1225, LAST_PRICE), 4) = "#N/A", "",  _xll.BDP($C1225, LAST_PRICE))</f>
        <v>2.66</v>
      </c>
    </row>
    <row r="1226" spans="1:30" x14ac:dyDescent="0.35">
      <c r="A1226" s="1">
        <f t="shared" si="19"/>
        <v>1223</v>
      </c>
      <c r="B1226" s="28">
        <v>45700</v>
      </c>
      <c r="C1226" s="29" t="s">
        <v>2501</v>
      </c>
      <c r="D1226" s="29" t="s">
        <v>2501</v>
      </c>
      <c r="E1226" s="29" t="s">
        <v>2502</v>
      </c>
      <c r="F1226" s="29" t="s">
        <v>33</v>
      </c>
      <c r="G1226" s="30" t="s">
        <v>34</v>
      </c>
      <c r="H1226" s="31">
        <v>3044799.827</v>
      </c>
      <c r="I1226" s="31">
        <v>3224661.827</v>
      </c>
      <c r="J1226" s="32">
        <v>0.17299999999999999</v>
      </c>
      <c r="K1226" s="33">
        <v>45700</v>
      </c>
      <c r="L1226" s="31"/>
      <c r="M1226" s="32"/>
      <c r="N1226" s="31"/>
      <c r="O1226" s="33">
        <v>45699</v>
      </c>
      <c r="P1226" s="34">
        <v>184.16667175293</v>
      </c>
      <c r="Q1226" s="34">
        <v>460.08065795898398</v>
      </c>
      <c r="R1226" s="34">
        <v>232.5</v>
      </c>
      <c r="S1226" s="29"/>
      <c r="T1226" s="33"/>
      <c r="U1226" s="35" t="b">
        <v>1</v>
      </c>
      <c r="V1226" s="35" t="b">
        <v>0</v>
      </c>
      <c r="W1226" s="35" t="b">
        <v>0</v>
      </c>
      <c r="Y1226" s="31" cm="1">
        <f t="array" ref="Y1226">IF(LEFT(_xll.BDP($C1226, VOLUME_AVG_10D), 4) = "#N/A", "",  _xll.BDP($C1226, VOLUME_AVG_10D))</f>
        <v>0</v>
      </c>
      <c r="Z1226" s="31" cm="1">
        <f t="array" ref="Z1226">IF(LEFT(_xll.BDP($C1226, VOLUME_AVG_30D), 4) = "#N/A", "",  _xll.BDP($C1226, VOLUME_AVG_30D))</f>
        <v>184.16667175292969</v>
      </c>
      <c r="AA1226" s="31" cm="1">
        <f t="array" ref="AA1226">IF(LEFT(_xll.BDP($C1226, VOLUME_AVG_3M), 4) = "#N/A", "",  _xll.BDP($C1226, VOLUME_AVG_3M))</f>
        <v>460.08065795898438</v>
      </c>
      <c r="AB1226" s="31" cm="1">
        <f t="array" ref="AB1226">IF(LEFT(_xll.BDP($C1226, VOLUME_AVG_6M), 4) = "#N/A", "",  _xll.BDP($C1226, VOLUME_AVG_6M))</f>
        <v>232.5</v>
      </c>
      <c r="AC1226" s="31" cm="1">
        <f t="array" ref="AC1226">IF(LEFT(_xll.BDP($C1226, VOLUME_AVG_12M), 4) = "#N/A", "",  _xll.BDP($C1226, VOLUME_AVG_12M))</f>
        <v>120.70119476318359</v>
      </c>
      <c r="AD1226" s="41" cm="1">
        <f t="array" ref="AD1226">IF(LEFT(_xll.BDP($C1226, LAST_PRICE), 4) = "#N/A", "",  _xll.BDP($C1226, LAST_PRICE))</f>
        <v>0.17299999999999999</v>
      </c>
    </row>
    <row r="1227" spans="1:30" x14ac:dyDescent="0.35">
      <c r="A1227" s="1">
        <f t="shared" si="19"/>
        <v>1224</v>
      </c>
      <c r="B1227" s="28">
        <v>45700</v>
      </c>
      <c r="C1227" s="29" t="s">
        <v>3302</v>
      </c>
      <c r="D1227" s="29" t="s">
        <v>3302</v>
      </c>
      <c r="E1227" s="29" t="s">
        <v>2503</v>
      </c>
      <c r="F1227" s="29" t="s">
        <v>33</v>
      </c>
      <c r="G1227" s="30" t="s">
        <v>34</v>
      </c>
      <c r="H1227" s="31">
        <v>8710024.8582395595</v>
      </c>
      <c r="I1227" s="31">
        <v>11791878.8582396</v>
      </c>
      <c r="J1227" s="32">
        <v>0.32100000977516202</v>
      </c>
      <c r="K1227" s="33">
        <v>45700</v>
      </c>
      <c r="L1227" s="31">
        <v>957600</v>
      </c>
      <c r="M1227" s="32">
        <v>-4.25</v>
      </c>
      <c r="N1227" s="31" t="s">
        <v>35</v>
      </c>
      <c r="O1227" s="33">
        <v>45699</v>
      </c>
      <c r="P1227" s="34">
        <v>401861.4375</v>
      </c>
      <c r="Q1227" s="34">
        <v>310737.5625</v>
      </c>
      <c r="R1227" s="34">
        <v>207066.03125</v>
      </c>
      <c r="S1227" s="29"/>
      <c r="T1227" s="33"/>
      <c r="U1227" s="35" t="b">
        <v>1</v>
      </c>
      <c r="V1227" s="35" t="b">
        <v>0</v>
      </c>
      <c r="W1227" s="35" t="b">
        <v>0</v>
      </c>
      <c r="Y1227" s="31" cm="1">
        <f t="array" ref="Y1227">IF(LEFT(_xll.BDP($C1227, VOLUME_AVG_10D), 4) = "#N/A", "",  _xll.BDP($C1227, VOLUME_AVG_10D))</f>
        <v>152874.203125</v>
      </c>
      <c r="Z1227" s="31" cm="1">
        <f t="array" ref="Z1227">IF(LEFT(_xll.BDP($C1227, VOLUME_AVG_30D), 4) = "#N/A", "",  _xll.BDP($C1227, VOLUME_AVG_30D))</f>
        <v>401861.4375</v>
      </c>
      <c r="AA1227" s="31" cm="1">
        <f t="array" ref="AA1227">IF(LEFT(_xll.BDP($C1227, VOLUME_AVG_3M), 4) = "#N/A", "",  _xll.BDP($C1227, VOLUME_AVG_3M))</f>
        <v>310737.5625</v>
      </c>
      <c r="AB1227" s="31" cm="1">
        <f t="array" ref="AB1227">IF(LEFT(_xll.BDP($C1227, VOLUME_AVG_6M), 4) = "#N/A", "",  _xll.BDP($C1227, VOLUME_AVG_6M))</f>
        <v>207066.03125</v>
      </c>
      <c r="AC1227" s="31" cm="1">
        <f t="array" ref="AC1227">IF(LEFT(_xll.BDP($C1227, VOLUME_AVG_12M), 4) = "#N/A", "",  _xll.BDP($C1227, VOLUME_AVG_12M))</f>
        <v>206311.96875</v>
      </c>
      <c r="AD1227" s="41" cm="1">
        <f t="array" ref="AD1227">IF(LEFT(_xll.BDP($C1227, LAST_PRICE), 4) = "#N/A", "",  _xll.BDP($C1227, LAST_PRICE))</f>
        <v>0.32100000000000001</v>
      </c>
    </row>
    <row r="1228" spans="1:30" x14ac:dyDescent="0.35">
      <c r="A1228" s="1">
        <f t="shared" si="19"/>
        <v>1225</v>
      </c>
      <c r="B1228" s="28">
        <v>45700</v>
      </c>
      <c r="C1228" s="29" t="s">
        <v>2504</v>
      </c>
      <c r="D1228" s="29" t="s">
        <v>2504</v>
      </c>
      <c r="E1228" s="29" t="s">
        <v>2505</v>
      </c>
      <c r="F1228" s="29" t="s">
        <v>33</v>
      </c>
      <c r="G1228" s="30" t="s">
        <v>34</v>
      </c>
      <c r="H1228" s="31">
        <v>2437586.5678610802</v>
      </c>
      <c r="I1228" s="31">
        <v>3483665.5678610802</v>
      </c>
      <c r="J1228" s="32">
        <v>3.3099999427795401</v>
      </c>
      <c r="K1228" s="33">
        <v>45700</v>
      </c>
      <c r="L1228" s="31">
        <v>11100</v>
      </c>
      <c r="M1228" s="32">
        <v>-60</v>
      </c>
      <c r="N1228" s="31" t="s">
        <v>35</v>
      </c>
      <c r="O1228" s="33">
        <v>45699</v>
      </c>
      <c r="P1228" s="34">
        <v>82002.265625</v>
      </c>
      <c r="Q1228" s="34">
        <v>68630.7734375</v>
      </c>
      <c r="R1228" s="34">
        <v>67700.625</v>
      </c>
      <c r="S1228" s="29"/>
      <c r="T1228" s="33"/>
      <c r="U1228" s="35" t="b">
        <v>1</v>
      </c>
      <c r="V1228" s="35" t="b">
        <v>0</v>
      </c>
      <c r="W1228" s="35" t="b">
        <v>0</v>
      </c>
      <c r="Y1228" s="31" cm="1">
        <f t="array" ref="Y1228">IF(LEFT(_xll.BDP($C1228, VOLUME_AVG_10D), 4) = "#N/A", "",  _xll.BDP($C1228, VOLUME_AVG_10D))</f>
        <v>51768.30078125</v>
      </c>
      <c r="Z1228" s="31" cm="1">
        <f t="array" ref="Z1228">IF(LEFT(_xll.BDP($C1228, VOLUME_AVG_30D), 4) = "#N/A", "",  _xll.BDP($C1228, VOLUME_AVG_30D))</f>
        <v>82002.265625</v>
      </c>
      <c r="AA1228" s="31" cm="1">
        <f t="array" ref="AA1228">IF(LEFT(_xll.BDP($C1228, VOLUME_AVG_3M), 4) = "#N/A", "",  _xll.BDP($C1228, VOLUME_AVG_3M))</f>
        <v>68630.7734375</v>
      </c>
      <c r="AB1228" s="31" cm="1">
        <f t="array" ref="AB1228">IF(LEFT(_xll.BDP($C1228, VOLUME_AVG_6M), 4) = "#N/A", "",  _xll.BDP($C1228, VOLUME_AVG_6M))</f>
        <v>67700.625</v>
      </c>
      <c r="AC1228" s="31" cm="1">
        <f t="array" ref="AC1228">IF(LEFT(_xll.BDP($C1228, VOLUME_AVG_12M), 4) = "#N/A", "",  _xll.BDP($C1228, VOLUME_AVG_12M))</f>
        <v>98322.078125</v>
      </c>
      <c r="AD1228" s="41" cm="1">
        <f t="array" ref="AD1228">IF(LEFT(_xll.BDP($C1228, LAST_PRICE), 4) = "#N/A", "",  _xll.BDP($C1228, LAST_PRICE))</f>
        <v>3.31</v>
      </c>
    </row>
    <row r="1229" spans="1:30" x14ac:dyDescent="0.35">
      <c r="A1229" s="1">
        <f t="shared" si="19"/>
        <v>1226</v>
      </c>
      <c r="B1229" s="28">
        <v>45700</v>
      </c>
      <c r="C1229" s="29" t="s">
        <v>2506</v>
      </c>
      <c r="D1229" s="29" t="s">
        <v>2506</v>
      </c>
      <c r="E1229" s="29" t="s">
        <v>2507</v>
      </c>
      <c r="F1229" s="29" t="s">
        <v>33</v>
      </c>
      <c r="G1229" s="30" t="s">
        <v>34</v>
      </c>
      <c r="H1229" s="31">
        <v>300874983.85562003</v>
      </c>
      <c r="I1229" s="31">
        <v>45842983.855620302</v>
      </c>
      <c r="J1229" s="32">
        <v>7.8099999427795401</v>
      </c>
      <c r="K1229" s="33">
        <v>45700</v>
      </c>
      <c r="L1229" s="31">
        <v>9076300</v>
      </c>
      <c r="M1229" s="32">
        <v>3.88</v>
      </c>
      <c r="N1229" s="31" t="s">
        <v>35</v>
      </c>
      <c r="O1229" s="33">
        <v>45699</v>
      </c>
      <c r="P1229" s="34">
        <v>851380.6875</v>
      </c>
      <c r="Q1229" s="34">
        <v>636438.4375</v>
      </c>
      <c r="R1229" s="34">
        <v>510776.65625</v>
      </c>
      <c r="S1229" s="29"/>
      <c r="T1229" s="33"/>
      <c r="U1229" s="35" t="b">
        <v>0</v>
      </c>
      <c r="V1229" s="35" t="b">
        <v>0</v>
      </c>
      <c r="W1229" s="35" t="b">
        <v>0</v>
      </c>
      <c r="Y1229" s="31" cm="1">
        <f t="array" ref="Y1229">IF(LEFT(_xll.BDP($C1229, VOLUME_AVG_10D), 4) = "#N/A", "",  _xll.BDP($C1229, VOLUME_AVG_10D))</f>
        <v>691930.6875</v>
      </c>
      <c r="Z1229" s="31" cm="1">
        <f t="array" ref="Z1229">IF(LEFT(_xll.BDP($C1229, VOLUME_AVG_30D), 4) = "#N/A", "",  _xll.BDP($C1229, VOLUME_AVG_30D))</f>
        <v>851380.6875</v>
      </c>
      <c r="AA1229" s="31" cm="1">
        <f t="array" ref="AA1229">IF(LEFT(_xll.BDP($C1229, VOLUME_AVG_3M), 4) = "#N/A", "",  _xll.BDP($C1229, VOLUME_AVG_3M))</f>
        <v>636438.4375</v>
      </c>
      <c r="AB1229" s="31" cm="1">
        <f t="array" ref="AB1229">IF(LEFT(_xll.BDP($C1229, VOLUME_AVG_6M), 4) = "#N/A", "",  _xll.BDP($C1229, VOLUME_AVG_6M))</f>
        <v>510776.65625</v>
      </c>
      <c r="AC1229" s="31" cm="1">
        <f t="array" ref="AC1229">IF(LEFT(_xll.BDP($C1229, VOLUME_AVG_12M), 4) = "#N/A", "",  _xll.BDP($C1229, VOLUME_AVG_12M))</f>
        <v>468192.40625</v>
      </c>
      <c r="AD1229" s="41" cm="1">
        <f t="array" ref="AD1229">IF(LEFT(_xll.BDP($C1229, LAST_PRICE), 4) = "#N/A", "",  _xll.BDP($C1229, LAST_PRICE))</f>
        <v>7.81</v>
      </c>
    </row>
    <row r="1230" spans="1:30" x14ac:dyDescent="0.35">
      <c r="A1230" s="1">
        <f t="shared" si="19"/>
        <v>1227</v>
      </c>
      <c r="B1230" s="28">
        <v>45700</v>
      </c>
      <c r="C1230" s="29" t="s">
        <v>2508</v>
      </c>
      <c r="D1230" s="29" t="s">
        <v>2508</v>
      </c>
      <c r="E1230" s="29" t="s">
        <v>2509</v>
      </c>
      <c r="F1230" s="29" t="s">
        <v>33</v>
      </c>
      <c r="G1230" s="30" t="s">
        <v>34</v>
      </c>
      <c r="H1230" s="31">
        <v>39348.230499999998</v>
      </c>
      <c r="I1230" s="31">
        <v>2895906.2305000001</v>
      </c>
      <c r="J1230" s="32"/>
      <c r="K1230" s="33">
        <v>45700</v>
      </c>
      <c r="L1230" s="31"/>
      <c r="M1230" s="32"/>
      <c r="N1230" s="31"/>
      <c r="O1230" s="33">
        <v>45699</v>
      </c>
      <c r="P1230" s="34"/>
      <c r="Q1230" s="34">
        <v>1020.96771240234</v>
      </c>
      <c r="R1230" s="34">
        <v>3097.65869140625</v>
      </c>
      <c r="S1230" s="29"/>
      <c r="T1230" s="33"/>
      <c r="U1230" s="35" t="b">
        <v>1</v>
      </c>
      <c r="V1230" s="35" t="b">
        <v>1</v>
      </c>
      <c r="W1230" s="35" t="b">
        <v>0</v>
      </c>
      <c r="Y1230" s="31" cm="1">
        <f t="array" ref="Y1230">IF(LEFT(_xll.BDP($C1230, VOLUME_AVG_10D), 4) = "#N/A", "",  _xll.BDP($C1230, VOLUME_AVG_10D))</f>
        <v>0</v>
      </c>
      <c r="Z1230" s="31" cm="1">
        <f t="array" ref="Z1230">IF(LEFT(_xll.BDP($C1230, VOLUME_AVG_30D), 4) = "#N/A", "",  _xll.BDP($C1230, VOLUME_AVG_30D))</f>
        <v>0</v>
      </c>
      <c r="AA1230" s="31" cm="1">
        <f t="array" ref="AA1230">IF(LEFT(_xll.BDP($C1230, VOLUME_AVG_3M), 4) = "#N/A", "",  _xll.BDP($C1230, VOLUME_AVG_3M))</f>
        <v>1020.9677124023438</v>
      </c>
      <c r="AB1230" s="31" cm="1">
        <f t="array" ref="AB1230">IF(LEFT(_xll.BDP($C1230, VOLUME_AVG_6M), 4) = "#N/A", "",  _xll.BDP($C1230, VOLUME_AVG_6M))</f>
        <v>3097.65869140625</v>
      </c>
      <c r="AC1230" s="31" cm="1">
        <f t="array" ref="AC1230">IF(LEFT(_xll.BDP($C1230, VOLUME_AVG_12M), 4) = "#N/A", "",  _xll.BDP($C1230, VOLUME_AVG_12M))</f>
        <v>2100.21923828125</v>
      </c>
      <c r="AD1230" s="41" t="str" cm="1">
        <f t="array" ref="AD1230">IF(LEFT(_xll.BDP($C1230, LAST_PRICE), 4) = "#N/A", "",  _xll.BDP($C1230, LAST_PRICE))</f>
        <v/>
      </c>
    </row>
    <row r="1231" spans="1:30" x14ac:dyDescent="0.35">
      <c r="A1231" s="1">
        <f t="shared" si="19"/>
        <v>1228</v>
      </c>
      <c r="B1231" s="28">
        <v>45700</v>
      </c>
      <c r="C1231" s="29" t="s">
        <v>2510</v>
      </c>
      <c r="D1231" s="29" t="s">
        <v>2510</v>
      </c>
      <c r="E1231" s="29" t="s">
        <v>2511</v>
      </c>
      <c r="F1231" s="29" t="s">
        <v>40</v>
      </c>
      <c r="G1231" s="30" t="s">
        <v>41</v>
      </c>
      <c r="H1231" s="31">
        <v>34743661.591850303</v>
      </c>
      <c r="I1231" s="31">
        <v>25049799.799950302</v>
      </c>
      <c r="J1231" s="32">
        <v>16.399999618530298</v>
      </c>
      <c r="K1231" s="33">
        <v>45700</v>
      </c>
      <c r="L1231" s="31"/>
      <c r="M1231" s="32"/>
      <c r="N1231" s="31"/>
      <c r="O1231" s="33">
        <v>45699</v>
      </c>
      <c r="P1231" s="34">
        <v>16445.23</v>
      </c>
      <c r="Q1231" s="34">
        <v>10651.91</v>
      </c>
      <c r="R1231" s="34">
        <v>8518.1010000000006</v>
      </c>
      <c r="S1231" s="29"/>
      <c r="T1231" s="33"/>
      <c r="U1231" s="35" t="b">
        <v>0</v>
      </c>
      <c r="V1231" s="35" t="b">
        <v>0</v>
      </c>
      <c r="W1231" s="35" t="b">
        <v>0</v>
      </c>
      <c r="Y1231" s="31" cm="1">
        <f t="array" ref="Y1231">IF(LEFT(_xll.BDP($C1231, VOLUME_AVG_10D), 4) = "#N/A", "",  _xll.BDP($C1231, VOLUME_AVG_10D))</f>
        <v>45241.7</v>
      </c>
      <c r="Z1231" s="31" cm="1">
        <f t="array" ref="Z1231">IF(LEFT(_xll.BDP($C1231, VOLUME_AVG_30D), 4) = "#N/A", "",  _xll.BDP($C1231, VOLUME_AVG_30D))</f>
        <v>16445.23</v>
      </c>
      <c r="AA1231" s="31" cm="1">
        <f t="array" ref="AA1231">IF(LEFT(_xll.BDP($C1231, VOLUME_AVG_3M), 4) = "#N/A", "",  _xll.BDP($C1231, VOLUME_AVG_3M))</f>
        <v>10651.91</v>
      </c>
      <c r="AB1231" s="31" cm="1">
        <f t="array" ref="AB1231">IF(LEFT(_xll.BDP($C1231, VOLUME_AVG_6M), 4) = "#N/A", "",  _xll.BDP($C1231, VOLUME_AVG_6M))</f>
        <v>8518.1010000000006</v>
      </c>
      <c r="AC1231" s="31" cm="1">
        <f t="array" ref="AC1231">IF(LEFT(_xll.BDP($C1231, VOLUME_AVG_12M), 4) = "#N/A", "",  _xll.BDP($C1231, VOLUME_AVG_12M))</f>
        <v>5210.1099999999997</v>
      </c>
      <c r="AD1231" s="41" cm="1">
        <f t="array" ref="AD1231">IF(LEFT(_xll.BDP($C1231, LAST_PRICE), 4) = "#N/A", "",  _xll.BDP($C1231, LAST_PRICE))</f>
        <v>16.399999999999999</v>
      </c>
    </row>
    <row r="1232" spans="1:30" x14ac:dyDescent="0.35">
      <c r="A1232" s="1">
        <f t="shared" si="19"/>
        <v>1229</v>
      </c>
      <c r="B1232" s="28">
        <v>45700</v>
      </c>
      <c r="C1232" s="29" t="s">
        <v>2512</v>
      </c>
      <c r="D1232" s="29" t="s">
        <v>2512</v>
      </c>
      <c r="E1232" s="29" t="s">
        <v>2513</v>
      </c>
      <c r="F1232" s="29" t="s">
        <v>33</v>
      </c>
      <c r="G1232" s="30" t="s">
        <v>34</v>
      </c>
      <c r="H1232" s="31"/>
      <c r="I1232" s="31"/>
      <c r="J1232" s="32">
        <v>9.9999999747524292E-7</v>
      </c>
      <c r="K1232" s="33">
        <v>45700</v>
      </c>
      <c r="L1232" s="31"/>
      <c r="M1232" s="32"/>
      <c r="N1232" s="31"/>
      <c r="O1232" s="33">
        <v>45699</v>
      </c>
      <c r="P1232" s="34">
        <v>44347.93359375</v>
      </c>
      <c r="Q1232" s="34">
        <v>123403.5625</v>
      </c>
      <c r="R1232" s="34">
        <v>76198.578125</v>
      </c>
      <c r="S1232" s="29"/>
      <c r="T1232" s="33"/>
      <c r="U1232" s="35" t="b">
        <v>1</v>
      </c>
      <c r="V1232" s="35" t="b">
        <v>1</v>
      </c>
      <c r="W1232" s="35" t="b">
        <v>1</v>
      </c>
      <c r="Y1232" s="31" cm="1">
        <f t="array" ref="Y1232">IF(LEFT(_xll.BDP($C1232, VOLUME_AVG_10D), 4) = "#N/A", "",  _xll.BDP($C1232, VOLUME_AVG_10D))</f>
        <v>73043.296875</v>
      </c>
      <c r="Z1232" s="31" cm="1">
        <f t="array" ref="Z1232">IF(LEFT(_xll.BDP($C1232, VOLUME_AVG_30D), 4) = "#N/A", "",  _xll.BDP($C1232, VOLUME_AVG_30D))</f>
        <v>44347.93359375</v>
      </c>
      <c r="AA1232" s="31" cm="1">
        <f t="array" ref="AA1232">IF(LEFT(_xll.BDP($C1232, VOLUME_AVG_3M), 4) = "#N/A", "",  _xll.BDP($C1232, VOLUME_AVG_3M))</f>
        <v>123403.5625</v>
      </c>
      <c r="AB1232" s="31" cm="1">
        <f t="array" ref="AB1232">IF(LEFT(_xll.BDP($C1232, VOLUME_AVG_6M), 4) = "#N/A", "",  _xll.BDP($C1232, VOLUME_AVG_6M))</f>
        <v>76198.578125</v>
      </c>
      <c r="AC1232" s="31" cm="1">
        <f t="array" ref="AC1232">IF(LEFT(_xll.BDP($C1232, VOLUME_AVG_12M), 4) = "#N/A", "",  _xll.BDP($C1232, VOLUME_AVG_12M))</f>
        <v>184477.9375</v>
      </c>
      <c r="AD1232" s="41" cm="1">
        <f t="array" ref="AD1232">IF(LEFT(_xll.BDP($C1232, LAST_PRICE), 4) = "#N/A", "",  _xll.BDP($C1232, LAST_PRICE))</f>
        <v>9.9999999999999995E-7</v>
      </c>
    </row>
    <row r="1233" spans="1:30" x14ac:dyDescent="0.35">
      <c r="A1233" s="1">
        <f t="shared" si="19"/>
        <v>1230</v>
      </c>
      <c r="B1233" s="28">
        <v>45700</v>
      </c>
      <c r="C1233" s="29" t="s">
        <v>2514</v>
      </c>
      <c r="D1233" s="29" t="s">
        <v>2514</v>
      </c>
      <c r="E1233" s="29" t="s">
        <v>2515</v>
      </c>
      <c r="F1233" s="29" t="s">
        <v>33</v>
      </c>
      <c r="G1233" s="30" t="s">
        <v>34</v>
      </c>
      <c r="H1233" s="31">
        <v>279717195.36406302</v>
      </c>
      <c r="I1233" s="31">
        <v>97198195.364063293</v>
      </c>
      <c r="J1233" s="32">
        <v>1.96000003814697</v>
      </c>
      <c r="K1233" s="33">
        <v>45700</v>
      </c>
      <c r="L1233" s="31">
        <v>2347300</v>
      </c>
      <c r="M1233" s="32">
        <v>-2.6</v>
      </c>
      <c r="N1233" s="31" t="s">
        <v>35</v>
      </c>
      <c r="O1233" s="33">
        <v>45699</v>
      </c>
      <c r="P1233" s="34">
        <v>41007552</v>
      </c>
      <c r="Q1233" s="34">
        <v>32496744</v>
      </c>
      <c r="R1233" s="34">
        <v>16237580</v>
      </c>
      <c r="S1233" s="29"/>
      <c r="T1233" s="33"/>
      <c r="U1233" s="35" t="b">
        <v>0</v>
      </c>
      <c r="V1233" s="35" t="b">
        <v>0</v>
      </c>
      <c r="W1233" s="35" t="b">
        <v>0</v>
      </c>
      <c r="Y1233" s="31" cm="1">
        <f t="array" ref="Y1233">IF(LEFT(_xll.BDP($C1233, VOLUME_AVG_10D), 4) = "#N/A", "",  _xll.BDP($C1233, VOLUME_AVG_10D))</f>
        <v>10889513</v>
      </c>
      <c r="Z1233" s="31" cm="1">
        <f t="array" ref="Z1233">IF(LEFT(_xll.BDP($C1233, VOLUME_AVG_30D), 4) = "#N/A", "",  _xll.BDP($C1233, VOLUME_AVG_30D))</f>
        <v>41007552</v>
      </c>
      <c r="AA1233" s="31" cm="1">
        <f t="array" ref="AA1233">IF(LEFT(_xll.BDP($C1233, VOLUME_AVG_3M), 4) = "#N/A", "",  _xll.BDP($C1233, VOLUME_AVG_3M))</f>
        <v>32496744</v>
      </c>
      <c r="AB1233" s="31" cm="1">
        <f t="array" ref="AB1233">IF(LEFT(_xll.BDP($C1233, VOLUME_AVG_6M), 4) = "#N/A", "",  _xll.BDP($C1233, VOLUME_AVG_6M))</f>
        <v>16237580</v>
      </c>
      <c r="AC1233" s="31" cm="1">
        <f t="array" ref="AC1233">IF(LEFT(_xll.BDP($C1233, VOLUME_AVG_12M), 4) = "#N/A", "",  _xll.BDP($C1233, VOLUME_AVG_12M))</f>
        <v>8544829</v>
      </c>
      <c r="AD1233" s="41" cm="1">
        <f t="array" ref="AD1233">IF(LEFT(_xll.BDP($C1233, LAST_PRICE), 4) = "#N/A", "",  _xll.BDP($C1233, LAST_PRICE))</f>
        <v>1.96</v>
      </c>
    </row>
    <row r="1234" spans="1:30" x14ac:dyDescent="0.35">
      <c r="A1234" s="1">
        <f t="shared" si="19"/>
        <v>1231</v>
      </c>
      <c r="B1234" s="28">
        <v>45700</v>
      </c>
      <c r="C1234" s="29" t="s">
        <v>2516</v>
      </c>
      <c r="D1234" s="29" t="s">
        <v>2516</v>
      </c>
      <c r="E1234" s="29" t="s">
        <v>2517</v>
      </c>
      <c r="F1234" s="29" t="s">
        <v>33</v>
      </c>
      <c r="G1234" s="30" t="s">
        <v>34</v>
      </c>
      <c r="H1234" s="31">
        <v>18343955678.595001</v>
      </c>
      <c r="I1234" s="31">
        <v>24837955678.595001</v>
      </c>
      <c r="J1234" s="32">
        <v>164.35000610351599</v>
      </c>
      <c r="K1234" s="33">
        <v>45700</v>
      </c>
      <c r="L1234" s="31">
        <v>40609900</v>
      </c>
      <c r="M1234" s="32">
        <v>3.88</v>
      </c>
      <c r="N1234" s="31" t="s">
        <v>35</v>
      </c>
      <c r="O1234" s="33">
        <v>45699</v>
      </c>
      <c r="P1234" s="34">
        <v>948692.625</v>
      </c>
      <c r="Q1234" s="34">
        <v>910592.0625</v>
      </c>
      <c r="R1234" s="34">
        <v>816062.375</v>
      </c>
      <c r="S1234" s="29"/>
      <c r="T1234" s="33"/>
      <c r="U1234" s="35" t="b">
        <v>0</v>
      </c>
      <c r="V1234" s="35" t="b">
        <v>0</v>
      </c>
      <c r="W1234" s="35" t="b">
        <v>0</v>
      </c>
      <c r="Y1234" s="31" cm="1">
        <f t="array" ref="Y1234">IF(LEFT(_xll.BDP($C1234, VOLUME_AVG_10D), 4) = "#N/A", "",  _xll.BDP($C1234, VOLUME_AVG_10D))</f>
        <v>1189701.375</v>
      </c>
      <c r="Z1234" s="31" cm="1">
        <f t="array" ref="Z1234">IF(LEFT(_xll.BDP($C1234, VOLUME_AVG_30D), 4) = "#N/A", "",  _xll.BDP($C1234, VOLUME_AVG_30D))</f>
        <v>948692.625</v>
      </c>
      <c r="AA1234" s="31" cm="1">
        <f t="array" ref="AA1234">IF(LEFT(_xll.BDP($C1234, VOLUME_AVG_3M), 4) = "#N/A", "",  _xll.BDP($C1234, VOLUME_AVG_3M))</f>
        <v>910592.0625</v>
      </c>
      <c r="AB1234" s="31" cm="1">
        <f t="array" ref="AB1234">IF(LEFT(_xll.BDP($C1234, VOLUME_AVG_6M), 4) = "#N/A", "",  _xll.BDP($C1234, VOLUME_AVG_6M))</f>
        <v>816062.375</v>
      </c>
      <c r="AC1234" s="31" cm="1">
        <f t="array" ref="AC1234">IF(LEFT(_xll.BDP($C1234, VOLUME_AVG_12M), 4) = "#N/A", "",  _xll.BDP($C1234, VOLUME_AVG_12M))</f>
        <v>885152.9375</v>
      </c>
      <c r="AD1234" s="41" cm="1">
        <f t="array" ref="AD1234">IF(LEFT(_xll.BDP($C1234, LAST_PRICE), 4) = "#N/A", "",  _xll.BDP($C1234, LAST_PRICE))</f>
        <v>164.35</v>
      </c>
    </row>
    <row r="1235" spans="1:30" x14ac:dyDescent="0.35">
      <c r="A1235" s="1">
        <f t="shared" si="19"/>
        <v>1232</v>
      </c>
      <c r="B1235" s="28">
        <v>45700</v>
      </c>
      <c r="C1235" s="29" t="s">
        <v>2518</v>
      </c>
      <c r="D1235" s="29" t="s">
        <v>2518</v>
      </c>
      <c r="E1235" s="29" t="s">
        <v>2519</v>
      </c>
      <c r="F1235" s="29" t="s">
        <v>40</v>
      </c>
      <c r="G1235" s="30" t="s">
        <v>41</v>
      </c>
      <c r="H1235" s="31">
        <v>5073877.2965900004</v>
      </c>
      <c r="I1235" s="31">
        <v>5887521.2965900004</v>
      </c>
      <c r="J1235" s="32">
        <v>2.9999999329447701E-2</v>
      </c>
      <c r="K1235" s="33">
        <v>45700</v>
      </c>
      <c r="L1235" s="31"/>
      <c r="M1235" s="32"/>
      <c r="N1235" s="31"/>
      <c r="O1235" s="33">
        <v>45699</v>
      </c>
      <c r="P1235" s="34">
        <v>49160.37</v>
      </c>
      <c r="Q1235" s="34">
        <v>57293.25</v>
      </c>
      <c r="R1235" s="34">
        <v>61437.4</v>
      </c>
      <c r="S1235" s="29"/>
      <c r="T1235" s="33"/>
      <c r="U1235" s="35" t="b">
        <v>1</v>
      </c>
      <c r="V1235" s="35" t="b">
        <v>1</v>
      </c>
      <c r="W1235" s="35" t="b">
        <v>0</v>
      </c>
      <c r="Y1235" s="31" cm="1">
        <f t="array" ref="Y1235">IF(LEFT(_xll.BDP($C1235, VOLUME_AVG_10D), 4) = "#N/A", "",  _xll.BDP($C1235, VOLUME_AVG_10D))</f>
        <v>111392.6</v>
      </c>
      <c r="Z1235" s="31" cm="1">
        <f t="array" ref="Z1235">IF(LEFT(_xll.BDP($C1235, VOLUME_AVG_30D), 4) = "#N/A", "",  _xll.BDP($C1235, VOLUME_AVG_30D))</f>
        <v>49160.37</v>
      </c>
      <c r="AA1235" s="31" cm="1">
        <f t="array" ref="AA1235">IF(LEFT(_xll.BDP($C1235, VOLUME_AVG_3M), 4) = "#N/A", "",  _xll.BDP($C1235, VOLUME_AVG_3M))</f>
        <v>57293.25</v>
      </c>
      <c r="AB1235" s="31" cm="1">
        <f t="array" ref="AB1235">IF(LEFT(_xll.BDP($C1235, VOLUME_AVG_6M), 4) = "#N/A", "",  _xll.BDP($C1235, VOLUME_AVG_6M))</f>
        <v>61437.4</v>
      </c>
      <c r="AC1235" s="31" cm="1">
        <f t="array" ref="AC1235">IF(LEFT(_xll.BDP($C1235, VOLUME_AVG_12M), 4) = "#N/A", "",  _xll.BDP($C1235, VOLUME_AVG_12M))</f>
        <v>35696.75</v>
      </c>
      <c r="AD1235" s="41" cm="1">
        <f t="array" ref="AD1235">IF(LEFT(_xll.BDP($C1235, LAST_PRICE), 4) = "#N/A", "",  _xll.BDP($C1235, LAST_PRICE))</f>
        <v>0.03</v>
      </c>
    </row>
    <row r="1236" spans="1:30" x14ac:dyDescent="0.35">
      <c r="A1236" s="1">
        <f t="shared" si="19"/>
        <v>1233</v>
      </c>
      <c r="B1236" s="28">
        <v>45700</v>
      </c>
      <c r="C1236" s="29" t="s">
        <v>2520</v>
      </c>
      <c r="D1236" s="29" t="s">
        <v>2520</v>
      </c>
      <c r="E1236" s="29" t="s">
        <v>2521</v>
      </c>
      <c r="F1236" s="29" t="s">
        <v>33</v>
      </c>
      <c r="G1236" s="30" t="s">
        <v>34</v>
      </c>
      <c r="H1236" s="31">
        <v>3734.6154000000001</v>
      </c>
      <c r="I1236" s="31"/>
      <c r="J1236" s="32"/>
      <c r="K1236" s="33">
        <v>45700</v>
      </c>
      <c r="L1236" s="31"/>
      <c r="M1236" s="32"/>
      <c r="N1236" s="31"/>
      <c r="O1236" s="33">
        <v>45699</v>
      </c>
      <c r="P1236" s="34"/>
      <c r="Q1236" s="34">
        <v>93.951614379882798</v>
      </c>
      <c r="R1236" s="34">
        <v>46.230159759521499</v>
      </c>
      <c r="S1236" s="29"/>
      <c r="T1236" s="33"/>
      <c r="U1236" s="35" t="b">
        <v>1</v>
      </c>
      <c r="V1236" s="35" t="b">
        <v>1</v>
      </c>
      <c r="W1236" s="35" t="b">
        <v>1</v>
      </c>
      <c r="Y1236" s="31" cm="1">
        <f t="array" ref="Y1236">IF(LEFT(_xll.BDP($C1236, VOLUME_AVG_10D), 4) = "#N/A", "",  _xll.BDP($C1236, VOLUME_AVG_10D))</f>
        <v>0</v>
      </c>
      <c r="Z1236" s="31" cm="1">
        <f t="array" ref="Z1236">IF(LEFT(_xll.BDP($C1236, VOLUME_AVG_30D), 4) = "#N/A", "",  _xll.BDP($C1236, VOLUME_AVG_30D))</f>
        <v>0</v>
      </c>
      <c r="AA1236" s="31" cm="1">
        <f t="array" ref="AA1236">IF(LEFT(_xll.BDP($C1236, VOLUME_AVG_3M), 4) = "#N/A", "",  _xll.BDP($C1236, VOLUME_AVG_3M))</f>
        <v>93.951614379882813</v>
      </c>
      <c r="AB1236" s="31" cm="1">
        <f t="array" ref="AB1236">IF(LEFT(_xll.BDP($C1236, VOLUME_AVG_6M), 4) = "#N/A", "",  _xll.BDP($C1236, VOLUME_AVG_6M))</f>
        <v>46.230159759521484</v>
      </c>
      <c r="AC1236" s="31" cm="1">
        <f t="array" ref="AC1236">IF(LEFT(_xll.BDP($C1236, VOLUME_AVG_12M), 4) = "#N/A", "",  _xll.BDP($C1236, VOLUME_AVG_12M))</f>
        <v>561.0557861328125</v>
      </c>
      <c r="AD1236" s="41" t="str" cm="1">
        <f t="array" ref="AD1236">IF(LEFT(_xll.BDP($C1236, LAST_PRICE), 4) = "#N/A", "",  _xll.BDP($C1236, LAST_PRICE))</f>
        <v/>
      </c>
    </row>
    <row r="1237" spans="1:30" x14ac:dyDescent="0.35">
      <c r="A1237" s="1">
        <f t="shared" si="19"/>
        <v>1234</v>
      </c>
      <c r="B1237" s="28">
        <v>45700</v>
      </c>
      <c r="C1237" s="29" t="s">
        <v>2522</v>
      </c>
      <c r="D1237" s="29" t="s">
        <v>2522</v>
      </c>
      <c r="E1237" s="29" t="s">
        <v>2523</v>
      </c>
      <c r="F1237" s="29" t="s">
        <v>33</v>
      </c>
      <c r="G1237" s="30" t="s">
        <v>34</v>
      </c>
      <c r="H1237" s="31">
        <v>2686233184.61695</v>
      </c>
      <c r="I1237" s="31"/>
      <c r="J1237" s="32">
        <v>39.939998626708999</v>
      </c>
      <c r="K1237" s="33">
        <v>45700</v>
      </c>
      <c r="L1237" s="31">
        <v>28658300</v>
      </c>
      <c r="M1237" s="32">
        <v>3.88</v>
      </c>
      <c r="N1237" s="31" t="s">
        <v>35</v>
      </c>
      <c r="O1237" s="33">
        <v>45699</v>
      </c>
      <c r="P1237" s="34">
        <v>837918.4375</v>
      </c>
      <c r="Q1237" s="34">
        <v>992248.3125</v>
      </c>
      <c r="R1237" s="34">
        <v>831273.8125</v>
      </c>
      <c r="S1237" s="29" t="s">
        <v>671</v>
      </c>
      <c r="T1237" s="33">
        <v>45215</v>
      </c>
      <c r="U1237" s="35" t="b">
        <v>0</v>
      </c>
      <c r="V1237" s="35" t="b">
        <v>0</v>
      </c>
      <c r="W1237" s="35" t="b">
        <v>1</v>
      </c>
      <c r="Y1237" s="31" cm="1">
        <f t="array" ref="Y1237">IF(LEFT(_xll.BDP($C1237, VOLUME_AVG_10D), 4) = "#N/A", "",  _xll.BDP($C1237, VOLUME_AVG_10D))</f>
        <v>758313.3125</v>
      </c>
      <c r="Z1237" s="31" cm="1">
        <f t="array" ref="Z1237">IF(LEFT(_xll.BDP($C1237, VOLUME_AVG_30D), 4) = "#N/A", "",  _xll.BDP($C1237, VOLUME_AVG_30D))</f>
        <v>837918.4375</v>
      </c>
      <c r="AA1237" s="31" cm="1">
        <f t="array" ref="AA1237">IF(LEFT(_xll.BDP($C1237, VOLUME_AVG_3M), 4) = "#N/A", "",  _xll.BDP($C1237, VOLUME_AVG_3M))</f>
        <v>992248.3125</v>
      </c>
      <c r="AB1237" s="31" cm="1">
        <f t="array" ref="AB1237">IF(LEFT(_xll.BDP($C1237, VOLUME_AVG_6M), 4) = "#N/A", "",  _xll.BDP($C1237, VOLUME_AVG_6M))</f>
        <v>831273.8125</v>
      </c>
      <c r="AC1237" s="31" cm="1">
        <f t="array" ref="AC1237">IF(LEFT(_xll.BDP($C1237, VOLUME_AVG_12M), 4) = "#N/A", "",  _xll.BDP($C1237, VOLUME_AVG_12M))</f>
        <v>1031058.4375</v>
      </c>
      <c r="AD1237" s="41" cm="1">
        <f t="array" ref="AD1237">IF(LEFT(_xll.BDP($C1237, LAST_PRICE), 4) = "#N/A", "",  _xll.BDP($C1237, LAST_PRICE))</f>
        <v>39.94</v>
      </c>
    </row>
    <row r="1238" spans="1:30" x14ac:dyDescent="0.35">
      <c r="A1238" s="1">
        <f t="shared" si="19"/>
        <v>1235</v>
      </c>
      <c r="B1238" s="28">
        <v>45700</v>
      </c>
      <c r="C1238" s="29" t="s">
        <v>2524</v>
      </c>
      <c r="D1238" s="29" t="s">
        <v>2524</v>
      </c>
      <c r="E1238" s="29" t="s">
        <v>2525</v>
      </c>
      <c r="F1238" s="29" t="s">
        <v>33</v>
      </c>
      <c r="G1238" s="30" t="s">
        <v>34</v>
      </c>
      <c r="H1238" s="31">
        <v>61602299.150919102</v>
      </c>
      <c r="I1238" s="31">
        <v>29205299.150919098</v>
      </c>
      <c r="J1238" s="32">
        <v>1.3999999761581401</v>
      </c>
      <c r="K1238" s="33">
        <v>45700</v>
      </c>
      <c r="L1238" s="31">
        <v>1096600</v>
      </c>
      <c r="M1238" s="32">
        <v>-1.7</v>
      </c>
      <c r="N1238" s="31" t="s">
        <v>35</v>
      </c>
      <c r="O1238" s="33">
        <v>45699</v>
      </c>
      <c r="P1238" s="34">
        <v>135860.40625</v>
      </c>
      <c r="Q1238" s="34">
        <v>215491.390625</v>
      </c>
      <c r="R1238" s="34">
        <v>389713.375</v>
      </c>
      <c r="S1238" s="29"/>
      <c r="T1238" s="33"/>
      <c r="U1238" s="35" t="b">
        <v>0</v>
      </c>
      <c r="V1238" s="35" t="b">
        <v>0</v>
      </c>
      <c r="W1238" s="35" t="b">
        <v>0</v>
      </c>
      <c r="Y1238" s="31" cm="1">
        <f t="array" ref="Y1238">IF(LEFT(_xll.BDP($C1238, VOLUME_AVG_10D), 4) = "#N/A", "",  _xll.BDP($C1238, VOLUME_AVG_10D))</f>
        <v>120251.296875</v>
      </c>
      <c r="Z1238" s="31" cm="1">
        <f t="array" ref="Z1238">IF(LEFT(_xll.BDP($C1238, VOLUME_AVG_30D), 4) = "#N/A", "",  _xll.BDP($C1238, VOLUME_AVG_30D))</f>
        <v>135860.40625</v>
      </c>
      <c r="AA1238" s="31" cm="1">
        <f t="array" ref="AA1238">IF(LEFT(_xll.BDP($C1238, VOLUME_AVG_3M), 4) = "#N/A", "",  _xll.BDP($C1238, VOLUME_AVG_3M))</f>
        <v>215491.390625</v>
      </c>
      <c r="AB1238" s="31" cm="1">
        <f t="array" ref="AB1238">IF(LEFT(_xll.BDP($C1238, VOLUME_AVG_6M), 4) = "#N/A", "",  _xll.BDP($C1238, VOLUME_AVG_6M))</f>
        <v>389713.375</v>
      </c>
      <c r="AC1238" s="31" cm="1">
        <f t="array" ref="AC1238">IF(LEFT(_xll.BDP($C1238, VOLUME_AVG_12M), 4) = "#N/A", "",  _xll.BDP($C1238, VOLUME_AVG_12M))</f>
        <v>236790.640625</v>
      </c>
      <c r="AD1238" s="41" cm="1">
        <f t="array" ref="AD1238">IF(LEFT(_xll.BDP($C1238, LAST_PRICE), 4) = "#N/A", "",  _xll.BDP($C1238, LAST_PRICE))</f>
        <v>1.4</v>
      </c>
    </row>
    <row r="1239" spans="1:30" x14ac:dyDescent="0.35">
      <c r="A1239" s="1">
        <f t="shared" si="19"/>
        <v>1236</v>
      </c>
      <c r="B1239" s="28">
        <v>45700</v>
      </c>
      <c r="C1239" s="29" t="s">
        <v>2526</v>
      </c>
      <c r="D1239" s="29" t="s">
        <v>2526</v>
      </c>
      <c r="E1239" s="29" t="s">
        <v>2527</v>
      </c>
      <c r="F1239" s="29" t="s">
        <v>40</v>
      </c>
      <c r="G1239" s="30" t="s">
        <v>41</v>
      </c>
      <c r="H1239" s="31">
        <v>177105137.783306</v>
      </c>
      <c r="I1239" s="31">
        <v>209453732.00145301</v>
      </c>
      <c r="J1239" s="32">
        <v>4.1100001335143999</v>
      </c>
      <c r="K1239" s="33">
        <v>45700</v>
      </c>
      <c r="L1239" s="31">
        <v>3107100</v>
      </c>
      <c r="M1239" s="32">
        <v>3.88</v>
      </c>
      <c r="N1239" s="31" t="s">
        <v>35</v>
      </c>
      <c r="O1239" s="33">
        <v>45699</v>
      </c>
      <c r="P1239" s="34">
        <v>37202.57</v>
      </c>
      <c r="Q1239" s="34">
        <v>51637.25</v>
      </c>
      <c r="R1239" s="34">
        <v>53778.68</v>
      </c>
      <c r="S1239" s="29"/>
      <c r="T1239" s="33"/>
      <c r="U1239" s="35" t="b">
        <v>0</v>
      </c>
      <c r="V1239" s="35" t="b">
        <v>0</v>
      </c>
      <c r="W1239" s="35" t="b">
        <v>0</v>
      </c>
      <c r="Y1239" s="31" cm="1">
        <f t="array" ref="Y1239">IF(LEFT(_xll.BDP($C1239, VOLUME_AVG_10D), 4) = "#N/A", "",  _xll.BDP($C1239, VOLUME_AVG_10D))</f>
        <v>37602.800000000003</v>
      </c>
      <c r="Z1239" s="31" cm="1">
        <f t="array" ref="Z1239">IF(LEFT(_xll.BDP($C1239, VOLUME_AVG_30D), 4) = "#N/A", "",  _xll.BDP($C1239, VOLUME_AVG_30D))</f>
        <v>37202.57</v>
      </c>
      <c r="AA1239" s="31" cm="1">
        <f t="array" ref="AA1239">IF(LEFT(_xll.BDP($C1239, VOLUME_AVG_3M), 4) = "#N/A", "",  _xll.BDP($C1239, VOLUME_AVG_3M))</f>
        <v>51637.25</v>
      </c>
      <c r="AB1239" s="31" cm="1">
        <f t="array" ref="AB1239">IF(LEFT(_xll.BDP($C1239, VOLUME_AVG_6M), 4) = "#N/A", "",  _xll.BDP($C1239, VOLUME_AVG_6M))</f>
        <v>53778.68</v>
      </c>
      <c r="AC1239" s="31" cm="1">
        <f t="array" ref="AC1239">IF(LEFT(_xll.BDP($C1239, VOLUME_AVG_12M), 4) = "#N/A", "",  _xll.BDP($C1239, VOLUME_AVG_12M))</f>
        <v>57250.45</v>
      </c>
      <c r="AD1239" s="41" cm="1">
        <f t="array" ref="AD1239">IF(LEFT(_xll.BDP($C1239, LAST_PRICE), 4) = "#N/A", "",  _xll.BDP($C1239, LAST_PRICE))</f>
        <v>4.1100000000000003</v>
      </c>
    </row>
    <row r="1240" spans="1:30" x14ac:dyDescent="0.35">
      <c r="A1240" s="1">
        <f t="shared" si="19"/>
        <v>1237</v>
      </c>
      <c r="B1240" s="28">
        <v>45700</v>
      </c>
      <c r="C1240" s="29" t="s">
        <v>2528</v>
      </c>
      <c r="D1240" s="29" t="s">
        <v>2528</v>
      </c>
      <c r="E1240" s="29" t="s">
        <v>2529</v>
      </c>
      <c r="F1240" s="29" t="s">
        <v>33</v>
      </c>
      <c r="G1240" s="30" t="s">
        <v>34</v>
      </c>
      <c r="H1240" s="31">
        <v>2611811.9088492398</v>
      </c>
      <c r="I1240" s="31">
        <v>-29054921.8807084</v>
      </c>
      <c r="J1240" s="32">
        <v>0.31900000572204601</v>
      </c>
      <c r="K1240" s="33">
        <v>45700</v>
      </c>
      <c r="L1240" s="31">
        <v>939200</v>
      </c>
      <c r="M1240" s="32">
        <v>-68.7</v>
      </c>
      <c r="N1240" s="31" t="s">
        <v>35</v>
      </c>
      <c r="O1240" s="33">
        <v>45699</v>
      </c>
      <c r="P1240" s="34">
        <v>4745060.5</v>
      </c>
      <c r="Q1240" s="34">
        <v>3414565</v>
      </c>
      <c r="R1240" s="34">
        <v>3007011</v>
      </c>
      <c r="S1240" s="29"/>
      <c r="T1240" s="33"/>
      <c r="U1240" s="35" t="b">
        <v>1</v>
      </c>
      <c r="V1240" s="35" t="b">
        <v>0</v>
      </c>
      <c r="W1240" s="35" t="b">
        <v>1</v>
      </c>
      <c r="Y1240" s="31" cm="1">
        <f t="array" ref="Y1240">IF(LEFT(_xll.BDP($C1240, VOLUME_AVG_10D), 4) = "#N/A", "",  _xll.BDP($C1240, VOLUME_AVG_10D))</f>
        <v>6312860.5</v>
      </c>
      <c r="Z1240" s="31" cm="1">
        <f t="array" ref="Z1240">IF(LEFT(_xll.BDP($C1240, VOLUME_AVG_30D), 4) = "#N/A", "",  _xll.BDP($C1240, VOLUME_AVG_30D))</f>
        <v>4745060.5</v>
      </c>
      <c r="AA1240" s="31" cm="1">
        <f t="array" ref="AA1240">IF(LEFT(_xll.BDP($C1240, VOLUME_AVG_3M), 4) = "#N/A", "",  _xll.BDP($C1240, VOLUME_AVG_3M))</f>
        <v>3414565</v>
      </c>
      <c r="AB1240" s="31" cm="1">
        <f t="array" ref="AB1240">IF(LEFT(_xll.BDP($C1240, VOLUME_AVG_6M), 4) = "#N/A", "",  _xll.BDP($C1240, VOLUME_AVG_6M))</f>
        <v>3007011</v>
      </c>
      <c r="AC1240" s="31" cm="1">
        <f t="array" ref="AC1240">IF(LEFT(_xll.BDP($C1240, VOLUME_AVG_12M), 4) = "#N/A", "",  _xll.BDP($C1240, VOLUME_AVG_12M))</f>
        <v>1677487</v>
      </c>
      <c r="AD1240" s="41" cm="1">
        <f t="array" ref="AD1240">IF(LEFT(_xll.BDP($C1240, LAST_PRICE), 4) = "#N/A", "",  _xll.BDP($C1240, LAST_PRICE))</f>
        <v>0.31900000000000001</v>
      </c>
    </row>
    <row r="1241" spans="1:30" x14ac:dyDescent="0.35">
      <c r="A1241" s="1">
        <f t="shared" si="19"/>
        <v>1238</v>
      </c>
      <c r="B1241" s="28">
        <v>45700</v>
      </c>
      <c r="C1241" s="29" t="s">
        <v>2530</v>
      </c>
      <c r="D1241" s="29" t="s">
        <v>2530</v>
      </c>
      <c r="E1241" s="29" t="s">
        <v>2531</v>
      </c>
      <c r="F1241" s="29" t="s">
        <v>33</v>
      </c>
      <c r="G1241" s="30" t="s">
        <v>34</v>
      </c>
      <c r="H1241" s="31">
        <v>4593358974.3720798</v>
      </c>
      <c r="I1241" s="31">
        <v>5805598974.3720798</v>
      </c>
      <c r="J1241" s="32">
        <v>62.049999237060497</v>
      </c>
      <c r="K1241" s="33">
        <v>45700</v>
      </c>
      <c r="L1241" s="31">
        <v>24818300</v>
      </c>
      <c r="M1241" s="32">
        <v>3.88</v>
      </c>
      <c r="N1241" s="31" t="s">
        <v>35</v>
      </c>
      <c r="O1241" s="33">
        <v>45699</v>
      </c>
      <c r="P1241" s="34">
        <v>773244.9375</v>
      </c>
      <c r="Q1241" s="34">
        <v>667176.125</v>
      </c>
      <c r="R1241" s="34">
        <v>594018.1875</v>
      </c>
      <c r="S1241" s="29"/>
      <c r="T1241" s="33"/>
      <c r="U1241" s="35" t="b">
        <v>0</v>
      </c>
      <c r="V1241" s="35" t="b">
        <v>0</v>
      </c>
      <c r="W1241" s="35" t="b">
        <v>0</v>
      </c>
      <c r="Y1241" s="31" cm="1">
        <f t="array" ref="Y1241">IF(LEFT(_xll.BDP($C1241, VOLUME_AVG_10D), 4) = "#N/A", "",  _xll.BDP($C1241, VOLUME_AVG_10D))</f>
        <v>650695.5</v>
      </c>
      <c r="Z1241" s="31" cm="1">
        <f t="array" ref="Z1241">IF(LEFT(_xll.BDP($C1241, VOLUME_AVG_30D), 4) = "#N/A", "",  _xll.BDP($C1241, VOLUME_AVG_30D))</f>
        <v>773244.9375</v>
      </c>
      <c r="AA1241" s="31" cm="1">
        <f t="array" ref="AA1241">IF(LEFT(_xll.BDP($C1241, VOLUME_AVG_3M), 4) = "#N/A", "",  _xll.BDP($C1241, VOLUME_AVG_3M))</f>
        <v>667176.125</v>
      </c>
      <c r="AB1241" s="31" cm="1">
        <f t="array" ref="AB1241">IF(LEFT(_xll.BDP($C1241, VOLUME_AVG_6M), 4) = "#N/A", "",  _xll.BDP($C1241, VOLUME_AVG_6M))</f>
        <v>594018.1875</v>
      </c>
      <c r="AC1241" s="31" cm="1">
        <f t="array" ref="AC1241">IF(LEFT(_xll.BDP($C1241, VOLUME_AVG_12M), 4) = "#N/A", "",  _xll.BDP($C1241, VOLUME_AVG_12M))</f>
        <v>595168</v>
      </c>
      <c r="AD1241" s="41" cm="1">
        <f t="array" ref="AD1241">IF(LEFT(_xll.BDP($C1241, LAST_PRICE), 4) = "#N/A", "",  _xll.BDP($C1241, LAST_PRICE))</f>
        <v>62.05</v>
      </c>
    </row>
    <row r="1242" spans="1:30" x14ac:dyDescent="0.35">
      <c r="A1242" s="1">
        <f t="shared" si="19"/>
        <v>1239</v>
      </c>
      <c r="B1242" s="28">
        <v>45700</v>
      </c>
      <c r="C1242" s="29" t="s">
        <v>2532</v>
      </c>
      <c r="D1242" s="29" t="s">
        <v>2532</v>
      </c>
      <c r="E1242" s="29" t="s">
        <v>2533</v>
      </c>
      <c r="F1242" s="29" t="s">
        <v>33</v>
      </c>
      <c r="G1242" s="30" t="s">
        <v>34</v>
      </c>
      <c r="H1242" s="31"/>
      <c r="I1242" s="31"/>
      <c r="J1242" s="32"/>
      <c r="K1242" s="33">
        <v>45700</v>
      </c>
      <c r="L1242" s="31"/>
      <c r="M1242" s="32"/>
      <c r="N1242" s="31"/>
      <c r="O1242" s="33">
        <v>45699</v>
      </c>
      <c r="P1242" s="34"/>
      <c r="Q1242" s="34">
        <v>814.53228759765602</v>
      </c>
      <c r="R1242" s="34">
        <v>408.73809814453102</v>
      </c>
      <c r="S1242" s="29"/>
      <c r="T1242" s="33"/>
      <c r="U1242" s="35" t="b">
        <v>1</v>
      </c>
      <c r="V1242" s="35" t="b">
        <v>1</v>
      </c>
      <c r="W1242" s="35" t="b">
        <v>1</v>
      </c>
      <c r="Y1242" s="31" cm="1">
        <f t="array" ref="Y1242">IF(LEFT(_xll.BDP($C1242, VOLUME_AVG_10D), 4) = "#N/A", "",  _xll.BDP($C1242, VOLUME_AVG_10D))</f>
        <v>0</v>
      </c>
      <c r="Z1242" s="31" cm="1">
        <f t="array" ref="Z1242">IF(LEFT(_xll.BDP($C1242, VOLUME_AVG_30D), 4) = "#N/A", "",  _xll.BDP($C1242, VOLUME_AVG_30D))</f>
        <v>0</v>
      </c>
      <c r="AA1242" s="31" cm="1">
        <f t="array" ref="AA1242">IF(LEFT(_xll.BDP($C1242, VOLUME_AVG_3M), 4) = "#N/A", "",  _xll.BDP($C1242, VOLUME_AVG_3M))</f>
        <v>814.53228759765625</v>
      </c>
      <c r="AB1242" s="31" cm="1">
        <f t="array" ref="AB1242">IF(LEFT(_xll.BDP($C1242, VOLUME_AVG_6M), 4) = "#N/A", "",  _xll.BDP($C1242, VOLUME_AVG_6M))</f>
        <v>408.73809814453125</v>
      </c>
      <c r="AC1242" s="31" cm="1">
        <f t="array" ref="AC1242">IF(LEFT(_xll.BDP($C1242, VOLUME_AVG_12M), 4) = "#N/A", "",  _xll.BDP($C1242, VOLUME_AVG_12M))</f>
        <v>288.6494140625</v>
      </c>
      <c r="AD1242" s="41" t="str" cm="1">
        <f t="array" ref="AD1242">IF(LEFT(_xll.BDP($C1242, LAST_PRICE), 4) = "#N/A", "",  _xll.BDP($C1242, LAST_PRICE))</f>
        <v/>
      </c>
    </row>
    <row r="1243" spans="1:30" x14ac:dyDescent="0.35">
      <c r="A1243" s="1">
        <f t="shared" si="19"/>
        <v>1240</v>
      </c>
      <c r="B1243" s="28">
        <v>45700</v>
      </c>
      <c r="C1243" s="29" t="s">
        <v>2534</v>
      </c>
      <c r="D1243" s="29" t="s">
        <v>2534</v>
      </c>
      <c r="E1243" s="29" t="s">
        <v>2535</v>
      </c>
      <c r="F1243" s="29" t="s">
        <v>33</v>
      </c>
      <c r="G1243" s="30" t="s">
        <v>34</v>
      </c>
      <c r="H1243" s="31">
        <v>30078500.839141101</v>
      </c>
      <c r="I1243" s="31">
        <v>-79458499.160858899</v>
      </c>
      <c r="J1243" s="32">
        <v>0.72500002384185802</v>
      </c>
      <c r="K1243" s="33">
        <v>45700</v>
      </c>
      <c r="L1243" s="31">
        <v>1653100</v>
      </c>
      <c r="M1243" s="32">
        <v>3.88</v>
      </c>
      <c r="N1243" s="31" t="s">
        <v>35</v>
      </c>
      <c r="O1243" s="33">
        <v>45699</v>
      </c>
      <c r="P1243" s="34">
        <v>63627.19921875</v>
      </c>
      <c r="Q1243" s="34">
        <v>83346.2109375</v>
      </c>
      <c r="R1243" s="34">
        <v>76850.109375</v>
      </c>
      <c r="S1243" s="29" t="s">
        <v>177</v>
      </c>
      <c r="T1243" s="33">
        <v>45446</v>
      </c>
      <c r="U1243" s="35" t="b">
        <v>0</v>
      </c>
      <c r="V1243" s="35" t="b">
        <v>0</v>
      </c>
      <c r="W1243" s="35" t="b">
        <v>1</v>
      </c>
      <c r="Y1243" s="31" cm="1">
        <f t="array" ref="Y1243">IF(LEFT(_xll.BDP($C1243, VOLUME_AVG_10D), 4) = "#N/A", "",  _xll.BDP($C1243, VOLUME_AVG_10D))</f>
        <v>71328.6015625</v>
      </c>
      <c r="Z1243" s="31" cm="1">
        <f t="array" ref="Z1243">IF(LEFT(_xll.BDP($C1243, VOLUME_AVG_30D), 4) = "#N/A", "",  _xll.BDP($C1243, VOLUME_AVG_30D))</f>
        <v>63627.19921875</v>
      </c>
      <c r="AA1243" s="31" cm="1">
        <f t="array" ref="AA1243">IF(LEFT(_xll.BDP($C1243, VOLUME_AVG_3M), 4) = "#N/A", "",  _xll.BDP($C1243, VOLUME_AVG_3M))</f>
        <v>83346.2109375</v>
      </c>
      <c r="AB1243" s="31" cm="1">
        <f t="array" ref="AB1243">IF(LEFT(_xll.BDP($C1243, VOLUME_AVG_6M), 4) = "#N/A", "",  _xll.BDP($C1243, VOLUME_AVG_6M))</f>
        <v>76850.109375</v>
      </c>
      <c r="AC1243" s="31" cm="1">
        <f t="array" ref="AC1243">IF(LEFT(_xll.BDP($C1243, VOLUME_AVG_12M), 4) = "#N/A", "",  _xll.BDP($C1243, VOLUME_AVG_12M))</f>
        <v>489460.125</v>
      </c>
      <c r="AD1243" s="41" cm="1">
        <f t="array" ref="AD1243">IF(LEFT(_xll.BDP($C1243, LAST_PRICE), 4) = "#N/A", "",  _xll.BDP($C1243, LAST_PRICE))</f>
        <v>0.72499999999999998</v>
      </c>
    </row>
    <row r="1244" spans="1:30" x14ac:dyDescent="0.35">
      <c r="A1244" s="1">
        <f t="shared" si="19"/>
        <v>1241</v>
      </c>
      <c r="B1244" s="28">
        <v>45700</v>
      </c>
      <c r="C1244" s="29" t="s">
        <v>2536</v>
      </c>
      <c r="D1244" s="29" t="s">
        <v>2536</v>
      </c>
      <c r="E1244" s="29" t="s">
        <v>2537</v>
      </c>
      <c r="F1244" s="29" t="s">
        <v>40</v>
      </c>
      <c r="G1244" s="30" t="s">
        <v>41</v>
      </c>
      <c r="H1244" s="31">
        <v>2387786.34</v>
      </c>
      <c r="I1244" s="31">
        <v>-14735502.66</v>
      </c>
      <c r="J1244" s="32">
        <v>0.02</v>
      </c>
      <c r="K1244" s="33">
        <v>45700</v>
      </c>
      <c r="L1244" s="31"/>
      <c r="M1244" s="32"/>
      <c r="N1244" s="31"/>
      <c r="O1244" s="33">
        <v>45699</v>
      </c>
      <c r="P1244" s="34">
        <v>26905.200000000001</v>
      </c>
      <c r="Q1244" s="34">
        <v>62913.06</v>
      </c>
      <c r="R1244" s="34">
        <v>35090.43</v>
      </c>
      <c r="S1244" s="29"/>
      <c r="T1244" s="33"/>
      <c r="U1244" s="35" t="b">
        <v>1</v>
      </c>
      <c r="V1244" s="35" t="b">
        <v>1</v>
      </c>
      <c r="W1244" s="35" t="b">
        <v>1</v>
      </c>
      <c r="Y1244" s="31" cm="1">
        <f t="array" ref="Y1244">IF(LEFT(_xll.BDP($C1244, VOLUME_AVG_10D), 4) = "#N/A", "",  _xll.BDP($C1244, VOLUME_AVG_10D))</f>
        <v>32328.6</v>
      </c>
      <c r="Z1244" s="31" cm="1">
        <f t="array" ref="Z1244">IF(LEFT(_xll.BDP($C1244, VOLUME_AVG_30D), 4) = "#N/A", "",  _xll.BDP($C1244, VOLUME_AVG_30D))</f>
        <v>26905.200000000001</v>
      </c>
      <c r="AA1244" s="31" cm="1">
        <f t="array" ref="AA1244">IF(LEFT(_xll.BDP($C1244, VOLUME_AVG_3M), 4) = "#N/A", "",  _xll.BDP($C1244, VOLUME_AVG_3M))</f>
        <v>62913.06</v>
      </c>
      <c r="AB1244" s="31" cm="1">
        <f t="array" ref="AB1244">IF(LEFT(_xll.BDP($C1244, VOLUME_AVG_6M), 4) = "#N/A", "",  _xll.BDP($C1244, VOLUME_AVG_6M))</f>
        <v>35090.43</v>
      </c>
      <c r="AC1244" s="31" cm="1">
        <f t="array" ref="AC1244">IF(LEFT(_xll.BDP($C1244, VOLUME_AVG_12M), 4) = "#N/A", "",  _xll.BDP($C1244, VOLUME_AVG_12M))</f>
        <v>47265.04</v>
      </c>
      <c r="AD1244" s="41" cm="1">
        <f t="array" ref="AD1244">IF(LEFT(_xll.BDP($C1244, LAST_PRICE), 4) = "#N/A", "",  _xll.BDP($C1244, LAST_PRICE))</f>
        <v>0.02</v>
      </c>
    </row>
    <row r="1245" spans="1:30" x14ac:dyDescent="0.35">
      <c r="A1245" s="1">
        <f t="shared" si="19"/>
        <v>1242</v>
      </c>
      <c r="B1245" s="28">
        <v>45700</v>
      </c>
      <c r="C1245" s="29" t="s">
        <v>2538</v>
      </c>
      <c r="D1245" s="29" t="s">
        <v>2538</v>
      </c>
      <c r="E1245" s="29" t="s">
        <v>2539</v>
      </c>
      <c r="F1245" s="29" t="s">
        <v>33</v>
      </c>
      <c r="G1245" s="30" t="s">
        <v>34</v>
      </c>
      <c r="H1245" s="31">
        <v>89926165.474743396</v>
      </c>
      <c r="I1245" s="31">
        <v>95909165.474743396</v>
      </c>
      <c r="J1245" s="32">
        <v>1.6900000572204601</v>
      </c>
      <c r="K1245" s="33">
        <v>45700</v>
      </c>
      <c r="L1245" s="31">
        <v>214600</v>
      </c>
      <c r="M1245" s="32">
        <v>-103.4</v>
      </c>
      <c r="N1245" s="31" t="s">
        <v>35</v>
      </c>
      <c r="O1245" s="33">
        <v>45699</v>
      </c>
      <c r="P1245" s="34">
        <v>1533196.625</v>
      </c>
      <c r="Q1245" s="34">
        <v>1021835.875</v>
      </c>
      <c r="R1245" s="34">
        <v>1326964.25</v>
      </c>
      <c r="S1245" s="29"/>
      <c r="T1245" s="33"/>
      <c r="U1245" s="35" t="b">
        <v>0</v>
      </c>
      <c r="V1245" s="35" t="b">
        <v>0</v>
      </c>
      <c r="W1245" s="35" t="b">
        <v>0</v>
      </c>
      <c r="Y1245" s="31" cm="1">
        <f t="array" ref="Y1245">IF(LEFT(_xll.BDP($C1245, VOLUME_AVG_10D), 4) = "#N/A", "",  _xll.BDP($C1245, VOLUME_AVG_10D))</f>
        <v>3990022.25</v>
      </c>
      <c r="Z1245" s="31" cm="1">
        <f t="array" ref="Z1245">IF(LEFT(_xll.BDP($C1245, VOLUME_AVG_30D), 4) = "#N/A", "",  _xll.BDP($C1245, VOLUME_AVG_30D))</f>
        <v>1533196.625</v>
      </c>
      <c r="AA1245" s="31" cm="1">
        <f t="array" ref="AA1245">IF(LEFT(_xll.BDP($C1245, VOLUME_AVG_3M), 4) = "#N/A", "",  _xll.BDP($C1245, VOLUME_AVG_3M))</f>
        <v>1021835.875</v>
      </c>
      <c r="AB1245" s="31" cm="1">
        <f t="array" ref="AB1245">IF(LEFT(_xll.BDP($C1245, VOLUME_AVG_6M), 4) = "#N/A", "",  _xll.BDP($C1245, VOLUME_AVG_6M))</f>
        <v>1326964.25</v>
      </c>
      <c r="AC1245" s="31" cm="1">
        <f t="array" ref="AC1245">IF(LEFT(_xll.BDP($C1245, VOLUME_AVG_12M), 4) = "#N/A", "",  _xll.BDP($C1245, VOLUME_AVG_12M))</f>
        <v>717847.25</v>
      </c>
      <c r="AD1245" s="41" cm="1">
        <f t="array" ref="AD1245">IF(LEFT(_xll.BDP($C1245, LAST_PRICE), 4) = "#N/A", "",  _xll.BDP($C1245, LAST_PRICE))</f>
        <v>1.69</v>
      </c>
    </row>
    <row r="1246" spans="1:30" x14ac:dyDescent="0.35">
      <c r="A1246" s="1">
        <f t="shared" si="19"/>
        <v>1243</v>
      </c>
      <c r="B1246" s="28">
        <v>45700</v>
      </c>
      <c r="C1246" s="29" t="s">
        <v>2540</v>
      </c>
      <c r="D1246" s="29" t="s">
        <v>2540</v>
      </c>
      <c r="E1246" s="29" t="s">
        <v>2541</v>
      </c>
      <c r="F1246" s="29" t="s">
        <v>33</v>
      </c>
      <c r="G1246" s="30" t="s">
        <v>34</v>
      </c>
      <c r="H1246" s="31">
        <v>140291560.04959401</v>
      </c>
      <c r="I1246" s="31">
        <v>55584560.049593702</v>
      </c>
      <c r="J1246" s="32">
        <v>3.2599999904632599</v>
      </c>
      <c r="K1246" s="33">
        <v>45700</v>
      </c>
      <c r="L1246" s="31">
        <v>2309600</v>
      </c>
      <c r="M1246" s="32">
        <v>-0.4</v>
      </c>
      <c r="N1246" s="31" t="s">
        <v>35</v>
      </c>
      <c r="O1246" s="33">
        <v>45699</v>
      </c>
      <c r="P1246" s="34">
        <v>333604.71875</v>
      </c>
      <c r="Q1246" s="34">
        <v>187789.703125</v>
      </c>
      <c r="R1246" s="34">
        <v>129443.7578125</v>
      </c>
      <c r="S1246" s="29"/>
      <c r="T1246" s="33"/>
      <c r="U1246" s="35" t="b">
        <v>0</v>
      </c>
      <c r="V1246" s="35" t="b">
        <v>0</v>
      </c>
      <c r="W1246" s="35" t="b">
        <v>0</v>
      </c>
      <c r="Y1246" s="31" cm="1">
        <f t="array" ref="Y1246">IF(LEFT(_xll.BDP($C1246, VOLUME_AVG_10D), 4) = "#N/A", "",  _xll.BDP($C1246, VOLUME_AVG_10D))</f>
        <v>578624.375</v>
      </c>
      <c r="Z1246" s="31" cm="1">
        <f t="array" ref="Z1246">IF(LEFT(_xll.BDP($C1246, VOLUME_AVG_30D), 4) = "#N/A", "",  _xll.BDP($C1246, VOLUME_AVG_30D))</f>
        <v>333604.71875</v>
      </c>
      <c r="AA1246" s="31" cm="1">
        <f t="array" ref="AA1246">IF(LEFT(_xll.BDP($C1246, VOLUME_AVG_3M), 4) = "#N/A", "",  _xll.BDP($C1246, VOLUME_AVG_3M))</f>
        <v>187789.703125</v>
      </c>
      <c r="AB1246" s="31" cm="1">
        <f t="array" ref="AB1246">IF(LEFT(_xll.BDP($C1246, VOLUME_AVG_6M), 4) = "#N/A", "",  _xll.BDP($C1246, VOLUME_AVG_6M))</f>
        <v>129443.7578125</v>
      </c>
      <c r="AC1246" s="31" cm="1">
        <f t="array" ref="AC1246">IF(LEFT(_xll.BDP($C1246, VOLUME_AVG_12M), 4) = "#N/A", "",  _xll.BDP($C1246, VOLUME_AVG_12M))</f>
        <v>86726.3515625</v>
      </c>
      <c r="AD1246" s="41" cm="1">
        <f t="array" ref="AD1246">IF(LEFT(_xll.BDP($C1246, LAST_PRICE), 4) = "#N/A", "",  _xll.BDP($C1246, LAST_PRICE))</f>
        <v>3.26</v>
      </c>
    </row>
    <row r="1247" spans="1:30" x14ac:dyDescent="0.35">
      <c r="A1247" s="1">
        <f t="shared" si="19"/>
        <v>1244</v>
      </c>
      <c r="B1247" s="28">
        <v>45700</v>
      </c>
      <c r="C1247" s="29" t="s">
        <v>2542</v>
      </c>
      <c r="D1247" s="29" t="s">
        <v>2542</v>
      </c>
      <c r="E1247" s="29" t="s">
        <v>2543</v>
      </c>
      <c r="F1247" s="29" t="s">
        <v>33</v>
      </c>
      <c r="G1247" s="30" t="s">
        <v>34</v>
      </c>
      <c r="H1247" s="31">
        <v>35329.004000000001</v>
      </c>
      <c r="I1247" s="31">
        <v>3338.0039999999999</v>
      </c>
      <c r="J1247" s="32">
        <v>4.0000000000000001E-3</v>
      </c>
      <c r="K1247" s="33">
        <v>45700</v>
      </c>
      <c r="L1247" s="31"/>
      <c r="M1247" s="32"/>
      <c r="N1247" s="31"/>
      <c r="O1247" s="33">
        <v>45699</v>
      </c>
      <c r="P1247" s="34">
        <v>48705.6328125</v>
      </c>
      <c r="Q1247" s="34">
        <v>24068.5</v>
      </c>
      <c r="R1247" s="34">
        <v>19782.427734375</v>
      </c>
      <c r="S1247" s="29"/>
      <c r="T1247" s="33"/>
      <c r="U1247" s="35" t="b">
        <v>1</v>
      </c>
      <c r="V1247" s="35" t="b">
        <v>1</v>
      </c>
      <c r="W1247" s="35" t="b">
        <v>0</v>
      </c>
      <c r="Y1247" s="31" cm="1">
        <f t="array" ref="Y1247">IF(LEFT(_xll.BDP($C1247, VOLUME_AVG_10D), 4) = "#N/A", "",  _xll.BDP($C1247, VOLUME_AVG_10D))</f>
        <v>37503</v>
      </c>
      <c r="Z1247" s="31" cm="1">
        <f t="array" ref="Z1247">IF(LEFT(_xll.BDP($C1247, VOLUME_AVG_30D), 4) = "#N/A", "",  _xll.BDP($C1247, VOLUME_AVG_30D))</f>
        <v>48705.6328125</v>
      </c>
      <c r="AA1247" s="31" cm="1">
        <f t="array" ref="AA1247">IF(LEFT(_xll.BDP($C1247, VOLUME_AVG_3M), 4) = "#N/A", "",  _xll.BDP($C1247, VOLUME_AVG_3M))</f>
        <v>24068.5</v>
      </c>
      <c r="AB1247" s="31" cm="1">
        <f t="array" ref="AB1247">IF(LEFT(_xll.BDP($C1247, VOLUME_AVG_6M), 4) = "#N/A", "",  _xll.BDP($C1247, VOLUME_AVG_6M))</f>
        <v>19782.427734375</v>
      </c>
      <c r="AC1247" s="31" cm="1">
        <f t="array" ref="AC1247">IF(LEFT(_xll.BDP($C1247, VOLUME_AVG_12M), 4) = "#N/A", "",  _xll.BDP($C1247, VOLUME_AVG_12M))</f>
        <v>12720.8525390625</v>
      </c>
      <c r="AD1247" s="41" cm="1">
        <f t="array" ref="AD1247">IF(LEFT(_xll.BDP($C1247, LAST_PRICE), 4) = "#N/A", "",  _xll.BDP($C1247, LAST_PRICE))</f>
        <v>4.0000000000000001E-3</v>
      </c>
    </row>
    <row r="1248" spans="1:30" x14ac:dyDescent="0.35">
      <c r="A1248" s="1">
        <f t="shared" si="19"/>
        <v>1245</v>
      </c>
      <c r="B1248" s="28">
        <v>45700</v>
      </c>
      <c r="C1248" s="29" t="s">
        <v>2544</v>
      </c>
      <c r="D1248" s="29" t="s">
        <v>2544</v>
      </c>
      <c r="E1248" s="29" t="s">
        <v>2545</v>
      </c>
      <c r="F1248" s="29" t="s">
        <v>33</v>
      </c>
      <c r="G1248" s="30" t="s">
        <v>34</v>
      </c>
      <c r="H1248" s="31">
        <v>589978220.71381605</v>
      </c>
      <c r="I1248" s="31">
        <v>270968220.71381599</v>
      </c>
      <c r="J1248" s="32">
        <v>16.129999160766602</v>
      </c>
      <c r="K1248" s="33">
        <v>45700</v>
      </c>
      <c r="L1248" s="31">
        <v>2675300</v>
      </c>
      <c r="M1248" s="32">
        <v>1.7</v>
      </c>
      <c r="N1248" s="31" t="s">
        <v>35</v>
      </c>
      <c r="O1248" s="33">
        <v>45699</v>
      </c>
      <c r="P1248" s="34">
        <v>98116.296875</v>
      </c>
      <c r="Q1248" s="34">
        <v>112090.9375</v>
      </c>
      <c r="R1248" s="34">
        <v>128433.578125</v>
      </c>
      <c r="S1248" s="29"/>
      <c r="T1248" s="33"/>
      <c r="U1248" s="35" t="b">
        <v>0</v>
      </c>
      <c r="V1248" s="35" t="b">
        <v>0</v>
      </c>
      <c r="W1248" s="35" t="b">
        <v>0</v>
      </c>
      <c r="Y1248" s="31" cm="1">
        <f t="array" ref="Y1248">IF(LEFT(_xll.BDP($C1248, VOLUME_AVG_10D), 4) = "#N/A", "",  _xll.BDP($C1248, VOLUME_AVG_10D))</f>
        <v>100215.6015625</v>
      </c>
      <c r="Z1248" s="31" cm="1">
        <f t="array" ref="Z1248">IF(LEFT(_xll.BDP($C1248, VOLUME_AVG_30D), 4) = "#N/A", "",  _xll.BDP($C1248, VOLUME_AVG_30D))</f>
        <v>98116.296875</v>
      </c>
      <c r="AA1248" s="31" cm="1">
        <f t="array" ref="AA1248">IF(LEFT(_xll.BDP($C1248, VOLUME_AVG_3M), 4) = "#N/A", "",  _xll.BDP($C1248, VOLUME_AVG_3M))</f>
        <v>112090.9375</v>
      </c>
      <c r="AB1248" s="31" cm="1">
        <f t="array" ref="AB1248">IF(LEFT(_xll.BDP($C1248, VOLUME_AVG_6M), 4) = "#N/A", "",  _xll.BDP($C1248, VOLUME_AVG_6M))</f>
        <v>128433.578125</v>
      </c>
      <c r="AC1248" s="31" t="str" cm="1">
        <f t="array" ref="AC1248">IF(LEFT(_xll.BDP($C1248, VOLUME_AVG_12M), 4) = "#N/A", "",  _xll.BDP($C1248, VOLUME_AVG_12M))</f>
        <v/>
      </c>
      <c r="AD1248" s="41" cm="1">
        <f t="array" ref="AD1248">IF(LEFT(_xll.BDP($C1248, LAST_PRICE), 4) = "#N/A", "",  _xll.BDP($C1248, LAST_PRICE))</f>
        <v>16.13</v>
      </c>
    </row>
    <row r="1249" spans="1:30" x14ac:dyDescent="0.35">
      <c r="A1249" s="1">
        <f t="shared" si="19"/>
        <v>1246</v>
      </c>
      <c r="B1249" s="28">
        <v>45700</v>
      </c>
      <c r="C1249" s="29" t="s">
        <v>2546</v>
      </c>
      <c r="D1249" s="29" t="s">
        <v>2546</v>
      </c>
      <c r="E1249" s="29" t="s">
        <v>2547</v>
      </c>
      <c r="F1249" s="29" t="s">
        <v>33</v>
      </c>
      <c r="G1249" s="30" t="s">
        <v>34</v>
      </c>
      <c r="H1249" s="31">
        <v>153127916.07379699</v>
      </c>
      <c r="I1249" s="31">
        <v>60342916.073796697</v>
      </c>
      <c r="J1249" s="32">
        <v>1.1599999666214</v>
      </c>
      <c r="K1249" s="33">
        <v>45700</v>
      </c>
      <c r="L1249" s="31">
        <v>5600500</v>
      </c>
      <c r="M1249" s="32">
        <v>-0.7</v>
      </c>
      <c r="N1249" s="31" t="s">
        <v>35</v>
      </c>
      <c r="O1249" s="33">
        <v>45699</v>
      </c>
      <c r="P1249" s="34">
        <v>1253267.25</v>
      </c>
      <c r="Q1249" s="34">
        <v>3521109.5</v>
      </c>
      <c r="R1249" s="34">
        <v>1884742.75</v>
      </c>
      <c r="S1249" s="29" t="s">
        <v>73</v>
      </c>
      <c r="T1249" s="33">
        <v>45446</v>
      </c>
      <c r="U1249" s="35" t="b">
        <v>0</v>
      </c>
      <c r="V1249" s="35" t="b">
        <v>0</v>
      </c>
      <c r="W1249" s="35" t="b">
        <v>0</v>
      </c>
      <c r="Y1249" s="31" cm="1">
        <f t="array" ref="Y1249">IF(LEFT(_xll.BDP($C1249, VOLUME_AVG_10D), 4) = "#N/A", "",  _xll.BDP($C1249, VOLUME_AVG_10D))</f>
        <v>761152.125</v>
      </c>
      <c r="Z1249" s="31" cm="1">
        <f t="array" ref="Z1249">IF(LEFT(_xll.BDP($C1249, VOLUME_AVG_30D), 4) = "#N/A", "",  _xll.BDP($C1249, VOLUME_AVG_30D))</f>
        <v>1253267.25</v>
      </c>
      <c r="AA1249" s="31" cm="1">
        <f t="array" ref="AA1249">IF(LEFT(_xll.BDP($C1249, VOLUME_AVG_3M), 4) = "#N/A", "",  _xll.BDP($C1249, VOLUME_AVG_3M))</f>
        <v>3521109.5</v>
      </c>
      <c r="AB1249" s="31" cm="1">
        <f t="array" ref="AB1249">IF(LEFT(_xll.BDP($C1249, VOLUME_AVG_6M), 4) = "#N/A", "",  _xll.BDP($C1249, VOLUME_AVG_6M))</f>
        <v>1884742.75</v>
      </c>
      <c r="AC1249" s="31" cm="1">
        <f t="array" ref="AC1249">IF(LEFT(_xll.BDP($C1249, VOLUME_AVG_12M), 4) = "#N/A", "",  _xll.BDP($C1249, VOLUME_AVG_12M))</f>
        <v>1441557.125</v>
      </c>
      <c r="AD1249" s="41" cm="1">
        <f t="array" ref="AD1249">IF(LEFT(_xll.BDP($C1249, LAST_PRICE), 4) = "#N/A", "",  _xll.BDP($C1249, LAST_PRICE))</f>
        <v>1.1599999999999999</v>
      </c>
    </row>
    <row r="1250" spans="1:30" x14ac:dyDescent="0.35">
      <c r="A1250" s="1">
        <f t="shared" si="19"/>
        <v>1247</v>
      </c>
      <c r="B1250" s="28">
        <v>45700</v>
      </c>
      <c r="C1250" s="29" t="s">
        <v>2548</v>
      </c>
      <c r="D1250" s="29" t="s">
        <v>2548</v>
      </c>
      <c r="E1250" s="29" t="s">
        <v>2549</v>
      </c>
      <c r="F1250" s="29" t="s">
        <v>33</v>
      </c>
      <c r="G1250" s="30" t="s">
        <v>34</v>
      </c>
      <c r="H1250" s="31">
        <v>269064.02260000003</v>
      </c>
      <c r="I1250" s="31">
        <v>6009191.8454499003</v>
      </c>
      <c r="J1250" s="32">
        <v>9.9999999747524292E-7</v>
      </c>
      <c r="K1250" s="33">
        <v>45700</v>
      </c>
      <c r="L1250" s="31"/>
      <c r="M1250" s="32"/>
      <c r="N1250" s="31"/>
      <c r="O1250" s="33">
        <v>45699</v>
      </c>
      <c r="P1250" s="34">
        <v>25343.3671875</v>
      </c>
      <c r="Q1250" s="34">
        <v>42523.43359375</v>
      </c>
      <c r="R1250" s="34">
        <v>71053.921875</v>
      </c>
      <c r="S1250" s="29"/>
      <c r="T1250" s="33"/>
      <c r="U1250" s="35" t="b">
        <v>1</v>
      </c>
      <c r="V1250" s="35" t="b">
        <v>1</v>
      </c>
      <c r="W1250" s="35" t="b">
        <v>0</v>
      </c>
      <c r="Y1250" s="31" cm="1">
        <f t="array" ref="Y1250">IF(LEFT(_xll.BDP($C1250, VOLUME_AVG_10D), 4) = "#N/A", "",  _xll.BDP($C1250, VOLUME_AVG_10D))</f>
        <v>2951.89990234375</v>
      </c>
      <c r="Z1250" s="31" cm="1">
        <f t="array" ref="Z1250">IF(LEFT(_xll.BDP($C1250, VOLUME_AVG_30D), 4) = "#N/A", "",  _xll.BDP($C1250, VOLUME_AVG_30D))</f>
        <v>25343.3671875</v>
      </c>
      <c r="AA1250" s="31" cm="1">
        <f t="array" ref="AA1250">IF(LEFT(_xll.BDP($C1250, VOLUME_AVG_3M), 4) = "#N/A", "",  _xll.BDP($C1250, VOLUME_AVG_3M))</f>
        <v>42523.43359375</v>
      </c>
      <c r="AB1250" s="31" cm="1">
        <f t="array" ref="AB1250">IF(LEFT(_xll.BDP($C1250, VOLUME_AVG_6M), 4) = "#N/A", "",  _xll.BDP($C1250, VOLUME_AVG_6M))</f>
        <v>71053.921875</v>
      </c>
      <c r="AC1250" s="31" cm="1">
        <f t="array" ref="AC1250">IF(LEFT(_xll.BDP($C1250, VOLUME_AVG_12M), 4) = "#N/A", "",  _xll.BDP($C1250, VOLUME_AVG_12M))</f>
        <v>88311.2890625</v>
      </c>
      <c r="AD1250" s="41" cm="1">
        <f t="array" ref="AD1250">IF(LEFT(_xll.BDP($C1250, LAST_PRICE), 4) = "#N/A", "",  _xll.BDP($C1250, LAST_PRICE))</f>
        <v>9.9999999999999995E-7</v>
      </c>
    </row>
    <row r="1251" spans="1:30" x14ac:dyDescent="0.35">
      <c r="A1251" s="1">
        <f t="shared" si="19"/>
        <v>1248</v>
      </c>
      <c r="B1251" s="28">
        <v>45700</v>
      </c>
      <c r="C1251" s="29" t="s">
        <v>2550</v>
      </c>
      <c r="D1251" s="29" t="s">
        <v>2550</v>
      </c>
      <c r="E1251" s="29" t="s">
        <v>2551</v>
      </c>
      <c r="F1251" s="29" t="s">
        <v>33</v>
      </c>
      <c r="G1251" s="30" t="s">
        <v>34</v>
      </c>
      <c r="H1251" s="31">
        <v>3213.2907</v>
      </c>
      <c r="I1251" s="31">
        <v>308213.29070000001</v>
      </c>
      <c r="J1251" s="32">
        <v>1E-4</v>
      </c>
      <c r="K1251" s="33">
        <v>45700</v>
      </c>
      <c r="L1251" s="31"/>
      <c r="M1251" s="32"/>
      <c r="N1251" s="31"/>
      <c r="O1251" s="33">
        <v>45699</v>
      </c>
      <c r="P1251" s="34">
        <v>6931.86669921875</v>
      </c>
      <c r="Q1251" s="34">
        <v>14966.88671875</v>
      </c>
      <c r="R1251" s="34">
        <v>7636.52392578125</v>
      </c>
      <c r="S1251" s="29"/>
      <c r="T1251" s="33"/>
      <c r="U1251" s="35" t="b">
        <v>1</v>
      </c>
      <c r="V1251" s="35" t="b">
        <v>1</v>
      </c>
      <c r="W1251" s="35" t="b">
        <v>0</v>
      </c>
      <c r="Y1251" s="31" cm="1">
        <f t="array" ref="Y1251">IF(LEFT(_xll.BDP($C1251, VOLUME_AVG_10D), 4) = "#N/A", "",  _xll.BDP($C1251, VOLUME_AVG_10D))</f>
        <v>241.80000305175781</v>
      </c>
      <c r="Z1251" s="31" cm="1">
        <f t="array" ref="Z1251">IF(LEFT(_xll.BDP($C1251, VOLUME_AVG_30D), 4) = "#N/A", "",  _xll.BDP($C1251, VOLUME_AVG_30D))</f>
        <v>6931.86669921875</v>
      </c>
      <c r="AA1251" s="31" cm="1">
        <f t="array" ref="AA1251">IF(LEFT(_xll.BDP($C1251, VOLUME_AVG_3M), 4) = "#N/A", "",  _xll.BDP($C1251, VOLUME_AVG_3M))</f>
        <v>14966.88671875</v>
      </c>
      <c r="AB1251" s="31" cm="1">
        <f t="array" ref="AB1251">IF(LEFT(_xll.BDP($C1251, VOLUME_AVG_6M), 4) = "#N/A", "",  _xll.BDP($C1251, VOLUME_AVG_6M))</f>
        <v>7636.52392578125</v>
      </c>
      <c r="AC1251" s="31" cm="1">
        <f t="array" ref="AC1251">IF(LEFT(_xll.BDP($C1251, VOLUME_AVG_12M), 4) = "#N/A", "",  _xll.BDP($C1251, VOLUME_AVG_12M))</f>
        <v>7275.17138671875</v>
      </c>
      <c r="AD1251" s="41" cm="1">
        <f t="array" ref="AD1251">IF(LEFT(_xll.BDP($C1251, LAST_PRICE), 4) = "#N/A", "",  _xll.BDP($C1251, LAST_PRICE))</f>
        <v>1E-4</v>
      </c>
    </row>
    <row r="1252" spans="1:30" x14ac:dyDescent="0.35">
      <c r="A1252" s="1">
        <f t="shared" si="19"/>
        <v>1249</v>
      </c>
      <c r="B1252" s="28">
        <v>45700</v>
      </c>
      <c r="C1252" s="29" t="s">
        <v>2552</v>
      </c>
      <c r="D1252" s="29" t="s">
        <v>2552</v>
      </c>
      <c r="E1252" s="29" t="s">
        <v>2553</v>
      </c>
      <c r="F1252" s="29" t="s">
        <v>33</v>
      </c>
      <c r="G1252" s="30" t="s">
        <v>34</v>
      </c>
      <c r="H1252" s="31">
        <v>3258622206.8194599</v>
      </c>
      <c r="I1252" s="31">
        <v>2921600206.8194599</v>
      </c>
      <c r="J1252" s="32">
        <v>8.3400001525878906</v>
      </c>
      <c r="K1252" s="33">
        <v>45700</v>
      </c>
      <c r="L1252" s="31">
        <v>14187700</v>
      </c>
      <c r="M1252" s="32">
        <v>3.55</v>
      </c>
      <c r="N1252" s="31" t="s">
        <v>35</v>
      </c>
      <c r="O1252" s="33">
        <v>45699</v>
      </c>
      <c r="P1252" s="34">
        <v>19017718</v>
      </c>
      <c r="Q1252" s="34">
        <v>16904822</v>
      </c>
      <c r="R1252" s="34">
        <v>10728675</v>
      </c>
      <c r="S1252" s="29" t="s">
        <v>46</v>
      </c>
      <c r="T1252" s="33">
        <v>45446</v>
      </c>
      <c r="U1252" s="35" t="b">
        <v>0</v>
      </c>
      <c r="V1252" s="35" t="b">
        <v>0</v>
      </c>
      <c r="W1252" s="35" t="b">
        <v>0</v>
      </c>
      <c r="Y1252" s="31" cm="1">
        <f t="array" ref="Y1252">IF(LEFT(_xll.BDP($C1252, VOLUME_AVG_10D), 4) = "#N/A", "",  _xll.BDP($C1252, VOLUME_AVG_10D))</f>
        <v>24005736</v>
      </c>
      <c r="Z1252" s="31" cm="1">
        <f t="array" ref="Z1252">IF(LEFT(_xll.BDP($C1252, VOLUME_AVG_30D), 4) = "#N/A", "",  _xll.BDP($C1252, VOLUME_AVG_30D))</f>
        <v>19017718</v>
      </c>
      <c r="AA1252" s="31" cm="1">
        <f t="array" ref="AA1252">IF(LEFT(_xll.BDP($C1252, VOLUME_AVG_3M), 4) = "#N/A", "",  _xll.BDP($C1252, VOLUME_AVG_3M))</f>
        <v>16904822</v>
      </c>
      <c r="AB1252" s="31" cm="1">
        <f t="array" ref="AB1252">IF(LEFT(_xll.BDP($C1252, VOLUME_AVG_6M), 4) = "#N/A", "",  _xll.BDP($C1252, VOLUME_AVG_6M))</f>
        <v>10728675</v>
      </c>
      <c r="AC1252" s="31" cm="1">
        <f t="array" ref="AC1252">IF(LEFT(_xll.BDP($C1252, VOLUME_AVG_12M), 4) = "#N/A", "",  _xll.BDP($C1252, VOLUME_AVG_12M))</f>
        <v>8430304</v>
      </c>
      <c r="AD1252" s="41" cm="1">
        <f t="array" ref="AD1252">IF(LEFT(_xll.BDP($C1252, LAST_PRICE), 4) = "#N/A", "",  _xll.BDP($C1252, LAST_PRICE))</f>
        <v>8.34</v>
      </c>
    </row>
    <row r="1253" spans="1:30" x14ac:dyDescent="0.35">
      <c r="A1253" s="1">
        <f t="shared" si="19"/>
        <v>1250</v>
      </c>
      <c r="B1253" s="28">
        <v>45700</v>
      </c>
      <c r="C1253" s="29" t="s">
        <v>2554</v>
      </c>
      <c r="D1253" s="29" t="s">
        <v>2554</v>
      </c>
      <c r="E1253" s="29" t="s">
        <v>2555</v>
      </c>
      <c r="F1253" s="29" t="s">
        <v>33</v>
      </c>
      <c r="G1253" s="30" t="s">
        <v>34</v>
      </c>
      <c r="H1253" s="31">
        <v>4463098.7983937599</v>
      </c>
      <c r="I1253" s="31">
        <v>3630049.7983937599</v>
      </c>
      <c r="J1253" s="32">
        <v>5.2099999040365198E-2</v>
      </c>
      <c r="K1253" s="33">
        <v>45700</v>
      </c>
      <c r="L1253" s="31">
        <v>667300</v>
      </c>
      <c r="M1253" s="32">
        <v>3.3</v>
      </c>
      <c r="N1253" s="31" t="s">
        <v>35</v>
      </c>
      <c r="O1253" s="33">
        <v>45699</v>
      </c>
      <c r="P1253" s="34">
        <v>30712.099609375</v>
      </c>
      <c r="Q1253" s="34">
        <v>40567.984375</v>
      </c>
      <c r="R1253" s="34">
        <v>35768.5</v>
      </c>
      <c r="S1253" s="29"/>
      <c r="T1253" s="33"/>
      <c r="U1253" s="35" t="b">
        <v>1</v>
      </c>
      <c r="V1253" s="35" t="b">
        <v>1</v>
      </c>
      <c r="W1253" s="35" t="b">
        <v>0</v>
      </c>
      <c r="Y1253" s="31" cm="1">
        <f t="array" ref="Y1253">IF(LEFT(_xll.BDP($C1253, VOLUME_AVG_10D), 4) = "#N/A", "",  _xll.BDP($C1253, VOLUME_AVG_10D))</f>
        <v>15079.400390625</v>
      </c>
      <c r="Z1253" s="31" cm="1">
        <f t="array" ref="Z1253">IF(LEFT(_xll.BDP($C1253, VOLUME_AVG_30D), 4) = "#N/A", "",  _xll.BDP($C1253, VOLUME_AVG_30D))</f>
        <v>30712.099609375</v>
      </c>
      <c r="AA1253" s="31" cm="1">
        <f t="array" ref="AA1253">IF(LEFT(_xll.BDP($C1253, VOLUME_AVG_3M), 4) = "#N/A", "",  _xll.BDP($C1253, VOLUME_AVG_3M))</f>
        <v>40567.984375</v>
      </c>
      <c r="AB1253" s="31" cm="1">
        <f t="array" ref="AB1253">IF(LEFT(_xll.BDP($C1253, VOLUME_AVG_6M), 4) = "#N/A", "",  _xll.BDP($C1253, VOLUME_AVG_6M))</f>
        <v>35768.5</v>
      </c>
      <c r="AC1253" s="31" cm="1">
        <f t="array" ref="AC1253">IF(LEFT(_xll.BDP($C1253, VOLUME_AVG_12M), 4) = "#N/A", "",  _xll.BDP($C1253, VOLUME_AVG_12M))</f>
        <v>30409.61328125</v>
      </c>
      <c r="AD1253" s="41" cm="1">
        <f t="array" ref="AD1253">IF(LEFT(_xll.BDP($C1253, LAST_PRICE), 4) = "#N/A", "",  _xll.BDP($C1253, LAST_PRICE))</f>
        <v>5.21E-2</v>
      </c>
    </row>
    <row r="1254" spans="1:30" x14ac:dyDescent="0.35">
      <c r="A1254" s="1">
        <f t="shared" si="19"/>
        <v>1251</v>
      </c>
      <c r="B1254" s="28">
        <v>45700</v>
      </c>
      <c r="C1254" s="29" t="s">
        <v>2556</v>
      </c>
      <c r="D1254" s="29" t="s">
        <v>2556</v>
      </c>
      <c r="E1254" s="29" t="s">
        <v>2557</v>
      </c>
      <c r="F1254" s="29" t="s">
        <v>33</v>
      </c>
      <c r="G1254" s="30" t="s">
        <v>34</v>
      </c>
      <c r="H1254" s="31"/>
      <c r="I1254" s="31"/>
      <c r="J1254" s="32"/>
      <c r="K1254" s="33">
        <v>45700</v>
      </c>
      <c r="L1254" s="31"/>
      <c r="M1254" s="32"/>
      <c r="N1254" s="31"/>
      <c r="O1254" s="33">
        <v>45699</v>
      </c>
      <c r="P1254" s="34"/>
      <c r="Q1254" s="34"/>
      <c r="R1254" s="34"/>
      <c r="S1254" s="29"/>
      <c r="T1254" s="33"/>
      <c r="U1254" s="35" t="b">
        <v>1</v>
      </c>
      <c r="V1254" s="35" t="b">
        <v>1</v>
      </c>
      <c r="W1254" s="35" t="b">
        <v>1</v>
      </c>
      <c r="Y1254" s="31" t="str" cm="1">
        <f t="array" ref="Y1254">IF(LEFT(_xll.BDP($C1254, VOLUME_AVG_10D), 4) = "#N/A", "",  _xll.BDP($C1254, VOLUME_AVG_10D))</f>
        <v/>
      </c>
      <c r="Z1254" s="31" t="str" cm="1">
        <f t="array" ref="Z1254">IF(LEFT(_xll.BDP($C1254, VOLUME_AVG_30D), 4) = "#N/A", "",  _xll.BDP($C1254, VOLUME_AVG_30D))</f>
        <v/>
      </c>
      <c r="AA1254" s="31" t="str" cm="1">
        <f t="array" ref="AA1254">IF(LEFT(_xll.BDP($C1254, VOLUME_AVG_3M), 4) = "#N/A", "",  _xll.BDP($C1254, VOLUME_AVG_3M))</f>
        <v/>
      </c>
      <c r="AB1254" s="31" t="str" cm="1">
        <f t="array" ref="AB1254">IF(LEFT(_xll.BDP($C1254, VOLUME_AVG_6M), 4) = "#N/A", "",  _xll.BDP($C1254, VOLUME_AVG_6M))</f>
        <v/>
      </c>
      <c r="AC1254" s="31" t="str" cm="1">
        <f t="array" ref="AC1254">IF(LEFT(_xll.BDP($C1254, VOLUME_AVG_12M), 4) = "#N/A", "",  _xll.BDP($C1254, VOLUME_AVG_12M))</f>
        <v/>
      </c>
      <c r="AD1254" s="41" t="str" cm="1">
        <f t="array" ref="AD1254">IF(LEFT(_xll.BDP($C1254, LAST_PRICE), 4) = "#N/A", "",  _xll.BDP($C1254, LAST_PRICE))</f>
        <v/>
      </c>
    </row>
    <row r="1255" spans="1:30" x14ac:dyDescent="0.35">
      <c r="A1255" s="1">
        <f t="shared" si="19"/>
        <v>1252</v>
      </c>
      <c r="B1255" s="28">
        <v>45700</v>
      </c>
      <c r="C1255" s="29" t="s">
        <v>2558</v>
      </c>
      <c r="D1255" s="29" t="s">
        <v>2558</v>
      </c>
      <c r="E1255" s="29" t="s">
        <v>2559</v>
      </c>
      <c r="F1255" s="29" t="s">
        <v>33</v>
      </c>
      <c r="G1255" s="30" t="s">
        <v>34</v>
      </c>
      <c r="H1255" s="31">
        <v>48668118.964100398</v>
      </c>
      <c r="I1255" s="31">
        <v>51351049.964100398</v>
      </c>
      <c r="J1255" s="32">
        <v>3.7400000095367401</v>
      </c>
      <c r="K1255" s="33">
        <v>45700</v>
      </c>
      <c r="L1255" s="31"/>
      <c r="M1255" s="32"/>
      <c r="N1255" s="31"/>
      <c r="O1255" s="33">
        <v>45699</v>
      </c>
      <c r="P1255" s="34">
        <v>22512.43359375</v>
      </c>
      <c r="Q1255" s="34">
        <v>37258.83984375</v>
      </c>
      <c r="R1255" s="34">
        <v>81758.9921875</v>
      </c>
      <c r="S1255" s="29"/>
      <c r="T1255" s="33"/>
      <c r="U1255" s="35" t="b">
        <v>0</v>
      </c>
      <c r="V1255" s="35" t="b">
        <v>0</v>
      </c>
      <c r="W1255" s="35" t="b">
        <v>0</v>
      </c>
      <c r="Y1255" s="31" cm="1">
        <f t="array" ref="Y1255">IF(LEFT(_xll.BDP($C1255, VOLUME_AVG_10D), 4) = "#N/A", "",  _xll.BDP($C1255, VOLUME_AVG_10D))</f>
        <v>6664.39990234375</v>
      </c>
      <c r="Z1255" s="31" cm="1">
        <f t="array" ref="Z1255">IF(LEFT(_xll.BDP($C1255, VOLUME_AVG_30D), 4) = "#N/A", "",  _xll.BDP($C1255, VOLUME_AVG_30D))</f>
        <v>22512.43359375</v>
      </c>
      <c r="AA1255" s="31" cm="1">
        <f t="array" ref="AA1255">IF(LEFT(_xll.BDP($C1255, VOLUME_AVG_3M), 4) = "#N/A", "",  _xll.BDP($C1255, VOLUME_AVG_3M))</f>
        <v>37258.83984375</v>
      </c>
      <c r="AB1255" s="31" cm="1">
        <f t="array" ref="AB1255">IF(LEFT(_xll.BDP($C1255, VOLUME_AVG_6M), 4) = "#N/A", "",  _xll.BDP($C1255, VOLUME_AVG_6M))</f>
        <v>81758.9921875</v>
      </c>
      <c r="AC1255" s="31" cm="1">
        <f t="array" ref="AC1255">IF(LEFT(_xll.BDP($C1255, VOLUME_AVG_12M), 4) = "#N/A", "",  _xll.BDP($C1255, VOLUME_AVG_12M))</f>
        <v>81356.75</v>
      </c>
      <c r="AD1255" s="41" cm="1">
        <f t="array" ref="AD1255">IF(LEFT(_xll.BDP($C1255, LAST_PRICE), 4) = "#N/A", "",  _xll.BDP($C1255, LAST_PRICE))</f>
        <v>3.74</v>
      </c>
    </row>
    <row r="1256" spans="1:30" x14ac:dyDescent="0.35">
      <c r="A1256" s="1">
        <f t="shared" si="19"/>
        <v>1253</v>
      </c>
      <c r="B1256" s="28">
        <v>45700</v>
      </c>
      <c r="C1256" s="29" t="s">
        <v>2560</v>
      </c>
      <c r="D1256" s="29" t="s">
        <v>2560</v>
      </c>
      <c r="E1256" s="29" t="s">
        <v>2561</v>
      </c>
      <c r="F1256" s="29" t="s">
        <v>33</v>
      </c>
      <c r="G1256" s="30" t="s">
        <v>34</v>
      </c>
      <c r="H1256" s="31">
        <v>72576281791.084198</v>
      </c>
      <c r="I1256" s="31">
        <v>57602481791.084198</v>
      </c>
      <c r="J1256" s="32">
        <v>663.85998535156295</v>
      </c>
      <c r="K1256" s="33">
        <v>45700</v>
      </c>
      <c r="L1256" s="31">
        <v>32148900</v>
      </c>
      <c r="M1256" s="32">
        <v>3.88</v>
      </c>
      <c r="N1256" s="31" t="s">
        <v>35</v>
      </c>
      <c r="O1256" s="33">
        <v>45699</v>
      </c>
      <c r="P1256" s="34">
        <v>928947.4375</v>
      </c>
      <c r="Q1256" s="34">
        <v>906642.4375</v>
      </c>
      <c r="R1256" s="34">
        <v>772269.625</v>
      </c>
      <c r="S1256" s="29" t="s">
        <v>217</v>
      </c>
      <c r="T1256" s="33">
        <v>45215</v>
      </c>
      <c r="U1256" s="35" t="b">
        <v>0</v>
      </c>
      <c r="V1256" s="35" t="b">
        <v>0</v>
      </c>
      <c r="W1256" s="35" t="b">
        <v>0</v>
      </c>
      <c r="Y1256" s="31" cm="1">
        <f t="array" ref="Y1256">IF(LEFT(_xll.BDP($C1256, VOLUME_AVG_10D), 4) = "#N/A", "",  _xll.BDP($C1256, VOLUME_AVG_10D))</f>
        <v>1053160.25</v>
      </c>
      <c r="Z1256" s="31" cm="1">
        <f t="array" ref="Z1256">IF(LEFT(_xll.BDP($C1256, VOLUME_AVG_30D), 4) = "#N/A", "",  _xll.BDP($C1256, VOLUME_AVG_30D))</f>
        <v>928947.4375</v>
      </c>
      <c r="AA1256" s="31" cm="1">
        <f t="array" ref="AA1256">IF(LEFT(_xll.BDP($C1256, VOLUME_AVG_3M), 4) = "#N/A", "",  _xll.BDP($C1256, VOLUME_AVG_3M))</f>
        <v>906642.4375</v>
      </c>
      <c r="AB1256" s="31" cm="1">
        <f t="array" ref="AB1256">IF(LEFT(_xll.BDP($C1256, VOLUME_AVG_6M), 4) = "#N/A", "",  _xll.BDP($C1256, VOLUME_AVG_6M))</f>
        <v>772269.625</v>
      </c>
      <c r="AC1256" s="31" cm="1">
        <f t="array" ref="AC1256">IF(LEFT(_xll.BDP($C1256, VOLUME_AVG_12M), 4) = "#N/A", "",  _xll.BDP($C1256, VOLUME_AVG_12M))</f>
        <v>612389.625</v>
      </c>
      <c r="AD1256" s="41" cm="1">
        <f t="array" ref="AD1256">IF(LEFT(_xll.BDP($C1256, LAST_PRICE), 4) = "#N/A", "",  _xll.BDP($C1256, LAST_PRICE))</f>
        <v>663.86</v>
      </c>
    </row>
    <row r="1257" spans="1:30" x14ac:dyDescent="0.35">
      <c r="A1257" s="1">
        <f t="shared" si="19"/>
        <v>1254</v>
      </c>
      <c r="B1257" s="28">
        <v>45700</v>
      </c>
      <c r="C1257" s="29" t="s">
        <v>2562</v>
      </c>
      <c r="D1257" s="29" t="s">
        <v>2562</v>
      </c>
      <c r="E1257" s="29" t="s">
        <v>2563</v>
      </c>
      <c r="F1257" s="29" t="s">
        <v>33</v>
      </c>
      <c r="G1257" s="30" t="s">
        <v>34</v>
      </c>
      <c r="H1257" s="31">
        <v>2095.7523999999999</v>
      </c>
      <c r="I1257" s="31">
        <v>1395068.7524000001</v>
      </c>
      <c r="J1257" s="32">
        <v>1.4E-3</v>
      </c>
      <c r="K1257" s="33">
        <v>45700</v>
      </c>
      <c r="L1257" s="31"/>
      <c r="M1257" s="32"/>
      <c r="N1257" s="31"/>
      <c r="O1257" s="33">
        <v>45699</v>
      </c>
      <c r="P1257" s="34">
        <v>63.299999237060497</v>
      </c>
      <c r="Q1257" s="34">
        <v>95.112899780273395</v>
      </c>
      <c r="R1257" s="34">
        <v>192.88888549804699</v>
      </c>
      <c r="S1257" s="29"/>
      <c r="T1257" s="33"/>
      <c r="U1257" s="35" t="b">
        <v>1</v>
      </c>
      <c r="V1257" s="35" t="b">
        <v>1</v>
      </c>
      <c r="W1257" s="35" t="b">
        <v>0</v>
      </c>
      <c r="Y1257" s="31" cm="1">
        <f t="array" ref="Y1257">IF(LEFT(_xll.BDP($C1257, VOLUME_AVG_10D), 4) = "#N/A", "",  _xll.BDP($C1257, VOLUME_AVG_10D))</f>
        <v>51.900001525878906</v>
      </c>
      <c r="Z1257" s="31" cm="1">
        <f t="array" ref="Z1257">IF(LEFT(_xll.BDP($C1257, VOLUME_AVG_30D), 4) = "#N/A", "",  _xll.BDP($C1257, VOLUME_AVG_30D))</f>
        <v>63.299999237060547</v>
      </c>
      <c r="AA1257" s="31" cm="1">
        <f t="array" ref="AA1257">IF(LEFT(_xll.BDP($C1257, VOLUME_AVG_3M), 4) = "#N/A", "",  _xll.BDP($C1257, VOLUME_AVG_3M))</f>
        <v>95.112899780273438</v>
      </c>
      <c r="AB1257" s="31" cm="1">
        <f t="array" ref="AB1257">IF(LEFT(_xll.BDP($C1257, VOLUME_AVG_6M), 4) = "#N/A", "",  _xll.BDP($C1257, VOLUME_AVG_6M))</f>
        <v>192.88888549804688</v>
      </c>
      <c r="AC1257" s="31" cm="1">
        <f t="array" ref="AC1257">IF(LEFT(_xll.BDP($C1257, VOLUME_AVG_12M), 4) = "#N/A", "",  _xll.BDP($C1257, VOLUME_AVG_12M))</f>
        <v>149.29879760742188</v>
      </c>
      <c r="AD1257" s="41" cm="1">
        <f t="array" ref="AD1257">IF(LEFT(_xll.BDP($C1257, LAST_PRICE), 4) = "#N/A", "",  _xll.BDP($C1257, LAST_PRICE))</f>
        <v>1.4E-3</v>
      </c>
    </row>
    <row r="1258" spans="1:30" x14ac:dyDescent="0.35">
      <c r="A1258" s="1">
        <f t="shared" si="19"/>
        <v>1255</v>
      </c>
      <c r="B1258" s="28">
        <v>45700</v>
      </c>
      <c r="C1258" s="29" t="s">
        <v>2564</v>
      </c>
      <c r="D1258" s="29" t="s">
        <v>2564</v>
      </c>
      <c r="E1258" s="29" t="s">
        <v>2565</v>
      </c>
      <c r="F1258" s="29" t="s">
        <v>33</v>
      </c>
      <c r="G1258" s="30" t="s">
        <v>34</v>
      </c>
      <c r="H1258" s="31">
        <v>356724501.75002801</v>
      </c>
      <c r="I1258" s="31">
        <v>162218501.75002801</v>
      </c>
      <c r="J1258" s="32">
        <v>7.1999998092651403</v>
      </c>
      <c r="K1258" s="33">
        <v>45700</v>
      </c>
      <c r="L1258" s="31">
        <v>12730000</v>
      </c>
      <c r="M1258" s="32">
        <v>3.88</v>
      </c>
      <c r="N1258" s="31" t="s">
        <v>35</v>
      </c>
      <c r="O1258" s="33">
        <v>45699</v>
      </c>
      <c r="P1258" s="34">
        <v>1085307.25</v>
      </c>
      <c r="Q1258" s="34">
        <v>1302164</v>
      </c>
      <c r="R1258" s="34">
        <v>896196.875</v>
      </c>
      <c r="S1258" s="29" t="s">
        <v>68</v>
      </c>
      <c r="T1258" s="33">
        <v>45446</v>
      </c>
      <c r="U1258" s="35" t="b">
        <v>0</v>
      </c>
      <c r="V1258" s="35" t="b">
        <v>0</v>
      </c>
      <c r="W1258" s="35" t="b">
        <v>0</v>
      </c>
      <c r="Y1258" s="31" cm="1">
        <f t="array" ref="Y1258">IF(LEFT(_xll.BDP($C1258, VOLUME_AVG_10D), 4) = "#N/A", "",  _xll.BDP($C1258, VOLUME_AVG_10D))</f>
        <v>767696.5</v>
      </c>
      <c r="Z1258" s="31" cm="1">
        <f t="array" ref="Z1258">IF(LEFT(_xll.BDP($C1258, VOLUME_AVG_30D), 4) = "#N/A", "",  _xll.BDP($C1258, VOLUME_AVG_30D))</f>
        <v>1085307.25</v>
      </c>
      <c r="AA1258" s="31" cm="1">
        <f t="array" ref="AA1258">IF(LEFT(_xll.BDP($C1258, VOLUME_AVG_3M), 4) = "#N/A", "",  _xll.BDP($C1258, VOLUME_AVG_3M))</f>
        <v>1302164</v>
      </c>
      <c r="AB1258" s="31" cm="1">
        <f t="array" ref="AB1258">IF(LEFT(_xll.BDP($C1258, VOLUME_AVG_6M), 4) = "#N/A", "",  _xll.BDP($C1258, VOLUME_AVG_6M))</f>
        <v>896196.875</v>
      </c>
      <c r="AC1258" s="31" cm="1">
        <f t="array" ref="AC1258">IF(LEFT(_xll.BDP($C1258, VOLUME_AVG_12M), 4) = "#N/A", "",  _xll.BDP($C1258, VOLUME_AVG_12M))</f>
        <v>760835.8125</v>
      </c>
      <c r="AD1258" s="41" cm="1">
        <f t="array" ref="AD1258">IF(LEFT(_xll.BDP($C1258, LAST_PRICE), 4) = "#N/A", "",  _xll.BDP($C1258, LAST_PRICE))</f>
        <v>7.2</v>
      </c>
    </row>
    <row r="1259" spans="1:30" x14ac:dyDescent="0.35">
      <c r="A1259" s="1">
        <f t="shared" si="19"/>
        <v>1256</v>
      </c>
      <c r="B1259" s="28">
        <v>45700</v>
      </c>
      <c r="C1259" s="29" t="s">
        <v>3308</v>
      </c>
      <c r="D1259" s="29" t="s">
        <v>3308</v>
      </c>
      <c r="E1259" s="29" t="s">
        <v>2566</v>
      </c>
      <c r="F1259" s="29" t="s">
        <v>33</v>
      </c>
      <c r="G1259" s="30" t="s">
        <v>34</v>
      </c>
      <c r="H1259" s="31">
        <v>2818873.5</v>
      </c>
      <c r="I1259" s="31">
        <v>73598873.5</v>
      </c>
      <c r="J1259" s="32">
        <v>1.5</v>
      </c>
      <c r="K1259" s="33">
        <v>45700</v>
      </c>
      <c r="L1259" s="31">
        <v>128200</v>
      </c>
      <c r="M1259" s="32">
        <v>-80.75</v>
      </c>
      <c r="N1259" s="31" t="s">
        <v>35</v>
      </c>
      <c r="O1259" s="33">
        <v>45699</v>
      </c>
      <c r="P1259" s="34">
        <v>1523879.375</v>
      </c>
      <c r="Q1259" s="34">
        <v>750287.5</v>
      </c>
      <c r="R1259" s="34">
        <v>405699.5</v>
      </c>
      <c r="S1259" s="29"/>
      <c r="T1259" s="33"/>
      <c r="U1259" s="35" t="b">
        <v>1</v>
      </c>
      <c r="V1259" s="35" t="b">
        <v>0</v>
      </c>
      <c r="W1259" s="35" t="b">
        <v>0</v>
      </c>
      <c r="Y1259" s="31" cm="1">
        <f t="array" ref="Y1259">IF(LEFT(_xll.BDP($C1259, VOLUME_AVG_10D), 4) = "#N/A", "",  _xll.BDP($C1259, VOLUME_AVG_10D))</f>
        <v>51840.5</v>
      </c>
      <c r="Z1259" s="31" cm="1">
        <f t="array" ref="Z1259">IF(LEFT(_xll.BDP($C1259, VOLUME_AVG_30D), 4) = "#N/A", "",  _xll.BDP($C1259, VOLUME_AVG_30D))</f>
        <v>1523879.375</v>
      </c>
      <c r="AA1259" s="31" cm="1">
        <f t="array" ref="AA1259">IF(LEFT(_xll.BDP($C1259, VOLUME_AVG_3M), 4) = "#N/A", "",  _xll.BDP($C1259, VOLUME_AVG_3M))</f>
        <v>750287.5</v>
      </c>
      <c r="AB1259" s="31" cm="1">
        <f t="array" ref="AB1259">IF(LEFT(_xll.BDP($C1259, VOLUME_AVG_6M), 4) = "#N/A", "",  _xll.BDP($C1259, VOLUME_AVG_6M))</f>
        <v>405699.5</v>
      </c>
      <c r="AC1259" s="31" cm="1">
        <f t="array" ref="AC1259">IF(LEFT(_xll.BDP($C1259, VOLUME_AVG_12M), 4) = "#N/A", "",  _xll.BDP($C1259, VOLUME_AVG_12M))</f>
        <v>206240.1875</v>
      </c>
      <c r="AD1259" s="41" cm="1">
        <f t="array" ref="AD1259">IF(LEFT(_xll.BDP($C1259, LAST_PRICE), 4) = "#N/A", "",  _xll.BDP($C1259, LAST_PRICE))</f>
        <v>1.5</v>
      </c>
    </row>
    <row r="1260" spans="1:30" x14ac:dyDescent="0.35">
      <c r="A1260" s="1">
        <f t="shared" si="19"/>
        <v>1257</v>
      </c>
      <c r="B1260" s="28">
        <v>45700</v>
      </c>
      <c r="C1260" s="29" t="s">
        <v>2567</v>
      </c>
      <c r="D1260" s="29" t="s">
        <v>2567</v>
      </c>
      <c r="E1260" s="29" t="s">
        <v>2568</v>
      </c>
      <c r="F1260" s="29" t="s">
        <v>33</v>
      </c>
      <c r="G1260" s="30" t="s">
        <v>34</v>
      </c>
      <c r="H1260" s="31">
        <v>74670151.823013097</v>
      </c>
      <c r="I1260" s="31">
        <v>-11393848.176986899</v>
      </c>
      <c r="J1260" s="32">
        <v>1.1399999856948899</v>
      </c>
      <c r="K1260" s="33">
        <v>45700</v>
      </c>
      <c r="L1260" s="31">
        <v>6725900</v>
      </c>
      <c r="M1260" s="32">
        <v>-0.45</v>
      </c>
      <c r="N1260" s="31" t="s">
        <v>35</v>
      </c>
      <c r="O1260" s="33">
        <v>45699</v>
      </c>
      <c r="P1260" s="34">
        <v>677078.5625</v>
      </c>
      <c r="Q1260" s="34">
        <v>475082.9375</v>
      </c>
      <c r="R1260" s="34">
        <v>415326.875</v>
      </c>
      <c r="S1260" s="29"/>
      <c r="T1260" s="33"/>
      <c r="U1260" s="35" t="b">
        <v>0</v>
      </c>
      <c r="V1260" s="35" t="b">
        <v>0</v>
      </c>
      <c r="W1260" s="35" t="b">
        <v>1</v>
      </c>
      <c r="Y1260" s="31" cm="1">
        <f t="array" ref="Y1260">IF(LEFT(_xll.BDP($C1260, VOLUME_AVG_10D), 4) = "#N/A", "",  _xll.BDP($C1260, VOLUME_AVG_10D))</f>
        <v>1377746.25</v>
      </c>
      <c r="Z1260" s="31" cm="1">
        <f t="array" ref="Z1260">IF(LEFT(_xll.BDP($C1260, VOLUME_AVG_30D), 4) = "#N/A", "",  _xll.BDP($C1260, VOLUME_AVG_30D))</f>
        <v>677078.5625</v>
      </c>
      <c r="AA1260" s="31" cm="1">
        <f t="array" ref="AA1260">IF(LEFT(_xll.BDP($C1260, VOLUME_AVG_3M), 4) = "#N/A", "",  _xll.BDP($C1260, VOLUME_AVG_3M))</f>
        <v>475082.9375</v>
      </c>
      <c r="AB1260" s="31" cm="1">
        <f t="array" ref="AB1260">IF(LEFT(_xll.BDP($C1260, VOLUME_AVG_6M), 4) = "#N/A", "",  _xll.BDP($C1260, VOLUME_AVG_6M))</f>
        <v>415326.875</v>
      </c>
      <c r="AC1260" s="31" cm="1">
        <f t="array" ref="AC1260">IF(LEFT(_xll.BDP($C1260, VOLUME_AVG_12M), 4) = "#N/A", "",  _xll.BDP($C1260, VOLUME_AVG_12M))</f>
        <v>1211075.5</v>
      </c>
      <c r="AD1260" s="41" cm="1">
        <f t="array" ref="AD1260">IF(LEFT(_xll.BDP($C1260, LAST_PRICE), 4) = "#N/A", "",  _xll.BDP($C1260, LAST_PRICE))</f>
        <v>1.1399999999999999</v>
      </c>
    </row>
    <row r="1261" spans="1:30" x14ac:dyDescent="0.35">
      <c r="A1261" s="1">
        <f t="shared" si="19"/>
        <v>1258</v>
      </c>
      <c r="B1261" s="28">
        <v>45700</v>
      </c>
      <c r="C1261" s="29" t="s">
        <v>3299</v>
      </c>
      <c r="D1261" s="29" t="s">
        <v>3299</v>
      </c>
      <c r="E1261" s="29" t="s">
        <v>3296</v>
      </c>
      <c r="F1261" s="29" t="s">
        <v>33</v>
      </c>
      <c r="G1261" s="30" t="s">
        <v>34</v>
      </c>
      <c r="H1261" s="31">
        <v>49831663.266887397</v>
      </c>
      <c r="I1261" s="31">
        <v>77184663.266887397</v>
      </c>
      <c r="J1261" s="32">
        <v>2.2999999523162802</v>
      </c>
      <c r="K1261" s="33">
        <v>45700</v>
      </c>
      <c r="L1261" s="31">
        <v>1345500</v>
      </c>
      <c r="M1261" s="32">
        <v>-0.05</v>
      </c>
      <c r="N1261" s="31" t="s">
        <v>35</v>
      </c>
      <c r="O1261" s="33">
        <v>45699</v>
      </c>
      <c r="P1261" s="34">
        <v>89634.265625</v>
      </c>
      <c r="Q1261" s="34">
        <v>106218.609375</v>
      </c>
      <c r="R1261" s="34">
        <v>90435.3203125</v>
      </c>
      <c r="S1261" s="29"/>
      <c r="T1261" s="33"/>
      <c r="U1261" s="35" t="b">
        <v>0</v>
      </c>
      <c r="V1261" s="35" t="b">
        <v>0</v>
      </c>
      <c r="W1261" s="35" t="b">
        <v>0</v>
      </c>
      <c r="Y1261" s="31" cm="1">
        <f t="array" ref="Y1261">IF(LEFT(_xll.BDP($C1261, VOLUME_AVG_10D), 4) = "#N/A", "",  _xll.BDP($C1261, VOLUME_AVG_10D))</f>
        <v>124620.6015625</v>
      </c>
      <c r="Z1261" s="31" cm="1">
        <f t="array" ref="Z1261">IF(LEFT(_xll.BDP($C1261, VOLUME_AVG_30D), 4) = "#N/A", "",  _xll.BDP($C1261, VOLUME_AVG_30D))</f>
        <v>89634.265625</v>
      </c>
      <c r="AA1261" s="31" cm="1">
        <f t="array" ref="AA1261">IF(LEFT(_xll.BDP($C1261, VOLUME_AVG_3M), 4) = "#N/A", "",  _xll.BDP($C1261, VOLUME_AVG_3M))</f>
        <v>106218.609375</v>
      </c>
      <c r="AB1261" s="31" cm="1">
        <f t="array" ref="AB1261">IF(LEFT(_xll.BDP($C1261, VOLUME_AVG_6M), 4) = "#N/A", "",  _xll.BDP($C1261, VOLUME_AVG_6M))</f>
        <v>90435.3203125</v>
      </c>
      <c r="AC1261" s="31" cm="1">
        <f t="array" ref="AC1261">IF(LEFT(_xll.BDP($C1261, VOLUME_AVG_12M), 4) = "#N/A", "",  _xll.BDP($C1261, VOLUME_AVG_12M))</f>
        <v>83688.2578125</v>
      </c>
      <c r="AD1261" s="41" cm="1">
        <f t="array" ref="AD1261">IF(LEFT(_xll.BDP($C1261, LAST_PRICE), 4) = "#N/A", "",  _xll.BDP($C1261, LAST_PRICE))</f>
        <v>2.2999999999999998</v>
      </c>
    </row>
    <row r="1262" spans="1:30" x14ac:dyDescent="0.35">
      <c r="A1262" s="1">
        <f t="shared" si="19"/>
        <v>1259</v>
      </c>
      <c r="B1262" s="28">
        <v>45700</v>
      </c>
      <c r="C1262" s="29" t="s">
        <v>2569</v>
      </c>
      <c r="D1262" s="29" t="s">
        <v>2569</v>
      </c>
      <c r="E1262" s="29" t="s">
        <v>2570</v>
      </c>
      <c r="F1262" s="29" t="s">
        <v>33</v>
      </c>
      <c r="G1262" s="30" t="s">
        <v>34</v>
      </c>
      <c r="H1262" s="31">
        <v>629359920.48371196</v>
      </c>
      <c r="I1262" s="31">
        <v>-160434079.51628801</v>
      </c>
      <c r="J1262" s="32">
        <v>3.7599999904632599</v>
      </c>
      <c r="K1262" s="33">
        <v>45700</v>
      </c>
      <c r="L1262" s="31">
        <v>40915800</v>
      </c>
      <c r="M1262" s="32">
        <v>3.88</v>
      </c>
      <c r="N1262" s="31" t="s">
        <v>35</v>
      </c>
      <c r="O1262" s="33">
        <v>45699</v>
      </c>
      <c r="P1262" s="34">
        <v>2346412.25</v>
      </c>
      <c r="Q1262" s="34">
        <v>2350807</v>
      </c>
      <c r="R1262" s="34">
        <v>2163557.5</v>
      </c>
      <c r="S1262" s="29" t="s">
        <v>46</v>
      </c>
      <c r="T1262" s="33">
        <v>45446</v>
      </c>
      <c r="U1262" s="35" t="b">
        <v>0</v>
      </c>
      <c r="V1262" s="35" t="b">
        <v>0</v>
      </c>
      <c r="W1262" s="35" t="b">
        <v>1</v>
      </c>
      <c r="Y1262" s="31" cm="1">
        <f t="array" ref="Y1262">IF(LEFT(_xll.BDP($C1262, VOLUME_AVG_10D), 4) = "#N/A", "",  _xll.BDP($C1262, VOLUME_AVG_10D))</f>
        <v>1192978.25</v>
      </c>
      <c r="Z1262" s="31" cm="1">
        <f t="array" ref="Z1262">IF(LEFT(_xll.BDP($C1262, VOLUME_AVG_30D), 4) = "#N/A", "",  _xll.BDP($C1262, VOLUME_AVG_30D))</f>
        <v>2346412.25</v>
      </c>
      <c r="AA1262" s="31" cm="1">
        <f t="array" ref="AA1262">IF(LEFT(_xll.BDP($C1262, VOLUME_AVG_3M), 4) = "#N/A", "",  _xll.BDP($C1262, VOLUME_AVG_3M))</f>
        <v>2350807</v>
      </c>
      <c r="AB1262" s="31" cm="1">
        <f t="array" ref="AB1262">IF(LEFT(_xll.BDP($C1262, VOLUME_AVG_6M), 4) = "#N/A", "",  _xll.BDP($C1262, VOLUME_AVG_6M))</f>
        <v>2163557.5</v>
      </c>
      <c r="AC1262" s="31" cm="1">
        <f t="array" ref="AC1262">IF(LEFT(_xll.BDP($C1262, VOLUME_AVG_12M), 4) = "#N/A", "",  _xll.BDP($C1262, VOLUME_AVG_12M))</f>
        <v>1732381</v>
      </c>
      <c r="AD1262" s="41" cm="1">
        <f t="array" ref="AD1262">IF(LEFT(_xll.BDP($C1262, LAST_PRICE), 4) = "#N/A", "",  _xll.BDP($C1262, LAST_PRICE))</f>
        <v>3.76</v>
      </c>
    </row>
    <row r="1263" spans="1:30" x14ac:dyDescent="0.35">
      <c r="A1263" s="1">
        <f t="shared" si="19"/>
        <v>1260</v>
      </c>
      <c r="B1263" s="28">
        <v>45700</v>
      </c>
      <c r="C1263" s="29" t="s">
        <v>2571</v>
      </c>
      <c r="D1263" s="29" t="s">
        <v>2571</v>
      </c>
      <c r="E1263" s="29" t="s">
        <v>2572</v>
      </c>
      <c r="F1263" s="29" t="s">
        <v>33</v>
      </c>
      <c r="G1263" s="30" t="s">
        <v>34</v>
      </c>
      <c r="H1263" s="31">
        <v>9200113.9049140196</v>
      </c>
      <c r="I1263" s="31">
        <v>-44917613.095086001</v>
      </c>
      <c r="J1263" s="32">
        <v>0.30489999055862399</v>
      </c>
      <c r="K1263" s="33">
        <v>45700</v>
      </c>
      <c r="L1263" s="31">
        <v>3219600</v>
      </c>
      <c r="M1263" s="32">
        <v>3.45</v>
      </c>
      <c r="N1263" s="31" t="s">
        <v>35</v>
      </c>
      <c r="O1263" s="33">
        <v>45699</v>
      </c>
      <c r="P1263" s="34">
        <v>1729736</v>
      </c>
      <c r="Q1263" s="34">
        <v>1584032</v>
      </c>
      <c r="R1263" s="34">
        <v>870067.0625</v>
      </c>
      <c r="S1263" s="29" t="s">
        <v>97</v>
      </c>
      <c r="T1263" s="33">
        <v>45215</v>
      </c>
      <c r="U1263" s="35" t="b">
        <v>1</v>
      </c>
      <c r="V1263" s="35" t="b">
        <v>0</v>
      </c>
      <c r="W1263" s="35" t="b">
        <v>1</v>
      </c>
      <c r="Y1263" s="31" cm="1">
        <f t="array" ref="Y1263">IF(LEFT(_xll.BDP($C1263, VOLUME_AVG_10D), 4) = "#N/A", "",  _xll.BDP($C1263, VOLUME_AVG_10D))</f>
        <v>3449954.25</v>
      </c>
      <c r="Z1263" s="31" cm="1">
        <f t="array" ref="Z1263">IF(LEFT(_xll.BDP($C1263, VOLUME_AVG_30D), 4) = "#N/A", "",  _xll.BDP($C1263, VOLUME_AVG_30D))</f>
        <v>1729736</v>
      </c>
      <c r="AA1263" s="31" cm="1">
        <f t="array" ref="AA1263">IF(LEFT(_xll.BDP($C1263, VOLUME_AVG_3M), 4) = "#N/A", "",  _xll.BDP($C1263, VOLUME_AVG_3M))</f>
        <v>1584032</v>
      </c>
      <c r="AB1263" s="31" cm="1">
        <f t="array" ref="AB1263">IF(LEFT(_xll.BDP($C1263, VOLUME_AVG_6M), 4) = "#N/A", "",  _xll.BDP($C1263, VOLUME_AVG_6M))</f>
        <v>870067.0625</v>
      </c>
      <c r="AC1263" s="31" cm="1">
        <f t="array" ref="AC1263">IF(LEFT(_xll.BDP($C1263, VOLUME_AVG_12M), 4) = "#N/A", "",  _xll.BDP($C1263, VOLUME_AVG_12M))</f>
        <v>506750.625</v>
      </c>
      <c r="AD1263" s="41" cm="1">
        <f t="array" ref="AD1263">IF(LEFT(_xll.BDP($C1263, LAST_PRICE), 4) = "#N/A", "",  _xll.BDP($C1263, LAST_PRICE))</f>
        <v>0.3049</v>
      </c>
    </row>
    <row r="1264" spans="1:30" x14ac:dyDescent="0.35">
      <c r="A1264" s="1">
        <f t="shared" si="19"/>
        <v>1261</v>
      </c>
      <c r="B1264" s="28">
        <v>45700</v>
      </c>
      <c r="C1264" s="29" t="s">
        <v>2573</v>
      </c>
      <c r="D1264" s="29" t="s">
        <v>2573</v>
      </c>
      <c r="E1264" s="29" t="s">
        <v>2574</v>
      </c>
      <c r="F1264" s="29" t="s">
        <v>33</v>
      </c>
      <c r="G1264" s="30" t="s">
        <v>34</v>
      </c>
      <c r="H1264" s="31">
        <v>899818.60499999998</v>
      </c>
      <c r="I1264" s="31">
        <v>915464.60499999998</v>
      </c>
      <c r="J1264" s="32">
        <v>4.4999999999999998E-2</v>
      </c>
      <c r="K1264" s="33">
        <v>45700</v>
      </c>
      <c r="L1264" s="31"/>
      <c r="M1264" s="32"/>
      <c r="N1264" s="31"/>
      <c r="O1264" s="33">
        <v>45699</v>
      </c>
      <c r="P1264" s="34">
        <v>770.96667480468795</v>
      </c>
      <c r="Q1264" s="34">
        <v>953.69354248046898</v>
      </c>
      <c r="R1264" s="34">
        <v>937.83331298828102</v>
      </c>
      <c r="S1264" s="29"/>
      <c r="T1264" s="33"/>
      <c r="U1264" s="35" t="b">
        <v>1</v>
      </c>
      <c r="V1264" s="35" t="b">
        <v>1</v>
      </c>
      <c r="W1264" s="35" t="b">
        <v>0</v>
      </c>
      <c r="Y1264" s="31" cm="1">
        <f t="array" ref="Y1264">IF(LEFT(_xll.BDP($C1264, VOLUME_AVG_10D), 4) = "#N/A", "",  _xll.BDP($C1264, VOLUME_AVG_10D))</f>
        <v>0</v>
      </c>
      <c r="Z1264" s="31" cm="1">
        <f t="array" ref="Z1264">IF(LEFT(_xll.BDP($C1264, VOLUME_AVG_30D), 4) = "#N/A", "",  _xll.BDP($C1264, VOLUME_AVG_30D))</f>
        <v>770.9666748046875</v>
      </c>
      <c r="AA1264" s="31" cm="1">
        <f t="array" ref="AA1264">IF(LEFT(_xll.BDP($C1264, VOLUME_AVG_3M), 4) = "#N/A", "",  _xll.BDP($C1264, VOLUME_AVG_3M))</f>
        <v>953.69354248046875</v>
      </c>
      <c r="AB1264" s="31" cm="1">
        <f t="array" ref="AB1264">IF(LEFT(_xll.BDP($C1264, VOLUME_AVG_6M), 4) = "#N/A", "",  _xll.BDP($C1264, VOLUME_AVG_6M))</f>
        <v>937.83331298828125</v>
      </c>
      <c r="AC1264" s="31" cm="1">
        <f t="array" ref="AC1264">IF(LEFT(_xll.BDP($C1264, VOLUME_AVG_12M), 4) = "#N/A", "",  _xll.BDP($C1264, VOLUME_AVG_12M))</f>
        <v>1144.7052001953125</v>
      </c>
      <c r="AD1264" s="41" cm="1">
        <f t="array" ref="AD1264">IF(LEFT(_xll.BDP($C1264, LAST_PRICE), 4) = "#N/A", "",  _xll.BDP($C1264, LAST_PRICE))</f>
        <v>4.4999999999999998E-2</v>
      </c>
    </row>
    <row r="1265" spans="1:30" x14ac:dyDescent="0.35">
      <c r="A1265" s="1">
        <f t="shared" si="19"/>
        <v>1262</v>
      </c>
      <c r="B1265" s="28">
        <v>45700</v>
      </c>
      <c r="C1265" s="29" t="s">
        <v>2575</v>
      </c>
      <c r="D1265" s="29" t="s">
        <v>2575</v>
      </c>
      <c r="E1265" s="29" t="s">
        <v>2576</v>
      </c>
      <c r="F1265" s="29" t="s">
        <v>33</v>
      </c>
      <c r="G1265" s="30" t="s">
        <v>34</v>
      </c>
      <c r="H1265" s="31">
        <v>21101945.618057501</v>
      </c>
      <c r="I1265" s="31">
        <v>20661644.618057501</v>
      </c>
      <c r="J1265" s="32">
        <v>1.3899999670684299E-2</v>
      </c>
      <c r="K1265" s="33">
        <v>45700</v>
      </c>
      <c r="L1265" s="31">
        <v>21515900</v>
      </c>
      <c r="M1265" s="32">
        <v>-0.9</v>
      </c>
      <c r="N1265" s="31" t="s">
        <v>35</v>
      </c>
      <c r="O1265" s="33">
        <v>45699</v>
      </c>
      <c r="P1265" s="34">
        <v>1713789.25</v>
      </c>
      <c r="Q1265" s="34">
        <v>1814759.375</v>
      </c>
      <c r="R1265" s="34">
        <v>1608186.125</v>
      </c>
      <c r="S1265" s="29"/>
      <c r="T1265" s="33"/>
      <c r="U1265" s="35" t="b">
        <v>0</v>
      </c>
      <c r="V1265" s="35" t="b">
        <v>1</v>
      </c>
      <c r="W1265" s="35" t="b">
        <v>0</v>
      </c>
      <c r="Y1265" s="31" cm="1">
        <f t="array" ref="Y1265">IF(LEFT(_xll.BDP($C1265, VOLUME_AVG_10D), 4) = "#N/A", "",  _xll.BDP($C1265, VOLUME_AVG_10D))</f>
        <v>2963950.5</v>
      </c>
      <c r="Z1265" s="31" cm="1">
        <f t="array" ref="Z1265">IF(LEFT(_xll.BDP($C1265, VOLUME_AVG_30D), 4) = "#N/A", "",  _xll.BDP($C1265, VOLUME_AVG_30D))</f>
        <v>1713789.25</v>
      </c>
      <c r="AA1265" s="31" cm="1">
        <f t="array" ref="AA1265">IF(LEFT(_xll.BDP($C1265, VOLUME_AVG_3M), 4) = "#N/A", "",  _xll.BDP($C1265, VOLUME_AVG_3M))</f>
        <v>1814759.375</v>
      </c>
      <c r="AB1265" s="31" cm="1">
        <f t="array" ref="AB1265">IF(LEFT(_xll.BDP($C1265, VOLUME_AVG_6M), 4) = "#N/A", "",  _xll.BDP($C1265, VOLUME_AVG_6M))</f>
        <v>1608186.125</v>
      </c>
      <c r="AC1265" s="31" cm="1">
        <f t="array" ref="AC1265">IF(LEFT(_xll.BDP($C1265, VOLUME_AVG_12M), 4) = "#N/A", "",  _xll.BDP($C1265, VOLUME_AVG_12M))</f>
        <v>2446222.5</v>
      </c>
      <c r="AD1265" s="41" cm="1">
        <f t="array" ref="AD1265">IF(LEFT(_xll.BDP($C1265, LAST_PRICE), 4) = "#N/A", "",  _xll.BDP($C1265, LAST_PRICE))</f>
        <v>1.3899999999999999E-2</v>
      </c>
    </row>
    <row r="1266" spans="1:30" x14ac:dyDescent="0.35">
      <c r="A1266" s="1">
        <f t="shared" si="19"/>
        <v>1263</v>
      </c>
      <c r="B1266" s="28">
        <v>45700</v>
      </c>
      <c r="C1266" s="29" t="s">
        <v>2577</v>
      </c>
      <c r="D1266" s="29" t="s">
        <v>2577</v>
      </c>
      <c r="E1266" s="29" t="s">
        <v>2578</v>
      </c>
      <c r="F1266" s="29" t="s">
        <v>33</v>
      </c>
      <c r="G1266" s="30" t="s">
        <v>34</v>
      </c>
      <c r="H1266" s="31">
        <v>4055132.2256999998</v>
      </c>
      <c r="I1266" s="31">
        <v>16160958.2257</v>
      </c>
      <c r="J1266" s="32">
        <v>9.9999999747524292E-7</v>
      </c>
      <c r="K1266" s="33">
        <v>45700</v>
      </c>
      <c r="L1266" s="31"/>
      <c r="M1266" s="32"/>
      <c r="N1266" s="31"/>
      <c r="O1266" s="33">
        <v>45699</v>
      </c>
      <c r="P1266" s="34">
        <v>3084547</v>
      </c>
      <c r="Q1266" s="34">
        <v>9211435</v>
      </c>
      <c r="R1266" s="34">
        <v>6598484.5</v>
      </c>
      <c r="S1266" s="29"/>
      <c r="T1266" s="33"/>
      <c r="U1266" s="35" t="b">
        <v>1</v>
      </c>
      <c r="V1266" s="35" t="b">
        <v>1</v>
      </c>
      <c r="W1266" s="35" t="b">
        <v>0</v>
      </c>
      <c r="Y1266" s="31" cm="1">
        <f t="array" ref="Y1266">IF(LEFT(_xll.BDP($C1266, VOLUME_AVG_10D), 4) = "#N/A", "",  _xll.BDP($C1266, VOLUME_AVG_10D))</f>
        <v>2068000</v>
      </c>
      <c r="Z1266" s="31" cm="1">
        <f t="array" ref="Z1266">IF(LEFT(_xll.BDP($C1266, VOLUME_AVG_30D), 4) = "#N/A", "",  _xll.BDP($C1266, VOLUME_AVG_30D))</f>
        <v>3084547</v>
      </c>
      <c r="AA1266" s="31" cm="1">
        <f t="array" ref="AA1266">IF(LEFT(_xll.BDP($C1266, VOLUME_AVG_3M), 4) = "#N/A", "",  _xll.BDP($C1266, VOLUME_AVG_3M))</f>
        <v>9211435</v>
      </c>
      <c r="AB1266" s="31" cm="1">
        <f t="array" ref="AB1266">IF(LEFT(_xll.BDP($C1266, VOLUME_AVG_6M), 4) = "#N/A", "",  _xll.BDP($C1266, VOLUME_AVG_6M))</f>
        <v>6598484.5</v>
      </c>
      <c r="AC1266" s="31" cm="1">
        <f t="array" ref="AC1266">IF(LEFT(_xll.BDP($C1266, VOLUME_AVG_12M), 4) = "#N/A", "",  _xll.BDP($C1266, VOLUME_AVG_12M))</f>
        <v>23309860</v>
      </c>
      <c r="AD1266" s="41" cm="1">
        <f t="array" ref="AD1266">IF(LEFT(_xll.BDP($C1266, LAST_PRICE), 4) = "#N/A", "",  _xll.BDP($C1266, LAST_PRICE))</f>
        <v>9.9999999999999995E-7</v>
      </c>
    </row>
    <row r="1267" spans="1:30" x14ac:dyDescent="0.35">
      <c r="A1267" s="1">
        <f t="shared" si="19"/>
        <v>1264</v>
      </c>
      <c r="B1267" s="28">
        <v>45700</v>
      </c>
      <c r="C1267" s="29" t="s">
        <v>2579</v>
      </c>
      <c r="D1267" s="29" t="s">
        <v>2579</v>
      </c>
      <c r="E1267" s="29" t="s">
        <v>2580</v>
      </c>
      <c r="F1267" s="29" t="s">
        <v>33</v>
      </c>
      <c r="G1267" s="30" t="s">
        <v>34</v>
      </c>
      <c r="H1267" s="31"/>
      <c r="I1267" s="31"/>
      <c r="J1267" s="32">
        <v>9.9999999747524292E-7</v>
      </c>
      <c r="K1267" s="33">
        <v>45700</v>
      </c>
      <c r="L1267" s="31"/>
      <c r="M1267" s="32"/>
      <c r="N1267" s="31"/>
      <c r="O1267" s="33">
        <v>45699</v>
      </c>
      <c r="P1267" s="34">
        <v>1418.66662597656</v>
      </c>
      <c r="Q1267" s="34">
        <v>1053.25805664063</v>
      </c>
      <c r="R1267" s="34">
        <v>741.015869140625</v>
      </c>
      <c r="S1267" s="29"/>
      <c r="T1267" s="33"/>
      <c r="U1267" s="35" t="b">
        <v>1</v>
      </c>
      <c r="V1267" s="35" t="b">
        <v>1</v>
      </c>
      <c r="W1267" s="35" t="b">
        <v>1</v>
      </c>
      <c r="Y1267" s="31" cm="1">
        <f t="array" ref="Y1267">IF(LEFT(_xll.BDP($C1267, VOLUME_AVG_10D), 4) = "#N/A", "",  _xll.BDP($C1267, VOLUME_AVG_10D))</f>
        <v>30</v>
      </c>
      <c r="Z1267" s="31" cm="1">
        <f t="array" ref="Z1267">IF(LEFT(_xll.BDP($C1267, VOLUME_AVG_30D), 4) = "#N/A", "",  _xll.BDP($C1267, VOLUME_AVG_30D))</f>
        <v>1418.6666259765625</v>
      </c>
      <c r="AA1267" s="31" cm="1">
        <f t="array" ref="AA1267">IF(LEFT(_xll.BDP($C1267, VOLUME_AVG_3M), 4) = "#N/A", "",  _xll.BDP($C1267, VOLUME_AVG_3M))</f>
        <v>1053.258056640625</v>
      </c>
      <c r="AB1267" s="31" cm="1">
        <f t="array" ref="AB1267">IF(LEFT(_xll.BDP($C1267, VOLUME_AVG_6M), 4) = "#N/A", "",  _xll.BDP($C1267, VOLUME_AVG_6M))</f>
        <v>741.015869140625</v>
      </c>
      <c r="AC1267" s="31" cm="1">
        <f t="array" ref="AC1267">IF(LEFT(_xll.BDP($C1267, VOLUME_AVG_12M), 4) = "#N/A", "",  _xll.BDP($C1267, VOLUME_AVG_12M))</f>
        <v>1199.6573486328125</v>
      </c>
      <c r="AD1267" s="41" cm="1">
        <f t="array" ref="AD1267">IF(LEFT(_xll.BDP($C1267, LAST_PRICE), 4) = "#N/A", "",  _xll.BDP($C1267, LAST_PRICE))</f>
        <v>0</v>
      </c>
    </row>
    <row r="1268" spans="1:30" x14ac:dyDescent="0.35">
      <c r="A1268" s="1">
        <f t="shared" si="19"/>
        <v>1265</v>
      </c>
      <c r="B1268" s="28">
        <v>45700</v>
      </c>
      <c r="C1268" s="29" t="s">
        <v>2581</v>
      </c>
      <c r="D1268" s="29" t="s">
        <v>2581</v>
      </c>
      <c r="E1268" s="29" t="s">
        <v>2582</v>
      </c>
      <c r="F1268" s="29" t="s">
        <v>33</v>
      </c>
      <c r="G1268" s="30" t="s">
        <v>34</v>
      </c>
      <c r="H1268" s="31">
        <v>114022538.734983</v>
      </c>
      <c r="I1268" s="31">
        <v>117623188.734983</v>
      </c>
      <c r="J1268" s="32">
        <v>0.71840000152587902</v>
      </c>
      <c r="K1268" s="33">
        <v>45700</v>
      </c>
      <c r="L1268" s="31">
        <v>952500</v>
      </c>
      <c r="M1268" s="32">
        <v>-6.9</v>
      </c>
      <c r="N1268" s="31" t="s">
        <v>35</v>
      </c>
      <c r="O1268" s="33">
        <v>45699</v>
      </c>
      <c r="P1268" s="34">
        <v>1088964.625</v>
      </c>
      <c r="Q1268" s="34">
        <v>1154674.875</v>
      </c>
      <c r="R1268" s="34">
        <v>796339.5625</v>
      </c>
      <c r="S1268" s="29"/>
      <c r="T1268" s="33"/>
      <c r="U1268" s="35" t="b">
        <v>0</v>
      </c>
      <c r="V1268" s="35" t="b">
        <v>0</v>
      </c>
      <c r="W1268" s="35" t="b">
        <v>0</v>
      </c>
      <c r="Y1268" s="31" cm="1">
        <f t="array" ref="Y1268">IF(LEFT(_xll.BDP($C1268, VOLUME_AVG_10D), 4) = "#N/A", "",  _xll.BDP($C1268, VOLUME_AVG_10D))</f>
        <v>463817.8125</v>
      </c>
      <c r="Z1268" s="31" cm="1">
        <f t="array" ref="Z1268">IF(LEFT(_xll.BDP($C1268, VOLUME_AVG_30D), 4) = "#N/A", "",  _xll.BDP($C1268, VOLUME_AVG_30D))</f>
        <v>1088964.625</v>
      </c>
      <c r="AA1268" s="31" cm="1">
        <f t="array" ref="AA1268">IF(LEFT(_xll.BDP($C1268, VOLUME_AVG_3M), 4) = "#N/A", "",  _xll.BDP($C1268, VOLUME_AVG_3M))</f>
        <v>1154674.875</v>
      </c>
      <c r="AB1268" s="31" cm="1">
        <f t="array" ref="AB1268">IF(LEFT(_xll.BDP($C1268, VOLUME_AVG_6M), 4) = "#N/A", "",  _xll.BDP($C1268, VOLUME_AVG_6M))</f>
        <v>796339.5625</v>
      </c>
      <c r="AC1268" s="31" cm="1">
        <f t="array" ref="AC1268">IF(LEFT(_xll.BDP($C1268, VOLUME_AVG_12M), 4) = "#N/A", "",  _xll.BDP($C1268, VOLUME_AVG_12M))</f>
        <v>736331.75</v>
      </c>
      <c r="AD1268" s="41" cm="1">
        <f t="array" ref="AD1268">IF(LEFT(_xll.BDP($C1268, LAST_PRICE), 4) = "#N/A", "",  _xll.BDP($C1268, LAST_PRICE))</f>
        <v>0.71840000000000004</v>
      </c>
    </row>
    <row r="1269" spans="1:30" x14ac:dyDescent="0.35">
      <c r="A1269" s="1">
        <f t="shared" si="19"/>
        <v>1266</v>
      </c>
      <c r="B1269" s="28">
        <v>45700</v>
      </c>
      <c r="C1269" s="29" t="s">
        <v>2583</v>
      </c>
      <c r="D1269" s="29" t="s">
        <v>2583</v>
      </c>
      <c r="E1269" s="29" t="s">
        <v>2584</v>
      </c>
      <c r="F1269" s="29" t="s">
        <v>33</v>
      </c>
      <c r="G1269" s="30" t="s">
        <v>34</v>
      </c>
      <c r="H1269" s="31">
        <v>41255691.132881597</v>
      </c>
      <c r="I1269" s="31">
        <v>40082691.132881597</v>
      </c>
      <c r="J1269" s="32">
        <v>1.1599999666214</v>
      </c>
      <c r="K1269" s="33">
        <v>45700</v>
      </c>
      <c r="L1269" s="31">
        <v>1919300</v>
      </c>
      <c r="M1269" s="32">
        <v>-25.2</v>
      </c>
      <c r="N1269" s="31" t="s">
        <v>35</v>
      </c>
      <c r="O1269" s="33">
        <v>45699</v>
      </c>
      <c r="P1269" s="34">
        <v>156659.671875</v>
      </c>
      <c r="Q1269" s="34">
        <v>124114.7109375</v>
      </c>
      <c r="R1269" s="34">
        <v>77727.6015625</v>
      </c>
      <c r="S1269" s="29"/>
      <c r="T1269" s="33"/>
      <c r="U1269" s="35" t="b">
        <v>0</v>
      </c>
      <c r="V1269" s="35" t="b">
        <v>0</v>
      </c>
      <c r="W1269" s="35" t="b">
        <v>0</v>
      </c>
      <c r="Y1269" s="31" cm="1">
        <f t="array" ref="Y1269">IF(LEFT(_xll.BDP($C1269, VOLUME_AVG_10D), 4) = "#N/A", "",  _xll.BDP($C1269, VOLUME_AVG_10D))</f>
        <v>244118</v>
      </c>
      <c r="Z1269" s="31" cm="1">
        <f t="array" ref="Z1269">IF(LEFT(_xll.BDP($C1269, VOLUME_AVG_30D), 4) = "#N/A", "",  _xll.BDP($C1269, VOLUME_AVG_30D))</f>
        <v>156659.671875</v>
      </c>
      <c r="AA1269" s="31" cm="1">
        <f t="array" ref="AA1269">IF(LEFT(_xll.BDP($C1269, VOLUME_AVG_3M), 4) = "#N/A", "",  _xll.BDP($C1269, VOLUME_AVG_3M))</f>
        <v>124114.7109375</v>
      </c>
      <c r="AB1269" s="31" cm="1">
        <f t="array" ref="AB1269">IF(LEFT(_xll.BDP($C1269, VOLUME_AVG_6M), 4) = "#N/A", "",  _xll.BDP($C1269, VOLUME_AVG_6M))</f>
        <v>77727.6015625</v>
      </c>
      <c r="AC1269" s="31" cm="1">
        <f t="array" ref="AC1269">IF(LEFT(_xll.BDP($C1269, VOLUME_AVG_12M), 4) = "#N/A", "",  _xll.BDP($C1269, VOLUME_AVG_12M))</f>
        <v>58910.3046875</v>
      </c>
      <c r="AD1269" s="41" cm="1">
        <f t="array" ref="AD1269">IF(LEFT(_xll.BDP($C1269, LAST_PRICE), 4) = "#N/A", "",  _xll.BDP($C1269, LAST_PRICE))</f>
        <v>1.1599999999999999</v>
      </c>
    </row>
    <row r="1270" spans="1:30" x14ac:dyDescent="0.35">
      <c r="A1270" s="1">
        <f t="shared" si="19"/>
        <v>1267</v>
      </c>
      <c r="B1270" s="28">
        <v>45700</v>
      </c>
      <c r="C1270" s="29" t="s">
        <v>2585</v>
      </c>
      <c r="D1270" s="29" t="s">
        <v>2585</v>
      </c>
      <c r="E1270" s="29" t="s">
        <v>2586</v>
      </c>
      <c r="F1270" s="29" t="s">
        <v>33</v>
      </c>
      <c r="G1270" s="30" t="s">
        <v>34</v>
      </c>
      <c r="H1270" s="31">
        <v>48887313.186465703</v>
      </c>
      <c r="I1270" s="31">
        <v>-127981686.81353401</v>
      </c>
      <c r="J1270" s="32">
        <v>1.1499999761581401</v>
      </c>
      <c r="K1270" s="33">
        <v>45700</v>
      </c>
      <c r="L1270" s="31">
        <v>693100</v>
      </c>
      <c r="M1270" s="32">
        <v>3.4</v>
      </c>
      <c r="N1270" s="31" t="s">
        <v>35</v>
      </c>
      <c r="O1270" s="33">
        <v>45699</v>
      </c>
      <c r="P1270" s="34">
        <v>401735.78125</v>
      </c>
      <c r="Q1270" s="34">
        <v>464812.15625</v>
      </c>
      <c r="R1270" s="34">
        <v>280709.625</v>
      </c>
      <c r="S1270" s="29" t="s">
        <v>46</v>
      </c>
      <c r="T1270" s="33">
        <v>45446</v>
      </c>
      <c r="U1270" s="35" t="b">
        <v>0</v>
      </c>
      <c r="V1270" s="35" t="b">
        <v>0</v>
      </c>
      <c r="W1270" s="35" t="b">
        <v>1</v>
      </c>
      <c r="Y1270" s="31" cm="1">
        <f t="array" ref="Y1270">IF(LEFT(_xll.BDP($C1270, VOLUME_AVG_10D), 4) = "#N/A", "",  _xll.BDP($C1270, VOLUME_AVG_10D))</f>
        <v>233968</v>
      </c>
      <c r="Z1270" s="31" cm="1">
        <f t="array" ref="Z1270">IF(LEFT(_xll.BDP($C1270, VOLUME_AVG_30D), 4) = "#N/A", "",  _xll.BDP($C1270, VOLUME_AVG_30D))</f>
        <v>401735.78125</v>
      </c>
      <c r="AA1270" s="31" cm="1">
        <f t="array" ref="AA1270">IF(LEFT(_xll.BDP($C1270, VOLUME_AVG_3M), 4) = "#N/A", "",  _xll.BDP($C1270, VOLUME_AVG_3M))</f>
        <v>464812.15625</v>
      </c>
      <c r="AB1270" s="31" cm="1">
        <f t="array" ref="AB1270">IF(LEFT(_xll.BDP($C1270, VOLUME_AVG_6M), 4) = "#N/A", "",  _xll.BDP($C1270, VOLUME_AVG_6M))</f>
        <v>280709.625</v>
      </c>
      <c r="AC1270" s="31" cm="1">
        <f t="array" ref="AC1270">IF(LEFT(_xll.BDP($C1270, VOLUME_AVG_12M), 4) = "#N/A", "",  _xll.BDP($C1270, VOLUME_AVG_12M))</f>
        <v>235081.25</v>
      </c>
      <c r="AD1270" s="41" cm="1">
        <f t="array" ref="AD1270">IF(LEFT(_xll.BDP($C1270, LAST_PRICE), 4) = "#N/A", "",  _xll.BDP($C1270, LAST_PRICE))</f>
        <v>1.1499999999999999</v>
      </c>
    </row>
    <row r="1271" spans="1:30" x14ac:dyDescent="0.35">
      <c r="A1271" s="1">
        <f t="shared" si="19"/>
        <v>1268</v>
      </c>
      <c r="B1271" s="28">
        <v>45700</v>
      </c>
      <c r="C1271" s="29" t="s">
        <v>2587</v>
      </c>
      <c r="D1271" s="29" t="s">
        <v>2587</v>
      </c>
      <c r="E1271" s="29" t="s">
        <v>2588</v>
      </c>
      <c r="F1271" s="29" t="s">
        <v>33</v>
      </c>
      <c r="G1271" s="30" t="s">
        <v>34</v>
      </c>
      <c r="H1271" s="31">
        <v>8164214435.3920002</v>
      </c>
      <c r="I1271" s="31">
        <v>8052721435.3920002</v>
      </c>
      <c r="J1271" s="32">
        <v>145.72000122070301</v>
      </c>
      <c r="K1271" s="33">
        <v>45700</v>
      </c>
      <c r="L1271" s="31">
        <v>19514800</v>
      </c>
      <c r="M1271" s="32">
        <v>3.88</v>
      </c>
      <c r="N1271" s="31" t="s">
        <v>35</v>
      </c>
      <c r="O1271" s="33">
        <v>45699</v>
      </c>
      <c r="P1271" s="34">
        <v>516072.71875</v>
      </c>
      <c r="Q1271" s="34">
        <v>588046.4375</v>
      </c>
      <c r="R1271" s="34">
        <v>634858.3125</v>
      </c>
      <c r="S1271" s="29"/>
      <c r="T1271" s="33"/>
      <c r="U1271" s="35" t="b">
        <v>0</v>
      </c>
      <c r="V1271" s="35" t="b">
        <v>0</v>
      </c>
      <c r="W1271" s="35" t="b">
        <v>0</v>
      </c>
      <c r="Y1271" s="31" cm="1">
        <f t="array" ref="Y1271">IF(LEFT(_xll.BDP($C1271, VOLUME_AVG_10D), 4) = "#N/A", "",  _xll.BDP($C1271, VOLUME_AVG_10D))</f>
        <v>497385.6875</v>
      </c>
      <c r="Z1271" s="31" cm="1">
        <f t="array" ref="Z1271">IF(LEFT(_xll.BDP($C1271, VOLUME_AVG_30D), 4) = "#N/A", "",  _xll.BDP($C1271, VOLUME_AVG_30D))</f>
        <v>516072.71875</v>
      </c>
      <c r="AA1271" s="31" cm="1">
        <f t="array" ref="AA1271">IF(LEFT(_xll.BDP($C1271, VOLUME_AVG_3M), 4) = "#N/A", "",  _xll.BDP($C1271, VOLUME_AVG_3M))</f>
        <v>588046.4375</v>
      </c>
      <c r="AB1271" s="31" cm="1">
        <f t="array" ref="AB1271">IF(LEFT(_xll.BDP($C1271, VOLUME_AVG_6M), 4) = "#N/A", "",  _xll.BDP($C1271, VOLUME_AVG_6M))</f>
        <v>634858.3125</v>
      </c>
      <c r="AC1271" s="31" cm="1">
        <f t="array" ref="AC1271">IF(LEFT(_xll.BDP($C1271, VOLUME_AVG_12M), 4) = "#N/A", "",  _xll.BDP($C1271, VOLUME_AVG_12M))</f>
        <v>641530.3125</v>
      </c>
      <c r="AD1271" s="41" cm="1">
        <f t="array" ref="AD1271">IF(LEFT(_xll.BDP($C1271, LAST_PRICE), 4) = "#N/A", "",  _xll.BDP($C1271, LAST_PRICE))</f>
        <v>145.72</v>
      </c>
    </row>
    <row r="1272" spans="1:30" x14ac:dyDescent="0.35">
      <c r="A1272" s="1">
        <f t="shared" si="19"/>
        <v>1269</v>
      </c>
      <c r="B1272" s="28">
        <v>45700</v>
      </c>
      <c r="C1272" s="29" t="s">
        <v>2589</v>
      </c>
      <c r="D1272" s="29" t="s">
        <v>2589</v>
      </c>
      <c r="E1272" s="29" t="s">
        <v>2590</v>
      </c>
      <c r="F1272" s="29" t="s">
        <v>33</v>
      </c>
      <c r="G1272" s="30" t="s">
        <v>34</v>
      </c>
      <c r="H1272" s="31">
        <v>1062033827.05212</v>
      </c>
      <c r="I1272" s="31">
        <v>717234827.05211902</v>
      </c>
      <c r="J1272" s="32">
        <v>13.789999961853001</v>
      </c>
      <c r="K1272" s="33">
        <v>45700</v>
      </c>
      <c r="L1272" s="31">
        <v>13845900</v>
      </c>
      <c r="M1272" s="32">
        <v>3.88</v>
      </c>
      <c r="N1272" s="31" t="s">
        <v>35</v>
      </c>
      <c r="O1272" s="33">
        <v>45699</v>
      </c>
      <c r="P1272" s="34">
        <v>761768.1875</v>
      </c>
      <c r="Q1272" s="34">
        <v>907496.3125</v>
      </c>
      <c r="R1272" s="34">
        <v>769696.125</v>
      </c>
      <c r="S1272" s="29" t="s">
        <v>46</v>
      </c>
      <c r="T1272" s="33">
        <v>45446</v>
      </c>
      <c r="U1272" s="35" t="b">
        <v>0</v>
      </c>
      <c r="V1272" s="35" t="b">
        <v>0</v>
      </c>
      <c r="W1272" s="35" t="b">
        <v>0</v>
      </c>
      <c r="Y1272" s="31" cm="1">
        <f t="array" ref="Y1272">IF(LEFT(_xll.BDP($C1272, VOLUME_AVG_10D), 4) = "#N/A", "",  _xll.BDP($C1272, VOLUME_AVG_10D))</f>
        <v>575358.125</v>
      </c>
      <c r="Z1272" s="31" cm="1">
        <f t="array" ref="Z1272">IF(LEFT(_xll.BDP($C1272, VOLUME_AVG_30D), 4) = "#N/A", "",  _xll.BDP($C1272, VOLUME_AVG_30D))</f>
        <v>761768.1875</v>
      </c>
      <c r="AA1272" s="31" cm="1">
        <f t="array" ref="AA1272">IF(LEFT(_xll.BDP($C1272, VOLUME_AVG_3M), 4) = "#N/A", "",  _xll.BDP($C1272, VOLUME_AVG_3M))</f>
        <v>907496.3125</v>
      </c>
      <c r="AB1272" s="31" cm="1">
        <f t="array" ref="AB1272">IF(LEFT(_xll.BDP($C1272, VOLUME_AVG_6M), 4) = "#N/A", "",  _xll.BDP($C1272, VOLUME_AVG_6M))</f>
        <v>769696.125</v>
      </c>
      <c r="AC1272" s="31" cm="1">
        <f t="array" ref="AC1272">IF(LEFT(_xll.BDP($C1272, VOLUME_AVG_12M), 4) = "#N/A", "",  _xll.BDP($C1272, VOLUME_AVG_12M))</f>
        <v>948185.6875</v>
      </c>
      <c r="AD1272" s="41" cm="1">
        <f t="array" ref="AD1272">IF(LEFT(_xll.BDP($C1272, LAST_PRICE), 4) = "#N/A", "",  _xll.BDP($C1272, LAST_PRICE))</f>
        <v>13.79</v>
      </c>
    </row>
    <row r="1273" spans="1:30" x14ac:dyDescent="0.35">
      <c r="A1273" s="1">
        <f t="shared" si="19"/>
        <v>1270</v>
      </c>
      <c r="B1273" s="28">
        <v>45700</v>
      </c>
      <c r="C1273" s="29" t="s">
        <v>2591</v>
      </c>
      <c r="D1273" s="29" t="s">
        <v>2591</v>
      </c>
      <c r="E1273" s="29" t="s">
        <v>2592</v>
      </c>
      <c r="F1273" s="29" t="s">
        <v>33</v>
      </c>
      <c r="G1273" s="30" t="s">
        <v>34</v>
      </c>
      <c r="H1273" s="31">
        <v>2033724.2897462801</v>
      </c>
      <c r="I1273" s="31">
        <v>1481724.2897462801</v>
      </c>
      <c r="J1273" s="32">
        <v>2.78600001335144</v>
      </c>
      <c r="K1273" s="33">
        <v>45700</v>
      </c>
      <c r="L1273" s="31">
        <v>9700</v>
      </c>
      <c r="M1273" s="32">
        <v>-22.95</v>
      </c>
      <c r="N1273" s="31" t="s">
        <v>35</v>
      </c>
      <c r="O1273" s="33">
        <v>45699</v>
      </c>
      <c r="P1273" s="34">
        <v>38449.93359375</v>
      </c>
      <c r="Q1273" s="34">
        <v>59886.09765625</v>
      </c>
      <c r="R1273" s="34">
        <v>130141.6484375</v>
      </c>
      <c r="S1273" s="29"/>
      <c r="T1273" s="33"/>
      <c r="U1273" s="35" t="b">
        <v>1</v>
      </c>
      <c r="V1273" s="35" t="b">
        <v>0</v>
      </c>
      <c r="W1273" s="35" t="b">
        <v>0</v>
      </c>
      <c r="Y1273" s="31" cm="1">
        <f t="array" ref="Y1273">IF(LEFT(_xll.BDP($C1273, VOLUME_AVG_10D), 4) = "#N/A", "",  _xll.BDP($C1273, VOLUME_AVG_10D))</f>
        <v>68277.703125</v>
      </c>
      <c r="Z1273" s="31" cm="1">
        <f t="array" ref="Z1273">IF(LEFT(_xll.BDP($C1273, VOLUME_AVG_30D), 4) = "#N/A", "",  _xll.BDP($C1273, VOLUME_AVG_30D))</f>
        <v>38449.93359375</v>
      </c>
      <c r="AA1273" s="31" cm="1">
        <f t="array" ref="AA1273">IF(LEFT(_xll.BDP($C1273, VOLUME_AVG_3M), 4) = "#N/A", "",  _xll.BDP($C1273, VOLUME_AVG_3M))</f>
        <v>59886.09765625</v>
      </c>
      <c r="AB1273" s="31" cm="1">
        <f t="array" ref="AB1273">IF(LEFT(_xll.BDP($C1273, VOLUME_AVG_6M), 4) = "#N/A", "",  _xll.BDP($C1273, VOLUME_AVG_6M))</f>
        <v>130141.6484375</v>
      </c>
      <c r="AC1273" s="31" cm="1">
        <f t="array" ref="AC1273">IF(LEFT(_xll.BDP($C1273, VOLUME_AVG_12M), 4) = "#N/A", "",  _xll.BDP($C1273, VOLUME_AVG_12M))</f>
        <v>95455.890625</v>
      </c>
      <c r="AD1273" s="41" cm="1">
        <f t="array" ref="AD1273">IF(LEFT(_xll.BDP($C1273, LAST_PRICE), 4) = "#N/A", "",  _xll.BDP($C1273, LAST_PRICE))</f>
        <v>2.786</v>
      </c>
    </row>
    <row r="1274" spans="1:30" x14ac:dyDescent="0.35">
      <c r="A1274" s="1">
        <f t="shared" si="19"/>
        <v>1271</v>
      </c>
      <c r="B1274" s="28">
        <v>45700</v>
      </c>
      <c r="C1274" s="29" t="s">
        <v>2593</v>
      </c>
      <c r="D1274" s="29" t="s">
        <v>2593</v>
      </c>
      <c r="E1274" s="29" t="s">
        <v>2594</v>
      </c>
      <c r="F1274" s="29" t="s">
        <v>33</v>
      </c>
      <c r="G1274" s="30" t="s">
        <v>34</v>
      </c>
      <c r="H1274" s="31">
        <v>34748712275.6045</v>
      </c>
      <c r="I1274" s="31">
        <v>35066504275.6045</v>
      </c>
      <c r="J1274" s="32">
        <v>236.60000610351599</v>
      </c>
      <c r="K1274" s="33">
        <v>45700</v>
      </c>
      <c r="L1274" s="31">
        <v>25928700</v>
      </c>
      <c r="M1274" s="32">
        <v>3.88</v>
      </c>
      <c r="N1274" s="31" t="s">
        <v>35</v>
      </c>
      <c r="O1274" s="33">
        <v>45699</v>
      </c>
      <c r="P1274" s="34">
        <v>945981.25</v>
      </c>
      <c r="Q1274" s="34">
        <v>867543.1875</v>
      </c>
      <c r="R1274" s="34">
        <v>944024.1875</v>
      </c>
      <c r="S1274" s="29" t="s">
        <v>285</v>
      </c>
      <c r="T1274" s="33">
        <v>45446</v>
      </c>
      <c r="U1274" s="35" t="b">
        <v>0</v>
      </c>
      <c r="V1274" s="35" t="b">
        <v>0</v>
      </c>
      <c r="W1274" s="35" t="b">
        <v>0</v>
      </c>
      <c r="Y1274" s="31" cm="1">
        <f t="array" ref="Y1274">IF(LEFT(_xll.BDP($C1274, VOLUME_AVG_10D), 4) = "#N/A", "",  _xll.BDP($C1274, VOLUME_AVG_10D))</f>
        <v>1296948.25</v>
      </c>
      <c r="Z1274" s="31" cm="1">
        <f t="array" ref="Z1274">IF(LEFT(_xll.BDP($C1274, VOLUME_AVG_30D), 4) = "#N/A", "",  _xll.BDP($C1274, VOLUME_AVG_30D))</f>
        <v>945981.25</v>
      </c>
      <c r="AA1274" s="31" cm="1">
        <f t="array" ref="AA1274">IF(LEFT(_xll.BDP($C1274, VOLUME_AVG_3M), 4) = "#N/A", "",  _xll.BDP($C1274, VOLUME_AVG_3M))</f>
        <v>867543.1875</v>
      </c>
      <c r="AB1274" s="31" cm="1">
        <f t="array" ref="AB1274">IF(LEFT(_xll.BDP($C1274, VOLUME_AVG_6M), 4) = "#N/A", "",  _xll.BDP($C1274, VOLUME_AVG_6M))</f>
        <v>944024.1875</v>
      </c>
      <c r="AC1274" s="31" cm="1">
        <f t="array" ref="AC1274">IF(LEFT(_xll.BDP($C1274, VOLUME_AVG_12M), 4) = "#N/A", "",  _xll.BDP($C1274, VOLUME_AVG_12M))</f>
        <v>1013829.6875</v>
      </c>
      <c r="AD1274" s="41" cm="1">
        <f t="array" ref="AD1274">IF(LEFT(_xll.BDP($C1274, LAST_PRICE), 4) = "#N/A", "",  _xll.BDP($C1274, LAST_PRICE))</f>
        <v>236.6</v>
      </c>
    </row>
    <row r="1275" spans="1:30" x14ac:dyDescent="0.35">
      <c r="A1275" s="1">
        <f t="shared" si="19"/>
        <v>1272</v>
      </c>
      <c r="B1275" s="28">
        <v>45700</v>
      </c>
      <c r="C1275" s="29" t="s">
        <v>2595</v>
      </c>
      <c r="D1275" s="29" t="s">
        <v>2595</v>
      </c>
      <c r="E1275" s="29" t="s">
        <v>2596</v>
      </c>
      <c r="F1275" s="29" t="s">
        <v>33</v>
      </c>
      <c r="G1275" s="30" t="s">
        <v>34</v>
      </c>
      <c r="H1275" s="31">
        <v>140561.79199999999</v>
      </c>
      <c r="I1275" s="31">
        <v>3203005.7919999999</v>
      </c>
      <c r="J1275" s="32">
        <v>1.4E-3</v>
      </c>
      <c r="K1275" s="33">
        <v>45700</v>
      </c>
      <c r="L1275" s="31"/>
      <c r="M1275" s="32"/>
      <c r="N1275" s="31"/>
      <c r="O1275" s="33">
        <v>45699</v>
      </c>
      <c r="P1275" s="34">
        <v>3049583.5</v>
      </c>
      <c r="Q1275" s="34">
        <v>1590067.625</v>
      </c>
      <c r="R1275" s="34">
        <v>860542.875</v>
      </c>
      <c r="S1275" s="29"/>
      <c r="T1275" s="33"/>
      <c r="U1275" s="35" t="b">
        <v>1</v>
      </c>
      <c r="V1275" s="35" t="b">
        <v>1</v>
      </c>
      <c r="W1275" s="35" t="b">
        <v>0</v>
      </c>
      <c r="Y1275" s="31" cm="1">
        <f t="array" ref="Y1275">IF(LEFT(_xll.BDP($C1275, VOLUME_AVG_10D), 4) = "#N/A", "",  _xll.BDP($C1275, VOLUME_AVG_10D))</f>
        <v>2282031</v>
      </c>
      <c r="Z1275" s="31" cm="1">
        <f t="array" ref="Z1275">IF(LEFT(_xll.BDP($C1275, VOLUME_AVG_30D), 4) = "#N/A", "",  _xll.BDP($C1275, VOLUME_AVG_30D))</f>
        <v>3049583.5</v>
      </c>
      <c r="AA1275" s="31" cm="1">
        <f t="array" ref="AA1275">IF(LEFT(_xll.BDP($C1275, VOLUME_AVG_3M), 4) = "#N/A", "",  _xll.BDP($C1275, VOLUME_AVG_3M))</f>
        <v>1590067.625</v>
      </c>
      <c r="AB1275" s="31" cm="1">
        <f t="array" ref="AB1275">IF(LEFT(_xll.BDP($C1275, VOLUME_AVG_6M), 4) = "#N/A", "",  _xll.BDP($C1275, VOLUME_AVG_6M))</f>
        <v>860542.875</v>
      </c>
      <c r="AC1275" s="31" cm="1">
        <f t="array" ref="AC1275">IF(LEFT(_xll.BDP($C1275, VOLUME_AVG_12M), 4) = "#N/A", "",  _xll.BDP($C1275, VOLUME_AVG_12M))</f>
        <v>458146</v>
      </c>
      <c r="AD1275" s="41" cm="1">
        <f t="array" ref="AD1275">IF(LEFT(_xll.BDP($C1275, LAST_PRICE), 4) = "#N/A", "",  _xll.BDP($C1275, LAST_PRICE))</f>
        <v>1.4E-3</v>
      </c>
    </row>
    <row r="1276" spans="1:30" x14ac:dyDescent="0.35">
      <c r="A1276" s="1">
        <f t="shared" si="19"/>
        <v>1273</v>
      </c>
      <c r="B1276" s="28">
        <v>45700</v>
      </c>
      <c r="C1276" s="29" t="s">
        <v>2597</v>
      </c>
      <c r="D1276" s="29" t="s">
        <v>2597</v>
      </c>
      <c r="E1276" s="29" t="s">
        <v>2598</v>
      </c>
      <c r="F1276" s="29" t="s">
        <v>33</v>
      </c>
      <c r="G1276" s="30" t="s">
        <v>34</v>
      </c>
      <c r="H1276" s="31">
        <v>657753.55330128898</v>
      </c>
      <c r="I1276" s="31">
        <v>3775075.5533012901</v>
      </c>
      <c r="J1276" s="32">
        <v>1.7999999690800901E-3</v>
      </c>
      <c r="K1276" s="33">
        <v>45700</v>
      </c>
      <c r="L1276" s="31"/>
      <c r="M1276" s="32"/>
      <c r="N1276" s="31"/>
      <c r="O1276" s="33">
        <v>45699</v>
      </c>
      <c r="P1276" s="34">
        <v>276011.625</v>
      </c>
      <c r="Q1276" s="34">
        <v>413687.3125</v>
      </c>
      <c r="R1276" s="34">
        <v>399417.71875</v>
      </c>
      <c r="S1276" s="29"/>
      <c r="T1276" s="33"/>
      <c r="U1276" s="35" t="b">
        <v>1</v>
      </c>
      <c r="V1276" s="35" t="b">
        <v>1</v>
      </c>
      <c r="W1276" s="35" t="b">
        <v>0</v>
      </c>
      <c r="Y1276" s="31" cm="1">
        <f t="array" ref="Y1276">IF(LEFT(_xll.BDP($C1276, VOLUME_AVG_10D), 4) = "#N/A", "",  _xll.BDP($C1276, VOLUME_AVG_10D))</f>
        <v>364166.6875</v>
      </c>
      <c r="Z1276" s="31" cm="1">
        <f t="array" ref="Z1276">IF(LEFT(_xll.BDP($C1276, VOLUME_AVG_30D), 4) = "#N/A", "",  _xll.BDP($C1276, VOLUME_AVG_30D))</f>
        <v>276011.625</v>
      </c>
      <c r="AA1276" s="31" cm="1">
        <f t="array" ref="AA1276">IF(LEFT(_xll.BDP($C1276, VOLUME_AVG_3M), 4) = "#N/A", "",  _xll.BDP($C1276, VOLUME_AVG_3M))</f>
        <v>413687.3125</v>
      </c>
      <c r="AB1276" s="31" cm="1">
        <f t="array" ref="AB1276">IF(LEFT(_xll.BDP($C1276, VOLUME_AVG_6M), 4) = "#N/A", "",  _xll.BDP($C1276, VOLUME_AVG_6M))</f>
        <v>399417.71875</v>
      </c>
      <c r="AC1276" s="31" cm="1">
        <f t="array" ref="AC1276">IF(LEFT(_xll.BDP($C1276, VOLUME_AVG_12M), 4) = "#N/A", "",  _xll.BDP($C1276, VOLUME_AVG_12M))</f>
        <v>9176580</v>
      </c>
      <c r="AD1276" s="41" cm="1">
        <f t="array" ref="AD1276">IF(LEFT(_xll.BDP($C1276, LAST_PRICE), 4) = "#N/A", "",  _xll.BDP($C1276, LAST_PRICE))</f>
        <v>1.8E-3</v>
      </c>
    </row>
    <row r="1277" spans="1:30" x14ac:dyDescent="0.35">
      <c r="A1277" s="1">
        <f t="shared" si="19"/>
        <v>1274</v>
      </c>
      <c r="B1277" s="28">
        <v>45700</v>
      </c>
      <c r="C1277" s="29" t="s">
        <v>3288</v>
      </c>
      <c r="D1277" s="29" t="s">
        <v>3288</v>
      </c>
      <c r="E1277" s="29" t="s">
        <v>3289</v>
      </c>
      <c r="F1277" s="29" t="s">
        <v>40</v>
      </c>
      <c r="G1277" s="30" t="s">
        <v>41</v>
      </c>
      <c r="H1277" s="31">
        <v>1483186.6221012</v>
      </c>
      <c r="I1277" s="31">
        <v>1292593.6221012</v>
      </c>
      <c r="J1277" s="32">
        <v>0.10000000149011599</v>
      </c>
      <c r="K1277" s="33">
        <v>45700</v>
      </c>
      <c r="L1277" s="31"/>
      <c r="M1277" s="32"/>
      <c r="N1277" s="31"/>
      <c r="O1277" s="33">
        <v>45699</v>
      </c>
      <c r="P1277" s="34">
        <v>34178.42</v>
      </c>
      <c r="Q1277" s="34">
        <v>21886.39</v>
      </c>
      <c r="R1277" s="34">
        <v>15005.7</v>
      </c>
      <c r="S1277" s="29"/>
      <c r="T1277" s="33"/>
      <c r="U1277" s="35" t="b">
        <v>1</v>
      </c>
      <c r="V1277" s="35" t="b">
        <v>0</v>
      </c>
      <c r="W1277" s="35" t="b">
        <v>0</v>
      </c>
      <c r="Y1277" s="31" cm="1">
        <f t="array" ref="Y1277">IF(LEFT(_xll.BDP($C1277, VOLUME_AVG_10D), 4) = "#N/A", "",  _xll.BDP($C1277, VOLUME_AVG_10D))</f>
        <v>59937.7</v>
      </c>
      <c r="Z1277" s="31" cm="1">
        <f t="array" ref="Z1277">IF(LEFT(_xll.BDP($C1277, VOLUME_AVG_30D), 4) = "#N/A", "",  _xll.BDP($C1277, VOLUME_AVG_30D))</f>
        <v>34178.42</v>
      </c>
      <c r="AA1277" s="31" cm="1">
        <f t="array" ref="AA1277">IF(LEFT(_xll.BDP($C1277, VOLUME_AVG_3M), 4) = "#N/A", "",  _xll.BDP($C1277, VOLUME_AVG_3M))</f>
        <v>21886.39</v>
      </c>
      <c r="AB1277" s="31" cm="1">
        <f t="array" ref="AB1277">IF(LEFT(_xll.BDP($C1277, VOLUME_AVG_6M), 4) = "#N/A", "",  _xll.BDP($C1277, VOLUME_AVG_6M))</f>
        <v>15005.7</v>
      </c>
      <c r="AC1277" s="31" cm="1">
        <f t="array" ref="AC1277">IF(LEFT(_xll.BDP($C1277, VOLUME_AVG_12M), 4) = "#N/A", "",  _xll.BDP($C1277, VOLUME_AVG_12M))</f>
        <v>9646.0740000000005</v>
      </c>
      <c r="AD1277" s="41" cm="1">
        <f t="array" ref="AD1277">IF(LEFT(_xll.BDP($C1277, LAST_PRICE), 4) = "#N/A", "",  _xll.BDP($C1277, LAST_PRICE))</f>
        <v>0.1</v>
      </c>
    </row>
    <row r="1278" spans="1:30" x14ac:dyDescent="0.35">
      <c r="A1278" s="1">
        <f t="shared" si="19"/>
        <v>1275</v>
      </c>
      <c r="B1278" s="28">
        <v>45700</v>
      </c>
      <c r="C1278" s="29" t="s">
        <v>2599</v>
      </c>
      <c r="D1278" s="29" t="s">
        <v>2599</v>
      </c>
      <c r="E1278" s="29" t="s">
        <v>2600</v>
      </c>
      <c r="F1278" s="29" t="s">
        <v>40</v>
      </c>
      <c r="G1278" s="30" t="s">
        <v>41</v>
      </c>
      <c r="H1278" s="31">
        <v>14076849.909761401</v>
      </c>
      <c r="I1278" s="31">
        <v>18002179.211614199</v>
      </c>
      <c r="J1278" s="32">
        <v>5.0000000745058101E-2</v>
      </c>
      <c r="K1278" s="33">
        <v>45700</v>
      </c>
      <c r="L1278" s="31">
        <v>1063800</v>
      </c>
      <c r="M1278" s="32">
        <v>-10.7</v>
      </c>
      <c r="N1278" s="31" t="s">
        <v>35</v>
      </c>
      <c r="O1278" s="33">
        <v>45699</v>
      </c>
      <c r="P1278" s="34">
        <v>90724.57</v>
      </c>
      <c r="Q1278" s="34">
        <v>114739</v>
      </c>
      <c r="R1278" s="34">
        <v>165599.79999999999</v>
      </c>
      <c r="S1278" s="29"/>
      <c r="T1278" s="33"/>
      <c r="U1278" s="35" t="b">
        <v>1</v>
      </c>
      <c r="V1278" s="35" t="b">
        <v>1</v>
      </c>
      <c r="W1278" s="35" t="b">
        <v>0</v>
      </c>
      <c r="Y1278" s="31" cm="1">
        <f t="array" ref="Y1278">IF(LEFT(_xll.BDP($C1278, VOLUME_AVG_10D), 4) = "#N/A", "",  _xll.BDP($C1278, VOLUME_AVG_10D))</f>
        <v>95925.8</v>
      </c>
      <c r="Z1278" s="31" cm="1">
        <f t="array" ref="Z1278">IF(LEFT(_xll.BDP($C1278, VOLUME_AVG_30D), 4) = "#N/A", "",  _xll.BDP($C1278, VOLUME_AVG_30D))</f>
        <v>90724.57</v>
      </c>
      <c r="AA1278" s="31" cm="1">
        <f t="array" ref="AA1278">IF(LEFT(_xll.BDP($C1278, VOLUME_AVG_3M), 4) = "#N/A", "",  _xll.BDP($C1278, VOLUME_AVG_3M))</f>
        <v>114739</v>
      </c>
      <c r="AB1278" s="31" cm="1">
        <f t="array" ref="AB1278">IF(LEFT(_xll.BDP($C1278, VOLUME_AVG_6M), 4) = "#N/A", "",  _xll.BDP($C1278, VOLUME_AVG_6M))</f>
        <v>165599.79999999999</v>
      </c>
      <c r="AC1278" s="31" cm="1">
        <f t="array" ref="AC1278">IF(LEFT(_xll.BDP($C1278, VOLUME_AVG_12M), 4) = "#N/A", "",  _xll.BDP($C1278, VOLUME_AVG_12M))</f>
        <v>113740.1</v>
      </c>
      <c r="AD1278" s="41" cm="1">
        <f t="array" ref="AD1278">IF(LEFT(_xll.BDP($C1278, LAST_PRICE), 4) = "#N/A", "",  _xll.BDP($C1278, LAST_PRICE))</f>
        <v>0.05</v>
      </c>
    </row>
    <row r="1279" spans="1:30" x14ac:dyDescent="0.35">
      <c r="A1279" s="1">
        <f t="shared" si="19"/>
        <v>1276</v>
      </c>
      <c r="B1279" s="28">
        <v>45700</v>
      </c>
      <c r="C1279" s="29" t="s">
        <v>2601</v>
      </c>
      <c r="D1279" s="29" t="s">
        <v>2601</v>
      </c>
      <c r="E1279" s="29" t="s">
        <v>2602</v>
      </c>
      <c r="F1279" s="29" t="s">
        <v>33</v>
      </c>
      <c r="G1279" s="30" t="s">
        <v>34</v>
      </c>
      <c r="H1279" s="31">
        <v>36360576.316100001</v>
      </c>
      <c r="I1279" s="31"/>
      <c r="J1279" s="32">
        <v>2.0099</v>
      </c>
      <c r="K1279" s="33">
        <v>45700</v>
      </c>
      <c r="L1279" s="31"/>
      <c r="M1279" s="32"/>
      <c r="N1279" s="31"/>
      <c r="O1279" s="33">
        <v>45699</v>
      </c>
      <c r="P1279" s="34">
        <v>30.966667175293001</v>
      </c>
      <c r="Q1279" s="34">
        <v>23.064516067504901</v>
      </c>
      <c r="R1279" s="34">
        <v>11.365078926086399</v>
      </c>
      <c r="S1279" s="29"/>
      <c r="T1279" s="33"/>
      <c r="U1279" s="35" t="b">
        <v>0</v>
      </c>
      <c r="V1279" s="35" t="b">
        <v>0</v>
      </c>
      <c r="W1279" s="35" t="b">
        <v>1</v>
      </c>
      <c r="Y1279" s="31" cm="1">
        <f t="array" ref="Y1279">IF(LEFT(_xll.BDP($C1279, VOLUME_AVG_10D), 4) = "#N/A", "",  _xll.BDP($C1279, VOLUME_AVG_10D))</f>
        <v>0</v>
      </c>
      <c r="Z1279" s="31" cm="1">
        <f t="array" ref="Z1279">IF(LEFT(_xll.BDP($C1279, VOLUME_AVG_30D), 4) = "#N/A", "",  _xll.BDP($C1279, VOLUME_AVG_30D))</f>
        <v>30.966667175292969</v>
      </c>
      <c r="AA1279" s="31" cm="1">
        <f t="array" ref="AA1279">IF(LEFT(_xll.BDP($C1279, VOLUME_AVG_3M), 4) = "#N/A", "",  _xll.BDP($C1279, VOLUME_AVG_3M))</f>
        <v>23.064516067504883</v>
      </c>
      <c r="AB1279" s="31" cm="1">
        <f t="array" ref="AB1279">IF(LEFT(_xll.BDP($C1279, VOLUME_AVG_6M), 4) = "#N/A", "",  _xll.BDP($C1279, VOLUME_AVG_6M))</f>
        <v>11.365078926086426</v>
      </c>
      <c r="AC1279" s="31" cm="1">
        <f t="array" ref="AC1279">IF(LEFT(_xll.BDP($C1279, VOLUME_AVG_12M), 4) = "#N/A", "",  _xll.BDP($C1279, VOLUME_AVG_12M))</f>
        <v>7.5019922256469727</v>
      </c>
      <c r="AD1279" s="41" cm="1">
        <f t="array" ref="AD1279">IF(LEFT(_xll.BDP($C1279, LAST_PRICE), 4) = "#N/A", "",  _xll.BDP($C1279, LAST_PRICE))</f>
        <v>2.0099</v>
      </c>
    </row>
    <row r="1280" spans="1:30" x14ac:dyDescent="0.35">
      <c r="A1280" s="1">
        <f t="shared" si="19"/>
        <v>1277</v>
      </c>
      <c r="B1280" s="28">
        <v>45700</v>
      </c>
      <c r="C1280" s="29" t="s">
        <v>2603</v>
      </c>
      <c r="D1280" s="29" t="s">
        <v>2603</v>
      </c>
      <c r="E1280" s="29" t="s">
        <v>2604</v>
      </c>
      <c r="F1280" s="29" t="s">
        <v>33</v>
      </c>
      <c r="G1280" s="30" t="s">
        <v>34</v>
      </c>
      <c r="H1280" s="31">
        <v>23380921.721455701</v>
      </c>
      <c r="I1280" s="31">
        <v>-11776293.278544299</v>
      </c>
      <c r="J1280" s="32">
        <v>0.78100001811981201</v>
      </c>
      <c r="K1280" s="33">
        <v>45700</v>
      </c>
      <c r="L1280" s="31">
        <v>1239100</v>
      </c>
      <c r="M1280" s="32">
        <v>3.88</v>
      </c>
      <c r="N1280" s="31" t="s">
        <v>35</v>
      </c>
      <c r="O1280" s="33">
        <v>45699</v>
      </c>
      <c r="P1280" s="34">
        <v>93204.03125</v>
      </c>
      <c r="Q1280" s="34">
        <v>84626.8046875</v>
      </c>
      <c r="R1280" s="34">
        <v>83235.3125</v>
      </c>
      <c r="S1280" s="29"/>
      <c r="T1280" s="33"/>
      <c r="U1280" s="35" t="b">
        <v>0</v>
      </c>
      <c r="V1280" s="35" t="b">
        <v>0</v>
      </c>
      <c r="W1280" s="35" t="b">
        <v>1</v>
      </c>
      <c r="Y1280" s="31" cm="1">
        <f t="array" ref="Y1280">IF(LEFT(_xll.BDP($C1280, VOLUME_AVG_10D), 4) = "#N/A", "",  _xll.BDP($C1280, VOLUME_AVG_10D))</f>
        <v>47169.3984375</v>
      </c>
      <c r="Z1280" s="31" cm="1">
        <f t="array" ref="Z1280">IF(LEFT(_xll.BDP($C1280, VOLUME_AVG_30D), 4) = "#N/A", "",  _xll.BDP($C1280, VOLUME_AVG_30D))</f>
        <v>93204.03125</v>
      </c>
      <c r="AA1280" s="31" cm="1">
        <f t="array" ref="AA1280">IF(LEFT(_xll.BDP($C1280, VOLUME_AVG_3M), 4) = "#N/A", "",  _xll.BDP($C1280, VOLUME_AVG_3M))</f>
        <v>84626.8046875</v>
      </c>
      <c r="AB1280" s="31" cm="1">
        <f t="array" ref="AB1280">IF(LEFT(_xll.BDP($C1280, VOLUME_AVG_6M), 4) = "#N/A", "",  _xll.BDP($C1280, VOLUME_AVG_6M))</f>
        <v>83235.3125</v>
      </c>
      <c r="AC1280" s="31" cm="1">
        <f t="array" ref="AC1280">IF(LEFT(_xll.BDP($C1280, VOLUME_AVG_12M), 4) = "#N/A", "",  _xll.BDP($C1280, VOLUME_AVG_12M))</f>
        <v>86924.625</v>
      </c>
      <c r="AD1280" s="41" cm="1">
        <f t="array" ref="AD1280">IF(LEFT(_xll.BDP($C1280, LAST_PRICE), 4) = "#N/A", "",  _xll.BDP($C1280, LAST_PRICE))</f>
        <v>0.78100000000000003</v>
      </c>
    </row>
    <row r="1281" spans="1:30" x14ac:dyDescent="0.35">
      <c r="A1281" s="1">
        <f t="shared" si="19"/>
        <v>1278</v>
      </c>
      <c r="B1281" s="28">
        <v>45700</v>
      </c>
      <c r="C1281" s="29" t="s">
        <v>2605</v>
      </c>
      <c r="D1281" s="29" t="s">
        <v>2605</v>
      </c>
      <c r="E1281" s="29" t="s">
        <v>2606</v>
      </c>
      <c r="F1281" s="29" t="s">
        <v>33</v>
      </c>
      <c r="G1281" s="30" t="s">
        <v>34</v>
      </c>
      <c r="H1281" s="31">
        <v>983463.18</v>
      </c>
      <c r="I1281" s="31"/>
      <c r="J1281" s="32">
        <v>2.5099999999999998</v>
      </c>
      <c r="K1281" s="33">
        <v>45700</v>
      </c>
      <c r="L1281" s="31"/>
      <c r="M1281" s="32"/>
      <c r="N1281" s="31"/>
      <c r="O1281" s="33">
        <v>45699</v>
      </c>
      <c r="P1281" s="34">
        <v>849.59997558593795</v>
      </c>
      <c r="Q1281" s="34">
        <v>1110.88708496094</v>
      </c>
      <c r="R1281" s="34">
        <v>727.79364013671898</v>
      </c>
      <c r="S1281" s="29"/>
      <c r="T1281" s="33"/>
      <c r="U1281" s="35" t="b">
        <v>1</v>
      </c>
      <c r="V1281" s="35" t="b">
        <v>0</v>
      </c>
      <c r="W1281" s="35" t="b">
        <v>1</v>
      </c>
      <c r="Y1281" s="31" cm="1">
        <f t="array" ref="Y1281">IF(LEFT(_xll.BDP($C1281, VOLUME_AVG_10D), 4) = "#N/A", "",  _xll.BDP($C1281, VOLUME_AVG_10D))</f>
        <v>737</v>
      </c>
      <c r="Z1281" s="31" cm="1">
        <f t="array" ref="Z1281">IF(LEFT(_xll.BDP($C1281, VOLUME_AVG_30D), 4) = "#N/A", "",  _xll.BDP($C1281, VOLUME_AVG_30D))</f>
        <v>849.5999755859375</v>
      </c>
      <c r="AA1281" s="31" cm="1">
        <f t="array" ref="AA1281">IF(LEFT(_xll.BDP($C1281, VOLUME_AVG_3M), 4) = "#N/A", "",  _xll.BDP($C1281, VOLUME_AVG_3M))</f>
        <v>1110.8870849609375</v>
      </c>
      <c r="AB1281" s="31" cm="1">
        <f t="array" ref="AB1281">IF(LEFT(_xll.BDP($C1281, VOLUME_AVG_6M), 4) = "#N/A", "",  _xll.BDP($C1281, VOLUME_AVG_6M))</f>
        <v>727.79364013671875</v>
      </c>
      <c r="AC1281" s="31" cm="1">
        <f t="array" ref="AC1281">IF(LEFT(_xll.BDP($C1281, VOLUME_AVG_12M), 4) = "#N/A", "",  _xll.BDP($C1281, VOLUME_AVG_12M))</f>
        <v>517.73309326171875</v>
      </c>
      <c r="AD1281" s="41" cm="1">
        <f t="array" ref="AD1281">IF(LEFT(_xll.BDP($C1281, LAST_PRICE), 4) = "#N/A", "",  _xll.BDP($C1281, LAST_PRICE))</f>
        <v>2.5099999999999998</v>
      </c>
    </row>
    <row r="1282" spans="1:30" x14ac:dyDescent="0.35">
      <c r="A1282" s="1">
        <f t="shared" si="19"/>
        <v>1279</v>
      </c>
      <c r="B1282" s="28">
        <v>45700</v>
      </c>
      <c r="C1282" s="29" t="s">
        <v>2607</v>
      </c>
      <c r="D1282" s="29" t="s">
        <v>2607</v>
      </c>
      <c r="E1282" s="29" t="s">
        <v>2608</v>
      </c>
      <c r="F1282" s="29" t="s">
        <v>33</v>
      </c>
      <c r="G1282" s="30" t="s">
        <v>34</v>
      </c>
      <c r="H1282" s="31"/>
      <c r="I1282" s="31"/>
      <c r="J1282" s="32">
        <v>9.9999999747524292E-7</v>
      </c>
      <c r="K1282" s="33">
        <v>45700</v>
      </c>
      <c r="L1282" s="31"/>
      <c r="M1282" s="32"/>
      <c r="N1282" s="31"/>
      <c r="O1282" s="33">
        <v>45699</v>
      </c>
      <c r="P1282" s="34">
        <v>557208.9375</v>
      </c>
      <c r="Q1282" s="34">
        <v>405348.9375</v>
      </c>
      <c r="R1282" s="34">
        <v>220856.25</v>
      </c>
      <c r="S1282" s="29"/>
      <c r="T1282" s="33"/>
      <c r="U1282" s="35" t="b">
        <v>1</v>
      </c>
      <c r="V1282" s="35" t="b">
        <v>1</v>
      </c>
      <c r="W1282" s="35" t="b">
        <v>1</v>
      </c>
      <c r="Y1282" s="31" cm="1">
        <f t="array" ref="Y1282">IF(LEFT(_xll.BDP($C1282, VOLUME_AVG_10D), 4) = "#N/A", "",  _xll.BDP($C1282, VOLUME_AVG_10D))</f>
        <v>101250</v>
      </c>
      <c r="Z1282" s="31" cm="1">
        <f t="array" ref="Z1282">IF(LEFT(_xll.BDP($C1282, VOLUME_AVG_30D), 4) = "#N/A", "",  _xll.BDP($C1282, VOLUME_AVG_30D))</f>
        <v>557208.9375</v>
      </c>
      <c r="AA1282" s="31" cm="1">
        <f t="array" ref="AA1282">IF(LEFT(_xll.BDP($C1282, VOLUME_AVG_3M), 4) = "#N/A", "",  _xll.BDP($C1282, VOLUME_AVG_3M))</f>
        <v>405348.9375</v>
      </c>
      <c r="AB1282" s="31" cm="1">
        <f t="array" ref="AB1282">IF(LEFT(_xll.BDP($C1282, VOLUME_AVG_6M), 4) = "#N/A", "",  _xll.BDP($C1282, VOLUME_AVG_6M))</f>
        <v>220856.25</v>
      </c>
      <c r="AC1282" s="31" cm="1">
        <f t="array" ref="AC1282">IF(LEFT(_xll.BDP($C1282, VOLUME_AVG_12M), 4) = "#N/A", "",  _xll.BDP($C1282, VOLUME_AVG_12M))</f>
        <v>302857.53125</v>
      </c>
      <c r="AD1282" s="41" cm="1">
        <f t="array" ref="AD1282">IF(LEFT(_xll.BDP($C1282, LAST_PRICE), 4) = "#N/A", "",  _xll.BDP($C1282, LAST_PRICE))</f>
        <v>9.9999999999999995E-7</v>
      </c>
    </row>
    <row r="1283" spans="1:30" x14ac:dyDescent="0.35">
      <c r="A1283" s="1">
        <f t="shared" si="19"/>
        <v>1280</v>
      </c>
      <c r="B1283" s="28">
        <v>45700</v>
      </c>
      <c r="C1283" s="29" t="s">
        <v>2609</v>
      </c>
      <c r="D1283" s="29" t="s">
        <v>2609</v>
      </c>
      <c r="E1283" s="29" t="s">
        <v>2610</v>
      </c>
      <c r="F1283" s="29" t="s">
        <v>33</v>
      </c>
      <c r="G1283" s="30" t="s">
        <v>34</v>
      </c>
      <c r="H1283" s="31">
        <v>2219693.984375</v>
      </c>
      <c r="I1283" s="31">
        <v>1682672.984375</v>
      </c>
      <c r="J1283" s="32">
        <v>4.25</v>
      </c>
      <c r="K1283" s="33">
        <v>45700</v>
      </c>
      <c r="L1283" s="31">
        <v>18300</v>
      </c>
      <c r="M1283" s="32">
        <v>-91.05</v>
      </c>
      <c r="N1283" s="31" t="s">
        <v>35</v>
      </c>
      <c r="O1283" s="33">
        <v>45699</v>
      </c>
      <c r="P1283" s="34">
        <v>369935.125</v>
      </c>
      <c r="Q1283" s="34">
        <v>244880.078125</v>
      </c>
      <c r="R1283" s="34">
        <v>173345.4375</v>
      </c>
      <c r="S1283" s="29"/>
      <c r="T1283" s="33"/>
      <c r="U1283" s="35" t="b">
        <v>1</v>
      </c>
      <c r="V1283" s="35" t="b">
        <v>0</v>
      </c>
      <c r="W1283" s="35" t="b">
        <v>0</v>
      </c>
      <c r="Y1283" s="31" cm="1">
        <f t="array" ref="Y1283">IF(LEFT(_xll.BDP($C1283, VOLUME_AVG_10D), 4) = "#N/A", "",  _xll.BDP($C1283, VOLUME_AVG_10D))</f>
        <v>221852.796875</v>
      </c>
      <c r="Z1283" s="31" cm="1">
        <f t="array" ref="Z1283">IF(LEFT(_xll.BDP($C1283, VOLUME_AVG_30D), 4) = "#N/A", "",  _xll.BDP($C1283, VOLUME_AVG_30D))</f>
        <v>369935.125</v>
      </c>
      <c r="AA1283" s="31" cm="1">
        <f t="array" ref="AA1283">IF(LEFT(_xll.BDP($C1283, VOLUME_AVG_3M), 4) = "#N/A", "",  _xll.BDP($C1283, VOLUME_AVG_3M))</f>
        <v>244880.078125</v>
      </c>
      <c r="AB1283" s="31" cm="1">
        <f t="array" ref="AB1283">IF(LEFT(_xll.BDP($C1283, VOLUME_AVG_6M), 4) = "#N/A", "",  _xll.BDP($C1283, VOLUME_AVG_6M))</f>
        <v>173345.4375</v>
      </c>
      <c r="AC1283" s="31" cm="1">
        <f t="array" ref="AC1283">IF(LEFT(_xll.BDP($C1283, VOLUME_AVG_12M), 4) = "#N/A", "",  _xll.BDP($C1283, VOLUME_AVG_12M))</f>
        <v>99898.3828125</v>
      </c>
      <c r="AD1283" s="41" cm="1">
        <f t="array" ref="AD1283">IF(LEFT(_xll.BDP($C1283, LAST_PRICE), 4) = "#N/A", "",  _xll.BDP($C1283, LAST_PRICE))</f>
        <v>4.25</v>
      </c>
    </row>
    <row r="1284" spans="1:30" x14ac:dyDescent="0.35">
      <c r="A1284" s="1">
        <f t="shared" si="19"/>
        <v>1281</v>
      </c>
      <c r="B1284" s="28">
        <v>45700</v>
      </c>
      <c r="C1284" s="29" t="s">
        <v>2611</v>
      </c>
      <c r="D1284" s="29" t="s">
        <v>2611</v>
      </c>
      <c r="E1284" s="29" t="s">
        <v>2612</v>
      </c>
      <c r="F1284" s="29" t="s">
        <v>33</v>
      </c>
      <c r="G1284" s="30" t="s">
        <v>34</v>
      </c>
      <c r="H1284" s="31">
        <v>87103102.352106899</v>
      </c>
      <c r="I1284" s="31">
        <v>81627285.352106899</v>
      </c>
      <c r="J1284" s="32">
        <v>1.87000000476837</v>
      </c>
      <c r="K1284" s="33">
        <v>45700</v>
      </c>
      <c r="L1284" s="31">
        <v>1554700</v>
      </c>
      <c r="M1284" s="32">
        <v>-37.700000000000003</v>
      </c>
      <c r="N1284" s="31" t="s">
        <v>35</v>
      </c>
      <c r="O1284" s="33">
        <v>45699</v>
      </c>
      <c r="P1284" s="34">
        <v>2151077.75</v>
      </c>
      <c r="Q1284" s="34">
        <v>2907314.5</v>
      </c>
      <c r="R1284" s="34">
        <v>1676446.5</v>
      </c>
      <c r="S1284" s="29"/>
      <c r="T1284" s="33"/>
      <c r="U1284" s="35" t="b">
        <v>0</v>
      </c>
      <c r="V1284" s="35" t="b">
        <v>0</v>
      </c>
      <c r="W1284" s="35" t="b">
        <v>0</v>
      </c>
      <c r="Y1284" s="31" cm="1">
        <f t="array" ref="Y1284">IF(LEFT(_xll.BDP($C1284, VOLUME_AVG_10D), 4) = "#N/A", "",  _xll.BDP($C1284, VOLUME_AVG_10D))</f>
        <v>1229217.75</v>
      </c>
      <c r="Z1284" s="31" cm="1">
        <f t="array" ref="Z1284">IF(LEFT(_xll.BDP($C1284, VOLUME_AVG_30D), 4) = "#N/A", "",  _xll.BDP($C1284, VOLUME_AVG_30D))</f>
        <v>2151077.75</v>
      </c>
      <c r="AA1284" s="31" cm="1">
        <f t="array" ref="AA1284">IF(LEFT(_xll.BDP($C1284, VOLUME_AVG_3M), 4) = "#N/A", "",  _xll.BDP($C1284, VOLUME_AVG_3M))</f>
        <v>2907314.5</v>
      </c>
      <c r="AB1284" s="31" cm="1">
        <f t="array" ref="AB1284">IF(LEFT(_xll.BDP($C1284, VOLUME_AVG_6M), 4) = "#N/A", "",  _xll.BDP($C1284, VOLUME_AVG_6M))</f>
        <v>1676446.5</v>
      </c>
      <c r="AC1284" s="31" cm="1">
        <f t="array" ref="AC1284">IF(LEFT(_xll.BDP($C1284, VOLUME_AVG_12M), 4) = "#N/A", "",  _xll.BDP($C1284, VOLUME_AVG_12M))</f>
        <v>984209.625</v>
      </c>
      <c r="AD1284" s="41" cm="1">
        <f t="array" ref="AD1284">IF(LEFT(_xll.BDP($C1284, LAST_PRICE), 4) = "#N/A", "",  _xll.BDP($C1284, LAST_PRICE))</f>
        <v>1.87</v>
      </c>
    </row>
    <row r="1285" spans="1:30" x14ac:dyDescent="0.35">
      <c r="A1285" s="1">
        <f t="shared" si="19"/>
        <v>1282</v>
      </c>
      <c r="B1285" s="28">
        <v>45700</v>
      </c>
      <c r="C1285" s="29" t="s">
        <v>2613</v>
      </c>
      <c r="D1285" s="29" t="s">
        <v>2613</v>
      </c>
      <c r="E1285" s="29" t="s">
        <v>2614</v>
      </c>
      <c r="F1285" s="29" t="s">
        <v>40</v>
      </c>
      <c r="G1285" s="30" t="s">
        <v>41</v>
      </c>
      <c r="H1285" s="31">
        <v>4185642.5964435898</v>
      </c>
      <c r="I1285" s="31">
        <v>3912646.5964435898</v>
      </c>
      <c r="J1285" s="32">
        <v>9.9999997764825804E-3</v>
      </c>
      <c r="K1285" s="33">
        <v>45700</v>
      </c>
      <c r="L1285" s="31"/>
      <c r="M1285" s="32"/>
      <c r="N1285" s="31"/>
      <c r="O1285" s="33">
        <v>45699</v>
      </c>
      <c r="P1285" s="34">
        <v>519843.5</v>
      </c>
      <c r="Q1285" s="34">
        <v>629988.4</v>
      </c>
      <c r="R1285" s="34">
        <v>689144.9</v>
      </c>
      <c r="S1285" s="29"/>
      <c r="T1285" s="33"/>
      <c r="U1285" s="35" t="b">
        <v>1</v>
      </c>
      <c r="V1285" s="35" t="b">
        <v>1</v>
      </c>
      <c r="W1285" s="35" t="b">
        <v>0</v>
      </c>
      <c r="Y1285" s="31" cm="1">
        <f t="array" ref="Y1285">IF(LEFT(_xll.BDP($C1285, VOLUME_AVG_10D), 4) = "#N/A", "",  _xll.BDP($C1285, VOLUME_AVG_10D))</f>
        <v>605443.4</v>
      </c>
      <c r="Z1285" s="31" cm="1">
        <f t="array" ref="Z1285">IF(LEFT(_xll.BDP($C1285, VOLUME_AVG_30D), 4) = "#N/A", "",  _xll.BDP($C1285, VOLUME_AVG_30D))</f>
        <v>519843.5</v>
      </c>
      <c r="AA1285" s="31" cm="1">
        <f t="array" ref="AA1285">IF(LEFT(_xll.BDP($C1285, VOLUME_AVG_3M), 4) = "#N/A", "",  _xll.BDP($C1285, VOLUME_AVG_3M))</f>
        <v>629988.4</v>
      </c>
      <c r="AB1285" s="31" cm="1">
        <f t="array" ref="AB1285">IF(LEFT(_xll.BDP($C1285, VOLUME_AVG_6M), 4) = "#N/A", "",  _xll.BDP($C1285, VOLUME_AVG_6M))</f>
        <v>689144.9</v>
      </c>
      <c r="AC1285" s="31" cm="1">
        <f t="array" ref="AC1285">IF(LEFT(_xll.BDP($C1285, VOLUME_AVG_12M), 4) = "#N/A", "",  _xll.BDP($C1285, VOLUME_AVG_12M))</f>
        <v>604557.19999999995</v>
      </c>
      <c r="AD1285" s="41" cm="1">
        <f t="array" ref="AD1285">IF(LEFT(_xll.BDP($C1285, LAST_PRICE), 4) = "#N/A", "",  _xll.BDP($C1285, LAST_PRICE))</f>
        <v>0.01</v>
      </c>
    </row>
    <row r="1286" spans="1:30" x14ac:dyDescent="0.35">
      <c r="A1286" s="1">
        <f t="shared" ref="A1286:A1349" si="20">IF(B1286="","", A1285+1)</f>
        <v>1283</v>
      </c>
      <c r="B1286" s="28">
        <v>45700</v>
      </c>
      <c r="C1286" s="29" t="s">
        <v>2615</v>
      </c>
      <c r="D1286" s="29" t="s">
        <v>2615</v>
      </c>
      <c r="E1286" s="29" t="s">
        <v>3293</v>
      </c>
      <c r="F1286" s="29" t="s">
        <v>33</v>
      </c>
      <c r="G1286" s="30" t="s">
        <v>34</v>
      </c>
      <c r="H1286" s="31">
        <v>7741625808</v>
      </c>
      <c r="I1286" s="31">
        <v>6278850808</v>
      </c>
      <c r="J1286" s="32">
        <v>42</v>
      </c>
      <c r="K1286" s="33">
        <v>45700</v>
      </c>
      <c r="L1286" s="31">
        <v>54347000</v>
      </c>
      <c r="M1286" s="32">
        <v>3.88</v>
      </c>
      <c r="N1286" s="31" t="s">
        <v>35</v>
      </c>
      <c r="O1286" s="33">
        <v>45699</v>
      </c>
      <c r="P1286" s="34">
        <v>1324422.625</v>
      </c>
      <c r="Q1286" s="34">
        <v>1550971.5</v>
      </c>
      <c r="R1286" s="34">
        <v>1339116.125</v>
      </c>
      <c r="S1286" s="29" t="s">
        <v>46</v>
      </c>
      <c r="T1286" s="33">
        <v>45446</v>
      </c>
      <c r="U1286" s="35" t="b">
        <v>0</v>
      </c>
      <c r="V1286" s="35" t="b">
        <v>0</v>
      </c>
      <c r="W1286" s="35" t="b">
        <v>0</v>
      </c>
      <c r="Y1286" s="31" cm="1">
        <f t="array" ref="Y1286">IF(LEFT(_xll.BDP($C1286, VOLUME_AVG_10D), 4) = "#N/A", "",  _xll.BDP($C1286, VOLUME_AVG_10D))</f>
        <v>1172334.75</v>
      </c>
      <c r="Z1286" s="31" cm="1">
        <f t="array" ref="Z1286">IF(LEFT(_xll.BDP($C1286, VOLUME_AVG_30D), 4) = "#N/A", "",  _xll.BDP($C1286, VOLUME_AVG_30D))</f>
        <v>1324422.625</v>
      </c>
      <c r="AA1286" s="31" cm="1">
        <f t="array" ref="AA1286">IF(LEFT(_xll.BDP($C1286, VOLUME_AVG_3M), 4) = "#N/A", "",  _xll.BDP($C1286, VOLUME_AVG_3M))</f>
        <v>1550971.5</v>
      </c>
      <c r="AB1286" s="31" cm="1">
        <f t="array" ref="AB1286">IF(LEFT(_xll.BDP($C1286, VOLUME_AVG_6M), 4) = "#N/A", "",  _xll.BDP($C1286, VOLUME_AVG_6M))</f>
        <v>1339116.125</v>
      </c>
      <c r="AC1286" s="31" cm="1">
        <f t="array" ref="AC1286">IF(LEFT(_xll.BDP($C1286, VOLUME_AVG_12M), 4) = "#N/A", "",  _xll.BDP($C1286, VOLUME_AVG_12M))</f>
        <v>1422266.125</v>
      </c>
      <c r="AD1286" s="41" cm="1">
        <f t="array" ref="AD1286">IF(LEFT(_xll.BDP($C1286, LAST_PRICE), 4) = "#N/A", "",  _xll.BDP($C1286, LAST_PRICE))</f>
        <v>42</v>
      </c>
    </row>
    <row r="1287" spans="1:30" x14ac:dyDescent="0.35">
      <c r="A1287" s="1">
        <f t="shared" si="20"/>
        <v>1284</v>
      </c>
      <c r="B1287" s="28">
        <v>45700</v>
      </c>
      <c r="C1287" s="29" t="s">
        <v>2616</v>
      </c>
      <c r="D1287" s="29" t="s">
        <v>2616</v>
      </c>
      <c r="E1287" s="29" t="s">
        <v>2617</v>
      </c>
      <c r="F1287" s="29" t="s">
        <v>33</v>
      </c>
      <c r="G1287" s="30" t="s">
        <v>34</v>
      </c>
      <c r="H1287" s="31">
        <v>13541797265.604</v>
      </c>
      <c r="I1287" s="31">
        <v>15680624265.604</v>
      </c>
      <c r="J1287" s="32">
        <v>111.26999664306599</v>
      </c>
      <c r="K1287" s="33">
        <v>45700</v>
      </c>
      <c r="L1287" s="31">
        <v>36388600</v>
      </c>
      <c r="M1287" s="32">
        <v>3.88</v>
      </c>
      <c r="N1287" s="31" t="s">
        <v>35</v>
      </c>
      <c r="O1287" s="33">
        <v>45699</v>
      </c>
      <c r="P1287" s="34">
        <v>875561.0625</v>
      </c>
      <c r="Q1287" s="34">
        <v>908674.3125</v>
      </c>
      <c r="R1287" s="34">
        <v>806815.6875</v>
      </c>
      <c r="S1287" s="29"/>
      <c r="T1287" s="33"/>
      <c r="U1287" s="35" t="b">
        <v>0</v>
      </c>
      <c r="V1287" s="35" t="b">
        <v>0</v>
      </c>
      <c r="W1287" s="35" t="b">
        <v>0</v>
      </c>
      <c r="Y1287" s="31" cm="1">
        <f t="array" ref="Y1287">IF(LEFT(_xll.BDP($C1287, VOLUME_AVG_10D), 4) = "#N/A", "",  _xll.BDP($C1287, VOLUME_AVG_10D))</f>
        <v>1068621.25</v>
      </c>
      <c r="Z1287" s="31" cm="1">
        <f t="array" ref="Z1287">IF(LEFT(_xll.BDP($C1287, VOLUME_AVG_30D), 4) = "#N/A", "",  _xll.BDP($C1287, VOLUME_AVG_30D))</f>
        <v>875561.0625</v>
      </c>
      <c r="AA1287" s="31" cm="1">
        <f t="array" ref="AA1287">IF(LEFT(_xll.BDP($C1287, VOLUME_AVG_3M), 4) = "#N/A", "",  _xll.BDP($C1287, VOLUME_AVG_3M))</f>
        <v>908674.3125</v>
      </c>
      <c r="AB1287" s="31" cm="1">
        <f t="array" ref="AB1287">IF(LEFT(_xll.BDP($C1287, VOLUME_AVG_6M), 4) = "#N/A", "",  _xll.BDP($C1287, VOLUME_AVG_6M))</f>
        <v>806815.6875</v>
      </c>
      <c r="AC1287" s="31" cm="1">
        <f t="array" ref="AC1287">IF(LEFT(_xll.BDP($C1287, VOLUME_AVG_12M), 4) = "#N/A", "",  _xll.BDP($C1287, VOLUME_AVG_12M))</f>
        <v>844802.4375</v>
      </c>
      <c r="AD1287" s="41" cm="1">
        <f t="array" ref="AD1287">IF(LEFT(_xll.BDP($C1287, LAST_PRICE), 4) = "#N/A", "",  _xll.BDP($C1287, LAST_PRICE))</f>
        <v>111.27</v>
      </c>
    </row>
    <row r="1288" spans="1:30" x14ac:dyDescent="0.35">
      <c r="A1288" s="1">
        <f t="shared" si="20"/>
        <v>1285</v>
      </c>
      <c r="B1288" s="28">
        <v>45700</v>
      </c>
      <c r="C1288" s="29" t="s">
        <v>2618</v>
      </c>
      <c r="D1288" s="29" t="s">
        <v>2618</v>
      </c>
      <c r="E1288" s="29" t="s">
        <v>2619</v>
      </c>
      <c r="F1288" s="29" t="s">
        <v>33</v>
      </c>
      <c r="G1288" s="30" t="s">
        <v>34</v>
      </c>
      <c r="H1288" s="31">
        <v>281603308.496234</v>
      </c>
      <c r="I1288" s="31">
        <v>156957308.496234</v>
      </c>
      <c r="J1288" s="32">
        <v>4.8600001335143999</v>
      </c>
      <c r="K1288" s="33">
        <v>45700</v>
      </c>
      <c r="L1288" s="31">
        <v>7505500</v>
      </c>
      <c r="M1288" s="32">
        <v>3.88</v>
      </c>
      <c r="N1288" s="31" t="s">
        <v>35</v>
      </c>
      <c r="O1288" s="33">
        <v>45699</v>
      </c>
      <c r="P1288" s="34">
        <v>539849.1875</v>
      </c>
      <c r="Q1288" s="34">
        <v>458855.40625</v>
      </c>
      <c r="R1288" s="34">
        <v>415873.03125</v>
      </c>
      <c r="S1288" s="29" t="s">
        <v>177</v>
      </c>
      <c r="T1288" s="33">
        <v>45446</v>
      </c>
      <c r="U1288" s="35" t="b">
        <v>0</v>
      </c>
      <c r="V1288" s="35" t="b">
        <v>0</v>
      </c>
      <c r="W1288" s="35" t="b">
        <v>0</v>
      </c>
      <c r="Y1288" s="31" cm="1">
        <f t="array" ref="Y1288">IF(LEFT(_xll.BDP($C1288, VOLUME_AVG_10D), 4) = "#N/A", "",  _xll.BDP($C1288, VOLUME_AVG_10D))</f>
        <v>421977.09375</v>
      </c>
      <c r="Z1288" s="31" cm="1">
        <f t="array" ref="Z1288">IF(LEFT(_xll.BDP($C1288, VOLUME_AVG_30D), 4) = "#N/A", "",  _xll.BDP($C1288, VOLUME_AVG_30D))</f>
        <v>539849.1875</v>
      </c>
      <c r="AA1288" s="31" cm="1">
        <f t="array" ref="AA1288">IF(LEFT(_xll.BDP($C1288, VOLUME_AVG_3M), 4) = "#N/A", "",  _xll.BDP($C1288, VOLUME_AVG_3M))</f>
        <v>458855.40625</v>
      </c>
      <c r="AB1288" s="31" cm="1">
        <f t="array" ref="AB1288">IF(LEFT(_xll.BDP($C1288, VOLUME_AVG_6M), 4) = "#N/A", "",  _xll.BDP($C1288, VOLUME_AVG_6M))</f>
        <v>415873.03125</v>
      </c>
      <c r="AC1288" s="31" cm="1">
        <f t="array" ref="AC1288">IF(LEFT(_xll.BDP($C1288, VOLUME_AVG_12M), 4) = "#N/A", "",  _xll.BDP($C1288, VOLUME_AVG_12M))</f>
        <v>462757.65625</v>
      </c>
      <c r="AD1288" s="41" cm="1">
        <f t="array" ref="AD1288">IF(LEFT(_xll.BDP($C1288, LAST_PRICE), 4) = "#N/A", "",  _xll.BDP($C1288, LAST_PRICE))</f>
        <v>4.8600000000000003</v>
      </c>
    </row>
    <row r="1289" spans="1:30" x14ac:dyDescent="0.35">
      <c r="A1289" s="1">
        <f t="shared" si="20"/>
        <v>1286</v>
      </c>
      <c r="B1289" s="28">
        <v>45700</v>
      </c>
      <c r="C1289" s="29" t="s">
        <v>2620</v>
      </c>
      <c r="D1289" s="29" t="s">
        <v>2620</v>
      </c>
      <c r="E1289" s="29" t="s">
        <v>2621</v>
      </c>
      <c r="F1289" s="29" t="s">
        <v>33</v>
      </c>
      <c r="G1289" s="30" t="s">
        <v>34</v>
      </c>
      <c r="H1289" s="31">
        <v>3542385419.64958</v>
      </c>
      <c r="I1289" s="31">
        <v>3398025419.64958</v>
      </c>
      <c r="J1289" s="32">
        <v>57.639999389648402</v>
      </c>
      <c r="K1289" s="33">
        <v>45700</v>
      </c>
      <c r="L1289" s="31">
        <v>14211900</v>
      </c>
      <c r="M1289" s="32">
        <v>3.88</v>
      </c>
      <c r="N1289" s="31" t="s">
        <v>35</v>
      </c>
      <c r="O1289" s="33">
        <v>45699</v>
      </c>
      <c r="P1289" s="34">
        <v>483879.71875</v>
      </c>
      <c r="Q1289" s="34">
        <v>531829</v>
      </c>
      <c r="R1289" s="34">
        <v>488723.375</v>
      </c>
      <c r="S1289" s="29" t="s">
        <v>195</v>
      </c>
      <c r="T1289" s="33">
        <v>45446</v>
      </c>
      <c r="U1289" s="35" t="b">
        <v>0</v>
      </c>
      <c r="V1289" s="35" t="b">
        <v>0</v>
      </c>
      <c r="W1289" s="35" t="b">
        <v>0</v>
      </c>
      <c r="Y1289" s="31" cm="1">
        <f t="array" ref="Y1289">IF(LEFT(_xll.BDP($C1289, VOLUME_AVG_10D), 4) = "#N/A", "",  _xll.BDP($C1289, VOLUME_AVG_10D))</f>
        <v>412904.59375</v>
      </c>
      <c r="Z1289" s="31" cm="1">
        <f t="array" ref="Z1289">IF(LEFT(_xll.BDP($C1289, VOLUME_AVG_30D), 4) = "#N/A", "",  _xll.BDP($C1289, VOLUME_AVG_30D))</f>
        <v>483879.71875</v>
      </c>
      <c r="AA1289" s="31" cm="1">
        <f t="array" ref="AA1289">IF(LEFT(_xll.BDP($C1289, VOLUME_AVG_3M), 4) = "#N/A", "",  _xll.BDP($C1289, VOLUME_AVG_3M))</f>
        <v>531829</v>
      </c>
      <c r="AB1289" s="31" cm="1">
        <f t="array" ref="AB1289">IF(LEFT(_xll.BDP($C1289, VOLUME_AVG_6M), 4) = "#N/A", "",  _xll.BDP($C1289, VOLUME_AVG_6M))</f>
        <v>488723.375</v>
      </c>
      <c r="AC1289" s="31" cm="1">
        <f t="array" ref="AC1289">IF(LEFT(_xll.BDP($C1289, VOLUME_AVG_12M), 4) = "#N/A", "",  _xll.BDP($C1289, VOLUME_AVG_12M))</f>
        <v>519255</v>
      </c>
      <c r="AD1289" s="41" cm="1">
        <f t="array" ref="AD1289">IF(LEFT(_xll.BDP($C1289, LAST_PRICE), 4) = "#N/A", "",  _xll.BDP($C1289, LAST_PRICE))</f>
        <v>57.64</v>
      </c>
    </row>
    <row r="1290" spans="1:30" x14ac:dyDescent="0.35">
      <c r="A1290" s="1">
        <f t="shared" si="20"/>
        <v>1287</v>
      </c>
      <c r="B1290" s="28">
        <v>45700</v>
      </c>
      <c r="C1290" s="29" t="s">
        <v>2622</v>
      </c>
      <c r="D1290" s="29" t="s">
        <v>2622</v>
      </c>
      <c r="E1290" s="29" t="s">
        <v>2623</v>
      </c>
      <c r="F1290" s="29" t="s">
        <v>33</v>
      </c>
      <c r="G1290" s="30" t="s">
        <v>34</v>
      </c>
      <c r="H1290" s="31"/>
      <c r="I1290" s="31"/>
      <c r="J1290" s="32">
        <v>0.499</v>
      </c>
      <c r="K1290" s="33">
        <v>45700</v>
      </c>
      <c r="L1290" s="31"/>
      <c r="M1290" s="32"/>
      <c r="N1290" s="31"/>
      <c r="O1290" s="33">
        <v>45699</v>
      </c>
      <c r="P1290" s="34">
        <v>104.56666564941401</v>
      </c>
      <c r="Q1290" s="34">
        <v>156.33871459960901</v>
      </c>
      <c r="R1290" s="34">
        <v>492.44445800781301</v>
      </c>
      <c r="S1290" s="29"/>
      <c r="T1290" s="33"/>
      <c r="U1290" s="35" t="b">
        <v>1</v>
      </c>
      <c r="V1290" s="35" t="b">
        <v>0</v>
      </c>
      <c r="W1290" s="35" t="b">
        <v>1</v>
      </c>
      <c r="Y1290" s="31" cm="1">
        <f t="array" ref="Y1290">IF(LEFT(_xll.BDP($C1290, VOLUME_AVG_10D), 4) = "#N/A", "",  _xll.BDP($C1290, VOLUME_AVG_10D))</f>
        <v>223.5</v>
      </c>
      <c r="Z1290" s="31" cm="1">
        <f t="array" ref="Z1290">IF(LEFT(_xll.BDP($C1290, VOLUME_AVG_30D), 4) = "#N/A", "",  _xll.BDP($C1290, VOLUME_AVG_30D))</f>
        <v>104.56666564941406</v>
      </c>
      <c r="AA1290" s="31" cm="1">
        <f t="array" ref="AA1290">IF(LEFT(_xll.BDP($C1290, VOLUME_AVG_3M), 4) = "#N/A", "",  _xll.BDP($C1290, VOLUME_AVG_3M))</f>
        <v>156.33871459960938</v>
      </c>
      <c r="AB1290" s="31" cm="1">
        <f t="array" ref="AB1290">IF(LEFT(_xll.BDP($C1290, VOLUME_AVG_6M), 4) = "#N/A", "",  _xll.BDP($C1290, VOLUME_AVG_6M))</f>
        <v>492.4444580078125</v>
      </c>
      <c r="AC1290" s="31" cm="1">
        <f t="array" ref="AC1290">IF(LEFT(_xll.BDP($C1290, VOLUME_AVG_12M), 4) = "#N/A", "",  _xll.BDP($C1290, VOLUME_AVG_12M))</f>
        <v>679.80877685546875</v>
      </c>
      <c r="AD1290" s="41" cm="1">
        <f t="array" ref="AD1290">IF(LEFT(_xll.BDP($C1290, LAST_PRICE), 4) = "#N/A", "",  _xll.BDP($C1290, LAST_PRICE))</f>
        <v>0.499</v>
      </c>
    </row>
    <row r="1291" spans="1:30" x14ac:dyDescent="0.35">
      <c r="A1291" s="1">
        <f t="shared" si="20"/>
        <v>1288</v>
      </c>
      <c r="B1291" s="28">
        <v>45700</v>
      </c>
      <c r="C1291" s="29" t="s">
        <v>2624</v>
      </c>
      <c r="D1291" s="29" t="s">
        <v>2624</v>
      </c>
      <c r="E1291" s="29" t="s">
        <v>2625</v>
      </c>
      <c r="F1291" s="29" t="s">
        <v>33</v>
      </c>
      <c r="G1291" s="30" t="s">
        <v>34</v>
      </c>
      <c r="H1291" s="31">
        <v>366745127.42431599</v>
      </c>
      <c r="I1291" s="31">
        <v>306097127.42431599</v>
      </c>
      <c r="J1291" s="32">
        <v>20.819999694824201</v>
      </c>
      <c r="K1291" s="33">
        <v>45700</v>
      </c>
      <c r="L1291" s="31">
        <v>4220500</v>
      </c>
      <c r="M1291" s="32">
        <v>3.88</v>
      </c>
      <c r="N1291" s="31" t="s">
        <v>35</v>
      </c>
      <c r="O1291" s="33">
        <v>45699</v>
      </c>
      <c r="P1291" s="34">
        <v>320103.84375</v>
      </c>
      <c r="Q1291" s="34">
        <v>289297.53125</v>
      </c>
      <c r="R1291" s="34">
        <v>224086.046875</v>
      </c>
      <c r="S1291" s="29" t="s">
        <v>73</v>
      </c>
      <c r="T1291" s="33">
        <v>45446</v>
      </c>
      <c r="U1291" s="35" t="b">
        <v>0</v>
      </c>
      <c r="V1291" s="35" t="b">
        <v>0</v>
      </c>
      <c r="W1291" s="35" t="b">
        <v>0</v>
      </c>
      <c r="Y1291" s="31" cm="1">
        <f t="array" ref="Y1291">IF(LEFT(_xll.BDP($C1291, VOLUME_AVG_10D), 4) = "#N/A", "",  _xll.BDP($C1291, VOLUME_AVG_10D))</f>
        <v>302086.6875</v>
      </c>
      <c r="Z1291" s="31" cm="1">
        <f t="array" ref="Z1291">IF(LEFT(_xll.BDP($C1291, VOLUME_AVG_30D), 4) = "#N/A", "",  _xll.BDP($C1291, VOLUME_AVG_30D))</f>
        <v>320103.84375</v>
      </c>
      <c r="AA1291" s="31" cm="1">
        <f t="array" ref="AA1291">IF(LEFT(_xll.BDP($C1291, VOLUME_AVG_3M), 4) = "#N/A", "",  _xll.BDP($C1291, VOLUME_AVG_3M))</f>
        <v>289297.53125</v>
      </c>
      <c r="AB1291" s="31" cm="1">
        <f t="array" ref="AB1291">IF(LEFT(_xll.BDP($C1291, VOLUME_AVG_6M), 4) = "#N/A", "",  _xll.BDP($C1291, VOLUME_AVG_6M))</f>
        <v>224086.046875</v>
      </c>
      <c r="AC1291" s="31" cm="1">
        <f t="array" ref="AC1291">IF(LEFT(_xll.BDP($C1291, VOLUME_AVG_12M), 4) = "#N/A", "",  _xll.BDP($C1291, VOLUME_AVG_12M))</f>
        <v>195272.515625</v>
      </c>
      <c r="AD1291" s="41" cm="1">
        <f t="array" ref="AD1291">IF(LEFT(_xll.BDP($C1291, LAST_PRICE), 4) = "#N/A", "",  _xll.BDP($C1291, LAST_PRICE))</f>
        <v>20.82</v>
      </c>
    </row>
    <row r="1292" spans="1:30" x14ac:dyDescent="0.35">
      <c r="A1292" s="1">
        <f t="shared" si="20"/>
        <v>1289</v>
      </c>
      <c r="B1292" s="28">
        <v>45700</v>
      </c>
      <c r="C1292" s="29" t="s">
        <v>2626</v>
      </c>
      <c r="D1292" s="29" t="s">
        <v>2626</v>
      </c>
      <c r="E1292" s="29" t="s">
        <v>2627</v>
      </c>
      <c r="F1292" s="29" t="s">
        <v>33</v>
      </c>
      <c r="G1292" s="30" t="s">
        <v>34</v>
      </c>
      <c r="H1292" s="31">
        <v>1887.9653872333499</v>
      </c>
      <c r="I1292" s="31"/>
      <c r="J1292" s="32">
        <v>9.9999999747524292E-7</v>
      </c>
      <c r="K1292" s="33">
        <v>45700</v>
      </c>
      <c r="L1292" s="31"/>
      <c r="M1292" s="32"/>
      <c r="N1292" s="31"/>
      <c r="O1292" s="33">
        <v>45699</v>
      </c>
      <c r="P1292" s="34">
        <v>108154.03125</v>
      </c>
      <c r="Q1292" s="34">
        <v>111975.2421875</v>
      </c>
      <c r="R1292" s="34">
        <v>100479.40625</v>
      </c>
      <c r="S1292" s="29"/>
      <c r="T1292" s="33"/>
      <c r="U1292" s="35" t="b">
        <v>1</v>
      </c>
      <c r="V1292" s="35" t="b">
        <v>1</v>
      </c>
      <c r="W1292" s="35" t="b">
        <v>1</v>
      </c>
      <c r="Y1292" s="31" cm="1">
        <f t="array" ref="Y1292">IF(LEFT(_xll.BDP($C1292, VOLUME_AVG_10D), 4) = "#N/A", "",  _xll.BDP($C1292, VOLUME_AVG_10D))</f>
        <v>51111.5</v>
      </c>
      <c r="Z1292" s="31" cm="1">
        <f t="array" ref="Z1292">IF(LEFT(_xll.BDP($C1292, VOLUME_AVG_30D), 4) = "#N/A", "",  _xll.BDP($C1292, VOLUME_AVG_30D))</f>
        <v>108154.03125</v>
      </c>
      <c r="AA1292" s="31" cm="1">
        <f t="array" ref="AA1292">IF(LEFT(_xll.BDP($C1292, VOLUME_AVG_3M), 4) = "#N/A", "",  _xll.BDP($C1292, VOLUME_AVG_3M))</f>
        <v>111975.2421875</v>
      </c>
      <c r="AB1292" s="31" cm="1">
        <f t="array" ref="AB1292">IF(LEFT(_xll.BDP($C1292, VOLUME_AVG_6M), 4) = "#N/A", "",  _xll.BDP($C1292, VOLUME_AVG_6M))</f>
        <v>100479.40625</v>
      </c>
      <c r="AC1292" s="31" cm="1">
        <f t="array" ref="AC1292">IF(LEFT(_xll.BDP($C1292, VOLUME_AVG_12M), 4) = "#N/A", "",  _xll.BDP($C1292, VOLUME_AVG_12M))</f>
        <v>72166.0390625</v>
      </c>
      <c r="AD1292" s="41" cm="1">
        <f t="array" ref="AD1292">IF(LEFT(_xll.BDP($C1292, LAST_PRICE), 4) = "#N/A", "",  _xll.BDP($C1292, LAST_PRICE))</f>
        <v>9.9999999999999995E-7</v>
      </c>
    </row>
    <row r="1293" spans="1:30" x14ac:dyDescent="0.35">
      <c r="A1293" s="1">
        <f t="shared" si="20"/>
        <v>1290</v>
      </c>
      <c r="B1293" s="28">
        <v>45700</v>
      </c>
      <c r="C1293" s="29" t="s">
        <v>2628</v>
      </c>
      <c r="D1293" s="29" t="s">
        <v>2628</v>
      </c>
      <c r="E1293" s="29" t="s">
        <v>2629</v>
      </c>
      <c r="F1293" s="29" t="s">
        <v>33</v>
      </c>
      <c r="G1293" s="30" t="s">
        <v>34</v>
      </c>
      <c r="H1293" s="31">
        <v>1028562547.30571</v>
      </c>
      <c r="I1293" s="31">
        <v>818542547.30570602</v>
      </c>
      <c r="J1293" s="32">
        <v>9.8599996566772496</v>
      </c>
      <c r="K1293" s="33">
        <v>45700</v>
      </c>
      <c r="L1293" s="31">
        <v>27348100</v>
      </c>
      <c r="M1293" s="32">
        <v>3.88</v>
      </c>
      <c r="N1293" s="31" t="s">
        <v>35</v>
      </c>
      <c r="O1293" s="33">
        <v>45699</v>
      </c>
      <c r="P1293" s="34">
        <v>1607383.625</v>
      </c>
      <c r="Q1293" s="34">
        <v>1461742.875</v>
      </c>
      <c r="R1293" s="34">
        <v>1139999.25</v>
      </c>
      <c r="S1293" s="29" t="s">
        <v>68</v>
      </c>
      <c r="T1293" s="33">
        <v>45446</v>
      </c>
      <c r="U1293" s="35" t="b">
        <v>0</v>
      </c>
      <c r="V1293" s="35" t="b">
        <v>0</v>
      </c>
      <c r="W1293" s="35" t="b">
        <v>0</v>
      </c>
      <c r="Y1293" s="31" cm="1">
        <f t="array" ref="Y1293">IF(LEFT(_xll.BDP($C1293, VOLUME_AVG_10D), 4) = "#N/A", "",  _xll.BDP($C1293, VOLUME_AVG_10D))</f>
        <v>1428111.875</v>
      </c>
      <c r="Z1293" s="31" cm="1">
        <f t="array" ref="Z1293">IF(LEFT(_xll.BDP($C1293, VOLUME_AVG_30D), 4) = "#N/A", "",  _xll.BDP($C1293, VOLUME_AVG_30D))</f>
        <v>1607383.625</v>
      </c>
      <c r="AA1293" s="31" cm="1">
        <f t="array" ref="AA1293">IF(LEFT(_xll.BDP($C1293, VOLUME_AVG_3M), 4) = "#N/A", "",  _xll.BDP($C1293, VOLUME_AVG_3M))</f>
        <v>1461742.875</v>
      </c>
      <c r="AB1293" s="31" cm="1">
        <f t="array" ref="AB1293">IF(LEFT(_xll.BDP($C1293, VOLUME_AVG_6M), 4) = "#N/A", "",  _xll.BDP($C1293, VOLUME_AVG_6M))</f>
        <v>1139999.25</v>
      </c>
      <c r="AC1293" s="31" cm="1">
        <f t="array" ref="AC1293">IF(LEFT(_xll.BDP($C1293, VOLUME_AVG_12M), 4) = "#N/A", "",  _xll.BDP($C1293, VOLUME_AVG_12M))</f>
        <v>960469.1875</v>
      </c>
      <c r="AD1293" s="41" cm="1">
        <f t="array" ref="AD1293">IF(LEFT(_xll.BDP($C1293, LAST_PRICE), 4) = "#N/A", "",  _xll.BDP($C1293, LAST_PRICE))</f>
        <v>9.86</v>
      </c>
    </row>
    <row r="1294" spans="1:30" x14ac:dyDescent="0.35">
      <c r="A1294" s="1">
        <f t="shared" si="20"/>
        <v>1291</v>
      </c>
      <c r="B1294" s="28">
        <v>45700</v>
      </c>
      <c r="C1294" s="29" t="s">
        <v>2630</v>
      </c>
      <c r="D1294" s="29" t="s">
        <v>2630</v>
      </c>
      <c r="E1294" s="29" t="s">
        <v>2631</v>
      </c>
      <c r="F1294" s="29" t="s">
        <v>33</v>
      </c>
      <c r="G1294" s="30" t="s">
        <v>34</v>
      </c>
      <c r="H1294" s="31">
        <v>58820228.6151888</v>
      </c>
      <c r="I1294" s="31">
        <v>54724228.6151888</v>
      </c>
      <c r="J1294" s="32">
        <v>1.8200000524520901</v>
      </c>
      <c r="K1294" s="33">
        <v>45700</v>
      </c>
      <c r="L1294" s="31">
        <v>3946800</v>
      </c>
      <c r="M1294" s="32">
        <v>3.88</v>
      </c>
      <c r="N1294" s="31" t="s">
        <v>35</v>
      </c>
      <c r="O1294" s="33">
        <v>45699</v>
      </c>
      <c r="P1294" s="34">
        <v>294885.78125</v>
      </c>
      <c r="Q1294" s="34">
        <v>663312.8125</v>
      </c>
      <c r="R1294" s="34">
        <v>622775.75</v>
      </c>
      <c r="S1294" s="29"/>
      <c r="T1294" s="33"/>
      <c r="U1294" s="35" t="b">
        <v>0</v>
      </c>
      <c r="V1294" s="35" t="b">
        <v>0</v>
      </c>
      <c r="W1294" s="35" t="b">
        <v>0</v>
      </c>
      <c r="Y1294" s="31" cm="1">
        <f t="array" ref="Y1294">IF(LEFT(_xll.BDP($C1294, VOLUME_AVG_10D), 4) = "#N/A", "",  _xll.BDP($C1294, VOLUME_AVG_10D))</f>
        <v>271699.09375</v>
      </c>
      <c r="Z1294" s="31" cm="1">
        <f t="array" ref="Z1294">IF(LEFT(_xll.BDP($C1294, VOLUME_AVG_30D), 4) = "#N/A", "",  _xll.BDP($C1294, VOLUME_AVG_30D))</f>
        <v>294885.78125</v>
      </c>
      <c r="AA1294" s="31" cm="1">
        <f t="array" ref="AA1294">IF(LEFT(_xll.BDP($C1294, VOLUME_AVG_3M), 4) = "#N/A", "",  _xll.BDP($C1294, VOLUME_AVG_3M))</f>
        <v>663312.8125</v>
      </c>
      <c r="AB1294" s="31" cm="1">
        <f t="array" ref="AB1294">IF(LEFT(_xll.BDP($C1294, VOLUME_AVG_6M), 4) = "#N/A", "",  _xll.BDP($C1294, VOLUME_AVG_6M))</f>
        <v>622775.75</v>
      </c>
      <c r="AC1294" s="31" cm="1">
        <f t="array" ref="AC1294">IF(LEFT(_xll.BDP($C1294, VOLUME_AVG_12M), 4) = "#N/A", "",  _xll.BDP($C1294, VOLUME_AVG_12M))</f>
        <v>407931.84375</v>
      </c>
      <c r="AD1294" s="41" cm="1">
        <f t="array" ref="AD1294">IF(LEFT(_xll.BDP($C1294, LAST_PRICE), 4) = "#N/A", "",  _xll.BDP($C1294, LAST_PRICE))</f>
        <v>1.82</v>
      </c>
    </row>
    <row r="1295" spans="1:30" x14ac:dyDescent="0.35">
      <c r="A1295" s="1">
        <f t="shared" si="20"/>
        <v>1292</v>
      </c>
      <c r="B1295" s="28">
        <v>45700</v>
      </c>
      <c r="C1295" s="29" t="s">
        <v>2632</v>
      </c>
      <c r="D1295" s="29" t="s">
        <v>2632</v>
      </c>
      <c r="E1295" s="29" t="s">
        <v>2633</v>
      </c>
      <c r="F1295" s="29" t="s">
        <v>33</v>
      </c>
      <c r="G1295" s="30" t="s">
        <v>34</v>
      </c>
      <c r="H1295" s="31"/>
      <c r="I1295" s="31"/>
      <c r="J1295" s="32"/>
      <c r="K1295" s="33">
        <v>45700</v>
      </c>
      <c r="L1295" s="31"/>
      <c r="M1295" s="32"/>
      <c r="N1295" s="31"/>
      <c r="O1295" s="33">
        <v>45699</v>
      </c>
      <c r="P1295" s="34"/>
      <c r="Q1295" s="34"/>
      <c r="R1295" s="34"/>
      <c r="S1295" s="29"/>
      <c r="T1295" s="33"/>
      <c r="U1295" s="35" t="b">
        <v>1</v>
      </c>
      <c r="V1295" s="35" t="b">
        <v>1</v>
      </c>
      <c r="W1295" s="35" t="b">
        <v>1</v>
      </c>
      <c r="Y1295" s="31" t="str" cm="1">
        <f t="array" ref="Y1295">IF(LEFT(_xll.BDP($C1295, VOLUME_AVG_10D), 4) = "#N/A", "",  _xll.BDP($C1295, VOLUME_AVG_10D))</f>
        <v/>
      </c>
      <c r="Z1295" s="31" t="str" cm="1">
        <f t="array" ref="Z1295">IF(LEFT(_xll.BDP($C1295, VOLUME_AVG_30D), 4) = "#N/A", "",  _xll.BDP($C1295, VOLUME_AVG_30D))</f>
        <v/>
      </c>
      <c r="AA1295" s="31" t="str" cm="1">
        <f t="array" ref="AA1295">IF(LEFT(_xll.BDP($C1295, VOLUME_AVG_3M), 4) = "#N/A", "",  _xll.BDP($C1295, VOLUME_AVG_3M))</f>
        <v/>
      </c>
      <c r="AB1295" s="31" t="str" cm="1">
        <f t="array" ref="AB1295">IF(LEFT(_xll.BDP($C1295, VOLUME_AVG_6M), 4) = "#N/A", "",  _xll.BDP($C1295, VOLUME_AVG_6M))</f>
        <v/>
      </c>
      <c r="AC1295" s="31" t="str" cm="1">
        <f t="array" ref="AC1295">IF(LEFT(_xll.BDP($C1295, VOLUME_AVG_12M), 4) = "#N/A", "",  _xll.BDP($C1295, VOLUME_AVG_12M))</f>
        <v/>
      </c>
      <c r="AD1295" s="41" t="str" cm="1">
        <f t="array" ref="AD1295">IF(LEFT(_xll.BDP($C1295, LAST_PRICE), 4) = "#N/A", "",  _xll.BDP($C1295, LAST_PRICE))</f>
        <v/>
      </c>
    </row>
    <row r="1296" spans="1:30" x14ac:dyDescent="0.35">
      <c r="A1296" s="1">
        <f t="shared" si="20"/>
        <v>1293</v>
      </c>
      <c r="B1296" s="28">
        <v>45700</v>
      </c>
      <c r="C1296" s="29" t="s">
        <v>2634</v>
      </c>
      <c r="D1296" s="29" t="s">
        <v>2634</v>
      </c>
      <c r="E1296" s="29" t="s">
        <v>2635</v>
      </c>
      <c r="F1296" s="29" t="s">
        <v>33</v>
      </c>
      <c r="G1296" s="30" t="s">
        <v>34</v>
      </c>
      <c r="H1296" s="31">
        <v>7449456042.1027298</v>
      </c>
      <c r="I1296" s="31">
        <v>2749760042.1027298</v>
      </c>
      <c r="J1296" s="32">
        <v>10.439999580383301</v>
      </c>
      <c r="K1296" s="33">
        <v>45700</v>
      </c>
      <c r="L1296" s="31"/>
      <c r="M1296" s="32"/>
      <c r="N1296" s="31"/>
      <c r="O1296" s="33">
        <v>45699</v>
      </c>
      <c r="P1296" s="34">
        <v>4259494.5</v>
      </c>
      <c r="Q1296" s="34">
        <v>4899547</v>
      </c>
      <c r="R1296" s="34">
        <v>5354020.5</v>
      </c>
      <c r="S1296" s="29" t="s">
        <v>73</v>
      </c>
      <c r="T1296" s="33">
        <v>45446</v>
      </c>
      <c r="U1296" s="35" t="b">
        <v>0</v>
      </c>
      <c r="V1296" s="35" t="b">
        <v>0</v>
      </c>
      <c r="W1296" s="35" t="b">
        <v>0</v>
      </c>
      <c r="Y1296" s="31" cm="1">
        <f t="array" ref="Y1296">IF(LEFT(_xll.BDP($C1296, VOLUME_AVG_10D), 4) = "#N/A", "",  _xll.BDP($C1296, VOLUME_AVG_10D))</f>
        <v>4187188.5</v>
      </c>
      <c r="Z1296" s="31" cm="1">
        <f t="array" ref="Z1296">IF(LEFT(_xll.BDP($C1296, VOLUME_AVG_30D), 4) = "#N/A", "",  _xll.BDP($C1296, VOLUME_AVG_30D))</f>
        <v>4259494.5</v>
      </c>
      <c r="AA1296" s="31" cm="1">
        <f t="array" ref="AA1296">IF(LEFT(_xll.BDP($C1296, VOLUME_AVG_3M), 4) = "#N/A", "",  _xll.BDP($C1296, VOLUME_AVG_3M))</f>
        <v>4899547</v>
      </c>
      <c r="AB1296" s="31" cm="1">
        <f t="array" ref="AB1296">IF(LEFT(_xll.BDP($C1296, VOLUME_AVG_6M), 4) = "#N/A", "",  _xll.BDP($C1296, VOLUME_AVG_6M))</f>
        <v>5354020.5</v>
      </c>
      <c r="AC1296" s="31" cm="1">
        <f t="array" ref="AC1296">IF(LEFT(_xll.BDP($C1296, VOLUME_AVG_12M), 4) = "#N/A", "",  _xll.BDP($C1296, VOLUME_AVG_12M))</f>
        <v>5630940</v>
      </c>
      <c r="AD1296" s="41" cm="1">
        <f t="array" ref="AD1296">IF(LEFT(_xll.BDP($C1296, LAST_PRICE), 4) = "#N/A", "",  _xll.BDP($C1296, LAST_PRICE))</f>
        <v>10.44</v>
      </c>
    </row>
    <row r="1297" spans="1:30" x14ac:dyDescent="0.35">
      <c r="A1297" s="1">
        <f t="shared" si="20"/>
        <v>1294</v>
      </c>
      <c r="B1297" s="28">
        <v>45700</v>
      </c>
      <c r="C1297" s="29" t="s">
        <v>2636</v>
      </c>
      <c r="D1297" s="29" t="s">
        <v>2636</v>
      </c>
      <c r="E1297" s="29" t="s">
        <v>2637</v>
      </c>
      <c r="F1297" s="29" t="s">
        <v>33</v>
      </c>
      <c r="G1297" s="30" t="s">
        <v>34</v>
      </c>
      <c r="H1297" s="31">
        <v>18642495508.739799</v>
      </c>
      <c r="I1297" s="31">
        <v>28721680508.739799</v>
      </c>
      <c r="J1297" s="32">
        <v>32.340000152587898</v>
      </c>
      <c r="K1297" s="33">
        <v>45700</v>
      </c>
      <c r="L1297" s="31"/>
      <c r="M1297" s="32"/>
      <c r="N1297" s="31"/>
      <c r="O1297" s="33">
        <v>45699</v>
      </c>
      <c r="P1297" s="34">
        <v>4001012.75</v>
      </c>
      <c r="Q1297" s="34">
        <v>3691500</v>
      </c>
      <c r="R1297" s="34">
        <v>2943246.5</v>
      </c>
      <c r="S1297" s="29" t="s">
        <v>1805</v>
      </c>
      <c r="T1297" s="33">
        <v>45446</v>
      </c>
      <c r="U1297" s="35" t="b">
        <v>0</v>
      </c>
      <c r="V1297" s="35" t="b">
        <v>0</v>
      </c>
      <c r="W1297" s="35" t="b">
        <v>0</v>
      </c>
      <c r="Y1297" s="31" cm="1">
        <f t="array" ref="Y1297">IF(LEFT(_xll.BDP($C1297, VOLUME_AVG_10D), 4) = "#N/A", "",  _xll.BDP($C1297, VOLUME_AVG_10D))</f>
        <v>4106773.5</v>
      </c>
      <c r="Z1297" s="31" cm="1">
        <f t="array" ref="Z1297">IF(LEFT(_xll.BDP($C1297, VOLUME_AVG_30D), 4) = "#N/A", "",  _xll.BDP($C1297, VOLUME_AVG_30D))</f>
        <v>4001012.75</v>
      </c>
      <c r="AA1297" s="31" cm="1">
        <f t="array" ref="AA1297">IF(LEFT(_xll.BDP($C1297, VOLUME_AVG_3M), 4) = "#N/A", "",  _xll.BDP($C1297, VOLUME_AVG_3M))</f>
        <v>3691500</v>
      </c>
      <c r="AB1297" s="31" cm="1">
        <f t="array" ref="AB1297">IF(LEFT(_xll.BDP($C1297, VOLUME_AVG_6M), 4) = "#N/A", "",  _xll.BDP($C1297, VOLUME_AVG_6M))</f>
        <v>2943246.5</v>
      </c>
      <c r="AC1297" s="31" cm="1">
        <f t="array" ref="AC1297">IF(LEFT(_xll.BDP($C1297, VOLUME_AVG_12M), 4) = "#N/A", "",  _xll.BDP($C1297, VOLUME_AVG_12M))</f>
        <v>2872431.5</v>
      </c>
      <c r="AD1297" s="41" cm="1">
        <f t="array" ref="AD1297">IF(LEFT(_xll.BDP($C1297, LAST_PRICE), 4) = "#N/A", "",  _xll.BDP($C1297, LAST_PRICE))</f>
        <v>32.340000000000003</v>
      </c>
    </row>
    <row r="1298" spans="1:30" x14ac:dyDescent="0.35">
      <c r="A1298" s="1">
        <f t="shared" si="20"/>
        <v>1295</v>
      </c>
      <c r="B1298" s="28">
        <v>45700</v>
      </c>
      <c r="C1298" s="29" t="s">
        <v>2638</v>
      </c>
      <c r="D1298" s="29" t="s">
        <v>2638</v>
      </c>
      <c r="E1298" s="29" t="s">
        <v>2639</v>
      </c>
      <c r="F1298" s="29" t="s">
        <v>40</v>
      </c>
      <c r="G1298" s="30" t="s">
        <v>41</v>
      </c>
      <c r="H1298" s="31">
        <v>21480674.310453098</v>
      </c>
      <c r="I1298" s="31">
        <v>16109349.2570526</v>
      </c>
      <c r="J1298" s="32">
        <v>0.37999999523162797</v>
      </c>
      <c r="K1298" s="33">
        <v>45700</v>
      </c>
      <c r="L1298" s="31">
        <v>511800</v>
      </c>
      <c r="M1298" s="32">
        <v>-5.35</v>
      </c>
      <c r="N1298" s="31" t="s">
        <v>35</v>
      </c>
      <c r="O1298" s="33">
        <v>45699</v>
      </c>
      <c r="P1298" s="34">
        <v>47530.1</v>
      </c>
      <c r="Q1298" s="34">
        <v>114257.3</v>
      </c>
      <c r="R1298" s="34">
        <v>69028.27</v>
      </c>
      <c r="S1298" s="29"/>
      <c r="T1298" s="33"/>
      <c r="U1298" s="35" t="b">
        <v>0</v>
      </c>
      <c r="V1298" s="35" t="b">
        <v>0</v>
      </c>
      <c r="W1298" s="35" t="b">
        <v>0</v>
      </c>
      <c r="Y1298" s="31" cm="1">
        <f t="array" ref="Y1298">IF(LEFT(_xll.BDP($C1298, VOLUME_AVG_10D), 4) = "#N/A", "",  _xll.BDP($C1298, VOLUME_AVG_10D))</f>
        <v>54523.1</v>
      </c>
      <c r="Z1298" s="31" cm="1">
        <f t="array" ref="Z1298">IF(LEFT(_xll.BDP($C1298, VOLUME_AVG_30D), 4) = "#N/A", "",  _xll.BDP($C1298, VOLUME_AVG_30D))</f>
        <v>47530.1</v>
      </c>
      <c r="AA1298" s="31" cm="1">
        <f t="array" ref="AA1298">IF(LEFT(_xll.BDP($C1298, VOLUME_AVG_3M), 4) = "#N/A", "",  _xll.BDP($C1298, VOLUME_AVG_3M))</f>
        <v>114257.3</v>
      </c>
      <c r="AB1298" s="31" cm="1">
        <f t="array" ref="AB1298">IF(LEFT(_xll.BDP($C1298, VOLUME_AVG_6M), 4) = "#N/A", "",  _xll.BDP($C1298, VOLUME_AVG_6M))</f>
        <v>69028.27</v>
      </c>
      <c r="AC1298" s="31" cm="1">
        <f t="array" ref="AC1298">IF(LEFT(_xll.BDP($C1298, VOLUME_AVG_12M), 4) = "#N/A", "",  _xll.BDP($C1298, VOLUME_AVG_12M))</f>
        <v>50895.79</v>
      </c>
      <c r="AD1298" s="41" cm="1">
        <f t="array" ref="AD1298">IF(LEFT(_xll.BDP($C1298, LAST_PRICE), 4) = "#N/A", "",  _xll.BDP($C1298, LAST_PRICE))</f>
        <v>0.38</v>
      </c>
    </row>
    <row r="1299" spans="1:30" x14ac:dyDescent="0.35">
      <c r="A1299" s="1">
        <f t="shared" si="20"/>
        <v>1296</v>
      </c>
      <c r="B1299" s="28">
        <v>45700</v>
      </c>
      <c r="C1299" s="29" t="s">
        <v>2640</v>
      </c>
      <c r="D1299" s="29" t="s">
        <v>2640</v>
      </c>
      <c r="E1299" s="29" t="s">
        <v>2641</v>
      </c>
      <c r="F1299" s="29" t="s">
        <v>33</v>
      </c>
      <c r="G1299" s="30" t="s">
        <v>34</v>
      </c>
      <c r="H1299" s="31">
        <v>1285712418.1250701</v>
      </c>
      <c r="I1299" s="31">
        <v>1161542418.1250701</v>
      </c>
      <c r="J1299" s="32">
        <v>31.899999618530298</v>
      </c>
      <c r="K1299" s="33">
        <v>45700</v>
      </c>
      <c r="L1299" s="31">
        <v>9715300</v>
      </c>
      <c r="M1299" s="32">
        <v>3.88</v>
      </c>
      <c r="N1299" s="31" t="s">
        <v>35</v>
      </c>
      <c r="O1299" s="33">
        <v>45699</v>
      </c>
      <c r="P1299" s="34">
        <v>624970.625</v>
      </c>
      <c r="Q1299" s="34">
        <v>684431.9375</v>
      </c>
      <c r="R1299" s="34">
        <v>569659.75</v>
      </c>
      <c r="S1299" s="29"/>
      <c r="T1299" s="33"/>
      <c r="U1299" s="35" t="b">
        <v>0</v>
      </c>
      <c r="V1299" s="35" t="b">
        <v>0</v>
      </c>
      <c r="W1299" s="35" t="b">
        <v>0</v>
      </c>
      <c r="Y1299" s="31" cm="1">
        <f t="array" ref="Y1299">IF(LEFT(_xll.BDP($C1299, VOLUME_AVG_10D), 4) = "#N/A", "",  _xll.BDP($C1299, VOLUME_AVG_10D))</f>
        <v>488072</v>
      </c>
      <c r="Z1299" s="31" cm="1">
        <f t="array" ref="Z1299">IF(LEFT(_xll.BDP($C1299, VOLUME_AVG_30D), 4) = "#N/A", "",  _xll.BDP($C1299, VOLUME_AVG_30D))</f>
        <v>624970.625</v>
      </c>
      <c r="AA1299" s="31" cm="1">
        <f t="array" ref="AA1299">IF(LEFT(_xll.BDP($C1299, VOLUME_AVG_3M), 4) = "#N/A", "",  _xll.BDP($C1299, VOLUME_AVG_3M))</f>
        <v>684431.9375</v>
      </c>
      <c r="AB1299" s="31" cm="1">
        <f t="array" ref="AB1299">IF(LEFT(_xll.BDP($C1299, VOLUME_AVG_6M), 4) = "#N/A", "",  _xll.BDP($C1299, VOLUME_AVG_6M))</f>
        <v>569659.75</v>
      </c>
      <c r="AC1299" s="31" cm="1">
        <f t="array" ref="AC1299">IF(LEFT(_xll.BDP($C1299, VOLUME_AVG_12M), 4) = "#N/A", "",  _xll.BDP($C1299, VOLUME_AVG_12M))</f>
        <v>534054.4375</v>
      </c>
      <c r="AD1299" s="41" cm="1">
        <f t="array" ref="AD1299">IF(LEFT(_xll.BDP($C1299, LAST_PRICE), 4) = "#N/A", "",  _xll.BDP($C1299, LAST_PRICE))</f>
        <v>31.9</v>
      </c>
    </row>
    <row r="1300" spans="1:30" x14ac:dyDescent="0.35">
      <c r="A1300" s="1">
        <f t="shared" si="20"/>
        <v>1297</v>
      </c>
      <c r="B1300" s="28">
        <v>45700</v>
      </c>
      <c r="C1300" s="29" t="s">
        <v>2642</v>
      </c>
      <c r="D1300" s="29" t="s">
        <v>2642</v>
      </c>
      <c r="E1300" s="29" t="s">
        <v>2643</v>
      </c>
      <c r="F1300" s="29" t="s">
        <v>33</v>
      </c>
      <c r="G1300" s="30" t="s">
        <v>34</v>
      </c>
      <c r="H1300" s="31">
        <v>15782058.8920689</v>
      </c>
      <c r="I1300" s="31">
        <v>-10098324.1079311</v>
      </c>
      <c r="J1300" s="32">
        <v>1.71000003814697</v>
      </c>
      <c r="K1300" s="33">
        <v>45700</v>
      </c>
      <c r="L1300" s="31">
        <v>214700</v>
      </c>
      <c r="M1300" s="32">
        <v>-5</v>
      </c>
      <c r="N1300" s="31" t="s">
        <v>35</v>
      </c>
      <c r="O1300" s="33">
        <v>45699</v>
      </c>
      <c r="P1300" s="34">
        <v>169675.671875</v>
      </c>
      <c r="Q1300" s="34">
        <v>125624.96875</v>
      </c>
      <c r="R1300" s="34">
        <v>94497.3046875</v>
      </c>
      <c r="S1300" s="29"/>
      <c r="T1300" s="33"/>
      <c r="U1300" s="35" t="b">
        <v>1</v>
      </c>
      <c r="V1300" s="35" t="b">
        <v>0</v>
      </c>
      <c r="W1300" s="35" t="b">
        <v>1</v>
      </c>
      <c r="Y1300" s="31" cm="1">
        <f t="array" ref="Y1300">IF(LEFT(_xll.BDP($C1300, VOLUME_AVG_10D), 4) = "#N/A", "",  _xll.BDP($C1300, VOLUME_AVG_10D))</f>
        <v>223127.703125</v>
      </c>
      <c r="Z1300" s="31" cm="1">
        <f t="array" ref="Z1300">IF(LEFT(_xll.BDP($C1300, VOLUME_AVG_30D), 4) = "#N/A", "",  _xll.BDP($C1300, VOLUME_AVG_30D))</f>
        <v>169675.671875</v>
      </c>
      <c r="AA1300" s="31" cm="1">
        <f t="array" ref="AA1300">IF(LEFT(_xll.BDP($C1300, VOLUME_AVG_3M), 4) = "#N/A", "",  _xll.BDP($C1300, VOLUME_AVG_3M))</f>
        <v>125624.96875</v>
      </c>
      <c r="AB1300" s="31" cm="1">
        <f t="array" ref="AB1300">IF(LEFT(_xll.BDP($C1300, VOLUME_AVG_6M), 4) = "#N/A", "",  _xll.BDP($C1300, VOLUME_AVG_6M))</f>
        <v>94497.3046875</v>
      </c>
      <c r="AC1300" s="31" cm="1">
        <f t="array" ref="AC1300">IF(LEFT(_xll.BDP($C1300, VOLUME_AVG_12M), 4) = "#N/A", "",  _xll.BDP($C1300, VOLUME_AVG_12M))</f>
        <v>55057.8515625</v>
      </c>
      <c r="AD1300" s="41" cm="1">
        <f t="array" ref="AD1300">IF(LEFT(_xll.BDP($C1300, LAST_PRICE), 4) = "#N/A", "",  _xll.BDP($C1300, LAST_PRICE))</f>
        <v>1.71</v>
      </c>
    </row>
    <row r="1301" spans="1:30" x14ac:dyDescent="0.35">
      <c r="A1301" s="1">
        <f t="shared" si="20"/>
        <v>1298</v>
      </c>
      <c r="B1301" s="28">
        <v>45700</v>
      </c>
      <c r="C1301" s="29" t="s">
        <v>2644</v>
      </c>
      <c r="D1301" s="29" t="s">
        <v>2644</v>
      </c>
      <c r="E1301" s="29" t="s">
        <v>2645</v>
      </c>
      <c r="F1301" s="29" t="s">
        <v>33</v>
      </c>
      <c r="G1301" s="30" t="s">
        <v>34</v>
      </c>
      <c r="H1301" s="31"/>
      <c r="I1301" s="31"/>
      <c r="J1301" s="32"/>
      <c r="K1301" s="33">
        <v>45700</v>
      </c>
      <c r="L1301" s="31"/>
      <c r="M1301" s="32"/>
      <c r="N1301" s="31"/>
      <c r="O1301" s="33">
        <v>45699</v>
      </c>
      <c r="P1301" s="34">
        <v>4</v>
      </c>
      <c r="Q1301" s="34">
        <v>12.758064270019499</v>
      </c>
      <c r="R1301" s="34">
        <v>7.1825394630432102</v>
      </c>
      <c r="S1301" s="29"/>
      <c r="T1301" s="33"/>
      <c r="U1301" s="35" t="b">
        <v>1</v>
      </c>
      <c r="V1301" s="35" t="b">
        <v>1</v>
      </c>
      <c r="W1301" s="35" t="b">
        <v>1</v>
      </c>
      <c r="Y1301" s="31" cm="1">
        <f t="array" ref="Y1301">IF(LEFT(_xll.BDP($C1301, VOLUME_AVG_10D), 4) = "#N/A", "",  _xll.BDP($C1301, VOLUME_AVG_10D))</f>
        <v>0</v>
      </c>
      <c r="Z1301" s="31" cm="1">
        <f t="array" ref="Z1301">IF(LEFT(_xll.BDP($C1301, VOLUME_AVG_30D), 4) = "#N/A", "",  _xll.BDP($C1301, VOLUME_AVG_30D))</f>
        <v>4</v>
      </c>
      <c r="AA1301" s="31" cm="1">
        <f t="array" ref="AA1301">IF(LEFT(_xll.BDP($C1301, VOLUME_AVG_3M), 4) = "#N/A", "",  _xll.BDP($C1301, VOLUME_AVG_3M))</f>
        <v>12.758064270019531</v>
      </c>
      <c r="AB1301" s="31" cm="1">
        <f t="array" ref="AB1301">IF(LEFT(_xll.BDP($C1301, VOLUME_AVG_6M), 4) = "#N/A", "",  _xll.BDP($C1301, VOLUME_AVG_6M))</f>
        <v>7.1825394630432129</v>
      </c>
      <c r="AC1301" s="31" cm="1">
        <f t="array" ref="AC1301">IF(LEFT(_xll.BDP($C1301, VOLUME_AVG_12M), 4) = "#N/A", "",  _xll.BDP($C1301, VOLUME_AVG_12M))</f>
        <v>8.6175298690795898</v>
      </c>
      <c r="AD1301" s="41" cm="1">
        <f t="array" ref="AD1301">IF(LEFT(_xll.BDP($C1301, LAST_PRICE), 4) = "#N/A", "",  _xll.BDP($C1301, LAST_PRICE))</f>
        <v>9.9999999999999995E-7</v>
      </c>
    </row>
    <row r="1302" spans="1:30" x14ac:dyDescent="0.35">
      <c r="A1302" s="1">
        <f t="shared" si="20"/>
        <v>1299</v>
      </c>
      <c r="B1302" s="28">
        <v>45700</v>
      </c>
      <c r="C1302" s="29" t="s">
        <v>2646</v>
      </c>
      <c r="D1302" s="29" t="s">
        <v>2646</v>
      </c>
      <c r="E1302" s="29" t="s">
        <v>2647</v>
      </c>
      <c r="F1302" s="29" t="s">
        <v>33</v>
      </c>
      <c r="G1302" s="30" t="s">
        <v>34</v>
      </c>
      <c r="H1302" s="31">
        <v>440203571.13875198</v>
      </c>
      <c r="I1302" s="31"/>
      <c r="J1302" s="32">
        <v>7.1599998474121103</v>
      </c>
      <c r="K1302" s="33">
        <v>45700</v>
      </c>
      <c r="L1302" s="31">
        <v>14205800</v>
      </c>
      <c r="M1302" s="32">
        <v>3.88</v>
      </c>
      <c r="N1302" s="31" t="s">
        <v>35</v>
      </c>
      <c r="O1302" s="33">
        <v>45699</v>
      </c>
      <c r="P1302" s="34">
        <v>2349528.5</v>
      </c>
      <c r="Q1302" s="34">
        <v>1762419.25</v>
      </c>
      <c r="R1302" s="34">
        <v>1206307.25</v>
      </c>
      <c r="S1302" s="29" t="s">
        <v>82</v>
      </c>
      <c r="T1302" s="33">
        <v>45446</v>
      </c>
      <c r="U1302" s="35" t="b">
        <v>0</v>
      </c>
      <c r="V1302" s="35" t="b">
        <v>0</v>
      </c>
      <c r="W1302" s="35" t="b">
        <v>1</v>
      </c>
      <c r="Y1302" s="31" cm="1">
        <f t="array" ref="Y1302">IF(LEFT(_xll.BDP($C1302, VOLUME_AVG_10D), 4) = "#N/A", "",  _xll.BDP($C1302, VOLUME_AVG_10D))</f>
        <v>1702363.375</v>
      </c>
      <c r="Z1302" s="31" cm="1">
        <f t="array" ref="Z1302">IF(LEFT(_xll.BDP($C1302, VOLUME_AVG_30D), 4) = "#N/A", "",  _xll.BDP($C1302, VOLUME_AVG_30D))</f>
        <v>2349528.5</v>
      </c>
      <c r="AA1302" s="31" cm="1">
        <f t="array" ref="AA1302">IF(LEFT(_xll.BDP($C1302, VOLUME_AVG_3M), 4) = "#N/A", "",  _xll.BDP($C1302, VOLUME_AVG_3M))</f>
        <v>1762419.25</v>
      </c>
      <c r="AB1302" s="31" cm="1">
        <f t="array" ref="AB1302">IF(LEFT(_xll.BDP($C1302, VOLUME_AVG_6M), 4) = "#N/A", "",  _xll.BDP($C1302, VOLUME_AVG_6M))</f>
        <v>1206307.25</v>
      </c>
      <c r="AC1302" s="31" cm="1">
        <f t="array" ref="AC1302">IF(LEFT(_xll.BDP($C1302, VOLUME_AVG_12M), 4) = "#N/A", "",  _xll.BDP($C1302, VOLUME_AVG_12M))</f>
        <v>1174314.375</v>
      </c>
      <c r="AD1302" s="41" cm="1">
        <f t="array" ref="AD1302">IF(LEFT(_xll.BDP($C1302, LAST_PRICE), 4) = "#N/A", "",  _xll.BDP($C1302, LAST_PRICE))</f>
        <v>7.16</v>
      </c>
    </row>
    <row r="1303" spans="1:30" x14ac:dyDescent="0.35">
      <c r="A1303" s="1">
        <f t="shared" si="20"/>
        <v>1300</v>
      </c>
      <c r="B1303" s="28">
        <v>45700</v>
      </c>
      <c r="C1303" s="29" t="s">
        <v>2648</v>
      </c>
      <c r="D1303" s="29" t="s">
        <v>2648</v>
      </c>
      <c r="E1303" s="29" t="s">
        <v>2649</v>
      </c>
      <c r="F1303" s="29" t="s">
        <v>33</v>
      </c>
      <c r="G1303" s="30" t="s">
        <v>34</v>
      </c>
      <c r="H1303" s="31">
        <v>146488825.890775</v>
      </c>
      <c r="I1303" s="31">
        <v>-23352174.109225299</v>
      </c>
      <c r="J1303" s="32">
        <v>4.5500001907348597</v>
      </c>
      <c r="K1303" s="33">
        <v>45700</v>
      </c>
      <c r="L1303" s="31">
        <v>1161900</v>
      </c>
      <c r="M1303" s="32">
        <v>2.2999999999999998</v>
      </c>
      <c r="N1303" s="31" t="s">
        <v>35</v>
      </c>
      <c r="O1303" s="33">
        <v>45699</v>
      </c>
      <c r="P1303" s="34">
        <v>1236407.125</v>
      </c>
      <c r="Q1303" s="34">
        <v>949794.6875</v>
      </c>
      <c r="R1303" s="34">
        <v>1187820.25</v>
      </c>
      <c r="S1303" s="29"/>
      <c r="T1303" s="33"/>
      <c r="U1303" s="35" t="b">
        <v>0</v>
      </c>
      <c r="V1303" s="35" t="b">
        <v>0</v>
      </c>
      <c r="W1303" s="35" t="b">
        <v>1</v>
      </c>
      <c r="Y1303" s="31" cm="1">
        <f t="array" ref="Y1303">IF(LEFT(_xll.BDP($C1303, VOLUME_AVG_10D), 4) = "#N/A", "",  _xll.BDP($C1303, VOLUME_AVG_10D))</f>
        <v>846045.875</v>
      </c>
      <c r="Z1303" s="31" cm="1">
        <f t="array" ref="Z1303">IF(LEFT(_xll.BDP($C1303, VOLUME_AVG_30D), 4) = "#N/A", "",  _xll.BDP($C1303, VOLUME_AVG_30D))</f>
        <v>1236407.125</v>
      </c>
      <c r="AA1303" s="31" cm="1">
        <f t="array" ref="AA1303">IF(LEFT(_xll.BDP($C1303, VOLUME_AVG_3M), 4) = "#N/A", "",  _xll.BDP($C1303, VOLUME_AVG_3M))</f>
        <v>949794.6875</v>
      </c>
      <c r="AB1303" s="31" cm="1">
        <f t="array" ref="AB1303">IF(LEFT(_xll.BDP($C1303, VOLUME_AVG_6M), 4) = "#N/A", "",  _xll.BDP($C1303, VOLUME_AVG_6M))</f>
        <v>1187820.25</v>
      </c>
      <c r="AC1303" s="31" cm="1">
        <f t="array" ref="AC1303">IF(LEFT(_xll.BDP($C1303, VOLUME_AVG_12M), 4) = "#N/A", "",  _xll.BDP($C1303, VOLUME_AVG_12M))</f>
        <v>925300.0625</v>
      </c>
      <c r="AD1303" s="41" cm="1">
        <f t="array" ref="AD1303">IF(LEFT(_xll.BDP($C1303, LAST_PRICE), 4) = "#N/A", "",  _xll.BDP($C1303, LAST_PRICE))</f>
        <v>4.55</v>
      </c>
    </row>
    <row r="1304" spans="1:30" x14ac:dyDescent="0.35">
      <c r="A1304" s="1">
        <f t="shared" si="20"/>
        <v>1301</v>
      </c>
      <c r="B1304" s="28">
        <v>45700</v>
      </c>
      <c r="C1304" s="29" t="s">
        <v>2650</v>
      </c>
      <c r="D1304" s="29" t="s">
        <v>2650</v>
      </c>
      <c r="E1304" s="29" t="s">
        <v>2651</v>
      </c>
      <c r="F1304" s="29" t="s">
        <v>33</v>
      </c>
      <c r="G1304" s="30" t="s">
        <v>34</v>
      </c>
      <c r="H1304" s="31">
        <v>2707899.6304082898</v>
      </c>
      <c r="I1304" s="31">
        <v>-247280.36959171301</v>
      </c>
      <c r="J1304" s="32">
        <v>1.71000003814697</v>
      </c>
      <c r="K1304" s="33">
        <v>45700</v>
      </c>
      <c r="L1304" s="31">
        <v>70400</v>
      </c>
      <c r="M1304" s="32">
        <v>-111.45</v>
      </c>
      <c r="N1304" s="31" t="s">
        <v>35</v>
      </c>
      <c r="O1304" s="33">
        <v>45699</v>
      </c>
      <c r="P1304" s="34">
        <v>4264670.5</v>
      </c>
      <c r="Q1304" s="34">
        <v>2088545.625</v>
      </c>
      <c r="R1304" s="34">
        <v>1208927.75</v>
      </c>
      <c r="S1304" s="29"/>
      <c r="T1304" s="33"/>
      <c r="U1304" s="35" t="b">
        <v>1</v>
      </c>
      <c r="V1304" s="35" t="b">
        <v>0</v>
      </c>
      <c r="W1304" s="35" t="b">
        <v>1</v>
      </c>
      <c r="Y1304" s="31" cm="1">
        <f t="array" ref="Y1304">IF(LEFT(_xll.BDP($C1304, VOLUME_AVG_10D), 4) = "#N/A", "",  _xll.BDP($C1304, VOLUME_AVG_10D))</f>
        <v>72021.3984375</v>
      </c>
      <c r="Z1304" s="31" cm="1">
        <f t="array" ref="Z1304">IF(LEFT(_xll.BDP($C1304, VOLUME_AVG_30D), 4) = "#N/A", "",  _xll.BDP($C1304, VOLUME_AVG_30D))</f>
        <v>4264670.5</v>
      </c>
      <c r="AA1304" s="31" cm="1">
        <f t="array" ref="AA1304">IF(LEFT(_xll.BDP($C1304, VOLUME_AVG_3M), 4) = "#N/A", "",  _xll.BDP($C1304, VOLUME_AVG_3M))</f>
        <v>2088545.625</v>
      </c>
      <c r="AB1304" s="31" cm="1">
        <f t="array" ref="AB1304">IF(LEFT(_xll.BDP($C1304, VOLUME_AVG_6M), 4) = "#N/A", "",  _xll.BDP($C1304, VOLUME_AVG_6M))</f>
        <v>1208927.75</v>
      </c>
      <c r="AC1304" s="31" cm="1">
        <f t="array" ref="AC1304">IF(LEFT(_xll.BDP($C1304, VOLUME_AVG_12M), 4) = "#N/A", "",  _xll.BDP($C1304, VOLUME_AVG_12M))</f>
        <v>1210273.5</v>
      </c>
      <c r="AD1304" s="41" cm="1">
        <f t="array" ref="AD1304">IF(LEFT(_xll.BDP($C1304, LAST_PRICE), 4) = "#N/A", "",  _xll.BDP($C1304, LAST_PRICE))</f>
        <v>1.71</v>
      </c>
    </row>
    <row r="1305" spans="1:30" x14ac:dyDescent="0.35">
      <c r="A1305" s="1">
        <f t="shared" si="20"/>
        <v>1302</v>
      </c>
      <c r="B1305" s="28">
        <v>45700</v>
      </c>
      <c r="C1305" s="29" t="s">
        <v>2652</v>
      </c>
      <c r="D1305" s="29" t="s">
        <v>2652</v>
      </c>
      <c r="E1305" s="29" t="s">
        <v>2653</v>
      </c>
      <c r="F1305" s="29" t="s">
        <v>33</v>
      </c>
      <c r="G1305" s="30" t="s">
        <v>34</v>
      </c>
      <c r="H1305" s="31">
        <v>634083625.59667802</v>
      </c>
      <c r="I1305" s="31">
        <v>531160625.59667802</v>
      </c>
      <c r="J1305" s="32">
        <v>2.8399999141693102</v>
      </c>
      <c r="K1305" s="33">
        <v>45700</v>
      </c>
      <c r="L1305" s="31">
        <v>4690300</v>
      </c>
      <c r="M1305" s="32">
        <v>-1.75</v>
      </c>
      <c r="N1305" s="31" t="s">
        <v>35</v>
      </c>
      <c r="O1305" s="33">
        <v>45699</v>
      </c>
      <c r="P1305" s="34">
        <v>11957944</v>
      </c>
      <c r="Q1305" s="34">
        <v>6823693.5</v>
      </c>
      <c r="R1305" s="34">
        <v>4046384.25</v>
      </c>
      <c r="S1305" s="29" t="s">
        <v>46</v>
      </c>
      <c r="T1305" s="33">
        <v>45446</v>
      </c>
      <c r="U1305" s="35" t="b">
        <v>0</v>
      </c>
      <c r="V1305" s="35" t="b">
        <v>0</v>
      </c>
      <c r="W1305" s="35" t="b">
        <v>0</v>
      </c>
      <c r="Y1305" s="31" cm="1">
        <f t="array" ref="Y1305">IF(LEFT(_xll.BDP($C1305, VOLUME_AVG_10D), 4) = "#N/A", "",  _xll.BDP($C1305, VOLUME_AVG_10D))</f>
        <v>3479398.75</v>
      </c>
      <c r="Z1305" s="31" cm="1">
        <f t="array" ref="Z1305">IF(LEFT(_xll.BDP($C1305, VOLUME_AVG_30D), 4) = "#N/A", "",  _xll.BDP($C1305, VOLUME_AVG_30D))</f>
        <v>11957944</v>
      </c>
      <c r="AA1305" s="31" cm="1">
        <f t="array" ref="AA1305">IF(LEFT(_xll.BDP($C1305, VOLUME_AVG_3M), 4) = "#N/A", "",  _xll.BDP($C1305, VOLUME_AVG_3M))</f>
        <v>6823693.5</v>
      </c>
      <c r="AB1305" s="31" cm="1">
        <f t="array" ref="AB1305">IF(LEFT(_xll.BDP($C1305, VOLUME_AVG_6M), 4) = "#N/A", "",  _xll.BDP($C1305, VOLUME_AVG_6M))</f>
        <v>4046384.25</v>
      </c>
      <c r="AC1305" s="31" cm="1">
        <f t="array" ref="AC1305">IF(LEFT(_xll.BDP($C1305, VOLUME_AVG_12M), 4) = "#N/A", "",  _xll.BDP($C1305, VOLUME_AVG_12M))</f>
        <v>2993672</v>
      </c>
      <c r="AD1305" s="41" cm="1">
        <f t="array" ref="AD1305">IF(LEFT(_xll.BDP($C1305, LAST_PRICE), 4) = "#N/A", "",  _xll.BDP($C1305, LAST_PRICE))</f>
        <v>2.84</v>
      </c>
    </row>
    <row r="1306" spans="1:30" x14ac:dyDescent="0.35">
      <c r="A1306" s="1">
        <f t="shared" si="20"/>
        <v>1303</v>
      </c>
      <c r="B1306" s="28">
        <v>45700</v>
      </c>
      <c r="C1306" s="29" t="s">
        <v>2654</v>
      </c>
      <c r="D1306" s="29" t="s">
        <v>2654</v>
      </c>
      <c r="E1306" s="29" t="s">
        <v>2655</v>
      </c>
      <c r="F1306" s="29" t="s">
        <v>33</v>
      </c>
      <c r="G1306" s="30" t="s">
        <v>34</v>
      </c>
      <c r="H1306" s="31">
        <v>301657451.43825102</v>
      </c>
      <c r="I1306" s="31">
        <v>316973679.43825102</v>
      </c>
      <c r="J1306" s="32">
        <v>34.509998321533203</v>
      </c>
      <c r="K1306" s="33">
        <v>45700</v>
      </c>
      <c r="L1306" s="31">
        <v>381700</v>
      </c>
      <c r="M1306" s="32">
        <v>3.8</v>
      </c>
      <c r="N1306" s="31" t="s">
        <v>35</v>
      </c>
      <c r="O1306" s="33">
        <v>45699</v>
      </c>
      <c r="P1306" s="34">
        <v>25277.56640625</v>
      </c>
      <c r="Q1306" s="34">
        <v>30224.966796875</v>
      </c>
      <c r="R1306" s="34">
        <v>27804.5390625</v>
      </c>
      <c r="S1306" s="29"/>
      <c r="T1306" s="33"/>
      <c r="U1306" s="35" t="b">
        <v>0</v>
      </c>
      <c r="V1306" s="35" t="b">
        <v>0</v>
      </c>
      <c r="W1306" s="35" t="b">
        <v>0</v>
      </c>
      <c r="Y1306" s="31" cm="1">
        <f t="array" ref="Y1306">IF(LEFT(_xll.BDP($C1306, VOLUME_AVG_10D), 4) = "#N/A", "",  _xll.BDP($C1306, VOLUME_AVG_10D))</f>
        <v>16545.599609375</v>
      </c>
      <c r="Z1306" s="31" cm="1">
        <f t="array" ref="Z1306">IF(LEFT(_xll.BDP($C1306, VOLUME_AVG_30D), 4) = "#N/A", "",  _xll.BDP($C1306, VOLUME_AVG_30D))</f>
        <v>25277.56640625</v>
      </c>
      <c r="AA1306" s="31" cm="1">
        <f t="array" ref="AA1306">IF(LEFT(_xll.BDP($C1306, VOLUME_AVG_3M), 4) = "#N/A", "",  _xll.BDP($C1306, VOLUME_AVG_3M))</f>
        <v>30224.966796875</v>
      </c>
      <c r="AB1306" s="31" cm="1">
        <f t="array" ref="AB1306">IF(LEFT(_xll.BDP($C1306, VOLUME_AVG_6M), 4) = "#N/A", "",  _xll.BDP($C1306, VOLUME_AVG_6M))</f>
        <v>27804.5390625</v>
      </c>
      <c r="AC1306" s="31" cm="1">
        <f t="array" ref="AC1306">IF(LEFT(_xll.BDP($C1306, VOLUME_AVG_12M), 4) = "#N/A", "",  _xll.BDP($C1306, VOLUME_AVG_12M))</f>
        <v>22638.919921875</v>
      </c>
      <c r="AD1306" s="41" cm="1">
        <f t="array" ref="AD1306">IF(LEFT(_xll.BDP($C1306, LAST_PRICE), 4) = "#N/A", "",  _xll.BDP($C1306, LAST_PRICE))</f>
        <v>34.51</v>
      </c>
    </row>
    <row r="1307" spans="1:30" x14ac:dyDescent="0.35">
      <c r="A1307" s="1">
        <f t="shared" si="20"/>
        <v>1304</v>
      </c>
      <c r="B1307" s="28">
        <v>45700</v>
      </c>
      <c r="C1307" s="29" t="s">
        <v>2656</v>
      </c>
      <c r="D1307" s="29" t="s">
        <v>2656</v>
      </c>
      <c r="E1307" s="29" t="s">
        <v>2657</v>
      </c>
      <c r="F1307" s="29" t="s">
        <v>33</v>
      </c>
      <c r="G1307" s="30" t="s">
        <v>34</v>
      </c>
      <c r="H1307" s="31">
        <v>235770962.10509399</v>
      </c>
      <c r="I1307" s="31">
        <v>224296962.10509399</v>
      </c>
      <c r="J1307" s="32">
        <v>1.12999999523163</v>
      </c>
      <c r="K1307" s="33">
        <v>45700</v>
      </c>
      <c r="L1307" s="31">
        <v>11659900</v>
      </c>
      <c r="M1307" s="32">
        <v>3.88</v>
      </c>
      <c r="N1307" s="31" t="s">
        <v>35</v>
      </c>
      <c r="O1307" s="33">
        <v>45699</v>
      </c>
      <c r="P1307" s="34">
        <v>7199032.5</v>
      </c>
      <c r="Q1307" s="34">
        <v>7093449.5</v>
      </c>
      <c r="R1307" s="34">
        <v>7142489.5</v>
      </c>
      <c r="S1307" s="29" t="s">
        <v>68</v>
      </c>
      <c r="T1307" s="33">
        <v>45446</v>
      </c>
      <c r="U1307" s="35" t="b">
        <v>0</v>
      </c>
      <c r="V1307" s="35" t="b">
        <v>0</v>
      </c>
      <c r="W1307" s="35" t="b">
        <v>0</v>
      </c>
      <c r="Y1307" s="31" cm="1">
        <f t="array" ref="Y1307">IF(LEFT(_xll.BDP($C1307, VOLUME_AVG_10D), 4) = "#N/A", "",  _xll.BDP($C1307, VOLUME_AVG_10D))</f>
        <v>4318556.5</v>
      </c>
      <c r="Z1307" s="31" cm="1">
        <f t="array" ref="Z1307">IF(LEFT(_xll.BDP($C1307, VOLUME_AVG_30D), 4) = "#N/A", "",  _xll.BDP($C1307, VOLUME_AVG_30D))</f>
        <v>7199032.5</v>
      </c>
      <c r="AA1307" s="31" cm="1">
        <f t="array" ref="AA1307">IF(LEFT(_xll.BDP($C1307, VOLUME_AVG_3M), 4) = "#N/A", "",  _xll.BDP($C1307, VOLUME_AVG_3M))</f>
        <v>7093449.5</v>
      </c>
      <c r="AB1307" s="31" cm="1">
        <f t="array" ref="AB1307">IF(LEFT(_xll.BDP($C1307, VOLUME_AVG_6M), 4) = "#N/A", "",  _xll.BDP($C1307, VOLUME_AVG_6M))</f>
        <v>7142489.5</v>
      </c>
      <c r="AC1307" s="31" cm="1">
        <f t="array" ref="AC1307">IF(LEFT(_xll.BDP($C1307, VOLUME_AVG_12M), 4) = "#N/A", "",  _xll.BDP($C1307, VOLUME_AVG_12M))</f>
        <v>7552829</v>
      </c>
      <c r="AD1307" s="41" cm="1">
        <f t="array" ref="AD1307">IF(LEFT(_xll.BDP($C1307, LAST_PRICE), 4) = "#N/A", "",  _xll.BDP($C1307, LAST_PRICE))</f>
        <v>1.1299999999999999</v>
      </c>
    </row>
    <row r="1308" spans="1:30" x14ac:dyDescent="0.35">
      <c r="A1308" s="1">
        <f t="shared" si="20"/>
        <v>1305</v>
      </c>
      <c r="B1308" s="28">
        <v>45700</v>
      </c>
      <c r="C1308" s="29" t="s">
        <v>2658</v>
      </c>
      <c r="D1308" s="29" t="s">
        <v>2658</v>
      </c>
      <c r="E1308" s="29" t="s">
        <v>2659</v>
      </c>
      <c r="F1308" s="29" t="s">
        <v>33</v>
      </c>
      <c r="G1308" s="30" t="s">
        <v>34</v>
      </c>
      <c r="H1308" s="31">
        <v>41980.368399999999</v>
      </c>
      <c r="I1308" s="31">
        <v>148394.36840000001</v>
      </c>
      <c r="J1308" s="32"/>
      <c r="K1308" s="33">
        <v>45700</v>
      </c>
      <c r="L1308" s="31"/>
      <c r="M1308" s="32"/>
      <c r="N1308" s="31"/>
      <c r="O1308" s="33">
        <v>45699</v>
      </c>
      <c r="P1308" s="34">
        <v>38.333332061767599</v>
      </c>
      <c r="Q1308" s="34">
        <v>18.548387527465799</v>
      </c>
      <c r="R1308" s="34">
        <v>9.1269845962524396</v>
      </c>
      <c r="S1308" s="29"/>
      <c r="T1308" s="33"/>
      <c r="U1308" s="35" t="b">
        <v>1</v>
      </c>
      <c r="V1308" s="35" t="b">
        <v>1</v>
      </c>
      <c r="W1308" s="35" t="b">
        <v>0</v>
      </c>
      <c r="Y1308" s="31" cm="1">
        <f t="array" ref="Y1308">IF(LEFT(_xll.BDP($C1308, VOLUME_AVG_10D), 4) = "#N/A", "",  _xll.BDP($C1308, VOLUME_AVG_10D))</f>
        <v>0</v>
      </c>
      <c r="Z1308" s="31" cm="1">
        <f t="array" ref="Z1308">IF(LEFT(_xll.BDP($C1308, VOLUME_AVG_30D), 4) = "#N/A", "",  _xll.BDP($C1308, VOLUME_AVG_30D))</f>
        <v>38.333332061767578</v>
      </c>
      <c r="AA1308" s="31" cm="1">
        <f t="array" ref="AA1308">IF(LEFT(_xll.BDP($C1308, VOLUME_AVG_3M), 4) = "#N/A", "",  _xll.BDP($C1308, VOLUME_AVG_3M))</f>
        <v>18.54838752746582</v>
      </c>
      <c r="AB1308" s="31" cm="1">
        <f t="array" ref="AB1308">IF(LEFT(_xll.BDP($C1308, VOLUME_AVG_6M), 4) = "#N/A", "",  _xll.BDP($C1308, VOLUME_AVG_6M))</f>
        <v>9.1269845962524414</v>
      </c>
      <c r="AC1308" s="31" cm="1">
        <f t="array" ref="AC1308">IF(LEFT(_xll.BDP($C1308, VOLUME_AVG_12M), 4) = "#N/A", "",  _xll.BDP($C1308, VOLUME_AVG_12M))</f>
        <v>4.5816731452941895</v>
      </c>
      <c r="AD1308" s="41" cm="1">
        <f t="array" ref="AD1308">IF(LEFT(_xll.BDP($C1308, LAST_PRICE), 4) = "#N/A", "",  _xll.BDP($C1308, LAST_PRICE))</f>
        <v>2.0000000000000001E-4</v>
      </c>
    </row>
    <row r="1309" spans="1:30" x14ac:dyDescent="0.35">
      <c r="A1309" s="1">
        <f t="shared" si="20"/>
        <v>1306</v>
      </c>
      <c r="B1309" s="28">
        <v>45700</v>
      </c>
      <c r="C1309" s="29" t="s">
        <v>2660</v>
      </c>
      <c r="D1309" s="29" t="s">
        <v>2660</v>
      </c>
      <c r="E1309" s="29" t="s">
        <v>2661</v>
      </c>
      <c r="F1309" s="29" t="s">
        <v>33</v>
      </c>
      <c r="G1309" s="30" t="s">
        <v>34</v>
      </c>
      <c r="H1309" s="31">
        <v>210964206.860064</v>
      </c>
      <c r="I1309" s="31">
        <v>240522206.860064</v>
      </c>
      <c r="J1309" s="32">
        <v>24.719999313354499</v>
      </c>
      <c r="K1309" s="33">
        <v>45700</v>
      </c>
      <c r="L1309" s="31">
        <v>307100</v>
      </c>
      <c r="M1309" s="32">
        <v>-15.8</v>
      </c>
      <c r="N1309" s="31" t="s">
        <v>35</v>
      </c>
      <c r="O1309" s="33">
        <v>45699</v>
      </c>
      <c r="P1309" s="34">
        <v>8910.3330078125</v>
      </c>
      <c r="Q1309" s="34">
        <v>9663.12890625</v>
      </c>
      <c r="R1309" s="34">
        <v>10159.4189453125</v>
      </c>
      <c r="S1309" s="29"/>
      <c r="T1309" s="33"/>
      <c r="U1309" s="35" t="b">
        <v>0</v>
      </c>
      <c r="V1309" s="35" t="b">
        <v>0</v>
      </c>
      <c r="W1309" s="35" t="b">
        <v>0</v>
      </c>
      <c r="Y1309" s="31" cm="1">
        <f t="array" ref="Y1309">IF(LEFT(_xll.BDP($C1309, VOLUME_AVG_10D), 4) = "#N/A", "",  _xll.BDP($C1309, VOLUME_AVG_10D))</f>
        <v>5607.10009765625</v>
      </c>
      <c r="Z1309" s="31" cm="1">
        <f t="array" ref="Z1309">IF(LEFT(_xll.BDP($C1309, VOLUME_AVG_30D), 4) = "#N/A", "",  _xll.BDP($C1309, VOLUME_AVG_30D))</f>
        <v>8910.3330078125</v>
      </c>
      <c r="AA1309" s="31" cm="1">
        <f t="array" ref="AA1309">IF(LEFT(_xll.BDP($C1309, VOLUME_AVG_3M), 4) = "#N/A", "",  _xll.BDP($C1309, VOLUME_AVG_3M))</f>
        <v>9663.12890625</v>
      </c>
      <c r="AB1309" s="31" cm="1">
        <f t="array" ref="AB1309">IF(LEFT(_xll.BDP($C1309, VOLUME_AVG_6M), 4) = "#N/A", "",  _xll.BDP($C1309, VOLUME_AVG_6M))</f>
        <v>10159.4189453125</v>
      </c>
      <c r="AC1309" s="31" cm="1">
        <f t="array" ref="AC1309">IF(LEFT(_xll.BDP($C1309, VOLUME_AVG_12M), 4) = "#N/A", "",  _xll.BDP($C1309, VOLUME_AVG_12M))</f>
        <v>5534.0068359375</v>
      </c>
      <c r="AD1309" s="41" cm="1">
        <f t="array" ref="AD1309">IF(LEFT(_xll.BDP($C1309, LAST_PRICE), 4) = "#N/A", "",  _xll.BDP($C1309, LAST_PRICE))</f>
        <v>24.72</v>
      </c>
    </row>
    <row r="1310" spans="1:30" x14ac:dyDescent="0.35">
      <c r="A1310" s="1">
        <f t="shared" si="20"/>
        <v>1307</v>
      </c>
      <c r="B1310" s="28">
        <v>45700</v>
      </c>
      <c r="C1310" s="29" t="s">
        <v>2662</v>
      </c>
      <c r="D1310" s="29" t="s">
        <v>2662</v>
      </c>
      <c r="E1310" s="29" t="s">
        <v>2663</v>
      </c>
      <c r="F1310" s="29" t="s">
        <v>33</v>
      </c>
      <c r="G1310" s="30" t="s">
        <v>34</v>
      </c>
      <c r="H1310" s="31">
        <v>10489012533.297701</v>
      </c>
      <c r="I1310" s="31">
        <v>10683469533.297701</v>
      </c>
      <c r="J1310" s="32">
        <v>109.80999755859401</v>
      </c>
      <c r="K1310" s="33">
        <v>45700</v>
      </c>
      <c r="L1310" s="31">
        <v>37720000</v>
      </c>
      <c r="M1310" s="32">
        <v>3.88</v>
      </c>
      <c r="N1310" s="31" t="s">
        <v>35</v>
      </c>
      <c r="O1310" s="33">
        <v>45699</v>
      </c>
      <c r="P1310" s="34">
        <v>778087.5625</v>
      </c>
      <c r="Q1310" s="34">
        <v>914941.6875</v>
      </c>
      <c r="R1310" s="34">
        <v>880944.8125</v>
      </c>
      <c r="S1310" s="29" t="s">
        <v>177</v>
      </c>
      <c r="T1310" s="33">
        <v>45446</v>
      </c>
      <c r="U1310" s="35" t="b">
        <v>0</v>
      </c>
      <c r="V1310" s="35" t="b">
        <v>0</v>
      </c>
      <c r="W1310" s="35" t="b">
        <v>0</v>
      </c>
      <c r="Y1310" s="31" cm="1">
        <f t="array" ref="Y1310">IF(LEFT(_xll.BDP($C1310, VOLUME_AVG_10D), 4) = "#N/A", "",  _xll.BDP($C1310, VOLUME_AVG_10D))</f>
        <v>743598.8125</v>
      </c>
      <c r="Z1310" s="31" cm="1">
        <f t="array" ref="Z1310">IF(LEFT(_xll.BDP($C1310, VOLUME_AVG_30D), 4) = "#N/A", "",  _xll.BDP($C1310, VOLUME_AVG_30D))</f>
        <v>778087.5625</v>
      </c>
      <c r="AA1310" s="31" cm="1">
        <f t="array" ref="AA1310">IF(LEFT(_xll.BDP($C1310, VOLUME_AVG_3M), 4) = "#N/A", "",  _xll.BDP($C1310, VOLUME_AVG_3M))</f>
        <v>914941.6875</v>
      </c>
      <c r="AB1310" s="31" cm="1">
        <f t="array" ref="AB1310">IF(LEFT(_xll.BDP($C1310, VOLUME_AVG_6M), 4) = "#N/A", "",  _xll.BDP($C1310, VOLUME_AVG_6M))</f>
        <v>880944.8125</v>
      </c>
      <c r="AC1310" s="31" cm="1">
        <f t="array" ref="AC1310">IF(LEFT(_xll.BDP($C1310, VOLUME_AVG_12M), 4) = "#N/A", "",  _xll.BDP($C1310, VOLUME_AVG_12M))</f>
        <v>1151126.625</v>
      </c>
      <c r="AD1310" s="41" cm="1">
        <f t="array" ref="AD1310">IF(LEFT(_xll.BDP($C1310, LAST_PRICE), 4) = "#N/A", "",  _xll.BDP($C1310, LAST_PRICE))</f>
        <v>109.81</v>
      </c>
    </row>
    <row r="1311" spans="1:30" x14ac:dyDescent="0.35">
      <c r="A1311" s="1">
        <f t="shared" si="20"/>
        <v>1308</v>
      </c>
      <c r="B1311" s="28">
        <v>45700</v>
      </c>
      <c r="C1311" s="29" t="s">
        <v>2664</v>
      </c>
      <c r="D1311" s="29" t="s">
        <v>2664</v>
      </c>
      <c r="E1311" s="29" t="s">
        <v>2665</v>
      </c>
      <c r="F1311" s="29" t="s">
        <v>40</v>
      </c>
      <c r="G1311" s="30" t="s">
        <v>41</v>
      </c>
      <c r="H1311" s="31">
        <v>129339495.41585501</v>
      </c>
      <c r="I1311" s="31"/>
      <c r="J1311" s="32">
        <v>0.77999997138977095</v>
      </c>
      <c r="K1311" s="33">
        <v>45700</v>
      </c>
      <c r="L1311" s="31">
        <v>4745400</v>
      </c>
      <c r="M1311" s="32">
        <v>-19.149999999999999</v>
      </c>
      <c r="N1311" s="31" t="s">
        <v>35</v>
      </c>
      <c r="O1311" s="33">
        <v>45699</v>
      </c>
      <c r="P1311" s="34">
        <v>247918.6</v>
      </c>
      <c r="Q1311" s="34">
        <v>298481.7</v>
      </c>
      <c r="R1311" s="34">
        <v>239744</v>
      </c>
      <c r="S1311" s="29" t="s">
        <v>177</v>
      </c>
      <c r="T1311" s="33">
        <v>45446</v>
      </c>
      <c r="U1311" s="35" t="b">
        <v>0</v>
      </c>
      <c r="V1311" s="35" t="b">
        <v>0</v>
      </c>
      <c r="W1311" s="35" t="b">
        <v>1</v>
      </c>
      <c r="Y1311" s="31" cm="1">
        <f t="array" ref="Y1311">IF(LEFT(_xll.BDP($C1311, VOLUME_AVG_10D), 4) = "#N/A", "",  _xll.BDP($C1311, VOLUME_AVG_10D))</f>
        <v>553352.1</v>
      </c>
      <c r="Z1311" s="31" cm="1">
        <f t="array" ref="Z1311">IF(LEFT(_xll.BDP($C1311, VOLUME_AVG_30D), 4) = "#N/A", "",  _xll.BDP($C1311, VOLUME_AVG_30D))</f>
        <v>247918.6</v>
      </c>
      <c r="AA1311" s="31" cm="1">
        <f t="array" ref="AA1311">IF(LEFT(_xll.BDP($C1311, VOLUME_AVG_3M), 4) = "#N/A", "",  _xll.BDP($C1311, VOLUME_AVG_3M))</f>
        <v>298481.7</v>
      </c>
      <c r="AB1311" s="31" cm="1">
        <f t="array" ref="AB1311">IF(LEFT(_xll.BDP($C1311, VOLUME_AVG_6M), 4) = "#N/A", "",  _xll.BDP($C1311, VOLUME_AVG_6M))</f>
        <v>239744</v>
      </c>
      <c r="AC1311" s="31" cm="1">
        <f t="array" ref="AC1311">IF(LEFT(_xll.BDP($C1311, VOLUME_AVG_12M), 4) = "#N/A", "",  _xll.BDP($C1311, VOLUME_AVG_12M))</f>
        <v>173437.8</v>
      </c>
      <c r="AD1311" s="41" cm="1">
        <f t="array" ref="AD1311">IF(LEFT(_xll.BDP($C1311, LAST_PRICE), 4) = "#N/A", "",  _xll.BDP($C1311, LAST_PRICE))</f>
        <v>0.78</v>
      </c>
    </row>
    <row r="1312" spans="1:30" x14ac:dyDescent="0.35">
      <c r="A1312" s="1">
        <f t="shared" si="20"/>
        <v>1309</v>
      </c>
      <c r="B1312" s="28">
        <v>45700</v>
      </c>
      <c r="C1312" s="29" t="s">
        <v>2666</v>
      </c>
      <c r="D1312" s="29" t="s">
        <v>2666</v>
      </c>
      <c r="E1312" s="29" t="s">
        <v>2667</v>
      </c>
      <c r="F1312" s="29" t="s">
        <v>33</v>
      </c>
      <c r="G1312" s="30" t="s">
        <v>34</v>
      </c>
      <c r="H1312" s="31">
        <v>471952096</v>
      </c>
      <c r="I1312" s="31">
        <v>279064096</v>
      </c>
      <c r="J1312" s="32">
        <v>2.75</v>
      </c>
      <c r="K1312" s="33">
        <v>45700</v>
      </c>
      <c r="L1312" s="31">
        <v>18151000</v>
      </c>
      <c r="M1312" s="32">
        <v>3.88</v>
      </c>
      <c r="N1312" s="31" t="s">
        <v>35</v>
      </c>
      <c r="O1312" s="33">
        <v>45699</v>
      </c>
      <c r="P1312" s="34">
        <v>867617.75</v>
      </c>
      <c r="Q1312" s="34">
        <v>1317443.875</v>
      </c>
      <c r="R1312" s="34">
        <v>1246281.625</v>
      </c>
      <c r="S1312" s="29" t="s">
        <v>353</v>
      </c>
      <c r="T1312" s="33">
        <v>45446</v>
      </c>
      <c r="U1312" s="35" t="b">
        <v>0</v>
      </c>
      <c r="V1312" s="35" t="b">
        <v>0</v>
      </c>
      <c r="W1312" s="35" t="b">
        <v>0</v>
      </c>
      <c r="Y1312" s="31" cm="1">
        <f t="array" ref="Y1312">IF(LEFT(_xll.BDP($C1312, VOLUME_AVG_10D), 4) = "#N/A", "",  _xll.BDP($C1312, VOLUME_AVG_10D))</f>
        <v>627718.5</v>
      </c>
      <c r="Z1312" s="31" cm="1">
        <f t="array" ref="Z1312">IF(LEFT(_xll.BDP($C1312, VOLUME_AVG_30D), 4) = "#N/A", "",  _xll.BDP($C1312, VOLUME_AVG_30D))</f>
        <v>867617.75</v>
      </c>
      <c r="AA1312" s="31" cm="1">
        <f t="array" ref="AA1312">IF(LEFT(_xll.BDP($C1312, VOLUME_AVG_3M), 4) = "#N/A", "",  _xll.BDP($C1312, VOLUME_AVG_3M))</f>
        <v>1317443.875</v>
      </c>
      <c r="AB1312" s="31" cm="1">
        <f t="array" ref="AB1312">IF(LEFT(_xll.BDP($C1312, VOLUME_AVG_6M), 4) = "#N/A", "",  _xll.BDP($C1312, VOLUME_AVG_6M))</f>
        <v>1246281.625</v>
      </c>
      <c r="AC1312" s="31" cm="1">
        <f t="array" ref="AC1312">IF(LEFT(_xll.BDP($C1312, VOLUME_AVG_12M), 4) = "#N/A", "",  _xll.BDP($C1312, VOLUME_AVG_12M))</f>
        <v>1279065.75</v>
      </c>
      <c r="AD1312" s="41" cm="1">
        <f t="array" ref="AD1312">IF(LEFT(_xll.BDP($C1312, LAST_PRICE), 4) = "#N/A", "",  _xll.BDP($C1312, LAST_PRICE))</f>
        <v>2.75</v>
      </c>
    </row>
    <row r="1313" spans="1:30" x14ac:dyDescent="0.35">
      <c r="A1313" s="1">
        <f t="shared" si="20"/>
        <v>1310</v>
      </c>
      <c r="B1313" s="28">
        <v>45700</v>
      </c>
      <c r="C1313" s="29" t="s">
        <v>2668</v>
      </c>
      <c r="D1313" s="29" t="s">
        <v>2668</v>
      </c>
      <c r="E1313" s="29" t="s">
        <v>2669</v>
      </c>
      <c r="F1313" s="29" t="s">
        <v>33</v>
      </c>
      <c r="G1313" s="30" t="s">
        <v>34</v>
      </c>
      <c r="H1313" s="31">
        <v>531587394.840271</v>
      </c>
      <c r="I1313" s="31">
        <v>511452207.840271</v>
      </c>
      <c r="J1313" s="32">
        <v>5.1599998474121103</v>
      </c>
      <c r="K1313" s="33">
        <v>45700</v>
      </c>
      <c r="L1313" s="31"/>
      <c r="M1313" s="32"/>
      <c r="N1313" s="31"/>
      <c r="O1313" s="33">
        <v>45699</v>
      </c>
      <c r="P1313" s="34">
        <v>16704.43359375</v>
      </c>
      <c r="Q1313" s="34">
        <v>45501.08203125</v>
      </c>
      <c r="R1313" s="34">
        <v>55366.83203125</v>
      </c>
      <c r="S1313" s="29"/>
      <c r="T1313" s="33"/>
      <c r="U1313" s="35" t="b">
        <v>0</v>
      </c>
      <c r="V1313" s="35" t="b">
        <v>0</v>
      </c>
      <c r="W1313" s="35" t="b">
        <v>0</v>
      </c>
      <c r="Y1313" s="31" cm="1">
        <f t="array" ref="Y1313">IF(LEFT(_xll.BDP($C1313, VOLUME_AVG_10D), 4) = "#N/A", "",  _xll.BDP($C1313, VOLUME_AVG_10D))</f>
        <v>12395.7998046875</v>
      </c>
      <c r="Z1313" s="31" cm="1">
        <f t="array" ref="Z1313">IF(LEFT(_xll.BDP($C1313, VOLUME_AVG_30D), 4) = "#N/A", "",  _xll.BDP($C1313, VOLUME_AVG_30D))</f>
        <v>16704.43359375</v>
      </c>
      <c r="AA1313" s="31" cm="1">
        <f t="array" ref="AA1313">IF(LEFT(_xll.BDP($C1313, VOLUME_AVG_3M), 4) = "#N/A", "",  _xll.BDP($C1313, VOLUME_AVG_3M))</f>
        <v>45501.08203125</v>
      </c>
      <c r="AB1313" s="31" cm="1">
        <f t="array" ref="AB1313">IF(LEFT(_xll.BDP($C1313, VOLUME_AVG_6M), 4) = "#N/A", "",  _xll.BDP($C1313, VOLUME_AVG_6M))</f>
        <v>55366.83203125</v>
      </c>
      <c r="AC1313" s="31" cm="1">
        <f t="array" ref="AC1313">IF(LEFT(_xll.BDP($C1313, VOLUME_AVG_12M), 4) = "#N/A", "",  _xll.BDP($C1313, VOLUME_AVG_12M))</f>
        <v>30490.9609375</v>
      </c>
      <c r="AD1313" s="41" cm="1">
        <f t="array" ref="AD1313">IF(LEFT(_xll.BDP($C1313, LAST_PRICE), 4) = "#N/A", "",  _xll.BDP($C1313, LAST_PRICE))</f>
        <v>5.16</v>
      </c>
    </row>
    <row r="1314" spans="1:30" x14ac:dyDescent="0.35">
      <c r="A1314" s="1">
        <f t="shared" si="20"/>
        <v>1311</v>
      </c>
      <c r="B1314" s="28">
        <v>45700</v>
      </c>
      <c r="C1314" s="29" t="s">
        <v>2670</v>
      </c>
      <c r="D1314" s="29" t="s">
        <v>2670</v>
      </c>
      <c r="E1314" s="29" t="s">
        <v>2671</v>
      </c>
      <c r="F1314" s="29" t="s">
        <v>33</v>
      </c>
      <c r="G1314" s="30" t="s">
        <v>34</v>
      </c>
      <c r="H1314" s="31">
        <v>3481539899.1294298</v>
      </c>
      <c r="I1314" s="31">
        <v>3409080899.1294298</v>
      </c>
      <c r="J1314" s="32">
        <v>37.189998626708999</v>
      </c>
      <c r="K1314" s="33">
        <v>45700</v>
      </c>
      <c r="L1314" s="31">
        <v>19310800</v>
      </c>
      <c r="M1314" s="32">
        <v>3.88</v>
      </c>
      <c r="N1314" s="31" t="s">
        <v>35</v>
      </c>
      <c r="O1314" s="33">
        <v>45699</v>
      </c>
      <c r="P1314" s="34">
        <v>940782.8125</v>
      </c>
      <c r="Q1314" s="34">
        <v>1057115.625</v>
      </c>
      <c r="R1314" s="34">
        <v>1468292.375</v>
      </c>
      <c r="S1314" s="29" t="s">
        <v>177</v>
      </c>
      <c r="T1314" s="33">
        <v>45446</v>
      </c>
      <c r="U1314" s="35" t="b">
        <v>0</v>
      </c>
      <c r="V1314" s="35" t="b">
        <v>0</v>
      </c>
      <c r="W1314" s="35" t="b">
        <v>0</v>
      </c>
      <c r="Y1314" s="31" cm="1">
        <f t="array" ref="Y1314">IF(LEFT(_xll.BDP($C1314, VOLUME_AVG_10D), 4) = "#N/A", "",  _xll.BDP($C1314, VOLUME_AVG_10D))</f>
        <v>853650.5</v>
      </c>
      <c r="Z1314" s="31" cm="1">
        <f t="array" ref="Z1314">IF(LEFT(_xll.BDP($C1314, VOLUME_AVG_30D), 4) = "#N/A", "",  _xll.BDP($C1314, VOLUME_AVG_30D))</f>
        <v>940782.8125</v>
      </c>
      <c r="AA1314" s="31" cm="1">
        <f t="array" ref="AA1314">IF(LEFT(_xll.BDP($C1314, VOLUME_AVG_3M), 4) = "#N/A", "",  _xll.BDP($C1314, VOLUME_AVG_3M))</f>
        <v>1057115.625</v>
      </c>
      <c r="AB1314" s="31" cm="1">
        <f t="array" ref="AB1314">IF(LEFT(_xll.BDP($C1314, VOLUME_AVG_6M), 4) = "#N/A", "",  _xll.BDP($C1314, VOLUME_AVG_6M))</f>
        <v>1468292.375</v>
      </c>
      <c r="AC1314" s="31" cm="1">
        <f t="array" ref="AC1314">IF(LEFT(_xll.BDP($C1314, VOLUME_AVG_12M), 4) = "#N/A", "",  _xll.BDP($C1314, VOLUME_AVG_12M))</f>
        <v>1175889.875</v>
      </c>
      <c r="AD1314" s="41" cm="1">
        <f t="array" ref="AD1314">IF(LEFT(_xll.BDP($C1314, LAST_PRICE), 4) = "#N/A", "",  _xll.BDP($C1314, LAST_PRICE))</f>
        <v>37.19</v>
      </c>
    </row>
    <row r="1315" spans="1:30" x14ac:dyDescent="0.35">
      <c r="A1315" s="1">
        <f t="shared" si="20"/>
        <v>1312</v>
      </c>
      <c r="B1315" s="28">
        <v>45700</v>
      </c>
      <c r="C1315" s="29" t="s">
        <v>2672</v>
      </c>
      <c r="D1315" s="29" t="s">
        <v>2672</v>
      </c>
      <c r="E1315" s="29" t="s">
        <v>2673</v>
      </c>
      <c r="F1315" s="29" t="s">
        <v>33</v>
      </c>
      <c r="G1315" s="30" t="s">
        <v>34</v>
      </c>
      <c r="H1315" s="31">
        <v>1738410225.0894599</v>
      </c>
      <c r="I1315" s="31">
        <v>1469875225.0894599</v>
      </c>
      <c r="J1315" s="32">
        <v>23.860000610351602</v>
      </c>
      <c r="K1315" s="33">
        <v>45700</v>
      </c>
      <c r="L1315" s="31">
        <v>12714200</v>
      </c>
      <c r="M1315" s="32">
        <v>3.88</v>
      </c>
      <c r="N1315" s="31" t="s">
        <v>35</v>
      </c>
      <c r="O1315" s="33">
        <v>45699</v>
      </c>
      <c r="P1315" s="34">
        <v>897585.5625</v>
      </c>
      <c r="Q1315" s="34">
        <v>852070.4375</v>
      </c>
      <c r="R1315" s="34">
        <v>715005.5</v>
      </c>
      <c r="S1315" s="29" t="s">
        <v>2674</v>
      </c>
      <c r="T1315" s="33">
        <v>45215</v>
      </c>
      <c r="U1315" s="35" t="b">
        <v>0</v>
      </c>
      <c r="V1315" s="35" t="b">
        <v>0</v>
      </c>
      <c r="W1315" s="35" t="b">
        <v>0</v>
      </c>
      <c r="Y1315" s="31" cm="1">
        <f t="array" ref="Y1315">IF(LEFT(_xll.BDP($C1315, VOLUME_AVG_10D), 4) = "#N/A", "",  _xll.BDP($C1315, VOLUME_AVG_10D))</f>
        <v>879473</v>
      </c>
      <c r="Z1315" s="31" cm="1">
        <f t="array" ref="Z1315">IF(LEFT(_xll.BDP($C1315, VOLUME_AVG_30D), 4) = "#N/A", "",  _xll.BDP($C1315, VOLUME_AVG_30D))</f>
        <v>897585.5625</v>
      </c>
      <c r="AA1315" s="31" cm="1">
        <f t="array" ref="AA1315">IF(LEFT(_xll.BDP($C1315, VOLUME_AVG_3M), 4) = "#N/A", "",  _xll.BDP($C1315, VOLUME_AVG_3M))</f>
        <v>852070.4375</v>
      </c>
      <c r="AB1315" s="31" cm="1">
        <f t="array" ref="AB1315">IF(LEFT(_xll.BDP($C1315, VOLUME_AVG_6M), 4) = "#N/A", "",  _xll.BDP($C1315, VOLUME_AVG_6M))</f>
        <v>715005.5</v>
      </c>
      <c r="AC1315" s="31" cm="1">
        <f t="array" ref="AC1315">IF(LEFT(_xll.BDP($C1315, VOLUME_AVG_12M), 4) = "#N/A", "",  _xll.BDP($C1315, VOLUME_AVG_12M))</f>
        <v>770611</v>
      </c>
      <c r="AD1315" s="41" cm="1">
        <f t="array" ref="AD1315">IF(LEFT(_xll.BDP($C1315, LAST_PRICE), 4) = "#N/A", "",  _xll.BDP($C1315, LAST_PRICE))</f>
        <v>23.86</v>
      </c>
    </row>
    <row r="1316" spans="1:30" x14ac:dyDescent="0.35">
      <c r="A1316" s="1">
        <f t="shared" si="20"/>
        <v>1313</v>
      </c>
      <c r="B1316" s="28">
        <v>45700</v>
      </c>
      <c r="C1316" s="29" t="s">
        <v>2675</v>
      </c>
      <c r="D1316" s="29" t="s">
        <v>2675</v>
      </c>
      <c r="E1316" s="29" t="s">
        <v>2676</v>
      </c>
      <c r="F1316" s="29" t="s">
        <v>33</v>
      </c>
      <c r="G1316" s="30" t="s">
        <v>34</v>
      </c>
      <c r="H1316" s="31">
        <v>10923742.5593195</v>
      </c>
      <c r="I1316" s="31">
        <v>7415342.5593194999</v>
      </c>
      <c r="J1316" s="32">
        <v>1.03999996185303</v>
      </c>
      <c r="K1316" s="33">
        <v>45700</v>
      </c>
      <c r="L1316" s="31">
        <v>43200</v>
      </c>
      <c r="M1316" s="32">
        <v>-0.9</v>
      </c>
      <c r="N1316" s="31" t="s">
        <v>35</v>
      </c>
      <c r="O1316" s="33">
        <v>45699</v>
      </c>
      <c r="P1316" s="34">
        <v>13111.466796875</v>
      </c>
      <c r="Q1316" s="34">
        <v>10485.4833984375</v>
      </c>
      <c r="R1316" s="34">
        <v>5851.8017578125</v>
      </c>
      <c r="S1316" s="29"/>
      <c r="T1316" s="33"/>
      <c r="U1316" s="35" t="b">
        <v>1</v>
      </c>
      <c r="V1316" s="35" t="b">
        <v>0</v>
      </c>
      <c r="W1316" s="35" t="b">
        <v>0</v>
      </c>
      <c r="Y1316" s="31" cm="1">
        <f t="array" ref="Y1316">IF(LEFT(_xll.BDP($C1316, VOLUME_AVG_10D), 4) = "#N/A", "",  _xll.BDP($C1316, VOLUME_AVG_10D))</f>
        <v>7925.7998046875</v>
      </c>
      <c r="Z1316" s="31" cm="1">
        <f t="array" ref="Z1316">IF(LEFT(_xll.BDP($C1316, VOLUME_AVG_30D), 4) = "#N/A", "",  _xll.BDP($C1316, VOLUME_AVG_30D))</f>
        <v>13111.466796875</v>
      </c>
      <c r="AA1316" s="31" cm="1">
        <f t="array" ref="AA1316">IF(LEFT(_xll.BDP($C1316, VOLUME_AVG_3M), 4) = "#N/A", "",  _xll.BDP($C1316, VOLUME_AVG_3M))</f>
        <v>10485.4833984375</v>
      </c>
      <c r="AB1316" s="31" cm="1">
        <f t="array" ref="AB1316">IF(LEFT(_xll.BDP($C1316, VOLUME_AVG_6M), 4) = "#N/A", "",  _xll.BDP($C1316, VOLUME_AVG_6M))</f>
        <v>5851.8017578125</v>
      </c>
      <c r="AC1316" s="31" cm="1">
        <f t="array" ref="AC1316">IF(LEFT(_xll.BDP($C1316, VOLUME_AVG_12M), 4) = "#N/A", "",  _xll.BDP($C1316, VOLUME_AVG_12M))</f>
        <v>5553.099609375</v>
      </c>
      <c r="AD1316" s="41" cm="1">
        <f t="array" ref="AD1316">IF(LEFT(_xll.BDP($C1316, LAST_PRICE), 4) = "#N/A", "",  _xll.BDP($C1316, LAST_PRICE))</f>
        <v>1.04</v>
      </c>
    </row>
    <row r="1317" spans="1:30" x14ac:dyDescent="0.35">
      <c r="A1317" s="1">
        <f t="shared" si="20"/>
        <v>1314</v>
      </c>
      <c r="B1317" s="28">
        <v>45700</v>
      </c>
      <c r="C1317" s="29" t="s">
        <v>2677</v>
      </c>
      <c r="D1317" s="29" t="s">
        <v>2677</v>
      </c>
      <c r="E1317" s="29" t="s">
        <v>2678</v>
      </c>
      <c r="F1317" s="29" t="s">
        <v>33</v>
      </c>
      <c r="G1317" s="30" t="s">
        <v>34</v>
      </c>
      <c r="H1317" s="31">
        <v>27061651.734259099</v>
      </c>
      <c r="I1317" s="31">
        <v>28972644.734259099</v>
      </c>
      <c r="J1317" s="32">
        <v>3.0099999904632599</v>
      </c>
      <c r="K1317" s="33">
        <v>45700</v>
      </c>
      <c r="L1317" s="31">
        <v>66300</v>
      </c>
      <c r="M1317" s="32">
        <v>-27.45</v>
      </c>
      <c r="N1317" s="31" t="s">
        <v>35</v>
      </c>
      <c r="O1317" s="33">
        <v>45699</v>
      </c>
      <c r="P1317" s="34">
        <v>11256.8662109375</v>
      </c>
      <c r="Q1317" s="34">
        <v>11130.6455078125</v>
      </c>
      <c r="R1317" s="34">
        <v>16899.373046875</v>
      </c>
      <c r="S1317" s="29"/>
      <c r="T1317" s="33"/>
      <c r="U1317" s="35" t="b">
        <v>0</v>
      </c>
      <c r="V1317" s="35" t="b">
        <v>0</v>
      </c>
      <c r="W1317" s="35" t="b">
        <v>0</v>
      </c>
      <c r="Y1317" s="31" cm="1">
        <f t="array" ref="Y1317">IF(LEFT(_xll.BDP($C1317, VOLUME_AVG_10D), 4) = "#N/A", "",  _xll.BDP($C1317, VOLUME_AVG_10D))</f>
        <v>13508.400390625</v>
      </c>
      <c r="Z1317" s="31" cm="1">
        <f t="array" ref="Z1317">IF(LEFT(_xll.BDP($C1317, VOLUME_AVG_30D), 4) = "#N/A", "",  _xll.BDP($C1317, VOLUME_AVG_30D))</f>
        <v>11256.8662109375</v>
      </c>
      <c r="AA1317" s="31" cm="1">
        <f t="array" ref="AA1317">IF(LEFT(_xll.BDP($C1317, VOLUME_AVG_3M), 4) = "#N/A", "",  _xll.BDP($C1317, VOLUME_AVG_3M))</f>
        <v>11130.6455078125</v>
      </c>
      <c r="AB1317" s="31" cm="1">
        <f t="array" ref="AB1317">IF(LEFT(_xll.BDP($C1317, VOLUME_AVG_6M), 4) = "#N/A", "",  _xll.BDP($C1317, VOLUME_AVG_6M))</f>
        <v>16899.373046875</v>
      </c>
      <c r="AC1317" s="31" cm="1">
        <f t="array" ref="AC1317">IF(LEFT(_xll.BDP($C1317, VOLUME_AVG_12M), 4) = "#N/A", "",  _xll.BDP($C1317, VOLUME_AVG_12M))</f>
        <v>153979.375</v>
      </c>
      <c r="AD1317" s="41" cm="1">
        <f t="array" ref="AD1317">IF(LEFT(_xll.BDP($C1317, LAST_PRICE), 4) = "#N/A", "",  _xll.BDP($C1317, LAST_PRICE))</f>
        <v>3.01</v>
      </c>
    </row>
    <row r="1318" spans="1:30" x14ac:dyDescent="0.35">
      <c r="A1318" s="1">
        <f t="shared" si="20"/>
        <v>1315</v>
      </c>
      <c r="B1318" s="28">
        <v>45700</v>
      </c>
      <c r="C1318" s="29" t="s">
        <v>2679</v>
      </c>
      <c r="D1318" s="29" t="s">
        <v>2679</v>
      </c>
      <c r="E1318" s="29" t="s">
        <v>2680</v>
      </c>
      <c r="F1318" s="29" t="s">
        <v>33</v>
      </c>
      <c r="G1318" s="30" t="s">
        <v>34</v>
      </c>
      <c r="H1318" s="31">
        <v>82239755.013979405</v>
      </c>
      <c r="I1318" s="31">
        <v>84564755.013979405</v>
      </c>
      <c r="J1318" s="32">
        <v>0.33799999952316301</v>
      </c>
      <c r="K1318" s="33">
        <v>45700</v>
      </c>
      <c r="L1318" s="31">
        <v>14824000</v>
      </c>
      <c r="M1318" s="32">
        <v>-19.45</v>
      </c>
      <c r="N1318" s="31" t="s">
        <v>35</v>
      </c>
      <c r="O1318" s="33">
        <v>45699</v>
      </c>
      <c r="P1318" s="34">
        <v>1424960.75</v>
      </c>
      <c r="Q1318" s="34">
        <v>1646512.125</v>
      </c>
      <c r="R1318" s="34">
        <v>1646777.625</v>
      </c>
      <c r="S1318" s="29" t="s">
        <v>63</v>
      </c>
      <c r="T1318" s="33">
        <v>45215</v>
      </c>
      <c r="U1318" s="35" t="b">
        <v>0</v>
      </c>
      <c r="V1318" s="35" t="b">
        <v>0</v>
      </c>
      <c r="W1318" s="35" t="b">
        <v>0</v>
      </c>
      <c r="Y1318" s="31" cm="1">
        <f t="array" ref="Y1318">IF(LEFT(_xll.BDP($C1318, VOLUME_AVG_10D), 4) = "#N/A", "",  _xll.BDP($C1318, VOLUME_AVG_10D))</f>
        <v>1353795.375</v>
      </c>
      <c r="Z1318" s="31" cm="1">
        <f t="array" ref="Z1318">IF(LEFT(_xll.BDP($C1318, VOLUME_AVG_30D), 4) = "#N/A", "",  _xll.BDP($C1318, VOLUME_AVG_30D))</f>
        <v>1424960.75</v>
      </c>
      <c r="AA1318" s="31" cm="1">
        <f t="array" ref="AA1318">IF(LEFT(_xll.BDP($C1318, VOLUME_AVG_3M), 4) = "#N/A", "",  _xll.BDP($C1318, VOLUME_AVG_3M))</f>
        <v>1646512.125</v>
      </c>
      <c r="AB1318" s="31" cm="1">
        <f t="array" ref="AB1318">IF(LEFT(_xll.BDP($C1318, VOLUME_AVG_6M), 4) = "#N/A", "",  _xll.BDP($C1318, VOLUME_AVG_6M))</f>
        <v>1646777.625</v>
      </c>
      <c r="AC1318" s="31" cm="1">
        <f t="array" ref="AC1318">IF(LEFT(_xll.BDP($C1318, VOLUME_AVG_12M), 4) = "#N/A", "",  _xll.BDP($C1318, VOLUME_AVG_12M))</f>
        <v>1395511</v>
      </c>
      <c r="AD1318" s="41" cm="1">
        <f t="array" ref="AD1318">IF(LEFT(_xll.BDP($C1318, LAST_PRICE), 4) = "#N/A", "",  _xll.BDP($C1318, LAST_PRICE))</f>
        <v>0.33800000000000002</v>
      </c>
    </row>
    <row r="1319" spans="1:30" x14ac:dyDescent="0.35">
      <c r="A1319" s="1">
        <f t="shared" si="20"/>
        <v>1316</v>
      </c>
      <c r="B1319" s="28">
        <v>45700</v>
      </c>
      <c r="C1319" s="29" t="s">
        <v>2681</v>
      </c>
      <c r="D1319" s="29" t="s">
        <v>2681</v>
      </c>
      <c r="E1319" s="29" t="s">
        <v>2682</v>
      </c>
      <c r="F1319" s="29" t="s">
        <v>33</v>
      </c>
      <c r="G1319" s="30" t="s">
        <v>34</v>
      </c>
      <c r="H1319" s="31">
        <v>1894522.5884578</v>
      </c>
      <c r="I1319" s="31">
        <v>1946849.0834578001</v>
      </c>
      <c r="J1319" s="32">
        <v>3.2599999904632599</v>
      </c>
      <c r="K1319" s="33">
        <v>45700</v>
      </c>
      <c r="L1319" s="31">
        <v>15500</v>
      </c>
      <c r="M1319" s="32">
        <v>-8.4499999999999993</v>
      </c>
      <c r="N1319" s="31" t="s">
        <v>35</v>
      </c>
      <c r="O1319" s="33">
        <v>45699</v>
      </c>
      <c r="P1319" s="34">
        <v>18223.033203125</v>
      </c>
      <c r="Q1319" s="34">
        <v>14481.0166015625</v>
      </c>
      <c r="R1319" s="34">
        <v>21255.181640625</v>
      </c>
      <c r="S1319" s="29"/>
      <c r="T1319" s="33"/>
      <c r="U1319" s="35" t="b">
        <v>1</v>
      </c>
      <c r="V1319" s="35" t="b">
        <v>0</v>
      </c>
      <c r="W1319" s="35" t="b">
        <v>0</v>
      </c>
      <c r="Y1319" s="31" cm="1">
        <f t="array" ref="Y1319">IF(LEFT(_xll.BDP($C1319, VOLUME_AVG_10D), 4) = "#N/A", "",  _xll.BDP($C1319, VOLUME_AVG_10D))</f>
        <v>36895.5</v>
      </c>
      <c r="Z1319" s="31" cm="1">
        <f t="array" ref="Z1319">IF(LEFT(_xll.BDP($C1319, VOLUME_AVG_30D), 4) = "#N/A", "",  _xll.BDP($C1319, VOLUME_AVG_30D))</f>
        <v>18223.033203125</v>
      </c>
      <c r="AA1319" s="31" cm="1">
        <f t="array" ref="AA1319">IF(LEFT(_xll.BDP($C1319, VOLUME_AVG_3M), 4) = "#N/A", "",  _xll.BDP($C1319, VOLUME_AVG_3M))</f>
        <v>14481.0166015625</v>
      </c>
      <c r="AB1319" s="31" cm="1">
        <f t="array" ref="AB1319">IF(LEFT(_xll.BDP($C1319, VOLUME_AVG_6M), 4) = "#N/A", "",  _xll.BDP($C1319, VOLUME_AVG_6M))</f>
        <v>21255.181640625</v>
      </c>
      <c r="AC1319" s="31" cm="1">
        <f t="array" ref="AC1319">IF(LEFT(_xll.BDP($C1319, VOLUME_AVG_12M), 4) = "#N/A", "",  _xll.BDP($C1319, VOLUME_AVG_12M))</f>
        <v>276221.65625</v>
      </c>
      <c r="AD1319" s="41" cm="1">
        <f t="array" ref="AD1319">IF(LEFT(_xll.BDP($C1319, LAST_PRICE), 4) = "#N/A", "",  _xll.BDP($C1319, LAST_PRICE))</f>
        <v>3.26</v>
      </c>
    </row>
    <row r="1320" spans="1:30" x14ac:dyDescent="0.35">
      <c r="A1320" s="1">
        <f t="shared" si="20"/>
        <v>1317</v>
      </c>
      <c r="B1320" s="28">
        <v>45700</v>
      </c>
      <c r="C1320" s="29" t="s">
        <v>2683</v>
      </c>
      <c r="D1320" s="29" t="s">
        <v>2683</v>
      </c>
      <c r="E1320" s="29" t="s">
        <v>2684</v>
      </c>
      <c r="F1320" s="29" t="s">
        <v>33</v>
      </c>
      <c r="G1320" s="30" t="s">
        <v>34</v>
      </c>
      <c r="H1320" s="31">
        <v>5489266.9436807605</v>
      </c>
      <c r="I1320" s="31">
        <v>28250715.387516901</v>
      </c>
      <c r="J1320" s="32">
        <v>0.52999997138977095</v>
      </c>
      <c r="K1320" s="33">
        <v>45700</v>
      </c>
      <c r="L1320" s="31"/>
      <c r="M1320" s="32"/>
      <c r="N1320" s="31"/>
      <c r="O1320" s="33">
        <v>45699</v>
      </c>
      <c r="P1320" s="34">
        <v>8806713</v>
      </c>
      <c r="Q1320" s="34">
        <v>8443678</v>
      </c>
      <c r="R1320" s="34">
        <v>5705460</v>
      </c>
      <c r="S1320" s="29"/>
      <c r="T1320" s="33"/>
      <c r="U1320" s="35" t="b">
        <v>1</v>
      </c>
      <c r="V1320" s="35" t="b">
        <v>0</v>
      </c>
      <c r="W1320" s="35" t="b">
        <v>0</v>
      </c>
      <c r="Y1320" s="31" cm="1">
        <f t="array" ref="Y1320">IF(LEFT(_xll.BDP($C1320, VOLUME_AVG_10D), 4) = "#N/A", "",  _xll.BDP($C1320, VOLUME_AVG_10D))</f>
        <v>1150516.25</v>
      </c>
      <c r="Z1320" s="31" cm="1">
        <f t="array" ref="Z1320">IF(LEFT(_xll.BDP($C1320, VOLUME_AVG_30D), 4) = "#N/A", "",  _xll.BDP($C1320, VOLUME_AVG_30D))</f>
        <v>8806713</v>
      </c>
      <c r="AA1320" s="31" cm="1">
        <f t="array" ref="AA1320">IF(LEFT(_xll.BDP($C1320, VOLUME_AVG_3M), 4) = "#N/A", "",  _xll.BDP($C1320, VOLUME_AVG_3M))</f>
        <v>8443678</v>
      </c>
      <c r="AB1320" s="31" cm="1">
        <f t="array" ref="AB1320">IF(LEFT(_xll.BDP($C1320, VOLUME_AVG_6M), 4) = "#N/A", "",  _xll.BDP($C1320, VOLUME_AVG_6M))</f>
        <v>5705460</v>
      </c>
      <c r="AC1320" s="31" cm="1">
        <f t="array" ref="AC1320">IF(LEFT(_xll.BDP($C1320, VOLUME_AVG_12M), 4) = "#N/A", "",  _xll.BDP($C1320, VOLUME_AVG_12M))</f>
        <v>3350539</v>
      </c>
      <c r="AD1320" s="41" cm="1">
        <f t="array" ref="AD1320">IF(LEFT(_xll.BDP($C1320, LAST_PRICE), 4) = "#N/A", "",  _xll.BDP($C1320, LAST_PRICE))</f>
        <v>0.53</v>
      </c>
    </row>
    <row r="1321" spans="1:30" x14ac:dyDescent="0.35">
      <c r="A1321" s="1">
        <f t="shared" si="20"/>
        <v>1318</v>
      </c>
      <c r="B1321" s="28">
        <v>45700</v>
      </c>
      <c r="C1321" s="29" t="s">
        <v>2685</v>
      </c>
      <c r="D1321" s="29" t="s">
        <v>2685</v>
      </c>
      <c r="E1321" s="29" t="s">
        <v>2686</v>
      </c>
      <c r="F1321" s="29" t="s">
        <v>33</v>
      </c>
      <c r="G1321" s="30" t="s">
        <v>34</v>
      </c>
      <c r="H1321" s="31">
        <v>12625.2797996686</v>
      </c>
      <c r="I1321" s="31">
        <v>-609788.72020033095</v>
      </c>
      <c r="J1321" s="32">
        <v>3.0000001424923501E-4</v>
      </c>
      <c r="K1321" s="33">
        <v>45700</v>
      </c>
      <c r="L1321" s="31"/>
      <c r="M1321" s="32"/>
      <c r="N1321" s="31"/>
      <c r="O1321" s="33">
        <v>45699</v>
      </c>
      <c r="P1321" s="34">
        <v>2147.53344726563</v>
      </c>
      <c r="Q1321" s="34">
        <v>11023.193359375</v>
      </c>
      <c r="R1321" s="34">
        <v>6370.4921875</v>
      </c>
      <c r="S1321" s="29"/>
      <c r="T1321" s="33"/>
      <c r="U1321" s="35" t="b">
        <v>1</v>
      </c>
      <c r="V1321" s="35" t="b">
        <v>1</v>
      </c>
      <c r="W1321" s="35" t="b">
        <v>1</v>
      </c>
      <c r="Y1321" s="31" cm="1">
        <f t="array" ref="Y1321">IF(LEFT(_xll.BDP($C1321, VOLUME_AVG_10D), 4) = "#N/A", "",  _xll.BDP($C1321, VOLUME_AVG_10D))</f>
        <v>212.60000610351563</v>
      </c>
      <c r="Z1321" s="31" cm="1">
        <f t="array" ref="Z1321">IF(LEFT(_xll.BDP($C1321, VOLUME_AVG_30D), 4) = "#N/A", "",  _xll.BDP($C1321, VOLUME_AVG_30D))</f>
        <v>2147.533447265625</v>
      </c>
      <c r="AA1321" s="31" cm="1">
        <f t="array" ref="AA1321">IF(LEFT(_xll.BDP($C1321, VOLUME_AVG_3M), 4) = "#N/A", "",  _xll.BDP($C1321, VOLUME_AVG_3M))</f>
        <v>11023.193359375</v>
      </c>
      <c r="AB1321" s="31" cm="1">
        <f t="array" ref="AB1321">IF(LEFT(_xll.BDP($C1321, VOLUME_AVG_6M), 4) = "#N/A", "",  _xll.BDP($C1321, VOLUME_AVG_6M))</f>
        <v>6370.4921875</v>
      </c>
      <c r="AC1321" s="31" cm="1">
        <f t="array" ref="AC1321">IF(LEFT(_xll.BDP($C1321, VOLUME_AVG_12M), 4) = "#N/A", "",  _xll.BDP($C1321, VOLUME_AVG_12M))</f>
        <v>3953.298828125</v>
      </c>
      <c r="AD1321" s="41" cm="1">
        <f t="array" ref="AD1321">IF(LEFT(_xll.BDP($C1321, LAST_PRICE), 4) = "#N/A", "",  _xll.BDP($C1321, LAST_PRICE))</f>
        <v>2.9999999999999997E-4</v>
      </c>
    </row>
    <row r="1322" spans="1:30" x14ac:dyDescent="0.35">
      <c r="A1322" s="1">
        <f t="shared" si="20"/>
        <v>1319</v>
      </c>
      <c r="B1322" s="28">
        <v>45700</v>
      </c>
      <c r="C1322" s="29" t="s">
        <v>2687</v>
      </c>
      <c r="D1322" s="29" t="s">
        <v>2687</v>
      </c>
      <c r="E1322" s="29" t="s">
        <v>2688</v>
      </c>
      <c r="F1322" s="29" t="s">
        <v>33</v>
      </c>
      <c r="G1322" s="30" t="s">
        <v>34</v>
      </c>
      <c r="H1322" s="31">
        <v>1393927.19485545</v>
      </c>
      <c r="I1322" s="31">
        <v>5237008.1948554497</v>
      </c>
      <c r="J1322" s="32">
        <v>0.24070000648498499</v>
      </c>
      <c r="K1322" s="33">
        <v>45700</v>
      </c>
      <c r="L1322" s="31">
        <v>409400</v>
      </c>
      <c r="M1322" s="32">
        <v>-71.05</v>
      </c>
      <c r="N1322" s="31" t="s">
        <v>35</v>
      </c>
      <c r="O1322" s="33">
        <v>45699</v>
      </c>
      <c r="P1322" s="34">
        <v>4064526.5</v>
      </c>
      <c r="Q1322" s="34">
        <v>2165301.5</v>
      </c>
      <c r="R1322" s="34">
        <v>1132344.375</v>
      </c>
      <c r="S1322" s="29"/>
      <c r="T1322" s="33"/>
      <c r="U1322" s="35" t="b">
        <v>1</v>
      </c>
      <c r="V1322" s="35" t="b">
        <v>0</v>
      </c>
      <c r="W1322" s="35" t="b">
        <v>0</v>
      </c>
      <c r="Y1322" s="31" cm="1">
        <f t="array" ref="Y1322">IF(LEFT(_xll.BDP($C1322, VOLUME_AVG_10D), 4) = "#N/A", "",  _xll.BDP($C1322, VOLUME_AVG_10D))</f>
        <v>539675.3125</v>
      </c>
      <c r="Z1322" s="31" cm="1">
        <f t="array" ref="Z1322">IF(LEFT(_xll.BDP($C1322, VOLUME_AVG_30D), 4) = "#N/A", "",  _xll.BDP($C1322, VOLUME_AVG_30D))</f>
        <v>4064526.5</v>
      </c>
      <c r="AA1322" s="31" cm="1">
        <f t="array" ref="AA1322">IF(LEFT(_xll.BDP($C1322, VOLUME_AVG_3M), 4) = "#N/A", "",  _xll.BDP($C1322, VOLUME_AVG_3M))</f>
        <v>2165301.5</v>
      </c>
      <c r="AB1322" s="31" cm="1">
        <f t="array" ref="AB1322">IF(LEFT(_xll.BDP($C1322, VOLUME_AVG_6M), 4) = "#N/A", "",  _xll.BDP($C1322, VOLUME_AVG_6M))</f>
        <v>1132344.375</v>
      </c>
      <c r="AC1322" s="31" cm="1">
        <f t="array" ref="AC1322">IF(LEFT(_xll.BDP($C1322, VOLUME_AVG_12M), 4) = "#N/A", "",  _xll.BDP($C1322, VOLUME_AVG_12M))</f>
        <v>597002.5625</v>
      </c>
      <c r="AD1322" s="41" cm="1">
        <f t="array" ref="AD1322">IF(LEFT(_xll.BDP($C1322, LAST_PRICE), 4) = "#N/A", "",  _xll.BDP($C1322, LAST_PRICE))</f>
        <v>0.2407</v>
      </c>
    </row>
    <row r="1323" spans="1:30" x14ac:dyDescent="0.35">
      <c r="A1323" s="1">
        <f t="shared" si="20"/>
        <v>1320</v>
      </c>
      <c r="B1323" s="28">
        <v>45700</v>
      </c>
      <c r="C1323" s="29" t="s">
        <v>2689</v>
      </c>
      <c r="D1323" s="29" t="s">
        <v>2689</v>
      </c>
      <c r="E1323" s="29" t="s">
        <v>2690</v>
      </c>
      <c r="F1323" s="29" t="s">
        <v>33</v>
      </c>
      <c r="G1323" s="30" t="s">
        <v>34</v>
      </c>
      <c r="H1323" s="31">
        <v>172638464.68609899</v>
      </c>
      <c r="I1323" s="31">
        <v>133813464.68609899</v>
      </c>
      <c r="J1323" s="32">
        <v>3.4500000476837198</v>
      </c>
      <c r="K1323" s="33">
        <v>45700</v>
      </c>
      <c r="L1323" s="31">
        <v>2946400</v>
      </c>
      <c r="M1323" s="32">
        <v>3.65</v>
      </c>
      <c r="N1323" s="31" t="s">
        <v>35</v>
      </c>
      <c r="O1323" s="33">
        <v>45699</v>
      </c>
      <c r="P1323" s="34">
        <v>258907.4375</v>
      </c>
      <c r="Q1323" s="34">
        <v>444028.21875</v>
      </c>
      <c r="R1323" s="34">
        <v>372776.34375</v>
      </c>
      <c r="S1323" s="29" t="s">
        <v>254</v>
      </c>
      <c r="T1323" s="33">
        <v>45215</v>
      </c>
      <c r="U1323" s="35" t="b">
        <v>0</v>
      </c>
      <c r="V1323" s="35" t="b">
        <v>0</v>
      </c>
      <c r="W1323" s="35" t="b">
        <v>0</v>
      </c>
      <c r="Y1323" s="31" cm="1">
        <f t="array" ref="Y1323">IF(LEFT(_xll.BDP($C1323, VOLUME_AVG_10D), 4) = "#N/A", "",  _xll.BDP($C1323, VOLUME_AVG_10D))</f>
        <v>202150.296875</v>
      </c>
      <c r="Z1323" s="31" cm="1">
        <f t="array" ref="Z1323">IF(LEFT(_xll.BDP($C1323, VOLUME_AVG_30D), 4) = "#N/A", "",  _xll.BDP($C1323, VOLUME_AVG_30D))</f>
        <v>258907.4375</v>
      </c>
      <c r="AA1323" s="31" cm="1">
        <f t="array" ref="AA1323">IF(LEFT(_xll.BDP($C1323, VOLUME_AVG_3M), 4) = "#N/A", "",  _xll.BDP($C1323, VOLUME_AVG_3M))</f>
        <v>444028.21875</v>
      </c>
      <c r="AB1323" s="31" cm="1">
        <f t="array" ref="AB1323">IF(LEFT(_xll.BDP($C1323, VOLUME_AVG_6M), 4) = "#N/A", "",  _xll.BDP($C1323, VOLUME_AVG_6M))</f>
        <v>372776.34375</v>
      </c>
      <c r="AC1323" s="31" cm="1">
        <f t="array" ref="AC1323">IF(LEFT(_xll.BDP($C1323, VOLUME_AVG_12M), 4) = "#N/A", "",  _xll.BDP($C1323, VOLUME_AVG_12M))</f>
        <v>296813.34375</v>
      </c>
      <c r="AD1323" s="41" cm="1">
        <f t="array" ref="AD1323">IF(LEFT(_xll.BDP($C1323, LAST_PRICE), 4) = "#N/A", "",  _xll.BDP($C1323, LAST_PRICE))</f>
        <v>3.45</v>
      </c>
    </row>
    <row r="1324" spans="1:30" x14ac:dyDescent="0.35">
      <c r="A1324" s="1">
        <f t="shared" si="20"/>
        <v>1321</v>
      </c>
      <c r="B1324" s="28">
        <v>45700</v>
      </c>
      <c r="C1324" s="29" t="s">
        <v>2691</v>
      </c>
      <c r="D1324" s="29" t="s">
        <v>2691</v>
      </c>
      <c r="E1324" s="29" t="s">
        <v>2692</v>
      </c>
      <c r="F1324" s="29" t="s">
        <v>40</v>
      </c>
      <c r="G1324" s="30" t="s">
        <v>41</v>
      </c>
      <c r="H1324" s="31">
        <v>4847811.9716429599</v>
      </c>
      <c r="I1324" s="31">
        <v>3907659.9716429599</v>
      </c>
      <c r="J1324" s="32">
        <v>1.4999999664723899E-2</v>
      </c>
      <c r="K1324" s="33">
        <v>45700</v>
      </c>
      <c r="L1324" s="31"/>
      <c r="M1324" s="32"/>
      <c r="N1324" s="31"/>
      <c r="O1324" s="33">
        <v>45699</v>
      </c>
      <c r="P1324" s="34">
        <v>96928.47</v>
      </c>
      <c r="Q1324" s="34">
        <v>225324.6</v>
      </c>
      <c r="R1324" s="34">
        <v>186768.8</v>
      </c>
      <c r="S1324" s="29"/>
      <c r="T1324" s="33"/>
      <c r="U1324" s="35" t="b">
        <v>1</v>
      </c>
      <c r="V1324" s="35" t="b">
        <v>1</v>
      </c>
      <c r="W1324" s="35" t="b">
        <v>0</v>
      </c>
      <c r="Y1324" s="31" cm="1">
        <f t="array" ref="Y1324">IF(LEFT(_xll.BDP($C1324, VOLUME_AVG_10D), 4) = "#N/A", "",  _xll.BDP($C1324, VOLUME_AVG_10D))</f>
        <v>96121.9</v>
      </c>
      <c r="Z1324" s="31" cm="1">
        <f t="array" ref="Z1324">IF(LEFT(_xll.BDP($C1324, VOLUME_AVG_30D), 4) = "#N/A", "",  _xll.BDP($C1324, VOLUME_AVG_30D))</f>
        <v>96928.47</v>
      </c>
      <c r="AA1324" s="31" cm="1">
        <f t="array" ref="AA1324">IF(LEFT(_xll.BDP($C1324, VOLUME_AVG_3M), 4) = "#N/A", "",  _xll.BDP($C1324, VOLUME_AVG_3M))</f>
        <v>225324.6</v>
      </c>
      <c r="AB1324" s="31" cm="1">
        <f t="array" ref="AB1324">IF(LEFT(_xll.BDP($C1324, VOLUME_AVG_6M), 4) = "#N/A", "",  _xll.BDP($C1324, VOLUME_AVG_6M))</f>
        <v>186768.8</v>
      </c>
      <c r="AC1324" s="31" cm="1">
        <f t="array" ref="AC1324">IF(LEFT(_xll.BDP($C1324, VOLUME_AVG_12M), 4) = "#N/A", "",  _xll.BDP($C1324, VOLUME_AVG_12M))</f>
        <v>180878.3</v>
      </c>
      <c r="AD1324" s="41" cm="1">
        <f t="array" ref="AD1324">IF(LEFT(_xll.BDP($C1324, LAST_PRICE), 4) = "#N/A", "",  _xll.BDP($C1324, LAST_PRICE))</f>
        <v>1.4999999999999999E-2</v>
      </c>
    </row>
    <row r="1325" spans="1:30" x14ac:dyDescent="0.35">
      <c r="A1325" s="1">
        <f t="shared" si="20"/>
        <v>1322</v>
      </c>
      <c r="B1325" s="28">
        <v>45700</v>
      </c>
      <c r="C1325" s="29" t="s">
        <v>2693</v>
      </c>
      <c r="D1325" s="29" t="s">
        <v>2693</v>
      </c>
      <c r="E1325" s="29" t="s">
        <v>2694</v>
      </c>
      <c r="F1325" s="29" t="s">
        <v>33</v>
      </c>
      <c r="G1325" s="30" t="s">
        <v>34</v>
      </c>
      <c r="H1325" s="31">
        <v>2417382.4113309402</v>
      </c>
      <c r="I1325" s="31">
        <v>2371705.4113309402</v>
      </c>
      <c r="J1325" s="32">
        <v>1.29999995231628</v>
      </c>
      <c r="K1325" s="33">
        <v>45700</v>
      </c>
      <c r="L1325" s="31">
        <v>48200</v>
      </c>
      <c r="M1325" s="32">
        <v>-452.4</v>
      </c>
      <c r="N1325" s="31" t="s">
        <v>35</v>
      </c>
      <c r="O1325" s="33">
        <v>45699</v>
      </c>
      <c r="P1325" s="34">
        <v>43210.765625</v>
      </c>
      <c r="Q1325" s="34">
        <v>2547916.5</v>
      </c>
      <c r="R1325" s="34">
        <v>1282077.75</v>
      </c>
      <c r="S1325" s="29"/>
      <c r="T1325" s="33"/>
      <c r="U1325" s="35" t="b">
        <v>1</v>
      </c>
      <c r="V1325" s="35" t="b">
        <v>0</v>
      </c>
      <c r="W1325" s="35" t="b">
        <v>0</v>
      </c>
      <c r="Y1325" s="31" cm="1">
        <f t="array" ref="Y1325">IF(LEFT(_xll.BDP($C1325, VOLUME_AVG_10D), 4) = "#N/A", "",  _xll.BDP($C1325, VOLUME_AVG_10D))</f>
        <v>36844</v>
      </c>
      <c r="Z1325" s="31" cm="1">
        <f t="array" ref="Z1325">IF(LEFT(_xll.BDP($C1325, VOLUME_AVG_30D), 4) = "#N/A", "",  _xll.BDP($C1325, VOLUME_AVG_30D))</f>
        <v>43210.765625</v>
      </c>
      <c r="AA1325" s="31" cm="1">
        <f t="array" ref="AA1325">IF(LEFT(_xll.BDP($C1325, VOLUME_AVG_3M), 4) = "#N/A", "",  _xll.BDP($C1325, VOLUME_AVG_3M))</f>
        <v>2547916.5</v>
      </c>
      <c r="AB1325" s="31" cm="1">
        <f t="array" ref="AB1325">IF(LEFT(_xll.BDP($C1325, VOLUME_AVG_6M), 4) = "#N/A", "",  _xll.BDP($C1325, VOLUME_AVG_6M))</f>
        <v>1282077.75</v>
      </c>
      <c r="AC1325" s="31" cm="1">
        <f t="array" ref="AC1325">IF(LEFT(_xll.BDP($C1325, VOLUME_AVG_12M), 4) = "#N/A", "",  _xll.BDP($C1325, VOLUME_AVG_12M))</f>
        <v>1294365.5</v>
      </c>
      <c r="AD1325" s="41" cm="1">
        <f t="array" ref="AD1325">IF(LEFT(_xll.BDP($C1325, LAST_PRICE), 4) = "#N/A", "",  _xll.BDP($C1325, LAST_PRICE))</f>
        <v>1.3</v>
      </c>
    </row>
    <row r="1326" spans="1:30" x14ac:dyDescent="0.35">
      <c r="A1326" s="1">
        <f t="shared" si="20"/>
        <v>1323</v>
      </c>
      <c r="B1326" s="28">
        <v>45700</v>
      </c>
      <c r="C1326" s="29" t="s">
        <v>2695</v>
      </c>
      <c r="D1326" s="29" t="s">
        <v>2695</v>
      </c>
      <c r="E1326" s="29" t="s">
        <v>2696</v>
      </c>
      <c r="F1326" s="29" t="s">
        <v>33</v>
      </c>
      <c r="G1326" s="30" t="s">
        <v>34</v>
      </c>
      <c r="H1326" s="31">
        <v>43641338.745225497</v>
      </c>
      <c r="I1326" s="31">
        <v>-22513661.2547745</v>
      </c>
      <c r="J1326" s="32">
        <v>1.1499999761581401</v>
      </c>
      <c r="K1326" s="33">
        <v>45700</v>
      </c>
      <c r="L1326" s="31">
        <v>4413400</v>
      </c>
      <c r="M1326" s="32">
        <v>3.2</v>
      </c>
      <c r="N1326" s="31" t="s">
        <v>35</v>
      </c>
      <c r="O1326" s="33">
        <v>45699</v>
      </c>
      <c r="P1326" s="34">
        <v>258859.5</v>
      </c>
      <c r="Q1326" s="34">
        <v>230214.5625</v>
      </c>
      <c r="R1326" s="34">
        <v>185315.75</v>
      </c>
      <c r="S1326" s="29" t="s">
        <v>198</v>
      </c>
      <c r="T1326" s="33">
        <v>45215</v>
      </c>
      <c r="U1326" s="35" t="b">
        <v>0</v>
      </c>
      <c r="V1326" s="35" t="b">
        <v>0</v>
      </c>
      <c r="W1326" s="35" t="b">
        <v>1</v>
      </c>
      <c r="Y1326" s="31" cm="1">
        <f t="array" ref="Y1326">IF(LEFT(_xll.BDP($C1326, VOLUME_AVG_10D), 4) = "#N/A", "",  _xll.BDP($C1326, VOLUME_AVG_10D))</f>
        <v>163402.90625</v>
      </c>
      <c r="Z1326" s="31" cm="1">
        <f t="array" ref="Z1326">IF(LEFT(_xll.BDP($C1326, VOLUME_AVG_30D), 4) = "#N/A", "",  _xll.BDP($C1326, VOLUME_AVG_30D))</f>
        <v>258859.5</v>
      </c>
      <c r="AA1326" s="31" cm="1">
        <f t="array" ref="AA1326">IF(LEFT(_xll.BDP($C1326, VOLUME_AVG_3M), 4) = "#N/A", "",  _xll.BDP($C1326, VOLUME_AVG_3M))</f>
        <v>230214.5625</v>
      </c>
      <c r="AB1326" s="31" cm="1">
        <f t="array" ref="AB1326">IF(LEFT(_xll.BDP($C1326, VOLUME_AVG_6M), 4) = "#N/A", "",  _xll.BDP($C1326, VOLUME_AVG_6M))</f>
        <v>185315.75</v>
      </c>
      <c r="AC1326" s="31" cm="1">
        <f t="array" ref="AC1326">IF(LEFT(_xll.BDP($C1326, VOLUME_AVG_12M), 4) = "#N/A", "",  _xll.BDP($C1326, VOLUME_AVG_12M))</f>
        <v>196796.171875</v>
      </c>
      <c r="AD1326" s="41" cm="1">
        <f t="array" ref="AD1326">IF(LEFT(_xll.BDP($C1326, LAST_PRICE), 4) = "#N/A", "",  _xll.BDP($C1326, LAST_PRICE))</f>
        <v>1.1499999999999999</v>
      </c>
    </row>
    <row r="1327" spans="1:30" x14ac:dyDescent="0.35">
      <c r="A1327" s="1">
        <f t="shared" si="20"/>
        <v>1324</v>
      </c>
      <c r="B1327" s="28">
        <v>45700</v>
      </c>
      <c r="C1327" s="29" t="s">
        <v>2697</v>
      </c>
      <c r="D1327" s="29" t="s">
        <v>2697</v>
      </c>
      <c r="E1327" s="29" t="s">
        <v>2698</v>
      </c>
      <c r="F1327" s="29" t="s">
        <v>33</v>
      </c>
      <c r="G1327" s="30" t="s">
        <v>34</v>
      </c>
      <c r="H1327" s="31">
        <v>8212192.4689736301</v>
      </c>
      <c r="I1327" s="31">
        <v>16923192.468973599</v>
      </c>
      <c r="J1327" s="32">
        <v>1.8400000333786</v>
      </c>
      <c r="K1327" s="33">
        <v>45700</v>
      </c>
      <c r="L1327" s="31">
        <v>308300</v>
      </c>
      <c r="M1327" s="32">
        <v>-48.4</v>
      </c>
      <c r="N1327" s="31" t="s">
        <v>35</v>
      </c>
      <c r="O1327" s="33">
        <v>45699</v>
      </c>
      <c r="P1327" s="34">
        <v>629515.875</v>
      </c>
      <c r="Q1327" s="34">
        <v>452425.46875</v>
      </c>
      <c r="R1327" s="34">
        <v>277141.5625</v>
      </c>
      <c r="S1327" s="29"/>
      <c r="T1327" s="33"/>
      <c r="U1327" s="35" t="b">
        <v>1</v>
      </c>
      <c r="V1327" s="35" t="b">
        <v>0</v>
      </c>
      <c r="W1327" s="35" t="b">
        <v>0</v>
      </c>
      <c r="Y1327" s="31" cm="1">
        <f t="array" ref="Y1327">IF(LEFT(_xll.BDP($C1327, VOLUME_AVG_10D), 4) = "#N/A", "",  _xll.BDP($C1327, VOLUME_AVG_10D))</f>
        <v>1471938.625</v>
      </c>
      <c r="Z1327" s="31" cm="1">
        <f t="array" ref="Z1327">IF(LEFT(_xll.BDP($C1327, VOLUME_AVG_30D), 4) = "#N/A", "",  _xll.BDP($C1327, VOLUME_AVG_30D))</f>
        <v>629515.875</v>
      </c>
      <c r="AA1327" s="31" cm="1">
        <f t="array" ref="AA1327">IF(LEFT(_xll.BDP($C1327, VOLUME_AVG_3M), 4) = "#N/A", "",  _xll.BDP($C1327, VOLUME_AVG_3M))</f>
        <v>452425.46875</v>
      </c>
      <c r="AB1327" s="31" cm="1">
        <f t="array" ref="AB1327">IF(LEFT(_xll.BDP($C1327, VOLUME_AVG_6M), 4) = "#N/A", "",  _xll.BDP($C1327, VOLUME_AVG_6M))</f>
        <v>277141.5625</v>
      </c>
      <c r="AC1327" s="31" cm="1">
        <f t="array" ref="AC1327">IF(LEFT(_xll.BDP($C1327, VOLUME_AVG_12M), 4) = "#N/A", "",  _xll.BDP($C1327, VOLUME_AVG_12M))</f>
        <v>268461.71875</v>
      </c>
      <c r="AD1327" s="41" cm="1">
        <f t="array" ref="AD1327">IF(LEFT(_xll.BDP($C1327, LAST_PRICE), 4) = "#N/A", "",  _xll.BDP($C1327, LAST_PRICE))</f>
        <v>1.84</v>
      </c>
    </row>
    <row r="1328" spans="1:30" x14ac:dyDescent="0.35">
      <c r="A1328" s="1">
        <f t="shared" si="20"/>
        <v>1325</v>
      </c>
      <c r="B1328" s="28">
        <v>45700</v>
      </c>
      <c r="C1328" s="29" t="s">
        <v>2699</v>
      </c>
      <c r="D1328" s="29" t="s">
        <v>2699</v>
      </c>
      <c r="E1328" s="29" t="s">
        <v>2700</v>
      </c>
      <c r="F1328" s="29" t="s">
        <v>33</v>
      </c>
      <c r="G1328" s="30" t="s">
        <v>34</v>
      </c>
      <c r="H1328" s="31">
        <v>132674760</v>
      </c>
      <c r="I1328" s="31">
        <v>-88426240</v>
      </c>
      <c r="J1328" s="32">
        <v>2.25</v>
      </c>
      <c r="K1328" s="33">
        <v>45700</v>
      </c>
      <c r="L1328" s="31">
        <v>6359800</v>
      </c>
      <c r="M1328" s="32">
        <v>3.65</v>
      </c>
      <c r="N1328" s="31" t="s">
        <v>35</v>
      </c>
      <c r="O1328" s="33">
        <v>45699</v>
      </c>
      <c r="P1328" s="34">
        <v>178455.9375</v>
      </c>
      <c r="Q1328" s="34">
        <v>215386.40625</v>
      </c>
      <c r="R1328" s="34">
        <v>250810.40625</v>
      </c>
      <c r="S1328" s="29" t="s">
        <v>82</v>
      </c>
      <c r="T1328" s="33">
        <v>45446</v>
      </c>
      <c r="U1328" s="35" t="b">
        <v>0</v>
      </c>
      <c r="V1328" s="35" t="b">
        <v>0</v>
      </c>
      <c r="W1328" s="35" t="b">
        <v>1</v>
      </c>
      <c r="Y1328" s="31" cm="1">
        <f t="array" ref="Y1328">IF(LEFT(_xll.BDP($C1328, VOLUME_AVG_10D), 4) = "#N/A", "",  _xll.BDP($C1328, VOLUME_AVG_10D))</f>
        <v>175103</v>
      </c>
      <c r="Z1328" s="31" cm="1">
        <f t="array" ref="Z1328">IF(LEFT(_xll.BDP($C1328, VOLUME_AVG_30D), 4) = "#N/A", "",  _xll.BDP($C1328, VOLUME_AVG_30D))</f>
        <v>178455.9375</v>
      </c>
      <c r="AA1328" s="31" cm="1">
        <f t="array" ref="AA1328">IF(LEFT(_xll.BDP($C1328, VOLUME_AVG_3M), 4) = "#N/A", "",  _xll.BDP($C1328, VOLUME_AVG_3M))</f>
        <v>215386.40625</v>
      </c>
      <c r="AB1328" s="31" cm="1">
        <f t="array" ref="AB1328">IF(LEFT(_xll.BDP($C1328, VOLUME_AVG_6M), 4) = "#N/A", "",  _xll.BDP($C1328, VOLUME_AVG_6M))</f>
        <v>250810.40625</v>
      </c>
      <c r="AC1328" s="31" cm="1">
        <f t="array" ref="AC1328">IF(LEFT(_xll.BDP($C1328, VOLUME_AVG_12M), 4) = "#N/A", "",  _xll.BDP($C1328, VOLUME_AVG_12M))</f>
        <v>403929.53125</v>
      </c>
      <c r="AD1328" s="41" cm="1">
        <f t="array" ref="AD1328">IF(LEFT(_xll.BDP($C1328, LAST_PRICE), 4) = "#N/A", "",  _xll.BDP($C1328, LAST_PRICE))</f>
        <v>2.25</v>
      </c>
    </row>
    <row r="1329" spans="1:30" x14ac:dyDescent="0.35">
      <c r="A1329" s="1">
        <f t="shared" si="20"/>
        <v>1326</v>
      </c>
      <c r="B1329" s="28">
        <v>45700</v>
      </c>
      <c r="C1329" s="29" t="s">
        <v>2701</v>
      </c>
      <c r="D1329" s="29" t="s">
        <v>2701</v>
      </c>
      <c r="E1329" s="29" t="s">
        <v>2702</v>
      </c>
      <c r="F1329" s="29" t="s">
        <v>33</v>
      </c>
      <c r="G1329" s="30" t="s">
        <v>34</v>
      </c>
      <c r="H1329" s="31">
        <v>2352829554.4758801</v>
      </c>
      <c r="I1329" s="31">
        <v>7115767554.4758797</v>
      </c>
      <c r="J1329" s="32">
        <v>18.2399997711182</v>
      </c>
      <c r="K1329" s="33">
        <v>45700</v>
      </c>
      <c r="L1329" s="31">
        <v>51183600</v>
      </c>
      <c r="M1329" s="32">
        <v>3.88</v>
      </c>
      <c r="N1329" s="31" t="s">
        <v>35</v>
      </c>
      <c r="O1329" s="33">
        <v>45699</v>
      </c>
      <c r="P1329" s="34">
        <v>831348</v>
      </c>
      <c r="Q1329" s="34">
        <v>1090619.75</v>
      </c>
      <c r="R1329" s="34">
        <v>815214.375</v>
      </c>
      <c r="S1329" s="29"/>
      <c r="T1329" s="33"/>
      <c r="U1329" s="35" t="b">
        <v>0</v>
      </c>
      <c r="V1329" s="35" t="b">
        <v>0</v>
      </c>
      <c r="W1329" s="35" t="b">
        <v>0</v>
      </c>
      <c r="Y1329" s="31" cm="1">
        <f t="array" ref="Y1329">IF(LEFT(_xll.BDP($C1329, VOLUME_AVG_10D), 4) = "#N/A", "",  _xll.BDP($C1329, VOLUME_AVG_10D))</f>
        <v>783544.125</v>
      </c>
      <c r="Z1329" s="31" cm="1">
        <f t="array" ref="Z1329">IF(LEFT(_xll.BDP($C1329, VOLUME_AVG_30D), 4) = "#N/A", "",  _xll.BDP($C1329, VOLUME_AVG_30D))</f>
        <v>831348</v>
      </c>
      <c r="AA1329" s="31" cm="1">
        <f t="array" ref="AA1329">IF(LEFT(_xll.BDP($C1329, VOLUME_AVG_3M), 4) = "#N/A", "",  _xll.BDP($C1329, VOLUME_AVG_3M))</f>
        <v>1090619.75</v>
      </c>
      <c r="AB1329" s="31" cm="1">
        <f t="array" ref="AB1329">IF(LEFT(_xll.BDP($C1329, VOLUME_AVG_6M), 4) = "#N/A", "",  _xll.BDP($C1329, VOLUME_AVG_6M))</f>
        <v>815214.375</v>
      </c>
      <c r="AC1329" s="31" cm="1">
        <f t="array" ref="AC1329">IF(LEFT(_xll.BDP($C1329, VOLUME_AVG_12M), 4) = "#N/A", "",  _xll.BDP($C1329, VOLUME_AVG_12M))</f>
        <v>723331.875</v>
      </c>
      <c r="AD1329" s="41" cm="1">
        <f t="array" ref="AD1329">IF(LEFT(_xll.BDP($C1329, LAST_PRICE), 4) = "#N/A", "",  _xll.BDP($C1329, LAST_PRICE))</f>
        <v>18.239999999999998</v>
      </c>
    </row>
    <row r="1330" spans="1:30" x14ac:dyDescent="0.35">
      <c r="A1330" s="1">
        <f t="shared" si="20"/>
        <v>1327</v>
      </c>
      <c r="B1330" s="28">
        <v>45700</v>
      </c>
      <c r="C1330" s="29" t="s">
        <v>2703</v>
      </c>
      <c r="D1330" s="29" t="s">
        <v>2703</v>
      </c>
      <c r="E1330" s="29" t="s">
        <v>2704</v>
      </c>
      <c r="F1330" s="29" t="s">
        <v>33</v>
      </c>
      <c r="G1330" s="30" t="s">
        <v>34</v>
      </c>
      <c r="H1330" s="31">
        <v>95082388.336825803</v>
      </c>
      <c r="I1330" s="31">
        <v>74627388.336825803</v>
      </c>
      <c r="J1330" s="32">
        <v>1.3099999427795399</v>
      </c>
      <c r="K1330" s="33">
        <v>45700</v>
      </c>
      <c r="L1330" s="31">
        <v>70200</v>
      </c>
      <c r="M1330" s="32">
        <v>-26.7</v>
      </c>
      <c r="N1330" s="31" t="s">
        <v>35</v>
      </c>
      <c r="O1330" s="33">
        <v>45699</v>
      </c>
      <c r="P1330" s="34">
        <v>4111571.75</v>
      </c>
      <c r="Q1330" s="34">
        <v>2726280.5</v>
      </c>
      <c r="R1330" s="34">
        <v>1610037.75</v>
      </c>
      <c r="S1330" s="29"/>
      <c r="T1330" s="33"/>
      <c r="U1330" s="35" t="b">
        <v>0</v>
      </c>
      <c r="V1330" s="35" t="b">
        <v>0</v>
      </c>
      <c r="W1330" s="35" t="b">
        <v>0</v>
      </c>
      <c r="Y1330" s="31" cm="1">
        <f t="array" ref="Y1330">IF(LEFT(_xll.BDP($C1330, VOLUME_AVG_10D), 4) = "#N/A", "",  _xll.BDP($C1330, VOLUME_AVG_10D))</f>
        <v>3718907.75</v>
      </c>
      <c r="Z1330" s="31" cm="1">
        <f t="array" ref="Z1330">IF(LEFT(_xll.BDP($C1330, VOLUME_AVG_30D), 4) = "#N/A", "",  _xll.BDP($C1330, VOLUME_AVG_30D))</f>
        <v>4111571.75</v>
      </c>
      <c r="AA1330" s="31" cm="1">
        <f t="array" ref="AA1330">IF(LEFT(_xll.BDP($C1330, VOLUME_AVG_3M), 4) = "#N/A", "",  _xll.BDP($C1330, VOLUME_AVG_3M))</f>
        <v>2726280.5</v>
      </c>
      <c r="AB1330" s="31" cm="1">
        <f t="array" ref="AB1330">IF(LEFT(_xll.BDP($C1330, VOLUME_AVG_6M), 4) = "#N/A", "",  _xll.BDP($C1330, VOLUME_AVG_6M))</f>
        <v>1610037.75</v>
      </c>
      <c r="AC1330" s="31" cm="1">
        <f t="array" ref="AC1330">IF(LEFT(_xll.BDP($C1330, VOLUME_AVG_12M), 4) = "#N/A", "",  _xll.BDP($C1330, VOLUME_AVG_12M))</f>
        <v>1436697.5</v>
      </c>
      <c r="AD1330" s="41" cm="1">
        <f t="array" ref="AD1330">IF(LEFT(_xll.BDP($C1330, LAST_PRICE), 4) = "#N/A", "",  _xll.BDP($C1330, LAST_PRICE))</f>
        <v>1.31</v>
      </c>
    </row>
    <row r="1331" spans="1:30" x14ac:dyDescent="0.35">
      <c r="A1331" s="1">
        <f t="shared" si="20"/>
        <v>1328</v>
      </c>
      <c r="B1331" s="28">
        <v>45700</v>
      </c>
      <c r="C1331" s="29" t="s">
        <v>2705</v>
      </c>
      <c r="D1331" s="29" t="s">
        <v>2705</v>
      </c>
      <c r="E1331" s="29" t="s">
        <v>2706</v>
      </c>
      <c r="F1331" s="29" t="s">
        <v>33</v>
      </c>
      <c r="G1331" s="30" t="s">
        <v>34</v>
      </c>
      <c r="H1331" s="31">
        <v>457680916.820526</v>
      </c>
      <c r="I1331" s="31">
        <v>445012916.820526</v>
      </c>
      <c r="J1331" s="32">
        <v>47.689998626708999</v>
      </c>
      <c r="K1331" s="33">
        <v>45700</v>
      </c>
      <c r="L1331" s="31">
        <v>293800</v>
      </c>
      <c r="M1331" s="32">
        <v>3.7</v>
      </c>
      <c r="N1331" s="31" t="s">
        <v>35</v>
      </c>
      <c r="O1331" s="33">
        <v>45699</v>
      </c>
      <c r="P1331" s="34">
        <v>459652.15625</v>
      </c>
      <c r="Q1331" s="34">
        <v>749582.75</v>
      </c>
      <c r="R1331" s="34">
        <v>455087.96875</v>
      </c>
      <c r="S1331" s="29"/>
      <c r="T1331" s="33"/>
      <c r="U1331" s="35" t="b">
        <v>0</v>
      </c>
      <c r="V1331" s="35" t="b">
        <v>0</v>
      </c>
      <c r="W1331" s="35" t="b">
        <v>0</v>
      </c>
      <c r="Y1331" s="31" cm="1">
        <f t="array" ref="Y1331">IF(LEFT(_xll.BDP($C1331, VOLUME_AVG_10D), 4) = "#N/A", "",  _xll.BDP($C1331, VOLUME_AVG_10D))</f>
        <v>301332.40625</v>
      </c>
      <c r="Z1331" s="31" cm="1">
        <f t="array" ref="Z1331">IF(LEFT(_xll.BDP($C1331, VOLUME_AVG_30D), 4) = "#N/A", "",  _xll.BDP($C1331, VOLUME_AVG_30D))</f>
        <v>459652.15625</v>
      </c>
      <c r="AA1331" s="31" cm="1">
        <f t="array" ref="AA1331">IF(LEFT(_xll.BDP($C1331, VOLUME_AVG_3M), 4) = "#N/A", "",  _xll.BDP($C1331, VOLUME_AVG_3M))</f>
        <v>749582.75</v>
      </c>
      <c r="AB1331" s="31" cm="1">
        <f t="array" ref="AB1331">IF(LEFT(_xll.BDP($C1331, VOLUME_AVG_6M), 4) = "#N/A", "",  _xll.BDP($C1331, VOLUME_AVG_6M))</f>
        <v>455087.96875</v>
      </c>
      <c r="AC1331" s="31" cm="1">
        <f t="array" ref="AC1331">IF(LEFT(_xll.BDP($C1331, VOLUME_AVG_12M), 4) = "#N/A", "",  _xll.BDP($C1331, VOLUME_AVG_12M))</f>
        <v>347004.65625</v>
      </c>
      <c r="AD1331" s="41" cm="1">
        <f t="array" ref="AD1331">IF(LEFT(_xll.BDP($C1331, LAST_PRICE), 4) = "#N/A", "",  _xll.BDP($C1331, LAST_PRICE))</f>
        <v>47.69</v>
      </c>
    </row>
    <row r="1332" spans="1:30" x14ac:dyDescent="0.35">
      <c r="A1332" s="1">
        <f t="shared" si="20"/>
        <v>1329</v>
      </c>
      <c r="B1332" s="28">
        <v>45700</v>
      </c>
      <c r="C1332" s="29" t="s">
        <v>2707</v>
      </c>
      <c r="D1332" s="29" t="s">
        <v>2707</v>
      </c>
      <c r="E1332" s="29" t="s">
        <v>2708</v>
      </c>
      <c r="F1332" s="29" t="s">
        <v>33</v>
      </c>
      <c r="G1332" s="30" t="s">
        <v>34</v>
      </c>
      <c r="H1332" s="31">
        <v>3235305.8382911701</v>
      </c>
      <c r="I1332" s="31">
        <v>940305.83829116798</v>
      </c>
      <c r="J1332" s="32">
        <v>3.1300001144409202</v>
      </c>
      <c r="K1332" s="33">
        <v>45700</v>
      </c>
      <c r="L1332" s="31">
        <v>39100</v>
      </c>
      <c r="M1332" s="32">
        <v>-6.2</v>
      </c>
      <c r="N1332" s="31" t="s">
        <v>35</v>
      </c>
      <c r="O1332" s="33">
        <v>45699</v>
      </c>
      <c r="P1332" s="34">
        <v>71767.9296875</v>
      </c>
      <c r="Q1332" s="34">
        <v>143936.359375</v>
      </c>
      <c r="R1332" s="34">
        <v>98546.734375</v>
      </c>
      <c r="S1332" s="29"/>
      <c r="T1332" s="33"/>
      <c r="U1332" s="35" t="b">
        <v>1</v>
      </c>
      <c r="V1332" s="35" t="b">
        <v>0</v>
      </c>
      <c r="W1332" s="35" t="b">
        <v>0</v>
      </c>
      <c r="Y1332" s="31" cm="1">
        <f t="array" ref="Y1332">IF(LEFT(_xll.BDP($C1332, VOLUME_AVG_10D), 4) = "#N/A", "",  _xll.BDP($C1332, VOLUME_AVG_10D))</f>
        <v>145911.296875</v>
      </c>
      <c r="Z1332" s="31" cm="1">
        <f t="array" ref="Z1332">IF(LEFT(_xll.BDP($C1332, VOLUME_AVG_30D), 4) = "#N/A", "",  _xll.BDP($C1332, VOLUME_AVG_30D))</f>
        <v>71767.9296875</v>
      </c>
      <c r="AA1332" s="31" cm="1">
        <f t="array" ref="AA1332">IF(LEFT(_xll.BDP($C1332, VOLUME_AVG_3M), 4) = "#N/A", "",  _xll.BDP($C1332, VOLUME_AVG_3M))</f>
        <v>143936.359375</v>
      </c>
      <c r="AB1332" s="31" cm="1">
        <f t="array" ref="AB1332">IF(LEFT(_xll.BDP($C1332, VOLUME_AVG_6M), 4) = "#N/A", "",  _xll.BDP($C1332, VOLUME_AVG_6M))</f>
        <v>98546.734375</v>
      </c>
      <c r="AC1332" s="31" cm="1">
        <f t="array" ref="AC1332">IF(LEFT(_xll.BDP($C1332, VOLUME_AVG_12M), 4) = "#N/A", "",  _xll.BDP($C1332, VOLUME_AVG_12M))</f>
        <v>57401.55859375</v>
      </c>
      <c r="AD1332" s="41" cm="1">
        <f t="array" ref="AD1332">IF(LEFT(_xll.BDP($C1332, LAST_PRICE), 4) = "#N/A", "",  _xll.BDP($C1332, LAST_PRICE))</f>
        <v>3.13</v>
      </c>
    </row>
    <row r="1333" spans="1:30" x14ac:dyDescent="0.35">
      <c r="A1333" s="1">
        <f t="shared" si="20"/>
        <v>1330</v>
      </c>
      <c r="B1333" s="28">
        <v>45700</v>
      </c>
      <c r="C1333" s="29" t="s">
        <v>2709</v>
      </c>
      <c r="D1333" s="29" t="s">
        <v>2709</v>
      </c>
      <c r="E1333" s="29" t="s">
        <v>2710</v>
      </c>
      <c r="F1333" s="29" t="s">
        <v>33</v>
      </c>
      <c r="G1333" s="30" t="s">
        <v>34</v>
      </c>
      <c r="H1333" s="31">
        <v>11780905.961978</v>
      </c>
      <c r="I1333" s="31">
        <v>-30752094.038022</v>
      </c>
      <c r="J1333" s="32">
        <v>0.46840000152587902</v>
      </c>
      <c r="K1333" s="33">
        <v>45700</v>
      </c>
      <c r="L1333" s="31">
        <v>504300</v>
      </c>
      <c r="M1333" s="32">
        <v>-8.8000000000000007</v>
      </c>
      <c r="N1333" s="31" t="s">
        <v>35</v>
      </c>
      <c r="O1333" s="33">
        <v>45699</v>
      </c>
      <c r="P1333" s="34">
        <v>574355.375</v>
      </c>
      <c r="Q1333" s="34">
        <v>464378.9375</v>
      </c>
      <c r="R1333" s="34">
        <v>387210.375</v>
      </c>
      <c r="S1333" s="29"/>
      <c r="T1333" s="33"/>
      <c r="U1333" s="35" t="b">
        <v>1</v>
      </c>
      <c r="V1333" s="35" t="b">
        <v>0</v>
      </c>
      <c r="W1333" s="35" t="b">
        <v>1</v>
      </c>
      <c r="Y1333" s="31" cm="1">
        <f t="array" ref="Y1333">IF(LEFT(_xll.BDP($C1333, VOLUME_AVG_10D), 4) = "#N/A", "",  _xll.BDP($C1333, VOLUME_AVG_10D))</f>
        <v>200710.59375</v>
      </c>
      <c r="Z1333" s="31" cm="1">
        <f t="array" ref="Z1333">IF(LEFT(_xll.BDP($C1333, VOLUME_AVG_30D), 4) = "#N/A", "",  _xll.BDP($C1333, VOLUME_AVG_30D))</f>
        <v>574355.375</v>
      </c>
      <c r="AA1333" s="31" cm="1">
        <f t="array" ref="AA1333">IF(LEFT(_xll.BDP($C1333, VOLUME_AVG_3M), 4) = "#N/A", "",  _xll.BDP($C1333, VOLUME_AVG_3M))</f>
        <v>464378.9375</v>
      </c>
      <c r="AB1333" s="31" cm="1">
        <f t="array" ref="AB1333">IF(LEFT(_xll.BDP($C1333, VOLUME_AVG_6M), 4) = "#N/A", "",  _xll.BDP($C1333, VOLUME_AVG_6M))</f>
        <v>387210.375</v>
      </c>
      <c r="AC1333" s="31" cm="1">
        <f t="array" ref="AC1333">IF(LEFT(_xll.BDP($C1333, VOLUME_AVG_12M), 4) = "#N/A", "",  _xll.BDP($C1333, VOLUME_AVG_12M))</f>
        <v>270419.25</v>
      </c>
      <c r="AD1333" s="41" cm="1">
        <f t="array" ref="AD1333">IF(LEFT(_xll.BDP($C1333, LAST_PRICE), 4) = "#N/A", "",  _xll.BDP($C1333, LAST_PRICE))</f>
        <v>0.46839999999999998</v>
      </c>
    </row>
    <row r="1334" spans="1:30" x14ac:dyDescent="0.35">
      <c r="A1334" s="1">
        <f t="shared" si="20"/>
        <v>1331</v>
      </c>
      <c r="B1334" s="28">
        <v>45700</v>
      </c>
      <c r="C1334" s="29" t="s">
        <v>2711</v>
      </c>
      <c r="D1334" s="29" t="s">
        <v>2711</v>
      </c>
      <c r="E1334" s="29" t="s">
        <v>2712</v>
      </c>
      <c r="F1334" s="29" t="s">
        <v>33</v>
      </c>
      <c r="G1334" s="30" t="s">
        <v>34</v>
      </c>
      <c r="H1334" s="31">
        <v>696532765.691329</v>
      </c>
      <c r="I1334" s="31">
        <v>719843765.691329</v>
      </c>
      <c r="J1334" s="32">
        <v>1.16999995708466</v>
      </c>
      <c r="K1334" s="33">
        <v>45700</v>
      </c>
      <c r="L1334" s="31">
        <v>30464400</v>
      </c>
      <c r="M1334" s="32">
        <v>3.6</v>
      </c>
      <c r="N1334" s="31" t="s">
        <v>35</v>
      </c>
      <c r="O1334" s="33">
        <v>45699</v>
      </c>
      <c r="P1334" s="34">
        <v>16292350</v>
      </c>
      <c r="Q1334" s="34">
        <v>13343835</v>
      </c>
      <c r="R1334" s="34">
        <v>8765432</v>
      </c>
      <c r="S1334" s="29"/>
      <c r="T1334" s="33"/>
      <c r="U1334" s="35" t="b">
        <v>0</v>
      </c>
      <c r="V1334" s="35" t="b">
        <v>0</v>
      </c>
      <c r="W1334" s="35" t="b">
        <v>0</v>
      </c>
      <c r="Y1334" s="31" cm="1">
        <f t="array" ref="Y1334">IF(LEFT(_xll.BDP($C1334, VOLUME_AVG_10D), 4) = "#N/A", "",  _xll.BDP($C1334, VOLUME_AVG_10D))</f>
        <v>7833030.5</v>
      </c>
      <c r="Z1334" s="31" cm="1">
        <f t="array" ref="Z1334">IF(LEFT(_xll.BDP($C1334, VOLUME_AVG_30D), 4) = "#N/A", "",  _xll.BDP($C1334, VOLUME_AVG_30D))</f>
        <v>16292350</v>
      </c>
      <c r="AA1334" s="31" cm="1">
        <f t="array" ref="AA1334">IF(LEFT(_xll.BDP($C1334, VOLUME_AVG_3M), 4) = "#N/A", "",  _xll.BDP($C1334, VOLUME_AVG_3M))</f>
        <v>13343835</v>
      </c>
      <c r="AB1334" s="31" cm="1">
        <f t="array" ref="AB1334">IF(LEFT(_xll.BDP($C1334, VOLUME_AVG_6M), 4) = "#N/A", "",  _xll.BDP($C1334, VOLUME_AVG_6M))</f>
        <v>8765432</v>
      </c>
      <c r="AC1334" s="31" cm="1">
        <f t="array" ref="AC1334">IF(LEFT(_xll.BDP($C1334, VOLUME_AVG_12M), 4) = "#N/A", "",  _xll.BDP($C1334, VOLUME_AVG_12M))</f>
        <v>5503089.5</v>
      </c>
      <c r="AD1334" s="41" cm="1">
        <f t="array" ref="AD1334">IF(LEFT(_xll.BDP($C1334, LAST_PRICE), 4) = "#N/A", "",  _xll.BDP($C1334, LAST_PRICE))</f>
        <v>1.17</v>
      </c>
    </row>
    <row r="1335" spans="1:30" x14ac:dyDescent="0.35">
      <c r="A1335" s="1">
        <f t="shared" si="20"/>
        <v>1332</v>
      </c>
      <c r="B1335" s="28">
        <v>45700</v>
      </c>
      <c r="C1335" s="29" t="s">
        <v>2713</v>
      </c>
      <c r="D1335" s="29" t="s">
        <v>2713</v>
      </c>
      <c r="E1335" s="29" t="s">
        <v>2714</v>
      </c>
      <c r="F1335" s="29" t="s">
        <v>33</v>
      </c>
      <c r="G1335" s="30" t="s">
        <v>34</v>
      </c>
      <c r="H1335" s="31">
        <v>92603789.713077098</v>
      </c>
      <c r="I1335" s="31">
        <v>71149789.713077098</v>
      </c>
      <c r="J1335" s="32">
        <v>5.6500000953674299</v>
      </c>
      <c r="K1335" s="33">
        <v>45700</v>
      </c>
      <c r="L1335" s="31">
        <v>1345800</v>
      </c>
      <c r="M1335" s="32">
        <v>3.55</v>
      </c>
      <c r="N1335" s="31" t="s">
        <v>35</v>
      </c>
      <c r="O1335" s="33">
        <v>45699</v>
      </c>
      <c r="P1335" s="34">
        <v>419373.03125</v>
      </c>
      <c r="Q1335" s="34">
        <v>347617.125</v>
      </c>
      <c r="R1335" s="34">
        <v>238895.03125</v>
      </c>
      <c r="S1335" s="29"/>
      <c r="T1335" s="33"/>
      <c r="U1335" s="35" t="b">
        <v>0</v>
      </c>
      <c r="V1335" s="35" t="b">
        <v>0</v>
      </c>
      <c r="W1335" s="35" t="b">
        <v>0</v>
      </c>
      <c r="Y1335" s="31" cm="1">
        <f t="array" ref="Y1335">IF(LEFT(_xll.BDP($C1335, VOLUME_AVG_10D), 4) = "#N/A", "",  _xll.BDP($C1335, VOLUME_AVG_10D))</f>
        <v>830442.125</v>
      </c>
      <c r="Z1335" s="31" cm="1">
        <f t="array" ref="Z1335">IF(LEFT(_xll.BDP($C1335, VOLUME_AVG_30D), 4) = "#N/A", "",  _xll.BDP($C1335, VOLUME_AVG_30D))</f>
        <v>419373.03125</v>
      </c>
      <c r="AA1335" s="31" cm="1">
        <f t="array" ref="AA1335">IF(LEFT(_xll.BDP($C1335, VOLUME_AVG_3M), 4) = "#N/A", "",  _xll.BDP($C1335, VOLUME_AVG_3M))</f>
        <v>347617.125</v>
      </c>
      <c r="AB1335" s="31" cm="1">
        <f t="array" ref="AB1335">IF(LEFT(_xll.BDP($C1335, VOLUME_AVG_6M), 4) = "#N/A", "",  _xll.BDP($C1335, VOLUME_AVG_6M))</f>
        <v>238895.03125</v>
      </c>
      <c r="AC1335" s="31" cm="1">
        <f t="array" ref="AC1335">IF(LEFT(_xll.BDP($C1335, VOLUME_AVG_12M), 4) = "#N/A", "",  _xll.BDP($C1335, VOLUME_AVG_12M))</f>
        <v>307330.375</v>
      </c>
      <c r="AD1335" s="41" cm="1">
        <f t="array" ref="AD1335">IF(LEFT(_xll.BDP($C1335, LAST_PRICE), 4) = "#N/A", "",  _xll.BDP($C1335, LAST_PRICE))</f>
        <v>5.65</v>
      </c>
    </row>
    <row r="1336" spans="1:30" x14ac:dyDescent="0.35">
      <c r="A1336" s="1">
        <f t="shared" si="20"/>
        <v>1333</v>
      </c>
      <c r="B1336" s="28">
        <v>45700</v>
      </c>
      <c r="C1336" s="29" t="s">
        <v>2715</v>
      </c>
      <c r="D1336" s="29" t="s">
        <v>2715</v>
      </c>
      <c r="E1336" s="29" t="s">
        <v>2716</v>
      </c>
      <c r="F1336" s="29" t="s">
        <v>33</v>
      </c>
      <c r="G1336" s="30" t="s">
        <v>34</v>
      </c>
      <c r="H1336" s="31">
        <v>19559301.771145798</v>
      </c>
      <c r="I1336" s="31">
        <v>21299301.771145798</v>
      </c>
      <c r="J1336" s="32">
        <v>4.0500001907348597</v>
      </c>
      <c r="K1336" s="33">
        <v>45700</v>
      </c>
      <c r="L1336" s="31">
        <v>188600</v>
      </c>
      <c r="M1336" s="32">
        <v>-64.95</v>
      </c>
      <c r="N1336" s="31" t="s">
        <v>35</v>
      </c>
      <c r="O1336" s="33">
        <v>45699</v>
      </c>
      <c r="P1336" s="34">
        <v>67297.8359375</v>
      </c>
      <c r="Q1336" s="34">
        <v>2346684.75</v>
      </c>
      <c r="R1336" s="34">
        <v>1168006.125</v>
      </c>
      <c r="S1336" s="29"/>
      <c r="T1336" s="33"/>
      <c r="U1336" s="35" t="b">
        <v>1</v>
      </c>
      <c r="V1336" s="35" t="b">
        <v>0</v>
      </c>
      <c r="W1336" s="35" t="b">
        <v>0</v>
      </c>
      <c r="Y1336" s="31" cm="1">
        <f t="array" ref="Y1336">IF(LEFT(_xll.BDP($C1336, VOLUME_AVG_10D), 4) = "#N/A", "",  _xll.BDP($C1336, VOLUME_AVG_10D))</f>
        <v>21958.5</v>
      </c>
      <c r="Z1336" s="31" cm="1">
        <f t="array" ref="Z1336">IF(LEFT(_xll.BDP($C1336, VOLUME_AVG_30D), 4) = "#N/A", "",  _xll.BDP($C1336, VOLUME_AVG_30D))</f>
        <v>67297.8359375</v>
      </c>
      <c r="AA1336" s="31" cm="1">
        <f t="array" ref="AA1336">IF(LEFT(_xll.BDP($C1336, VOLUME_AVG_3M), 4) = "#N/A", "",  _xll.BDP($C1336, VOLUME_AVG_3M))</f>
        <v>2346684.75</v>
      </c>
      <c r="AB1336" s="31" cm="1">
        <f t="array" ref="AB1336">IF(LEFT(_xll.BDP($C1336, VOLUME_AVG_6M), 4) = "#N/A", "",  _xll.BDP($C1336, VOLUME_AVG_6M))</f>
        <v>1168006.125</v>
      </c>
      <c r="AC1336" s="31" cm="1">
        <f t="array" ref="AC1336">IF(LEFT(_xll.BDP($C1336, VOLUME_AVG_12M), 4) = "#N/A", "",  _xll.BDP($C1336, VOLUME_AVG_12M))</f>
        <v>777775.375</v>
      </c>
      <c r="AD1336" s="41" cm="1">
        <f t="array" ref="AD1336">IF(LEFT(_xll.BDP($C1336, LAST_PRICE), 4) = "#N/A", "",  _xll.BDP($C1336, LAST_PRICE))</f>
        <v>4.05</v>
      </c>
    </row>
    <row r="1337" spans="1:30" x14ac:dyDescent="0.35">
      <c r="A1337" s="1">
        <f t="shared" si="20"/>
        <v>1334</v>
      </c>
      <c r="B1337" s="28">
        <v>45700</v>
      </c>
      <c r="C1337" s="29" t="s">
        <v>2717</v>
      </c>
      <c r="D1337" s="29" t="s">
        <v>2717</v>
      </c>
      <c r="E1337" s="29" t="s">
        <v>2718</v>
      </c>
      <c r="F1337" s="29" t="s">
        <v>33</v>
      </c>
      <c r="G1337" s="30" t="s">
        <v>34</v>
      </c>
      <c r="H1337" s="31">
        <v>502639025.889359</v>
      </c>
      <c r="I1337" s="31">
        <v>615353025.889359</v>
      </c>
      <c r="J1337" s="32">
        <v>11.319999694824199</v>
      </c>
      <c r="K1337" s="33">
        <v>45700</v>
      </c>
      <c r="L1337" s="31">
        <v>2438700</v>
      </c>
      <c r="M1337" s="32">
        <v>1.4</v>
      </c>
      <c r="N1337" s="31" t="s">
        <v>35</v>
      </c>
      <c r="O1337" s="33">
        <v>45699</v>
      </c>
      <c r="P1337" s="34">
        <v>221715.4375</v>
      </c>
      <c r="Q1337" s="34">
        <v>294699.53125</v>
      </c>
      <c r="R1337" s="34"/>
      <c r="S1337" s="29"/>
      <c r="T1337" s="33"/>
      <c r="U1337" s="35" t="b">
        <v>0</v>
      </c>
      <c r="V1337" s="35" t="b">
        <v>0</v>
      </c>
      <c r="W1337" s="35" t="b">
        <v>0</v>
      </c>
      <c r="Y1337" s="31" cm="1">
        <f t="array" ref="Y1337">IF(LEFT(_xll.BDP($C1337, VOLUME_AVG_10D), 4) = "#N/A", "",  _xll.BDP($C1337, VOLUME_AVG_10D))</f>
        <v>292042.5</v>
      </c>
      <c r="Z1337" s="31" cm="1">
        <f t="array" ref="Z1337">IF(LEFT(_xll.BDP($C1337, VOLUME_AVG_30D), 4) = "#N/A", "",  _xll.BDP($C1337, VOLUME_AVG_30D))</f>
        <v>221715.4375</v>
      </c>
      <c r="AA1337" s="31" cm="1">
        <f t="array" ref="AA1337">IF(LEFT(_xll.BDP($C1337, VOLUME_AVG_3M), 4) = "#N/A", "",  _xll.BDP($C1337, VOLUME_AVG_3M))</f>
        <v>294699.53125</v>
      </c>
      <c r="AB1337" s="31" t="str" cm="1">
        <f t="array" ref="AB1337">IF(LEFT(_xll.BDP($C1337, VOLUME_AVG_6M), 4) = "#N/A", "",  _xll.BDP($C1337, VOLUME_AVG_6M))</f>
        <v/>
      </c>
      <c r="AC1337" s="31" t="str" cm="1">
        <f t="array" ref="AC1337">IF(LEFT(_xll.BDP($C1337, VOLUME_AVG_12M), 4) = "#N/A", "",  _xll.BDP($C1337, VOLUME_AVG_12M))</f>
        <v/>
      </c>
      <c r="AD1337" s="41" cm="1">
        <f t="array" ref="AD1337">IF(LEFT(_xll.BDP($C1337, LAST_PRICE), 4) = "#N/A", "",  _xll.BDP($C1337, LAST_PRICE))</f>
        <v>11.32</v>
      </c>
    </row>
    <row r="1338" spans="1:30" x14ac:dyDescent="0.35">
      <c r="A1338" s="1">
        <f t="shared" si="20"/>
        <v>1335</v>
      </c>
      <c r="B1338" s="28">
        <v>45700</v>
      </c>
      <c r="C1338" s="29" t="s">
        <v>2719</v>
      </c>
      <c r="D1338" s="29" t="s">
        <v>2719</v>
      </c>
      <c r="E1338" s="29" t="s">
        <v>2720</v>
      </c>
      <c r="F1338" s="29" t="s">
        <v>33</v>
      </c>
      <c r="G1338" s="30" t="s">
        <v>34</v>
      </c>
      <c r="H1338" s="31">
        <v>150118720.275134</v>
      </c>
      <c r="I1338" s="31">
        <v>76083720.275134102</v>
      </c>
      <c r="J1338" s="32">
        <v>4.28999996185303</v>
      </c>
      <c r="K1338" s="33">
        <v>45700</v>
      </c>
      <c r="L1338" s="31">
        <v>2916700</v>
      </c>
      <c r="M1338" s="32">
        <v>3.5</v>
      </c>
      <c r="N1338" s="31" t="s">
        <v>35</v>
      </c>
      <c r="O1338" s="33">
        <v>45699</v>
      </c>
      <c r="P1338" s="34">
        <v>153157.140625</v>
      </c>
      <c r="Q1338" s="34">
        <v>117337.515625</v>
      </c>
      <c r="R1338" s="34">
        <v>103849.90625</v>
      </c>
      <c r="S1338" s="29"/>
      <c r="T1338" s="33"/>
      <c r="U1338" s="35" t="b">
        <v>0</v>
      </c>
      <c r="V1338" s="35" t="b">
        <v>0</v>
      </c>
      <c r="W1338" s="35" t="b">
        <v>0</v>
      </c>
      <c r="Y1338" s="31" cm="1">
        <f t="array" ref="Y1338">IF(LEFT(_xll.BDP($C1338, VOLUME_AVG_10D), 4) = "#N/A", "",  _xll.BDP($C1338, VOLUME_AVG_10D))</f>
        <v>174896</v>
      </c>
      <c r="Z1338" s="31" cm="1">
        <f t="array" ref="Z1338">IF(LEFT(_xll.BDP($C1338, VOLUME_AVG_30D), 4) = "#N/A", "",  _xll.BDP($C1338, VOLUME_AVG_30D))</f>
        <v>153157.140625</v>
      </c>
      <c r="AA1338" s="31" cm="1">
        <f t="array" ref="AA1338">IF(LEFT(_xll.BDP($C1338, VOLUME_AVG_3M), 4) = "#N/A", "",  _xll.BDP($C1338, VOLUME_AVG_3M))</f>
        <v>117337.515625</v>
      </c>
      <c r="AB1338" s="31" cm="1">
        <f t="array" ref="AB1338">IF(LEFT(_xll.BDP($C1338, VOLUME_AVG_6M), 4) = "#N/A", "",  _xll.BDP($C1338, VOLUME_AVG_6M))</f>
        <v>103849.90625</v>
      </c>
      <c r="AC1338" s="31" cm="1">
        <f t="array" ref="AC1338">IF(LEFT(_xll.BDP($C1338, VOLUME_AVG_12M), 4) = "#N/A", "",  _xll.BDP($C1338, VOLUME_AVG_12M))</f>
        <v>152488.390625</v>
      </c>
      <c r="AD1338" s="41" cm="1">
        <f t="array" ref="AD1338">IF(LEFT(_xll.BDP($C1338, LAST_PRICE), 4) = "#N/A", "",  _xll.BDP($C1338, LAST_PRICE))</f>
        <v>4.29</v>
      </c>
    </row>
    <row r="1339" spans="1:30" x14ac:dyDescent="0.35">
      <c r="A1339" s="1">
        <f t="shared" si="20"/>
        <v>1336</v>
      </c>
      <c r="B1339" s="28">
        <v>45700</v>
      </c>
      <c r="C1339" s="29" t="s">
        <v>2721</v>
      </c>
      <c r="D1339" s="29" t="s">
        <v>2721</v>
      </c>
      <c r="E1339" s="29" t="s">
        <v>2722</v>
      </c>
      <c r="F1339" s="29" t="s">
        <v>33</v>
      </c>
      <c r="G1339" s="30" t="s">
        <v>34</v>
      </c>
      <c r="H1339" s="31">
        <v>139646666.97703999</v>
      </c>
      <c r="I1339" s="31">
        <v>166434666.97703999</v>
      </c>
      <c r="J1339" s="32">
        <v>0.81790000200271595</v>
      </c>
      <c r="K1339" s="33">
        <v>45700</v>
      </c>
      <c r="L1339" s="31">
        <v>319800</v>
      </c>
      <c r="M1339" s="32">
        <v>-3.55</v>
      </c>
      <c r="N1339" s="31" t="s">
        <v>35</v>
      </c>
      <c r="O1339" s="33">
        <v>45699</v>
      </c>
      <c r="P1339" s="34">
        <v>1885240.125</v>
      </c>
      <c r="Q1339" s="34">
        <v>2580508</v>
      </c>
      <c r="R1339" s="34">
        <v>3076099.75</v>
      </c>
      <c r="S1339" s="29" t="s">
        <v>353</v>
      </c>
      <c r="T1339" s="33">
        <v>45446</v>
      </c>
      <c r="U1339" s="35" t="b">
        <v>0</v>
      </c>
      <c r="V1339" s="35" t="b">
        <v>0</v>
      </c>
      <c r="W1339" s="35" t="b">
        <v>0</v>
      </c>
      <c r="Y1339" s="31" cm="1">
        <f t="array" ref="Y1339">IF(LEFT(_xll.BDP($C1339, VOLUME_AVG_10D), 4) = "#N/A", "",  _xll.BDP($C1339, VOLUME_AVG_10D))</f>
        <v>875181.625</v>
      </c>
      <c r="Z1339" s="31" cm="1">
        <f t="array" ref="Z1339">IF(LEFT(_xll.BDP($C1339, VOLUME_AVG_30D), 4) = "#N/A", "",  _xll.BDP($C1339, VOLUME_AVG_30D))</f>
        <v>1885240.125</v>
      </c>
      <c r="AA1339" s="31" cm="1">
        <f t="array" ref="AA1339">IF(LEFT(_xll.BDP($C1339, VOLUME_AVG_3M), 4) = "#N/A", "",  _xll.BDP($C1339, VOLUME_AVG_3M))</f>
        <v>2580508</v>
      </c>
      <c r="AB1339" s="31" cm="1">
        <f t="array" ref="AB1339">IF(LEFT(_xll.BDP($C1339, VOLUME_AVG_6M), 4) = "#N/A", "",  _xll.BDP($C1339, VOLUME_AVG_6M))</f>
        <v>3076099.75</v>
      </c>
      <c r="AC1339" s="31" cm="1">
        <f t="array" ref="AC1339">IF(LEFT(_xll.BDP($C1339, VOLUME_AVG_12M), 4) = "#N/A", "",  _xll.BDP($C1339, VOLUME_AVG_12M))</f>
        <v>3804659.25</v>
      </c>
      <c r="AD1339" s="41" cm="1">
        <f t="array" ref="AD1339">IF(LEFT(_xll.BDP($C1339, LAST_PRICE), 4) = "#N/A", "",  _xll.BDP($C1339, LAST_PRICE))</f>
        <v>0.81789999999999996</v>
      </c>
    </row>
    <row r="1340" spans="1:30" x14ac:dyDescent="0.35">
      <c r="A1340" s="1">
        <f t="shared" si="20"/>
        <v>1337</v>
      </c>
      <c r="B1340" s="28">
        <v>45700</v>
      </c>
      <c r="C1340" s="29" t="s">
        <v>2723</v>
      </c>
      <c r="D1340" s="29" t="s">
        <v>2723</v>
      </c>
      <c r="E1340" s="29" t="s">
        <v>2724</v>
      </c>
      <c r="F1340" s="29" t="s">
        <v>33</v>
      </c>
      <c r="G1340" s="30" t="s">
        <v>34</v>
      </c>
      <c r="H1340" s="31">
        <v>40903088.751995102</v>
      </c>
      <c r="I1340" s="31">
        <v>55182088.751995102</v>
      </c>
      <c r="J1340" s="32">
        <v>4.5999999046325701</v>
      </c>
      <c r="K1340" s="33">
        <v>45700</v>
      </c>
      <c r="L1340" s="31">
        <v>53600</v>
      </c>
      <c r="M1340" s="32">
        <v>-1.75</v>
      </c>
      <c r="N1340" s="31" t="s">
        <v>35</v>
      </c>
      <c r="O1340" s="33">
        <v>45699</v>
      </c>
      <c r="P1340" s="34">
        <v>17275.5</v>
      </c>
      <c r="Q1340" s="34">
        <v>25070.048828125</v>
      </c>
      <c r="R1340" s="34">
        <v>20687.396484375</v>
      </c>
      <c r="S1340" s="29"/>
      <c r="T1340" s="33"/>
      <c r="U1340" s="35" t="b">
        <v>0</v>
      </c>
      <c r="V1340" s="35" t="b">
        <v>0</v>
      </c>
      <c r="W1340" s="35" t="b">
        <v>0</v>
      </c>
      <c r="Y1340" s="31" cm="1">
        <f t="array" ref="Y1340">IF(LEFT(_xll.BDP($C1340, VOLUME_AVG_10D), 4) = "#N/A", "",  _xll.BDP($C1340, VOLUME_AVG_10D))</f>
        <v>7914.7998046875</v>
      </c>
      <c r="Z1340" s="31" cm="1">
        <f t="array" ref="Z1340">IF(LEFT(_xll.BDP($C1340, VOLUME_AVG_30D), 4) = "#N/A", "",  _xll.BDP($C1340, VOLUME_AVG_30D))</f>
        <v>17275.5</v>
      </c>
      <c r="AA1340" s="31" cm="1">
        <f t="array" ref="AA1340">IF(LEFT(_xll.BDP($C1340, VOLUME_AVG_3M), 4) = "#N/A", "",  _xll.BDP($C1340, VOLUME_AVG_3M))</f>
        <v>25070.048828125</v>
      </c>
      <c r="AB1340" s="31" cm="1">
        <f t="array" ref="AB1340">IF(LEFT(_xll.BDP($C1340, VOLUME_AVG_6M), 4) = "#N/A", "",  _xll.BDP($C1340, VOLUME_AVG_6M))</f>
        <v>20687.396484375</v>
      </c>
      <c r="AC1340" s="31" cm="1">
        <f t="array" ref="AC1340">IF(LEFT(_xll.BDP($C1340, VOLUME_AVG_12M), 4) = "#N/A", "",  _xll.BDP($C1340, VOLUME_AVG_12M))</f>
        <v>17200.375</v>
      </c>
      <c r="AD1340" s="41" cm="1">
        <f t="array" ref="AD1340">IF(LEFT(_xll.BDP($C1340, LAST_PRICE), 4) = "#N/A", "",  _xll.BDP($C1340, LAST_PRICE))</f>
        <v>4.5999999999999996</v>
      </c>
    </row>
    <row r="1341" spans="1:30" x14ac:dyDescent="0.35">
      <c r="A1341" s="1">
        <f t="shared" si="20"/>
        <v>1338</v>
      </c>
      <c r="B1341" s="28">
        <v>45700</v>
      </c>
      <c r="C1341" s="29" t="s">
        <v>2725</v>
      </c>
      <c r="D1341" s="29" t="s">
        <v>2725</v>
      </c>
      <c r="E1341" s="29" t="s">
        <v>3311</v>
      </c>
      <c r="F1341" s="29" t="s">
        <v>40</v>
      </c>
      <c r="G1341" s="30" t="s">
        <v>41</v>
      </c>
      <c r="H1341" s="31">
        <v>68981802.906285897</v>
      </c>
      <c r="I1341" s="31">
        <v>63539468.906285897</v>
      </c>
      <c r="J1341" s="32">
        <v>0.20999999344348899</v>
      </c>
      <c r="K1341" s="33">
        <v>45700</v>
      </c>
      <c r="L1341" s="31">
        <v>73900</v>
      </c>
      <c r="M1341" s="32">
        <v>-8.1</v>
      </c>
      <c r="N1341" s="31" t="s">
        <v>35</v>
      </c>
      <c r="O1341" s="33">
        <v>45699</v>
      </c>
      <c r="P1341" s="34">
        <v>254400.5</v>
      </c>
      <c r="Q1341" s="34">
        <v>213962.4</v>
      </c>
      <c r="R1341" s="34">
        <v>277188.3</v>
      </c>
      <c r="S1341" s="29"/>
      <c r="T1341" s="33"/>
      <c r="U1341" s="35" t="b">
        <v>0</v>
      </c>
      <c r="V1341" s="35" t="b">
        <v>0</v>
      </c>
      <c r="W1341" s="35" t="b">
        <v>0</v>
      </c>
      <c r="Y1341" s="31" cm="1">
        <f t="array" ref="Y1341">IF(LEFT(_xll.BDP($C1341, VOLUME_AVG_10D), 4) = "#N/A", "",  _xll.BDP($C1341, VOLUME_AVG_10D))</f>
        <v>241168</v>
      </c>
      <c r="Z1341" s="31" cm="1">
        <f t="array" ref="Z1341">IF(LEFT(_xll.BDP($C1341, VOLUME_AVG_30D), 4) = "#N/A", "",  _xll.BDP($C1341, VOLUME_AVG_30D))</f>
        <v>254400.5</v>
      </c>
      <c r="AA1341" s="31" cm="1">
        <f t="array" ref="AA1341">IF(LEFT(_xll.BDP($C1341, VOLUME_AVG_3M), 4) = "#N/A", "",  _xll.BDP($C1341, VOLUME_AVG_3M))</f>
        <v>213962.4</v>
      </c>
      <c r="AB1341" s="31" cm="1">
        <f t="array" ref="AB1341">IF(LEFT(_xll.BDP($C1341, VOLUME_AVG_6M), 4) = "#N/A", "",  _xll.BDP($C1341, VOLUME_AVG_6M))</f>
        <v>277188.3</v>
      </c>
      <c r="AC1341" s="31" cm="1">
        <f t="array" ref="AC1341">IF(LEFT(_xll.BDP($C1341, VOLUME_AVG_12M), 4) = "#N/A", "",  _xll.BDP($C1341, VOLUME_AVG_12M))</f>
        <v>296519.09999999998</v>
      </c>
      <c r="AD1341" s="41" cm="1">
        <f t="array" ref="AD1341">IF(LEFT(_xll.BDP($C1341, LAST_PRICE), 4) = "#N/A", "",  _xll.BDP($C1341, LAST_PRICE))</f>
        <v>0.21</v>
      </c>
    </row>
    <row r="1342" spans="1:30" x14ac:dyDescent="0.35">
      <c r="A1342" s="1">
        <f t="shared" si="20"/>
        <v>1339</v>
      </c>
      <c r="B1342" s="28">
        <v>45700</v>
      </c>
      <c r="C1342" s="29" t="s">
        <v>2726</v>
      </c>
      <c r="D1342" s="29" t="s">
        <v>2726</v>
      </c>
      <c r="E1342" s="29" t="s">
        <v>2727</v>
      </c>
      <c r="F1342" s="29" t="s">
        <v>33</v>
      </c>
      <c r="G1342" s="30" t="s">
        <v>34</v>
      </c>
      <c r="H1342" s="31">
        <v>409143.23119999998</v>
      </c>
      <c r="I1342" s="31">
        <v>1217143.21742388</v>
      </c>
      <c r="J1342" s="32">
        <v>3.2800000000000003E-2</v>
      </c>
      <c r="K1342" s="33">
        <v>45700</v>
      </c>
      <c r="L1342" s="31">
        <v>51600</v>
      </c>
      <c r="M1342" s="32">
        <v>3.3</v>
      </c>
      <c r="N1342" s="31" t="s">
        <v>35</v>
      </c>
      <c r="O1342" s="33">
        <v>45699</v>
      </c>
      <c r="P1342" s="34">
        <v>5144</v>
      </c>
      <c r="Q1342" s="34">
        <v>6322.25830078125</v>
      </c>
      <c r="R1342" s="34">
        <v>3869.85717773438</v>
      </c>
      <c r="S1342" s="29"/>
      <c r="T1342" s="33"/>
      <c r="U1342" s="35" t="b">
        <v>1</v>
      </c>
      <c r="V1342" s="35" t="b">
        <v>1</v>
      </c>
      <c r="W1342" s="35" t="b">
        <v>0</v>
      </c>
      <c r="Y1342" s="31" cm="1">
        <f t="array" ref="Y1342">IF(LEFT(_xll.BDP($C1342, VOLUME_AVG_10D), 4) = "#N/A", "",  _xll.BDP($C1342, VOLUME_AVG_10D))</f>
        <v>650</v>
      </c>
      <c r="Z1342" s="31" cm="1">
        <f t="array" ref="Z1342">IF(LEFT(_xll.BDP($C1342, VOLUME_AVG_30D), 4) = "#N/A", "",  _xll.BDP($C1342, VOLUME_AVG_30D))</f>
        <v>5144</v>
      </c>
      <c r="AA1342" s="31" cm="1">
        <f t="array" ref="AA1342">IF(LEFT(_xll.BDP($C1342, VOLUME_AVG_3M), 4) = "#N/A", "",  _xll.BDP($C1342, VOLUME_AVG_3M))</f>
        <v>6322.25830078125</v>
      </c>
      <c r="AB1342" s="31" cm="1">
        <f t="array" ref="AB1342">IF(LEFT(_xll.BDP($C1342, VOLUME_AVG_6M), 4) = "#N/A", "",  _xll.BDP($C1342, VOLUME_AVG_6M))</f>
        <v>3869.857177734375</v>
      </c>
      <c r="AC1342" s="31" cm="1">
        <f t="array" ref="AC1342">IF(LEFT(_xll.BDP($C1342, VOLUME_AVG_12M), 4) = "#N/A", "",  _xll.BDP($C1342, VOLUME_AVG_12M))</f>
        <v>2918.541748046875</v>
      </c>
      <c r="AD1342" s="41" cm="1">
        <f t="array" ref="AD1342">IF(LEFT(_xll.BDP($C1342, LAST_PRICE), 4) = "#N/A", "",  _xll.BDP($C1342, LAST_PRICE))</f>
        <v>3.2800000000000003E-2</v>
      </c>
    </row>
    <row r="1343" spans="1:30" x14ac:dyDescent="0.35">
      <c r="A1343" s="1">
        <f t="shared" si="20"/>
        <v>1340</v>
      </c>
      <c r="B1343" s="28">
        <v>45700</v>
      </c>
      <c r="C1343" s="29" t="s">
        <v>2728</v>
      </c>
      <c r="D1343" s="29" t="s">
        <v>2728</v>
      </c>
      <c r="E1343" s="29" t="s">
        <v>2729</v>
      </c>
      <c r="F1343" s="29" t="s">
        <v>33</v>
      </c>
      <c r="G1343" s="30" t="s">
        <v>34</v>
      </c>
      <c r="H1343" s="31">
        <v>4130985.1827220898</v>
      </c>
      <c r="I1343" s="31">
        <v>1118077.18272209</v>
      </c>
      <c r="J1343" s="32">
        <v>0.37290000915527299</v>
      </c>
      <c r="K1343" s="33">
        <v>45700</v>
      </c>
      <c r="L1343" s="31">
        <v>567100</v>
      </c>
      <c r="M1343" s="32">
        <v>-56.3</v>
      </c>
      <c r="N1343" s="31" t="s">
        <v>35</v>
      </c>
      <c r="O1343" s="33">
        <v>45699</v>
      </c>
      <c r="P1343" s="34">
        <v>2424005.5</v>
      </c>
      <c r="Q1343" s="34">
        <v>1306860.875</v>
      </c>
      <c r="R1343" s="34">
        <v>682134.3125</v>
      </c>
      <c r="S1343" s="29"/>
      <c r="T1343" s="33"/>
      <c r="U1343" s="35" t="b">
        <v>1</v>
      </c>
      <c r="V1343" s="35" t="b">
        <v>0</v>
      </c>
      <c r="W1343" s="35" t="b">
        <v>0</v>
      </c>
      <c r="Y1343" s="31" cm="1">
        <f t="array" ref="Y1343">IF(LEFT(_xll.BDP($C1343, VOLUME_AVG_10D), 4) = "#N/A", "",  _xll.BDP($C1343, VOLUME_AVG_10D))</f>
        <v>5058420.5</v>
      </c>
      <c r="Z1343" s="31" cm="1">
        <f t="array" ref="Z1343">IF(LEFT(_xll.BDP($C1343, VOLUME_AVG_30D), 4) = "#N/A", "",  _xll.BDP($C1343, VOLUME_AVG_30D))</f>
        <v>2424005.5</v>
      </c>
      <c r="AA1343" s="31" cm="1">
        <f t="array" ref="AA1343">IF(LEFT(_xll.BDP($C1343, VOLUME_AVG_3M), 4) = "#N/A", "",  _xll.BDP($C1343, VOLUME_AVG_3M))</f>
        <v>1306860.875</v>
      </c>
      <c r="AB1343" s="31" cm="1">
        <f t="array" ref="AB1343">IF(LEFT(_xll.BDP($C1343, VOLUME_AVG_6M), 4) = "#N/A", "",  _xll.BDP($C1343, VOLUME_AVG_6M))</f>
        <v>682134.3125</v>
      </c>
      <c r="AC1343" s="31" cm="1">
        <f t="array" ref="AC1343">IF(LEFT(_xll.BDP($C1343, VOLUME_AVG_12M), 4) = "#N/A", "",  _xll.BDP($C1343, VOLUME_AVG_12M))</f>
        <v>491021.65625</v>
      </c>
      <c r="AD1343" s="41" cm="1">
        <f t="array" ref="AD1343">IF(LEFT(_xll.BDP($C1343, LAST_PRICE), 4) = "#N/A", "",  _xll.BDP($C1343, LAST_PRICE))</f>
        <v>0.37290000000000001</v>
      </c>
    </row>
    <row r="1344" spans="1:30" x14ac:dyDescent="0.35">
      <c r="A1344" s="1">
        <f t="shared" si="20"/>
        <v>1341</v>
      </c>
      <c r="B1344" s="28">
        <v>45700</v>
      </c>
      <c r="C1344" s="29" t="s">
        <v>2730</v>
      </c>
      <c r="D1344" s="29" t="s">
        <v>2730</v>
      </c>
      <c r="E1344" s="29" t="s">
        <v>2731</v>
      </c>
      <c r="F1344" s="29" t="s">
        <v>33</v>
      </c>
      <c r="G1344" s="30" t="s">
        <v>34</v>
      </c>
      <c r="H1344" s="31">
        <v>56810255.251688004</v>
      </c>
      <c r="I1344" s="31">
        <v>-30505744.748312</v>
      </c>
      <c r="J1344" s="32">
        <v>1.1900000572204601</v>
      </c>
      <c r="K1344" s="33">
        <v>45700</v>
      </c>
      <c r="L1344" s="31">
        <v>5687600</v>
      </c>
      <c r="M1344" s="32">
        <v>3.85</v>
      </c>
      <c r="N1344" s="31" t="s">
        <v>35</v>
      </c>
      <c r="O1344" s="33">
        <v>45699</v>
      </c>
      <c r="P1344" s="34">
        <v>137402.640625</v>
      </c>
      <c r="Q1344" s="34">
        <v>230680.421875</v>
      </c>
      <c r="R1344" s="34">
        <v>409387.09375</v>
      </c>
      <c r="S1344" s="29" t="s">
        <v>46</v>
      </c>
      <c r="T1344" s="33">
        <v>45446</v>
      </c>
      <c r="U1344" s="35" t="b">
        <v>0</v>
      </c>
      <c r="V1344" s="35" t="b">
        <v>0</v>
      </c>
      <c r="W1344" s="35" t="b">
        <v>1</v>
      </c>
      <c r="Y1344" s="31" cm="1">
        <f t="array" ref="Y1344">IF(LEFT(_xll.BDP($C1344, VOLUME_AVG_10D), 4) = "#N/A", "",  _xll.BDP($C1344, VOLUME_AVG_10D))</f>
        <v>130420.1015625</v>
      </c>
      <c r="Z1344" s="31" cm="1">
        <f t="array" ref="Z1344">IF(LEFT(_xll.BDP($C1344, VOLUME_AVG_30D), 4) = "#N/A", "",  _xll.BDP($C1344, VOLUME_AVG_30D))</f>
        <v>137402.640625</v>
      </c>
      <c r="AA1344" s="31" cm="1">
        <f t="array" ref="AA1344">IF(LEFT(_xll.BDP($C1344, VOLUME_AVG_3M), 4) = "#N/A", "",  _xll.BDP($C1344, VOLUME_AVG_3M))</f>
        <v>230680.421875</v>
      </c>
      <c r="AB1344" s="31" cm="1">
        <f t="array" ref="AB1344">IF(LEFT(_xll.BDP($C1344, VOLUME_AVG_6M), 4) = "#N/A", "",  _xll.BDP($C1344, VOLUME_AVG_6M))</f>
        <v>409387.09375</v>
      </c>
      <c r="AC1344" s="31" cm="1">
        <f t="array" ref="AC1344">IF(LEFT(_xll.BDP($C1344, VOLUME_AVG_12M), 4) = "#N/A", "",  _xll.BDP($C1344, VOLUME_AVG_12M))</f>
        <v>403787.5</v>
      </c>
      <c r="AD1344" s="41" cm="1">
        <f t="array" ref="AD1344">IF(LEFT(_xll.BDP($C1344, LAST_PRICE), 4) = "#N/A", "",  _xll.BDP($C1344, LAST_PRICE))</f>
        <v>1.19</v>
      </c>
    </row>
    <row r="1345" spans="1:30" x14ac:dyDescent="0.35">
      <c r="A1345" s="1">
        <f t="shared" si="20"/>
        <v>1342</v>
      </c>
      <c r="B1345" s="28">
        <v>45700</v>
      </c>
      <c r="C1345" s="29" t="s">
        <v>2732</v>
      </c>
      <c r="D1345" s="29" t="s">
        <v>2732</v>
      </c>
      <c r="E1345" s="29" t="s">
        <v>2733</v>
      </c>
      <c r="F1345" s="29" t="s">
        <v>33</v>
      </c>
      <c r="G1345" s="30" t="s">
        <v>34</v>
      </c>
      <c r="H1345" s="31"/>
      <c r="I1345" s="31"/>
      <c r="J1345" s="32"/>
      <c r="K1345" s="33">
        <v>45700</v>
      </c>
      <c r="L1345" s="31"/>
      <c r="M1345" s="32"/>
      <c r="N1345" s="31"/>
      <c r="O1345" s="33">
        <v>45699</v>
      </c>
      <c r="P1345" s="34"/>
      <c r="Q1345" s="34"/>
      <c r="R1345" s="34"/>
      <c r="S1345" s="29"/>
      <c r="T1345" s="33"/>
      <c r="U1345" s="35" t="b">
        <v>1</v>
      </c>
      <c r="V1345" s="35" t="b">
        <v>1</v>
      </c>
      <c r="W1345" s="35" t="b">
        <v>1</v>
      </c>
      <c r="Y1345" s="31" t="str" cm="1">
        <f t="array" ref="Y1345">IF(LEFT(_xll.BDP($C1345, VOLUME_AVG_10D), 4) = "#N/A", "",  _xll.BDP($C1345, VOLUME_AVG_10D))</f>
        <v/>
      </c>
      <c r="Z1345" s="31" t="str" cm="1">
        <f t="array" ref="Z1345">IF(LEFT(_xll.BDP($C1345, VOLUME_AVG_30D), 4) = "#N/A", "",  _xll.BDP($C1345, VOLUME_AVG_30D))</f>
        <v/>
      </c>
      <c r="AA1345" s="31" t="str" cm="1">
        <f t="array" ref="AA1345">IF(LEFT(_xll.BDP($C1345, VOLUME_AVG_3M), 4) = "#N/A", "",  _xll.BDP($C1345, VOLUME_AVG_3M))</f>
        <v/>
      </c>
      <c r="AB1345" s="31" t="str" cm="1">
        <f t="array" ref="AB1345">IF(LEFT(_xll.BDP($C1345, VOLUME_AVG_6M), 4) = "#N/A", "",  _xll.BDP($C1345, VOLUME_AVG_6M))</f>
        <v/>
      </c>
      <c r="AC1345" s="31" t="str" cm="1">
        <f t="array" ref="AC1345">IF(LEFT(_xll.BDP($C1345, VOLUME_AVG_12M), 4) = "#N/A", "",  _xll.BDP($C1345, VOLUME_AVG_12M))</f>
        <v/>
      </c>
      <c r="AD1345" s="41" t="str" cm="1">
        <f t="array" ref="AD1345">IF(LEFT(_xll.BDP($C1345, LAST_PRICE), 4) = "#N/A", "",  _xll.BDP($C1345, LAST_PRICE))</f>
        <v/>
      </c>
    </row>
    <row r="1346" spans="1:30" x14ac:dyDescent="0.35">
      <c r="A1346" s="1">
        <f t="shared" si="20"/>
        <v>1343</v>
      </c>
      <c r="B1346" s="28">
        <v>45700</v>
      </c>
      <c r="C1346" s="29" t="s">
        <v>2734</v>
      </c>
      <c r="D1346" s="29" t="s">
        <v>2734</v>
      </c>
      <c r="E1346" s="29" t="s">
        <v>2735</v>
      </c>
      <c r="F1346" s="29" t="s">
        <v>33</v>
      </c>
      <c r="G1346" s="30" t="s">
        <v>34</v>
      </c>
      <c r="H1346" s="31">
        <v>2813647.1161909099</v>
      </c>
      <c r="I1346" s="31">
        <v>-1697378.8838090899</v>
      </c>
      <c r="J1346" s="32">
        <v>0.69019997119903598</v>
      </c>
      <c r="K1346" s="33">
        <v>45700</v>
      </c>
      <c r="L1346" s="31">
        <v>255600</v>
      </c>
      <c r="M1346" s="32">
        <v>-41.1</v>
      </c>
      <c r="N1346" s="31" t="s">
        <v>35</v>
      </c>
      <c r="O1346" s="33">
        <v>45699</v>
      </c>
      <c r="P1346" s="34">
        <v>68339.3984375</v>
      </c>
      <c r="Q1346" s="34">
        <v>89639.3359375</v>
      </c>
      <c r="R1346" s="34">
        <v>838015.1875</v>
      </c>
      <c r="S1346" s="29"/>
      <c r="T1346" s="33"/>
      <c r="U1346" s="35" t="b">
        <v>1</v>
      </c>
      <c r="V1346" s="35" t="b">
        <v>0</v>
      </c>
      <c r="W1346" s="35" t="b">
        <v>1</v>
      </c>
      <c r="Y1346" s="31" cm="1">
        <f t="array" ref="Y1346">IF(LEFT(_xll.BDP($C1346, VOLUME_AVG_10D), 4) = "#N/A", "",  _xll.BDP($C1346, VOLUME_AVG_10D))</f>
        <v>29679.099609375</v>
      </c>
      <c r="Z1346" s="31" cm="1">
        <f t="array" ref="Z1346">IF(LEFT(_xll.BDP($C1346, VOLUME_AVG_30D), 4) = "#N/A", "",  _xll.BDP($C1346, VOLUME_AVG_30D))</f>
        <v>68339.3984375</v>
      </c>
      <c r="AA1346" s="31" cm="1">
        <f t="array" ref="AA1346">IF(LEFT(_xll.BDP($C1346, VOLUME_AVG_3M), 4) = "#N/A", "",  _xll.BDP($C1346, VOLUME_AVG_3M))</f>
        <v>89639.3359375</v>
      </c>
      <c r="AB1346" s="31" cm="1">
        <f t="array" ref="AB1346">IF(LEFT(_xll.BDP($C1346, VOLUME_AVG_6M), 4) = "#N/A", "",  _xll.BDP($C1346, VOLUME_AVG_6M))</f>
        <v>838015.1875</v>
      </c>
      <c r="AC1346" s="31" cm="1">
        <f t="array" ref="AC1346">IF(LEFT(_xll.BDP($C1346, VOLUME_AVG_12M), 4) = "#N/A", "",  _xll.BDP($C1346, VOLUME_AVG_12M))</f>
        <v>431440.3125</v>
      </c>
      <c r="AD1346" s="41" cm="1">
        <f t="array" ref="AD1346">IF(LEFT(_xll.BDP($C1346, LAST_PRICE), 4) = "#N/A", "",  _xll.BDP($C1346, LAST_PRICE))</f>
        <v>0.69020000000000004</v>
      </c>
    </row>
    <row r="1347" spans="1:30" x14ac:dyDescent="0.35">
      <c r="A1347" s="1">
        <f t="shared" si="20"/>
        <v>1344</v>
      </c>
      <c r="B1347" s="28">
        <v>45700</v>
      </c>
      <c r="C1347" s="29" t="s">
        <v>2736</v>
      </c>
      <c r="D1347" s="29" t="s">
        <v>2736</v>
      </c>
      <c r="E1347" s="29" t="s">
        <v>2737</v>
      </c>
      <c r="F1347" s="29" t="s">
        <v>33</v>
      </c>
      <c r="G1347" s="30" t="s">
        <v>34</v>
      </c>
      <c r="H1347" s="31">
        <v>680237234.58333802</v>
      </c>
      <c r="I1347" s="31">
        <v>567956234.58333802</v>
      </c>
      <c r="J1347" s="32">
        <v>16.219999313354499</v>
      </c>
      <c r="K1347" s="33">
        <v>45700</v>
      </c>
      <c r="L1347" s="31">
        <v>10334900</v>
      </c>
      <c r="M1347" s="32">
        <v>3.88</v>
      </c>
      <c r="N1347" s="31" t="s">
        <v>35</v>
      </c>
      <c r="O1347" s="33">
        <v>45699</v>
      </c>
      <c r="P1347" s="34">
        <v>307185.53125</v>
      </c>
      <c r="Q1347" s="34">
        <v>320492.125</v>
      </c>
      <c r="R1347" s="34">
        <v>333194.34375</v>
      </c>
      <c r="S1347" s="29"/>
      <c r="T1347" s="33"/>
      <c r="U1347" s="35" t="b">
        <v>0</v>
      </c>
      <c r="V1347" s="35" t="b">
        <v>0</v>
      </c>
      <c r="W1347" s="35" t="b">
        <v>0</v>
      </c>
      <c r="Y1347" s="31" cm="1">
        <f t="array" ref="Y1347">IF(LEFT(_xll.BDP($C1347, VOLUME_AVG_10D), 4) = "#N/A", "",  _xll.BDP($C1347, VOLUME_AVG_10D))</f>
        <v>267146.3125</v>
      </c>
      <c r="Z1347" s="31" cm="1">
        <f t="array" ref="Z1347">IF(LEFT(_xll.BDP($C1347, VOLUME_AVG_30D), 4) = "#N/A", "",  _xll.BDP($C1347, VOLUME_AVG_30D))</f>
        <v>307185.53125</v>
      </c>
      <c r="AA1347" s="31" cm="1">
        <f t="array" ref="AA1347">IF(LEFT(_xll.BDP($C1347, VOLUME_AVG_3M), 4) = "#N/A", "",  _xll.BDP($C1347, VOLUME_AVG_3M))</f>
        <v>320492.125</v>
      </c>
      <c r="AB1347" s="31" cm="1">
        <f t="array" ref="AB1347">IF(LEFT(_xll.BDP($C1347, VOLUME_AVG_6M), 4) = "#N/A", "",  _xll.BDP($C1347, VOLUME_AVG_6M))</f>
        <v>333194.34375</v>
      </c>
      <c r="AC1347" s="31" cm="1">
        <f t="array" ref="AC1347">IF(LEFT(_xll.BDP($C1347, VOLUME_AVG_12M), 4) = "#N/A", "",  _xll.BDP($C1347, VOLUME_AVG_12M))</f>
        <v>372487.1875</v>
      </c>
      <c r="AD1347" s="41" cm="1">
        <f t="array" ref="AD1347">IF(LEFT(_xll.BDP($C1347, LAST_PRICE), 4) = "#N/A", "",  _xll.BDP($C1347, LAST_PRICE))</f>
        <v>16.22</v>
      </c>
    </row>
    <row r="1348" spans="1:30" x14ac:dyDescent="0.35">
      <c r="A1348" s="1">
        <f t="shared" si="20"/>
        <v>1345</v>
      </c>
      <c r="B1348" s="28">
        <v>45700</v>
      </c>
      <c r="C1348" s="29" t="s">
        <v>2738</v>
      </c>
      <c r="D1348" s="29" t="s">
        <v>2738</v>
      </c>
      <c r="E1348" s="29" t="s">
        <v>2739</v>
      </c>
      <c r="F1348" s="29" t="s">
        <v>40</v>
      </c>
      <c r="G1348" s="30" t="s">
        <v>41</v>
      </c>
      <c r="H1348" s="31">
        <v>1297777684.23367</v>
      </c>
      <c r="I1348" s="31">
        <v>2150755684.2336702</v>
      </c>
      <c r="J1348" s="32">
        <v>15.699999809265099</v>
      </c>
      <c r="K1348" s="33">
        <v>45700</v>
      </c>
      <c r="L1348" s="31">
        <v>7621200</v>
      </c>
      <c r="M1348" s="32">
        <v>3.88</v>
      </c>
      <c r="N1348" s="31" t="s">
        <v>35</v>
      </c>
      <c r="O1348" s="33">
        <v>45699</v>
      </c>
      <c r="P1348" s="34">
        <v>406834.7</v>
      </c>
      <c r="Q1348" s="34">
        <v>376542.1</v>
      </c>
      <c r="R1348" s="34">
        <v>393678.8</v>
      </c>
      <c r="S1348" s="29"/>
      <c r="T1348" s="33"/>
      <c r="U1348" s="35" t="b">
        <v>0</v>
      </c>
      <c r="V1348" s="35" t="b">
        <v>0</v>
      </c>
      <c r="W1348" s="35" t="b">
        <v>0</v>
      </c>
      <c r="Y1348" s="31" cm="1">
        <f t="array" ref="Y1348">IF(LEFT(_xll.BDP($C1348, VOLUME_AVG_10D), 4) = "#N/A", "",  _xll.BDP($C1348, VOLUME_AVG_10D))</f>
        <v>393223.3</v>
      </c>
      <c r="Z1348" s="31" cm="1">
        <f t="array" ref="Z1348">IF(LEFT(_xll.BDP($C1348, VOLUME_AVG_30D), 4) = "#N/A", "",  _xll.BDP($C1348, VOLUME_AVG_30D))</f>
        <v>406834.7</v>
      </c>
      <c r="AA1348" s="31" cm="1">
        <f t="array" ref="AA1348">IF(LEFT(_xll.BDP($C1348, VOLUME_AVG_3M), 4) = "#N/A", "",  _xll.BDP($C1348, VOLUME_AVG_3M))</f>
        <v>376542.1</v>
      </c>
      <c r="AB1348" s="31" cm="1">
        <f t="array" ref="AB1348">IF(LEFT(_xll.BDP($C1348, VOLUME_AVG_6M), 4) = "#N/A", "",  _xll.BDP($C1348, VOLUME_AVG_6M))</f>
        <v>393678.8</v>
      </c>
      <c r="AC1348" s="31" cm="1">
        <f t="array" ref="AC1348">IF(LEFT(_xll.BDP($C1348, VOLUME_AVG_12M), 4) = "#N/A", "",  _xll.BDP($C1348, VOLUME_AVG_12M))</f>
        <v>389281.4</v>
      </c>
      <c r="AD1348" s="41" cm="1">
        <f t="array" ref="AD1348">IF(LEFT(_xll.BDP($C1348, LAST_PRICE), 4) = "#N/A", "",  _xll.BDP($C1348, LAST_PRICE))</f>
        <v>15.7</v>
      </c>
    </row>
    <row r="1349" spans="1:30" x14ac:dyDescent="0.35">
      <c r="A1349" s="1">
        <f t="shared" si="20"/>
        <v>1346</v>
      </c>
      <c r="B1349" s="28">
        <v>45700</v>
      </c>
      <c r="C1349" s="29" t="s">
        <v>2740</v>
      </c>
      <c r="D1349" s="29" t="s">
        <v>2740</v>
      </c>
      <c r="E1349" s="29" t="s">
        <v>2741</v>
      </c>
      <c r="F1349" s="29" t="s">
        <v>33</v>
      </c>
      <c r="G1349" s="30" t="s">
        <v>34</v>
      </c>
      <c r="H1349" s="31">
        <v>435568474.09031999</v>
      </c>
      <c r="I1349" s="31">
        <v>337805542.09031999</v>
      </c>
      <c r="J1349" s="32">
        <v>6.0999999046325701</v>
      </c>
      <c r="K1349" s="33">
        <v>45700</v>
      </c>
      <c r="L1349" s="31">
        <v>8166600</v>
      </c>
      <c r="M1349" s="32">
        <v>3.88</v>
      </c>
      <c r="N1349" s="31" t="s">
        <v>35</v>
      </c>
      <c r="O1349" s="33">
        <v>45699</v>
      </c>
      <c r="P1349" s="34">
        <v>350045.34375</v>
      </c>
      <c r="Q1349" s="34">
        <v>446025.875</v>
      </c>
      <c r="R1349" s="34">
        <v>917492.4375</v>
      </c>
      <c r="S1349" s="29" t="s">
        <v>353</v>
      </c>
      <c r="T1349" s="33">
        <v>45446</v>
      </c>
      <c r="U1349" s="35" t="b">
        <v>0</v>
      </c>
      <c r="V1349" s="35" t="b">
        <v>0</v>
      </c>
      <c r="W1349" s="35" t="b">
        <v>0</v>
      </c>
      <c r="Y1349" s="31" cm="1">
        <f t="array" ref="Y1349">IF(LEFT(_xll.BDP($C1349, VOLUME_AVG_10D), 4) = "#N/A", "",  _xll.BDP($C1349, VOLUME_AVG_10D))</f>
        <v>329733.8125</v>
      </c>
      <c r="Z1349" s="31" cm="1">
        <f t="array" ref="Z1349">IF(LEFT(_xll.BDP($C1349, VOLUME_AVG_30D), 4) = "#N/A", "",  _xll.BDP($C1349, VOLUME_AVG_30D))</f>
        <v>350045.34375</v>
      </c>
      <c r="AA1349" s="31" cm="1">
        <f t="array" ref="AA1349">IF(LEFT(_xll.BDP($C1349, VOLUME_AVG_3M), 4) = "#N/A", "",  _xll.BDP($C1349, VOLUME_AVG_3M))</f>
        <v>446025.875</v>
      </c>
      <c r="AB1349" s="31" cm="1">
        <f t="array" ref="AB1349">IF(LEFT(_xll.BDP($C1349, VOLUME_AVG_6M), 4) = "#N/A", "",  _xll.BDP($C1349, VOLUME_AVG_6M))</f>
        <v>917492.4375</v>
      </c>
      <c r="AC1349" s="31" cm="1">
        <f t="array" ref="AC1349">IF(LEFT(_xll.BDP($C1349, VOLUME_AVG_12M), 4) = "#N/A", "",  _xll.BDP($C1349, VOLUME_AVG_12M))</f>
        <v>845693</v>
      </c>
      <c r="AD1349" s="41" cm="1">
        <f t="array" ref="AD1349">IF(LEFT(_xll.BDP($C1349, LAST_PRICE), 4) = "#N/A", "",  _xll.BDP($C1349, LAST_PRICE))</f>
        <v>6.1</v>
      </c>
    </row>
    <row r="1350" spans="1:30" x14ac:dyDescent="0.35">
      <c r="A1350" s="1">
        <f t="shared" ref="A1350:A1413" si="21">IF(B1350="","", A1349+1)</f>
        <v>1347</v>
      </c>
      <c r="B1350" s="28">
        <v>45700</v>
      </c>
      <c r="C1350" s="29" t="s">
        <v>2742</v>
      </c>
      <c r="D1350" s="29" t="s">
        <v>2742</v>
      </c>
      <c r="E1350" s="29" t="s">
        <v>2743</v>
      </c>
      <c r="F1350" s="29" t="s">
        <v>33</v>
      </c>
      <c r="G1350" s="30" t="s">
        <v>34</v>
      </c>
      <c r="H1350" s="31">
        <v>129931814.05579799</v>
      </c>
      <c r="I1350" s="31">
        <v>31406814.055797599</v>
      </c>
      <c r="J1350" s="32">
        <v>2.5599999427795401</v>
      </c>
      <c r="K1350" s="33">
        <v>45700</v>
      </c>
      <c r="L1350" s="31">
        <v>5809100</v>
      </c>
      <c r="M1350" s="32">
        <v>3.4</v>
      </c>
      <c r="N1350" s="31" t="s">
        <v>35</v>
      </c>
      <c r="O1350" s="33">
        <v>45699</v>
      </c>
      <c r="P1350" s="34">
        <v>227536.359375</v>
      </c>
      <c r="Q1350" s="34">
        <v>226802.921875</v>
      </c>
      <c r="R1350" s="34">
        <v>203368.75</v>
      </c>
      <c r="S1350" s="29"/>
      <c r="T1350" s="33"/>
      <c r="U1350" s="35" t="b">
        <v>0</v>
      </c>
      <c r="V1350" s="35" t="b">
        <v>0</v>
      </c>
      <c r="W1350" s="35" t="b">
        <v>0</v>
      </c>
      <c r="Y1350" s="31" cm="1">
        <f t="array" ref="Y1350">IF(LEFT(_xll.BDP($C1350, VOLUME_AVG_10D), 4) = "#N/A", "",  _xll.BDP($C1350, VOLUME_AVG_10D))</f>
        <v>169682.5</v>
      </c>
      <c r="Z1350" s="31" cm="1">
        <f t="array" ref="Z1350">IF(LEFT(_xll.BDP($C1350, VOLUME_AVG_30D), 4) = "#N/A", "",  _xll.BDP($C1350, VOLUME_AVG_30D))</f>
        <v>227536.359375</v>
      </c>
      <c r="AA1350" s="31" cm="1">
        <f t="array" ref="AA1350">IF(LEFT(_xll.BDP($C1350, VOLUME_AVG_3M), 4) = "#N/A", "",  _xll.BDP($C1350, VOLUME_AVG_3M))</f>
        <v>226802.921875</v>
      </c>
      <c r="AB1350" s="31" cm="1">
        <f t="array" ref="AB1350">IF(LEFT(_xll.BDP($C1350, VOLUME_AVG_6M), 4) = "#N/A", "",  _xll.BDP($C1350, VOLUME_AVG_6M))</f>
        <v>203368.75</v>
      </c>
      <c r="AC1350" s="31" cm="1">
        <f t="array" ref="AC1350">IF(LEFT(_xll.BDP($C1350, VOLUME_AVG_12M), 4) = "#N/A", "",  _xll.BDP($C1350, VOLUME_AVG_12M))</f>
        <v>191938.40625</v>
      </c>
      <c r="AD1350" s="41" cm="1">
        <f t="array" ref="AD1350">IF(LEFT(_xll.BDP($C1350, LAST_PRICE), 4) = "#N/A", "",  _xll.BDP($C1350, LAST_PRICE))</f>
        <v>2.56</v>
      </c>
    </row>
    <row r="1351" spans="1:30" x14ac:dyDescent="0.35">
      <c r="A1351" s="1">
        <f t="shared" si="21"/>
        <v>1348</v>
      </c>
      <c r="B1351" s="28">
        <v>45700</v>
      </c>
      <c r="C1351" s="29" t="s">
        <v>2744</v>
      </c>
      <c r="D1351" s="29" t="s">
        <v>2744</v>
      </c>
      <c r="E1351" s="29" t="s">
        <v>2745</v>
      </c>
      <c r="F1351" s="29" t="s">
        <v>33</v>
      </c>
      <c r="G1351" s="30" t="s">
        <v>34</v>
      </c>
      <c r="H1351" s="31">
        <v>191427300.458565</v>
      </c>
      <c r="I1351" s="31">
        <v>99652847.853404507</v>
      </c>
      <c r="J1351" s="32">
        <v>4.1100001335143999</v>
      </c>
      <c r="K1351" s="33">
        <v>45700</v>
      </c>
      <c r="L1351" s="31">
        <v>640600</v>
      </c>
      <c r="M1351" s="32">
        <v>3.88</v>
      </c>
      <c r="N1351" s="31" t="s">
        <v>35</v>
      </c>
      <c r="O1351" s="33">
        <v>45699</v>
      </c>
      <c r="P1351" s="34">
        <v>359649.875</v>
      </c>
      <c r="Q1351" s="34">
        <v>585865.8125</v>
      </c>
      <c r="R1351" s="34">
        <v>379448.125</v>
      </c>
      <c r="S1351" s="29" t="s">
        <v>68</v>
      </c>
      <c r="T1351" s="33">
        <v>45446</v>
      </c>
      <c r="U1351" s="35" t="b">
        <v>0</v>
      </c>
      <c r="V1351" s="35" t="b">
        <v>0</v>
      </c>
      <c r="W1351" s="35" t="b">
        <v>0</v>
      </c>
      <c r="Y1351" s="31" cm="1">
        <f t="array" ref="Y1351">IF(LEFT(_xll.BDP($C1351, VOLUME_AVG_10D), 4) = "#N/A", "",  _xll.BDP($C1351, VOLUME_AVG_10D))</f>
        <v>369093.1875</v>
      </c>
      <c r="Z1351" s="31" cm="1">
        <f t="array" ref="Z1351">IF(LEFT(_xll.BDP($C1351, VOLUME_AVG_30D), 4) = "#N/A", "",  _xll.BDP($C1351, VOLUME_AVG_30D))</f>
        <v>359649.875</v>
      </c>
      <c r="AA1351" s="31" cm="1">
        <f t="array" ref="AA1351">IF(LEFT(_xll.BDP($C1351, VOLUME_AVG_3M), 4) = "#N/A", "",  _xll.BDP($C1351, VOLUME_AVG_3M))</f>
        <v>585865.8125</v>
      </c>
      <c r="AB1351" s="31" cm="1">
        <f t="array" ref="AB1351">IF(LEFT(_xll.BDP($C1351, VOLUME_AVG_6M), 4) = "#N/A", "",  _xll.BDP($C1351, VOLUME_AVG_6M))</f>
        <v>379448.125</v>
      </c>
      <c r="AC1351" s="31" cm="1">
        <f t="array" ref="AC1351">IF(LEFT(_xll.BDP($C1351, VOLUME_AVG_12M), 4) = "#N/A", "",  _xll.BDP($C1351, VOLUME_AVG_12M))</f>
        <v>284874.03125</v>
      </c>
      <c r="AD1351" s="41" cm="1">
        <f t="array" ref="AD1351">IF(LEFT(_xll.BDP($C1351, LAST_PRICE), 4) = "#N/A", "",  _xll.BDP($C1351, LAST_PRICE))</f>
        <v>4.1100000000000003</v>
      </c>
    </row>
    <row r="1352" spans="1:30" x14ac:dyDescent="0.35">
      <c r="A1352" s="1">
        <f t="shared" si="21"/>
        <v>1349</v>
      </c>
      <c r="B1352" s="28">
        <v>45700</v>
      </c>
      <c r="C1352" s="29" t="s">
        <v>2746</v>
      </c>
      <c r="D1352" s="29" t="s">
        <v>2746</v>
      </c>
      <c r="E1352" s="29" t="s">
        <v>2747</v>
      </c>
      <c r="F1352" s="29" t="s">
        <v>33</v>
      </c>
      <c r="G1352" s="30" t="s">
        <v>34</v>
      </c>
      <c r="H1352" s="31">
        <v>5393425.5952513199</v>
      </c>
      <c r="I1352" s="31"/>
      <c r="J1352" s="32">
        <v>1.3500000238418599</v>
      </c>
      <c r="K1352" s="33">
        <v>45700</v>
      </c>
      <c r="L1352" s="31"/>
      <c r="M1352" s="32"/>
      <c r="N1352" s="31"/>
      <c r="O1352" s="33">
        <v>45699</v>
      </c>
      <c r="P1352" s="34">
        <v>21785116</v>
      </c>
      <c r="Q1352" s="34">
        <v>11263376</v>
      </c>
      <c r="R1352" s="34"/>
      <c r="S1352" s="29"/>
      <c r="T1352" s="33"/>
      <c r="U1352" s="35" t="b">
        <v>1</v>
      </c>
      <c r="V1352" s="35" t="b">
        <v>0</v>
      </c>
      <c r="W1352" s="35" t="b">
        <v>1</v>
      </c>
      <c r="Y1352" s="31" cm="1">
        <f t="array" ref="Y1352">IF(LEFT(_xll.BDP($C1352, VOLUME_AVG_10D), 4) = "#N/A", "",  _xll.BDP($C1352, VOLUME_AVG_10D))</f>
        <v>38207980</v>
      </c>
      <c r="Z1352" s="31" cm="1">
        <f t="array" ref="Z1352">IF(LEFT(_xll.BDP($C1352, VOLUME_AVG_30D), 4) = "#N/A", "",  _xll.BDP($C1352, VOLUME_AVG_30D))</f>
        <v>21785116</v>
      </c>
      <c r="AA1352" s="31" cm="1">
        <f t="array" ref="AA1352">IF(LEFT(_xll.BDP($C1352, VOLUME_AVG_3M), 4) = "#N/A", "",  _xll.BDP($C1352, VOLUME_AVG_3M))</f>
        <v>11263376</v>
      </c>
      <c r="AB1352" s="31" t="str" cm="1">
        <f t="array" ref="AB1352">IF(LEFT(_xll.BDP($C1352, VOLUME_AVG_6M), 4) = "#N/A", "",  _xll.BDP($C1352, VOLUME_AVG_6M))</f>
        <v/>
      </c>
      <c r="AC1352" s="31" t="str" cm="1">
        <f t="array" ref="AC1352">IF(LEFT(_xll.BDP($C1352, VOLUME_AVG_12M), 4) = "#N/A", "",  _xll.BDP($C1352, VOLUME_AVG_12M))</f>
        <v/>
      </c>
      <c r="AD1352" s="41" cm="1">
        <f t="array" ref="AD1352">IF(LEFT(_xll.BDP($C1352, LAST_PRICE), 4) = "#N/A", "",  _xll.BDP($C1352, LAST_PRICE))</f>
        <v>1.35</v>
      </c>
    </row>
    <row r="1353" spans="1:30" x14ac:dyDescent="0.35">
      <c r="A1353" s="1">
        <f t="shared" si="21"/>
        <v>1350</v>
      </c>
      <c r="B1353" s="28">
        <v>45700</v>
      </c>
      <c r="C1353" s="29" t="s">
        <v>2748</v>
      </c>
      <c r="D1353" s="29" t="s">
        <v>2748</v>
      </c>
      <c r="E1353" s="29" t="s">
        <v>2749</v>
      </c>
      <c r="F1353" s="29" t="s">
        <v>33</v>
      </c>
      <c r="G1353" s="30" t="s">
        <v>34</v>
      </c>
      <c r="H1353" s="31">
        <v>6861217.55169868</v>
      </c>
      <c r="I1353" s="31">
        <v>-1154115.44830132</v>
      </c>
      <c r="J1353" s="32">
        <v>1.5299999713897701</v>
      </c>
      <c r="K1353" s="33">
        <v>45700</v>
      </c>
      <c r="L1353" s="31">
        <v>186300</v>
      </c>
      <c r="M1353" s="32">
        <v>-140</v>
      </c>
      <c r="N1353" s="31" t="s">
        <v>35</v>
      </c>
      <c r="O1353" s="33">
        <v>45699</v>
      </c>
      <c r="P1353" s="34">
        <v>6146891.5</v>
      </c>
      <c r="Q1353" s="34">
        <v>3212976.75</v>
      </c>
      <c r="R1353" s="34">
        <v>1667372</v>
      </c>
      <c r="S1353" s="29"/>
      <c r="T1353" s="33"/>
      <c r="U1353" s="35" t="b">
        <v>1</v>
      </c>
      <c r="V1353" s="35" t="b">
        <v>0</v>
      </c>
      <c r="W1353" s="35" t="b">
        <v>1</v>
      </c>
      <c r="Y1353" s="31" cm="1">
        <f t="array" ref="Y1353">IF(LEFT(_xll.BDP($C1353, VOLUME_AVG_10D), 4) = "#N/A", "",  _xll.BDP($C1353, VOLUME_AVG_10D))</f>
        <v>301331</v>
      </c>
      <c r="Z1353" s="31" cm="1">
        <f t="array" ref="Z1353">IF(LEFT(_xll.BDP($C1353, VOLUME_AVG_30D), 4) = "#N/A", "",  _xll.BDP($C1353, VOLUME_AVG_30D))</f>
        <v>6146891.5</v>
      </c>
      <c r="AA1353" s="31" cm="1">
        <f t="array" ref="AA1353">IF(LEFT(_xll.BDP($C1353, VOLUME_AVG_3M), 4) = "#N/A", "",  _xll.BDP($C1353, VOLUME_AVG_3M))</f>
        <v>3212976.75</v>
      </c>
      <c r="AB1353" s="31" cm="1">
        <f t="array" ref="AB1353">IF(LEFT(_xll.BDP($C1353, VOLUME_AVG_6M), 4) = "#N/A", "",  _xll.BDP($C1353, VOLUME_AVG_6M))</f>
        <v>1667372</v>
      </c>
      <c r="AC1353" s="31" cm="1">
        <f t="array" ref="AC1353">IF(LEFT(_xll.BDP($C1353, VOLUME_AVG_12M), 4) = "#N/A", "",  _xll.BDP($C1353, VOLUME_AVG_12M))</f>
        <v>2189220.75</v>
      </c>
      <c r="AD1353" s="41" cm="1">
        <f t="array" ref="AD1353">IF(LEFT(_xll.BDP($C1353, LAST_PRICE), 4) = "#N/A", "",  _xll.BDP($C1353, LAST_PRICE))</f>
        <v>1.53</v>
      </c>
    </row>
    <row r="1354" spans="1:30" x14ac:dyDescent="0.35">
      <c r="A1354" s="1">
        <f t="shared" si="21"/>
        <v>1351</v>
      </c>
      <c r="B1354" s="28">
        <v>45700</v>
      </c>
      <c r="C1354" s="29" t="s">
        <v>2750</v>
      </c>
      <c r="D1354" s="29" t="s">
        <v>2750</v>
      </c>
      <c r="E1354" s="29" t="s">
        <v>2751</v>
      </c>
      <c r="F1354" s="29" t="s">
        <v>40</v>
      </c>
      <c r="G1354" s="30" t="s">
        <v>41</v>
      </c>
      <c r="H1354" s="31">
        <v>112468371.60943501</v>
      </c>
      <c r="I1354" s="31">
        <v>112055736.811535</v>
      </c>
      <c r="J1354" s="32">
        <v>1.1100000143051101</v>
      </c>
      <c r="K1354" s="33">
        <v>45700</v>
      </c>
      <c r="L1354" s="31">
        <v>237900</v>
      </c>
      <c r="M1354" s="32">
        <v>0.15</v>
      </c>
      <c r="N1354" s="31" t="s">
        <v>35</v>
      </c>
      <c r="O1354" s="33">
        <v>45699</v>
      </c>
      <c r="P1354" s="34">
        <v>542447.1</v>
      </c>
      <c r="Q1354" s="34">
        <v>638243.30000000005</v>
      </c>
      <c r="R1354" s="34">
        <v>573980</v>
      </c>
      <c r="S1354" s="29"/>
      <c r="T1354" s="33"/>
      <c r="U1354" s="35" t="b">
        <v>0</v>
      </c>
      <c r="V1354" s="35" t="b">
        <v>0</v>
      </c>
      <c r="W1354" s="35" t="b">
        <v>0</v>
      </c>
      <c r="Y1354" s="31" cm="1">
        <f t="array" ref="Y1354">IF(LEFT(_xll.BDP($C1354, VOLUME_AVG_10D), 4) = "#N/A", "",  _xll.BDP($C1354, VOLUME_AVG_10D))</f>
        <v>442975</v>
      </c>
      <c r="Z1354" s="31" cm="1">
        <f t="array" ref="Z1354">IF(LEFT(_xll.BDP($C1354, VOLUME_AVG_30D), 4) = "#N/A", "",  _xll.BDP($C1354, VOLUME_AVG_30D))</f>
        <v>542447.1</v>
      </c>
      <c r="AA1354" s="31" cm="1">
        <f t="array" ref="AA1354">IF(LEFT(_xll.BDP($C1354, VOLUME_AVG_3M), 4) = "#N/A", "",  _xll.BDP($C1354, VOLUME_AVG_3M))</f>
        <v>638243.30000000005</v>
      </c>
      <c r="AB1354" s="31" cm="1">
        <f t="array" ref="AB1354">IF(LEFT(_xll.BDP($C1354, VOLUME_AVG_6M), 4) = "#N/A", "",  _xll.BDP($C1354, VOLUME_AVG_6M))</f>
        <v>573980</v>
      </c>
      <c r="AC1354" s="31" cm="1">
        <f t="array" ref="AC1354">IF(LEFT(_xll.BDP($C1354, VOLUME_AVG_12M), 4) = "#N/A", "",  _xll.BDP($C1354, VOLUME_AVG_12M))</f>
        <v>556078.4</v>
      </c>
      <c r="AD1354" s="41" cm="1">
        <f t="array" ref="AD1354">IF(LEFT(_xll.BDP($C1354, LAST_PRICE), 4) = "#N/A", "",  _xll.BDP($C1354, LAST_PRICE))</f>
        <v>1.1100000000000001</v>
      </c>
    </row>
    <row r="1355" spans="1:30" x14ac:dyDescent="0.35">
      <c r="A1355" s="1">
        <f t="shared" si="21"/>
        <v>1352</v>
      </c>
      <c r="B1355" s="28">
        <v>45700</v>
      </c>
      <c r="C1355" s="29" t="s">
        <v>3297</v>
      </c>
      <c r="D1355" s="29" t="s">
        <v>3297</v>
      </c>
      <c r="E1355" s="29" t="s">
        <v>3298</v>
      </c>
      <c r="F1355" s="29" t="s">
        <v>40</v>
      </c>
      <c r="G1355" s="30" t="s">
        <v>41</v>
      </c>
      <c r="H1355" s="31">
        <v>76737602.110830501</v>
      </c>
      <c r="I1355" s="31">
        <v>78296846.110830501</v>
      </c>
      <c r="J1355" s="32">
        <v>0.70999997854232799</v>
      </c>
      <c r="K1355" s="33">
        <v>45700</v>
      </c>
      <c r="L1355" s="31"/>
      <c r="M1355" s="32"/>
      <c r="N1355" s="31"/>
      <c r="O1355" s="33">
        <v>45699</v>
      </c>
      <c r="P1355" s="34">
        <v>494437.7</v>
      </c>
      <c r="Q1355" s="34">
        <v>622382.4</v>
      </c>
      <c r="R1355" s="34">
        <v>468208.9</v>
      </c>
      <c r="S1355" s="29"/>
      <c r="T1355" s="33"/>
      <c r="U1355" s="35" t="b">
        <v>0</v>
      </c>
      <c r="V1355" s="35" t="b">
        <v>0</v>
      </c>
      <c r="W1355" s="35" t="b">
        <v>0</v>
      </c>
      <c r="Y1355" s="31" cm="1">
        <f t="array" ref="Y1355">IF(LEFT(_xll.BDP($C1355, VOLUME_AVG_10D), 4) = "#N/A", "",  _xll.BDP($C1355, VOLUME_AVG_10D))</f>
        <v>414850.4</v>
      </c>
      <c r="Z1355" s="31" cm="1">
        <f t="array" ref="Z1355">IF(LEFT(_xll.BDP($C1355, VOLUME_AVG_30D), 4) = "#N/A", "",  _xll.BDP($C1355, VOLUME_AVG_30D))</f>
        <v>494437.7</v>
      </c>
      <c r="AA1355" s="31" cm="1">
        <f t="array" ref="AA1355">IF(LEFT(_xll.BDP($C1355, VOLUME_AVG_3M), 4) = "#N/A", "",  _xll.BDP($C1355, VOLUME_AVG_3M))</f>
        <v>622382.4</v>
      </c>
      <c r="AB1355" s="31" cm="1">
        <f t="array" ref="AB1355">IF(LEFT(_xll.BDP($C1355, VOLUME_AVG_6M), 4) = "#N/A", "",  _xll.BDP($C1355, VOLUME_AVG_6M))</f>
        <v>468208.9</v>
      </c>
      <c r="AC1355" s="31" cm="1">
        <f t="array" ref="AC1355">IF(LEFT(_xll.BDP($C1355, VOLUME_AVG_12M), 4) = "#N/A", "",  _xll.BDP($C1355, VOLUME_AVG_12M))</f>
        <v>293594.8</v>
      </c>
      <c r="AD1355" s="41" cm="1">
        <f t="array" ref="AD1355">IF(LEFT(_xll.BDP($C1355, LAST_PRICE), 4) = "#N/A", "",  _xll.BDP($C1355, LAST_PRICE))</f>
        <v>0.71</v>
      </c>
    </row>
    <row r="1356" spans="1:30" x14ac:dyDescent="0.35">
      <c r="A1356" s="1">
        <f t="shared" si="21"/>
        <v>1353</v>
      </c>
      <c r="B1356" s="28">
        <v>45700</v>
      </c>
      <c r="C1356" s="29" t="s">
        <v>2752</v>
      </c>
      <c r="D1356" s="29" t="s">
        <v>2752</v>
      </c>
      <c r="E1356" s="29" t="s">
        <v>2753</v>
      </c>
      <c r="F1356" s="29" t="s">
        <v>33</v>
      </c>
      <c r="G1356" s="30" t="s">
        <v>34</v>
      </c>
      <c r="H1356" s="31">
        <v>726944304.43172503</v>
      </c>
      <c r="I1356" s="31">
        <v>710094304.43172503</v>
      </c>
      <c r="J1356" s="32">
        <v>36.180000305175803</v>
      </c>
      <c r="K1356" s="33">
        <v>45700</v>
      </c>
      <c r="L1356" s="31">
        <v>2933700</v>
      </c>
      <c r="M1356" s="32">
        <v>3.88</v>
      </c>
      <c r="N1356" s="31" t="s">
        <v>35</v>
      </c>
      <c r="O1356" s="33">
        <v>45699</v>
      </c>
      <c r="P1356" s="34">
        <v>267296.28125</v>
      </c>
      <c r="Q1356" s="34">
        <v>234526.546875</v>
      </c>
      <c r="R1356" s="34">
        <v>203049.71875</v>
      </c>
      <c r="S1356" s="29"/>
      <c r="T1356" s="33"/>
      <c r="U1356" s="35" t="b">
        <v>0</v>
      </c>
      <c r="V1356" s="35" t="b">
        <v>0</v>
      </c>
      <c r="W1356" s="35" t="b">
        <v>0</v>
      </c>
      <c r="Y1356" s="31" cm="1">
        <f t="array" ref="Y1356">IF(LEFT(_xll.BDP($C1356, VOLUME_AVG_10D), 4) = "#N/A", "",  _xll.BDP($C1356, VOLUME_AVG_10D))</f>
        <v>180215</v>
      </c>
      <c r="Z1356" s="31" cm="1">
        <f t="array" ref="Z1356">IF(LEFT(_xll.BDP($C1356, VOLUME_AVG_30D), 4) = "#N/A", "",  _xll.BDP($C1356, VOLUME_AVG_30D))</f>
        <v>267296.28125</v>
      </c>
      <c r="AA1356" s="31" cm="1">
        <f t="array" ref="AA1356">IF(LEFT(_xll.BDP($C1356, VOLUME_AVG_3M), 4) = "#N/A", "",  _xll.BDP($C1356, VOLUME_AVG_3M))</f>
        <v>234526.546875</v>
      </c>
      <c r="AB1356" s="31" cm="1">
        <f t="array" ref="AB1356">IF(LEFT(_xll.BDP($C1356, VOLUME_AVG_6M), 4) = "#N/A", "",  _xll.BDP($C1356, VOLUME_AVG_6M))</f>
        <v>203049.71875</v>
      </c>
      <c r="AC1356" s="31" cm="1">
        <f t="array" ref="AC1356">IF(LEFT(_xll.BDP($C1356, VOLUME_AVG_12M), 4) = "#N/A", "",  _xll.BDP($C1356, VOLUME_AVG_12M))</f>
        <v>162374.796875</v>
      </c>
      <c r="AD1356" s="41" cm="1">
        <f t="array" ref="AD1356">IF(LEFT(_xll.BDP($C1356, LAST_PRICE), 4) = "#N/A", "",  _xll.BDP($C1356, LAST_PRICE))</f>
        <v>36.18</v>
      </c>
    </row>
    <row r="1357" spans="1:30" x14ac:dyDescent="0.35">
      <c r="A1357" s="1">
        <f t="shared" si="21"/>
        <v>1354</v>
      </c>
      <c r="B1357" s="28">
        <v>45700</v>
      </c>
      <c r="C1357" s="29" t="s">
        <v>2754</v>
      </c>
      <c r="D1357" s="29" t="s">
        <v>2754</v>
      </c>
      <c r="E1357" s="29" t="s">
        <v>2755</v>
      </c>
      <c r="F1357" s="29" t="s">
        <v>33</v>
      </c>
      <c r="G1357" s="30" t="s">
        <v>34</v>
      </c>
      <c r="H1357" s="31">
        <v>50461405.8115234</v>
      </c>
      <c r="I1357" s="31">
        <v>-12879594.1884766</v>
      </c>
      <c r="J1357" s="32">
        <v>19.889999389648398</v>
      </c>
      <c r="K1357" s="33">
        <v>45700</v>
      </c>
      <c r="L1357" s="31">
        <v>164000</v>
      </c>
      <c r="M1357" s="32">
        <v>3.2</v>
      </c>
      <c r="N1357" s="31" t="s">
        <v>35</v>
      </c>
      <c r="O1357" s="33">
        <v>45699</v>
      </c>
      <c r="P1357" s="34">
        <v>9635.06640625</v>
      </c>
      <c r="Q1357" s="34">
        <v>13716.5322265625</v>
      </c>
      <c r="R1357" s="34">
        <v>60899</v>
      </c>
      <c r="S1357" s="29" t="s">
        <v>671</v>
      </c>
      <c r="T1357" s="33">
        <v>45215</v>
      </c>
      <c r="U1357" s="35" t="b">
        <v>0</v>
      </c>
      <c r="V1357" s="35" t="b">
        <v>0</v>
      </c>
      <c r="W1357" s="35" t="b">
        <v>1</v>
      </c>
      <c r="Y1357" s="31" cm="1">
        <f t="array" ref="Y1357">IF(LEFT(_xll.BDP($C1357, VOLUME_AVG_10D), 4) = "#N/A", "",  _xll.BDP($C1357, VOLUME_AVG_10D))</f>
        <v>6955.7001953125</v>
      </c>
      <c r="Z1357" s="31" cm="1">
        <f t="array" ref="Z1357">IF(LEFT(_xll.BDP($C1357, VOLUME_AVG_30D), 4) = "#N/A", "",  _xll.BDP($C1357, VOLUME_AVG_30D))</f>
        <v>9635.06640625</v>
      </c>
      <c r="AA1357" s="31" cm="1">
        <f t="array" ref="AA1357">IF(LEFT(_xll.BDP($C1357, VOLUME_AVG_3M), 4) = "#N/A", "",  _xll.BDP($C1357, VOLUME_AVG_3M))</f>
        <v>13716.5322265625</v>
      </c>
      <c r="AB1357" s="31" cm="1">
        <f t="array" ref="AB1357">IF(LEFT(_xll.BDP($C1357, VOLUME_AVG_6M), 4) = "#N/A", "",  _xll.BDP($C1357, VOLUME_AVG_6M))</f>
        <v>60899</v>
      </c>
      <c r="AC1357" s="31" cm="1">
        <f t="array" ref="AC1357">IF(LEFT(_xll.BDP($C1357, VOLUME_AVG_12M), 4) = "#N/A", "",  _xll.BDP($C1357, VOLUME_AVG_12M))</f>
        <v>33026.72265625</v>
      </c>
      <c r="AD1357" s="41" cm="1">
        <f t="array" ref="AD1357">IF(LEFT(_xll.BDP($C1357, LAST_PRICE), 4) = "#N/A", "",  _xll.BDP($C1357, LAST_PRICE))</f>
        <v>19.89</v>
      </c>
    </row>
    <row r="1358" spans="1:30" x14ac:dyDescent="0.35">
      <c r="A1358" s="1">
        <f t="shared" si="21"/>
        <v>1355</v>
      </c>
      <c r="B1358" s="28">
        <v>45700</v>
      </c>
      <c r="C1358" s="29" t="s">
        <v>2756</v>
      </c>
      <c r="D1358" s="29" t="s">
        <v>2756</v>
      </c>
      <c r="E1358" s="29" t="s">
        <v>2757</v>
      </c>
      <c r="F1358" s="29" t="s">
        <v>33</v>
      </c>
      <c r="G1358" s="30" t="s">
        <v>34</v>
      </c>
      <c r="H1358" s="31"/>
      <c r="I1358" s="31"/>
      <c r="J1358" s="32"/>
      <c r="K1358" s="33">
        <v>45700</v>
      </c>
      <c r="L1358" s="31"/>
      <c r="M1358" s="32"/>
      <c r="N1358" s="31"/>
      <c r="O1358" s="33">
        <v>45699</v>
      </c>
      <c r="P1358" s="34"/>
      <c r="Q1358" s="34"/>
      <c r="R1358" s="34"/>
      <c r="S1358" s="29"/>
      <c r="T1358" s="33"/>
      <c r="U1358" s="35" t="b">
        <v>1</v>
      </c>
      <c r="V1358" s="35" t="b">
        <v>1</v>
      </c>
      <c r="W1358" s="35" t="b">
        <v>1</v>
      </c>
      <c r="Y1358" s="31" t="str" cm="1">
        <f t="array" ref="Y1358">IF(LEFT(_xll.BDP($C1358, VOLUME_AVG_10D), 4) = "#N/A", "",  _xll.BDP($C1358, VOLUME_AVG_10D))</f>
        <v/>
      </c>
      <c r="Z1358" s="31" t="str" cm="1">
        <f t="array" ref="Z1358">IF(LEFT(_xll.BDP($C1358, VOLUME_AVG_30D), 4) = "#N/A", "",  _xll.BDP($C1358, VOLUME_AVG_30D))</f>
        <v/>
      </c>
      <c r="AA1358" s="31" t="str" cm="1">
        <f t="array" ref="AA1358">IF(LEFT(_xll.BDP($C1358, VOLUME_AVG_3M), 4) = "#N/A", "",  _xll.BDP($C1358, VOLUME_AVG_3M))</f>
        <v/>
      </c>
      <c r="AB1358" s="31" t="str" cm="1">
        <f t="array" ref="AB1358">IF(LEFT(_xll.BDP($C1358, VOLUME_AVG_6M), 4) = "#N/A", "",  _xll.BDP($C1358, VOLUME_AVG_6M))</f>
        <v/>
      </c>
      <c r="AC1358" s="31" t="str" cm="1">
        <f t="array" ref="AC1358">IF(LEFT(_xll.BDP($C1358, VOLUME_AVG_12M), 4) = "#N/A", "",  _xll.BDP($C1358, VOLUME_AVG_12M))</f>
        <v/>
      </c>
      <c r="AD1358" s="41" t="str" cm="1">
        <f t="array" ref="AD1358">IF(LEFT(_xll.BDP($C1358, LAST_PRICE), 4) = "#N/A", "",  _xll.BDP($C1358, LAST_PRICE))</f>
        <v/>
      </c>
    </row>
    <row r="1359" spans="1:30" x14ac:dyDescent="0.35">
      <c r="A1359" s="1">
        <f t="shared" si="21"/>
        <v>1356</v>
      </c>
      <c r="B1359" s="28">
        <v>45700</v>
      </c>
      <c r="C1359" s="29" t="s">
        <v>2758</v>
      </c>
      <c r="D1359" s="29" t="s">
        <v>2758</v>
      </c>
      <c r="E1359" s="29" t="s">
        <v>2759</v>
      </c>
      <c r="F1359" s="29" t="s">
        <v>33</v>
      </c>
      <c r="G1359" s="30" t="s">
        <v>34</v>
      </c>
      <c r="H1359" s="31">
        <v>4041987.51719356</v>
      </c>
      <c r="I1359" s="31">
        <v>3472987.51719356</v>
      </c>
      <c r="J1359" s="32">
        <v>3.0099999904632599</v>
      </c>
      <c r="K1359" s="33">
        <v>45700</v>
      </c>
      <c r="L1359" s="31">
        <v>72000</v>
      </c>
      <c r="M1359" s="32">
        <v>-169</v>
      </c>
      <c r="N1359" s="31" t="s">
        <v>35</v>
      </c>
      <c r="O1359" s="33">
        <v>45699</v>
      </c>
      <c r="P1359" s="34">
        <v>34178.46484375</v>
      </c>
      <c r="Q1359" s="34">
        <v>1065362.125</v>
      </c>
      <c r="R1359" s="34">
        <v>1127901.25</v>
      </c>
      <c r="S1359" s="29"/>
      <c r="T1359" s="33"/>
      <c r="U1359" s="35" t="b">
        <v>1</v>
      </c>
      <c r="V1359" s="35" t="b">
        <v>0</v>
      </c>
      <c r="W1359" s="35" t="b">
        <v>0</v>
      </c>
      <c r="Y1359" s="31" cm="1">
        <f t="array" ref="Y1359">IF(LEFT(_xll.BDP($C1359, VOLUME_AVG_10D), 4) = "#N/A", "",  _xll.BDP($C1359, VOLUME_AVG_10D))</f>
        <v>13416</v>
      </c>
      <c r="Z1359" s="31" cm="1">
        <f t="array" ref="Z1359">IF(LEFT(_xll.BDP($C1359, VOLUME_AVG_30D), 4) = "#N/A", "",  _xll.BDP($C1359, VOLUME_AVG_30D))</f>
        <v>34178.46484375</v>
      </c>
      <c r="AA1359" s="31" cm="1">
        <f t="array" ref="AA1359">IF(LEFT(_xll.BDP($C1359, VOLUME_AVG_3M), 4) = "#N/A", "",  _xll.BDP($C1359, VOLUME_AVG_3M))</f>
        <v>1065362.125</v>
      </c>
      <c r="AB1359" s="31" cm="1">
        <f t="array" ref="AB1359">IF(LEFT(_xll.BDP($C1359, VOLUME_AVG_6M), 4) = "#N/A", "",  _xll.BDP($C1359, VOLUME_AVG_6M))</f>
        <v>1127901.25</v>
      </c>
      <c r="AC1359" s="31" cm="1">
        <f t="array" ref="AC1359">IF(LEFT(_xll.BDP($C1359, VOLUME_AVG_12M), 4) = "#N/A", "",  _xll.BDP($C1359, VOLUME_AVG_12M))</f>
        <v>672977.125</v>
      </c>
      <c r="AD1359" s="41" cm="1">
        <f t="array" ref="AD1359">IF(LEFT(_xll.BDP($C1359, LAST_PRICE), 4) = "#N/A", "",  _xll.BDP($C1359, LAST_PRICE))</f>
        <v>3.01</v>
      </c>
    </row>
    <row r="1360" spans="1:30" x14ac:dyDescent="0.35">
      <c r="A1360" s="1">
        <f t="shared" si="21"/>
        <v>1357</v>
      </c>
      <c r="B1360" s="28">
        <v>45700</v>
      </c>
      <c r="C1360" s="29" t="s">
        <v>2760</v>
      </c>
      <c r="D1360" s="29" t="s">
        <v>2760</v>
      </c>
      <c r="E1360" s="29" t="s">
        <v>2761</v>
      </c>
      <c r="F1360" s="29" t="s">
        <v>40</v>
      </c>
      <c r="G1360" s="30" t="s">
        <v>41</v>
      </c>
      <c r="H1360" s="31">
        <v>17136803.796425801</v>
      </c>
      <c r="I1360" s="31">
        <v>20422209.796425801</v>
      </c>
      <c r="J1360" s="32">
        <v>6.4999997615814195E-2</v>
      </c>
      <c r="K1360" s="33">
        <v>45700</v>
      </c>
      <c r="L1360" s="31"/>
      <c r="M1360" s="32"/>
      <c r="N1360" s="31"/>
      <c r="O1360" s="33">
        <v>45699</v>
      </c>
      <c r="P1360" s="34">
        <v>95734.7</v>
      </c>
      <c r="Q1360" s="34">
        <v>82026.78</v>
      </c>
      <c r="R1360" s="34">
        <v>137248.5</v>
      </c>
      <c r="S1360" s="29"/>
      <c r="T1360" s="33"/>
      <c r="U1360" s="35" t="b">
        <v>1</v>
      </c>
      <c r="V1360" s="35" t="b">
        <v>1</v>
      </c>
      <c r="W1360" s="35" t="b">
        <v>0</v>
      </c>
      <c r="Y1360" s="31" cm="1">
        <f t="array" ref="Y1360">IF(LEFT(_xll.BDP($C1360, VOLUME_AVG_10D), 4) = "#N/A", "",  _xll.BDP($C1360, VOLUME_AVG_10D))</f>
        <v>106445.2</v>
      </c>
      <c r="Z1360" s="31" cm="1">
        <f t="array" ref="Z1360">IF(LEFT(_xll.BDP($C1360, VOLUME_AVG_30D), 4) = "#N/A", "",  _xll.BDP($C1360, VOLUME_AVG_30D))</f>
        <v>95734.7</v>
      </c>
      <c r="AA1360" s="31" cm="1">
        <f t="array" ref="AA1360">IF(LEFT(_xll.BDP($C1360, VOLUME_AVG_3M), 4) = "#N/A", "",  _xll.BDP($C1360, VOLUME_AVG_3M))</f>
        <v>82026.78</v>
      </c>
      <c r="AB1360" s="31" cm="1">
        <f t="array" ref="AB1360">IF(LEFT(_xll.BDP($C1360, VOLUME_AVG_6M), 4) = "#N/A", "",  _xll.BDP($C1360, VOLUME_AVG_6M))</f>
        <v>137248.5</v>
      </c>
      <c r="AC1360" s="31" cm="1">
        <f t="array" ref="AC1360">IF(LEFT(_xll.BDP($C1360, VOLUME_AVG_12M), 4) = "#N/A", "",  _xll.BDP($C1360, VOLUME_AVG_12M))</f>
        <v>107342.1</v>
      </c>
      <c r="AD1360" s="41" cm="1">
        <f t="array" ref="AD1360">IF(LEFT(_xll.BDP($C1360, LAST_PRICE), 4) = "#N/A", "",  _xll.BDP($C1360, LAST_PRICE))</f>
        <v>6.5000000000000002E-2</v>
      </c>
    </row>
    <row r="1361" spans="1:30" x14ac:dyDescent="0.35">
      <c r="A1361" s="1">
        <f t="shared" si="21"/>
        <v>1358</v>
      </c>
      <c r="B1361" s="28">
        <v>45700</v>
      </c>
      <c r="C1361" s="29" t="s">
        <v>2762</v>
      </c>
      <c r="D1361" s="29" t="s">
        <v>2762</v>
      </c>
      <c r="E1361" s="29" t="s">
        <v>2763</v>
      </c>
      <c r="F1361" s="29" t="s">
        <v>33</v>
      </c>
      <c r="G1361" s="30" t="s">
        <v>34</v>
      </c>
      <c r="H1361" s="31"/>
      <c r="I1361" s="31"/>
      <c r="J1361" s="32">
        <v>9.9999999747524292E-7</v>
      </c>
      <c r="K1361" s="33">
        <v>45700</v>
      </c>
      <c r="L1361" s="31"/>
      <c r="M1361" s="32"/>
      <c r="N1361" s="31"/>
      <c r="O1361" s="33">
        <v>45699</v>
      </c>
      <c r="P1361" s="34">
        <v>5264.36669921875</v>
      </c>
      <c r="Q1361" s="34">
        <v>13659.0966796875</v>
      </c>
      <c r="R1361" s="34">
        <v>78454.515625</v>
      </c>
      <c r="S1361" s="29"/>
      <c r="T1361" s="33"/>
      <c r="U1361" s="35" t="b">
        <v>1</v>
      </c>
      <c r="V1361" s="35" t="b">
        <v>1</v>
      </c>
      <c r="W1361" s="35" t="b">
        <v>1</v>
      </c>
      <c r="Y1361" s="31" cm="1">
        <f t="array" ref="Y1361">IF(LEFT(_xll.BDP($C1361, VOLUME_AVG_10D), 4) = "#N/A", "",  _xll.BDP($C1361, VOLUME_AVG_10D))</f>
        <v>13793.099609375</v>
      </c>
      <c r="Z1361" s="31" cm="1">
        <f t="array" ref="Z1361">IF(LEFT(_xll.BDP($C1361, VOLUME_AVG_30D), 4) = "#N/A", "",  _xll.BDP($C1361, VOLUME_AVG_30D))</f>
        <v>5264.36669921875</v>
      </c>
      <c r="AA1361" s="31" cm="1">
        <f t="array" ref="AA1361">IF(LEFT(_xll.BDP($C1361, VOLUME_AVG_3M), 4) = "#N/A", "",  _xll.BDP($C1361, VOLUME_AVG_3M))</f>
        <v>13659.0966796875</v>
      </c>
      <c r="AB1361" s="31" cm="1">
        <f t="array" ref="AB1361">IF(LEFT(_xll.BDP($C1361, VOLUME_AVG_6M), 4) = "#N/A", "",  _xll.BDP($C1361, VOLUME_AVG_6M))</f>
        <v>78454.515625</v>
      </c>
      <c r="AC1361" s="31" cm="1">
        <f t="array" ref="AC1361">IF(LEFT(_xll.BDP($C1361, VOLUME_AVG_12M), 4) = "#N/A", "",  _xll.BDP($C1361, VOLUME_AVG_12M))</f>
        <v>60104.39453125</v>
      </c>
      <c r="AD1361" s="41" cm="1">
        <f t="array" ref="AD1361">IF(LEFT(_xll.BDP($C1361, LAST_PRICE), 4) = "#N/A", "",  _xll.BDP($C1361, LAST_PRICE))</f>
        <v>0</v>
      </c>
    </row>
    <row r="1362" spans="1:30" x14ac:dyDescent="0.35">
      <c r="A1362" s="1">
        <f t="shared" si="21"/>
        <v>1359</v>
      </c>
      <c r="B1362" s="28">
        <v>45700</v>
      </c>
      <c r="C1362" s="29" t="s">
        <v>2764</v>
      </c>
      <c r="D1362" s="29" t="s">
        <v>2764</v>
      </c>
      <c r="E1362" s="29" t="s">
        <v>2765</v>
      </c>
      <c r="F1362" s="29" t="s">
        <v>33</v>
      </c>
      <c r="G1362" s="30" t="s">
        <v>34</v>
      </c>
      <c r="H1362" s="31">
        <v>86464123.606715202</v>
      </c>
      <c r="I1362" s="31">
        <v>19242503.606715199</v>
      </c>
      <c r="J1362" s="32">
        <v>2.8499999046325701</v>
      </c>
      <c r="K1362" s="33">
        <v>45700</v>
      </c>
      <c r="L1362" s="31">
        <v>1542900</v>
      </c>
      <c r="M1362" s="32">
        <v>-2.85</v>
      </c>
      <c r="N1362" s="31" t="s">
        <v>35</v>
      </c>
      <c r="O1362" s="33">
        <v>45699</v>
      </c>
      <c r="P1362" s="34">
        <v>182810.90625</v>
      </c>
      <c r="Q1362" s="34">
        <v>187916.359375</v>
      </c>
      <c r="R1362" s="34">
        <v>257945</v>
      </c>
      <c r="S1362" s="29" t="s">
        <v>2766</v>
      </c>
      <c r="T1362" s="33">
        <v>45446</v>
      </c>
      <c r="U1362" s="35" t="b">
        <v>0</v>
      </c>
      <c r="V1362" s="35" t="b">
        <v>0</v>
      </c>
      <c r="W1362" s="35" t="b">
        <v>0</v>
      </c>
      <c r="Y1362" s="31" cm="1">
        <f t="array" ref="Y1362">IF(LEFT(_xll.BDP($C1362, VOLUME_AVG_10D), 4) = "#N/A", "",  _xll.BDP($C1362, VOLUME_AVG_10D))</f>
        <v>318772.5</v>
      </c>
      <c r="Z1362" s="31" cm="1">
        <f t="array" ref="Z1362">IF(LEFT(_xll.BDP($C1362, VOLUME_AVG_30D), 4) = "#N/A", "",  _xll.BDP($C1362, VOLUME_AVG_30D))</f>
        <v>182810.90625</v>
      </c>
      <c r="AA1362" s="31" cm="1">
        <f t="array" ref="AA1362">IF(LEFT(_xll.BDP($C1362, VOLUME_AVG_3M), 4) = "#N/A", "",  _xll.BDP($C1362, VOLUME_AVG_3M))</f>
        <v>187916.359375</v>
      </c>
      <c r="AB1362" s="31" cm="1">
        <f t="array" ref="AB1362">IF(LEFT(_xll.BDP($C1362, VOLUME_AVG_6M), 4) = "#N/A", "",  _xll.BDP($C1362, VOLUME_AVG_6M))</f>
        <v>257945</v>
      </c>
      <c r="AC1362" s="31" cm="1">
        <f t="array" ref="AC1362">IF(LEFT(_xll.BDP($C1362, VOLUME_AVG_12M), 4) = "#N/A", "",  _xll.BDP($C1362, VOLUME_AVG_12M))</f>
        <v>200605.515625</v>
      </c>
      <c r="AD1362" s="41" cm="1">
        <f t="array" ref="AD1362">IF(LEFT(_xll.BDP($C1362, LAST_PRICE), 4) = "#N/A", "",  _xll.BDP($C1362, LAST_PRICE))</f>
        <v>2.85</v>
      </c>
    </row>
    <row r="1363" spans="1:30" x14ac:dyDescent="0.35">
      <c r="A1363" s="1">
        <f t="shared" si="21"/>
        <v>1360</v>
      </c>
      <c r="B1363" s="28">
        <v>45700</v>
      </c>
      <c r="C1363" s="29" t="s">
        <v>2767</v>
      </c>
      <c r="D1363" s="29" t="s">
        <v>2767</v>
      </c>
      <c r="E1363" s="29" t="s">
        <v>2768</v>
      </c>
      <c r="F1363" s="29" t="s">
        <v>33</v>
      </c>
      <c r="G1363" s="30" t="s">
        <v>34</v>
      </c>
      <c r="H1363" s="31">
        <v>482772835.35342997</v>
      </c>
      <c r="I1363" s="31">
        <v>674164633.34285402</v>
      </c>
      <c r="J1363" s="32">
        <v>1.8200000524520901</v>
      </c>
      <c r="K1363" s="33">
        <v>45700</v>
      </c>
      <c r="L1363" s="31"/>
      <c r="M1363" s="32"/>
      <c r="N1363" s="31"/>
      <c r="O1363" s="33">
        <v>45699</v>
      </c>
      <c r="P1363" s="34">
        <v>2247436.75</v>
      </c>
      <c r="Q1363" s="34">
        <v>2187547.25</v>
      </c>
      <c r="R1363" s="34">
        <v>2048913.375</v>
      </c>
      <c r="S1363" s="29"/>
      <c r="T1363" s="33"/>
      <c r="U1363" s="35" t="b">
        <v>0</v>
      </c>
      <c r="V1363" s="35" t="b">
        <v>0</v>
      </c>
      <c r="W1363" s="35" t="b">
        <v>0</v>
      </c>
      <c r="Y1363" s="31" cm="1">
        <f t="array" ref="Y1363">IF(LEFT(_xll.BDP($C1363, VOLUME_AVG_10D), 4) = "#N/A", "",  _xll.BDP($C1363, VOLUME_AVG_10D))</f>
        <v>2638268.5</v>
      </c>
      <c r="Z1363" s="31" cm="1">
        <f t="array" ref="Z1363">IF(LEFT(_xll.BDP($C1363, VOLUME_AVG_30D), 4) = "#N/A", "",  _xll.BDP($C1363, VOLUME_AVG_30D))</f>
        <v>2247436.75</v>
      </c>
      <c r="AA1363" s="31" cm="1">
        <f t="array" ref="AA1363">IF(LEFT(_xll.BDP($C1363, VOLUME_AVG_3M), 4) = "#N/A", "",  _xll.BDP($C1363, VOLUME_AVG_3M))</f>
        <v>2187547.25</v>
      </c>
      <c r="AB1363" s="31" cm="1">
        <f t="array" ref="AB1363">IF(LEFT(_xll.BDP($C1363, VOLUME_AVG_6M), 4) = "#N/A", "",  _xll.BDP($C1363, VOLUME_AVG_6M))</f>
        <v>2048913.375</v>
      </c>
      <c r="AC1363" s="31" cm="1">
        <f t="array" ref="AC1363">IF(LEFT(_xll.BDP($C1363, VOLUME_AVG_12M), 4) = "#N/A", "",  _xll.BDP($C1363, VOLUME_AVG_12M))</f>
        <v>3467656.75</v>
      </c>
      <c r="AD1363" s="41" cm="1">
        <f t="array" ref="AD1363">IF(LEFT(_xll.BDP($C1363, LAST_PRICE), 4) = "#N/A", "",  _xll.BDP($C1363, LAST_PRICE))</f>
        <v>1.82</v>
      </c>
    </row>
    <row r="1364" spans="1:30" x14ac:dyDescent="0.35">
      <c r="A1364" s="1">
        <f t="shared" si="21"/>
        <v>1361</v>
      </c>
      <c r="B1364" s="28">
        <v>45700</v>
      </c>
      <c r="C1364" s="29" t="s">
        <v>2769</v>
      </c>
      <c r="D1364" s="29" t="s">
        <v>2769</v>
      </c>
      <c r="E1364" s="29" t="s">
        <v>2770</v>
      </c>
      <c r="F1364" s="29" t="s">
        <v>40</v>
      </c>
      <c r="G1364" s="30" t="s">
        <v>41</v>
      </c>
      <c r="H1364" s="31">
        <v>45438745.561081201</v>
      </c>
      <c r="I1364" s="31">
        <v>-11363007.438918799</v>
      </c>
      <c r="J1364" s="32">
        <v>0.31499999761581399</v>
      </c>
      <c r="K1364" s="33">
        <v>45700</v>
      </c>
      <c r="L1364" s="31"/>
      <c r="M1364" s="32"/>
      <c r="N1364" s="31"/>
      <c r="O1364" s="33">
        <v>45699</v>
      </c>
      <c r="P1364" s="34">
        <v>1724557</v>
      </c>
      <c r="Q1364" s="34">
        <v>2607007</v>
      </c>
      <c r="R1364" s="34">
        <v>1451790</v>
      </c>
      <c r="S1364" s="29"/>
      <c r="T1364" s="33"/>
      <c r="U1364" s="35" t="b">
        <v>0</v>
      </c>
      <c r="V1364" s="35" t="b">
        <v>0</v>
      </c>
      <c r="W1364" s="35" t="b">
        <v>1</v>
      </c>
      <c r="Y1364" s="31" cm="1">
        <f t="array" ref="Y1364">IF(LEFT(_xll.BDP($C1364, VOLUME_AVG_10D), 4) = "#N/A", "",  _xll.BDP($C1364, VOLUME_AVG_10D))</f>
        <v>1633818</v>
      </c>
      <c r="Z1364" s="31" cm="1">
        <f t="array" ref="Z1364">IF(LEFT(_xll.BDP($C1364, VOLUME_AVG_30D), 4) = "#N/A", "",  _xll.BDP($C1364, VOLUME_AVG_30D))</f>
        <v>1724557</v>
      </c>
      <c r="AA1364" s="31" cm="1">
        <f t="array" ref="AA1364">IF(LEFT(_xll.BDP($C1364, VOLUME_AVG_3M), 4) = "#N/A", "",  _xll.BDP($C1364, VOLUME_AVG_3M))</f>
        <v>2607007</v>
      </c>
      <c r="AB1364" s="31" cm="1">
        <f t="array" ref="AB1364">IF(LEFT(_xll.BDP($C1364, VOLUME_AVG_6M), 4) = "#N/A", "",  _xll.BDP($C1364, VOLUME_AVG_6M))</f>
        <v>1451790</v>
      </c>
      <c r="AC1364" s="31" cm="1">
        <f t="array" ref="AC1364">IF(LEFT(_xll.BDP($C1364, VOLUME_AVG_12M), 4) = "#N/A", "",  _xll.BDP($C1364, VOLUME_AVG_12M))</f>
        <v>795047.5</v>
      </c>
      <c r="AD1364" s="41" cm="1">
        <f t="array" ref="AD1364">IF(LEFT(_xll.BDP($C1364, LAST_PRICE), 4) = "#N/A", "",  _xll.BDP($C1364, LAST_PRICE))</f>
        <v>0.315</v>
      </c>
    </row>
    <row r="1365" spans="1:30" x14ac:dyDescent="0.35">
      <c r="A1365" s="1">
        <f t="shared" si="21"/>
        <v>1362</v>
      </c>
      <c r="B1365" s="28">
        <v>45700</v>
      </c>
      <c r="C1365" s="29" t="s">
        <v>2771</v>
      </c>
      <c r="D1365" s="29" t="s">
        <v>2771</v>
      </c>
      <c r="E1365" s="29" t="s">
        <v>2772</v>
      </c>
      <c r="F1365" s="29" t="s">
        <v>33</v>
      </c>
      <c r="G1365" s="30" t="s">
        <v>34</v>
      </c>
      <c r="H1365" s="31">
        <v>16798144.448210001</v>
      </c>
      <c r="I1365" s="31">
        <v>-9946855.5517900009</v>
      </c>
      <c r="J1365" s="32">
        <v>0.60299998521804798</v>
      </c>
      <c r="K1365" s="33">
        <v>45700</v>
      </c>
      <c r="L1365" s="31"/>
      <c r="M1365" s="32"/>
      <c r="N1365" s="31"/>
      <c r="O1365" s="33">
        <v>45699</v>
      </c>
      <c r="P1365" s="34">
        <v>283208.125</v>
      </c>
      <c r="Q1365" s="34">
        <v>528799.3125</v>
      </c>
      <c r="R1365" s="34">
        <v>322119.84375</v>
      </c>
      <c r="S1365" s="29"/>
      <c r="T1365" s="33"/>
      <c r="U1365" s="35" t="b">
        <v>1</v>
      </c>
      <c r="V1365" s="35" t="b">
        <v>0</v>
      </c>
      <c r="W1365" s="35" t="b">
        <v>1</v>
      </c>
      <c r="Y1365" s="31" cm="1">
        <f t="array" ref="Y1365">IF(LEFT(_xll.BDP($C1365, VOLUME_AVG_10D), 4) = "#N/A", "",  _xll.BDP($C1365, VOLUME_AVG_10D))</f>
        <v>63632.30078125</v>
      </c>
      <c r="Z1365" s="31" cm="1">
        <f t="array" ref="Z1365">IF(LEFT(_xll.BDP($C1365, VOLUME_AVG_30D), 4) = "#N/A", "",  _xll.BDP($C1365, VOLUME_AVG_30D))</f>
        <v>283208.125</v>
      </c>
      <c r="AA1365" s="31" cm="1">
        <f t="array" ref="AA1365">IF(LEFT(_xll.BDP($C1365, VOLUME_AVG_3M), 4) = "#N/A", "",  _xll.BDP($C1365, VOLUME_AVG_3M))</f>
        <v>528799.3125</v>
      </c>
      <c r="AB1365" s="31" cm="1">
        <f t="array" ref="AB1365">IF(LEFT(_xll.BDP($C1365, VOLUME_AVG_6M), 4) = "#N/A", "",  _xll.BDP($C1365, VOLUME_AVG_6M))</f>
        <v>322119.84375</v>
      </c>
      <c r="AC1365" s="31" cm="1">
        <f t="array" ref="AC1365">IF(LEFT(_xll.BDP($C1365, VOLUME_AVG_12M), 4) = "#N/A", "",  _xll.BDP($C1365, VOLUME_AVG_12M))</f>
        <v>250985.40625</v>
      </c>
      <c r="AD1365" s="41" cm="1">
        <f t="array" ref="AD1365">IF(LEFT(_xll.BDP($C1365, LAST_PRICE), 4) = "#N/A", "",  _xll.BDP($C1365, LAST_PRICE))</f>
        <v>0.60299999999999998</v>
      </c>
    </row>
    <row r="1366" spans="1:30" x14ac:dyDescent="0.35">
      <c r="A1366" s="1">
        <f t="shared" si="21"/>
        <v>1363</v>
      </c>
      <c r="B1366" s="28">
        <v>45700</v>
      </c>
      <c r="C1366" s="29" t="s">
        <v>2773</v>
      </c>
      <c r="D1366" s="29" t="s">
        <v>2773</v>
      </c>
      <c r="E1366" s="29" t="s">
        <v>2774</v>
      </c>
      <c r="F1366" s="29" t="s">
        <v>33</v>
      </c>
      <c r="G1366" s="30" t="s">
        <v>34</v>
      </c>
      <c r="H1366" s="31">
        <v>2166650958</v>
      </c>
      <c r="I1366" s="31">
        <v>1884958958</v>
      </c>
      <c r="J1366" s="32">
        <v>50.25</v>
      </c>
      <c r="K1366" s="33">
        <v>45700</v>
      </c>
      <c r="L1366" s="31">
        <v>6365000</v>
      </c>
      <c r="M1366" s="32">
        <v>3.88</v>
      </c>
      <c r="N1366" s="31" t="s">
        <v>35</v>
      </c>
      <c r="O1366" s="33">
        <v>45699</v>
      </c>
      <c r="P1366" s="34">
        <v>456777</v>
      </c>
      <c r="Q1366" s="34">
        <v>566333.6875</v>
      </c>
      <c r="R1366" s="34">
        <v>597625</v>
      </c>
      <c r="S1366" s="29" t="s">
        <v>177</v>
      </c>
      <c r="T1366" s="33">
        <v>45215</v>
      </c>
      <c r="U1366" s="35" t="b">
        <v>0</v>
      </c>
      <c r="V1366" s="35" t="b">
        <v>0</v>
      </c>
      <c r="W1366" s="35" t="b">
        <v>0</v>
      </c>
      <c r="Y1366" s="31" cm="1">
        <f t="array" ref="Y1366">IF(LEFT(_xll.BDP($C1366, VOLUME_AVG_10D), 4) = "#N/A", "",  _xll.BDP($C1366, VOLUME_AVG_10D))</f>
        <v>388163.40625</v>
      </c>
      <c r="Z1366" s="31" cm="1">
        <f t="array" ref="Z1366">IF(LEFT(_xll.BDP($C1366, VOLUME_AVG_30D), 4) = "#N/A", "",  _xll.BDP($C1366, VOLUME_AVG_30D))</f>
        <v>456777</v>
      </c>
      <c r="AA1366" s="31" cm="1">
        <f t="array" ref="AA1366">IF(LEFT(_xll.BDP($C1366, VOLUME_AVG_3M), 4) = "#N/A", "",  _xll.BDP($C1366, VOLUME_AVG_3M))</f>
        <v>566333.6875</v>
      </c>
      <c r="AB1366" s="31" cm="1">
        <f t="array" ref="AB1366">IF(LEFT(_xll.BDP($C1366, VOLUME_AVG_6M), 4) = "#N/A", "",  _xll.BDP($C1366, VOLUME_AVG_6M))</f>
        <v>597625</v>
      </c>
      <c r="AC1366" s="31" cm="1">
        <f t="array" ref="AC1366">IF(LEFT(_xll.BDP($C1366, VOLUME_AVG_12M), 4) = "#N/A", "",  _xll.BDP($C1366, VOLUME_AVG_12M))</f>
        <v>514917.125</v>
      </c>
      <c r="AD1366" s="41" cm="1">
        <f t="array" ref="AD1366">IF(LEFT(_xll.BDP($C1366, LAST_PRICE), 4) = "#N/A", "",  _xll.BDP($C1366, LAST_PRICE))</f>
        <v>50.25</v>
      </c>
    </row>
    <row r="1367" spans="1:30" x14ac:dyDescent="0.35">
      <c r="A1367" s="1">
        <f t="shared" si="21"/>
        <v>1364</v>
      </c>
      <c r="B1367" s="28">
        <v>45700</v>
      </c>
      <c r="C1367" s="29" t="s">
        <v>2775</v>
      </c>
      <c r="D1367" s="29" t="s">
        <v>2775</v>
      </c>
      <c r="E1367" s="29" t="s">
        <v>2776</v>
      </c>
      <c r="F1367" s="29" t="s">
        <v>33</v>
      </c>
      <c r="G1367" s="30" t="s">
        <v>34</v>
      </c>
      <c r="H1367" s="31">
        <v>141039761.56688899</v>
      </c>
      <c r="I1367" s="31">
        <v>-5358238.4331105398</v>
      </c>
      <c r="J1367" s="32">
        <v>3.5299999713897701</v>
      </c>
      <c r="K1367" s="33">
        <v>45700</v>
      </c>
      <c r="L1367" s="31">
        <v>3126800</v>
      </c>
      <c r="M1367" s="32">
        <v>3.65</v>
      </c>
      <c r="N1367" s="31" t="s">
        <v>35</v>
      </c>
      <c r="O1367" s="33">
        <v>45699</v>
      </c>
      <c r="P1367" s="34">
        <v>716000.5</v>
      </c>
      <c r="Q1367" s="34">
        <v>522808.78125</v>
      </c>
      <c r="R1367" s="34">
        <v>394917.09375</v>
      </c>
      <c r="S1367" s="29" t="s">
        <v>68</v>
      </c>
      <c r="T1367" s="33">
        <v>45446</v>
      </c>
      <c r="U1367" s="35" t="b">
        <v>0</v>
      </c>
      <c r="V1367" s="35" t="b">
        <v>0</v>
      </c>
      <c r="W1367" s="35" t="b">
        <v>1</v>
      </c>
      <c r="Y1367" s="31" cm="1">
        <f t="array" ref="Y1367">IF(LEFT(_xll.BDP($C1367, VOLUME_AVG_10D), 4) = "#N/A", "",  _xll.BDP($C1367, VOLUME_AVG_10D))</f>
        <v>944695.375</v>
      </c>
      <c r="Z1367" s="31" cm="1">
        <f t="array" ref="Z1367">IF(LEFT(_xll.BDP($C1367, VOLUME_AVG_30D), 4) = "#N/A", "",  _xll.BDP($C1367, VOLUME_AVG_30D))</f>
        <v>716000.5</v>
      </c>
      <c r="AA1367" s="31" cm="1">
        <f t="array" ref="AA1367">IF(LEFT(_xll.BDP($C1367, VOLUME_AVG_3M), 4) = "#N/A", "",  _xll.BDP($C1367, VOLUME_AVG_3M))</f>
        <v>522808.78125</v>
      </c>
      <c r="AB1367" s="31" cm="1">
        <f t="array" ref="AB1367">IF(LEFT(_xll.BDP($C1367, VOLUME_AVG_6M), 4) = "#N/A", "",  _xll.BDP($C1367, VOLUME_AVG_6M))</f>
        <v>394917.09375</v>
      </c>
      <c r="AC1367" s="31" cm="1">
        <f t="array" ref="AC1367">IF(LEFT(_xll.BDP($C1367, VOLUME_AVG_12M), 4) = "#N/A", "",  _xll.BDP($C1367, VOLUME_AVG_12M))</f>
        <v>376688.84375</v>
      </c>
      <c r="AD1367" s="41" cm="1">
        <f t="array" ref="AD1367">IF(LEFT(_xll.BDP($C1367, LAST_PRICE), 4) = "#N/A", "",  _xll.BDP($C1367, LAST_PRICE))</f>
        <v>3.53</v>
      </c>
    </row>
    <row r="1368" spans="1:30" x14ac:dyDescent="0.35">
      <c r="A1368" s="1">
        <f t="shared" si="21"/>
        <v>1365</v>
      </c>
      <c r="B1368" s="28">
        <v>45700</v>
      </c>
      <c r="C1368" s="29" t="s">
        <v>2777</v>
      </c>
      <c r="D1368" s="29" t="s">
        <v>2777</v>
      </c>
      <c r="E1368" s="29" t="s">
        <v>2778</v>
      </c>
      <c r="F1368" s="29" t="s">
        <v>33</v>
      </c>
      <c r="G1368" s="30" t="s">
        <v>34</v>
      </c>
      <c r="H1368" s="31">
        <v>5771847.58033776</v>
      </c>
      <c r="I1368" s="31">
        <v>-1865362.41966224</v>
      </c>
      <c r="J1368" s="32">
        <v>2.2999999523162802</v>
      </c>
      <c r="K1368" s="33">
        <v>45700</v>
      </c>
      <c r="L1368" s="31">
        <v>116800</v>
      </c>
      <c r="M1368" s="32">
        <v>-43.4</v>
      </c>
      <c r="N1368" s="31" t="s">
        <v>35</v>
      </c>
      <c r="O1368" s="33">
        <v>45699</v>
      </c>
      <c r="P1368" s="34">
        <v>428345.53125</v>
      </c>
      <c r="Q1368" s="34">
        <v>231025.328125</v>
      </c>
      <c r="R1368" s="34">
        <v>181973.875</v>
      </c>
      <c r="S1368" s="29"/>
      <c r="T1368" s="33"/>
      <c r="U1368" s="35" t="b">
        <v>1</v>
      </c>
      <c r="V1368" s="35" t="b">
        <v>0</v>
      </c>
      <c r="W1368" s="35" t="b">
        <v>1</v>
      </c>
      <c r="Y1368" s="31" cm="1">
        <f t="array" ref="Y1368">IF(LEFT(_xll.BDP($C1368, VOLUME_AVG_10D), 4) = "#N/A", "",  _xll.BDP($C1368, VOLUME_AVG_10D))</f>
        <v>33764.80078125</v>
      </c>
      <c r="Z1368" s="31" cm="1">
        <f t="array" ref="Z1368">IF(LEFT(_xll.BDP($C1368, VOLUME_AVG_30D), 4) = "#N/A", "",  _xll.BDP($C1368, VOLUME_AVG_30D))</f>
        <v>428345.53125</v>
      </c>
      <c r="AA1368" s="31" cm="1">
        <f t="array" ref="AA1368">IF(LEFT(_xll.BDP($C1368, VOLUME_AVG_3M), 4) = "#N/A", "",  _xll.BDP($C1368, VOLUME_AVG_3M))</f>
        <v>231025.328125</v>
      </c>
      <c r="AB1368" s="31" cm="1">
        <f t="array" ref="AB1368">IF(LEFT(_xll.BDP($C1368, VOLUME_AVG_6M), 4) = "#N/A", "",  _xll.BDP($C1368, VOLUME_AVG_6M))</f>
        <v>181973.875</v>
      </c>
      <c r="AC1368" s="31" cm="1">
        <f t="array" ref="AC1368">IF(LEFT(_xll.BDP($C1368, VOLUME_AVG_12M), 4) = "#N/A", "",  _xll.BDP($C1368, VOLUME_AVG_12M))</f>
        <v>781423.25</v>
      </c>
      <c r="AD1368" s="41" cm="1">
        <f t="array" ref="AD1368">IF(LEFT(_xll.BDP($C1368, LAST_PRICE), 4) = "#N/A", "",  _xll.BDP($C1368, LAST_PRICE))</f>
        <v>2.2999999999999998</v>
      </c>
    </row>
    <row r="1369" spans="1:30" x14ac:dyDescent="0.35">
      <c r="A1369" s="1">
        <f t="shared" si="21"/>
        <v>1366</v>
      </c>
      <c r="B1369" s="28">
        <v>45700</v>
      </c>
      <c r="C1369" s="29" t="s">
        <v>2779</v>
      </c>
      <c r="D1369" s="29" t="s">
        <v>2779</v>
      </c>
      <c r="E1369" s="29" t="s">
        <v>2780</v>
      </c>
      <c r="F1369" s="29" t="s">
        <v>33</v>
      </c>
      <c r="G1369" s="30" t="s">
        <v>34</v>
      </c>
      <c r="H1369" s="31">
        <v>12728519930.3204</v>
      </c>
      <c r="I1369" s="31">
        <v>20065519930.3204</v>
      </c>
      <c r="J1369" s="32">
        <v>73.680000305175795</v>
      </c>
      <c r="K1369" s="33">
        <v>45700</v>
      </c>
      <c r="L1369" s="31">
        <v>39565400</v>
      </c>
      <c r="M1369" s="32">
        <v>3.88</v>
      </c>
      <c r="N1369" s="31" t="s">
        <v>35</v>
      </c>
      <c r="O1369" s="33">
        <v>45699</v>
      </c>
      <c r="P1369" s="34">
        <v>904246.375</v>
      </c>
      <c r="Q1369" s="34">
        <v>890622.9375</v>
      </c>
      <c r="R1369" s="34">
        <v>1006886.875</v>
      </c>
      <c r="S1369" s="29"/>
      <c r="T1369" s="33"/>
      <c r="U1369" s="35" t="b">
        <v>0</v>
      </c>
      <c r="V1369" s="35" t="b">
        <v>0</v>
      </c>
      <c r="W1369" s="35" t="b">
        <v>0</v>
      </c>
      <c r="Y1369" s="31" cm="1">
        <f t="array" ref="Y1369">IF(LEFT(_xll.BDP($C1369, VOLUME_AVG_10D), 4) = "#N/A", "",  _xll.BDP($C1369, VOLUME_AVG_10D))</f>
        <v>736324.8125</v>
      </c>
      <c r="Z1369" s="31" cm="1">
        <f t="array" ref="Z1369">IF(LEFT(_xll.BDP($C1369, VOLUME_AVG_30D), 4) = "#N/A", "",  _xll.BDP($C1369, VOLUME_AVG_30D))</f>
        <v>904246.375</v>
      </c>
      <c r="AA1369" s="31" cm="1">
        <f t="array" ref="AA1369">IF(LEFT(_xll.BDP($C1369, VOLUME_AVG_3M), 4) = "#N/A", "",  _xll.BDP($C1369, VOLUME_AVG_3M))</f>
        <v>890622.9375</v>
      </c>
      <c r="AB1369" s="31" cm="1">
        <f t="array" ref="AB1369">IF(LEFT(_xll.BDP($C1369, VOLUME_AVG_6M), 4) = "#N/A", "",  _xll.BDP($C1369, VOLUME_AVG_6M))</f>
        <v>1006886.875</v>
      </c>
      <c r="AC1369" s="31" t="str" cm="1">
        <f t="array" ref="AC1369">IF(LEFT(_xll.BDP($C1369, VOLUME_AVG_12M), 4) = "#N/A", "",  _xll.BDP($C1369, VOLUME_AVG_12M))</f>
        <v/>
      </c>
      <c r="AD1369" s="41" cm="1">
        <f t="array" ref="AD1369">IF(LEFT(_xll.BDP($C1369, LAST_PRICE), 4) = "#N/A", "",  _xll.BDP($C1369, LAST_PRICE))</f>
        <v>73.680000000000007</v>
      </c>
    </row>
    <row r="1370" spans="1:30" x14ac:dyDescent="0.35">
      <c r="A1370" s="1">
        <f t="shared" si="21"/>
        <v>1367</v>
      </c>
      <c r="B1370" s="28">
        <v>45700</v>
      </c>
      <c r="C1370" s="29" t="s">
        <v>2781</v>
      </c>
      <c r="D1370" s="29" t="s">
        <v>2781</v>
      </c>
      <c r="E1370" s="29" t="s">
        <v>2782</v>
      </c>
      <c r="F1370" s="29" t="s">
        <v>33</v>
      </c>
      <c r="G1370" s="30" t="s">
        <v>34</v>
      </c>
      <c r="H1370" s="31"/>
      <c r="I1370" s="31"/>
      <c r="J1370" s="32">
        <v>9.9999999747524292E-7</v>
      </c>
      <c r="K1370" s="33">
        <v>45700</v>
      </c>
      <c r="L1370" s="31"/>
      <c r="M1370" s="32"/>
      <c r="N1370" s="31"/>
      <c r="O1370" s="33">
        <v>45699</v>
      </c>
      <c r="P1370" s="34">
        <v>162500</v>
      </c>
      <c r="Q1370" s="34">
        <v>308419.34375</v>
      </c>
      <c r="R1370" s="34">
        <v>191246.140625</v>
      </c>
      <c r="S1370" s="29"/>
      <c r="T1370" s="33"/>
      <c r="U1370" s="35" t="b">
        <v>1</v>
      </c>
      <c r="V1370" s="35" t="b">
        <v>1</v>
      </c>
      <c r="W1370" s="35" t="b">
        <v>1</v>
      </c>
      <c r="Y1370" s="31" cm="1">
        <f t="array" ref="Y1370">IF(LEFT(_xll.BDP($C1370, VOLUME_AVG_10D), 4) = "#N/A", "",  _xll.BDP($C1370, VOLUME_AVG_10D))</f>
        <v>0</v>
      </c>
      <c r="Z1370" s="31" cm="1">
        <f t="array" ref="Z1370">IF(LEFT(_xll.BDP($C1370, VOLUME_AVG_30D), 4) = "#N/A", "",  _xll.BDP($C1370, VOLUME_AVG_30D))</f>
        <v>162500</v>
      </c>
      <c r="AA1370" s="31" cm="1">
        <f t="array" ref="AA1370">IF(LEFT(_xll.BDP($C1370, VOLUME_AVG_3M), 4) = "#N/A", "",  _xll.BDP($C1370, VOLUME_AVG_3M))</f>
        <v>308419.34375</v>
      </c>
      <c r="AB1370" s="31" cm="1">
        <f t="array" ref="AB1370">IF(LEFT(_xll.BDP($C1370, VOLUME_AVG_6M), 4) = "#N/A", "",  _xll.BDP($C1370, VOLUME_AVG_6M))</f>
        <v>191246.140625</v>
      </c>
      <c r="AC1370" s="31" cm="1">
        <f t="array" ref="AC1370">IF(LEFT(_xll.BDP($C1370, VOLUME_AVG_12M), 4) = "#N/A", "",  _xll.BDP($C1370, VOLUME_AVG_12M))</f>
        <v>265786.71875</v>
      </c>
      <c r="AD1370" s="41" cm="1">
        <f t="array" ref="AD1370">IF(LEFT(_xll.BDP($C1370, LAST_PRICE), 4) = "#N/A", "",  _xll.BDP($C1370, LAST_PRICE))</f>
        <v>9.9999999999999995E-7</v>
      </c>
    </row>
    <row r="1371" spans="1:30" x14ac:dyDescent="0.35">
      <c r="A1371" s="1">
        <f t="shared" si="21"/>
        <v>1368</v>
      </c>
      <c r="B1371" s="28">
        <v>45700</v>
      </c>
      <c r="C1371" s="29" t="s">
        <v>2783</v>
      </c>
      <c r="D1371" s="29" t="s">
        <v>2783</v>
      </c>
      <c r="E1371" s="29" t="s">
        <v>2784</v>
      </c>
      <c r="F1371" s="29" t="s">
        <v>40</v>
      </c>
      <c r="G1371" s="30" t="s">
        <v>41</v>
      </c>
      <c r="H1371" s="31">
        <v>31281701.213181</v>
      </c>
      <c r="I1371" s="31">
        <v>31844509.213181</v>
      </c>
      <c r="J1371" s="32">
        <v>0.28000000119209301</v>
      </c>
      <c r="K1371" s="33">
        <v>45700</v>
      </c>
      <c r="L1371" s="31">
        <v>10200</v>
      </c>
      <c r="M1371" s="32">
        <v>-23.85</v>
      </c>
      <c r="N1371" s="31" t="s">
        <v>35</v>
      </c>
      <c r="O1371" s="33">
        <v>45699</v>
      </c>
      <c r="P1371" s="34">
        <v>42607.37</v>
      </c>
      <c r="Q1371" s="34">
        <v>39066.300000000003</v>
      </c>
      <c r="R1371" s="34">
        <v>41991.71</v>
      </c>
      <c r="S1371" s="29"/>
      <c r="T1371" s="33"/>
      <c r="U1371" s="35" t="b">
        <v>0</v>
      </c>
      <c r="V1371" s="35" t="b">
        <v>0</v>
      </c>
      <c r="W1371" s="35" t="b">
        <v>0</v>
      </c>
      <c r="Y1371" s="31" cm="1">
        <f t="array" ref="Y1371">IF(LEFT(_xll.BDP($C1371, VOLUME_AVG_10D), 4) = "#N/A", "",  _xll.BDP($C1371, VOLUME_AVG_10D))</f>
        <v>33626.699999999997</v>
      </c>
      <c r="Z1371" s="31" cm="1">
        <f t="array" ref="Z1371">IF(LEFT(_xll.BDP($C1371, VOLUME_AVG_30D), 4) = "#N/A", "",  _xll.BDP($C1371, VOLUME_AVG_30D))</f>
        <v>42607.37</v>
      </c>
      <c r="AA1371" s="31" cm="1">
        <f t="array" ref="AA1371">IF(LEFT(_xll.BDP($C1371, VOLUME_AVG_3M), 4) = "#N/A", "",  _xll.BDP($C1371, VOLUME_AVG_3M))</f>
        <v>39066.300000000003</v>
      </c>
      <c r="AB1371" s="31" cm="1">
        <f t="array" ref="AB1371">IF(LEFT(_xll.BDP($C1371, VOLUME_AVG_6M), 4) = "#N/A", "",  _xll.BDP($C1371, VOLUME_AVG_6M))</f>
        <v>41991.71</v>
      </c>
      <c r="AC1371" s="31" cm="1">
        <f t="array" ref="AC1371">IF(LEFT(_xll.BDP($C1371, VOLUME_AVG_12M), 4) = "#N/A", "",  _xll.BDP($C1371, VOLUME_AVG_12M))</f>
        <v>67500.539999999994</v>
      </c>
      <c r="AD1371" s="41" cm="1">
        <f t="array" ref="AD1371">IF(LEFT(_xll.BDP($C1371, LAST_PRICE), 4) = "#N/A", "",  _xll.BDP($C1371, LAST_PRICE))</f>
        <v>0.28000000000000003</v>
      </c>
    </row>
    <row r="1372" spans="1:30" x14ac:dyDescent="0.35">
      <c r="A1372" s="1">
        <f t="shared" si="21"/>
        <v>1369</v>
      </c>
      <c r="B1372" s="28">
        <v>45700</v>
      </c>
      <c r="C1372" s="29" t="s">
        <v>2785</v>
      </c>
      <c r="D1372" s="29" t="s">
        <v>2785</v>
      </c>
      <c r="E1372" s="29" t="s">
        <v>2786</v>
      </c>
      <c r="F1372" s="29" t="s">
        <v>33</v>
      </c>
      <c r="G1372" s="30" t="s">
        <v>34</v>
      </c>
      <c r="H1372" s="31">
        <v>940610.25</v>
      </c>
      <c r="I1372" s="31">
        <v>-5674389.75</v>
      </c>
      <c r="J1372" s="32">
        <v>2.25</v>
      </c>
      <c r="K1372" s="33">
        <v>45700</v>
      </c>
      <c r="L1372" s="31">
        <v>17100</v>
      </c>
      <c r="M1372" s="32">
        <v>-4.95</v>
      </c>
      <c r="N1372" s="31" t="s">
        <v>35</v>
      </c>
      <c r="O1372" s="33">
        <v>45699</v>
      </c>
      <c r="P1372" s="34">
        <v>1062.73327636719</v>
      </c>
      <c r="Q1372" s="34">
        <v>2545.435546875</v>
      </c>
      <c r="R1372" s="34">
        <v>2593.66357421875</v>
      </c>
      <c r="S1372" s="29"/>
      <c r="T1372" s="33"/>
      <c r="U1372" s="35" t="b">
        <v>1</v>
      </c>
      <c r="V1372" s="35" t="b">
        <v>0</v>
      </c>
      <c r="W1372" s="35" t="b">
        <v>1</v>
      </c>
      <c r="Y1372" s="31" cm="1">
        <f t="array" ref="Y1372">IF(LEFT(_xll.BDP($C1372, VOLUME_AVG_10D), 4) = "#N/A", "",  _xll.BDP($C1372, VOLUME_AVG_10D))</f>
        <v>715.20001220703125</v>
      </c>
      <c r="Z1372" s="31" cm="1">
        <f t="array" ref="Z1372">IF(LEFT(_xll.BDP($C1372, VOLUME_AVG_30D), 4) = "#N/A", "",  _xll.BDP($C1372, VOLUME_AVG_30D))</f>
        <v>1062.7332763671875</v>
      </c>
      <c r="AA1372" s="31" cm="1">
        <f t="array" ref="AA1372">IF(LEFT(_xll.BDP($C1372, VOLUME_AVG_3M), 4) = "#N/A", "",  _xll.BDP($C1372, VOLUME_AVG_3M))</f>
        <v>2545.435546875</v>
      </c>
      <c r="AB1372" s="31" cm="1">
        <f t="array" ref="AB1372">IF(LEFT(_xll.BDP($C1372, VOLUME_AVG_6M), 4) = "#N/A", "",  _xll.BDP($C1372, VOLUME_AVG_6M))</f>
        <v>2593.66357421875</v>
      </c>
      <c r="AC1372" s="31" cm="1">
        <f t="array" ref="AC1372">IF(LEFT(_xll.BDP($C1372, VOLUME_AVG_12M), 4) = "#N/A", "",  _xll.BDP($C1372, VOLUME_AVG_12M))</f>
        <v>1986.7696533203125</v>
      </c>
      <c r="AD1372" s="41" cm="1">
        <f t="array" ref="AD1372">IF(LEFT(_xll.BDP($C1372, LAST_PRICE), 4) = "#N/A", "",  _xll.BDP($C1372, LAST_PRICE))</f>
        <v>2.25</v>
      </c>
    </row>
    <row r="1373" spans="1:30" x14ac:dyDescent="0.35">
      <c r="A1373" s="1">
        <f t="shared" si="21"/>
        <v>1370</v>
      </c>
      <c r="B1373" s="28">
        <v>45700</v>
      </c>
      <c r="C1373" s="29" t="s">
        <v>2787</v>
      </c>
      <c r="D1373" s="29" t="s">
        <v>2787</v>
      </c>
      <c r="E1373" s="29" t="s">
        <v>2788</v>
      </c>
      <c r="F1373" s="29" t="s">
        <v>33</v>
      </c>
      <c r="G1373" s="30" t="s">
        <v>34</v>
      </c>
      <c r="H1373" s="31">
        <v>466452182.54089397</v>
      </c>
      <c r="I1373" s="31">
        <v>1104013182.54089</v>
      </c>
      <c r="J1373" s="32">
        <v>24.459999084472699</v>
      </c>
      <c r="K1373" s="33">
        <v>45700</v>
      </c>
      <c r="L1373" s="31">
        <v>634600</v>
      </c>
      <c r="M1373" s="32">
        <v>3.15</v>
      </c>
      <c r="N1373" s="31" t="s">
        <v>35</v>
      </c>
      <c r="O1373" s="33">
        <v>45699</v>
      </c>
      <c r="P1373" s="34">
        <v>42239.93359375</v>
      </c>
      <c r="Q1373" s="34">
        <v>67186.4375</v>
      </c>
      <c r="R1373" s="34">
        <v>77345.0625</v>
      </c>
      <c r="S1373" s="29"/>
      <c r="T1373" s="33"/>
      <c r="U1373" s="35" t="b">
        <v>0</v>
      </c>
      <c r="V1373" s="35" t="b">
        <v>0</v>
      </c>
      <c r="W1373" s="35" t="b">
        <v>0</v>
      </c>
      <c r="Y1373" s="31" cm="1">
        <f t="array" ref="Y1373">IF(LEFT(_xll.BDP($C1373, VOLUME_AVG_10D), 4) = "#N/A", "",  _xll.BDP($C1373, VOLUME_AVG_10D))</f>
        <v>31611.400390625</v>
      </c>
      <c r="Z1373" s="31" cm="1">
        <f t="array" ref="Z1373">IF(LEFT(_xll.BDP($C1373, VOLUME_AVG_30D), 4) = "#N/A", "",  _xll.BDP($C1373, VOLUME_AVG_30D))</f>
        <v>42239.93359375</v>
      </c>
      <c r="AA1373" s="31" cm="1">
        <f t="array" ref="AA1373">IF(LEFT(_xll.BDP($C1373, VOLUME_AVG_3M), 4) = "#N/A", "",  _xll.BDP($C1373, VOLUME_AVG_3M))</f>
        <v>67186.4375</v>
      </c>
      <c r="AB1373" s="31" cm="1">
        <f t="array" ref="AB1373">IF(LEFT(_xll.BDP($C1373, VOLUME_AVG_6M), 4) = "#N/A", "",  _xll.BDP($C1373, VOLUME_AVG_6M))</f>
        <v>77345.0625</v>
      </c>
      <c r="AC1373" s="31" cm="1">
        <f t="array" ref="AC1373">IF(LEFT(_xll.BDP($C1373, VOLUME_AVG_12M), 4) = "#N/A", "",  _xll.BDP($C1373, VOLUME_AVG_12M))</f>
        <v>54080.171875</v>
      </c>
      <c r="AD1373" s="41" cm="1">
        <f t="array" ref="AD1373">IF(LEFT(_xll.BDP($C1373, LAST_PRICE), 4) = "#N/A", "",  _xll.BDP($C1373, LAST_PRICE))</f>
        <v>24.46</v>
      </c>
    </row>
    <row r="1374" spans="1:30" x14ac:dyDescent="0.35">
      <c r="A1374" s="1">
        <f t="shared" si="21"/>
        <v>1371</v>
      </c>
      <c r="B1374" s="28">
        <v>45700</v>
      </c>
      <c r="C1374" s="29" t="s">
        <v>2789</v>
      </c>
      <c r="D1374" s="29" t="s">
        <v>2789</v>
      </c>
      <c r="E1374" s="29" t="s">
        <v>2790</v>
      </c>
      <c r="F1374" s="29" t="s">
        <v>33</v>
      </c>
      <c r="G1374" s="30" t="s">
        <v>34</v>
      </c>
      <c r="H1374" s="31">
        <v>4758163.6254715901</v>
      </c>
      <c r="I1374" s="31">
        <v>4739571.6254715901</v>
      </c>
      <c r="J1374" s="32">
        <v>1.5599999427795399</v>
      </c>
      <c r="K1374" s="33">
        <v>45700</v>
      </c>
      <c r="L1374" s="31">
        <v>96000</v>
      </c>
      <c r="M1374" s="32">
        <v>-32.450000000000003</v>
      </c>
      <c r="N1374" s="31" t="s">
        <v>35</v>
      </c>
      <c r="O1374" s="33">
        <v>45699</v>
      </c>
      <c r="P1374" s="34">
        <v>232743.59375</v>
      </c>
      <c r="Q1374" s="34">
        <v>1034844.375</v>
      </c>
      <c r="R1374" s="34">
        <v>729492.8125</v>
      </c>
      <c r="S1374" s="29"/>
      <c r="T1374" s="33"/>
      <c r="U1374" s="35" t="b">
        <v>1</v>
      </c>
      <c r="V1374" s="35" t="b">
        <v>0</v>
      </c>
      <c r="W1374" s="35" t="b">
        <v>0</v>
      </c>
      <c r="Y1374" s="31" cm="1">
        <f t="array" ref="Y1374">IF(LEFT(_xll.BDP($C1374, VOLUME_AVG_10D), 4) = "#N/A", "",  _xll.BDP($C1374, VOLUME_AVG_10D))</f>
        <v>54874.5</v>
      </c>
      <c r="Z1374" s="31" cm="1">
        <f t="array" ref="Z1374">IF(LEFT(_xll.BDP($C1374, VOLUME_AVG_30D), 4) = "#N/A", "",  _xll.BDP($C1374, VOLUME_AVG_30D))</f>
        <v>232743.59375</v>
      </c>
      <c r="AA1374" s="31" cm="1">
        <f t="array" ref="AA1374">IF(LEFT(_xll.BDP($C1374, VOLUME_AVG_3M), 4) = "#N/A", "",  _xll.BDP($C1374, VOLUME_AVG_3M))</f>
        <v>1034844.375</v>
      </c>
      <c r="AB1374" s="31" cm="1">
        <f t="array" ref="AB1374">IF(LEFT(_xll.BDP($C1374, VOLUME_AVG_6M), 4) = "#N/A", "",  _xll.BDP($C1374, VOLUME_AVG_6M))</f>
        <v>729492.8125</v>
      </c>
      <c r="AC1374" s="31" cm="1">
        <f t="array" ref="AC1374">IF(LEFT(_xll.BDP($C1374, VOLUME_AVG_12M), 4) = "#N/A", "",  _xll.BDP($C1374, VOLUME_AVG_12M))</f>
        <v>371131.09375</v>
      </c>
      <c r="AD1374" s="41" cm="1">
        <f t="array" ref="AD1374">IF(LEFT(_xll.BDP($C1374, LAST_PRICE), 4) = "#N/A", "",  _xll.BDP($C1374, LAST_PRICE))</f>
        <v>1.56</v>
      </c>
    </row>
    <row r="1375" spans="1:30" x14ac:dyDescent="0.35">
      <c r="A1375" s="1">
        <f t="shared" si="21"/>
        <v>1372</v>
      </c>
      <c r="B1375" s="28">
        <v>45700</v>
      </c>
      <c r="C1375" s="29" t="s">
        <v>2791</v>
      </c>
      <c r="D1375" s="29" t="s">
        <v>2791</v>
      </c>
      <c r="E1375" s="29" t="s">
        <v>2792</v>
      </c>
      <c r="F1375" s="29" t="s">
        <v>33</v>
      </c>
      <c r="G1375" s="30" t="s">
        <v>34</v>
      </c>
      <c r="H1375" s="31">
        <v>4104043.03836346</v>
      </c>
      <c r="I1375" s="31">
        <v>-1012956.96163654</v>
      </c>
      <c r="J1375" s="32">
        <v>2.53999996185303</v>
      </c>
      <c r="K1375" s="33">
        <v>45700</v>
      </c>
      <c r="L1375" s="31">
        <v>89900</v>
      </c>
      <c r="M1375" s="32">
        <v>-89.25</v>
      </c>
      <c r="N1375" s="31" t="s">
        <v>35</v>
      </c>
      <c r="O1375" s="33">
        <v>45699</v>
      </c>
      <c r="P1375" s="34">
        <v>51443.8984375</v>
      </c>
      <c r="Q1375" s="34">
        <v>312092.40625</v>
      </c>
      <c r="R1375" s="34">
        <v>240980.609375</v>
      </c>
      <c r="S1375" s="29"/>
      <c r="T1375" s="33"/>
      <c r="U1375" s="35" t="b">
        <v>1</v>
      </c>
      <c r="V1375" s="35" t="b">
        <v>0</v>
      </c>
      <c r="W1375" s="35" t="b">
        <v>1</v>
      </c>
      <c r="Y1375" s="31" cm="1">
        <f t="array" ref="Y1375">IF(LEFT(_xll.BDP($C1375, VOLUME_AVG_10D), 4) = "#N/A", "",  _xll.BDP($C1375, VOLUME_AVG_10D))</f>
        <v>49917.69921875</v>
      </c>
      <c r="Z1375" s="31" cm="1">
        <f t="array" ref="Z1375">IF(LEFT(_xll.BDP($C1375, VOLUME_AVG_30D), 4) = "#N/A", "",  _xll.BDP($C1375, VOLUME_AVG_30D))</f>
        <v>51443.8984375</v>
      </c>
      <c r="AA1375" s="31" cm="1">
        <f t="array" ref="AA1375">IF(LEFT(_xll.BDP($C1375, VOLUME_AVG_3M), 4) = "#N/A", "",  _xll.BDP($C1375, VOLUME_AVG_3M))</f>
        <v>312092.40625</v>
      </c>
      <c r="AB1375" s="31" cm="1">
        <f t="array" ref="AB1375">IF(LEFT(_xll.BDP($C1375, VOLUME_AVG_6M), 4) = "#N/A", "",  _xll.BDP($C1375, VOLUME_AVG_6M))</f>
        <v>240980.609375</v>
      </c>
      <c r="AC1375" s="31" cm="1">
        <f t="array" ref="AC1375">IF(LEFT(_xll.BDP($C1375, VOLUME_AVG_12M), 4) = "#N/A", "",  _xll.BDP($C1375, VOLUME_AVG_12M))</f>
        <v>192942.546875</v>
      </c>
      <c r="AD1375" s="41" cm="1">
        <f t="array" ref="AD1375">IF(LEFT(_xll.BDP($C1375, LAST_PRICE), 4) = "#N/A", "",  _xll.BDP($C1375, LAST_PRICE))</f>
        <v>2.54</v>
      </c>
    </row>
    <row r="1376" spans="1:30" x14ac:dyDescent="0.35">
      <c r="A1376" s="1">
        <f t="shared" si="21"/>
        <v>1373</v>
      </c>
      <c r="B1376" s="28">
        <v>45700</v>
      </c>
      <c r="C1376" s="29" t="s">
        <v>2793</v>
      </c>
      <c r="D1376" s="29" t="s">
        <v>2793</v>
      </c>
      <c r="E1376" s="29" t="s">
        <v>2794</v>
      </c>
      <c r="F1376" s="29" t="s">
        <v>33</v>
      </c>
      <c r="G1376" s="30" t="s">
        <v>34</v>
      </c>
      <c r="H1376" s="31">
        <v>248145157.28618899</v>
      </c>
      <c r="I1376" s="31">
        <v>143495157.28618899</v>
      </c>
      <c r="J1376" s="32">
        <v>3.7999999523162802</v>
      </c>
      <c r="K1376" s="33">
        <v>45700</v>
      </c>
      <c r="L1376" s="31"/>
      <c r="M1376" s="32"/>
      <c r="N1376" s="31"/>
      <c r="O1376" s="33">
        <v>45699</v>
      </c>
      <c r="P1376" s="34">
        <v>85830.1015625</v>
      </c>
      <c r="Q1376" s="34">
        <v>54073.91796875</v>
      </c>
      <c r="R1376" s="34">
        <v>48391.3984375</v>
      </c>
      <c r="S1376" s="29"/>
      <c r="T1376" s="33"/>
      <c r="U1376" s="35" t="b">
        <v>0</v>
      </c>
      <c r="V1376" s="35" t="b">
        <v>0</v>
      </c>
      <c r="W1376" s="35" t="b">
        <v>0</v>
      </c>
      <c r="Y1376" s="31" cm="1">
        <f t="array" ref="Y1376">IF(LEFT(_xll.BDP($C1376, VOLUME_AVG_10D), 4) = "#N/A", "",  _xll.BDP($C1376, VOLUME_AVG_10D))</f>
        <v>75896.703125</v>
      </c>
      <c r="Z1376" s="31" cm="1">
        <f t="array" ref="Z1376">IF(LEFT(_xll.BDP($C1376, VOLUME_AVG_30D), 4) = "#N/A", "",  _xll.BDP($C1376, VOLUME_AVG_30D))</f>
        <v>85830.1015625</v>
      </c>
      <c r="AA1376" s="31" cm="1">
        <f t="array" ref="AA1376">IF(LEFT(_xll.BDP($C1376, VOLUME_AVG_3M), 4) = "#N/A", "",  _xll.BDP($C1376, VOLUME_AVG_3M))</f>
        <v>54073.91796875</v>
      </c>
      <c r="AB1376" s="31" cm="1">
        <f t="array" ref="AB1376">IF(LEFT(_xll.BDP($C1376, VOLUME_AVG_6M), 4) = "#N/A", "",  _xll.BDP($C1376, VOLUME_AVG_6M))</f>
        <v>48391.3984375</v>
      </c>
      <c r="AC1376" s="31" cm="1">
        <f t="array" ref="AC1376">IF(LEFT(_xll.BDP($C1376, VOLUME_AVG_12M), 4) = "#N/A", "",  _xll.BDP($C1376, VOLUME_AVG_12M))</f>
        <v>66958.09375</v>
      </c>
      <c r="AD1376" s="41" cm="1">
        <f t="array" ref="AD1376">IF(LEFT(_xll.BDP($C1376, LAST_PRICE), 4) = "#N/A", "",  _xll.BDP($C1376, LAST_PRICE))</f>
        <v>3.8</v>
      </c>
    </row>
    <row r="1377" spans="1:30" x14ac:dyDescent="0.35">
      <c r="A1377" s="1">
        <f t="shared" si="21"/>
        <v>1374</v>
      </c>
      <c r="B1377" s="28">
        <v>45700</v>
      </c>
      <c r="C1377" s="29" t="s">
        <v>2795</v>
      </c>
      <c r="D1377" s="29" t="s">
        <v>2795</v>
      </c>
      <c r="E1377" s="29" t="s">
        <v>2796</v>
      </c>
      <c r="F1377" s="29" t="s">
        <v>33</v>
      </c>
      <c r="G1377" s="30" t="s">
        <v>34</v>
      </c>
      <c r="H1377" s="31">
        <v>2067304.28129215</v>
      </c>
      <c r="I1377" s="31">
        <v>136189304.28129199</v>
      </c>
      <c r="J1377" s="32">
        <v>3.74999991618097E-3</v>
      </c>
      <c r="K1377" s="33">
        <v>45700</v>
      </c>
      <c r="L1377" s="31"/>
      <c r="M1377" s="32"/>
      <c r="N1377" s="31"/>
      <c r="O1377" s="33">
        <v>45699</v>
      </c>
      <c r="P1377" s="34">
        <v>187931.171875</v>
      </c>
      <c r="Q1377" s="34">
        <v>278193.28125</v>
      </c>
      <c r="R1377" s="34">
        <v>231585.9375</v>
      </c>
      <c r="S1377" s="29"/>
      <c r="T1377" s="33"/>
      <c r="U1377" s="35" t="b">
        <v>1</v>
      </c>
      <c r="V1377" s="35" t="b">
        <v>1</v>
      </c>
      <c r="W1377" s="35" t="b">
        <v>0</v>
      </c>
      <c r="Y1377" s="31" cm="1">
        <f t="array" ref="Y1377">IF(LEFT(_xll.BDP($C1377, VOLUME_AVG_10D), 4) = "#N/A", "",  _xll.BDP($C1377, VOLUME_AVG_10D))</f>
        <v>89269.8984375</v>
      </c>
      <c r="Z1377" s="31" cm="1">
        <f t="array" ref="Z1377">IF(LEFT(_xll.BDP($C1377, VOLUME_AVG_30D), 4) = "#N/A", "",  _xll.BDP($C1377, VOLUME_AVG_30D))</f>
        <v>187931.171875</v>
      </c>
      <c r="AA1377" s="31" cm="1">
        <f t="array" ref="AA1377">IF(LEFT(_xll.BDP($C1377, VOLUME_AVG_3M), 4) = "#N/A", "",  _xll.BDP($C1377, VOLUME_AVG_3M))</f>
        <v>278193.28125</v>
      </c>
      <c r="AB1377" s="31" cm="1">
        <f t="array" ref="AB1377">IF(LEFT(_xll.BDP($C1377, VOLUME_AVG_6M), 4) = "#N/A", "",  _xll.BDP($C1377, VOLUME_AVG_6M))</f>
        <v>231585.9375</v>
      </c>
      <c r="AC1377" s="31" cm="1">
        <f t="array" ref="AC1377">IF(LEFT(_xll.BDP($C1377, VOLUME_AVG_12M), 4) = "#N/A", "",  _xll.BDP($C1377, VOLUME_AVG_12M))</f>
        <v>193760.109375</v>
      </c>
      <c r="AD1377" s="41" cm="1">
        <f t="array" ref="AD1377">IF(LEFT(_xll.BDP($C1377, LAST_PRICE), 4) = "#N/A", "",  _xll.BDP($C1377, LAST_PRICE))</f>
        <v>3.7000000000000002E-3</v>
      </c>
    </row>
    <row r="1378" spans="1:30" x14ac:dyDescent="0.35">
      <c r="A1378" s="1">
        <f t="shared" si="21"/>
        <v>1375</v>
      </c>
      <c r="B1378" s="28">
        <v>45700</v>
      </c>
      <c r="C1378" s="29" t="s">
        <v>2797</v>
      </c>
      <c r="D1378" s="29" t="s">
        <v>2797</v>
      </c>
      <c r="E1378" s="29" t="s">
        <v>2798</v>
      </c>
      <c r="F1378" s="29" t="s">
        <v>33</v>
      </c>
      <c r="G1378" s="30" t="s">
        <v>34</v>
      </c>
      <c r="H1378" s="31">
        <v>3792570695.5524001</v>
      </c>
      <c r="I1378" s="31">
        <v>5843438695.5523996</v>
      </c>
      <c r="J1378" s="32">
        <v>13.3900003433228</v>
      </c>
      <c r="K1378" s="33">
        <v>45700</v>
      </c>
      <c r="L1378" s="31">
        <v>42603600</v>
      </c>
      <c r="M1378" s="32">
        <v>3.88</v>
      </c>
      <c r="N1378" s="31" t="s">
        <v>35</v>
      </c>
      <c r="O1378" s="33">
        <v>45699</v>
      </c>
      <c r="P1378" s="34">
        <v>864828.25</v>
      </c>
      <c r="Q1378" s="34">
        <v>1209318.125</v>
      </c>
      <c r="R1378" s="34">
        <v>1218296.375</v>
      </c>
      <c r="S1378" s="29"/>
      <c r="T1378" s="33"/>
      <c r="U1378" s="35" t="b">
        <v>0</v>
      </c>
      <c r="V1378" s="35" t="b">
        <v>0</v>
      </c>
      <c r="W1378" s="35" t="b">
        <v>0</v>
      </c>
      <c r="Y1378" s="31" cm="1">
        <f t="array" ref="Y1378">IF(LEFT(_xll.BDP($C1378, VOLUME_AVG_10D), 4) = "#N/A", "",  _xll.BDP($C1378, VOLUME_AVG_10D))</f>
        <v>798209.1875</v>
      </c>
      <c r="Z1378" s="31" cm="1">
        <f t="array" ref="Z1378">IF(LEFT(_xll.BDP($C1378, VOLUME_AVG_30D), 4) = "#N/A", "",  _xll.BDP($C1378, VOLUME_AVG_30D))</f>
        <v>864828.25</v>
      </c>
      <c r="AA1378" s="31" cm="1">
        <f t="array" ref="AA1378">IF(LEFT(_xll.BDP($C1378, VOLUME_AVG_3M), 4) = "#N/A", "",  _xll.BDP($C1378, VOLUME_AVG_3M))</f>
        <v>1209318.125</v>
      </c>
      <c r="AB1378" s="31" cm="1">
        <f t="array" ref="AB1378">IF(LEFT(_xll.BDP($C1378, VOLUME_AVG_6M), 4) = "#N/A", "",  _xll.BDP($C1378, VOLUME_AVG_6M))</f>
        <v>1218296.375</v>
      </c>
      <c r="AC1378" s="31" cm="1">
        <f t="array" ref="AC1378">IF(LEFT(_xll.BDP($C1378, VOLUME_AVG_12M), 4) = "#N/A", "",  _xll.BDP($C1378, VOLUME_AVG_12M))</f>
        <v>1351076.375</v>
      </c>
      <c r="AD1378" s="41" cm="1">
        <f t="array" ref="AD1378">IF(LEFT(_xll.BDP($C1378, LAST_PRICE), 4) = "#N/A", "",  _xll.BDP($C1378, LAST_PRICE))</f>
        <v>13.39</v>
      </c>
    </row>
    <row r="1379" spans="1:30" x14ac:dyDescent="0.35">
      <c r="A1379" s="1">
        <f t="shared" si="21"/>
        <v>1376</v>
      </c>
      <c r="B1379" s="28">
        <v>45700</v>
      </c>
      <c r="C1379" s="29" t="s">
        <v>2799</v>
      </c>
      <c r="D1379" s="29" t="s">
        <v>2799</v>
      </c>
      <c r="E1379" s="29" t="s">
        <v>2800</v>
      </c>
      <c r="F1379" s="29" t="s">
        <v>33</v>
      </c>
      <c r="G1379" s="30" t="s">
        <v>34</v>
      </c>
      <c r="H1379" s="31"/>
      <c r="I1379" s="31"/>
      <c r="J1379" s="32"/>
      <c r="K1379" s="33">
        <v>45700</v>
      </c>
      <c r="L1379" s="31"/>
      <c r="M1379" s="32"/>
      <c r="N1379" s="31"/>
      <c r="O1379" s="33">
        <v>45699</v>
      </c>
      <c r="P1379" s="34"/>
      <c r="Q1379" s="34"/>
      <c r="R1379" s="34">
        <v>127.182540893555</v>
      </c>
      <c r="S1379" s="29"/>
      <c r="T1379" s="33"/>
      <c r="U1379" s="35" t="b">
        <v>1</v>
      </c>
      <c r="V1379" s="35" t="b">
        <v>1</v>
      </c>
      <c r="W1379" s="35" t="b">
        <v>1</v>
      </c>
      <c r="Y1379" s="31" cm="1">
        <f t="array" ref="Y1379">IF(LEFT(_xll.BDP($C1379, VOLUME_AVG_10D), 4) = "#N/A", "",  _xll.BDP($C1379, VOLUME_AVG_10D))</f>
        <v>0</v>
      </c>
      <c r="Z1379" s="31" cm="1">
        <f t="array" ref="Z1379">IF(LEFT(_xll.BDP($C1379, VOLUME_AVG_30D), 4) = "#N/A", "",  _xll.BDP($C1379, VOLUME_AVG_30D))</f>
        <v>0</v>
      </c>
      <c r="AA1379" s="31" cm="1">
        <f t="array" ref="AA1379">IF(LEFT(_xll.BDP($C1379, VOLUME_AVG_3M), 4) = "#N/A", "",  _xll.BDP($C1379, VOLUME_AVG_3M))</f>
        <v>0</v>
      </c>
      <c r="AB1379" s="31" cm="1">
        <f t="array" ref="AB1379">IF(LEFT(_xll.BDP($C1379, VOLUME_AVG_6M), 4) = "#N/A", "",  _xll.BDP($C1379, VOLUME_AVG_6M))</f>
        <v>127.18254089355469</v>
      </c>
      <c r="AC1379" s="31" cm="1">
        <f t="array" ref="AC1379">IF(LEFT(_xll.BDP($C1379, VOLUME_AVG_12M), 4) = "#N/A", "",  _xll.BDP($C1379, VOLUME_AVG_12M))</f>
        <v>2304.62548828125</v>
      </c>
      <c r="AD1379" s="41" t="str" cm="1">
        <f t="array" ref="AD1379">IF(LEFT(_xll.BDP($C1379, LAST_PRICE), 4) = "#N/A", "",  _xll.BDP($C1379, LAST_PRICE))</f>
        <v/>
      </c>
    </row>
    <row r="1380" spans="1:30" x14ac:dyDescent="0.35">
      <c r="A1380" s="1">
        <f t="shared" si="21"/>
        <v>1377</v>
      </c>
      <c r="B1380" s="28">
        <v>45700</v>
      </c>
      <c r="C1380" s="29" t="s">
        <v>2801</v>
      </c>
      <c r="D1380" s="29" t="s">
        <v>2801</v>
      </c>
      <c r="E1380" s="29" t="s">
        <v>2802</v>
      </c>
      <c r="F1380" s="29" t="s">
        <v>33</v>
      </c>
      <c r="G1380" s="30" t="s">
        <v>34</v>
      </c>
      <c r="H1380" s="31">
        <v>45441225.031526998</v>
      </c>
      <c r="I1380" s="31">
        <v>41940225.031526998</v>
      </c>
      <c r="J1380" s="32">
        <v>2.1800000667571999</v>
      </c>
      <c r="K1380" s="33">
        <v>45700</v>
      </c>
      <c r="L1380" s="31">
        <v>270000</v>
      </c>
      <c r="M1380" s="32">
        <v>-46.4</v>
      </c>
      <c r="N1380" s="31" t="s">
        <v>35</v>
      </c>
      <c r="O1380" s="33">
        <v>45699</v>
      </c>
      <c r="P1380" s="34">
        <v>1371142</v>
      </c>
      <c r="Q1380" s="34">
        <v>2600773</v>
      </c>
      <c r="R1380" s="34">
        <v>1397493.125</v>
      </c>
      <c r="S1380" s="29"/>
      <c r="T1380" s="33"/>
      <c r="U1380" s="35" t="b">
        <v>0</v>
      </c>
      <c r="V1380" s="35" t="b">
        <v>0</v>
      </c>
      <c r="W1380" s="35" t="b">
        <v>0</v>
      </c>
      <c r="Y1380" s="31" cm="1">
        <f t="array" ref="Y1380">IF(LEFT(_xll.BDP($C1380, VOLUME_AVG_10D), 4) = "#N/A", "",  _xll.BDP($C1380, VOLUME_AVG_10D))</f>
        <v>612178.875</v>
      </c>
      <c r="Z1380" s="31" cm="1">
        <f t="array" ref="Z1380">IF(LEFT(_xll.BDP($C1380, VOLUME_AVG_30D), 4) = "#N/A", "",  _xll.BDP($C1380, VOLUME_AVG_30D))</f>
        <v>1371142</v>
      </c>
      <c r="AA1380" s="31" cm="1">
        <f t="array" ref="AA1380">IF(LEFT(_xll.BDP($C1380, VOLUME_AVG_3M), 4) = "#N/A", "",  _xll.BDP($C1380, VOLUME_AVG_3M))</f>
        <v>2600773</v>
      </c>
      <c r="AB1380" s="31" cm="1">
        <f t="array" ref="AB1380">IF(LEFT(_xll.BDP($C1380, VOLUME_AVG_6M), 4) = "#N/A", "",  _xll.BDP($C1380, VOLUME_AVG_6M))</f>
        <v>1397493.125</v>
      </c>
      <c r="AC1380" s="31" cm="1">
        <f t="array" ref="AC1380">IF(LEFT(_xll.BDP($C1380, VOLUME_AVG_12M), 4) = "#N/A", "",  _xll.BDP($C1380, VOLUME_AVG_12M))</f>
        <v>1056197.875</v>
      </c>
      <c r="AD1380" s="41" cm="1">
        <f t="array" ref="AD1380">IF(LEFT(_xll.BDP($C1380, LAST_PRICE), 4) = "#N/A", "",  _xll.BDP($C1380, LAST_PRICE))</f>
        <v>2.1800000000000002</v>
      </c>
    </row>
    <row r="1381" spans="1:30" x14ac:dyDescent="0.35">
      <c r="A1381" s="1">
        <f t="shared" si="21"/>
        <v>1378</v>
      </c>
      <c r="B1381" s="28">
        <v>45700</v>
      </c>
      <c r="C1381" s="29" t="s">
        <v>2803</v>
      </c>
      <c r="D1381" s="29" t="s">
        <v>2803</v>
      </c>
      <c r="E1381" s="29" t="s">
        <v>2804</v>
      </c>
      <c r="F1381" s="29" t="s">
        <v>40</v>
      </c>
      <c r="G1381" s="30" t="s">
        <v>41</v>
      </c>
      <c r="H1381" s="31">
        <v>173432890.337176</v>
      </c>
      <c r="I1381" s="31">
        <v>181093890.337176</v>
      </c>
      <c r="J1381" s="32">
        <v>0.61000001430511497</v>
      </c>
      <c r="K1381" s="33">
        <v>45700</v>
      </c>
      <c r="L1381" s="31">
        <v>744000</v>
      </c>
      <c r="M1381" s="32">
        <v>-1.75</v>
      </c>
      <c r="N1381" s="31" t="s">
        <v>35</v>
      </c>
      <c r="O1381" s="33">
        <v>45699</v>
      </c>
      <c r="P1381" s="34">
        <v>60696.37</v>
      </c>
      <c r="Q1381" s="34">
        <v>86571.91</v>
      </c>
      <c r="R1381" s="34">
        <v>108326.8</v>
      </c>
      <c r="S1381" s="29"/>
      <c r="T1381" s="33"/>
      <c r="U1381" s="35" t="b">
        <v>0</v>
      </c>
      <c r="V1381" s="35" t="b">
        <v>0</v>
      </c>
      <c r="W1381" s="35" t="b">
        <v>0</v>
      </c>
      <c r="Y1381" s="31" cm="1">
        <f t="array" ref="Y1381">IF(LEFT(_xll.BDP($C1381, VOLUME_AVG_10D), 4) = "#N/A", "",  _xll.BDP($C1381, VOLUME_AVG_10D))</f>
        <v>45199.5</v>
      </c>
      <c r="Z1381" s="31" cm="1">
        <f t="array" ref="Z1381">IF(LEFT(_xll.BDP($C1381, VOLUME_AVG_30D), 4) = "#N/A", "",  _xll.BDP($C1381, VOLUME_AVG_30D))</f>
        <v>60696.37</v>
      </c>
      <c r="AA1381" s="31" cm="1">
        <f t="array" ref="AA1381">IF(LEFT(_xll.BDP($C1381, VOLUME_AVG_3M), 4) = "#N/A", "",  _xll.BDP($C1381, VOLUME_AVG_3M))</f>
        <v>86571.91</v>
      </c>
      <c r="AB1381" s="31" cm="1">
        <f t="array" ref="AB1381">IF(LEFT(_xll.BDP($C1381, VOLUME_AVG_6M), 4) = "#N/A", "",  _xll.BDP($C1381, VOLUME_AVG_6M))</f>
        <v>108326.8</v>
      </c>
      <c r="AC1381" s="31" cm="1">
        <f t="array" ref="AC1381">IF(LEFT(_xll.BDP($C1381, VOLUME_AVG_12M), 4) = "#N/A", "",  _xll.BDP($C1381, VOLUME_AVG_12M))</f>
        <v>109755.4</v>
      </c>
      <c r="AD1381" s="41" cm="1">
        <f t="array" ref="AD1381">IF(LEFT(_xll.BDP($C1381, LAST_PRICE), 4) = "#N/A", "",  _xll.BDP($C1381, LAST_PRICE))</f>
        <v>0.61</v>
      </c>
    </row>
    <row r="1382" spans="1:30" x14ac:dyDescent="0.35">
      <c r="A1382" s="1">
        <f t="shared" si="21"/>
        <v>1379</v>
      </c>
      <c r="B1382" s="28">
        <v>45700</v>
      </c>
      <c r="C1382" s="29" t="s">
        <v>2805</v>
      </c>
      <c r="D1382" s="29" t="s">
        <v>2805</v>
      </c>
      <c r="E1382" s="29" t="s">
        <v>2806</v>
      </c>
      <c r="F1382" s="29" t="s">
        <v>33</v>
      </c>
      <c r="G1382" s="30" t="s">
        <v>34</v>
      </c>
      <c r="H1382" s="31"/>
      <c r="I1382" s="31"/>
      <c r="J1382" s="32">
        <v>9.9999999747524292E-7</v>
      </c>
      <c r="K1382" s="33">
        <v>45700</v>
      </c>
      <c r="L1382" s="31"/>
      <c r="M1382" s="32"/>
      <c r="N1382" s="31"/>
      <c r="O1382" s="33">
        <v>45699</v>
      </c>
      <c r="P1382" s="34">
        <v>806641.375</v>
      </c>
      <c r="Q1382" s="34">
        <v>1069397.375</v>
      </c>
      <c r="R1382" s="34">
        <v>742358.75</v>
      </c>
      <c r="S1382" s="29"/>
      <c r="T1382" s="33"/>
      <c r="U1382" s="35" t="b">
        <v>1</v>
      </c>
      <c r="V1382" s="35" t="b">
        <v>1</v>
      </c>
      <c r="W1382" s="35" t="b">
        <v>1</v>
      </c>
      <c r="Y1382" s="31" cm="1">
        <f t="array" ref="Y1382">IF(LEFT(_xll.BDP($C1382, VOLUME_AVG_10D), 4) = "#N/A", "",  _xll.BDP($C1382, VOLUME_AVG_10D))</f>
        <v>150038.203125</v>
      </c>
      <c r="Z1382" s="31" cm="1">
        <f t="array" ref="Z1382">IF(LEFT(_xll.BDP($C1382, VOLUME_AVG_30D), 4) = "#N/A", "",  _xll.BDP($C1382, VOLUME_AVG_30D))</f>
        <v>806641.375</v>
      </c>
      <c r="AA1382" s="31" cm="1">
        <f t="array" ref="AA1382">IF(LEFT(_xll.BDP($C1382, VOLUME_AVG_3M), 4) = "#N/A", "",  _xll.BDP($C1382, VOLUME_AVG_3M))</f>
        <v>1069397.375</v>
      </c>
      <c r="AB1382" s="31" cm="1">
        <f t="array" ref="AB1382">IF(LEFT(_xll.BDP($C1382, VOLUME_AVG_6M), 4) = "#N/A", "",  _xll.BDP($C1382, VOLUME_AVG_6M))</f>
        <v>742358.75</v>
      </c>
      <c r="AC1382" s="31" cm="1">
        <f t="array" ref="AC1382">IF(LEFT(_xll.BDP($C1382, VOLUME_AVG_12M), 4) = "#N/A", "",  _xll.BDP($C1382, VOLUME_AVG_12M))</f>
        <v>500708.6875</v>
      </c>
      <c r="AD1382" s="41" cm="1">
        <f t="array" ref="AD1382">IF(LEFT(_xll.BDP($C1382, LAST_PRICE), 4) = "#N/A", "",  _xll.BDP($C1382, LAST_PRICE))</f>
        <v>9.9999999999999995E-7</v>
      </c>
    </row>
    <row r="1383" spans="1:30" x14ac:dyDescent="0.35">
      <c r="A1383" s="1">
        <f t="shared" si="21"/>
        <v>1380</v>
      </c>
      <c r="B1383" s="28">
        <v>45700</v>
      </c>
      <c r="C1383" s="29" t="s">
        <v>2807</v>
      </c>
      <c r="D1383" s="29" t="s">
        <v>2807</v>
      </c>
      <c r="E1383" s="29" t="s">
        <v>2808</v>
      </c>
      <c r="F1383" s="29" t="s">
        <v>33</v>
      </c>
      <c r="G1383" s="30" t="s">
        <v>34</v>
      </c>
      <c r="H1383" s="31"/>
      <c r="I1383" s="31"/>
      <c r="J1383" s="32">
        <v>9.9999999747524292E-7</v>
      </c>
      <c r="K1383" s="33">
        <v>45700</v>
      </c>
      <c r="L1383" s="31"/>
      <c r="M1383" s="32"/>
      <c r="N1383" s="31"/>
      <c r="O1383" s="33">
        <v>45699</v>
      </c>
      <c r="P1383" s="34">
        <v>847.066650390625</v>
      </c>
      <c r="Q1383" s="34">
        <v>409.87097167968801</v>
      </c>
      <c r="R1383" s="34">
        <v>203.67460632324199</v>
      </c>
      <c r="S1383" s="29"/>
      <c r="T1383" s="33"/>
      <c r="U1383" s="35" t="b">
        <v>1</v>
      </c>
      <c r="V1383" s="35" t="b">
        <v>1</v>
      </c>
      <c r="W1383" s="35" t="b">
        <v>1</v>
      </c>
      <c r="Y1383" s="31" cm="1">
        <f t="array" ref="Y1383">IF(LEFT(_xll.BDP($C1383, VOLUME_AVG_10D), 4) = "#N/A", "",  _xll.BDP($C1383, VOLUME_AVG_10D))</f>
        <v>2541.199951171875</v>
      </c>
      <c r="Z1383" s="31" cm="1">
        <f t="array" ref="Z1383">IF(LEFT(_xll.BDP($C1383, VOLUME_AVG_30D), 4) = "#N/A", "",  _xll.BDP($C1383, VOLUME_AVG_30D))</f>
        <v>847.066650390625</v>
      </c>
      <c r="AA1383" s="31" cm="1">
        <f t="array" ref="AA1383">IF(LEFT(_xll.BDP($C1383, VOLUME_AVG_3M), 4) = "#N/A", "",  _xll.BDP($C1383, VOLUME_AVG_3M))</f>
        <v>409.8709716796875</v>
      </c>
      <c r="AB1383" s="31" cm="1">
        <f t="array" ref="AB1383">IF(LEFT(_xll.BDP($C1383, VOLUME_AVG_6M), 4) = "#N/A", "",  _xll.BDP($C1383, VOLUME_AVG_6M))</f>
        <v>203.67460632324219</v>
      </c>
      <c r="AC1383" s="31" cm="1">
        <f t="array" ref="AC1383">IF(LEFT(_xll.BDP($C1383, VOLUME_AVG_12M), 4) = "#N/A", "",  _xll.BDP($C1383, VOLUME_AVG_12M))</f>
        <v>106.49402618408203</v>
      </c>
      <c r="AD1383" s="41" cm="1">
        <f t="array" ref="AD1383">IF(LEFT(_xll.BDP($C1383, LAST_PRICE), 4) = "#N/A", "",  _xll.BDP($C1383, LAST_PRICE))</f>
        <v>9.9999999999999995E-7</v>
      </c>
    </row>
    <row r="1384" spans="1:30" x14ac:dyDescent="0.35">
      <c r="A1384" s="1">
        <f t="shared" si="21"/>
        <v>1381</v>
      </c>
      <c r="B1384" s="28">
        <v>45700</v>
      </c>
      <c r="C1384" s="29" t="s">
        <v>2809</v>
      </c>
      <c r="D1384" s="29" t="s">
        <v>2809</v>
      </c>
      <c r="E1384" s="29" t="s">
        <v>2810</v>
      </c>
      <c r="F1384" s="29" t="s">
        <v>33</v>
      </c>
      <c r="G1384" s="30" t="s">
        <v>34</v>
      </c>
      <c r="H1384" s="31">
        <v>43963448.313191801</v>
      </c>
      <c r="I1384" s="31">
        <v>-27704551.686808199</v>
      </c>
      <c r="J1384" s="32">
        <v>0.80640000104904197</v>
      </c>
      <c r="K1384" s="33">
        <v>45700</v>
      </c>
      <c r="L1384" s="31">
        <v>3459600</v>
      </c>
      <c r="M1384" s="32">
        <v>3.65</v>
      </c>
      <c r="N1384" s="31" t="s">
        <v>35</v>
      </c>
      <c r="O1384" s="33">
        <v>45699</v>
      </c>
      <c r="P1384" s="34">
        <v>270836.4375</v>
      </c>
      <c r="Q1384" s="34">
        <v>262451.9375</v>
      </c>
      <c r="R1384" s="34">
        <v>235083.53125</v>
      </c>
      <c r="S1384" s="29"/>
      <c r="T1384" s="33"/>
      <c r="U1384" s="35" t="b">
        <v>0</v>
      </c>
      <c r="V1384" s="35" t="b">
        <v>0</v>
      </c>
      <c r="W1384" s="35" t="b">
        <v>1</v>
      </c>
      <c r="Y1384" s="31" cm="1">
        <f t="array" ref="Y1384">IF(LEFT(_xll.BDP($C1384, VOLUME_AVG_10D), 4) = "#N/A", "",  _xll.BDP($C1384, VOLUME_AVG_10D))</f>
        <v>345743.6875</v>
      </c>
      <c r="Z1384" s="31" cm="1">
        <f t="array" ref="Z1384">IF(LEFT(_xll.BDP($C1384, VOLUME_AVG_30D), 4) = "#N/A", "",  _xll.BDP($C1384, VOLUME_AVG_30D))</f>
        <v>270836.4375</v>
      </c>
      <c r="AA1384" s="31" cm="1">
        <f t="array" ref="AA1384">IF(LEFT(_xll.BDP($C1384, VOLUME_AVG_3M), 4) = "#N/A", "",  _xll.BDP($C1384, VOLUME_AVG_3M))</f>
        <v>262451.9375</v>
      </c>
      <c r="AB1384" s="31" cm="1">
        <f t="array" ref="AB1384">IF(LEFT(_xll.BDP($C1384, VOLUME_AVG_6M), 4) = "#N/A", "",  _xll.BDP($C1384, VOLUME_AVG_6M))</f>
        <v>235083.53125</v>
      </c>
      <c r="AC1384" s="31" cm="1">
        <f t="array" ref="AC1384">IF(LEFT(_xll.BDP($C1384, VOLUME_AVG_12M), 4) = "#N/A", "",  _xll.BDP($C1384, VOLUME_AVG_12M))</f>
        <v>231035.140625</v>
      </c>
      <c r="AD1384" s="41" cm="1">
        <f t="array" ref="AD1384">IF(LEFT(_xll.BDP($C1384, LAST_PRICE), 4) = "#N/A", "",  _xll.BDP($C1384, LAST_PRICE))</f>
        <v>0.80640000000000001</v>
      </c>
    </row>
    <row r="1385" spans="1:30" x14ac:dyDescent="0.35">
      <c r="A1385" s="1">
        <f t="shared" si="21"/>
        <v>1382</v>
      </c>
      <c r="B1385" s="28">
        <v>45700</v>
      </c>
      <c r="C1385" s="29" t="s">
        <v>2811</v>
      </c>
      <c r="D1385" s="29" t="s">
        <v>2811</v>
      </c>
      <c r="E1385" s="29" t="s">
        <v>2812</v>
      </c>
      <c r="F1385" s="29" t="s">
        <v>33</v>
      </c>
      <c r="G1385" s="30" t="s">
        <v>34</v>
      </c>
      <c r="H1385" s="31">
        <v>7.0400003343820599</v>
      </c>
      <c r="I1385" s="31">
        <v>2121007.0400003302</v>
      </c>
      <c r="J1385" s="32">
        <v>1.00000004749745E-3</v>
      </c>
      <c r="K1385" s="33">
        <v>45700</v>
      </c>
      <c r="L1385" s="31"/>
      <c r="M1385" s="32"/>
      <c r="N1385" s="31"/>
      <c r="O1385" s="33">
        <v>45699</v>
      </c>
      <c r="P1385" s="34">
        <v>2279671.25</v>
      </c>
      <c r="Q1385" s="34">
        <v>1836396</v>
      </c>
      <c r="R1385" s="34">
        <v>2282373.75</v>
      </c>
      <c r="S1385" s="29"/>
      <c r="T1385" s="33"/>
      <c r="U1385" s="35" t="b">
        <v>1</v>
      </c>
      <c r="V1385" s="35" t="b">
        <v>1</v>
      </c>
      <c r="W1385" s="35" t="b">
        <v>0</v>
      </c>
      <c r="Y1385" s="31" cm="1">
        <f t="array" ref="Y1385">IF(LEFT(_xll.BDP($C1385, VOLUME_AVG_10D), 4) = "#N/A", "",  _xll.BDP($C1385, VOLUME_AVG_10D))</f>
        <v>4199346.5</v>
      </c>
      <c r="Z1385" s="31" cm="1">
        <f t="array" ref="Z1385">IF(LEFT(_xll.BDP($C1385, VOLUME_AVG_30D), 4) = "#N/A", "",  _xll.BDP($C1385, VOLUME_AVG_30D))</f>
        <v>2279671.25</v>
      </c>
      <c r="AA1385" s="31" cm="1">
        <f t="array" ref="AA1385">IF(LEFT(_xll.BDP($C1385, VOLUME_AVG_3M), 4) = "#N/A", "",  _xll.BDP($C1385, VOLUME_AVG_3M))</f>
        <v>1836396</v>
      </c>
      <c r="AB1385" s="31" cm="1">
        <f t="array" ref="AB1385">IF(LEFT(_xll.BDP($C1385, VOLUME_AVG_6M), 4) = "#N/A", "",  _xll.BDP($C1385, VOLUME_AVG_6M))</f>
        <v>2282373.75</v>
      </c>
      <c r="AC1385" s="31" cm="1">
        <f t="array" ref="AC1385">IF(LEFT(_xll.BDP($C1385, VOLUME_AVG_12M), 4) = "#N/A", "",  _xll.BDP($C1385, VOLUME_AVG_12M))</f>
        <v>2342686.75</v>
      </c>
      <c r="AD1385" s="41" cm="1">
        <f t="array" ref="AD1385">IF(LEFT(_xll.BDP($C1385, LAST_PRICE), 4) = "#N/A", "",  _xll.BDP($C1385, LAST_PRICE))</f>
        <v>1E-3</v>
      </c>
    </row>
    <row r="1386" spans="1:30" x14ac:dyDescent="0.35">
      <c r="A1386" s="1">
        <f t="shared" si="21"/>
        <v>1383</v>
      </c>
      <c r="B1386" s="28">
        <v>45700</v>
      </c>
      <c r="C1386" s="29" t="s">
        <v>2813</v>
      </c>
      <c r="D1386" s="29" t="s">
        <v>2813</v>
      </c>
      <c r="E1386" s="29" t="s">
        <v>2814</v>
      </c>
      <c r="F1386" s="29" t="s">
        <v>33</v>
      </c>
      <c r="G1386" s="30" t="s">
        <v>34</v>
      </c>
      <c r="H1386" s="31">
        <v>4409625879.0362902</v>
      </c>
      <c r="I1386" s="31">
        <v>3918412879.0362902</v>
      </c>
      <c r="J1386" s="32">
        <v>59.279998779296903</v>
      </c>
      <c r="K1386" s="33">
        <v>45700</v>
      </c>
      <c r="L1386" s="31">
        <v>21273900</v>
      </c>
      <c r="M1386" s="32">
        <v>3.88</v>
      </c>
      <c r="N1386" s="31" t="s">
        <v>35</v>
      </c>
      <c r="O1386" s="33">
        <v>45699</v>
      </c>
      <c r="P1386" s="34">
        <v>2346575.5</v>
      </c>
      <c r="Q1386" s="34">
        <v>1822999.125</v>
      </c>
      <c r="R1386" s="34">
        <v>1338223.875</v>
      </c>
      <c r="S1386" s="29" t="s">
        <v>46</v>
      </c>
      <c r="T1386" s="33">
        <v>45446</v>
      </c>
      <c r="U1386" s="35" t="b">
        <v>0</v>
      </c>
      <c r="V1386" s="35" t="b">
        <v>0</v>
      </c>
      <c r="W1386" s="35" t="b">
        <v>0</v>
      </c>
      <c r="Y1386" s="31" cm="1">
        <f t="array" ref="Y1386">IF(LEFT(_xll.BDP($C1386, VOLUME_AVG_10D), 4) = "#N/A", "",  _xll.BDP($C1386, VOLUME_AVG_10D))</f>
        <v>3635982.5</v>
      </c>
      <c r="Z1386" s="31" cm="1">
        <f t="array" ref="Z1386">IF(LEFT(_xll.BDP($C1386, VOLUME_AVG_30D), 4) = "#N/A", "",  _xll.BDP($C1386, VOLUME_AVG_30D))</f>
        <v>2346575.5</v>
      </c>
      <c r="AA1386" s="31" cm="1">
        <f t="array" ref="AA1386">IF(LEFT(_xll.BDP($C1386, VOLUME_AVG_3M), 4) = "#N/A", "",  _xll.BDP($C1386, VOLUME_AVG_3M))</f>
        <v>1822999.125</v>
      </c>
      <c r="AB1386" s="31" cm="1">
        <f t="array" ref="AB1386">IF(LEFT(_xll.BDP($C1386, VOLUME_AVG_6M), 4) = "#N/A", "",  _xll.BDP($C1386, VOLUME_AVG_6M))</f>
        <v>1338223.875</v>
      </c>
      <c r="AC1386" s="31" cm="1">
        <f t="array" ref="AC1386">IF(LEFT(_xll.BDP($C1386, VOLUME_AVG_12M), 4) = "#N/A", "",  _xll.BDP($C1386, VOLUME_AVG_12M))</f>
        <v>1153595.75</v>
      </c>
      <c r="AD1386" s="41" cm="1">
        <f t="array" ref="AD1386">IF(LEFT(_xll.BDP($C1386, LAST_PRICE), 4) = "#N/A", "",  _xll.BDP($C1386, LAST_PRICE))</f>
        <v>59.28</v>
      </c>
    </row>
    <row r="1387" spans="1:30" x14ac:dyDescent="0.35">
      <c r="A1387" s="1">
        <f t="shared" si="21"/>
        <v>1384</v>
      </c>
      <c r="B1387" s="28">
        <v>45700</v>
      </c>
      <c r="C1387" s="29" t="s">
        <v>2815</v>
      </c>
      <c r="D1387" s="29" t="s">
        <v>2815</v>
      </c>
      <c r="E1387" s="29" t="s">
        <v>2816</v>
      </c>
      <c r="F1387" s="29" t="s">
        <v>40</v>
      </c>
      <c r="G1387" s="30" t="s">
        <v>41</v>
      </c>
      <c r="H1387" s="31"/>
      <c r="I1387" s="31"/>
      <c r="J1387" s="32"/>
      <c r="K1387" s="33">
        <v>45700</v>
      </c>
      <c r="L1387" s="31"/>
      <c r="M1387" s="32"/>
      <c r="N1387" s="31"/>
      <c r="O1387" s="33">
        <v>45699</v>
      </c>
      <c r="P1387" s="34"/>
      <c r="Q1387" s="34"/>
      <c r="R1387" s="34"/>
      <c r="S1387" s="29"/>
      <c r="T1387" s="33"/>
      <c r="U1387" s="35" t="b">
        <v>1</v>
      </c>
      <c r="V1387" s="35" t="b">
        <v>1</v>
      </c>
      <c r="W1387" s="35" t="b">
        <v>1</v>
      </c>
      <c r="Y1387" s="31" t="str" cm="1">
        <f t="array" ref="Y1387">IF(LEFT(_xll.BDP($C1387, VOLUME_AVG_10D), 4) = "#N/A", "",  _xll.BDP($C1387, VOLUME_AVG_10D))</f>
        <v/>
      </c>
      <c r="Z1387" s="31" t="str" cm="1">
        <f t="array" ref="Z1387">IF(LEFT(_xll.BDP($C1387, VOLUME_AVG_30D), 4) = "#N/A", "",  _xll.BDP($C1387, VOLUME_AVG_30D))</f>
        <v/>
      </c>
      <c r="AA1387" s="31" t="str" cm="1">
        <f t="array" ref="AA1387">IF(LEFT(_xll.BDP($C1387, VOLUME_AVG_3M), 4) = "#N/A", "",  _xll.BDP($C1387, VOLUME_AVG_3M))</f>
        <v/>
      </c>
      <c r="AB1387" s="31" t="str" cm="1">
        <f t="array" ref="AB1387">IF(LEFT(_xll.BDP($C1387, VOLUME_AVG_6M), 4) = "#N/A", "",  _xll.BDP($C1387, VOLUME_AVG_6M))</f>
        <v/>
      </c>
      <c r="AC1387" s="31" t="str" cm="1">
        <f t="array" ref="AC1387">IF(LEFT(_xll.BDP($C1387, VOLUME_AVG_12M), 4) = "#N/A", "",  _xll.BDP($C1387, VOLUME_AVG_12M))</f>
        <v/>
      </c>
      <c r="AD1387" s="41" t="str" cm="1">
        <f t="array" ref="AD1387">IF(LEFT(_xll.BDP($C1387, LAST_PRICE), 4) = "#N/A", "",  _xll.BDP($C1387, LAST_PRICE))</f>
        <v/>
      </c>
    </row>
    <row r="1388" spans="1:30" x14ac:dyDescent="0.35">
      <c r="A1388" s="1">
        <f t="shared" si="21"/>
        <v>1385</v>
      </c>
      <c r="B1388" s="28">
        <v>45700</v>
      </c>
      <c r="C1388" s="29" t="s">
        <v>2817</v>
      </c>
      <c r="D1388" s="29" t="s">
        <v>2817</v>
      </c>
      <c r="E1388" s="29" t="s">
        <v>2818</v>
      </c>
      <c r="F1388" s="29" t="s">
        <v>33</v>
      </c>
      <c r="G1388" s="30" t="s">
        <v>34</v>
      </c>
      <c r="H1388" s="31">
        <v>16950586.761553898</v>
      </c>
      <c r="I1388" s="31">
        <v>-40149413.238446102</v>
      </c>
      <c r="J1388" s="32">
        <v>0.41040000319480902</v>
      </c>
      <c r="K1388" s="33">
        <v>45700</v>
      </c>
      <c r="L1388" s="31">
        <v>2283700</v>
      </c>
      <c r="M1388" s="32">
        <v>-1.75</v>
      </c>
      <c r="N1388" s="31" t="s">
        <v>35</v>
      </c>
      <c r="O1388" s="33">
        <v>45699</v>
      </c>
      <c r="P1388" s="34">
        <v>482360.375</v>
      </c>
      <c r="Q1388" s="34">
        <v>586697.25</v>
      </c>
      <c r="R1388" s="34">
        <v>495072.65625</v>
      </c>
      <c r="S1388" s="29"/>
      <c r="T1388" s="33"/>
      <c r="U1388" s="35" t="b">
        <v>1</v>
      </c>
      <c r="V1388" s="35" t="b">
        <v>0</v>
      </c>
      <c r="W1388" s="35" t="b">
        <v>1</v>
      </c>
      <c r="Y1388" s="31" cm="1">
        <f t="array" ref="Y1388">IF(LEFT(_xll.BDP($C1388, VOLUME_AVG_10D), 4) = "#N/A", "",  _xll.BDP($C1388, VOLUME_AVG_10D))</f>
        <v>446859.59375</v>
      </c>
      <c r="Z1388" s="31" cm="1">
        <f t="array" ref="Z1388">IF(LEFT(_xll.BDP($C1388, VOLUME_AVG_30D), 4) = "#N/A", "",  _xll.BDP($C1388, VOLUME_AVG_30D))</f>
        <v>482360.375</v>
      </c>
      <c r="AA1388" s="31" cm="1">
        <f t="array" ref="AA1388">IF(LEFT(_xll.BDP($C1388, VOLUME_AVG_3M), 4) = "#N/A", "",  _xll.BDP($C1388, VOLUME_AVG_3M))</f>
        <v>586697.25</v>
      </c>
      <c r="AB1388" s="31" cm="1">
        <f t="array" ref="AB1388">IF(LEFT(_xll.BDP($C1388, VOLUME_AVG_6M), 4) = "#N/A", "",  _xll.BDP($C1388, VOLUME_AVG_6M))</f>
        <v>495072.65625</v>
      </c>
      <c r="AC1388" s="31" cm="1">
        <f t="array" ref="AC1388">IF(LEFT(_xll.BDP($C1388, VOLUME_AVG_12M), 4) = "#N/A", "",  _xll.BDP($C1388, VOLUME_AVG_12M))</f>
        <v>710232.375</v>
      </c>
      <c r="AD1388" s="41" cm="1">
        <f t="array" ref="AD1388">IF(LEFT(_xll.BDP($C1388, LAST_PRICE), 4) = "#N/A", "",  _xll.BDP($C1388, LAST_PRICE))</f>
        <v>0.41039999999999999</v>
      </c>
    </row>
    <row r="1389" spans="1:30" x14ac:dyDescent="0.35">
      <c r="A1389" s="1">
        <f t="shared" si="21"/>
        <v>1386</v>
      </c>
      <c r="B1389" s="28">
        <v>45700</v>
      </c>
      <c r="C1389" s="29" t="s">
        <v>2819</v>
      </c>
      <c r="D1389" s="29" t="s">
        <v>2819</v>
      </c>
      <c r="E1389" s="29" t="s">
        <v>2820</v>
      </c>
      <c r="F1389" s="29" t="s">
        <v>33</v>
      </c>
      <c r="G1389" s="30" t="s">
        <v>34</v>
      </c>
      <c r="H1389" s="31">
        <v>1366093766.2735701</v>
      </c>
      <c r="I1389" s="31">
        <v>1107686766.2735701</v>
      </c>
      <c r="J1389" s="32">
        <v>23.2700004577637</v>
      </c>
      <c r="K1389" s="33">
        <v>45700</v>
      </c>
      <c r="L1389" s="31">
        <v>8761900</v>
      </c>
      <c r="M1389" s="32">
        <v>3.88</v>
      </c>
      <c r="N1389" s="31" t="s">
        <v>35</v>
      </c>
      <c r="O1389" s="33">
        <v>45699</v>
      </c>
      <c r="P1389" s="34">
        <v>584269.1875</v>
      </c>
      <c r="Q1389" s="34">
        <v>623779.5</v>
      </c>
      <c r="R1389" s="34">
        <v>549252.3125</v>
      </c>
      <c r="S1389" s="29" t="s">
        <v>73</v>
      </c>
      <c r="T1389" s="33">
        <v>45446</v>
      </c>
      <c r="U1389" s="35" t="b">
        <v>0</v>
      </c>
      <c r="V1389" s="35" t="b">
        <v>0</v>
      </c>
      <c r="W1389" s="35" t="b">
        <v>0</v>
      </c>
      <c r="Y1389" s="31" cm="1">
        <f t="array" ref="Y1389">IF(LEFT(_xll.BDP($C1389, VOLUME_AVG_10D), 4) = "#N/A", "",  _xll.BDP($C1389, VOLUME_AVG_10D))</f>
        <v>655285.625</v>
      </c>
      <c r="Z1389" s="31" cm="1">
        <f t="array" ref="Z1389">IF(LEFT(_xll.BDP($C1389, VOLUME_AVG_30D), 4) = "#N/A", "",  _xll.BDP($C1389, VOLUME_AVG_30D))</f>
        <v>584269.1875</v>
      </c>
      <c r="AA1389" s="31" cm="1">
        <f t="array" ref="AA1389">IF(LEFT(_xll.BDP($C1389, VOLUME_AVG_3M), 4) = "#N/A", "",  _xll.BDP($C1389, VOLUME_AVG_3M))</f>
        <v>623779.5</v>
      </c>
      <c r="AB1389" s="31" cm="1">
        <f t="array" ref="AB1389">IF(LEFT(_xll.BDP($C1389, VOLUME_AVG_6M), 4) = "#N/A", "",  _xll.BDP($C1389, VOLUME_AVG_6M))</f>
        <v>549252.3125</v>
      </c>
      <c r="AC1389" s="31" cm="1">
        <f t="array" ref="AC1389">IF(LEFT(_xll.BDP($C1389, VOLUME_AVG_12M), 4) = "#N/A", "",  _xll.BDP($C1389, VOLUME_AVG_12M))</f>
        <v>558188.25</v>
      </c>
      <c r="AD1389" s="41" cm="1">
        <f t="array" ref="AD1389">IF(LEFT(_xll.BDP($C1389, LAST_PRICE), 4) = "#N/A", "",  _xll.BDP($C1389, LAST_PRICE))</f>
        <v>23.27</v>
      </c>
    </row>
    <row r="1390" spans="1:30" x14ac:dyDescent="0.35">
      <c r="A1390" s="1">
        <f t="shared" si="21"/>
        <v>1387</v>
      </c>
      <c r="B1390" s="28">
        <v>45700</v>
      </c>
      <c r="C1390" s="29" t="s">
        <v>2821</v>
      </c>
      <c r="D1390" s="29" t="s">
        <v>2821</v>
      </c>
      <c r="E1390" s="29" t="s">
        <v>2822</v>
      </c>
      <c r="F1390" s="29" t="s">
        <v>33</v>
      </c>
      <c r="G1390" s="30" t="s">
        <v>34</v>
      </c>
      <c r="H1390" s="31">
        <v>884733.75</v>
      </c>
      <c r="I1390" s="31">
        <v>12163733.75</v>
      </c>
      <c r="J1390" s="32">
        <v>0.03</v>
      </c>
      <c r="K1390" s="33">
        <v>45700</v>
      </c>
      <c r="L1390" s="31">
        <v>1796700</v>
      </c>
      <c r="M1390" s="32">
        <v>-10.65</v>
      </c>
      <c r="N1390" s="31" t="s">
        <v>35</v>
      </c>
      <c r="O1390" s="33">
        <v>45699</v>
      </c>
      <c r="P1390" s="34">
        <v>7353.56689453125</v>
      </c>
      <c r="Q1390" s="34">
        <v>9883.548828125</v>
      </c>
      <c r="R1390" s="34">
        <v>12438.134765625</v>
      </c>
      <c r="S1390" s="29"/>
      <c r="T1390" s="33"/>
      <c r="U1390" s="35" t="b">
        <v>1</v>
      </c>
      <c r="V1390" s="35" t="b">
        <v>1</v>
      </c>
      <c r="W1390" s="35" t="b">
        <v>0</v>
      </c>
      <c r="Y1390" s="31" cm="1">
        <f t="array" ref="Y1390">IF(LEFT(_xll.BDP($C1390, VOLUME_AVG_10D), 4) = "#N/A", "",  _xll.BDP($C1390, VOLUME_AVG_10D))</f>
        <v>164.39999389648438</v>
      </c>
      <c r="Z1390" s="31" cm="1">
        <f t="array" ref="Z1390">IF(LEFT(_xll.BDP($C1390, VOLUME_AVG_30D), 4) = "#N/A", "",  _xll.BDP($C1390, VOLUME_AVG_30D))</f>
        <v>7353.56689453125</v>
      </c>
      <c r="AA1390" s="31" cm="1">
        <f t="array" ref="AA1390">IF(LEFT(_xll.BDP($C1390, VOLUME_AVG_3M), 4) = "#N/A", "",  _xll.BDP($C1390, VOLUME_AVG_3M))</f>
        <v>9883.548828125</v>
      </c>
      <c r="AB1390" s="31" cm="1">
        <f t="array" ref="AB1390">IF(LEFT(_xll.BDP($C1390, VOLUME_AVG_6M), 4) = "#N/A", "",  _xll.BDP($C1390, VOLUME_AVG_6M))</f>
        <v>12438.134765625</v>
      </c>
      <c r="AC1390" s="31" cm="1">
        <f t="array" ref="AC1390">IF(LEFT(_xll.BDP($C1390, VOLUME_AVG_12M), 4) = "#N/A", "",  _xll.BDP($C1390, VOLUME_AVG_12M))</f>
        <v>49869.32421875</v>
      </c>
      <c r="AD1390" s="41" cm="1">
        <f t="array" ref="AD1390">IF(LEFT(_xll.BDP($C1390, LAST_PRICE), 4) = "#N/A", "",  _xll.BDP($C1390, LAST_PRICE))</f>
        <v>0.03</v>
      </c>
    </row>
    <row r="1391" spans="1:30" x14ac:dyDescent="0.35">
      <c r="A1391" s="1">
        <f t="shared" si="21"/>
        <v>1388</v>
      </c>
      <c r="B1391" s="28">
        <v>45700</v>
      </c>
      <c r="C1391" s="29" t="s">
        <v>2823</v>
      </c>
      <c r="D1391" s="29" t="s">
        <v>2823</v>
      </c>
      <c r="E1391" s="29" t="s">
        <v>2824</v>
      </c>
      <c r="F1391" s="29" t="s">
        <v>33</v>
      </c>
      <c r="G1391" s="30" t="s">
        <v>34</v>
      </c>
      <c r="H1391" s="31">
        <v>1657472092.9084799</v>
      </c>
      <c r="I1391" s="31">
        <v>1672729041.9084799</v>
      </c>
      <c r="J1391" s="32">
        <v>9.6999998092651403</v>
      </c>
      <c r="K1391" s="33">
        <v>45700</v>
      </c>
      <c r="L1391" s="31">
        <v>18000</v>
      </c>
      <c r="M1391" s="32">
        <v>3.3</v>
      </c>
      <c r="N1391" s="31" t="s">
        <v>35</v>
      </c>
      <c r="O1391" s="33">
        <v>45699</v>
      </c>
      <c r="P1391" s="34">
        <v>1591.96667480469</v>
      </c>
      <c r="Q1391" s="34">
        <v>1671.64514160156</v>
      </c>
      <c r="R1391" s="34">
        <v>1519.51586914063</v>
      </c>
      <c r="S1391" s="29"/>
      <c r="T1391" s="33"/>
      <c r="U1391" s="35" t="b">
        <v>0</v>
      </c>
      <c r="V1391" s="35" t="b">
        <v>0</v>
      </c>
      <c r="W1391" s="35" t="b">
        <v>0</v>
      </c>
      <c r="Y1391" s="31" cm="1">
        <f t="array" ref="Y1391">IF(LEFT(_xll.BDP($C1391, VOLUME_AVG_10D), 4) = "#N/A", "",  _xll.BDP($C1391, VOLUME_AVG_10D))</f>
        <v>1636.5999755859375</v>
      </c>
      <c r="Z1391" s="31" cm="1">
        <f t="array" ref="Z1391">IF(LEFT(_xll.BDP($C1391, VOLUME_AVG_30D), 4) = "#N/A", "",  _xll.BDP($C1391, VOLUME_AVG_30D))</f>
        <v>1591.9666748046875</v>
      </c>
      <c r="AA1391" s="31" cm="1">
        <f t="array" ref="AA1391">IF(LEFT(_xll.BDP($C1391, VOLUME_AVG_3M), 4) = "#N/A", "",  _xll.BDP($C1391, VOLUME_AVG_3M))</f>
        <v>1671.6451416015625</v>
      </c>
      <c r="AB1391" s="31" cm="1">
        <f t="array" ref="AB1391">IF(LEFT(_xll.BDP($C1391, VOLUME_AVG_6M), 4) = "#N/A", "",  _xll.BDP($C1391, VOLUME_AVG_6M))</f>
        <v>1519.515869140625</v>
      </c>
      <c r="AC1391" s="31" cm="1">
        <f t="array" ref="AC1391">IF(LEFT(_xll.BDP($C1391, VOLUME_AVG_12M), 4) = "#N/A", "",  _xll.BDP($C1391, VOLUME_AVG_12M))</f>
        <v>1768.8565673828125</v>
      </c>
      <c r="AD1391" s="41" cm="1">
        <f t="array" ref="AD1391">IF(LEFT(_xll.BDP($C1391, LAST_PRICE), 4) = "#N/A", "",  _xll.BDP($C1391, LAST_PRICE))</f>
        <v>9.6999999999999993</v>
      </c>
    </row>
    <row r="1392" spans="1:30" x14ac:dyDescent="0.35">
      <c r="A1392" s="1">
        <f t="shared" si="21"/>
        <v>1389</v>
      </c>
      <c r="B1392" s="28">
        <v>45700</v>
      </c>
      <c r="C1392" s="29" t="s">
        <v>2825</v>
      </c>
      <c r="D1392" s="29" t="s">
        <v>2825</v>
      </c>
      <c r="E1392" s="29" t="s">
        <v>2826</v>
      </c>
      <c r="F1392" s="29" t="s">
        <v>33</v>
      </c>
      <c r="G1392" s="30" t="s">
        <v>34</v>
      </c>
      <c r="H1392" s="31">
        <v>812066397.443295</v>
      </c>
      <c r="I1392" s="31">
        <v>620315397.443295</v>
      </c>
      <c r="J1392" s="32">
        <v>16.4799995422363</v>
      </c>
      <c r="K1392" s="33">
        <v>45700</v>
      </c>
      <c r="L1392" s="31">
        <v>15248400</v>
      </c>
      <c r="M1392" s="32">
        <v>3.88</v>
      </c>
      <c r="N1392" s="31" t="s">
        <v>35</v>
      </c>
      <c r="O1392" s="33">
        <v>45699</v>
      </c>
      <c r="P1392" s="34">
        <v>624963.375</v>
      </c>
      <c r="Q1392" s="34">
        <v>608270.125</v>
      </c>
      <c r="R1392" s="34">
        <v>678863.625</v>
      </c>
      <c r="S1392" s="29"/>
      <c r="T1392" s="33"/>
      <c r="U1392" s="35" t="b">
        <v>0</v>
      </c>
      <c r="V1392" s="35" t="b">
        <v>0</v>
      </c>
      <c r="W1392" s="35" t="b">
        <v>0</v>
      </c>
      <c r="Y1392" s="31" cm="1">
        <f t="array" ref="Y1392">IF(LEFT(_xll.BDP($C1392, VOLUME_AVG_10D), 4) = "#N/A", "",  _xll.BDP($C1392, VOLUME_AVG_10D))</f>
        <v>489191.90625</v>
      </c>
      <c r="Z1392" s="31" cm="1">
        <f t="array" ref="Z1392">IF(LEFT(_xll.BDP($C1392, VOLUME_AVG_30D), 4) = "#N/A", "",  _xll.BDP($C1392, VOLUME_AVG_30D))</f>
        <v>624963.375</v>
      </c>
      <c r="AA1392" s="31" cm="1">
        <f t="array" ref="AA1392">IF(LEFT(_xll.BDP($C1392, VOLUME_AVG_3M), 4) = "#N/A", "",  _xll.BDP($C1392, VOLUME_AVG_3M))</f>
        <v>608270.125</v>
      </c>
      <c r="AB1392" s="31" cm="1">
        <f t="array" ref="AB1392">IF(LEFT(_xll.BDP($C1392, VOLUME_AVG_6M), 4) = "#N/A", "",  _xll.BDP($C1392, VOLUME_AVG_6M))</f>
        <v>678863.625</v>
      </c>
      <c r="AC1392" s="31" cm="1">
        <f t="array" ref="AC1392">IF(LEFT(_xll.BDP($C1392, VOLUME_AVG_12M), 4) = "#N/A", "",  _xll.BDP($C1392, VOLUME_AVG_12M))</f>
        <v>681147.4375</v>
      </c>
      <c r="AD1392" s="41" cm="1">
        <f t="array" ref="AD1392">IF(LEFT(_xll.BDP($C1392, LAST_PRICE), 4) = "#N/A", "",  _xll.BDP($C1392, LAST_PRICE))</f>
        <v>16.48</v>
      </c>
    </row>
    <row r="1393" spans="1:30" x14ac:dyDescent="0.35">
      <c r="A1393" s="1">
        <f t="shared" si="21"/>
        <v>1390</v>
      </c>
      <c r="B1393" s="28">
        <v>45700</v>
      </c>
      <c r="C1393" s="29" t="s">
        <v>2827</v>
      </c>
      <c r="D1393" s="29" t="s">
        <v>2827</v>
      </c>
      <c r="E1393" s="29" t="s">
        <v>2828</v>
      </c>
      <c r="F1393" s="29" t="s">
        <v>40</v>
      </c>
      <c r="G1393" s="30" t="s">
        <v>41</v>
      </c>
      <c r="H1393" s="31"/>
      <c r="I1393" s="31"/>
      <c r="J1393" s="32"/>
      <c r="K1393" s="33">
        <v>45700</v>
      </c>
      <c r="L1393" s="31"/>
      <c r="M1393" s="32"/>
      <c r="N1393" s="31"/>
      <c r="O1393" s="33">
        <v>45699</v>
      </c>
      <c r="P1393" s="34"/>
      <c r="Q1393" s="34"/>
      <c r="R1393" s="34"/>
      <c r="S1393" s="29"/>
      <c r="T1393" s="33"/>
      <c r="U1393" s="35" t="b">
        <v>1</v>
      </c>
      <c r="V1393" s="35" t="b">
        <v>1</v>
      </c>
      <c r="W1393" s="35" t="b">
        <v>1</v>
      </c>
      <c r="Y1393" s="31" t="str" cm="1">
        <f t="array" ref="Y1393">IF(LEFT(_xll.BDP($C1393, VOLUME_AVG_10D), 4) = "#N/A", "",  _xll.BDP($C1393, VOLUME_AVG_10D))</f>
        <v/>
      </c>
      <c r="Z1393" s="31" t="str" cm="1">
        <f t="array" ref="Z1393">IF(LEFT(_xll.BDP($C1393, VOLUME_AVG_30D), 4) = "#N/A", "",  _xll.BDP($C1393, VOLUME_AVG_30D))</f>
        <v/>
      </c>
      <c r="AA1393" s="31" t="str" cm="1">
        <f t="array" ref="AA1393">IF(LEFT(_xll.BDP($C1393, VOLUME_AVG_3M), 4) = "#N/A", "",  _xll.BDP($C1393, VOLUME_AVG_3M))</f>
        <v/>
      </c>
      <c r="AB1393" s="31" t="str" cm="1">
        <f t="array" ref="AB1393">IF(LEFT(_xll.BDP($C1393, VOLUME_AVG_6M), 4) = "#N/A", "",  _xll.BDP($C1393, VOLUME_AVG_6M))</f>
        <v/>
      </c>
      <c r="AC1393" s="31" t="str" cm="1">
        <f t="array" ref="AC1393">IF(LEFT(_xll.BDP($C1393, VOLUME_AVG_12M), 4) = "#N/A", "",  _xll.BDP($C1393, VOLUME_AVG_12M))</f>
        <v/>
      </c>
      <c r="AD1393" s="41" t="str" cm="1">
        <f t="array" ref="AD1393">IF(LEFT(_xll.BDP($C1393, LAST_PRICE), 4) = "#N/A", "",  _xll.BDP($C1393, LAST_PRICE))</f>
        <v/>
      </c>
    </row>
    <row r="1394" spans="1:30" x14ac:dyDescent="0.35">
      <c r="A1394" s="1">
        <f t="shared" si="21"/>
        <v>1391</v>
      </c>
      <c r="B1394" s="28">
        <v>45700</v>
      </c>
      <c r="C1394" s="29" t="s">
        <v>2829</v>
      </c>
      <c r="D1394" s="29" t="s">
        <v>2829</v>
      </c>
      <c r="E1394" s="29" t="s">
        <v>2830</v>
      </c>
      <c r="F1394" s="29" t="s">
        <v>33</v>
      </c>
      <c r="G1394" s="30" t="s">
        <v>34</v>
      </c>
      <c r="H1394" s="31">
        <v>504410678.39027297</v>
      </c>
      <c r="I1394" s="31">
        <v>227554678.390273</v>
      </c>
      <c r="J1394" s="32">
        <v>1.3550000190734901</v>
      </c>
      <c r="K1394" s="33">
        <v>45700</v>
      </c>
      <c r="L1394" s="31">
        <v>39012100</v>
      </c>
      <c r="M1394" s="32">
        <v>3.88</v>
      </c>
      <c r="N1394" s="31" t="s">
        <v>35</v>
      </c>
      <c r="O1394" s="33">
        <v>45699</v>
      </c>
      <c r="P1394" s="34">
        <v>1851585</v>
      </c>
      <c r="Q1394" s="34">
        <v>1808056.25</v>
      </c>
      <c r="R1394" s="34">
        <v>1882360.875</v>
      </c>
      <c r="S1394" s="29" t="s">
        <v>198</v>
      </c>
      <c r="T1394" s="33">
        <v>45215</v>
      </c>
      <c r="U1394" s="35" t="b">
        <v>0</v>
      </c>
      <c r="V1394" s="35" t="b">
        <v>0</v>
      </c>
      <c r="W1394" s="35" t="b">
        <v>0</v>
      </c>
      <c r="Y1394" s="31" cm="1">
        <f t="array" ref="Y1394">IF(LEFT(_xll.BDP($C1394, VOLUME_AVG_10D), 4) = "#N/A", "",  _xll.BDP($C1394, VOLUME_AVG_10D))</f>
        <v>2053731.125</v>
      </c>
      <c r="Z1394" s="31" cm="1">
        <f t="array" ref="Z1394">IF(LEFT(_xll.BDP($C1394, VOLUME_AVG_30D), 4) = "#N/A", "",  _xll.BDP($C1394, VOLUME_AVG_30D))</f>
        <v>1851585</v>
      </c>
      <c r="AA1394" s="31" cm="1">
        <f t="array" ref="AA1394">IF(LEFT(_xll.BDP($C1394, VOLUME_AVG_3M), 4) = "#N/A", "",  _xll.BDP($C1394, VOLUME_AVG_3M))</f>
        <v>1808056.25</v>
      </c>
      <c r="AB1394" s="31" cm="1">
        <f t="array" ref="AB1394">IF(LEFT(_xll.BDP($C1394, VOLUME_AVG_6M), 4) = "#N/A", "",  _xll.BDP($C1394, VOLUME_AVG_6M))</f>
        <v>1882360.875</v>
      </c>
      <c r="AC1394" s="31" cm="1">
        <f t="array" ref="AC1394">IF(LEFT(_xll.BDP($C1394, VOLUME_AVG_12M), 4) = "#N/A", "",  _xll.BDP($C1394, VOLUME_AVG_12M))</f>
        <v>2360221.5</v>
      </c>
      <c r="AD1394" s="41" cm="1">
        <f t="array" ref="AD1394">IF(LEFT(_xll.BDP($C1394, LAST_PRICE), 4) = "#N/A", "",  _xll.BDP($C1394, LAST_PRICE))</f>
        <v>1.355</v>
      </c>
    </row>
    <row r="1395" spans="1:30" x14ac:dyDescent="0.35">
      <c r="A1395" s="1">
        <f t="shared" si="21"/>
        <v>1392</v>
      </c>
      <c r="B1395" s="28">
        <v>45700</v>
      </c>
      <c r="C1395" s="29" t="s">
        <v>2831</v>
      </c>
      <c r="D1395" s="29" t="s">
        <v>2831</v>
      </c>
      <c r="E1395" s="29" t="s">
        <v>2832</v>
      </c>
      <c r="F1395" s="29" t="s">
        <v>40</v>
      </c>
      <c r="G1395" s="30" t="s">
        <v>41</v>
      </c>
      <c r="H1395" s="31"/>
      <c r="I1395" s="31"/>
      <c r="J1395" s="32"/>
      <c r="K1395" s="33">
        <v>45700</v>
      </c>
      <c r="L1395" s="31"/>
      <c r="M1395" s="32"/>
      <c r="N1395" s="31"/>
      <c r="O1395" s="33">
        <v>45699</v>
      </c>
      <c r="P1395" s="34"/>
      <c r="Q1395" s="34"/>
      <c r="R1395" s="34">
        <v>41689.43</v>
      </c>
      <c r="S1395" s="29"/>
      <c r="T1395" s="33"/>
      <c r="U1395" s="35" t="b">
        <v>1</v>
      </c>
      <c r="V1395" s="35" t="b">
        <v>1</v>
      </c>
      <c r="W1395" s="35" t="b">
        <v>1</v>
      </c>
      <c r="Y1395" s="31" cm="1">
        <f t="array" ref="Y1395">IF(LEFT(_xll.BDP($C1395, VOLUME_AVG_10D), 4) = "#N/A", "",  _xll.BDP($C1395, VOLUME_AVG_10D))</f>
        <v>0</v>
      </c>
      <c r="Z1395" s="31" cm="1">
        <f t="array" ref="Z1395">IF(LEFT(_xll.BDP($C1395, VOLUME_AVG_30D), 4) = "#N/A", "",  _xll.BDP($C1395, VOLUME_AVG_30D))</f>
        <v>0</v>
      </c>
      <c r="AA1395" s="31" cm="1">
        <f t="array" ref="AA1395">IF(LEFT(_xll.BDP($C1395, VOLUME_AVG_3M), 4) = "#N/A", "",  _xll.BDP($C1395, VOLUME_AVG_3M))</f>
        <v>0</v>
      </c>
      <c r="AB1395" s="31" cm="1">
        <f t="array" ref="AB1395">IF(LEFT(_xll.BDP($C1395, VOLUME_AVG_6M), 4) = "#N/A", "",  _xll.BDP($C1395, VOLUME_AVG_6M))</f>
        <v>41689.43</v>
      </c>
      <c r="AC1395" s="31" cm="1">
        <f t="array" ref="AC1395">IF(LEFT(_xll.BDP($C1395, VOLUME_AVG_12M), 4) = "#N/A", "",  _xll.BDP($C1395, VOLUME_AVG_12M))</f>
        <v>31512.38</v>
      </c>
      <c r="AD1395" s="41" t="str" cm="1">
        <f t="array" ref="AD1395">IF(LEFT(_xll.BDP($C1395, LAST_PRICE), 4) = "#N/A", "",  _xll.BDP($C1395, LAST_PRICE))</f>
        <v/>
      </c>
    </row>
    <row r="1396" spans="1:30" x14ac:dyDescent="0.35">
      <c r="A1396" s="1">
        <f t="shared" si="21"/>
        <v>1393</v>
      </c>
      <c r="B1396" s="28">
        <v>45700</v>
      </c>
      <c r="C1396" s="29" t="s">
        <v>2833</v>
      </c>
      <c r="D1396" s="29" t="s">
        <v>2833</v>
      </c>
      <c r="E1396" s="29" t="s">
        <v>2834</v>
      </c>
      <c r="F1396" s="29" t="s">
        <v>33</v>
      </c>
      <c r="G1396" s="30" t="s">
        <v>34</v>
      </c>
      <c r="H1396" s="31">
        <v>7141.6037999999999</v>
      </c>
      <c r="I1396" s="31">
        <v>6980324.6037999997</v>
      </c>
      <c r="J1396" s="32">
        <v>1E-4</v>
      </c>
      <c r="K1396" s="33">
        <v>45700</v>
      </c>
      <c r="L1396" s="31"/>
      <c r="M1396" s="32"/>
      <c r="N1396" s="31"/>
      <c r="O1396" s="33">
        <v>45699</v>
      </c>
      <c r="P1396" s="34">
        <v>12684.400390625</v>
      </c>
      <c r="Q1396" s="34">
        <v>20039.837890625</v>
      </c>
      <c r="R1396" s="34">
        <v>14080.5478515625</v>
      </c>
      <c r="S1396" s="29"/>
      <c r="T1396" s="33"/>
      <c r="U1396" s="35" t="b">
        <v>1</v>
      </c>
      <c r="V1396" s="35" t="b">
        <v>1</v>
      </c>
      <c r="W1396" s="35" t="b">
        <v>0</v>
      </c>
      <c r="Y1396" s="31" cm="1">
        <f t="array" ref="Y1396">IF(LEFT(_xll.BDP($C1396, VOLUME_AVG_10D), 4) = "#N/A", "",  _xll.BDP($C1396, VOLUME_AVG_10D))</f>
        <v>12791.5</v>
      </c>
      <c r="Z1396" s="31" cm="1">
        <f t="array" ref="Z1396">IF(LEFT(_xll.BDP($C1396, VOLUME_AVG_30D), 4) = "#N/A", "",  _xll.BDP($C1396, VOLUME_AVG_30D))</f>
        <v>12684.400390625</v>
      </c>
      <c r="AA1396" s="31" cm="1">
        <f t="array" ref="AA1396">IF(LEFT(_xll.BDP($C1396, VOLUME_AVG_3M), 4) = "#N/A", "",  _xll.BDP($C1396, VOLUME_AVG_3M))</f>
        <v>20039.837890625</v>
      </c>
      <c r="AB1396" s="31" cm="1">
        <f t="array" ref="AB1396">IF(LEFT(_xll.BDP($C1396, VOLUME_AVG_6M), 4) = "#N/A", "",  _xll.BDP($C1396, VOLUME_AVG_6M))</f>
        <v>14080.5478515625</v>
      </c>
      <c r="AC1396" s="31" cm="1">
        <f t="array" ref="AC1396">IF(LEFT(_xll.BDP($C1396, VOLUME_AVG_12M), 4) = "#N/A", "",  _xll.BDP($C1396, VOLUME_AVG_12M))</f>
        <v>15988.896484375</v>
      </c>
      <c r="AD1396" s="41" cm="1">
        <f t="array" ref="AD1396">IF(LEFT(_xll.BDP($C1396, LAST_PRICE), 4) = "#N/A", "",  _xll.BDP($C1396, LAST_PRICE))</f>
        <v>1E-4</v>
      </c>
    </row>
    <row r="1397" spans="1:30" x14ac:dyDescent="0.35">
      <c r="A1397" s="1">
        <f t="shared" si="21"/>
        <v>1394</v>
      </c>
      <c r="B1397" s="28">
        <v>45700</v>
      </c>
      <c r="C1397" s="29" t="s">
        <v>2835</v>
      </c>
      <c r="D1397" s="29" t="s">
        <v>2835</v>
      </c>
      <c r="E1397" s="29" t="s">
        <v>2836</v>
      </c>
      <c r="F1397" s="29" t="s">
        <v>33</v>
      </c>
      <c r="G1397" s="30" t="s">
        <v>34</v>
      </c>
      <c r="H1397" s="31">
        <v>35.626499999994202</v>
      </c>
      <c r="I1397" s="31"/>
      <c r="J1397" s="32">
        <v>5.8500000000000003E-2</v>
      </c>
      <c r="K1397" s="33">
        <v>45700</v>
      </c>
      <c r="L1397" s="31"/>
      <c r="M1397" s="32"/>
      <c r="N1397" s="31"/>
      <c r="O1397" s="33">
        <v>45699</v>
      </c>
      <c r="P1397" s="34">
        <v>171.39999389648401</v>
      </c>
      <c r="Q1397" s="34">
        <v>356.66128540039102</v>
      </c>
      <c r="R1397" s="34">
        <v>344.70635986328102</v>
      </c>
      <c r="S1397" s="29"/>
      <c r="T1397" s="33"/>
      <c r="U1397" s="35" t="b">
        <v>1</v>
      </c>
      <c r="V1397" s="35" t="b">
        <v>1</v>
      </c>
      <c r="W1397" s="35" t="b">
        <v>1</v>
      </c>
      <c r="Y1397" s="31" cm="1">
        <f t="array" ref="Y1397">IF(LEFT(_xll.BDP($C1397, VOLUME_AVG_10D), 4) = "#N/A", "",  _xll.BDP($C1397, VOLUME_AVG_10D))</f>
        <v>117.90000152587891</v>
      </c>
      <c r="Z1397" s="31" cm="1">
        <f t="array" ref="Z1397">IF(LEFT(_xll.BDP($C1397, VOLUME_AVG_30D), 4) = "#N/A", "",  _xll.BDP($C1397, VOLUME_AVG_30D))</f>
        <v>171.39999389648438</v>
      </c>
      <c r="AA1397" s="31" cm="1">
        <f t="array" ref="AA1397">IF(LEFT(_xll.BDP($C1397, VOLUME_AVG_3M), 4) = "#N/A", "",  _xll.BDP($C1397, VOLUME_AVG_3M))</f>
        <v>356.66128540039063</v>
      </c>
      <c r="AB1397" s="31" cm="1">
        <f t="array" ref="AB1397">IF(LEFT(_xll.BDP($C1397, VOLUME_AVG_6M), 4) = "#N/A", "",  _xll.BDP($C1397, VOLUME_AVG_6M))</f>
        <v>344.70635986328125</v>
      </c>
      <c r="AC1397" s="31" cm="1">
        <f t="array" ref="AC1397">IF(LEFT(_xll.BDP($C1397, VOLUME_AVG_12M), 4) = "#N/A", "",  _xll.BDP($C1397, VOLUME_AVG_12M))</f>
        <v>424.15936279296875</v>
      </c>
      <c r="AD1397" s="41" cm="1">
        <f t="array" ref="AD1397">IF(LEFT(_xll.BDP($C1397, LAST_PRICE), 4) = "#N/A", "",  _xll.BDP($C1397, LAST_PRICE))</f>
        <v>5.8500000000000003E-2</v>
      </c>
    </row>
    <row r="1398" spans="1:30" x14ac:dyDescent="0.35">
      <c r="A1398" s="1">
        <f t="shared" si="21"/>
        <v>1395</v>
      </c>
      <c r="B1398" s="28">
        <v>45700</v>
      </c>
      <c r="C1398" s="29" t="s">
        <v>2837</v>
      </c>
      <c r="D1398" s="29" t="s">
        <v>2837</v>
      </c>
      <c r="E1398" s="29" t="s">
        <v>2838</v>
      </c>
      <c r="F1398" s="29" t="s">
        <v>33</v>
      </c>
      <c r="G1398" s="30" t="s">
        <v>34</v>
      </c>
      <c r="H1398" s="31">
        <v>55.799918590375498</v>
      </c>
      <c r="I1398" s="31">
        <v>2466055.7999185901</v>
      </c>
      <c r="J1398" s="32">
        <v>9.9999999747524292E-7</v>
      </c>
      <c r="K1398" s="33">
        <v>45700</v>
      </c>
      <c r="L1398" s="31"/>
      <c r="M1398" s="32"/>
      <c r="N1398" s="31"/>
      <c r="O1398" s="33">
        <v>45699</v>
      </c>
      <c r="P1398" s="34">
        <v>45.233333587646499</v>
      </c>
      <c r="Q1398" s="34">
        <v>381.90322875976602</v>
      </c>
      <c r="R1398" s="34">
        <v>320.87301635742199</v>
      </c>
      <c r="S1398" s="29"/>
      <c r="T1398" s="33"/>
      <c r="U1398" s="35" t="b">
        <v>1</v>
      </c>
      <c r="V1398" s="35" t="b">
        <v>1</v>
      </c>
      <c r="W1398" s="35" t="b">
        <v>0</v>
      </c>
      <c r="Y1398" s="31" cm="1">
        <f t="array" ref="Y1398">IF(LEFT(_xll.BDP($C1398, VOLUME_AVG_10D), 4) = "#N/A", "",  _xll.BDP($C1398, VOLUME_AVG_10D))</f>
        <v>0</v>
      </c>
      <c r="Z1398" s="31" cm="1">
        <f t="array" ref="Z1398">IF(LEFT(_xll.BDP($C1398, VOLUME_AVG_30D), 4) = "#N/A", "",  _xll.BDP($C1398, VOLUME_AVG_30D))</f>
        <v>45.233333587646484</v>
      </c>
      <c r="AA1398" s="31" cm="1">
        <f t="array" ref="AA1398">IF(LEFT(_xll.BDP($C1398, VOLUME_AVG_3M), 4) = "#N/A", "",  _xll.BDP($C1398, VOLUME_AVG_3M))</f>
        <v>381.90322875976563</v>
      </c>
      <c r="AB1398" s="31" cm="1">
        <f t="array" ref="AB1398">IF(LEFT(_xll.BDP($C1398, VOLUME_AVG_6M), 4) = "#N/A", "",  _xll.BDP($C1398, VOLUME_AVG_6M))</f>
        <v>320.87301635742188</v>
      </c>
      <c r="AC1398" s="31" cm="1">
        <f t="array" ref="AC1398">IF(LEFT(_xll.BDP($C1398, VOLUME_AVG_12M), 4) = "#N/A", "",  _xll.BDP($C1398, VOLUME_AVG_12M))</f>
        <v>370.72909545898438</v>
      </c>
      <c r="AD1398" s="41" cm="1">
        <f t="array" ref="AD1398">IF(LEFT(_xll.BDP($C1398, LAST_PRICE), 4) = "#N/A", "",  _xll.BDP($C1398, LAST_PRICE))</f>
        <v>0</v>
      </c>
    </row>
    <row r="1399" spans="1:30" x14ac:dyDescent="0.35">
      <c r="A1399" s="1">
        <f t="shared" si="21"/>
        <v>1396</v>
      </c>
      <c r="B1399" s="28">
        <v>45700</v>
      </c>
      <c r="C1399" s="29" t="s">
        <v>2839</v>
      </c>
      <c r="D1399" s="29" t="s">
        <v>2839</v>
      </c>
      <c r="E1399" s="29" t="s">
        <v>2840</v>
      </c>
      <c r="F1399" s="29" t="s">
        <v>33</v>
      </c>
      <c r="G1399" s="30" t="s">
        <v>34</v>
      </c>
      <c r="H1399" s="31">
        <v>182168448.13043499</v>
      </c>
      <c r="I1399" s="31">
        <v>178640448.13043499</v>
      </c>
      <c r="J1399" s="32">
        <v>2.1500000953674299</v>
      </c>
      <c r="K1399" s="33">
        <v>45700</v>
      </c>
      <c r="L1399" s="31">
        <v>9820900</v>
      </c>
      <c r="M1399" s="32">
        <v>3.88</v>
      </c>
      <c r="N1399" s="31" t="s">
        <v>35</v>
      </c>
      <c r="O1399" s="33">
        <v>45699</v>
      </c>
      <c r="P1399" s="34">
        <v>366725.21875</v>
      </c>
      <c r="Q1399" s="34">
        <v>414576.71875</v>
      </c>
      <c r="R1399" s="34">
        <v>307822.96875</v>
      </c>
      <c r="S1399" s="29"/>
      <c r="T1399" s="33"/>
      <c r="U1399" s="35" t="b">
        <v>0</v>
      </c>
      <c r="V1399" s="35" t="b">
        <v>0</v>
      </c>
      <c r="W1399" s="35" t="b">
        <v>0</v>
      </c>
      <c r="Y1399" s="31" cm="1">
        <f t="array" ref="Y1399">IF(LEFT(_xll.BDP($C1399, VOLUME_AVG_10D), 4) = "#N/A", "",  _xll.BDP($C1399, VOLUME_AVG_10D))</f>
        <v>306318.5</v>
      </c>
      <c r="Z1399" s="31" cm="1">
        <f t="array" ref="Z1399">IF(LEFT(_xll.BDP($C1399, VOLUME_AVG_30D), 4) = "#N/A", "",  _xll.BDP($C1399, VOLUME_AVG_30D))</f>
        <v>366725.21875</v>
      </c>
      <c r="AA1399" s="31" cm="1">
        <f t="array" ref="AA1399">IF(LEFT(_xll.BDP($C1399, VOLUME_AVG_3M), 4) = "#N/A", "",  _xll.BDP($C1399, VOLUME_AVG_3M))</f>
        <v>414576.71875</v>
      </c>
      <c r="AB1399" s="31" cm="1">
        <f t="array" ref="AB1399">IF(LEFT(_xll.BDP($C1399, VOLUME_AVG_6M), 4) = "#N/A", "",  _xll.BDP($C1399, VOLUME_AVG_6M))</f>
        <v>307822.96875</v>
      </c>
      <c r="AC1399" s="31" cm="1">
        <f t="array" ref="AC1399">IF(LEFT(_xll.BDP($C1399, VOLUME_AVG_12M), 4) = "#N/A", "",  _xll.BDP($C1399, VOLUME_AVG_12M))</f>
        <v>326666.8125</v>
      </c>
      <c r="AD1399" s="41" cm="1">
        <f t="array" ref="AD1399">IF(LEFT(_xll.BDP($C1399, LAST_PRICE), 4) = "#N/A", "",  _xll.BDP($C1399, LAST_PRICE))</f>
        <v>2.15</v>
      </c>
    </row>
    <row r="1400" spans="1:30" x14ac:dyDescent="0.35">
      <c r="A1400" s="1">
        <f t="shared" si="21"/>
        <v>1397</v>
      </c>
      <c r="B1400" s="28">
        <v>45700</v>
      </c>
      <c r="C1400" s="29" t="s">
        <v>2841</v>
      </c>
      <c r="D1400" s="29" t="s">
        <v>2841</v>
      </c>
      <c r="E1400" s="29" t="s">
        <v>2842</v>
      </c>
      <c r="F1400" s="29" t="s">
        <v>33</v>
      </c>
      <c r="G1400" s="30" t="s">
        <v>34</v>
      </c>
      <c r="H1400" s="31">
        <v>21527730437.7575</v>
      </c>
      <c r="I1400" s="31">
        <v>23704890437.7575</v>
      </c>
      <c r="J1400" s="32">
        <v>219.11000061035199</v>
      </c>
      <c r="K1400" s="33">
        <v>45700</v>
      </c>
      <c r="L1400" s="31"/>
      <c r="M1400" s="32"/>
      <c r="N1400" s="31"/>
      <c r="O1400" s="33">
        <v>45699</v>
      </c>
      <c r="P1400" s="34">
        <v>486393.71875</v>
      </c>
      <c r="Q1400" s="34">
        <v>543325</v>
      </c>
      <c r="R1400" s="34">
        <v>518807.3125</v>
      </c>
      <c r="S1400" s="29"/>
      <c r="T1400" s="33"/>
      <c r="U1400" s="35" t="b">
        <v>0</v>
      </c>
      <c r="V1400" s="35" t="b">
        <v>0</v>
      </c>
      <c r="W1400" s="35" t="b">
        <v>0</v>
      </c>
      <c r="Y1400" s="31" cm="1">
        <f t="array" ref="Y1400">IF(LEFT(_xll.BDP($C1400, VOLUME_AVG_10D), 4) = "#N/A", "",  _xll.BDP($C1400, VOLUME_AVG_10D))</f>
        <v>591410.1875</v>
      </c>
      <c r="Z1400" s="31" cm="1">
        <f t="array" ref="Z1400">IF(LEFT(_xll.BDP($C1400, VOLUME_AVG_30D), 4) = "#N/A", "",  _xll.BDP($C1400, VOLUME_AVG_30D))</f>
        <v>486393.71875</v>
      </c>
      <c r="AA1400" s="31" cm="1">
        <f t="array" ref="AA1400">IF(LEFT(_xll.BDP($C1400, VOLUME_AVG_3M), 4) = "#N/A", "",  _xll.BDP($C1400, VOLUME_AVG_3M))</f>
        <v>543325</v>
      </c>
      <c r="AB1400" s="31" cm="1">
        <f t="array" ref="AB1400">IF(LEFT(_xll.BDP($C1400, VOLUME_AVG_6M), 4) = "#N/A", "",  _xll.BDP($C1400, VOLUME_AVG_6M))</f>
        <v>518807.3125</v>
      </c>
      <c r="AC1400" s="31" cm="1">
        <f t="array" ref="AC1400">IF(LEFT(_xll.BDP($C1400, VOLUME_AVG_12M), 4) = "#N/A", "",  _xll.BDP($C1400, VOLUME_AVG_12M))</f>
        <v>508640.1875</v>
      </c>
      <c r="AD1400" s="41" cm="1">
        <f t="array" ref="AD1400">IF(LEFT(_xll.BDP($C1400, LAST_PRICE), 4) = "#N/A", "",  _xll.BDP($C1400, LAST_PRICE))</f>
        <v>219.11</v>
      </c>
    </row>
    <row r="1401" spans="1:30" x14ac:dyDescent="0.35">
      <c r="A1401" s="1">
        <f t="shared" si="21"/>
        <v>1398</v>
      </c>
      <c r="B1401" s="28">
        <v>45700</v>
      </c>
      <c r="C1401" s="29" t="s">
        <v>2843</v>
      </c>
      <c r="D1401" s="29" t="s">
        <v>2843</v>
      </c>
      <c r="E1401" s="29" t="s">
        <v>2844</v>
      </c>
      <c r="F1401" s="29" t="s">
        <v>33</v>
      </c>
      <c r="G1401" s="30" t="s">
        <v>34</v>
      </c>
      <c r="H1401" s="31">
        <v>6084106594.4500999</v>
      </c>
      <c r="I1401" s="31">
        <v>6163298642.0054502</v>
      </c>
      <c r="J1401" s="32">
        <v>20.090000152587901</v>
      </c>
      <c r="K1401" s="33">
        <v>45700</v>
      </c>
      <c r="L1401" s="31"/>
      <c r="M1401" s="32"/>
      <c r="N1401" s="31"/>
      <c r="O1401" s="33">
        <v>45699</v>
      </c>
      <c r="P1401" s="34">
        <v>340399.0625</v>
      </c>
      <c r="Q1401" s="34">
        <v>381639.28125</v>
      </c>
      <c r="R1401" s="34">
        <v>446588</v>
      </c>
      <c r="S1401" s="29"/>
      <c r="T1401" s="33"/>
      <c r="U1401" s="35" t="b">
        <v>0</v>
      </c>
      <c r="V1401" s="35" t="b">
        <v>0</v>
      </c>
      <c r="W1401" s="35" t="b">
        <v>0</v>
      </c>
      <c r="Y1401" s="31" cm="1">
        <f t="array" ref="Y1401">IF(LEFT(_xll.BDP($C1401, VOLUME_AVG_10D), 4) = "#N/A", "",  _xll.BDP($C1401, VOLUME_AVG_10D))</f>
        <v>353190.09375</v>
      </c>
      <c r="Z1401" s="31" cm="1">
        <f t="array" ref="Z1401">IF(LEFT(_xll.BDP($C1401, VOLUME_AVG_30D), 4) = "#N/A", "",  _xll.BDP($C1401, VOLUME_AVG_30D))</f>
        <v>340399.0625</v>
      </c>
      <c r="AA1401" s="31" cm="1">
        <f t="array" ref="AA1401">IF(LEFT(_xll.BDP($C1401, VOLUME_AVG_3M), 4) = "#N/A", "",  _xll.BDP($C1401, VOLUME_AVG_3M))</f>
        <v>381639.28125</v>
      </c>
      <c r="AB1401" s="31" cm="1">
        <f t="array" ref="AB1401">IF(LEFT(_xll.BDP($C1401, VOLUME_AVG_6M), 4) = "#N/A", "",  _xll.BDP($C1401, VOLUME_AVG_6M))</f>
        <v>446588</v>
      </c>
      <c r="AC1401" s="31" cm="1">
        <f t="array" ref="AC1401">IF(LEFT(_xll.BDP($C1401, VOLUME_AVG_12M), 4) = "#N/A", "",  _xll.BDP($C1401, VOLUME_AVG_12M))</f>
        <v>513778.625</v>
      </c>
      <c r="AD1401" s="41" cm="1">
        <f t="array" ref="AD1401">IF(LEFT(_xll.BDP($C1401, LAST_PRICE), 4) = "#N/A", "",  _xll.BDP($C1401, LAST_PRICE))</f>
        <v>20.09</v>
      </c>
    </row>
    <row r="1402" spans="1:30" x14ac:dyDescent="0.35">
      <c r="A1402" s="1">
        <f t="shared" si="21"/>
        <v>1399</v>
      </c>
      <c r="B1402" s="28">
        <v>45700</v>
      </c>
      <c r="C1402" s="29" t="s">
        <v>2845</v>
      </c>
      <c r="D1402" s="29" t="s">
        <v>2845</v>
      </c>
      <c r="E1402" s="29" t="s">
        <v>2846</v>
      </c>
      <c r="F1402" s="29" t="s">
        <v>33</v>
      </c>
      <c r="G1402" s="30" t="s">
        <v>34</v>
      </c>
      <c r="H1402" s="31">
        <v>3041797.86302733</v>
      </c>
      <c r="I1402" s="31">
        <v>3007976.86302733</v>
      </c>
      <c r="J1402" s="32">
        <v>0.153500005602837</v>
      </c>
      <c r="K1402" s="33">
        <v>45700</v>
      </c>
      <c r="L1402" s="31">
        <v>16900</v>
      </c>
      <c r="M1402" s="32">
        <v>3.3</v>
      </c>
      <c r="N1402" s="31" t="s">
        <v>35</v>
      </c>
      <c r="O1402" s="33">
        <v>45699</v>
      </c>
      <c r="P1402" s="34">
        <v>335.29998779296898</v>
      </c>
      <c r="Q1402" s="34">
        <v>468.29031372070301</v>
      </c>
      <c r="R1402" s="34">
        <v>519.32781982421898</v>
      </c>
      <c r="S1402" s="29"/>
      <c r="T1402" s="33"/>
      <c r="U1402" s="35" t="b">
        <v>1</v>
      </c>
      <c r="V1402" s="35" t="b">
        <v>0</v>
      </c>
      <c r="W1402" s="35" t="b">
        <v>0</v>
      </c>
      <c r="Y1402" s="31" cm="1">
        <f t="array" ref="Y1402">IF(LEFT(_xll.BDP($C1402, VOLUME_AVG_10D), 4) = "#N/A", "",  _xll.BDP($C1402, VOLUME_AVG_10D))</f>
        <v>103.09999847412109</v>
      </c>
      <c r="Z1402" s="31" cm="1">
        <f t="array" ref="Z1402">IF(LEFT(_xll.BDP($C1402, VOLUME_AVG_30D), 4) = "#N/A", "",  _xll.BDP($C1402, VOLUME_AVG_30D))</f>
        <v>335.29998779296875</v>
      </c>
      <c r="AA1402" s="31" cm="1">
        <f t="array" ref="AA1402">IF(LEFT(_xll.BDP($C1402, VOLUME_AVG_3M), 4) = "#N/A", "",  _xll.BDP($C1402, VOLUME_AVG_3M))</f>
        <v>468.29031372070313</v>
      </c>
      <c r="AB1402" s="31" cm="1">
        <f t="array" ref="AB1402">IF(LEFT(_xll.BDP($C1402, VOLUME_AVG_6M), 4) = "#N/A", "",  _xll.BDP($C1402, VOLUME_AVG_6M))</f>
        <v>519.32781982421875</v>
      </c>
      <c r="AC1402" s="31" cm="1">
        <f t="array" ref="AC1402">IF(LEFT(_xll.BDP($C1402, VOLUME_AVG_12M), 4) = "#N/A", "",  _xll.BDP($C1402, VOLUME_AVG_12M))</f>
        <v>731.12738037109375</v>
      </c>
      <c r="AD1402" s="41" cm="1">
        <f t="array" ref="AD1402">IF(LEFT(_xll.BDP($C1402, LAST_PRICE), 4) = "#N/A", "",  _xll.BDP($C1402, LAST_PRICE))</f>
        <v>0.1535</v>
      </c>
    </row>
    <row r="1403" spans="1:30" x14ac:dyDescent="0.35">
      <c r="A1403" s="1">
        <f t="shared" si="21"/>
        <v>1400</v>
      </c>
      <c r="B1403" s="28">
        <v>45700</v>
      </c>
      <c r="C1403" s="29" t="s">
        <v>2847</v>
      </c>
      <c r="D1403" s="29" t="s">
        <v>2847</v>
      </c>
      <c r="E1403" s="29" t="s">
        <v>2848</v>
      </c>
      <c r="F1403" s="29" t="s">
        <v>33</v>
      </c>
      <c r="G1403" s="30" t="s">
        <v>34</v>
      </c>
      <c r="H1403" s="31">
        <v>543441196.14317906</v>
      </c>
      <c r="I1403" s="31">
        <v>277339196.143179</v>
      </c>
      <c r="J1403" s="32">
        <v>10.2600002288818</v>
      </c>
      <c r="K1403" s="33">
        <v>45700</v>
      </c>
      <c r="L1403" s="31">
        <v>8342600</v>
      </c>
      <c r="M1403" s="32">
        <v>3.88</v>
      </c>
      <c r="N1403" s="31" t="s">
        <v>35</v>
      </c>
      <c r="O1403" s="33">
        <v>45699</v>
      </c>
      <c r="P1403" s="34">
        <v>803774.875</v>
      </c>
      <c r="Q1403" s="34">
        <v>741017.0625</v>
      </c>
      <c r="R1403" s="34">
        <v>632930.6875</v>
      </c>
      <c r="S1403" s="29" t="s">
        <v>82</v>
      </c>
      <c r="T1403" s="33">
        <v>45446</v>
      </c>
      <c r="U1403" s="35" t="b">
        <v>0</v>
      </c>
      <c r="V1403" s="35" t="b">
        <v>0</v>
      </c>
      <c r="W1403" s="35" t="b">
        <v>0</v>
      </c>
      <c r="Y1403" s="31" cm="1">
        <f t="array" ref="Y1403">IF(LEFT(_xll.BDP($C1403, VOLUME_AVG_10D), 4) = "#N/A", "",  _xll.BDP($C1403, VOLUME_AVG_10D))</f>
        <v>827256.3125</v>
      </c>
      <c r="Z1403" s="31" cm="1">
        <f t="array" ref="Z1403">IF(LEFT(_xll.BDP($C1403, VOLUME_AVG_30D), 4) = "#N/A", "",  _xll.BDP($C1403, VOLUME_AVG_30D))</f>
        <v>803774.875</v>
      </c>
      <c r="AA1403" s="31" cm="1">
        <f t="array" ref="AA1403">IF(LEFT(_xll.BDP($C1403, VOLUME_AVG_3M), 4) = "#N/A", "",  _xll.BDP($C1403, VOLUME_AVG_3M))</f>
        <v>741017.0625</v>
      </c>
      <c r="AB1403" s="31" cm="1">
        <f t="array" ref="AB1403">IF(LEFT(_xll.BDP($C1403, VOLUME_AVG_6M), 4) = "#N/A", "",  _xll.BDP($C1403, VOLUME_AVG_6M))</f>
        <v>632930.6875</v>
      </c>
      <c r="AC1403" s="31" cm="1">
        <f t="array" ref="AC1403">IF(LEFT(_xll.BDP($C1403, VOLUME_AVG_12M), 4) = "#N/A", "",  _xll.BDP($C1403, VOLUME_AVG_12M))</f>
        <v>824541.625</v>
      </c>
      <c r="AD1403" s="41" cm="1">
        <f t="array" ref="AD1403">IF(LEFT(_xll.BDP($C1403, LAST_PRICE), 4) = "#N/A", "",  _xll.BDP($C1403, LAST_PRICE))</f>
        <v>10.26</v>
      </c>
    </row>
    <row r="1404" spans="1:30" x14ac:dyDescent="0.35">
      <c r="A1404" s="1">
        <f t="shared" si="21"/>
        <v>1401</v>
      </c>
      <c r="B1404" s="28">
        <v>45700</v>
      </c>
      <c r="C1404" s="29" t="s">
        <v>2849</v>
      </c>
      <c r="D1404" s="29" t="s">
        <v>2849</v>
      </c>
      <c r="E1404" s="29" t="s">
        <v>2850</v>
      </c>
      <c r="F1404" s="29" t="s">
        <v>33</v>
      </c>
      <c r="G1404" s="30" t="s">
        <v>34</v>
      </c>
      <c r="H1404" s="31">
        <v>93683.685075056506</v>
      </c>
      <c r="I1404" s="31"/>
      <c r="J1404" s="32">
        <v>0.20999999344348899</v>
      </c>
      <c r="K1404" s="33">
        <v>45700</v>
      </c>
      <c r="L1404" s="31"/>
      <c r="M1404" s="32"/>
      <c r="N1404" s="31"/>
      <c r="O1404" s="33">
        <v>45699</v>
      </c>
      <c r="P1404" s="34">
        <v>260.43331909179699</v>
      </c>
      <c r="Q1404" s="34">
        <v>635.08062744140602</v>
      </c>
      <c r="R1404" s="34">
        <v>1609.84924316406</v>
      </c>
      <c r="S1404" s="29"/>
      <c r="T1404" s="33"/>
      <c r="U1404" s="35" t="b">
        <v>1</v>
      </c>
      <c r="V1404" s="35" t="b">
        <v>0</v>
      </c>
      <c r="W1404" s="35" t="b">
        <v>1</v>
      </c>
      <c r="Y1404" s="31" cm="1">
        <f t="array" ref="Y1404">IF(LEFT(_xll.BDP($C1404, VOLUME_AVG_10D), 4) = "#N/A", "",  _xll.BDP($C1404, VOLUME_AVG_10D))</f>
        <v>51</v>
      </c>
      <c r="Z1404" s="31" cm="1">
        <f t="array" ref="Z1404">IF(LEFT(_xll.BDP($C1404, VOLUME_AVG_30D), 4) = "#N/A", "",  _xll.BDP($C1404, VOLUME_AVG_30D))</f>
        <v>260.43331909179688</v>
      </c>
      <c r="AA1404" s="31" cm="1">
        <f t="array" ref="AA1404">IF(LEFT(_xll.BDP($C1404, VOLUME_AVG_3M), 4) = "#N/A", "",  _xll.BDP($C1404, VOLUME_AVG_3M))</f>
        <v>635.08062744140625</v>
      </c>
      <c r="AB1404" s="31" cm="1">
        <f t="array" ref="AB1404">IF(LEFT(_xll.BDP($C1404, VOLUME_AVG_6M), 4) = "#N/A", "",  _xll.BDP($C1404, VOLUME_AVG_6M))</f>
        <v>1609.8492431640625</v>
      </c>
      <c r="AC1404" s="31" cm="1">
        <f t="array" ref="AC1404">IF(LEFT(_xll.BDP($C1404, VOLUME_AVG_12M), 4) = "#N/A", "",  _xll.BDP($C1404, VOLUME_AVG_12M))</f>
        <v>1366.2947998046875</v>
      </c>
      <c r="AD1404" s="41" cm="1">
        <f t="array" ref="AD1404">IF(LEFT(_xll.BDP($C1404, LAST_PRICE), 4) = "#N/A", "",  _xll.BDP($C1404, LAST_PRICE))</f>
        <v>0.21</v>
      </c>
    </row>
    <row r="1405" spans="1:30" x14ac:dyDescent="0.35">
      <c r="A1405" s="1">
        <f t="shared" si="21"/>
        <v>1402</v>
      </c>
      <c r="B1405" s="28">
        <v>45700</v>
      </c>
      <c r="C1405" s="29" t="s">
        <v>2851</v>
      </c>
      <c r="D1405" s="29" t="s">
        <v>2851</v>
      </c>
      <c r="E1405" s="29" t="s">
        <v>2852</v>
      </c>
      <c r="F1405" s="29" t="s">
        <v>33</v>
      </c>
      <c r="G1405" s="30" t="s">
        <v>34</v>
      </c>
      <c r="H1405" s="31">
        <v>11637539.0308828</v>
      </c>
      <c r="I1405" s="31">
        <v>22082539.030882802</v>
      </c>
      <c r="J1405" s="32">
        <v>2.78999996185303</v>
      </c>
      <c r="K1405" s="33">
        <v>45700</v>
      </c>
      <c r="L1405" s="31">
        <v>328500</v>
      </c>
      <c r="M1405" s="32">
        <v>-1.45</v>
      </c>
      <c r="N1405" s="31" t="s">
        <v>35</v>
      </c>
      <c r="O1405" s="33">
        <v>45699</v>
      </c>
      <c r="P1405" s="34">
        <v>6201.10009765625</v>
      </c>
      <c r="Q1405" s="34">
        <v>8610.451171875</v>
      </c>
      <c r="R1405" s="34">
        <v>9758.357421875</v>
      </c>
      <c r="S1405" s="29"/>
      <c r="T1405" s="33"/>
      <c r="U1405" s="35" t="b">
        <v>1</v>
      </c>
      <c r="V1405" s="35" t="b">
        <v>0</v>
      </c>
      <c r="W1405" s="35" t="b">
        <v>0</v>
      </c>
      <c r="Y1405" s="31" cm="1">
        <f t="array" ref="Y1405">IF(LEFT(_xll.BDP($C1405, VOLUME_AVG_10D), 4) = "#N/A", "",  _xll.BDP($C1405, VOLUME_AVG_10D))</f>
        <v>3357.39990234375</v>
      </c>
      <c r="Z1405" s="31" cm="1">
        <f t="array" ref="Z1405">IF(LEFT(_xll.BDP($C1405, VOLUME_AVG_30D), 4) = "#N/A", "",  _xll.BDP($C1405, VOLUME_AVG_30D))</f>
        <v>6201.10009765625</v>
      </c>
      <c r="AA1405" s="31" cm="1">
        <f t="array" ref="AA1405">IF(LEFT(_xll.BDP($C1405, VOLUME_AVG_3M), 4) = "#N/A", "",  _xll.BDP($C1405, VOLUME_AVG_3M))</f>
        <v>8610.451171875</v>
      </c>
      <c r="AB1405" s="31" cm="1">
        <f t="array" ref="AB1405">IF(LEFT(_xll.BDP($C1405, VOLUME_AVG_6M), 4) = "#N/A", "",  _xll.BDP($C1405, VOLUME_AVG_6M))</f>
        <v>9758.357421875</v>
      </c>
      <c r="AC1405" s="31" cm="1">
        <f t="array" ref="AC1405">IF(LEFT(_xll.BDP($C1405, VOLUME_AVG_12M), 4) = "#N/A", "",  _xll.BDP($C1405, VOLUME_AVG_12M))</f>
        <v>11897.41796875</v>
      </c>
      <c r="AD1405" s="41" cm="1">
        <f t="array" ref="AD1405">IF(LEFT(_xll.BDP($C1405, LAST_PRICE), 4) = "#N/A", "",  _xll.BDP($C1405, LAST_PRICE))</f>
        <v>2.79</v>
      </c>
    </row>
    <row r="1406" spans="1:30" x14ac:dyDescent="0.35">
      <c r="A1406" s="1">
        <f t="shared" si="21"/>
        <v>1403</v>
      </c>
      <c r="B1406" s="28">
        <v>45700</v>
      </c>
      <c r="C1406" s="29" t="s">
        <v>2853</v>
      </c>
      <c r="D1406" s="29" t="s">
        <v>2853</v>
      </c>
      <c r="E1406" s="29" t="s">
        <v>2854</v>
      </c>
      <c r="F1406" s="29" t="s">
        <v>33</v>
      </c>
      <c r="G1406" s="30" t="s">
        <v>34</v>
      </c>
      <c r="H1406" s="31">
        <v>15426161.301726099</v>
      </c>
      <c r="I1406" s="31">
        <v>26934161.301726099</v>
      </c>
      <c r="J1406" s="32">
        <v>3.6099998950958301</v>
      </c>
      <c r="K1406" s="33">
        <v>45700</v>
      </c>
      <c r="L1406" s="31">
        <v>274300</v>
      </c>
      <c r="M1406" s="32">
        <v>-1.7</v>
      </c>
      <c r="N1406" s="31" t="s">
        <v>35</v>
      </c>
      <c r="O1406" s="33">
        <v>45699</v>
      </c>
      <c r="P1406" s="34">
        <v>19986.166015625</v>
      </c>
      <c r="Q1406" s="34">
        <v>33439.88671875</v>
      </c>
      <c r="R1406" s="34">
        <v>38352.9296875</v>
      </c>
      <c r="S1406" s="29"/>
      <c r="T1406" s="33"/>
      <c r="U1406" s="35" t="b">
        <v>1</v>
      </c>
      <c r="V1406" s="35" t="b">
        <v>0</v>
      </c>
      <c r="W1406" s="35" t="b">
        <v>0</v>
      </c>
      <c r="Y1406" s="31" cm="1">
        <f t="array" ref="Y1406">IF(LEFT(_xll.BDP($C1406, VOLUME_AVG_10D), 4) = "#N/A", "",  _xll.BDP($C1406, VOLUME_AVG_10D))</f>
        <v>16225</v>
      </c>
      <c r="Z1406" s="31" cm="1">
        <f t="array" ref="Z1406">IF(LEFT(_xll.BDP($C1406, VOLUME_AVG_30D), 4) = "#N/A", "",  _xll.BDP($C1406, VOLUME_AVG_30D))</f>
        <v>19986.166015625</v>
      </c>
      <c r="AA1406" s="31" cm="1">
        <f t="array" ref="AA1406">IF(LEFT(_xll.BDP($C1406, VOLUME_AVG_3M), 4) = "#N/A", "",  _xll.BDP($C1406, VOLUME_AVG_3M))</f>
        <v>33439.88671875</v>
      </c>
      <c r="AB1406" s="31" cm="1">
        <f t="array" ref="AB1406">IF(LEFT(_xll.BDP($C1406, VOLUME_AVG_6M), 4) = "#N/A", "",  _xll.BDP($C1406, VOLUME_AVG_6M))</f>
        <v>38352.9296875</v>
      </c>
      <c r="AC1406" s="31" cm="1">
        <f t="array" ref="AC1406">IF(LEFT(_xll.BDP($C1406, VOLUME_AVG_12M), 4) = "#N/A", "",  _xll.BDP($C1406, VOLUME_AVG_12M))</f>
        <v>21481.419921875</v>
      </c>
      <c r="AD1406" s="41" cm="1">
        <f t="array" ref="AD1406">IF(LEFT(_xll.BDP($C1406, LAST_PRICE), 4) = "#N/A", "",  _xll.BDP($C1406, LAST_PRICE))</f>
        <v>3.61</v>
      </c>
    </row>
    <row r="1407" spans="1:30" x14ac:dyDescent="0.35">
      <c r="A1407" s="1">
        <f t="shared" si="21"/>
        <v>1404</v>
      </c>
      <c r="B1407" s="28">
        <v>45700</v>
      </c>
      <c r="C1407" s="29" t="s">
        <v>2855</v>
      </c>
      <c r="D1407" s="29" t="s">
        <v>2855</v>
      </c>
      <c r="E1407" s="29" t="s">
        <v>2856</v>
      </c>
      <c r="F1407" s="29" t="s">
        <v>33</v>
      </c>
      <c r="G1407" s="30" t="s">
        <v>34</v>
      </c>
      <c r="H1407" s="31">
        <v>1393152145.39136</v>
      </c>
      <c r="I1407" s="31">
        <v>931282145.39135695</v>
      </c>
      <c r="J1407" s="32">
        <v>24.329999923706101</v>
      </c>
      <c r="K1407" s="33">
        <v>45700</v>
      </c>
      <c r="L1407" s="31">
        <v>11889000</v>
      </c>
      <c r="M1407" s="32">
        <v>3.88</v>
      </c>
      <c r="N1407" s="31" t="s">
        <v>35</v>
      </c>
      <c r="O1407" s="33">
        <v>45699</v>
      </c>
      <c r="P1407" s="34">
        <v>820028.75</v>
      </c>
      <c r="Q1407" s="34">
        <v>896991.5625</v>
      </c>
      <c r="R1407" s="34">
        <v>782296.5</v>
      </c>
      <c r="S1407" s="29" t="s">
        <v>195</v>
      </c>
      <c r="T1407" s="33">
        <v>45446</v>
      </c>
      <c r="U1407" s="35" t="b">
        <v>0</v>
      </c>
      <c r="V1407" s="35" t="b">
        <v>0</v>
      </c>
      <c r="W1407" s="35" t="b">
        <v>0</v>
      </c>
      <c r="Y1407" s="31" cm="1">
        <f t="array" ref="Y1407">IF(LEFT(_xll.BDP($C1407, VOLUME_AVG_10D), 4) = "#N/A", "",  _xll.BDP($C1407, VOLUME_AVG_10D))</f>
        <v>948233.6875</v>
      </c>
      <c r="Z1407" s="31" cm="1">
        <f t="array" ref="Z1407">IF(LEFT(_xll.BDP($C1407, VOLUME_AVG_30D), 4) = "#N/A", "",  _xll.BDP($C1407, VOLUME_AVG_30D))</f>
        <v>820028.75</v>
      </c>
      <c r="AA1407" s="31" cm="1">
        <f t="array" ref="AA1407">IF(LEFT(_xll.BDP($C1407, VOLUME_AVG_3M), 4) = "#N/A", "",  _xll.BDP($C1407, VOLUME_AVG_3M))</f>
        <v>896991.5625</v>
      </c>
      <c r="AB1407" s="31" cm="1">
        <f t="array" ref="AB1407">IF(LEFT(_xll.BDP($C1407, VOLUME_AVG_6M), 4) = "#N/A", "",  _xll.BDP($C1407, VOLUME_AVG_6M))</f>
        <v>782296.5</v>
      </c>
      <c r="AC1407" s="31" cm="1">
        <f t="array" ref="AC1407">IF(LEFT(_xll.BDP($C1407, VOLUME_AVG_12M), 4) = "#N/A", "",  _xll.BDP($C1407, VOLUME_AVG_12M))</f>
        <v>836650.4375</v>
      </c>
      <c r="AD1407" s="41" cm="1">
        <f t="array" ref="AD1407">IF(LEFT(_xll.BDP($C1407, LAST_PRICE), 4) = "#N/A", "",  _xll.BDP($C1407, LAST_PRICE))</f>
        <v>24.33</v>
      </c>
    </row>
    <row r="1408" spans="1:30" x14ac:dyDescent="0.35">
      <c r="A1408" s="1">
        <f t="shared" si="21"/>
        <v>1405</v>
      </c>
      <c r="B1408" s="28">
        <v>45700</v>
      </c>
      <c r="C1408" s="29" t="s">
        <v>2857</v>
      </c>
      <c r="D1408" s="29" t="s">
        <v>2857</v>
      </c>
      <c r="E1408" s="29" t="s">
        <v>2858</v>
      </c>
      <c r="F1408" s="29" t="s">
        <v>33</v>
      </c>
      <c r="G1408" s="30" t="s">
        <v>34</v>
      </c>
      <c r="H1408" s="31">
        <v>147148359065.66901</v>
      </c>
      <c r="I1408" s="31">
        <v>154843359065.66901</v>
      </c>
      <c r="J1408" s="32">
        <v>385.63000488281301</v>
      </c>
      <c r="K1408" s="33">
        <v>45700</v>
      </c>
      <c r="L1408" s="31">
        <v>100079600</v>
      </c>
      <c r="M1408" s="32">
        <v>3.88</v>
      </c>
      <c r="N1408" s="31" t="s">
        <v>35</v>
      </c>
      <c r="O1408" s="33">
        <v>45699</v>
      </c>
      <c r="P1408" s="34">
        <v>1395129.875</v>
      </c>
      <c r="Q1408" s="34">
        <v>1366179.5</v>
      </c>
      <c r="R1408" s="34">
        <v>1215998.625</v>
      </c>
      <c r="S1408" s="29"/>
      <c r="T1408" s="33"/>
      <c r="U1408" s="35" t="b">
        <v>0</v>
      </c>
      <c r="V1408" s="35" t="b">
        <v>0</v>
      </c>
      <c r="W1408" s="35" t="b">
        <v>0</v>
      </c>
      <c r="Y1408" s="31" cm="1">
        <f t="array" ref="Y1408">IF(LEFT(_xll.BDP($C1408, VOLUME_AVG_10D), 4) = "#N/A", "",  _xll.BDP($C1408, VOLUME_AVG_10D))</f>
        <v>1405359.25</v>
      </c>
      <c r="Z1408" s="31" cm="1">
        <f t="array" ref="Z1408">IF(LEFT(_xll.BDP($C1408, VOLUME_AVG_30D), 4) = "#N/A", "",  _xll.BDP($C1408, VOLUME_AVG_30D))</f>
        <v>1395129.875</v>
      </c>
      <c r="AA1408" s="31" cm="1">
        <f t="array" ref="AA1408">IF(LEFT(_xll.BDP($C1408, VOLUME_AVG_3M), 4) = "#N/A", "",  _xll.BDP($C1408, VOLUME_AVG_3M))</f>
        <v>1366179.5</v>
      </c>
      <c r="AB1408" s="31" cm="1">
        <f t="array" ref="AB1408">IF(LEFT(_xll.BDP($C1408, VOLUME_AVG_6M), 4) = "#N/A", "",  _xll.BDP($C1408, VOLUME_AVG_6M))</f>
        <v>1215998.625</v>
      </c>
      <c r="AC1408" s="31" cm="1">
        <f t="array" ref="AC1408">IF(LEFT(_xll.BDP($C1408, VOLUME_AVG_12M), 4) = "#N/A", "",  _xll.BDP($C1408, VOLUME_AVG_12M))</f>
        <v>1254109.625</v>
      </c>
      <c r="AD1408" s="41" cm="1">
        <f t="array" ref="AD1408">IF(LEFT(_xll.BDP($C1408, LAST_PRICE), 4) = "#N/A", "",  _xll.BDP($C1408, LAST_PRICE))</f>
        <v>385.63</v>
      </c>
    </row>
    <row r="1409" spans="1:30" x14ac:dyDescent="0.35">
      <c r="A1409" s="1">
        <f t="shared" si="21"/>
        <v>1406</v>
      </c>
      <c r="B1409" s="28">
        <v>45700</v>
      </c>
      <c r="C1409" s="29" t="s">
        <v>2859</v>
      </c>
      <c r="D1409" s="29" t="s">
        <v>2859</v>
      </c>
      <c r="E1409" s="29" t="s">
        <v>2860</v>
      </c>
      <c r="F1409" s="29" t="s">
        <v>33</v>
      </c>
      <c r="G1409" s="30" t="s">
        <v>34</v>
      </c>
      <c r="H1409" s="31">
        <v>14431859992.168699</v>
      </c>
      <c r="I1409" s="31">
        <v>13952638992.168699</v>
      </c>
      <c r="J1409" s="32">
        <v>19.569999694824201</v>
      </c>
      <c r="K1409" s="33">
        <v>45700</v>
      </c>
      <c r="L1409" s="31">
        <v>5793700</v>
      </c>
      <c r="M1409" s="32">
        <v>3.55</v>
      </c>
      <c r="N1409" s="31" t="s">
        <v>35</v>
      </c>
      <c r="O1409" s="33">
        <v>45699</v>
      </c>
      <c r="P1409" s="34">
        <v>2219426</v>
      </c>
      <c r="Q1409" s="34">
        <v>2129201.5</v>
      </c>
      <c r="R1409" s="34">
        <v>3641322.75</v>
      </c>
      <c r="S1409" s="29" t="s">
        <v>46</v>
      </c>
      <c r="T1409" s="33">
        <v>45446</v>
      </c>
      <c r="U1409" s="35" t="b">
        <v>0</v>
      </c>
      <c r="V1409" s="35" t="b">
        <v>0</v>
      </c>
      <c r="W1409" s="35" t="b">
        <v>0</v>
      </c>
      <c r="Y1409" s="31" cm="1">
        <f t="array" ref="Y1409">IF(LEFT(_xll.BDP($C1409, VOLUME_AVG_10D), 4) = "#N/A", "",  _xll.BDP($C1409, VOLUME_AVG_10D))</f>
        <v>1691624.5</v>
      </c>
      <c r="Z1409" s="31" cm="1">
        <f t="array" ref="Z1409">IF(LEFT(_xll.BDP($C1409, VOLUME_AVG_30D), 4) = "#N/A", "",  _xll.BDP($C1409, VOLUME_AVG_30D))</f>
        <v>2219426</v>
      </c>
      <c r="AA1409" s="31" cm="1">
        <f t="array" ref="AA1409">IF(LEFT(_xll.BDP($C1409, VOLUME_AVG_3M), 4) = "#N/A", "",  _xll.BDP($C1409, VOLUME_AVG_3M))</f>
        <v>2129201.5</v>
      </c>
      <c r="AB1409" s="31" cm="1">
        <f t="array" ref="AB1409">IF(LEFT(_xll.BDP($C1409, VOLUME_AVG_6M), 4) = "#N/A", "",  _xll.BDP($C1409, VOLUME_AVG_6M))</f>
        <v>3641322.75</v>
      </c>
      <c r="AC1409" s="31" cm="1">
        <f t="array" ref="AC1409">IF(LEFT(_xll.BDP($C1409, VOLUME_AVG_12M), 4) = "#N/A", "",  _xll.BDP($C1409, VOLUME_AVG_12M))</f>
        <v>3421051.25</v>
      </c>
      <c r="AD1409" s="41" cm="1">
        <f t="array" ref="AD1409">IF(LEFT(_xll.BDP($C1409, LAST_PRICE), 4) = "#N/A", "",  _xll.BDP($C1409, LAST_PRICE))</f>
        <v>19.57</v>
      </c>
    </row>
    <row r="1410" spans="1:30" x14ac:dyDescent="0.35">
      <c r="A1410" s="1">
        <f t="shared" si="21"/>
        <v>1407</v>
      </c>
      <c r="B1410" s="28">
        <v>45700</v>
      </c>
      <c r="C1410" s="29" t="s">
        <v>2861</v>
      </c>
      <c r="D1410" s="29" t="s">
        <v>2861</v>
      </c>
      <c r="E1410" s="29" t="s">
        <v>2862</v>
      </c>
      <c r="F1410" s="29" t="s">
        <v>33</v>
      </c>
      <c r="G1410" s="30" t="s">
        <v>34</v>
      </c>
      <c r="H1410" s="31">
        <v>5632482.48393053</v>
      </c>
      <c r="I1410" s="31">
        <v>-1009517.51606947</v>
      </c>
      <c r="J1410" s="32">
        <v>0.80000001192092896</v>
      </c>
      <c r="K1410" s="33">
        <v>45700</v>
      </c>
      <c r="L1410" s="31">
        <v>338700</v>
      </c>
      <c r="M1410" s="32">
        <v>-0.45</v>
      </c>
      <c r="N1410" s="31" t="s">
        <v>35</v>
      </c>
      <c r="O1410" s="33">
        <v>45699</v>
      </c>
      <c r="P1410" s="34">
        <v>341412.59375</v>
      </c>
      <c r="Q1410" s="34">
        <v>339647.75</v>
      </c>
      <c r="R1410" s="34">
        <v>170520.046875</v>
      </c>
      <c r="S1410" s="29"/>
      <c r="T1410" s="33"/>
      <c r="U1410" s="35" t="b">
        <v>1</v>
      </c>
      <c r="V1410" s="35" t="b">
        <v>0</v>
      </c>
      <c r="W1410" s="35" t="b">
        <v>1</v>
      </c>
      <c r="Y1410" s="31" cm="1">
        <f t="array" ref="Y1410">IF(LEFT(_xll.BDP($C1410, VOLUME_AVG_10D), 4) = "#N/A", "",  _xll.BDP($C1410, VOLUME_AVG_10D))</f>
        <v>42125.30078125</v>
      </c>
      <c r="Z1410" s="31" cm="1">
        <f t="array" ref="Z1410">IF(LEFT(_xll.BDP($C1410, VOLUME_AVG_30D), 4) = "#N/A", "",  _xll.BDP($C1410, VOLUME_AVG_30D))</f>
        <v>341412.59375</v>
      </c>
      <c r="AA1410" s="31" cm="1">
        <f t="array" ref="AA1410">IF(LEFT(_xll.BDP($C1410, VOLUME_AVG_3M), 4) = "#N/A", "",  _xll.BDP($C1410, VOLUME_AVG_3M))</f>
        <v>339647.75</v>
      </c>
      <c r="AB1410" s="31" cm="1">
        <f t="array" ref="AB1410">IF(LEFT(_xll.BDP($C1410, VOLUME_AVG_6M), 4) = "#N/A", "",  _xll.BDP($C1410, VOLUME_AVG_6M))</f>
        <v>170520.046875</v>
      </c>
      <c r="AC1410" s="31" cm="1">
        <f t="array" ref="AC1410">IF(LEFT(_xll.BDP($C1410, VOLUME_AVG_12M), 4) = "#N/A", "",  _xll.BDP($C1410, VOLUME_AVG_12M))</f>
        <v>95749.5078125</v>
      </c>
      <c r="AD1410" s="41" cm="1">
        <f t="array" ref="AD1410">IF(LEFT(_xll.BDP($C1410, LAST_PRICE), 4) = "#N/A", "",  _xll.BDP($C1410, LAST_PRICE))</f>
        <v>0.8</v>
      </c>
    </row>
    <row r="1411" spans="1:30" x14ac:dyDescent="0.35">
      <c r="A1411" s="1">
        <f t="shared" si="21"/>
        <v>1408</v>
      </c>
      <c r="B1411" s="28">
        <v>45700</v>
      </c>
      <c r="C1411" s="29" t="s">
        <v>2863</v>
      </c>
      <c r="D1411" s="29" t="s">
        <v>2863</v>
      </c>
      <c r="E1411" s="29" t="s">
        <v>2864</v>
      </c>
      <c r="F1411" s="29" t="s">
        <v>33</v>
      </c>
      <c r="G1411" s="30" t="s">
        <v>34</v>
      </c>
      <c r="H1411" s="31">
        <v>538.6771</v>
      </c>
      <c r="I1411" s="31"/>
      <c r="J1411" s="32"/>
      <c r="K1411" s="33">
        <v>45700</v>
      </c>
      <c r="L1411" s="31"/>
      <c r="M1411" s="32"/>
      <c r="N1411" s="31"/>
      <c r="O1411" s="33">
        <v>45699</v>
      </c>
      <c r="P1411" s="34">
        <v>73.966667175292997</v>
      </c>
      <c r="Q1411" s="34">
        <v>327.53225708007801</v>
      </c>
      <c r="R1411" s="34">
        <v>1841.00793457031</v>
      </c>
      <c r="S1411" s="29"/>
      <c r="T1411" s="33"/>
      <c r="U1411" s="35" t="b">
        <v>1</v>
      </c>
      <c r="V1411" s="35" t="b">
        <v>1</v>
      </c>
      <c r="W1411" s="35" t="b">
        <v>1</v>
      </c>
      <c r="Y1411" s="31" cm="1">
        <f t="array" ref="Y1411">IF(LEFT(_xll.BDP($C1411, VOLUME_AVG_10D), 4) = "#N/A", "",  _xll.BDP($C1411, VOLUME_AVG_10D))</f>
        <v>0</v>
      </c>
      <c r="Z1411" s="31" cm="1">
        <f t="array" ref="Z1411">IF(LEFT(_xll.BDP($C1411, VOLUME_AVG_30D), 4) = "#N/A", "",  _xll.BDP($C1411, VOLUME_AVG_30D))</f>
        <v>73.966667175292969</v>
      </c>
      <c r="AA1411" s="31" cm="1">
        <f t="array" ref="AA1411">IF(LEFT(_xll.BDP($C1411, VOLUME_AVG_3M), 4) = "#N/A", "",  _xll.BDP($C1411, VOLUME_AVG_3M))</f>
        <v>327.53225708007813</v>
      </c>
      <c r="AB1411" s="31" cm="1">
        <f t="array" ref="AB1411">IF(LEFT(_xll.BDP($C1411, VOLUME_AVG_6M), 4) = "#N/A", "",  _xll.BDP($C1411, VOLUME_AVG_6M))</f>
        <v>1841.0079345703125</v>
      </c>
      <c r="AC1411" s="31" cm="1">
        <f t="array" ref="AC1411">IF(LEFT(_xll.BDP($C1411, VOLUME_AVG_12M), 4) = "#N/A", "",  _xll.BDP($C1411, VOLUME_AVG_12M))</f>
        <v>932.239013671875</v>
      </c>
      <c r="AD1411" s="41" cm="1">
        <f t="array" ref="AD1411">IF(LEFT(_xll.BDP($C1411, LAST_PRICE), 4) = "#N/A", "",  _xll.BDP($C1411, LAST_PRICE))</f>
        <v>1E-4</v>
      </c>
    </row>
    <row r="1412" spans="1:30" x14ac:dyDescent="0.35">
      <c r="A1412" s="1">
        <f t="shared" si="21"/>
        <v>1409</v>
      </c>
      <c r="B1412" s="28">
        <v>45700</v>
      </c>
      <c r="C1412" s="29" t="s">
        <v>2865</v>
      </c>
      <c r="D1412" s="29" t="s">
        <v>2865</v>
      </c>
      <c r="E1412" s="29" t="s">
        <v>2866</v>
      </c>
      <c r="F1412" s="29" t="s">
        <v>33</v>
      </c>
      <c r="G1412" s="30" t="s">
        <v>34</v>
      </c>
      <c r="H1412" s="31">
        <v>4939160.2572107296</v>
      </c>
      <c r="I1412" s="31">
        <v>-6710943.7427892704</v>
      </c>
      <c r="J1412" s="32">
        <v>2.4700000286102299</v>
      </c>
      <c r="K1412" s="33">
        <v>45700</v>
      </c>
      <c r="L1412" s="31">
        <v>120700</v>
      </c>
      <c r="M1412" s="32">
        <v>-58.75</v>
      </c>
      <c r="N1412" s="31" t="s">
        <v>35</v>
      </c>
      <c r="O1412" s="33">
        <v>45699</v>
      </c>
      <c r="P1412" s="34">
        <v>100422.03125</v>
      </c>
      <c r="Q1412" s="34">
        <v>671467.375</v>
      </c>
      <c r="R1412" s="34">
        <v>422574.875</v>
      </c>
      <c r="S1412" s="29"/>
      <c r="T1412" s="33"/>
      <c r="U1412" s="35" t="b">
        <v>1</v>
      </c>
      <c r="V1412" s="35" t="b">
        <v>0</v>
      </c>
      <c r="W1412" s="35" t="b">
        <v>1</v>
      </c>
      <c r="Y1412" s="31" cm="1">
        <f t="array" ref="Y1412">IF(LEFT(_xll.BDP($C1412, VOLUME_AVG_10D), 4) = "#N/A", "",  _xll.BDP($C1412, VOLUME_AVG_10D))</f>
        <v>53133.30078125</v>
      </c>
      <c r="Z1412" s="31" cm="1">
        <f t="array" ref="Z1412">IF(LEFT(_xll.BDP($C1412, VOLUME_AVG_30D), 4) = "#N/A", "",  _xll.BDP($C1412, VOLUME_AVG_30D))</f>
        <v>100422.03125</v>
      </c>
      <c r="AA1412" s="31" cm="1">
        <f t="array" ref="AA1412">IF(LEFT(_xll.BDP($C1412, VOLUME_AVG_3M), 4) = "#N/A", "",  _xll.BDP($C1412, VOLUME_AVG_3M))</f>
        <v>671467.375</v>
      </c>
      <c r="AB1412" s="31" cm="1">
        <f t="array" ref="AB1412">IF(LEFT(_xll.BDP($C1412, VOLUME_AVG_6M), 4) = "#N/A", "",  _xll.BDP($C1412, VOLUME_AVG_6M))</f>
        <v>422574.875</v>
      </c>
      <c r="AC1412" s="31" cm="1">
        <f t="array" ref="AC1412">IF(LEFT(_xll.BDP($C1412, VOLUME_AVG_12M), 4) = "#N/A", "",  _xll.BDP($C1412, VOLUME_AVG_12M))</f>
        <v>276648.90625</v>
      </c>
      <c r="AD1412" s="41" cm="1">
        <f t="array" ref="AD1412">IF(LEFT(_xll.BDP($C1412, LAST_PRICE), 4) = "#N/A", "",  _xll.BDP($C1412, LAST_PRICE))</f>
        <v>2.4700000000000002</v>
      </c>
    </row>
    <row r="1413" spans="1:30" x14ac:dyDescent="0.35">
      <c r="A1413" s="1">
        <f t="shared" si="21"/>
        <v>1410</v>
      </c>
      <c r="B1413" s="28">
        <v>45700</v>
      </c>
      <c r="C1413" s="29" t="s">
        <v>2867</v>
      </c>
      <c r="D1413" s="29" t="s">
        <v>2867</v>
      </c>
      <c r="E1413" s="29" t="s">
        <v>2868</v>
      </c>
      <c r="F1413" s="29" t="s">
        <v>33</v>
      </c>
      <c r="G1413" s="30" t="s">
        <v>34</v>
      </c>
      <c r="H1413" s="31">
        <v>19963.280299999999</v>
      </c>
      <c r="I1413" s="31">
        <v>-2046886.7197</v>
      </c>
      <c r="J1413" s="32">
        <v>1E-4</v>
      </c>
      <c r="K1413" s="33">
        <v>45700</v>
      </c>
      <c r="L1413" s="31"/>
      <c r="M1413" s="32"/>
      <c r="N1413" s="31"/>
      <c r="O1413" s="33">
        <v>45699</v>
      </c>
      <c r="P1413" s="34">
        <v>40</v>
      </c>
      <c r="Q1413" s="34">
        <v>1761.29028320313</v>
      </c>
      <c r="R1413" s="34">
        <v>5490.16650390625</v>
      </c>
      <c r="S1413" s="29"/>
      <c r="T1413" s="33"/>
      <c r="U1413" s="35" t="b">
        <v>1</v>
      </c>
      <c r="V1413" s="35" t="b">
        <v>1</v>
      </c>
      <c r="W1413" s="35" t="b">
        <v>1</v>
      </c>
      <c r="Y1413" s="31" cm="1">
        <f t="array" ref="Y1413">IF(LEFT(_xll.BDP($C1413, VOLUME_AVG_10D), 4) = "#N/A", "",  _xll.BDP($C1413, VOLUME_AVG_10D))</f>
        <v>0</v>
      </c>
      <c r="Z1413" s="31" cm="1">
        <f t="array" ref="Z1413">IF(LEFT(_xll.BDP($C1413, VOLUME_AVG_30D), 4) = "#N/A", "",  _xll.BDP($C1413, VOLUME_AVG_30D))</f>
        <v>40</v>
      </c>
      <c r="AA1413" s="31" cm="1">
        <f t="array" ref="AA1413">IF(LEFT(_xll.BDP($C1413, VOLUME_AVG_3M), 4) = "#N/A", "",  _xll.BDP($C1413, VOLUME_AVG_3M))</f>
        <v>1761.290283203125</v>
      </c>
      <c r="AB1413" s="31" cm="1">
        <f t="array" ref="AB1413">IF(LEFT(_xll.BDP($C1413, VOLUME_AVG_6M), 4) = "#N/A", "",  _xll.BDP($C1413, VOLUME_AVG_6M))</f>
        <v>5490.16650390625</v>
      </c>
      <c r="AC1413" s="31" cm="1">
        <f t="array" ref="AC1413">IF(LEFT(_xll.BDP($C1413, VOLUME_AVG_12M), 4) = "#N/A", "",  _xll.BDP($C1413, VOLUME_AVG_12M))</f>
        <v>3190.593505859375</v>
      </c>
      <c r="AD1413" s="41" cm="1">
        <f t="array" ref="AD1413">IF(LEFT(_xll.BDP($C1413, LAST_PRICE), 4) = "#N/A", "",  _xll.BDP($C1413, LAST_PRICE))</f>
        <v>1E-4</v>
      </c>
    </row>
    <row r="1414" spans="1:30" x14ac:dyDescent="0.35">
      <c r="A1414" s="1">
        <f t="shared" ref="A1414:A1477" si="22">IF(B1414="","", A1413+1)</f>
        <v>1411</v>
      </c>
      <c r="B1414" s="28">
        <v>45700</v>
      </c>
      <c r="C1414" s="29" t="s">
        <v>2869</v>
      </c>
      <c r="D1414" s="29" t="s">
        <v>2869</v>
      </c>
      <c r="E1414" s="29" t="s">
        <v>2870</v>
      </c>
      <c r="F1414" s="29" t="s">
        <v>33</v>
      </c>
      <c r="G1414" s="30" t="s">
        <v>34</v>
      </c>
      <c r="H1414" s="31">
        <v>2152999546.9537201</v>
      </c>
      <c r="I1414" s="31">
        <v>1787942546.9537201</v>
      </c>
      <c r="J1414" s="32">
        <v>38.990001678466797</v>
      </c>
      <c r="K1414" s="33">
        <v>45700</v>
      </c>
      <c r="L1414" s="31">
        <v>23227600</v>
      </c>
      <c r="M1414" s="32">
        <v>3.88</v>
      </c>
      <c r="N1414" s="31" t="s">
        <v>35</v>
      </c>
      <c r="O1414" s="33">
        <v>45699</v>
      </c>
      <c r="P1414" s="34">
        <v>371493.9375</v>
      </c>
      <c r="Q1414" s="34">
        <v>345293.9375</v>
      </c>
      <c r="R1414" s="34">
        <v>361094.09375</v>
      </c>
      <c r="S1414" s="29" t="s">
        <v>285</v>
      </c>
      <c r="T1414" s="33">
        <v>45446</v>
      </c>
      <c r="U1414" s="35" t="b">
        <v>0</v>
      </c>
      <c r="V1414" s="35" t="b">
        <v>0</v>
      </c>
      <c r="W1414" s="35" t="b">
        <v>0</v>
      </c>
      <c r="Y1414" s="31" cm="1">
        <f t="array" ref="Y1414">IF(LEFT(_xll.BDP($C1414, VOLUME_AVG_10D), 4) = "#N/A", "",  _xll.BDP($C1414, VOLUME_AVG_10D))</f>
        <v>398855.09375</v>
      </c>
      <c r="Z1414" s="31" cm="1">
        <f t="array" ref="Z1414">IF(LEFT(_xll.BDP($C1414, VOLUME_AVG_30D), 4) = "#N/A", "",  _xll.BDP($C1414, VOLUME_AVG_30D))</f>
        <v>371493.9375</v>
      </c>
      <c r="AA1414" s="31" cm="1">
        <f t="array" ref="AA1414">IF(LEFT(_xll.BDP($C1414, VOLUME_AVG_3M), 4) = "#N/A", "",  _xll.BDP($C1414, VOLUME_AVG_3M))</f>
        <v>345293.9375</v>
      </c>
      <c r="AB1414" s="31" cm="1">
        <f t="array" ref="AB1414">IF(LEFT(_xll.BDP($C1414, VOLUME_AVG_6M), 4) = "#N/A", "",  _xll.BDP($C1414, VOLUME_AVG_6M))</f>
        <v>361094.09375</v>
      </c>
      <c r="AC1414" s="31" cm="1">
        <f t="array" ref="AC1414">IF(LEFT(_xll.BDP($C1414, VOLUME_AVG_12M), 4) = "#N/A", "",  _xll.BDP($C1414, VOLUME_AVG_12M))</f>
        <v>441475.71875</v>
      </c>
      <c r="AD1414" s="41" cm="1">
        <f t="array" ref="AD1414">IF(LEFT(_xll.BDP($C1414, LAST_PRICE), 4) = "#N/A", "",  _xll.BDP($C1414, LAST_PRICE))</f>
        <v>38.99</v>
      </c>
    </row>
    <row r="1415" spans="1:30" x14ac:dyDescent="0.35">
      <c r="A1415" s="1">
        <f t="shared" si="22"/>
        <v>1412</v>
      </c>
      <c r="B1415" s="28">
        <v>45700</v>
      </c>
      <c r="C1415" s="29" t="s">
        <v>2871</v>
      </c>
      <c r="D1415" s="29" t="s">
        <v>2871</v>
      </c>
      <c r="E1415" s="29" t="s">
        <v>2872</v>
      </c>
      <c r="F1415" s="29" t="s">
        <v>33</v>
      </c>
      <c r="G1415" s="30" t="s">
        <v>34</v>
      </c>
      <c r="H1415" s="31">
        <v>3222327628.3899598</v>
      </c>
      <c r="I1415" s="31">
        <v>8171627628.3899603</v>
      </c>
      <c r="J1415" s="32">
        <v>25.350000381469702</v>
      </c>
      <c r="K1415" s="33">
        <v>45700</v>
      </c>
      <c r="L1415" s="31">
        <v>31982000</v>
      </c>
      <c r="M1415" s="32">
        <v>3.88</v>
      </c>
      <c r="N1415" s="31" t="s">
        <v>35</v>
      </c>
      <c r="O1415" s="33">
        <v>45699</v>
      </c>
      <c r="P1415" s="34">
        <v>1483953.625</v>
      </c>
      <c r="Q1415" s="34">
        <v>1471785.125</v>
      </c>
      <c r="R1415" s="34">
        <v>1116501.375</v>
      </c>
      <c r="S1415" s="29"/>
      <c r="T1415" s="33"/>
      <c r="U1415" s="35" t="b">
        <v>0</v>
      </c>
      <c r="V1415" s="35" t="b">
        <v>0</v>
      </c>
      <c r="W1415" s="35" t="b">
        <v>0</v>
      </c>
      <c r="Y1415" s="31" cm="1">
        <f t="array" ref="Y1415">IF(LEFT(_xll.BDP($C1415, VOLUME_AVG_10D), 4) = "#N/A", "",  _xll.BDP($C1415, VOLUME_AVG_10D))</f>
        <v>1630141.125</v>
      </c>
      <c r="Z1415" s="31" cm="1">
        <f t="array" ref="Z1415">IF(LEFT(_xll.BDP($C1415, VOLUME_AVG_30D), 4) = "#N/A", "",  _xll.BDP($C1415, VOLUME_AVG_30D))</f>
        <v>1483953.625</v>
      </c>
      <c r="AA1415" s="31" cm="1">
        <f t="array" ref="AA1415">IF(LEFT(_xll.BDP($C1415, VOLUME_AVG_3M), 4) = "#N/A", "",  _xll.BDP($C1415, VOLUME_AVG_3M))</f>
        <v>1471785.125</v>
      </c>
      <c r="AB1415" s="31" cm="1">
        <f t="array" ref="AB1415">IF(LEFT(_xll.BDP($C1415, VOLUME_AVG_6M), 4) = "#N/A", "",  _xll.BDP($C1415, VOLUME_AVG_6M))</f>
        <v>1116501.375</v>
      </c>
      <c r="AC1415" s="31" cm="1">
        <f t="array" ref="AC1415">IF(LEFT(_xll.BDP($C1415, VOLUME_AVG_12M), 4) = "#N/A", "",  _xll.BDP($C1415, VOLUME_AVG_12M))</f>
        <v>1068108.5</v>
      </c>
      <c r="AD1415" s="41" cm="1">
        <f t="array" ref="AD1415">IF(LEFT(_xll.BDP($C1415, LAST_PRICE), 4) = "#N/A", "",  _xll.BDP($C1415, LAST_PRICE))</f>
        <v>25.35</v>
      </c>
    </row>
    <row r="1416" spans="1:30" x14ac:dyDescent="0.35">
      <c r="A1416" s="1">
        <f t="shared" si="22"/>
        <v>1413</v>
      </c>
      <c r="B1416" s="28">
        <v>45700</v>
      </c>
      <c r="C1416" s="29" t="s">
        <v>2873</v>
      </c>
      <c r="D1416" s="29" t="s">
        <v>2873</v>
      </c>
      <c r="E1416" s="29" t="s">
        <v>2874</v>
      </c>
      <c r="F1416" s="29" t="s">
        <v>33</v>
      </c>
      <c r="G1416" s="30" t="s">
        <v>34</v>
      </c>
      <c r="H1416" s="31"/>
      <c r="I1416" s="31"/>
      <c r="J1416" s="32"/>
      <c r="K1416" s="33">
        <v>45700</v>
      </c>
      <c r="L1416" s="31"/>
      <c r="M1416" s="32"/>
      <c r="N1416" s="31"/>
      <c r="O1416" s="33">
        <v>45699</v>
      </c>
      <c r="P1416" s="34">
        <v>16666.666015625</v>
      </c>
      <c r="Q1416" s="34">
        <v>73986.8046875</v>
      </c>
      <c r="R1416" s="34">
        <v>69947.640625</v>
      </c>
      <c r="S1416" s="29"/>
      <c r="T1416" s="33"/>
      <c r="U1416" s="35" t="b">
        <v>1</v>
      </c>
      <c r="V1416" s="35" t="b">
        <v>1</v>
      </c>
      <c r="W1416" s="35" t="b">
        <v>1</v>
      </c>
      <c r="Y1416" s="31" cm="1">
        <f t="array" ref="Y1416">IF(LEFT(_xll.BDP($C1416, VOLUME_AVG_10D), 4) = "#N/A", "",  _xll.BDP($C1416, VOLUME_AVG_10D))</f>
        <v>0</v>
      </c>
      <c r="Z1416" s="31" cm="1">
        <f t="array" ref="Z1416">IF(LEFT(_xll.BDP($C1416, VOLUME_AVG_30D), 4) = "#N/A", "",  _xll.BDP($C1416, VOLUME_AVG_30D))</f>
        <v>16666.666015625</v>
      </c>
      <c r="AA1416" s="31" cm="1">
        <f t="array" ref="AA1416">IF(LEFT(_xll.BDP($C1416, VOLUME_AVG_3M), 4) = "#N/A", "",  _xll.BDP($C1416, VOLUME_AVG_3M))</f>
        <v>73986.8046875</v>
      </c>
      <c r="AB1416" s="31" cm="1">
        <f t="array" ref="AB1416">IF(LEFT(_xll.BDP($C1416, VOLUME_AVG_6M), 4) = "#N/A", "",  _xll.BDP($C1416, VOLUME_AVG_6M))</f>
        <v>69947.640625</v>
      </c>
      <c r="AC1416" s="31" cm="1">
        <f t="array" ref="AC1416">IF(LEFT(_xll.BDP($C1416, VOLUME_AVG_12M), 4) = "#N/A", "",  _xll.BDP($C1416, VOLUME_AVG_12M))</f>
        <v>104229.828125</v>
      </c>
      <c r="AD1416" s="41" cm="1">
        <f t="array" ref="AD1416">IF(LEFT(_xll.BDP($C1416, LAST_PRICE), 4) = "#N/A", "",  _xll.BDP($C1416, LAST_PRICE))</f>
        <v>0</v>
      </c>
    </row>
    <row r="1417" spans="1:30" x14ac:dyDescent="0.35">
      <c r="A1417" s="1">
        <f t="shared" si="22"/>
        <v>1414</v>
      </c>
      <c r="B1417" s="28">
        <v>45700</v>
      </c>
      <c r="C1417" s="29" t="s">
        <v>2875</v>
      </c>
      <c r="D1417" s="29" t="s">
        <v>2875</v>
      </c>
      <c r="E1417" s="29" t="s">
        <v>2876</v>
      </c>
      <c r="F1417" s="29" t="s">
        <v>33</v>
      </c>
      <c r="G1417" s="30" t="s">
        <v>34</v>
      </c>
      <c r="H1417" s="31">
        <v>483919510.48603803</v>
      </c>
      <c r="I1417" s="31">
        <v>486801510.48603803</v>
      </c>
      <c r="J1417" s="32">
        <v>33.849998474121101</v>
      </c>
      <c r="K1417" s="33">
        <v>45700</v>
      </c>
      <c r="L1417" s="31">
        <v>3075600</v>
      </c>
      <c r="M1417" s="32">
        <v>3.88</v>
      </c>
      <c r="N1417" s="31" t="s">
        <v>35</v>
      </c>
      <c r="O1417" s="33">
        <v>45699</v>
      </c>
      <c r="P1417" s="34">
        <v>322968.4375</v>
      </c>
      <c r="Q1417" s="34">
        <v>249648.03125</v>
      </c>
      <c r="R1417" s="34">
        <v>265679.84375</v>
      </c>
      <c r="S1417" s="29"/>
      <c r="T1417" s="33"/>
      <c r="U1417" s="35" t="b">
        <v>0</v>
      </c>
      <c r="V1417" s="35" t="b">
        <v>0</v>
      </c>
      <c r="W1417" s="35" t="b">
        <v>0</v>
      </c>
      <c r="Y1417" s="31" cm="1">
        <f t="array" ref="Y1417">IF(LEFT(_xll.BDP($C1417, VOLUME_AVG_10D), 4) = "#N/A", "",  _xll.BDP($C1417, VOLUME_AVG_10D))</f>
        <v>317247.59375</v>
      </c>
      <c r="Z1417" s="31" cm="1">
        <f t="array" ref="Z1417">IF(LEFT(_xll.BDP($C1417, VOLUME_AVG_30D), 4) = "#N/A", "",  _xll.BDP($C1417, VOLUME_AVG_30D))</f>
        <v>322968.4375</v>
      </c>
      <c r="AA1417" s="31" cm="1">
        <f t="array" ref="AA1417">IF(LEFT(_xll.BDP($C1417, VOLUME_AVG_3M), 4) = "#N/A", "",  _xll.BDP($C1417, VOLUME_AVG_3M))</f>
        <v>249648.03125</v>
      </c>
      <c r="AB1417" s="31" cm="1">
        <f t="array" ref="AB1417">IF(LEFT(_xll.BDP($C1417, VOLUME_AVG_6M), 4) = "#N/A", "",  _xll.BDP($C1417, VOLUME_AVG_6M))</f>
        <v>265679.84375</v>
      </c>
      <c r="AC1417" s="31" cm="1">
        <f t="array" ref="AC1417">IF(LEFT(_xll.BDP($C1417, VOLUME_AVG_12M), 4) = "#N/A", "",  _xll.BDP($C1417, VOLUME_AVG_12M))</f>
        <v>256546.34375</v>
      </c>
      <c r="AD1417" s="41" cm="1">
        <f t="array" ref="AD1417">IF(LEFT(_xll.BDP($C1417, LAST_PRICE), 4) = "#N/A", "",  _xll.BDP($C1417, LAST_PRICE))</f>
        <v>33.85</v>
      </c>
    </row>
    <row r="1418" spans="1:30" x14ac:dyDescent="0.35">
      <c r="A1418" s="1">
        <f t="shared" si="22"/>
        <v>1415</v>
      </c>
      <c r="B1418" s="28">
        <v>45700</v>
      </c>
      <c r="C1418" s="29" t="s">
        <v>2877</v>
      </c>
      <c r="D1418" s="29" t="s">
        <v>2877</v>
      </c>
      <c r="E1418" s="29" t="s">
        <v>2878</v>
      </c>
      <c r="F1418" s="29" t="s">
        <v>33</v>
      </c>
      <c r="G1418" s="30" t="s">
        <v>34</v>
      </c>
      <c r="H1418" s="31">
        <v>31945514.0920601</v>
      </c>
      <c r="I1418" s="31">
        <v>-718485.90793991496</v>
      </c>
      <c r="J1418" s="32">
        <v>9.8299999237060494</v>
      </c>
      <c r="K1418" s="33">
        <v>45700</v>
      </c>
      <c r="L1418" s="31">
        <v>22400</v>
      </c>
      <c r="M1418" s="32">
        <v>-4.05</v>
      </c>
      <c r="N1418" s="31" t="s">
        <v>35</v>
      </c>
      <c r="O1418" s="33">
        <v>45699</v>
      </c>
      <c r="P1418" s="34">
        <v>44542.83203125</v>
      </c>
      <c r="Q1418" s="34">
        <v>44196.93359375</v>
      </c>
      <c r="R1418" s="34">
        <v>30967.30859375</v>
      </c>
      <c r="S1418" s="29"/>
      <c r="T1418" s="33"/>
      <c r="U1418" s="35" t="b">
        <v>0</v>
      </c>
      <c r="V1418" s="35" t="b">
        <v>0</v>
      </c>
      <c r="W1418" s="35" t="b">
        <v>1</v>
      </c>
      <c r="Y1418" s="31" cm="1">
        <f t="array" ref="Y1418">IF(LEFT(_xll.BDP($C1418, VOLUME_AVG_10D), 4) = "#N/A", "",  _xll.BDP($C1418, VOLUME_AVG_10D))</f>
        <v>30866.30078125</v>
      </c>
      <c r="Z1418" s="31" cm="1">
        <f t="array" ref="Z1418">IF(LEFT(_xll.BDP($C1418, VOLUME_AVG_30D), 4) = "#N/A", "",  _xll.BDP($C1418, VOLUME_AVG_30D))</f>
        <v>44542.83203125</v>
      </c>
      <c r="AA1418" s="31" cm="1">
        <f t="array" ref="AA1418">IF(LEFT(_xll.BDP($C1418, VOLUME_AVG_3M), 4) = "#N/A", "",  _xll.BDP($C1418, VOLUME_AVG_3M))</f>
        <v>44196.93359375</v>
      </c>
      <c r="AB1418" s="31" cm="1">
        <f t="array" ref="AB1418">IF(LEFT(_xll.BDP($C1418, VOLUME_AVG_6M), 4) = "#N/A", "",  _xll.BDP($C1418, VOLUME_AVG_6M))</f>
        <v>30967.30859375</v>
      </c>
      <c r="AC1418" s="31" cm="1">
        <f t="array" ref="AC1418">IF(LEFT(_xll.BDP($C1418, VOLUME_AVG_12M), 4) = "#N/A", "",  _xll.BDP($C1418, VOLUME_AVG_12M))</f>
        <v>22085.01171875</v>
      </c>
      <c r="AD1418" s="41" cm="1">
        <f t="array" ref="AD1418">IF(LEFT(_xll.BDP($C1418, LAST_PRICE), 4) = "#N/A", "",  _xll.BDP($C1418, LAST_PRICE))</f>
        <v>9.83</v>
      </c>
    </row>
    <row r="1419" spans="1:30" x14ac:dyDescent="0.35">
      <c r="A1419" s="1">
        <f t="shared" si="22"/>
        <v>1416</v>
      </c>
      <c r="B1419" s="28">
        <v>45700</v>
      </c>
      <c r="C1419" s="29" t="s">
        <v>2879</v>
      </c>
      <c r="D1419" s="29" t="s">
        <v>2879</v>
      </c>
      <c r="E1419" s="29" t="s">
        <v>2880</v>
      </c>
      <c r="F1419" s="29" t="s">
        <v>33</v>
      </c>
      <c r="G1419" s="30" t="s">
        <v>34</v>
      </c>
      <c r="H1419" s="31">
        <v>132758548.429582</v>
      </c>
      <c r="I1419" s="31">
        <v>-230631451.57041901</v>
      </c>
      <c r="J1419" s="32">
        <v>1.6100000143051101</v>
      </c>
      <c r="K1419" s="33">
        <v>45700</v>
      </c>
      <c r="L1419" s="31">
        <v>15749900</v>
      </c>
      <c r="M1419" s="32">
        <v>3.88</v>
      </c>
      <c r="N1419" s="31" t="s">
        <v>35</v>
      </c>
      <c r="O1419" s="33">
        <v>45699</v>
      </c>
      <c r="P1419" s="34">
        <v>938290.3125</v>
      </c>
      <c r="Q1419" s="34">
        <v>1105543.5</v>
      </c>
      <c r="R1419" s="34">
        <v>850290.4375</v>
      </c>
      <c r="S1419" s="29" t="s">
        <v>46</v>
      </c>
      <c r="T1419" s="33">
        <v>45446</v>
      </c>
      <c r="U1419" s="35" t="b">
        <v>0</v>
      </c>
      <c r="V1419" s="35" t="b">
        <v>0</v>
      </c>
      <c r="W1419" s="35" t="b">
        <v>1</v>
      </c>
      <c r="Y1419" s="31" cm="1">
        <f t="array" ref="Y1419">IF(LEFT(_xll.BDP($C1419, VOLUME_AVG_10D), 4) = "#N/A", "",  _xll.BDP($C1419, VOLUME_AVG_10D))</f>
        <v>1124583.25</v>
      </c>
      <c r="Z1419" s="31" cm="1">
        <f t="array" ref="Z1419">IF(LEFT(_xll.BDP($C1419, VOLUME_AVG_30D), 4) = "#N/A", "",  _xll.BDP($C1419, VOLUME_AVG_30D))</f>
        <v>938290.3125</v>
      </c>
      <c r="AA1419" s="31" cm="1">
        <f t="array" ref="AA1419">IF(LEFT(_xll.BDP($C1419, VOLUME_AVG_3M), 4) = "#N/A", "",  _xll.BDP($C1419, VOLUME_AVG_3M))</f>
        <v>1105543.5</v>
      </c>
      <c r="AB1419" s="31" cm="1">
        <f t="array" ref="AB1419">IF(LEFT(_xll.BDP($C1419, VOLUME_AVG_6M), 4) = "#N/A", "",  _xll.BDP($C1419, VOLUME_AVG_6M))</f>
        <v>850290.4375</v>
      </c>
      <c r="AC1419" s="31" cm="1">
        <f t="array" ref="AC1419">IF(LEFT(_xll.BDP($C1419, VOLUME_AVG_12M), 4) = "#N/A", "",  _xll.BDP($C1419, VOLUME_AVG_12M))</f>
        <v>875953.625</v>
      </c>
      <c r="AD1419" s="41" cm="1">
        <f t="array" ref="AD1419">IF(LEFT(_xll.BDP($C1419, LAST_PRICE), 4) = "#N/A", "",  _xll.BDP($C1419, LAST_PRICE))</f>
        <v>1.61</v>
      </c>
    </row>
    <row r="1420" spans="1:30" x14ac:dyDescent="0.35">
      <c r="A1420" s="1">
        <f t="shared" si="22"/>
        <v>1417</v>
      </c>
      <c r="B1420" s="28">
        <v>45700</v>
      </c>
      <c r="C1420" s="29" t="s">
        <v>2881</v>
      </c>
      <c r="D1420" s="29" t="s">
        <v>2881</v>
      </c>
      <c r="E1420" s="29" t="s">
        <v>2882</v>
      </c>
      <c r="F1420" s="29" t="s">
        <v>33</v>
      </c>
      <c r="G1420" s="30" t="s">
        <v>34</v>
      </c>
      <c r="H1420" s="31">
        <v>4256624.9622094603</v>
      </c>
      <c r="I1420" s="31">
        <v>-15054682.0377905</v>
      </c>
      <c r="J1420" s="32">
        <v>3.1400001049041699</v>
      </c>
      <c r="K1420" s="33">
        <v>45700</v>
      </c>
      <c r="L1420" s="31">
        <v>26300</v>
      </c>
      <c r="M1420" s="32">
        <v>-42.3</v>
      </c>
      <c r="N1420" s="31" t="s">
        <v>35</v>
      </c>
      <c r="O1420" s="33">
        <v>45699</v>
      </c>
      <c r="P1420" s="34">
        <v>19738.966796875</v>
      </c>
      <c r="Q1420" s="34">
        <v>19729.966796875</v>
      </c>
      <c r="R1420" s="34">
        <v>24192.119140625</v>
      </c>
      <c r="S1420" s="29"/>
      <c r="T1420" s="33"/>
      <c r="U1420" s="35" t="b">
        <v>1</v>
      </c>
      <c r="V1420" s="35" t="b">
        <v>0</v>
      </c>
      <c r="W1420" s="35" t="b">
        <v>1</v>
      </c>
      <c r="Y1420" s="31" cm="1">
        <f t="array" ref="Y1420">IF(LEFT(_xll.BDP($C1420, VOLUME_AVG_10D), 4) = "#N/A", "",  _xll.BDP($C1420, VOLUME_AVG_10D))</f>
        <v>8956.2998046875</v>
      </c>
      <c r="Z1420" s="31" cm="1">
        <f t="array" ref="Z1420">IF(LEFT(_xll.BDP($C1420, VOLUME_AVG_30D), 4) = "#N/A", "",  _xll.BDP($C1420, VOLUME_AVG_30D))</f>
        <v>19738.966796875</v>
      </c>
      <c r="AA1420" s="31" cm="1">
        <f t="array" ref="AA1420">IF(LEFT(_xll.BDP($C1420, VOLUME_AVG_3M), 4) = "#N/A", "",  _xll.BDP($C1420, VOLUME_AVG_3M))</f>
        <v>19729.966796875</v>
      </c>
      <c r="AB1420" s="31" cm="1">
        <f t="array" ref="AB1420">IF(LEFT(_xll.BDP($C1420, VOLUME_AVG_6M), 4) = "#N/A", "",  _xll.BDP($C1420, VOLUME_AVG_6M))</f>
        <v>24192.119140625</v>
      </c>
      <c r="AC1420" s="31" cm="1">
        <f t="array" ref="AC1420">IF(LEFT(_xll.BDP($C1420, VOLUME_AVG_12M), 4) = "#N/A", "",  _xll.BDP($C1420, VOLUME_AVG_12M))</f>
        <v>34447.0625</v>
      </c>
      <c r="AD1420" s="41" cm="1">
        <f t="array" ref="AD1420">IF(LEFT(_xll.BDP($C1420, LAST_PRICE), 4) = "#N/A", "",  _xll.BDP($C1420, LAST_PRICE))</f>
        <v>3.14</v>
      </c>
    </row>
    <row r="1421" spans="1:30" x14ac:dyDescent="0.35">
      <c r="A1421" s="1">
        <f t="shared" si="22"/>
        <v>1418</v>
      </c>
      <c r="B1421" s="28">
        <v>45700</v>
      </c>
      <c r="C1421" s="29" t="s">
        <v>2883</v>
      </c>
      <c r="D1421" s="29" t="s">
        <v>2883</v>
      </c>
      <c r="E1421" s="29" t="s">
        <v>2884</v>
      </c>
      <c r="F1421" s="29" t="s">
        <v>33</v>
      </c>
      <c r="G1421" s="30" t="s">
        <v>34</v>
      </c>
      <c r="H1421" s="31">
        <v>1268415021.1947701</v>
      </c>
      <c r="I1421" s="31">
        <v>879662021.19476795</v>
      </c>
      <c r="J1421" s="32">
        <v>14.8599996566772</v>
      </c>
      <c r="K1421" s="33">
        <v>45700</v>
      </c>
      <c r="L1421" s="31">
        <v>22938700</v>
      </c>
      <c r="M1421" s="32">
        <v>3.88</v>
      </c>
      <c r="N1421" s="31" t="s">
        <v>35</v>
      </c>
      <c r="O1421" s="33">
        <v>45699</v>
      </c>
      <c r="P1421" s="34">
        <v>2339517.5</v>
      </c>
      <c r="Q1421" s="34">
        <v>2552121.5</v>
      </c>
      <c r="R1421" s="34">
        <v>1739917.625</v>
      </c>
      <c r="S1421" s="29" t="s">
        <v>46</v>
      </c>
      <c r="T1421" s="33">
        <v>45446</v>
      </c>
      <c r="U1421" s="35" t="b">
        <v>0</v>
      </c>
      <c r="V1421" s="35" t="b">
        <v>0</v>
      </c>
      <c r="W1421" s="35" t="b">
        <v>0</v>
      </c>
      <c r="Y1421" s="31" cm="1">
        <f t="array" ref="Y1421">IF(LEFT(_xll.BDP($C1421, VOLUME_AVG_10D), 4) = "#N/A", "",  _xll.BDP($C1421, VOLUME_AVG_10D))</f>
        <v>2726390.5</v>
      </c>
      <c r="Z1421" s="31" cm="1">
        <f t="array" ref="Z1421">IF(LEFT(_xll.BDP($C1421, VOLUME_AVG_30D), 4) = "#N/A", "",  _xll.BDP($C1421, VOLUME_AVG_30D))</f>
        <v>2339517.5</v>
      </c>
      <c r="AA1421" s="31" cm="1">
        <f t="array" ref="AA1421">IF(LEFT(_xll.BDP($C1421, VOLUME_AVG_3M), 4) = "#N/A", "",  _xll.BDP($C1421, VOLUME_AVG_3M))</f>
        <v>2552121.5</v>
      </c>
      <c r="AB1421" s="31" cm="1">
        <f t="array" ref="AB1421">IF(LEFT(_xll.BDP($C1421, VOLUME_AVG_6M), 4) = "#N/A", "",  _xll.BDP($C1421, VOLUME_AVG_6M))</f>
        <v>1739917.625</v>
      </c>
      <c r="AC1421" s="31" cm="1">
        <f t="array" ref="AC1421">IF(LEFT(_xll.BDP($C1421, VOLUME_AVG_12M), 4) = "#N/A", "",  _xll.BDP($C1421, VOLUME_AVG_12M))</f>
        <v>1416185.375</v>
      </c>
      <c r="AD1421" s="41" cm="1">
        <f t="array" ref="AD1421">IF(LEFT(_xll.BDP($C1421, LAST_PRICE), 4) = "#N/A", "",  _xll.BDP($C1421, LAST_PRICE))</f>
        <v>14.86</v>
      </c>
    </row>
    <row r="1422" spans="1:30" x14ac:dyDescent="0.35">
      <c r="A1422" s="1">
        <f t="shared" si="22"/>
        <v>1419</v>
      </c>
      <c r="B1422" s="28">
        <v>45700</v>
      </c>
      <c r="C1422" s="29" t="s">
        <v>2885</v>
      </c>
      <c r="D1422" s="29" t="s">
        <v>2885</v>
      </c>
      <c r="E1422" s="29" t="s">
        <v>2886</v>
      </c>
      <c r="F1422" s="29" t="s">
        <v>33</v>
      </c>
      <c r="G1422" s="30" t="s">
        <v>34</v>
      </c>
      <c r="H1422" s="31">
        <v>15906708.4073142</v>
      </c>
      <c r="I1422" s="31">
        <v>-3482291.5926858201</v>
      </c>
      <c r="J1422" s="32">
        <v>1.3600000143051101</v>
      </c>
      <c r="K1422" s="33">
        <v>45700</v>
      </c>
      <c r="L1422" s="31">
        <v>124900</v>
      </c>
      <c r="M1422" s="32">
        <v>-6</v>
      </c>
      <c r="N1422" s="31" t="s">
        <v>35</v>
      </c>
      <c r="O1422" s="33">
        <v>45699</v>
      </c>
      <c r="P1422" s="34">
        <v>24008.19921875</v>
      </c>
      <c r="Q1422" s="34">
        <v>37504.67578125</v>
      </c>
      <c r="R1422" s="34">
        <v>23357.318359375</v>
      </c>
      <c r="S1422" s="29"/>
      <c r="T1422" s="33"/>
      <c r="U1422" s="35" t="b">
        <v>1</v>
      </c>
      <c r="V1422" s="35" t="b">
        <v>0</v>
      </c>
      <c r="W1422" s="35" t="b">
        <v>1</v>
      </c>
      <c r="Y1422" s="31" cm="1">
        <f t="array" ref="Y1422">IF(LEFT(_xll.BDP($C1422, VOLUME_AVG_10D), 4) = "#N/A", "",  _xll.BDP($C1422, VOLUME_AVG_10D))</f>
        <v>22028.30078125</v>
      </c>
      <c r="Z1422" s="31" cm="1">
        <f t="array" ref="Z1422">IF(LEFT(_xll.BDP($C1422, VOLUME_AVG_30D), 4) = "#N/A", "",  _xll.BDP($C1422, VOLUME_AVG_30D))</f>
        <v>24008.19921875</v>
      </c>
      <c r="AA1422" s="31" cm="1">
        <f t="array" ref="AA1422">IF(LEFT(_xll.BDP($C1422, VOLUME_AVG_3M), 4) = "#N/A", "",  _xll.BDP($C1422, VOLUME_AVG_3M))</f>
        <v>37504.67578125</v>
      </c>
      <c r="AB1422" s="31" cm="1">
        <f t="array" ref="AB1422">IF(LEFT(_xll.BDP($C1422, VOLUME_AVG_6M), 4) = "#N/A", "",  _xll.BDP($C1422, VOLUME_AVG_6M))</f>
        <v>23357.318359375</v>
      </c>
      <c r="AC1422" s="31" cm="1">
        <f t="array" ref="AC1422">IF(LEFT(_xll.BDP($C1422, VOLUME_AVG_12M), 4) = "#N/A", "",  _xll.BDP($C1422, VOLUME_AVG_12M))</f>
        <v>29399.087890625</v>
      </c>
      <c r="AD1422" s="41" cm="1">
        <f t="array" ref="AD1422">IF(LEFT(_xll.BDP($C1422, LAST_PRICE), 4) = "#N/A", "",  _xll.BDP($C1422, LAST_PRICE))</f>
        <v>1.36</v>
      </c>
    </row>
    <row r="1423" spans="1:30" x14ac:dyDescent="0.35">
      <c r="A1423" s="1">
        <f t="shared" si="22"/>
        <v>1420</v>
      </c>
      <c r="B1423" s="28">
        <v>45700</v>
      </c>
      <c r="C1423" s="29" t="s">
        <v>2887</v>
      </c>
      <c r="D1423" s="29" t="s">
        <v>2887</v>
      </c>
      <c r="E1423" s="29" t="s">
        <v>2888</v>
      </c>
      <c r="F1423" s="29" t="s">
        <v>33</v>
      </c>
      <c r="G1423" s="30" t="s">
        <v>34</v>
      </c>
      <c r="H1423" s="31"/>
      <c r="I1423" s="31"/>
      <c r="J1423" s="32"/>
      <c r="K1423" s="33">
        <v>45700</v>
      </c>
      <c r="L1423" s="31"/>
      <c r="M1423" s="32"/>
      <c r="N1423" s="31"/>
      <c r="O1423" s="33">
        <v>45699</v>
      </c>
      <c r="P1423" s="34"/>
      <c r="Q1423" s="34">
        <v>59.274192810058601</v>
      </c>
      <c r="R1423" s="34">
        <v>29.1666660308838</v>
      </c>
      <c r="S1423" s="29"/>
      <c r="T1423" s="33"/>
      <c r="U1423" s="35" t="b">
        <v>1</v>
      </c>
      <c r="V1423" s="35" t="b">
        <v>1</v>
      </c>
      <c r="W1423" s="35" t="b">
        <v>1</v>
      </c>
      <c r="Y1423" s="31" cm="1">
        <f t="array" ref="Y1423">IF(LEFT(_xll.BDP($C1423, VOLUME_AVG_10D), 4) = "#N/A", "",  _xll.BDP($C1423, VOLUME_AVG_10D))</f>
        <v>0</v>
      </c>
      <c r="Z1423" s="31" cm="1">
        <f t="array" ref="Z1423">IF(LEFT(_xll.BDP($C1423, VOLUME_AVG_30D), 4) = "#N/A", "",  _xll.BDP($C1423, VOLUME_AVG_30D))</f>
        <v>0</v>
      </c>
      <c r="AA1423" s="31" cm="1">
        <f t="array" ref="AA1423">IF(LEFT(_xll.BDP($C1423, VOLUME_AVG_3M), 4) = "#N/A", "",  _xll.BDP($C1423, VOLUME_AVG_3M))</f>
        <v>59.274192810058594</v>
      </c>
      <c r="AB1423" s="31" cm="1">
        <f t="array" ref="AB1423">IF(LEFT(_xll.BDP($C1423, VOLUME_AVG_6M), 4) = "#N/A", "",  _xll.BDP($C1423, VOLUME_AVG_6M))</f>
        <v>29.166666030883789</v>
      </c>
      <c r="AC1423" s="31" cm="1">
        <f t="array" ref="AC1423">IF(LEFT(_xll.BDP($C1423, VOLUME_AVG_12M), 4) = "#N/A", "",  _xll.BDP($C1423, VOLUME_AVG_12M))</f>
        <v>14.641434669494629</v>
      </c>
      <c r="AD1423" s="41" t="str" cm="1">
        <f t="array" ref="AD1423">IF(LEFT(_xll.BDP($C1423, LAST_PRICE), 4) = "#N/A", "",  _xll.BDP($C1423, LAST_PRICE))</f>
        <v/>
      </c>
    </row>
    <row r="1424" spans="1:30" x14ac:dyDescent="0.35">
      <c r="A1424" s="1">
        <f t="shared" si="22"/>
        <v>1421</v>
      </c>
      <c r="B1424" s="28">
        <v>45700</v>
      </c>
      <c r="C1424" s="29" t="s">
        <v>2889</v>
      </c>
      <c r="D1424" s="29" t="s">
        <v>2889</v>
      </c>
      <c r="E1424" s="29" t="s">
        <v>2890</v>
      </c>
      <c r="F1424" s="29" t="s">
        <v>33</v>
      </c>
      <c r="G1424" s="30" t="s">
        <v>34</v>
      </c>
      <c r="H1424" s="31"/>
      <c r="I1424" s="31"/>
      <c r="J1424" s="32"/>
      <c r="K1424" s="33">
        <v>45700</v>
      </c>
      <c r="L1424" s="31"/>
      <c r="M1424" s="32"/>
      <c r="N1424" s="31"/>
      <c r="O1424" s="33">
        <v>45699</v>
      </c>
      <c r="P1424" s="34"/>
      <c r="Q1424" s="34">
        <v>9.4838705062866193</v>
      </c>
      <c r="R1424" s="34">
        <v>17.4603176116943</v>
      </c>
      <c r="S1424" s="29"/>
      <c r="T1424" s="33"/>
      <c r="U1424" s="35" t="b">
        <v>1</v>
      </c>
      <c r="V1424" s="35" t="b">
        <v>1</v>
      </c>
      <c r="W1424" s="35" t="b">
        <v>1</v>
      </c>
      <c r="Y1424" s="31" cm="1">
        <f t="array" ref="Y1424">IF(LEFT(_xll.BDP($C1424, VOLUME_AVG_10D), 4) = "#N/A", "",  _xll.BDP($C1424, VOLUME_AVG_10D))</f>
        <v>0</v>
      </c>
      <c r="Z1424" s="31" cm="1">
        <f t="array" ref="Z1424">IF(LEFT(_xll.BDP($C1424, VOLUME_AVG_30D), 4) = "#N/A", "",  _xll.BDP($C1424, VOLUME_AVG_30D))</f>
        <v>0</v>
      </c>
      <c r="AA1424" s="31" cm="1">
        <f t="array" ref="AA1424">IF(LEFT(_xll.BDP($C1424, VOLUME_AVG_3M), 4) = "#N/A", "",  _xll.BDP($C1424, VOLUME_AVG_3M))</f>
        <v>9.4838705062866211</v>
      </c>
      <c r="AB1424" s="31" cm="1">
        <f t="array" ref="AB1424">IF(LEFT(_xll.BDP($C1424, VOLUME_AVG_6M), 4) = "#N/A", "",  _xll.BDP($C1424, VOLUME_AVG_6M))</f>
        <v>17.460317611694336</v>
      </c>
      <c r="AC1424" s="31" cm="1">
        <f t="array" ref="AC1424">IF(LEFT(_xll.BDP($C1424, VOLUME_AVG_12M), 4) = "#N/A", "",  _xll.BDP($C1424, VOLUME_AVG_12M))</f>
        <v>9.6414346694946289</v>
      </c>
      <c r="AD1424" s="41" t="str" cm="1">
        <f t="array" ref="AD1424">IF(LEFT(_xll.BDP($C1424, LAST_PRICE), 4) = "#N/A", "",  _xll.BDP($C1424, LAST_PRICE))</f>
        <v/>
      </c>
    </row>
    <row r="1425" spans="1:30" x14ac:dyDescent="0.35">
      <c r="A1425" s="1">
        <f t="shared" si="22"/>
        <v>1422</v>
      </c>
      <c r="B1425" s="28">
        <v>45700</v>
      </c>
      <c r="C1425" s="29" t="s">
        <v>2891</v>
      </c>
      <c r="D1425" s="29" t="s">
        <v>2891</v>
      </c>
      <c r="E1425" s="29" t="s">
        <v>2892</v>
      </c>
      <c r="F1425" s="29" t="s">
        <v>33</v>
      </c>
      <c r="G1425" s="30" t="s">
        <v>34</v>
      </c>
      <c r="H1425" s="31">
        <v>3853383.5420563798</v>
      </c>
      <c r="I1425" s="31">
        <v>821411.542056381</v>
      </c>
      <c r="J1425" s="32">
        <v>0.39269998669624301</v>
      </c>
      <c r="K1425" s="33">
        <v>45700</v>
      </c>
      <c r="L1425" s="31">
        <v>219800</v>
      </c>
      <c r="M1425" s="32">
        <v>-8.0500000000000007</v>
      </c>
      <c r="N1425" s="31" t="s">
        <v>35</v>
      </c>
      <c r="O1425" s="33">
        <v>45699</v>
      </c>
      <c r="P1425" s="34">
        <v>3325023</v>
      </c>
      <c r="Q1425" s="34">
        <v>1712864.875</v>
      </c>
      <c r="R1425" s="34">
        <v>951121.5</v>
      </c>
      <c r="S1425" s="29"/>
      <c r="T1425" s="33"/>
      <c r="U1425" s="35" t="b">
        <v>1</v>
      </c>
      <c r="V1425" s="35" t="b">
        <v>0</v>
      </c>
      <c r="W1425" s="35" t="b">
        <v>0</v>
      </c>
      <c r="Y1425" s="31" cm="1">
        <f t="array" ref="Y1425">IF(LEFT(_xll.BDP($C1425, VOLUME_AVG_10D), 4) = "#N/A", "",  _xll.BDP($C1425, VOLUME_AVG_10D))</f>
        <v>184045.796875</v>
      </c>
      <c r="Z1425" s="31" cm="1">
        <f t="array" ref="Z1425">IF(LEFT(_xll.BDP($C1425, VOLUME_AVG_30D), 4) = "#N/A", "",  _xll.BDP($C1425, VOLUME_AVG_30D))</f>
        <v>3325023</v>
      </c>
      <c r="AA1425" s="31" cm="1">
        <f t="array" ref="AA1425">IF(LEFT(_xll.BDP($C1425, VOLUME_AVG_3M), 4) = "#N/A", "",  _xll.BDP($C1425, VOLUME_AVG_3M))</f>
        <v>1712864.875</v>
      </c>
      <c r="AB1425" s="31" cm="1">
        <f t="array" ref="AB1425">IF(LEFT(_xll.BDP($C1425, VOLUME_AVG_6M), 4) = "#N/A", "",  _xll.BDP($C1425, VOLUME_AVG_6M))</f>
        <v>951121.5</v>
      </c>
      <c r="AC1425" s="31" cm="1">
        <f t="array" ref="AC1425">IF(LEFT(_xll.BDP($C1425, VOLUME_AVG_12M), 4) = "#N/A", "",  _xll.BDP($C1425, VOLUME_AVG_12M))</f>
        <v>680904.875</v>
      </c>
      <c r="AD1425" s="41" cm="1">
        <f t="array" ref="AD1425">IF(LEFT(_xll.BDP($C1425, LAST_PRICE), 4) = "#N/A", "",  _xll.BDP($C1425, LAST_PRICE))</f>
        <v>0.39269999999999999</v>
      </c>
    </row>
    <row r="1426" spans="1:30" x14ac:dyDescent="0.35">
      <c r="A1426" s="1">
        <f t="shared" si="22"/>
        <v>1423</v>
      </c>
      <c r="B1426" s="28">
        <v>45700</v>
      </c>
      <c r="C1426" s="29" t="s">
        <v>2893</v>
      </c>
      <c r="D1426" s="29" t="s">
        <v>2893</v>
      </c>
      <c r="E1426" s="29" t="s">
        <v>2894</v>
      </c>
      <c r="F1426" s="29" t="s">
        <v>33</v>
      </c>
      <c r="G1426" s="30" t="s">
        <v>34</v>
      </c>
      <c r="H1426" s="31">
        <v>4939855.3887172602</v>
      </c>
      <c r="I1426" s="31">
        <v>6890855.3887172705</v>
      </c>
      <c r="J1426" s="32">
        <v>0.1841000020504</v>
      </c>
      <c r="K1426" s="33">
        <v>45700</v>
      </c>
      <c r="L1426" s="31">
        <v>1498800</v>
      </c>
      <c r="M1426" s="32">
        <v>-8.6</v>
      </c>
      <c r="N1426" s="31" t="s">
        <v>35</v>
      </c>
      <c r="O1426" s="33">
        <v>45699</v>
      </c>
      <c r="P1426" s="34">
        <v>2378180.5</v>
      </c>
      <c r="Q1426" s="34">
        <v>9717499</v>
      </c>
      <c r="R1426" s="34">
        <v>5004979</v>
      </c>
      <c r="S1426" s="29" t="s">
        <v>46</v>
      </c>
      <c r="T1426" s="33">
        <v>45446</v>
      </c>
      <c r="U1426" s="35" t="b">
        <v>1</v>
      </c>
      <c r="V1426" s="35" t="b">
        <v>0</v>
      </c>
      <c r="W1426" s="35" t="b">
        <v>0</v>
      </c>
      <c r="Y1426" s="31" cm="1">
        <f t="array" ref="Y1426">IF(LEFT(_xll.BDP($C1426, VOLUME_AVG_10D), 4) = "#N/A", "",  _xll.BDP($C1426, VOLUME_AVG_10D))</f>
        <v>1037469.5</v>
      </c>
      <c r="Z1426" s="31" cm="1">
        <f t="array" ref="Z1426">IF(LEFT(_xll.BDP($C1426, VOLUME_AVG_30D), 4) = "#N/A", "",  _xll.BDP($C1426, VOLUME_AVG_30D))</f>
        <v>2378180.5</v>
      </c>
      <c r="AA1426" s="31" cm="1">
        <f t="array" ref="AA1426">IF(LEFT(_xll.BDP($C1426, VOLUME_AVG_3M), 4) = "#N/A", "",  _xll.BDP($C1426, VOLUME_AVG_3M))</f>
        <v>9717499</v>
      </c>
      <c r="AB1426" s="31" cm="1">
        <f t="array" ref="AB1426">IF(LEFT(_xll.BDP($C1426, VOLUME_AVG_6M), 4) = "#N/A", "",  _xll.BDP($C1426, VOLUME_AVG_6M))</f>
        <v>5004979</v>
      </c>
      <c r="AC1426" s="31" cm="1">
        <f t="array" ref="AC1426">IF(LEFT(_xll.BDP($C1426, VOLUME_AVG_12M), 4) = "#N/A", "",  _xll.BDP($C1426, VOLUME_AVG_12M))</f>
        <v>2587737.5</v>
      </c>
      <c r="AD1426" s="41" cm="1">
        <f t="array" ref="AD1426">IF(LEFT(_xll.BDP($C1426, LAST_PRICE), 4) = "#N/A", "",  _xll.BDP($C1426, LAST_PRICE))</f>
        <v>0.18410000000000001</v>
      </c>
    </row>
    <row r="1427" spans="1:30" x14ac:dyDescent="0.35">
      <c r="A1427" s="1">
        <f t="shared" si="22"/>
        <v>1424</v>
      </c>
      <c r="B1427" s="28">
        <v>45700</v>
      </c>
      <c r="C1427" s="29" t="s">
        <v>2895</v>
      </c>
      <c r="D1427" s="29" t="s">
        <v>2895</v>
      </c>
      <c r="E1427" s="29" t="s">
        <v>2896</v>
      </c>
      <c r="F1427" s="29" t="s">
        <v>33</v>
      </c>
      <c r="G1427" s="30" t="s">
        <v>34</v>
      </c>
      <c r="H1427" s="31">
        <v>2198760.71887754</v>
      </c>
      <c r="I1427" s="31">
        <v>19059760.718877502</v>
      </c>
      <c r="J1427" s="32">
        <v>7.84000009298325E-2</v>
      </c>
      <c r="K1427" s="33">
        <v>45700</v>
      </c>
      <c r="L1427" s="31">
        <v>1206400</v>
      </c>
      <c r="M1427" s="32">
        <v>-5.5</v>
      </c>
      <c r="N1427" s="31" t="s">
        <v>35</v>
      </c>
      <c r="O1427" s="33">
        <v>45699</v>
      </c>
      <c r="P1427" s="34">
        <v>1748233.625</v>
      </c>
      <c r="Q1427" s="34">
        <v>1354059.875</v>
      </c>
      <c r="R1427" s="34">
        <v>892177.4375</v>
      </c>
      <c r="S1427" s="29"/>
      <c r="T1427" s="33"/>
      <c r="U1427" s="35" t="b">
        <v>1</v>
      </c>
      <c r="V1427" s="35" t="b">
        <v>1</v>
      </c>
      <c r="W1427" s="35" t="b">
        <v>0</v>
      </c>
      <c r="Y1427" s="31" cm="1">
        <f t="array" ref="Y1427">IF(LEFT(_xll.BDP($C1427, VOLUME_AVG_10D), 4) = "#N/A", "",  _xll.BDP($C1427, VOLUME_AVG_10D))</f>
        <v>2819322.5</v>
      </c>
      <c r="Z1427" s="31" cm="1">
        <f t="array" ref="Z1427">IF(LEFT(_xll.BDP($C1427, VOLUME_AVG_30D), 4) = "#N/A", "",  _xll.BDP($C1427, VOLUME_AVG_30D))</f>
        <v>1748233.625</v>
      </c>
      <c r="AA1427" s="31" cm="1">
        <f t="array" ref="AA1427">IF(LEFT(_xll.BDP($C1427, VOLUME_AVG_3M), 4) = "#N/A", "",  _xll.BDP($C1427, VOLUME_AVG_3M))</f>
        <v>1354059.875</v>
      </c>
      <c r="AB1427" s="31" cm="1">
        <f t="array" ref="AB1427">IF(LEFT(_xll.BDP($C1427, VOLUME_AVG_6M), 4) = "#N/A", "",  _xll.BDP($C1427, VOLUME_AVG_6M))</f>
        <v>892177.4375</v>
      </c>
      <c r="AC1427" s="31" cm="1">
        <f t="array" ref="AC1427">IF(LEFT(_xll.BDP($C1427, VOLUME_AVG_12M), 4) = "#N/A", "",  _xll.BDP($C1427, VOLUME_AVG_12M))</f>
        <v>590175.3125</v>
      </c>
      <c r="AD1427" s="41" cm="1">
        <f t="array" ref="AD1427">IF(LEFT(_xll.BDP($C1427, LAST_PRICE), 4) = "#N/A", "",  _xll.BDP($C1427, LAST_PRICE))</f>
        <v>7.8399999999999997E-2</v>
      </c>
    </row>
    <row r="1428" spans="1:30" x14ac:dyDescent="0.35">
      <c r="A1428" s="1">
        <f t="shared" si="22"/>
        <v>1425</v>
      </c>
      <c r="B1428" s="28">
        <v>45700</v>
      </c>
      <c r="C1428" s="29" t="s">
        <v>2897</v>
      </c>
      <c r="D1428" s="29" t="s">
        <v>2897</v>
      </c>
      <c r="E1428" s="29" t="s">
        <v>2898</v>
      </c>
      <c r="F1428" s="29" t="s">
        <v>33</v>
      </c>
      <c r="G1428" s="30" t="s">
        <v>34</v>
      </c>
      <c r="H1428" s="31">
        <v>403631029.65666997</v>
      </c>
      <c r="I1428" s="31">
        <v>354097029.65666997</v>
      </c>
      <c r="J1428" s="32">
        <v>16.819999694824201</v>
      </c>
      <c r="K1428" s="33">
        <v>45700</v>
      </c>
      <c r="L1428" s="31">
        <v>6102800</v>
      </c>
      <c r="M1428" s="32">
        <v>3.88</v>
      </c>
      <c r="N1428" s="31" t="s">
        <v>35</v>
      </c>
      <c r="O1428" s="33">
        <v>45699</v>
      </c>
      <c r="P1428" s="34">
        <v>253319.703125</v>
      </c>
      <c r="Q1428" s="34">
        <v>299959.4375</v>
      </c>
      <c r="R1428" s="34">
        <v>225740.828125</v>
      </c>
      <c r="S1428" s="29"/>
      <c r="T1428" s="33"/>
      <c r="U1428" s="35" t="b">
        <v>0</v>
      </c>
      <c r="V1428" s="35" t="b">
        <v>0</v>
      </c>
      <c r="W1428" s="35" t="b">
        <v>0</v>
      </c>
      <c r="Y1428" s="31" cm="1">
        <f t="array" ref="Y1428">IF(LEFT(_xll.BDP($C1428, VOLUME_AVG_10D), 4) = "#N/A", "",  _xll.BDP($C1428, VOLUME_AVG_10D))</f>
        <v>303456.3125</v>
      </c>
      <c r="Z1428" s="31" cm="1">
        <f t="array" ref="Z1428">IF(LEFT(_xll.BDP($C1428, VOLUME_AVG_30D), 4) = "#N/A", "",  _xll.BDP($C1428, VOLUME_AVG_30D))</f>
        <v>253319.703125</v>
      </c>
      <c r="AA1428" s="31" cm="1">
        <f t="array" ref="AA1428">IF(LEFT(_xll.BDP($C1428, VOLUME_AVG_3M), 4) = "#N/A", "",  _xll.BDP($C1428, VOLUME_AVG_3M))</f>
        <v>299959.4375</v>
      </c>
      <c r="AB1428" s="31" cm="1">
        <f t="array" ref="AB1428">IF(LEFT(_xll.BDP($C1428, VOLUME_AVG_6M), 4) = "#N/A", "",  _xll.BDP($C1428, VOLUME_AVG_6M))</f>
        <v>225740.828125</v>
      </c>
      <c r="AC1428" s="31" cm="1">
        <f t="array" ref="AC1428">IF(LEFT(_xll.BDP($C1428, VOLUME_AVG_12M), 4) = "#N/A", "",  _xll.BDP($C1428, VOLUME_AVG_12M))</f>
        <v>260007.1875</v>
      </c>
      <c r="AD1428" s="41" cm="1">
        <f t="array" ref="AD1428">IF(LEFT(_xll.BDP($C1428, LAST_PRICE), 4) = "#N/A", "",  _xll.BDP($C1428, LAST_PRICE))</f>
        <v>16.82</v>
      </c>
    </row>
    <row r="1429" spans="1:30" x14ac:dyDescent="0.35">
      <c r="A1429" s="1">
        <f t="shared" si="22"/>
        <v>1426</v>
      </c>
      <c r="B1429" s="28">
        <v>45700</v>
      </c>
      <c r="C1429" s="29" t="s">
        <v>2899</v>
      </c>
      <c r="D1429" s="29" t="s">
        <v>2899</v>
      </c>
      <c r="E1429" s="29" t="s">
        <v>2900</v>
      </c>
      <c r="F1429" s="29" t="s">
        <v>33</v>
      </c>
      <c r="G1429" s="30" t="s">
        <v>34</v>
      </c>
      <c r="H1429" s="31">
        <v>6691703.9778000005</v>
      </c>
      <c r="I1429" s="31">
        <v>-34372296.022200003</v>
      </c>
      <c r="J1429" s="32">
        <v>1.71</v>
      </c>
      <c r="K1429" s="33">
        <v>45700</v>
      </c>
      <c r="L1429" s="31">
        <v>4300</v>
      </c>
      <c r="M1429" s="32">
        <v>0.75</v>
      </c>
      <c r="N1429" s="31" t="s">
        <v>35</v>
      </c>
      <c r="O1429" s="33">
        <v>45699</v>
      </c>
      <c r="P1429" s="34">
        <v>1951.5</v>
      </c>
      <c r="Q1429" s="34">
        <v>3813.564453125</v>
      </c>
      <c r="R1429" s="34">
        <v>11675.73046875</v>
      </c>
      <c r="S1429" s="29"/>
      <c r="T1429" s="33"/>
      <c r="U1429" s="35" t="b">
        <v>1</v>
      </c>
      <c r="V1429" s="35" t="b">
        <v>0</v>
      </c>
      <c r="W1429" s="35" t="b">
        <v>1</v>
      </c>
      <c r="Y1429" s="31" cm="1">
        <f t="array" ref="Y1429">IF(LEFT(_xll.BDP($C1429, VOLUME_AVG_10D), 4) = "#N/A", "",  _xll.BDP($C1429, VOLUME_AVG_10D))</f>
        <v>215.30000305175781</v>
      </c>
      <c r="Z1429" s="31" cm="1">
        <f t="array" ref="Z1429">IF(LEFT(_xll.BDP($C1429, VOLUME_AVG_30D), 4) = "#N/A", "",  _xll.BDP($C1429, VOLUME_AVG_30D))</f>
        <v>1951.5</v>
      </c>
      <c r="AA1429" s="31" cm="1">
        <f t="array" ref="AA1429">IF(LEFT(_xll.BDP($C1429, VOLUME_AVG_3M), 4) = "#N/A", "",  _xll.BDP($C1429, VOLUME_AVG_3M))</f>
        <v>3813.564453125</v>
      </c>
      <c r="AB1429" s="31" cm="1">
        <f t="array" ref="AB1429">IF(LEFT(_xll.BDP($C1429, VOLUME_AVG_6M), 4) = "#N/A", "",  _xll.BDP($C1429, VOLUME_AVG_6M))</f>
        <v>11675.73046875</v>
      </c>
      <c r="AC1429" s="31" cm="1">
        <f t="array" ref="AC1429">IF(LEFT(_xll.BDP($C1429, VOLUME_AVG_12M), 4) = "#N/A", "",  _xll.BDP($C1429, VOLUME_AVG_12M))</f>
        <v>11721.912109375</v>
      </c>
      <c r="AD1429" s="41" cm="1">
        <f t="array" ref="AD1429">IF(LEFT(_xll.BDP($C1429, LAST_PRICE), 4) = "#N/A", "",  _xll.BDP($C1429, LAST_PRICE))</f>
        <v>1.71</v>
      </c>
    </row>
    <row r="1430" spans="1:30" x14ac:dyDescent="0.35">
      <c r="A1430" s="1">
        <f t="shared" si="22"/>
        <v>1427</v>
      </c>
      <c r="B1430" s="28">
        <v>45700</v>
      </c>
      <c r="C1430" s="29" t="s">
        <v>2901</v>
      </c>
      <c r="D1430" s="29" t="s">
        <v>2901</v>
      </c>
      <c r="E1430" s="29" t="s">
        <v>2902</v>
      </c>
      <c r="F1430" s="29" t="s">
        <v>33</v>
      </c>
      <c r="G1430" s="30" t="s">
        <v>34</v>
      </c>
      <c r="H1430" s="31">
        <v>699340323.90637398</v>
      </c>
      <c r="I1430" s="31">
        <v>575432323.90637398</v>
      </c>
      <c r="J1430" s="32">
        <v>4.1399998664856001</v>
      </c>
      <c r="K1430" s="33">
        <v>45700</v>
      </c>
      <c r="L1430" s="31">
        <v>29739800</v>
      </c>
      <c r="M1430" s="32">
        <v>3.88</v>
      </c>
      <c r="N1430" s="31" t="s">
        <v>35</v>
      </c>
      <c r="O1430" s="33">
        <v>45699</v>
      </c>
      <c r="P1430" s="34">
        <v>1269903.375</v>
      </c>
      <c r="Q1430" s="34">
        <v>1429452</v>
      </c>
      <c r="R1430" s="34">
        <v>1790798.875</v>
      </c>
      <c r="S1430" s="29"/>
      <c r="T1430" s="33"/>
      <c r="U1430" s="35" t="b">
        <v>0</v>
      </c>
      <c r="V1430" s="35" t="b">
        <v>0</v>
      </c>
      <c r="W1430" s="35" t="b">
        <v>0</v>
      </c>
      <c r="Y1430" s="31" cm="1">
        <f t="array" ref="Y1430">IF(LEFT(_xll.BDP($C1430, VOLUME_AVG_10D), 4) = "#N/A", "",  _xll.BDP($C1430, VOLUME_AVG_10D))</f>
        <v>1752035.75</v>
      </c>
      <c r="Z1430" s="31" cm="1">
        <f t="array" ref="Z1430">IF(LEFT(_xll.BDP($C1430, VOLUME_AVG_30D), 4) = "#N/A", "",  _xll.BDP($C1430, VOLUME_AVG_30D))</f>
        <v>1269903.375</v>
      </c>
      <c r="AA1430" s="31" cm="1">
        <f t="array" ref="AA1430">IF(LEFT(_xll.BDP($C1430, VOLUME_AVG_3M), 4) = "#N/A", "",  _xll.BDP($C1430, VOLUME_AVG_3M))</f>
        <v>1429452</v>
      </c>
      <c r="AB1430" s="31" cm="1">
        <f t="array" ref="AB1430">IF(LEFT(_xll.BDP($C1430, VOLUME_AVG_6M), 4) = "#N/A", "",  _xll.BDP($C1430, VOLUME_AVG_6M))</f>
        <v>1790798.875</v>
      </c>
      <c r="AC1430" s="31" cm="1">
        <f t="array" ref="AC1430">IF(LEFT(_xll.BDP($C1430, VOLUME_AVG_12M), 4) = "#N/A", "",  _xll.BDP($C1430, VOLUME_AVG_12M))</f>
        <v>1666278.25</v>
      </c>
      <c r="AD1430" s="41" cm="1">
        <f t="array" ref="AD1430">IF(LEFT(_xll.BDP($C1430, LAST_PRICE), 4) = "#N/A", "",  _xll.BDP($C1430, LAST_PRICE))</f>
        <v>4.1399999999999997</v>
      </c>
    </row>
    <row r="1431" spans="1:30" x14ac:dyDescent="0.35">
      <c r="A1431" s="1">
        <f t="shared" si="22"/>
        <v>1428</v>
      </c>
      <c r="B1431" s="28">
        <v>45700</v>
      </c>
      <c r="C1431" s="29" t="s">
        <v>2903</v>
      </c>
      <c r="D1431" s="29" t="s">
        <v>2903</v>
      </c>
      <c r="E1431" s="29" t="s">
        <v>2904</v>
      </c>
      <c r="F1431" s="29" t="s">
        <v>33</v>
      </c>
      <c r="G1431" s="30" t="s">
        <v>34</v>
      </c>
      <c r="H1431" s="31">
        <v>10404852.222360499</v>
      </c>
      <c r="I1431" s="31">
        <v>10852.2223604918</v>
      </c>
      <c r="J1431" s="32">
        <v>0.61100000143051103</v>
      </c>
      <c r="K1431" s="33">
        <v>45700</v>
      </c>
      <c r="L1431" s="31">
        <v>924400</v>
      </c>
      <c r="M1431" s="32">
        <v>-0.75</v>
      </c>
      <c r="N1431" s="31" t="s">
        <v>35</v>
      </c>
      <c r="O1431" s="33">
        <v>45699</v>
      </c>
      <c r="P1431" s="34">
        <v>93995.5</v>
      </c>
      <c r="Q1431" s="34">
        <v>101892.6328125</v>
      </c>
      <c r="R1431" s="34">
        <v>96511.4140625</v>
      </c>
      <c r="S1431" s="29"/>
      <c r="T1431" s="33"/>
      <c r="U1431" s="35" t="b">
        <v>1</v>
      </c>
      <c r="V1431" s="35" t="b">
        <v>0</v>
      </c>
      <c r="W1431" s="35" t="b">
        <v>0</v>
      </c>
      <c r="Y1431" s="31" cm="1">
        <f t="array" ref="Y1431">IF(LEFT(_xll.BDP($C1431, VOLUME_AVG_10D), 4) = "#N/A", "",  _xll.BDP($C1431, VOLUME_AVG_10D))</f>
        <v>68780</v>
      </c>
      <c r="Z1431" s="31" cm="1">
        <f t="array" ref="Z1431">IF(LEFT(_xll.BDP($C1431, VOLUME_AVG_30D), 4) = "#N/A", "",  _xll.BDP($C1431, VOLUME_AVG_30D))</f>
        <v>93995.5</v>
      </c>
      <c r="AA1431" s="31" cm="1">
        <f t="array" ref="AA1431">IF(LEFT(_xll.BDP($C1431, VOLUME_AVG_3M), 4) = "#N/A", "",  _xll.BDP($C1431, VOLUME_AVG_3M))</f>
        <v>101892.6328125</v>
      </c>
      <c r="AB1431" s="31" cm="1">
        <f t="array" ref="AB1431">IF(LEFT(_xll.BDP($C1431, VOLUME_AVG_6M), 4) = "#N/A", "",  _xll.BDP($C1431, VOLUME_AVG_6M))</f>
        <v>96511.4140625</v>
      </c>
      <c r="AC1431" s="31" cm="1">
        <f t="array" ref="AC1431">IF(LEFT(_xll.BDP($C1431, VOLUME_AVG_12M), 4) = "#N/A", "",  _xll.BDP($C1431, VOLUME_AVG_12M))</f>
        <v>86697.640625</v>
      </c>
      <c r="AD1431" s="41" cm="1">
        <f t="array" ref="AD1431">IF(LEFT(_xll.BDP($C1431, LAST_PRICE), 4) = "#N/A", "",  _xll.BDP($C1431, LAST_PRICE))</f>
        <v>0.61099999999999999</v>
      </c>
    </row>
    <row r="1432" spans="1:30" x14ac:dyDescent="0.35">
      <c r="A1432" s="1">
        <f t="shared" si="22"/>
        <v>1429</v>
      </c>
      <c r="B1432" s="28">
        <v>45700</v>
      </c>
      <c r="C1432" s="29" t="s">
        <v>2905</v>
      </c>
      <c r="D1432" s="29" t="s">
        <v>2905</v>
      </c>
      <c r="E1432" s="29" t="s">
        <v>2906</v>
      </c>
      <c r="F1432" s="29" t="s">
        <v>33</v>
      </c>
      <c r="G1432" s="30" t="s">
        <v>34</v>
      </c>
      <c r="H1432" s="31">
        <v>2161414658.0985599</v>
      </c>
      <c r="I1432" s="31">
        <v>2164055658.0985599</v>
      </c>
      <c r="J1432" s="32">
        <v>32.909999847412102</v>
      </c>
      <c r="K1432" s="33">
        <v>45700</v>
      </c>
      <c r="L1432" s="31">
        <v>21938200</v>
      </c>
      <c r="M1432" s="32">
        <v>3.88</v>
      </c>
      <c r="N1432" s="31" t="s">
        <v>35</v>
      </c>
      <c r="O1432" s="33">
        <v>45699</v>
      </c>
      <c r="P1432" s="34">
        <v>902705.375</v>
      </c>
      <c r="Q1432" s="34">
        <v>1148932.25</v>
      </c>
      <c r="R1432" s="34">
        <v>1204281.25</v>
      </c>
      <c r="S1432" s="29"/>
      <c r="T1432" s="33"/>
      <c r="U1432" s="35" t="b">
        <v>0</v>
      </c>
      <c r="V1432" s="35" t="b">
        <v>0</v>
      </c>
      <c r="W1432" s="35" t="b">
        <v>0</v>
      </c>
      <c r="Y1432" s="31" cm="1">
        <f t="array" ref="Y1432">IF(LEFT(_xll.BDP($C1432, VOLUME_AVG_10D), 4) = "#N/A", "",  _xll.BDP($C1432, VOLUME_AVG_10D))</f>
        <v>800109.5</v>
      </c>
      <c r="Z1432" s="31" cm="1">
        <f t="array" ref="Z1432">IF(LEFT(_xll.BDP($C1432, VOLUME_AVG_30D), 4) = "#N/A", "",  _xll.BDP($C1432, VOLUME_AVG_30D))</f>
        <v>902705.375</v>
      </c>
      <c r="AA1432" s="31" cm="1">
        <f t="array" ref="AA1432">IF(LEFT(_xll.BDP($C1432, VOLUME_AVG_3M), 4) = "#N/A", "",  _xll.BDP($C1432, VOLUME_AVG_3M))</f>
        <v>1148932.25</v>
      </c>
      <c r="AB1432" s="31" cm="1">
        <f t="array" ref="AB1432">IF(LEFT(_xll.BDP($C1432, VOLUME_AVG_6M), 4) = "#N/A", "",  _xll.BDP($C1432, VOLUME_AVG_6M))</f>
        <v>1204281.25</v>
      </c>
      <c r="AC1432" s="31" cm="1">
        <f t="array" ref="AC1432">IF(LEFT(_xll.BDP($C1432, VOLUME_AVG_12M), 4) = "#N/A", "",  _xll.BDP($C1432, VOLUME_AVG_12M))</f>
        <v>1514225.25</v>
      </c>
      <c r="AD1432" s="41" cm="1">
        <f t="array" ref="AD1432">IF(LEFT(_xll.BDP($C1432, LAST_PRICE), 4) = "#N/A", "",  _xll.BDP($C1432, LAST_PRICE))</f>
        <v>32.909999999999997</v>
      </c>
    </row>
    <row r="1433" spans="1:30" x14ac:dyDescent="0.35">
      <c r="A1433" s="1">
        <f t="shared" si="22"/>
        <v>1430</v>
      </c>
      <c r="B1433" s="28">
        <v>45700</v>
      </c>
      <c r="C1433" s="29" t="s">
        <v>2907</v>
      </c>
      <c r="D1433" s="29" t="s">
        <v>2907</v>
      </c>
      <c r="E1433" s="29" t="s">
        <v>2908</v>
      </c>
      <c r="F1433" s="29" t="s">
        <v>33</v>
      </c>
      <c r="G1433" s="30" t="s">
        <v>34</v>
      </c>
      <c r="H1433" s="31">
        <v>264247836.37766501</v>
      </c>
      <c r="I1433" s="31">
        <v>8595836.37766454</v>
      </c>
      <c r="J1433" s="32">
        <v>2.46000003814697</v>
      </c>
      <c r="K1433" s="33">
        <v>45700</v>
      </c>
      <c r="L1433" s="31">
        <v>12402400</v>
      </c>
      <c r="M1433" s="32">
        <v>3.88</v>
      </c>
      <c r="N1433" s="31" t="s">
        <v>35</v>
      </c>
      <c r="O1433" s="33">
        <v>45699</v>
      </c>
      <c r="P1433" s="34">
        <v>730147.625</v>
      </c>
      <c r="Q1433" s="34">
        <v>1355580.625</v>
      </c>
      <c r="R1433" s="34">
        <v>1408151.5</v>
      </c>
      <c r="S1433" s="29" t="s">
        <v>46</v>
      </c>
      <c r="T1433" s="33">
        <v>45446</v>
      </c>
      <c r="U1433" s="35" t="b">
        <v>0</v>
      </c>
      <c r="V1433" s="35" t="b">
        <v>0</v>
      </c>
      <c r="W1433" s="35" t="b">
        <v>0</v>
      </c>
      <c r="Y1433" s="31" cm="1">
        <f t="array" ref="Y1433">IF(LEFT(_xll.BDP($C1433, VOLUME_AVG_10D), 4) = "#N/A", "",  _xll.BDP($C1433, VOLUME_AVG_10D))</f>
        <v>553823.125</v>
      </c>
      <c r="Z1433" s="31" cm="1">
        <f t="array" ref="Z1433">IF(LEFT(_xll.BDP($C1433, VOLUME_AVG_30D), 4) = "#N/A", "",  _xll.BDP($C1433, VOLUME_AVG_30D))</f>
        <v>730147.625</v>
      </c>
      <c r="AA1433" s="31" cm="1">
        <f t="array" ref="AA1433">IF(LEFT(_xll.BDP($C1433, VOLUME_AVG_3M), 4) = "#N/A", "",  _xll.BDP($C1433, VOLUME_AVG_3M))</f>
        <v>1355580.625</v>
      </c>
      <c r="AB1433" s="31" cm="1">
        <f t="array" ref="AB1433">IF(LEFT(_xll.BDP($C1433, VOLUME_AVG_6M), 4) = "#N/A", "",  _xll.BDP($C1433, VOLUME_AVG_6M))</f>
        <v>1408151.5</v>
      </c>
      <c r="AC1433" s="31" cm="1">
        <f t="array" ref="AC1433">IF(LEFT(_xll.BDP($C1433, VOLUME_AVG_12M), 4) = "#N/A", "",  _xll.BDP($C1433, VOLUME_AVG_12M))</f>
        <v>1050120.75</v>
      </c>
      <c r="AD1433" s="41" cm="1">
        <f t="array" ref="AD1433">IF(LEFT(_xll.BDP($C1433, LAST_PRICE), 4) = "#N/A", "",  _xll.BDP($C1433, LAST_PRICE))</f>
        <v>2.46</v>
      </c>
    </row>
    <row r="1434" spans="1:30" x14ac:dyDescent="0.35">
      <c r="A1434" s="1">
        <f t="shared" si="22"/>
        <v>1431</v>
      </c>
      <c r="B1434" s="28">
        <v>45700</v>
      </c>
      <c r="C1434" s="29" t="s">
        <v>2909</v>
      </c>
      <c r="D1434" s="29" t="s">
        <v>2909</v>
      </c>
      <c r="E1434" s="29" t="s">
        <v>2910</v>
      </c>
      <c r="F1434" s="29" t="s">
        <v>33</v>
      </c>
      <c r="G1434" s="30" t="s">
        <v>34</v>
      </c>
      <c r="H1434" s="31">
        <v>1398200.69805</v>
      </c>
      <c r="I1434" s="31">
        <v>1346942.69805</v>
      </c>
      <c r="J1434" s="32">
        <v>1.9499999999999999E-3</v>
      </c>
      <c r="K1434" s="33">
        <v>45700</v>
      </c>
      <c r="L1434" s="31"/>
      <c r="M1434" s="32"/>
      <c r="N1434" s="31"/>
      <c r="O1434" s="33">
        <v>45699</v>
      </c>
      <c r="P1434" s="34">
        <v>288271.1875</v>
      </c>
      <c r="Q1434" s="34">
        <v>158006.78125</v>
      </c>
      <c r="R1434" s="34">
        <v>255668.484375</v>
      </c>
      <c r="S1434" s="29"/>
      <c r="T1434" s="33"/>
      <c r="U1434" s="35" t="b">
        <v>1</v>
      </c>
      <c r="V1434" s="35" t="b">
        <v>1</v>
      </c>
      <c r="W1434" s="35" t="b">
        <v>0</v>
      </c>
      <c r="Y1434" s="31" cm="1">
        <f t="array" ref="Y1434">IF(LEFT(_xll.BDP($C1434, VOLUME_AVG_10D), 4) = "#N/A", "",  _xll.BDP($C1434, VOLUME_AVG_10D))</f>
        <v>105293.6015625</v>
      </c>
      <c r="Z1434" s="31" cm="1">
        <f t="array" ref="Z1434">IF(LEFT(_xll.BDP($C1434, VOLUME_AVG_30D), 4) = "#N/A", "",  _xll.BDP($C1434, VOLUME_AVG_30D))</f>
        <v>288271.1875</v>
      </c>
      <c r="AA1434" s="31" cm="1">
        <f t="array" ref="AA1434">IF(LEFT(_xll.BDP($C1434, VOLUME_AVG_3M), 4) = "#N/A", "",  _xll.BDP($C1434, VOLUME_AVG_3M))</f>
        <v>158006.78125</v>
      </c>
      <c r="AB1434" s="31" cm="1">
        <f t="array" ref="AB1434">IF(LEFT(_xll.BDP($C1434, VOLUME_AVG_6M), 4) = "#N/A", "",  _xll.BDP($C1434, VOLUME_AVG_6M))</f>
        <v>255668.484375</v>
      </c>
      <c r="AC1434" s="31" cm="1">
        <f t="array" ref="AC1434">IF(LEFT(_xll.BDP($C1434, VOLUME_AVG_12M), 4) = "#N/A", "",  _xll.BDP($C1434, VOLUME_AVG_12M))</f>
        <v>214293.625</v>
      </c>
      <c r="AD1434" s="41" cm="1">
        <f t="array" ref="AD1434">IF(LEFT(_xll.BDP($C1434, LAST_PRICE), 4) = "#N/A", "",  _xll.BDP($C1434, LAST_PRICE))</f>
        <v>1.9499999999999999E-3</v>
      </c>
    </row>
    <row r="1435" spans="1:30" x14ac:dyDescent="0.35">
      <c r="A1435" s="1">
        <f t="shared" si="22"/>
        <v>1432</v>
      </c>
      <c r="B1435" s="28">
        <v>45700</v>
      </c>
      <c r="C1435" s="29" t="s">
        <v>2911</v>
      </c>
      <c r="D1435" s="29" t="s">
        <v>2911</v>
      </c>
      <c r="E1435" s="29" t="s">
        <v>2912</v>
      </c>
      <c r="F1435" s="29" t="s">
        <v>33</v>
      </c>
      <c r="G1435" s="30" t="s">
        <v>34</v>
      </c>
      <c r="H1435" s="31"/>
      <c r="I1435" s="31"/>
      <c r="J1435" s="32"/>
      <c r="K1435" s="33">
        <v>45700</v>
      </c>
      <c r="L1435" s="31"/>
      <c r="M1435" s="32"/>
      <c r="N1435" s="31"/>
      <c r="O1435" s="33">
        <v>45699</v>
      </c>
      <c r="P1435" s="34"/>
      <c r="Q1435" s="34"/>
      <c r="R1435" s="34"/>
      <c r="S1435" s="29"/>
      <c r="T1435" s="33"/>
      <c r="U1435" s="35" t="b">
        <v>1</v>
      </c>
      <c r="V1435" s="35" t="b">
        <v>1</v>
      </c>
      <c r="W1435" s="35" t="b">
        <v>1</v>
      </c>
      <c r="Y1435" s="31" t="str" cm="1">
        <f t="array" ref="Y1435">IF(LEFT(_xll.BDP($C1435, VOLUME_AVG_10D), 4) = "#N/A", "",  _xll.BDP($C1435, VOLUME_AVG_10D))</f>
        <v/>
      </c>
      <c r="Z1435" s="31" t="str" cm="1">
        <f t="array" ref="Z1435">IF(LEFT(_xll.BDP($C1435, VOLUME_AVG_30D), 4) = "#N/A", "",  _xll.BDP($C1435, VOLUME_AVG_30D))</f>
        <v/>
      </c>
      <c r="AA1435" s="31" t="str" cm="1">
        <f t="array" ref="AA1435">IF(LEFT(_xll.BDP($C1435, VOLUME_AVG_3M), 4) = "#N/A", "",  _xll.BDP($C1435, VOLUME_AVG_3M))</f>
        <v/>
      </c>
      <c r="AB1435" s="31" t="str" cm="1">
        <f t="array" ref="AB1435">IF(LEFT(_xll.BDP($C1435, VOLUME_AVG_6M), 4) = "#N/A", "",  _xll.BDP($C1435, VOLUME_AVG_6M))</f>
        <v/>
      </c>
      <c r="AC1435" s="31" t="str" cm="1">
        <f t="array" ref="AC1435">IF(LEFT(_xll.BDP($C1435, VOLUME_AVG_12M), 4) = "#N/A", "",  _xll.BDP($C1435, VOLUME_AVG_12M))</f>
        <v/>
      </c>
      <c r="AD1435" s="41" t="str" cm="1">
        <f t="array" ref="AD1435">IF(LEFT(_xll.BDP($C1435, LAST_PRICE), 4) = "#N/A", "",  _xll.BDP($C1435, LAST_PRICE))</f>
        <v/>
      </c>
    </row>
    <row r="1436" spans="1:30" x14ac:dyDescent="0.35">
      <c r="A1436" s="1">
        <f t="shared" si="22"/>
        <v>1433</v>
      </c>
      <c r="B1436" s="28">
        <v>45700</v>
      </c>
      <c r="C1436" s="29" t="s">
        <v>2913</v>
      </c>
      <c r="D1436" s="29" t="s">
        <v>2913</v>
      </c>
      <c r="E1436" s="29" t="s">
        <v>2914</v>
      </c>
      <c r="F1436" s="29" t="s">
        <v>33</v>
      </c>
      <c r="G1436" s="30" t="s">
        <v>34</v>
      </c>
      <c r="H1436" s="31">
        <v>2000415264.5655999</v>
      </c>
      <c r="I1436" s="31">
        <v>1755171264.5655999</v>
      </c>
      <c r="J1436" s="32">
        <v>52.330001831054702</v>
      </c>
      <c r="K1436" s="33">
        <v>45700</v>
      </c>
      <c r="L1436" s="31">
        <v>8629800</v>
      </c>
      <c r="M1436" s="32">
        <v>3.88</v>
      </c>
      <c r="N1436" s="31" t="s">
        <v>35</v>
      </c>
      <c r="O1436" s="33">
        <v>45699</v>
      </c>
      <c r="P1436" s="34">
        <v>645548.3125</v>
      </c>
      <c r="Q1436" s="34">
        <v>617095.0625</v>
      </c>
      <c r="R1436" s="34">
        <v>675052.0625</v>
      </c>
      <c r="S1436" s="29" t="s">
        <v>49</v>
      </c>
      <c r="T1436" s="33">
        <v>45446</v>
      </c>
      <c r="U1436" s="35" t="b">
        <v>0</v>
      </c>
      <c r="V1436" s="35" t="b">
        <v>0</v>
      </c>
      <c r="W1436" s="35" t="b">
        <v>0</v>
      </c>
      <c r="Y1436" s="31" cm="1">
        <f t="array" ref="Y1436">IF(LEFT(_xll.BDP($C1436, VOLUME_AVG_10D), 4) = "#N/A", "",  _xll.BDP($C1436, VOLUME_AVG_10D))</f>
        <v>464817.5</v>
      </c>
      <c r="Z1436" s="31" cm="1">
        <f t="array" ref="Z1436">IF(LEFT(_xll.BDP($C1436, VOLUME_AVG_30D), 4) = "#N/A", "",  _xll.BDP($C1436, VOLUME_AVG_30D))</f>
        <v>645548.3125</v>
      </c>
      <c r="AA1436" s="31" cm="1">
        <f t="array" ref="AA1436">IF(LEFT(_xll.BDP($C1436, VOLUME_AVG_3M), 4) = "#N/A", "",  _xll.BDP($C1436, VOLUME_AVG_3M))</f>
        <v>617095.0625</v>
      </c>
      <c r="AB1436" s="31" cm="1">
        <f t="array" ref="AB1436">IF(LEFT(_xll.BDP($C1436, VOLUME_AVG_6M), 4) = "#N/A", "",  _xll.BDP($C1436, VOLUME_AVG_6M))</f>
        <v>675052.0625</v>
      </c>
      <c r="AC1436" s="31" cm="1">
        <f t="array" ref="AC1436">IF(LEFT(_xll.BDP($C1436, VOLUME_AVG_12M), 4) = "#N/A", "",  _xll.BDP($C1436, VOLUME_AVG_12M))</f>
        <v>696084.625</v>
      </c>
      <c r="AD1436" s="41" cm="1">
        <f t="array" ref="AD1436">IF(LEFT(_xll.BDP($C1436, LAST_PRICE), 4) = "#N/A", "",  _xll.BDP($C1436, LAST_PRICE))</f>
        <v>52.33</v>
      </c>
    </row>
    <row r="1437" spans="1:30" x14ac:dyDescent="0.35">
      <c r="A1437" s="1">
        <f t="shared" si="22"/>
        <v>1434</v>
      </c>
      <c r="B1437" s="28">
        <v>45700</v>
      </c>
      <c r="C1437" s="29" t="s">
        <v>2915</v>
      </c>
      <c r="D1437" s="29" t="s">
        <v>2915</v>
      </c>
      <c r="E1437" s="29" t="s">
        <v>2916</v>
      </c>
      <c r="F1437" s="29" t="s">
        <v>33</v>
      </c>
      <c r="G1437" s="30" t="s">
        <v>34</v>
      </c>
      <c r="H1437" s="31">
        <v>327909294.486229</v>
      </c>
      <c r="I1437" s="31">
        <v>233239294.486229</v>
      </c>
      <c r="J1437" s="32">
        <v>1.6000000238418599</v>
      </c>
      <c r="K1437" s="33">
        <v>45700</v>
      </c>
      <c r="L1437" s="31">
        <v>30403100</v>
      </c>
      <c r="M1437" s="32">
        <v>3.88</v>
      </c>
      <c r="N1437" s="31" t="s">
        <v>35</v>
      </c>
      <c r="O1437" s="33">
        <v>45699</v>
      </c>
      <c r="P1437" s="34">
        <v>2243992.25</v>
      </c>
      <c r="Q1437" s="34">
        <v>4083925.5</v>
      </c>
      <c r="R1437" s="34">
        <v>3092917.25</v>
      </c>
      <c r="S1437" s="29" t="s">
        <v>68</v>
      </c>
      <c r="T1437" s="33">
        <v>45446</v>
      </c>
      <c r="U1437" s="35" t="b">
        <v>0</v>
      </c>
      <c r="V1437" s="35" t="b">
        <v>0</v>
      </c>
      <c r="W1437" s="35" t="b">
        <v>0</v>
      </c>
      <c r="Y1437" s="31" cm="1">
        <f t="array" ref="Y1437">IF(LEFT(_xll.BDP($C1437, VOLUME_AVG_10D), 4) = "#N/A", "",  _xll.BDP($C1437, VOLUME_AVG_10D))</f>
        <v>2388687</v>
      </c>
      <c r="Z1437" s="31" cm="1">
        <f t="array" ref="Z1437">IF(LEFT(_xll.BDP($C1437, VOLUME_AVG_30D), 4) = "#N/A", "",  _xll.BDP($C1437, VOLUME_AVG_30D))</f>
        <v>2243992.25</v>
      </c>
      <c r="AA1437" s="31" cm="1">
        <f t="array" ref="AA1437">IF(LEFT(_xll.BDP($C1437, VOLUME_AVG_3M), 4) = "#N/A", "",  _xll.BDP($C1437, VOLUME_AVG_3M))</f>
        <v>4083925.5</v>
      </c>
      <c r="AB1437" s="31" cm="1">
        <f t="array" ref="AB1437">IF(LEFT(_xll.BDP($C1437, VOLUME_AVG_6M), 4) = "#N/A", "",  _xll.BDP($C1437, VOLUME_AVG_6M))</f>
        <v>3092917.25</v>
      </c>
      <c r="AC1437" s="31" cm="1">
        <f t="array" ref="AC1437">IF(LEFT(_xll.BDP($C1437, VOLUME_AVG_12M), 4) = "#N/A", "",  _xll.BDP($C1437, VOLUME_AVG_12M))</f>
        <v>2926522.75</v>
      </c>
      <c r="AD1437" s="41" cm="1">
        <f t="array" ref="AD1437">IF(LEFT(_xll.BDP($C1437, LAST_PRICE), 4) = "#N/A", "",  _xll.BDP($C1437, LAST_PRICE))</f>
        <v>1.6</v>
      </c>
    </row>
    <row r="1438" spans="1:30" x14ac:dyDescent="0.35">
      <c r="A1438" s="1">
        <f t="shared" si="22"/>
        <v>1435</v>
      </c>
      <c r="B1438" s="28">
        <v>45700</v>
      </c>
      <c r="C1438" s="29" t="s">
        <v>2917</v>
      </c>
      <c r="D1438" s="29" t="s">
        <v>2917</v>
      </c>
      <c r="E1438" s="29" t="s">
        <v>2918</v>
      </c>
      <c r="F1438" s="29" t="s">
        <v>33</v>
      </c>
      <c r="G1438" s="30" t="s">
        <v>34</v>
      </c>
      <c r="H1438" s="31">
        <v>1754432.6791381801</v>
      </c>
      <c r="I1438" s="31">
        <v>-605633.23600115394</v>
      </c>
      <c r="J1438" s="32">
        <v>3.4200000762939502</v>
      </c>
      <c r="K1438" s="33">
        <v>45700</v>
      </c>
      <c r="L1438" s="31">
        <v>34200</v>
      </c>
      <c r="M1438" s="32">
        <v>-32.450000000000003</v>
      </c>
      <c r="N1438" s="31" t="s">
        <v>35</v>
      </c>
      <c r="O1438" s="33">
        <v>45699</v>
      </c>
      <c r="P1438" s="34">
        <v>68344.6328125</v>
      </c>
      <c r="Q1438" s="34">
        <v>108316.765625</v>
      </c>
      <c r="R1438" s="34">
        <v>75592.8359375</v>
      </c>
      <c r="S1438" s="29"/>
      <c r="T1438" s="33"/>
      <c r="U1438" s="35" t="b">
        <v>1</v>
      </c>
      <c r="V1438" s="35" t="b">
        <v>0</v>
      </c>
      <c r="W1438" s="35" t="b">
        <v>1</v>
      </c>
      <c r="Y1438" s="31" cm="1">
        <f t="array" ref="Y1438">IF(LEFT(_xll.BDP($C1438, VOLUME_AVG_10D), 4) = "#N/A", "",  _xll.BDP($C1438, VOLUME_AVG_10D))</f>
        <v>92410.8671875</v>
      </c>
      <c r="Z1438" s="31" cm="1">
        <f t="array" ref="Z1438">IF(LEFT(_xll.BDP($C1438, VOLUME_AVG_30D), 4) = "#N/A", "",  _xll.BDP($C1438, VOLUME_AVG_30D))</f>
        <v>68344.6328125</v>
      </c>
      <c r="AA1438" s="31" cm="1">
        <f t="array" ref="AA1438">IF(LEFT(_xll.BDP($C1438, VOLUME_AVG_3M), 4) = "#N/A", "",  _xll.BDP($C1438, VOLUME_AVG_3M))</f>
        <v>108316.765625</v>
      </c>
      <c r="AB1438" s="31" cm="1">
        <f t="array" ref="AB1438">IF(LEFT(_xll.BDP($C1438, VOLUME_AVG_6M), 4) = "#N/A", "",  _xll.BDP($C1438, VOLUME_AVG_6M))</f>
        <v>75592.8359375</v>
      </c>
      <c r="AC1438" s="31" cm="1">
        <f t="array" ref="AC1438">IF(LEFT(_xll.BDP($C1438, VOLUME_AVG_12M), 4) = "#N/A", "",  _xll.BDP($C1438, VOLUME_AVG_12M))</f>
        <v>45894.1875</v>
      </c>
      <c r="AD1438" s="41" cm="1">
        <f t="array" ref="AD1438">IF(LEFT(_xll.BDP($C1438, LAST_PRICE), 4) = "#N/A", "",  _xll.BDP($C1438, LAST_PRICE))</f>
        <v>3.42</v>
      </c>
    </row>
    <row r="1439" spans="1:30" x14ac:dyDescent="0.35">
      <c r="A1439" s="1">
        <f t="shared" si="22"/>
        <v>1436</v>
      </c>
      <c r="B1439" s="28">
        <v>45700</v>
      </c>
      <c r="C1439" s="29" t="s">
        <v>2919</v>
      </c>
      <c r="D1439" s="29" t="s">
        <v>2919</v>
      </c>
      <c r="E1439" s="29" t="s">
        <v>2920</v>
      </c>
      <c r="F1439" s="29" t="s">
        <v>33</v>
      </c>
      <c r="G1439" s="30" t="s">
        <v>34</v>
      </c>
      <c r="H1439" s="31">
        <v>582772073.43512297</v>
      </c>
      <c r="I1439" s="31">
        <v>426661073.43512303</v>
      </c>
      <c r="J1439" s="32">
        <v>31.600000381469702</v>
      </c>
      <c r="K1439" s="33">
        <v>45700</v>
      </c>
      <c r="L1439" s="31">
        <v>1206400</v>
      </c>
      <c r="M1439" s="32">
        <v>3.4</v>
      </c>
      <c r="N1439" s="31" t="s">
        <v>35</v>
      </c>
      <c r="O1439" s="33">
        <v>45699</v>
      </c>
      <c r="P1439" s="34">
        <v>438458.40625</v>
      </c>
      <c r="Q1439" s="34">
        <v>265679.875</v>
      </c>
      <c r="R1439" s="34">
        <v>183853.609375</v>
      </c>
      <c r="S1439" s="29"/>
      <c r="T1439" s="33"/>
      <c r="U1439" s="35" t="b">
        <v>0</v>
      </c>
      <c r="V1439" s="35" t="b">
        <v>0</v>
      </c>
      <c r="W1439" s="35" t="b">
        <v>0</v>
      </c>
      <c r="Y1439" s="31" cm="1">
        <f t="array" ref="Y1439">IF(LEFT(_xll.BDP($C1439, VOLUME_AVG_10D), 4) = "#N/A", "",  _xll.BDP($C1439, VOLUME_AVG_10D))</f>
        <v>923848.875</v>
      </c>
      <c r="Z1439" s="31" cm="1">
        <f t="array" ref="Z1439">IF(LEFT(_xll.BDP($C1439, VOLUME_AVG_30D), 4) = "#N/A", "",  _xll.BDP($C1439, VOLUME_AVG_30D))</f>
        <v>438458.40625</v>
      </c>
      <c r="AA1439" s="31" cm="1">
        <f t="array" ref="AA1439">IF(LEFT(_xll.BDP($C1439, VOLUME_AVG_3M), 4) = "#N/A", "",  _xll.BDP($C1439, VOLUME_AVG_3M))</f>
        <v>265679.875</v>
      </c>
      <c r="AB1439" s="31" cm="1">
        <f t="array" ref="AB1439">IF(LEFT(_xll.BDP($C1439, VOLUME_AVG_6M), 4) = "#N/A", "",  _xll.BDP($C1439, VOLUME_AVG_6M))</f>
        <v>183853.609375</v>
      </c>
      <c r="AC1439" s="31" cm="1">
        <f t="array" ref="AC1439">IF(LEFT(_xll.BDP($C1439, VOLUME_AVG_12M), 4) = "#N/A", "",  _xll.BDP($C1439, VOLUME_AVG_12M))</f>
        <v>103475.453125</v>
      </c>
      <c r="AD1439" s="41" cm="1">
        <f t="array" ref="AD1439">IF(LEFT(_xll.BDP($C1439, LAST_PRICE), 4) = "#N/A", "",  _xll.BDP($C1439, LAST_PRICE))</f>
        <v>31.6</v>
      </c>
    </row>
    <row r="1440" spans="1:30" x14ac:dyDescent="0.35">
      <c r="A1440" s="1">
        <f t="shared" si="22"/>
        <v>1437</v>
      </c>
      <c r="B1440" s="28">
        <v>45700</v>
      </c>
      <c r="C1440" s="29" t="s">
        <v>2921</v>
      </c>
      <c r="D1440" s="29" t="s">
        <v>2921</v>
      </c>
      <c r="E1440" s="29" t="s">
        <v>2922</v>
      </c>
      <c r="F1440" s="29" t="s">
        <v>33</v>
      </c>
      <c r="G1440" s="30" t="s">
        <v>34</v>
      </c>
      <c r="H1440" s="31">
        <v>100440527.77181301</v>
      </c>
      <c r="I1440" s="31">
        <v>124109527.77181301</v>
      </c>
      <c r="J1440" s="32">
        <v>2.5499999523162802</v>
      </c>
      <c r="K1440" s="33">
        <v>45700</v>
      </c>
      <c r="L1440" s="31">
        <v>4472000</v>
      </c>
      <c r="M1440" s="32">
        <v>3.55</v>
      </c>
      <c r="N1440" s="31" t="s">
        <v>35</v>
      </c>
      <c r="O1440" s="33">
        <v>45699</v>
      </c>
      <c r="P1440" s="34">
        <v>149917.328125</v>
      </c>
      <c r="Q1440" s="34">
        <v>174335.5625</v>
      </c>
      <c r="R1440" s="34">
        <v>215851.328125</v>
      </c>
      <c r="S1440" s="29" t="s">
        <v>1464</v>
      </c>
      <c r="T1440" s="33">
        <v>45446</v>
      </c>
      <c r="U1440" s="35" t="b">
        <v>0</v>
      </c>
      <c r="V1440" s="35" t="b">
        <v>0</v>
      </c>
      <c r="W1440" s="35" t="b">
        <v>0</v>
      </c>
      <c r="Y1440" s="31" cm="1">
        <f t="array" ref="Y1440">IF(LEFT(_xll.BDP($C1440, VOLUME_AVG_10D), 4) = "#N/A", "",  _xll.BDP($C1440, VOLUME_AVG_10D))</f>
        <v>216566.796875</v>
      </c>
      <c r="Z1440" s="31" cm="1">
        <f t="array" ref="Z1440">IF(LEFT(_xll.BDP($C1440, VOLUME_AVG_30D), 4) = "#N/A", "",  _xll.BDP($C1440, VOLUME_AVG_30D))</f>
        <v>149917.328125</v>
      </c>
      <c r="AA1440" s="31" cm="1">
        <f t="array" ref="AA1440">IF(LEFT(_xll.BDP($C1440, VOLUME_AVG_3M), 4) = "#N/A", "",  _xll.BDP($C1440, VOLUME_AVG_3M))</f>
        <v>174335.5625</v>
      </c>
      <c r="AB1440" s="31" cm="1">
        <f t="array" ref="AB1440">IF(LEFT(_xll.BDP($C1440, VOLUME_AVG_6M), 4) = "#N/A", "",  _xll.BDP($C1440, VOLUME_AVG_6M))</f>
        <v>215851.328125</v>
      </c>
      <c r="AC1440" s="31" cm="1">
        <f t="array" ref="AC1440">IF(LEFT(_xll.BDP($C1440, VOLUME_AVG_12M), 4) = "#N/A", "",  _xll.BDP($C1440, VOLUME_AVG_12M))</f>
        <v>198000.671875</v>
      </c>
      <c r="AD1440" s="41" cm="1">
        <f t="array" ref="AD1440">IF(LEFT(_xll.BDP($C1440, LAST_PRICE), 4) = "#N/A", "",  _xll.BDP($C1440, LAST_PRICE))</f>
        <v>2.5499999999999998</v>
      </c>
    </row>
    <row r="1441" spans="1:30" x14ac:dyDescent="0.35">
      <c r="A1441" s="1">
        <f t="shared" si="22"/>
        <v>1438</v>
      </c>
      <c r="B1441" s="28">
        <v>45700</v>
      </c>
      <c r="C1441" s="29" t="s">
        <v>2923</v>
      </c>
      <c r="D1441" s="29" t="s">
        <v>2923</v>
      </c>
      <c r="E1441" s="29" t="s">
        <v>2924</v>
      </c>
      <c r="F1441" s="29" t="s">
        <v>33</v>
      </c>
      <c r="G1441" s="30" t="s">
        <v>34</v>
      </c>
      <c r="H1441" s="31">
        <v>2160692406.4882002</v>
      </c>
      <c r="I1441" s="31">
        <v>2505704406.4882002</v>
      </c>
      <c r="J1441" s="32">
        <v>12.550000190734901</v>
      </c>
      <c r="K1441" s="33">
        <v>45700</v>
      </c>
      <c r="L1441" s="31">
        <v>49904700</v>
      </c>
      <c r="M1441" s="32">
        <v>3.88</v>
      </c>
      <c r="N1441" s="31" t="s">
        <v>35</v>
      </c>
      <c r="O1441" s="33">
        <v>45699</v>
      </c>
      <c r="P1441" s="34">
        <v>5524893</v>
      </c>
      <c r="Q1441" s="34">
        <v>5513549.5</v>
      </c>
      <c r="R1441" s="34">
        <v>5468629.5</v>
      </c>
      <c r="S1441" s="29"/>
      <c r="T1441" s="33"/>
      <c r="U1441" s="35" t="b">
        <v>0</v>
      </c>
      <c r="V1441" s="35" t="b">
        <v>0</v>
      </c>
      <c r="W1441" s="35" t="b">
        <v>0</v>
      </c>
      <c r="Y1441" s="31" cm="1">
        <f t="array" ref="Y1441">IF(LEFT(_xll.BDP($C1441, VOLUME_AVG_10D), 4) = "#N/A", "",  _xll.BDP($C1441, VOLUME_AVG_10D))</f>
        <v>8326666</v>
      </c>
      <c r="Z1441" s="31" cm="1">
        <f t="array" ref="Z1441">IF(LEFT(_xll.BDP($C1441, VOLUME_AVG_30D), 4) = "#N/A", "",  _xll.BDP($C1441, VOLUME_AVG_30D))</f>
        <v>5524893</v>
      </c>
      <c r="AA1441" s="31" cm="1">
        <f t="array" ref="AA1441">IF(LEFT(_xll.BDP($C1441, VOLUME_AVG_3M), 4) = "#N/A", "",  _xll.BDP($C1441, VOLUME_AVG_3M))</f>
        <v>5513549.5</v>
      </c>
      <c r="AB1441" s="31" cm="1">
        <f t="array" ref="AB1441">IF(LEFT(_xll.BDP($C1441, VOLUME_AVG_6M), 4) = "#N/A", "",  _xll.BDP($C1441, VOLUME_AVG_6M))</f>
        <v>5468629.5</v>
      </c>
      <c r="AC1441" s="31" cm="1">
        <f t="array" ref="AC1441">IF(LEFT(_xll.BDP($C1441, VOLUME_AVG_12M), 4) = "#N/A", "",  _xll.BDP($C1441, VOLUME_AVG_12M))</f>
        <v>5722745.5</v>
      </c>
      <c r="AD1441" s="41" cm="1">
        <f t="array" ref="AD1441">IF(LEFT(_xll.BDP($C1441, LAST_PRICE), 4) = "#N/A", "",  _xll.BDP($C1441, LAST_PRICE))</f>
        <v>12.55</v>
      </c>
    </row>
    <row r="1442" spans="1:30" x14ac:dyDescent="0.35">
      <c r="A1442" s="1">
        <f t="shared" si="22"/>
        <v>1439</v>
      </c>
      <c r="B1442" s="28">
        <v>45700</v>
      </c>
      <c r="C1442" s="29" t="s">
        <v>2925</v>
      </c>
      <c r="D1442" s="29" t="s">
        <v>2925</v>
      </c>
      <c r="E1442" s="29" t="s">
        <v>2926</v>
      </c>
      <c r="F1442" s="29" t="s">
        <v>33</v>
      </c>
      <c r="G1442" s="30" t="s">
        <v>34</v>
      </c>
      <c r="H1442" s="31">
        <v>7817873829.2610197</v>
      </c>
      <c r="I1442" s="31">
        <v>9435997829.2610207</v>
      </c>
      <c r="J1442" s="32">
        <v>168.330001831055</v>
      </c>
      <c r="K1442" s="33">
        <v>45700</v>
      </c>
      <c r="L1442" s="31">
        <v>14033800</v>
      </c>
      <c r="M1442" s="32">
        <v>3.88</v>
      </c>
      <c r="N1442" s="31" t="s">
        <v>35</v>
      </c>
      <c r="O1442" s="33">
        <v>45699</v>
      </c>
      <c r="P1442" s="34">
        <v>492978.3125</v>
      </c>
      <c r="Q1442" s="34">
        <v>480901.90625</v>
      </c>
      <c r="R1442" s="34">
        <v>412583.375</v>
      </c>
      <c r="S1442" s="29"/>
      <c r="T1442" s="33"/>
      <c r="U1442" s="35" t="b">
        <v>0</v>
      </c>
      <c r="V1442" s="35" t="b">
        <v>0</v>
      </c>
      <c r="W1442" s="35" t="b">
        <v>0</v>
      </c>
      <c r="Y1442" s="31" cm="1">
        <f t="array" ref="Y1442">IF(LEFT(_xll.BDP($C1442, VOLUME_AVG_10D), 4) = "#N/A", "",  _xll.BDP($C1442, VOLUME_AVG_10D))</f>
        <v>477660.6875</v>
      </c>
      <c r="Z1442" s="31" cm="1">
        <f t="array" ref="Z1442">IF(LEFT(_xll.BDP($C1442, VOLUME_AVG_30D), 4) = "#N/A", "",  _xll.BDP($C1442, VOLUME_AVG_30D))</f>
        <v>492978.3125</v>
      </c>
      <c r="AA1442" s="31" cm="1">
        <f t="array" ref="AA1442">IF(LEFT(_xll.BDP($C1442, VOLUME_AVG_3M), 4) = "#N/A", "",  _xll.BDP($C1442, VOLUME_AVG_3M))</f>
        <v>480901.90625</v>
      </c>
      <c r="AB1442" s="31" cm="1">
        <f t="array" ref="AB1442">IF(LEFT(_xll.BDP($C1442, VOLUME_AVG_6M), 4) = "#N/A", "",  _xll.BDP($C1442, VOLUME_AVG_6M))</f>
        <v>412583.375</v>
      </c>
      <c r="AC1442" s="31" cm="1">
        <f t="array" ref="AC1442">IF(LEFT(_xll.BDP($C1442, VOLUME_AVG_12M), 4) = "#N/A", "",  _xll.BDP($C1442, VOLUME_AVG_12M))</f>
        <v>422358.90625</v>
      </c>
      <c r="AD1442" s="41" cm="1">
        <f t="array" ref="AD1442">IF(LEFT(_xll.BDP($C1442, LAST_PRICE), 4) = "#N/A", "",  _xll.BDP($C1442, LAST_PRICE))</f>
        <v>168.33</v>
      </c>
    </row>
    <row r="1443" spans="1:30" x14ac:dyDescent="0.35">
      <c r="A1443" s="1">
        <f t="shared" si="22"/>
        <v>1440</v>
      </c>
      <c r="B1443" s="28">
        <v>45700</v>
      </c>
      <c r="C1443" s="29" t="s">
        <v>2927</v>
      </c>
      <c r="D1443" s="29" t="s">
        <v>2927</v>
      </c>
      <c r="E1443" s="29" t="s">
        <v>2928</v>
      </c>
      <c r="F1443" s="29" t="s">
        <v>33</v>
      </c>
      <c r="G1443" s="30" t="s">
        <v>34</v>
      </c>
      <c r="H1443" s="31">
        <v>586026.89328661596</v>
      </c>
      <c r="I1443" s="31">
        <v>45108026.893286601</v>
      </c>
      <c r="J1443" s="32">
        <v>0.33000001311302202</v>
      </c>
      <c r="K1443" s="33">
        <v>45700</v>
      </c>
      <c r="L1443" s="31">
        <v>65700</v>
      </c>
      <c r="M1443" s="32">
        <v>-479.6</v>
      </c>
      <c r="N1443" s="31" t="s">
        <v>35</v>
      </c>
      <c r="O1443" s="33">
        <v>45699</v>
      </c>
      <c r="P1443" s="34">
        <v>5005.16650390625</v>
      </c>
      <c r="Q1443" s="34">
        <v>5837.51611328125</v>
      </c>
      <c r="R1443" s="34">
        <v>719082</v>
      </c>
      <c r="S1443" s="29"/>
      <c r="T1443" s="33"/>
      <c r="U1443" s="35" t="b">
        <v>1</v>
      </c>
      <c r="V1443" s="35" t="b">
        <v>0</v>
      </c>
      <c r="W1443" s="35" t="b">
        <v>0</v>
      </c>
      <c r="Y1443" s="31" cm="1">
        <f t="array" ref="Y1443">IF(LEFT(_xll.BDP($C1443, VOLUME_AVG_10D), 4) = "#N/A", "",  _xll.BDP($C1443, VOLUME_AVG_10D))</f>
        <v>2518.10009765625</v>
      </c>
      <c r="Z1443" s="31" cm="1">
        <f t="array" ref="Z1443">IF(LEFT(_xll.BDP($C1443, VOLUME_AVG_30D), 4) = "#N/A", "",  _xll.BDP($C1443, VOLUME_AVG_30D))</f>
        <v>5005.16650390625</v>
      </c>
      <c r="AA1443" s="31" cm="1">
        <f t="array" ref="AA1443">IF(LEFT(_xll.BDP($C1443, VOLUME_AVG_3M), 4) = "#N/A", "",  _xll.BDP($C1443, VOLUME_AVG_3M))</f>
        <v>5837.51611328125</v>
      </c>
      <c r="AB1443" s="31" cm="1">
        <f t="array" ref="AB1443">IF(LEFT(_xll.BDP($C1443, VOLUME_AVG_6M), 4) = "#N/A", "",  _xll.BDP($C1443, VOLUME_AVG_6M))</f>
        <v>719082</v>
      </c>
      <c r="AC1443" s="31" cm="1">
        <f t="array" ref="AC1443">IF(LEFT(_xll.BDP($C1443, VOLUME_AVG_12M), 4) = "#N/A", "",  _xll.BDP($C1443, VOLUME_AVG_12M))</f>
        <v>405224.9375</v>
      </c>
      <c r="AD1443" s="41" cm="1">
        <f t="array" ref="AD1443">IF(LEFT(_xll.BDP($C1443, LAST_PRICE), 4) = "#N/A", "",  _xll.BDP($C1443, LAST_PRICE))</f>
        <v>0.33</v>
      </c>
    </row>
    <row r="1444" spans="1:30" x14ac:dyDescent="0.35">
      <c r="A1444" s="1">
        <f t="shared" si="22"/>
        <v>1441</v>
      </c>
      <c r="B1444" s="28">
        <v>45700</v>
      </c>
      <c r="C1444" s="29" t="s">
        <v>2929</v>
      </c>
      <c r="D1444" s="29" t="s">
        <v>2929</v>
      </c>
      <c r="E1444" s="29" t="s">
        <v>2930</v>
      </c>
      <c r="F1444" s="29" t="s">
        <v>40</v>
      </c>
      <c r="G1444" s="30" t="s">
        <v>41</v>
      </c>
      <c r="H1444" s="31">
        <v>12002271.691728299</v>
      </c>
      <c r="I1444" s="31">
        <v>11673999.691728299</v>
      </c>
      <c r="J1444" s="32">
        <v>0.119999997317791</v>
      </c>
      <c r="K1444" s="33">
        <v>45700</v>
      </c>
      <c r="L1444" s="31">
        <v>133600</v>
      </c>
      <c r="M1444" s="32">
        <v>0.15</v>
      </c>
      <c r="N1444" s="31" t="s">
        <v>35</v>
      </c>
      <c r="O1444" s="33">
        <v>45699</v>
      </c>
      <c r="P1444" s="34">
        <v>72865.100000000006</v>
      </c>
      <c r="Q1444" s="34">
        <v>86515.19</v>
      </c>
      <c r="R1444" s="34">
        <v>69201.62</v>
      </c>
      <c r="S1444" s="29"/>
      <c r="T1444" s="33"/>
      <c r="U1444" s="35" t="b">
        <v>1</v>
      </c>
      <c r="V1444" s="35" t="b">
        <v>0</v>
      </c>
      <c r="W1444" s="35" t="b">
        <v>0</v>
      </c>
      <c r="Y1444" s="31" cm="1">
        <f t="array" ref="Y1444">IF(LEFT(_xll.BDP($C1444, VOLUME_AVG_10D), 4) = "#N/A", "",  _xll.BDP($C1444, VOLUME_AVG_10D))</f>
        <v>10257.9</v>
      </c>
      <c r="Z1444" s="31" cm="1">
        <f t="array" ref="Z1444">IF(LEFT(_xll.BDP($C1444, VOLUME_AVG_30D), 4) = "#N/A", "",  _xll.BDP($C1444, VOLUME_AVG_30D))</f>
        <v>72865.100000000006</v>
      </c>
      <c r="AA1444" s="31" cm="1">
        <f t="array" ref="AA1444">IF(LEFT(_xll.BDP($C1444, VOLUME_AVG_3M), 4) = "#N/A", "",  _xll.BDP($C1444, VOLUME_AVG_3M))</f>
        <v>86515.19</v>
      </c>
      <c r="AB1444" s="31" cm="1">
        <f t="array" ref="AB1444">IF(LEFT(_xll.BDP($C1444, VOLUME_AVG_6M), 4) = "#N/A", "",  _xll.BDP($C1444, VOLUME_AVG_6M))</f>
        <v>69201.62</v>
      </c>
      <c r="AC1444" s="31" cm="1">
        <f t="array" ref="AC1444">IF(LEFT(_xll.BDP($C1444, VOLUME_AVG_12M), 4) = "#N/A", "",  _xll.BDP($C1444, VOLUME_AVG_12M))</f>
        <v>60965.62</v>
      </c>
      <c r="AD1444" s="41" cm="1">
        <f t="array" ref="AD1444">IF(LEFT(_xll.BDP($C1444, LAST_PRICE), 4) = "#N/A", "",  _xll.BDP($C1444, LAST_PRICE))</f>
        <v>0.12</v>
      </c>
    </row>
    <row r="1445" spans="1:30" x14ac:dyDescent="0.35">
      <c r="A1445" s="1">
        <f t="shared" si="22"/>
        <v>1442</v>
      </c>
      <c r="B1445" s="28">
        <v>45700</v>
      </c>
      <c r="C1445" s="29" t="s">
        <v>2931</v>
      </c>
      <c r="D1445" s="29" t="s">
        <v>2931</v>
      </c>
      <c r="E1445" s="29" t="s">
        <v>2932</v>
      </c>
      <c r="F1445" s="29" t="s">
        <v>33</v>
      </c>
      <c r="G1445" s="30" t="s">
        <v>34</v>
      </c>
      <c r="H1445" s="31">
        <v>126491351.75</v>
      </c>
      <c r="I1445" s="31">
        <v>125225220.75</v>
      </c>
      <c r="J1445" s="32">
        <v>4.25</v>
      </c>
      <c r="K1445" s="33">
        <v>45700</v>
      </c>
      <c r="L1445" s="31">
        <v>226900</v>
      </c>
      <c r="M1445" s="32">
        <v>-6.9</v>
      </c>
      <c r="N1445" s="31" t="s">
        <v>35</v>
      </c>
      <c r="O1445" s="33">
        <v>45699</v>
      </c>
      <c r="P1445" s="34">
        <v>120510.1640625</v>
      </c>
      <c r="Q1445" s="34">
        <v>191377.15625</v>
      </c>
      <c r="R1445" s="34">
        <v>163096.484375</v>
      </c>
      <c r="S1445" s="29"/>
      <c r="T1445" s="33"/>
      <c r="U1445" s="35" t="b">
        <v>0</v>
      </c>
      <c r="V1445" s="35" t="b">
        <v>0</v>
      </c>
      <c r="W1445" s="35" t="b">
        <v>0</v>
      </c>
      <c r="Y1445" s="31" cm="1">
        <f t="array" ref="Y1445">IF(LEFT(_xll.BDP($C1445, VOLUME_AVG_10D), 4) = "#N/A", "",  _xll.BDP($C1445, VOLUME_AVG_10D))</f>
        <v>123156.203125</v>
      </c>
      <c r="Z1445" s="31" cm="1">
        <f t="array" ref="Z1445">IF(LEFT(_xll.BDP($C1445, VOLUME_AVG_30D), 4) = "#N/A", "",  _xll.BDP($C1445, VOLUME_AVG_30D))</f>
        <v>120510.1640625</v>
      </c>
      <c r="AA1445" s="31" cm="1">
        <f t="array" ref="AA1445">IF(LEFT(_xll.BDP($C1445, VOLUME_AVG_3M), 4) = "#N/A", "",  _xll.BDP($C1445, VOLUME_AVG_3M))</f>
        <v>191377.15625</v>
      </c>
      <c r="AB1445" s="31" cm="1">
        <f t="array" ref="AB1445">IF(LEFT(_xll.BDP($C1445, VOLUME_AVG_6M), 4) = "#N/A", "",  _xll.BDP($C1445, VOLUME_AVG_6M))</f>
        <v>163096.484375</v>
      </c>
      <c r="AC1445" s="31" cm="1">
        <f t="array" ref="AC1445">IF(LEFT(_xll.BDP($C1445, VOLUME_AVG_12M), 4) = "#N/A", "",  _xll.BDP($C1445, VOLUME_AVG_12M))</f>
        <v>106583.921875</v>
      </c>
      <c r="AD1445" s="41" cm="1">
        <f t="array" ref="AD1445">IF(LEFT(_xll.BDP($C1445, LAST_PRICE), 4) = "#N/A", "",  _xll.BDP($C1445, LAST_PRICE))</f>
        <v>4.25</v>
      </c>
    </row>
    <row r="1446" spans="1:30" x14ac:dyDescent="0.35">
      <c r="A1446" s="1">
        <f t="shared" si="22"/>
        <v>1443</v>
      </c>
      <c r="B1446" s="28">
        <v>45700</v>
      </c>
      <c r="C1446" s="29" t="s">
        <v>2933</v>
      </c>
      <c r="D1446" s="29" t="s">
        <v>2933</v>
      </c>
      <c r="E1446" s="29" t="s">
        <v>2934</v>
      </c>
      <c r="F1446" s="29" t="s">
        <v>33</v>
      </c>
      <c r="G1446" s="30" t="s">
        <v>34</v>
      </c>
      <c r="H1446" s="31">
        <v>39212402.794938602</v>
      </c>
      <c r="I1446" s="31">
        <v>34834402.794938602</v>
      </c>
      <c r="J1446" s="32">
        <v>0.89850002527236905</v>
      </c>
      <c r="K1446" s="33">
        <v>45700</v>
      </c>
      <c r="L1446" s="31">
        <v>133100</v>
      </c>
      <c r="M1446" s="32">
        <v>-12.3</v>
      </c>
      <c r="N1446" s="31" t="s">
        <v>35</v>
      </c>
      <c r="O1446" s="33">
        <v>45699</v>
      </c>
      <c r="P1446" s="34">
        <v>1239108.625</v>
      </c>
      <c r="Q1446" s="34">
        <v>1528695</v>
      </c>
      <c r="R1446" s="34">
        <v>3223329.25</v>
      </c>
      <c r="S1446" s="29"/>
      <c r="T1446" s="33"/>
      <c r="U1446" s="35" t="b">
        <v>0</v>
      </c>
      <c r="V1446" s="35" t="b">
        <v>0</v>
      </c>
      <c r="W1446" s="35" t="b">
        <v>0</v>
      </c>
      <c r="Y1446" s="31" cm="1">
        <f t="array" ref="Y1446">IF(LEFT(_xll.BDP($C1446, VOLUME_AVG_10D), 4) = "#N/A", "",  _xll.BDP($C1446, VOLUME_AVG_10D))</f>
        <v>962361.125</v>
      </c>
      <c r="Z1446" s="31" cm="1">
        <f t="array" ref="Z1446">IF(LEFT(_xll.BDP($C1446, VOLUME_AVG_30D), 4) = "#N/A", "",  _xll.BDP($C1446, VOLUME_AVG_30D))</f>
        <v>1239108.625</v>
      </c>
      <c r="AA1446" s="31" cm="1">
        <f t="array" ref="AA1446">IF(LEFT(_xll.BDP($C1446, VOLUME_AVG_3M), 4) = "#N/A", "",  _xll.BDP($C1446, VOLUME_AVG_3M))</f>
        <v>1528695</v>
      </c>
      <c r="AB1446" s="31" cm="1">
        <f t="array" ref="AB1446">IF(LEFT(_xll.BDP($C1446, VOLUME_AVG_6M), 4) = "#N/A", "",  _xll.BDP($C1446, VOLUME_AVG_6M))</f>
        <v>3223329.25</v>
      </c>
      <c r="AC1446" s="31" cm="1">
        <f t="array" ref="AC1446">IF(LEFT(_xll.BDP($C1446, VOLUME_AVG_12M), 4) = "#N/A", "",  _xll.BDP($C1446, VOLUME_AVG_12M))</f>
        <v>2099459</v>
      </c>
      <c r="AD1446" s="41" cm="1">
        <f t="array" ref="AD1446">IF(LEFT(_xll.BDP($C1446, LAST_PRICE), 4) = "#N/A", "",  _xll.BDP($C1446, LAST_PRICE))</f>
        <v>0.89849999999999997</v>
      </c>
    </row>
    <row r="1447" spans="1:30" x14ac:dyDescent="0.35">
      <c r="A1447" s="1">
        <f t="shared" si="22"/>
        <v>1444</v>
      </c>
      <c r="B1447" s="28">
        <v>45700</v>
      </c>
      <c r="C1447" s="29" t="s">
        <v>2935</v>
      </c>
      <c r="D1447" s="29" t="s">
        <v>2935</v>
      </c>
      <c r="E1447" s="29" t="s">
        <v>2936</v>
      </c>
      <c r="F1447" s="29" t="s">
        <v>33</v>
      </c>
      <c r="G1447" s="30" t="s">
        <v>34</v>
      </c>
      <c r="H1447" s="31">
        <v>11632086627.602501</v>
      </c>
      <c r="I1447" s="31">
        <v>11637308627.602501</v>
      </c>
      <c r="J1447" s="32">
        <v>73.879997253417997</v>
      </c>
      <c r="K1447" s="33">
        <v>45700</v>
      </c>
      <c r="L1447" s="31"/>
      <c r="M1447" s="32"/>
      <c r="N1447" s="31"/>
      <c r="O1447" s="33">
        <v>45699</v>
      </c>
      <c r="P1447" s="34">
        <v>11705524</v>
      </c>
      <c r="Q1447" s="34">
        <v>7197941.5</v>
      </c>
      <c r="R1447" s="34">
        <v>4121823.25</v>
      </c>
      <c r="S1447" s="29" t="s">
        <v>46</v>
      </c>
      <c r="T1447" s="33">
        <v>45446</v>
      </c>
      <c r="U1447" s="35" t="b">
        <v>0</v>
      </c>
      <c r="V1447" s="35" t="b">
        <v>0</v>
      </c>
      <c r="W1447" s="35" t="b">
        <v>0</v>
      </c>
      <c r="Y1447" s="31" cm="1">
        <f t="array" ref="Y1447">IF(LEFT(_xll.BDP($C1447, VOLUME_AVG_10D), 4) = "#N/A", "",  _xll.BDP($C1447, VOLUME_AVG_10D))</f>
        <v>18160986</v>
      </c>
      <c r="Z1447" s="31" cm="1">
        <f t="array" ref="Z1447">IF(LEFT(_xll.BDP($C1447, VOLUME_AVG_30D), 4) = "#N/A", "",  _xll.BDP($C1447, VOLUME_AVG_30D))</f>
        <v>11705524</v>
      </c>
      <c r="AA1447" s="31" cm="1">
        <f t="array" ref="AA1447">IF(LEFT(_xll.BDP($C1447, VOLUME_AVG_3M), 4) = "#N/A", "",  _xll.BDP($C1447, VOLUME_AVG_3M))</f>
        <v>7197941.5</v>
      </c>
      <c r="AB1447" s="31" cm="1">
        <f t="array" ref="AB1447">IF(LEFT(_xll.BDP($C1447, VOLUME_AVG_6M), 4) = "#N/A", "",  _xll.BDP($C1447, VOLUME_AVG_6M))</f>
        <v>4121823.25</v>
      </c>
      <c r="AC1447" s="31" t="str" cm="1">
        <f t="array" ref="AC1447">IF(LEFT(_xll.BDP($C1447, VOLUME_AVG_12M), 4) = "#N/A", "",  _xll.BDP($C1447, VOLUME_AVG_12M))</f>
        <v/>
      </c>
      <c r="AD1447" s="41" cm="1">
        <f t="array" ref="AD1447">IF(LEFT(_xll.BDP($C1447, LAST_PRICE), 4) = "#N/A", "",  _xll.BDP($C1447, LAST_PRICE))</f>
        <v>73.88</v>
      </c>
    </row>
    <row r="1448" spans="1:30" x14ac:dyDescent="0.35">
      <c r="A1448" s="1">
        <f t="shared" si="22"/>
        <v>1445</v>
      </c>
      <c r="B1448" s="28">
        <v>45700</v>
      </c>
      <c r="C1448" s="29" t="s">
        <v>2937</v>
      </c>
      <c r="D1448" s="29" t="s">
        <v>2937</v>
      </c>
      <c r="E1448" s="29" t="s">
        <v>2938</v>
      </c>
      <c r="F1448" s="29" t="s">
        <v>33</v>
      </c>
      <c r="G1448" s="30" t="s">
        <v>34</v>
      </c>
      <c r="H1448" s="31">
        <v>25634973.0549803</v>
      </c>
      <c r="I1448" s="31">
        <v>-72675944.945019707</v>
      </c>
      <c r="J1448" s="32">
        <v>7.5199999809265101</v>
      </c>
      <c r="K1448" s="33">
        <v>45700</v>
      </c>
      <c r="L1448" s="31">
        <v>14300</v>
      </c>
      <c r="M1448" s="32">
        <v>-126.6</v>
      </c>
      <c r="N1448" s="31" t="s">
        <v>35</v>
      </c>
      <c r="O1448" s="33">
        <v>45699</v>
      </c>
      <c r="P1448" s="34">
        <v>50974.3984375</v>
      </c>
      <c r="Q1448" s="34">
        <v>56816.32421875</v>
      </c>
      <c r="R1448" s="34">
        <v>56885.63671875</v>
      </c>
      <c r="S1448" s="29"/>
      <c r="T1448" s="33"/>
      <c r="U1448" s="35" t="b">
        <v>0</v>
      </c>
      <c r="V1448" s="35" t="b">
        <v>0</v>
      </c>
      <c r="W1448" s="35" t="b">
        <v>1</v>
      </c>
      <c r="Y1448" s="31" cm="1">
        <f t="array" ref="Y1448">IF(LEFT(_xll.BDP($C1448, VOLUME_AVG_10D), 4) = "#N/A", "",  _xll.BDP($C1448, VOLUME_AVG_10D))</f>
        <v>77871.1015625</v>
      </c>
      <c r="Z1448" s="31" cm="1">
        <f t="array" ref="Z1448">IF(LEFT(_xll.BDP($C1448, VOLUME_AVG_30D), 4) = "#N/A", "",  _xll.BDP($C1448, VOLUME_AVG_30D))</f>
        <v>50974.3984375</v>
      </c>
      <c r="AA1448" s="31" cm="1">
        <f t="array" ref="AA1448">IF(LEFT(_xll.BDP($C1448, VOLUME_AVG_3M), 4) = "#N/A", "",  _xll.BDP($C1448, VOLUME_AVG_3M))</f>
        <v>56816.32421875</v>
      </c>
      <c r="AB1448" s="31" cm="1">
        <f t="array" ref="AB1448">IF(LEFT(_xll.BDP($C1448, VOLUME_AVG_6M), 4) = "#N/A", "",  _xll.BDP($C1448, VOLUME_AVG_6M))</f>
        <v>56885.63671875</v>
      </c>
      <c r="AC1448" s="31" cm="1">
        <f t="array" ref="AC1448">IF(LEFT(_xll.BDP($C1448, VOLUME_AVG_12M), 4) = "#N/A", "",  _xll.BDP($C1448, VOLUME_AVG_12M))</f>
        <v>181852.46875</v>
      </c>
      <c r="AD1448" s="41" cm="1">
        <f t="array" ref="AD1448">IF(LEFT(_xll.BDP($C1448, LAST_PRICE), 4) = "#N/A", "",  _xll.BDP($C1448, LAST_PRICE))</f>
        <v>7.52</v>
      </c>
    </row>
    <row r="1449" spans="1:30" x14ac:dyDescent="0.35">
      <c r="A1449" s="1">
        <f t="shared" si="22"/>
        <v>1446</v>
      </c>
      <c r="B1449" s="28">
        <v>45700</v>
      </c>
      <c r="C1449" s="29" t="s">
        <v>2939</v>
      </c>
      <c r="D1449" s="29" t="s">
        <v>2939</v>
      </c>
      <c r="E1449" s="29" t="s">
        <v>2940</v>
      </c>
      <c r="F1449" s="29" t="s">
        <v>33</v>
      </c>
      <c r="G1449" s="30" t="s">
        <v>34</v>
      </c>
      <c r="H1449" s="31">
        <v>71100411.410112098</v>
      </c>
      <c r="I1449" s="31">
        <v>-21117588.589887802</v>
      </c>
      <c r="J1449" s="32">
        <v>0.89749997854232799</v>
      </c>
      <c r="K1449" s="33">
        <v>45700</v>
      </c>
      <c r="L1449" s="31">
        <v>851800</v>
      </c>
      <c r="M1449" s="32">
        <v>-23.5</v>
      </c>
      <c r="N1449" s="31" t="s">
        <v>35</v>
      </c>
      <c r="O1449" s="33">
        <v>45699</v>
      </c>
      <c r="P1449" s="34">
        <v>2145817.25</v>
      </c>
      <c r="Q1449" s="34">
        <v>4356253</v>
      </c>
      <c r="R1449" s="34">
        <v>2881219.75</v>
      </c>
      <c r="S1449" s="29" t="s">
        <v>68</v>
      </c>
      <c r="T1449" s="33">
        <v>45446</v>
      </c>
      <c r="U1449" s="35" t="b">
        <v>0</v>
      </c>
      <c r="V1449" s="35" t="b">
        <v>0</v>
      </c>
      <c r="W1449" s="35" t="b">
        <v>1</v>
      </c>
      <c r="Y1449" s="31" cm="1">
        <f t="array" ref="Y1449">IF(LEFT(_xll.BDP($C1449, VOLUME_AVG_10D), 4) = "#N/A", "",  _xll.BDP($C1449, VOLUME_AVG_10D))</f>
        <v>1911638.875</v>
      </c>
      <c r="Z1449" s="31" cm="1">
        <f t="array" ref="Z1449">IF(LEFT(_xll.BDP($C1449, VOLUME_AVG_30D), 4) = "#N/A", "",  _xll.BDP($C1449, VOLUME_AVG_30D))</f>
        <v>2145817.25</v>
      </c>
      <c r="AA1449" s="31" cm="1">
        <f t="array" ref="AA1449">IF(LEFT(_xll.BDP($C1449, VOLUME_AVG_3M), 4) = "#N/A", "",  _xll.BDP($C1449, VOLUME_AVG_3M))</f>
        <v>4356253</v>
      </c>
      <c r="AB1449" s="31" cm="1">
        <f t="array" ref="AB1449">IF(LEFT(_xll.BDP($C1449, VOLUME_AVG_6M), 4) = "#N/A", "",  _xll.BDP($C1449, VOLUME_AVG_6M))</f>
        <v>2881219.75</v>
      </c>
      <c r="AC1449" s="31" cm="1">
        <f t="array" ref="AC1449">IF(LEFT(_xll.BDP($C1449, VOLUME_AVG_12M), 4) = "#N/A", "",  _xll.BDP($C1449, VOLUME_AVG_12M))</f>
        <v>1659277.625</v>
      </c>
      <c r="AD1449" s="41" cm="1">
        <f t="array" ref="AD1449">IF(LEFT(_xll.BDP($C1449, LAST_PRICE), 4) = "#N/A", "",  _xll.BDP($C1449, LAST_PRICE))</f>
        <v>0.89749999999999996</v>
      </c>
    </row>
    <row r="1450" spans="1:30" x14ac:dyDescent="0.35">
      <c r="A1450" s="1">
        <f t="shared" si="22"/>
        <v>1447</v>
      </c>
      <c r="B1450" s="28">
        <v>45700</v>
      </c>
      <c r="C1450" s="29" t="s">
        <v>2941</v>
      </c>
      <c r="D1450" s="29" t="s">
        <v>2941</v>
      </c>
      <c r="E1450" s="29" t="s">
        <v>2942</v>
      </c>
      <c r="F1450" s="29" t="s">
        <v>33</v>
      </c>
      <c r="G1450" s="30" t="s">
        <v>34</v>
      </c>
      <c r="H1450" s="31">
        <v>12000290662.170401</v>
      </c>
      <c r="I1450" s="31">
        <v>26530290662.170399</v>
      </c>
      <c r="J1450" s="32">
        <v>126.19000244140599</v>
      </c>
      <c r="K1450" s="33">
        <v>45700</v>
      </c>
      <c r="L1450" s="31">
        <v>41902900</v>
      </c>
      <c r="M1450" s="32">
        <v>3.88</v>
      </c>
      <c r="N1450" s="31" t="s">
        <v>35</v>
      </c>
      <c r="O1450" s="33">
        <v>45699</v>
      </c>
      <c r="P1450" s="34">
        <v>1026832.3125</v>
      </c>
      <c r="Q1450" s="34">
        <v>1244054.875</v>
      </c>
      <c r="R1450" s="34">
        <v>1191611.625</v>
      </c>
      <c r="S1450" s="29"/>
      <c r="T1450" s="33"/>
      <c r="U1450" s="35" t="b">
        <v>0</v>
      </c>
      <c r="V1450" s="35" t="b">
        <v>0</v>
      </c>
      <c r="W1450" s="35" t="b">
        <v>0</v>
      </c>
      <c r="Y1450" s="31" cm="1">
        <f t="array" ref="Y1450">IF(LEFT(_xll.BDP($C1450, VOLUME_AVG_10D), 4) = "#N/A", "",  _xll.BDP($C1450, VOLUME_AVG_10D))</f>
        <v>1049683.125</v>
      </c>
      <c r="Z1450" s="31" cm="1">
        <f t="array" ref="Z1450">IF(LEFT(_xll.BDP($C1450, VOLUME_AVG_30D), 4) = "#N/A", "",  _xll.BDP($C1450, VOLUME_AVG_30D))</f>
        <v>1026832.3125</v>
      </c>
      <c r="AA1450" s="31" cm="1">
        <f t="array" ref="AA1450">IF(LEFT(_xll.BDP($C1450, VOLUME_AVG_3M), 4) = "#N/A", "",  _xll.BDP($C1450, VOLUME_AVG_3M))</f>
        <v>1244054.875</v>
      </c>
      <c r="AB1450" s="31" cm="1">
        <f t="array" ref="AB1450">IF(LEFT(_xll.BDP($C1450, VOLUME_AVG_6M), 4) = "#N/A", "",  _xll.BDP($C1450, VOLUME_AVG_6M))</f>
        <v>1191611.625</v>
      </c>
      <c r="AC1450" s="31" cm="1">
        <f t="array" ref="AC1450">IF(LEFT(_xll.BDP($C1450, VOLUME_AVG_12M), 4) = "#N/A", "",  _xll.BDP($C1450, VOLUME_AVG_12M))</f>
        <v>1238197.5</v>
      </c>
      <c r="AD1450" s="41" cm="1">
        <f t="array" ref="AD1450">IF(LEFT(_xll.BDP($C1450, LAST_PRICE), 4) = "#N/A", "",  _xll.BDP($C1450, LAST_PRICE))</f>
        <v>126.19</v>
      </c>
    </row>
    <row r="1451" spans="1:30" x14ac:dyDescent="0.35">
      <c r="A1451" s="1">
        <f t="shared" si="22"/>
        <v>1448</v>
      </c>
      <c r="B1451" s="28">
        <v>45700</v>
      </c>
      <c r="C1451" s="29" t="s">
        <v>2943</v>
      </c>
      <c r="D1451" s="29" t="s">
        <v>2943</v>
      </c>
      <c r="E1451" s="29" t="s">
        <v>2944</v>
      </c>
      <c r="F1451" s="29" t="s">
        <v>33</v>
      </c>
      <c r="G1451" s="30" t="s">
        <v>34</v>
      </c>
      <c r="H1451" s="31">
        <v>4516688.3394770604</v>
      </c>
      <c r="I1451" s="31">
        <v>3945688.3394770599</v>
      </c>
      <c r="J1451" s="32">
        <v>1.4400000572204601</v>
      </c>
      <c r="K1451" s="33">
        <v>45700</v>
      </c>
      <c r="L1451" s="31">
        <v>33700</v>
      </c>
      <c r="M1451" s="32">
        <v>-24.6</v>
      </c>
      <c r="N1451" s="31" t="s">
        <v>35</v>
      </c>
      <c r="O1451" s="33">
        <v>45699</v>
      </c>
      <c r="P1451" s="34">
        <v>117906.8984375</v>
      </c>
      <c r="Q1451" s="34">
        <v>147525.015625</v>
      </c>
      <c r="R1451" s="34">
        <v>1368376.875</v>
      </c>
      <c r="S1451" s="29"/>
      <c r="T1451" s="33"/>
      <c r="U1451" s="35" t="b">
        <v>1</v>
      </c>
      <c r="V1451" s="35" t="b">
        <v>0</v>
      </c>
      <c r="W1451" s="35" t="b">
        <v>0</v>
      </c>
      <c r="Y1451" s="31" cm="1">
        <f t="array" ref="Y1451">IF(LEFT(_xll.BDP($C1451, VOLUME_AVG_10D), 4) = "#N/A", "",  _xll.BDP($C1451, VOLUME_AVG_10D))</f>
        <v>72748.203125</v>
      </c>
      <c r="Z1451" s="31" cm="1">
        <f t="array" ref="Z1451">IF(LEFT(_xll.BDP($C1451, VOLUME_AVG_30D), 4) = "#N/A", "",  _xll.BDP($C1451, VOLUME_AVG_30D))</f>
        <v>117906.8984375</v>
      </c>
      <c r="AA1451" s="31" cm="1">
        <f t="array" ref="AA1451">IF(LEFT(_xll.BDP($C1451, VOLUME_AVG_3M), 4) = "#N/A", "",  _xll.BDP($C1451, VOLUME_AVG_3M))</f>
        <v>147525.015625</v>
      </c>
      <c r="AB1451" s="31" cm="1">
        <f t="array" ref="AB1451">IF(LEFT(_xll.BDP($C1451, VOLUME_AVG_6M), 4) = "#N/A", "",  _xll.BDP($C1451, VOLUME_AVG_6M))</f>
        <v>1368376.875</v>
      </c>
      <c r="AC1451" s="31" cm="1">
        <f t="array" ref="AC1451">IF(LEFT(_xll.BDP($C1451, VOLUME_AVG_12M), 4) = "#N/A", "",  _xll.BDP($C1451, VOLUME_AVG_12M))</f>
        <v>696212.8125</v>
      </c>
      <c r="AD1451" s="41" cm="1">
        <f t="array" ref="AD1451">IF(LEFT(_xll.BDP($C1451, LAST_PRICE), 4) = "#N/A", "",  _xll.BDP($C1451, LAST_PRICE))</f>
        <v>1.44</v>
      </c>
    </row>
    <row r="1452" spans="1:30" x14ac:dyDescent="0.35">
      <c r="A1452" s="1">
        <f t="shared" si="22"/>
        <v>1449</v>
      </c>
      <c r="B1452" s="28">
        <v>45700</v>
      </c>
      <c r="C1452" s="29" t="s">
        <v>2945</v>
      </c>
      <c r="D1452" s="29" t="s">
        <v>2945</v>
      </c>
      <c r="E1452" s="29" t="s">
        <v>2946</v>
      </c>
      <c r="F1452" s="29" t="s">
        <v>33</v>
      </c>
      <c r="G1452" s="30" t="s">
        <v>34</v>
      </c>
      <c r="H1452" s="31">
        <v>368634643.66064101</v>
      </c>
      <c r="I1452" s="31">
        <v>-2837356.3393593999</v>
      </c>
      <c r="J1452" s="32">
        <v>4.3400001525878897</v>
      </c>
      <c r="K1452" s="33">
        <v>45700</v>
      </c>
      <c r="L1452" s="31">
        <v>16685800</v>
      </c>
      <c r="M1452" s="32">
        <v>3.88</v>
      </c>
      <c r="N1452" s="31" t="s">
        <v>35</v>
      </c>
      <c r="O1452" s="33">
        <v>45699</v>
      </c>
      <c r="P1452" s="34">
        <v>1801864.25</v>
      </c>
      <c r="Q1452" s="34">
        <v>1840204.625</v>
      </c>
      <c r="R1452" s="34">
        <v>1892772.25</v>
      </c>
      <c r="S1452" s="29" t="s">
        <v>195</v>
      </c>
      <c r="T1452" s="33">
        <v>45446</v>
      </c>
      <c r="U1452" s="35" t="b">
        <v>0</v>
      </c>
      <c r="V1452" s="35" t="b">
        <v>0</v>
      </c>
      <c r="W1452" s="35" t="b">
        <v>1</v>
      </c>
      <c r="Y1452" s="31" cm="1">
        <f t="array" ref="Y1452">IF(LEFT(_xll.BDP($C1452, VOLUME_AVG_10D), 4) = "#N/A", "",  _xll.BDP($C1452, VOLUME_AVG_10D))</f>
        <v>2027814.125</v>
      </c>
      <c r="Z1452" s="31" cm="1">
        <f t="array" ref="Z1452">IF(LEFT(_xll.BDP($C1452, VOLUME_AVG_30D), 4) = "#N/A", "",  _xll.BDP($C1452, VOLUME_AVG_30D))</f>
        <v>1801864.25</v>
      </c>
      <c r="AA1452" s="31" cm="1">
        <f t="array" ref="AA1452">IF(LEFT(_xll.BDP($C1452, VOLUME_AVG_3M), 4) = "#N/A", "",  _xll.BDP($C1452, VOLUME_AVG_3M))</f>
        <v>1840204.625</v>
      </c>
      <c r="AB1452" s="31" cm="1">
        <f t="array" ref="AB1452">IF(LEFT(_xll.BDP($C1452, VOLUME_AVG_6M), 4) = "#N/A", "",  _xll.BDP($C1452, VOLUME_AVG_6M))</f>
        <v>1892772.25</v>
      </c>
      <c r="AC1452" s="31" cm="1">
        <f t="array" ref="AC1452">IF(LEFT(_xll.BDP($C1452, VOLUME_AVG_12M), 4) = "#N/A", "",  _xll.BDP($C1452, VOLUME_AVG_12M))</f>
        <v>1489424.875</v>
      </c>
      <c r="AD1452" s="41" cm="1">
        <f t="array" ref="AD1452">IF(LEFT(_xll.BDP($C1452, LAST_PRICE), 4) = "#N/A", "",  _xll.BDP($C1452, LAST_PRICE))</f>
        <v>4.34</v>
      </c>
    </row>
    <row r="1453" spans="1:30" x14ac:dyDescent="0.35">
      <c r="A1453" s="1">
        <f t="shared" si="22"/>
        <v>1450</v>
      </c>
      <c r="B1453" s="28">
        <v>45700</v>
      </c>
      <c r="C1453" s="29" t="s">
        <v>2947</v>
      </c>
      <c r="D1453" s="29" t="s">
        <v>2947</v>
      </c>
      <c r="E1453" s="29" t="s">
        <v>2948</v>
      </c>
      <c r="F1453" s="29" t="s">
        <v>40</v>
      </c>
      <c r="G1453" s="30" t="s">
        <v>41</v>
      </c>
      <c r="H1453" s="31">
        <v>329260638.90774</v>
      </c>
      <c r="I1453" s="31">
        <v>449777679.05340898</v>
      </c>
      <c r="J1453" s="32">
        <v>0.88999998569488503</v>
      </c>
      <c r="K1453" s="33">
        <v>45700</v>
      </c>
      <c r="L1453" s="31">
        <v>16193200</v>
      </c>
      <c r="M1453" s="32">
        <v>-2.4</v>
      </c>
      <c r="N1453" s="31" t="s">
        <v>35</v>
      </c>
      <c r="O1453" s="33">
        <v>45699</v>
      </c>
      <c r="P1453" s="34">
        <v>307987</v>
      </c>
      <c r="Q1453" s="34">
        <v>402076.8</v>
      </c>
      <c r="R1453" s="34">
        <v>389753.7</v>
      </c>
      <c r="S1453" s="29"/>
      <c r="T1453" s="33"/>
      <c r="U1453" s="35" t="b">
        <v>0</v>
      </c>
      <c r="V1453" s="35" t="b">
        <v>0</v>
      </c>
      <c r="W1453" s="35" t="b">
        <v>0</v>
      </c>
      <c r="Y1453" s="31" cm="1">
        <f t="array" ref="Y1453">IF(LEFT(_xll.BDP($C1453, VOLUME_AVG_10D), 4) = "#N/A", "",  _xll.BDP($C1453, VOLUME_AVG_10D))</f>
        <v>494826.5</v>
      </c>
      <c r="Z1453" s="31" cm="1">
        <f t="array" ref="Z1453">IF(LEFT(_xll.BDP($C1453, VOLUME_AVG_30D), 4) = "#N/A", "",  _xll.BDP($C1453, VOLUME_AVG_30D))</f>
        <v>307987</v>
      </c>
      <c r="AA1453" s="31" cm="1">
        <f t="array" ref="AA1453">IF(LEFT(_xll.BDP($C1453, VOLUME_AVG_3M), 4) = "#N/A", "",  _xll.BDP($C1453, VOLUME_AVG_3M))</f>
        <v>402076.8</v>
      </c>
      <c r="AB1453" s="31" cm="1">
        <f t="array" ref="AB1453">IF(LEFT(_xll.BDP($C1453, VOLUME_AVG_6M), 4) = "#N/A", "",  _xll.BDP($C1453, VOLUME_AVG_6M))</f>
        <v>389753.7</v>
      </c>
      <c r="AC1453" s="31" cm="1">
        <f t="array" ref="AC1453">IF(LEFT(_xll.BDP($C1453, VOLUME_AVG_12M), 4) = "#N/A", "",  _xll.BDP($C1453, VOLUME_AVG_12M))</f>
        <v>457192.8</v>
      </c>
      <c r="AD1453" s="41" cm="1">
        <f t="array" ref="AD1453">IF(LEFT(_xll.BDP($C1453, LAST_PRICE), 4) = "#N/A", "",  _xll.BDP($C1453, LAST_PRICE))</f>
        <v>0.89</v>
      </c>
    </row>
    <row r="1454" spans="1:30" x14ac:dyDescent="0.35">
      <c r="A1454" s="1">
        <f t="shared" si="22"/>
        <v>1451</v>
      </c>
      <c r="B1454" s="28">
        <v>45700</v>
      </c>
      <c r="C1454" s="29" t="s">
        <v>2949</v>
      </c>
      <c r="D1454" s="29" t="s">
        <v>2949</v>
      </c>
      <c r="E1454" s="29" t="s">
        <v>2950</v>
      </c>
      <c r="F1454" s="29" t="s">
        <v>33</v>
      </c>
      <c r="G1454" s="30" t="s">
        <v>34</v>
      </c>
      <c r="H1454" s="31"/>
      <c r="I1454" s="31"/>
      <c r="J1454" s="32"/>
      <c r="K1454" s="33">
        <v>45700</v>
      </c>
      <c r="L1454" s="31"/>
      <c r="M1454" s="32"/>
      <c r="N1454" s="31"/>
      <c r="O1454" s="33">
        <v>45699</v>
      </c>
      <c r="P1454" s="34">
        <v>3585.93334960938</v>
      </c>
      <c r="Q1454" s="34">
        <v>2887.87084960938</v>
      </c>
      <c r="R1454" s="34">
        <v>1696.68249511719</v>
      </c>
      <c r="S1454" s="29"/>
      <c r="T1454" s="33"/>
      <c r="U1454" s="35" t="b">
        <v>1</v>
      </c>
      <c r="V1454" s="35" t="b">
        <v>1</v>
      </c>
      <c r="W1454" s="35" t="b">
        <v>1</v>
      </c>
      <c r="Y1454" s="31" cm="1">
        <f t="array" ref="Y1454">IF(LEFT(_xll.BDP($C1454, VOLUME_AVG_10D), 4) = "#N/A", "",  _xll.BDP($C1454, VOLUME_AVG_10D))</f>
        <v>0</v>
      </c>
      <c r="Z1454" s="31" cm="1">
        <f t="array" ref="Z1454">IF(LEFT(_xll.BDP($C1454, VOLUME_AVG_30D), 4) = "#N/A", "",  _xll.BDP($C1454, VOLUME_AVG_30D))</f>
        <v>3585.933349609375</v>
      </c>
      <c r="AA1454" s="31" cm="1">
        <f t="array" ref="AA1454">IF(LEFT(_xll.BDP($C1454, VOLUME_AVG_3M), 4) = "#N/A", "",  _xll.BDP($C1454, VOLUME_AVG_3M))</f>
        <v>2887.870849609375</v>
      </c>
      <c r="AB1454" s="31" cm="1">
        <f t="array" ref="AB1454">IF(LEFT(_xll.BDP($C1454, VOLUME_AVG_6M), 4) = "#N/A", "",  _xll.BDP($C1454, VOLUME_AVG_6M))</f>
        <v>1696.6824951171875</v>
      </c>
      <c r="AC1454" s="31" cm="1">
        <f t="array" ref="AC1454">IF(LEFT(_xll.BDP($C1454, VOLUME_AVG_12M), 4) = "#N/A", "",  _xll.BDP($C1454, VOLUME_AVG_12M))</f>
        <v>854.62945556640625</v>
      </c>
      <c r="AD1454" s="41" t="str" cm="1">
        <f t="array" ref="AD1454">IF(LEFT(_xll.BDP($C1454, LAST_PRICE), 4) = "#N/A", "",  _xll.BDP($C1454, LAST_PRICE))</f>
        <v/>
      </c>
    </row>
    <row r="1455" spans="1:30" x14ac:dyDescent="0.35">
      <c r="A1455" s="1">
        <f t="shared" si="22"/>
        <v>1452</v>
      </c>
      <c r="B1455" s="28">
        <v>45700</v>
      </c>
      <c r="C1455" s="29" t="s">
        <v>2951</v>
      </c>
      <c r="D1455" s="29" t="s">
        <v>2951</v>
      </c>
      <c r="E1455" s="29" t="s">
        <v>2952</v>
      </c>
      <c r="F1455" s="29" t="s">
        <v>33</v>
      </c>
      <c r="G1455" s="30" t="s">
        <v>34</v>
      </c>
      <c r="H1455" s="31">
        <v>290585064.17703402</v>
      </c>
      <c r="I1455" s="31">
        <v>297006447.17703402</v>
      </c>
      <c r="J1455" s="32">
        <v>1.6599999666214</v>
      </c>
      <c r="K1455" s="33">
        <v>45700</v>
      </c>
      <c r="L1455" s="31">
        <v>330700</v>
      </c>
      <c r="M1455" s="32">
        <v>-72.400000000000006</v>
      </c>
      <c r="N1455" s="31" t="s">
        <v>35</v>
      </c>
      <c r="O1455" s="33">
        <v>45699</v>
      </c>
      <c r="P1455" s="34">
        <v>3643818</v>
      </c>
      <c r="Q1455" s="34">
        <v>3126512.25</v>
      </c>
      <c r="R1455" s="34">
        <v>9326015</v>
      </c>
      <c r="S1455" s="29"/>
      <c r="T1455" s="33"/>
      <c r="U1455" s="35" t="b">
        <v>0</v>
      </c>
      <c r="V1455" s="35" t="b">
        <v>0</v>
      </c>
      <c r="W1455" s="35" t="b">
        <v>0</v>
      </c>
      <c r="Y1455" s="31" cm="1">
        <f t="array" ref="Y1455">IF(LEFT(_xll.BDP($C1455, VOLUME_AVG_10D), 4) = "#N/A", "",  _xll.BDP($C1455, VOLUME_AVG_10D))</f>
        <v>1335666.25</v>
      </c>
      <c r="Z1455" s="31" cm="1">
        <f t="array" ref="Z1455">IF(LEFT(_xll.BDP($C1455, VOLUME_AVG_30D), 4) = "#N/A", "",  _xll.BDP($C1455, VOLUME_AVG_30D))</f>
        <v>3643818</v>
      </c>
      <c r="AA1455" s="31" cm="1">
        <f t="array" ref="AA1455">IF(LEFT(_xll.BDP($C1455, VOLUME_AVG_3M), 4) = "#N/A", "",  _xll.BDP($C1455, VOLUME_AVG_3M))</f>
        <v>3126512.25</v>
      </c>
      <c r="AB1455" s="31" cm="1">
        <f t="array" ref="AB1455">IF(LEFT(_xll.BDP($C1455, VOLUME_AVG_6M), 4) = "#N/A", "",  _xll.BDP($C1455, VOLUME_AVG_6M))</f>
        <v>9326015</v>
      </c>
      <c r="AC1455" s="31" cm="1">
        <f t="array" ref="AC1455">IF(LEFT(_xll.BDP($C1455, VOLUME_AVG_12M), 4) = "#N/A", "",  _xll.BDP($C1455, VOLUME_AVG_12M))</f>
        <v>5006666</v>
      </c>
      <c r="AD1455" s="41" cm="1">
        <f t="array" ref="AD1455">IF(LEFT(_xll.BDP($C1455, LAST_PRICE), 4) = "#N/A", "",  _xll.BDP($C1455, LAST_PRICE))</f>
        <v>1.66</v>
      </c>
    </row>
    <row r="1456" spans="1:30" x14ac:dyDescent="0.35">
      <c r="A1456" s="1">
        <f t="shared" si="22"/>
        <v>1453</v>
      </c>
      <c r="B1456" s="28">
        <v>45700</v>
      </c>
      <c r="C1456" s="29" t="s">
        <v>2953</v>
      </c>
      <c r="D1456" s="29" t="s">
        <v>2953</v>
      </c>
      <c r="E1456" s="29" t="s">
        <v>2954</v>
      </c>
      <c r="F1456" s="29" t="s">
        <v>33</v>
      </c>
      <c r="G1456" s="30" t="s">
        <v>34</v>
      </c>
      <c r="H1456" s="31">
        <v>4810058761.2183905</v>
      </c>
      <c r="I1456" s="31">
        <v>4722825761.2183905</v>
      </c>
      <c r="J1456" s="32">
        <v>30.899999618530298</v>
      </c>
      <c r="K1456" s="33">
        <v>45700</v>
      </c>
      <c r="L1456" s="31">
        <v>27458300</v>
      </c>
      <c r="M1456" s="32">
        <v>3.88</v>
      </c>
      <c r="N1456" s="31" t="s">
        <v>35</v>
      </c>
      <c r="O1456" s="33">
        <v>45699</v>
      </c>
      <c r="P1456" s="34">
        <v>2301402.25</v>
      </c>
      <c r="Q1456" s="34">
        <v>2632234.25</v>
      </c>
      <c r="R1456" s="34">
        <v>3112111.5</v>
      </c>
      <c r="S1456" s="29" t="s">
        <v>82</v>
      </c>
      <c r="T1456" s="33">
        <v>45446</v>
      </c>
      <c r="U1456" s="35" t="b">
        <v>0</v>
      </c>
      <c r="V1456" s="35" t="b">
        <v>0</v>
      </c>
      <c r="W1456" s="35" t="b">
        <v>0</v>
      </c>
      <c r="Y1456" s="31" cm="1">
        <f t="array" ref="Y1456">IF(LEFT(_xll.BDP($C1456, VOLUME_AVG_10D), 4) = "#N/A", "",  _xll.BDP($C1456, VOLUME_AVG_10D))</f>
        <v>1649843.375</v>
      </c>
      <c r="Z1456" s="31" cm="1">
        <f t="array" ref="Z1456">IF(LEFT(_xll.BDP($C1456, VOLUME_AVG_30D), 4) = "#N/A", "",  _xll.BDP($C1456, VOLUME_AVG_30D))</f>
        <v>2301402.25</v>
      </c>
      <c r="AA1456" s="31" cm="1">
        <f t="array" ref="AA1456">IF(LEFT(_xll.BDP($C1456, VOLUME_AVG_3M), 4) = "#N/A", "",  _xll.BDP($C1456, VOLUME_AVG_3M))</f>
        <v>2632234.25</v>
      </c>
      <c r="AB1456" s="31" cm="1">
        <f t="array" ref="AB1456">IF(LEFT(_xll.BDP($C1456, VOLUME_AVG_6M), 4) = "#N/A", "",  _xll.BDP($C1456, VOLUME_AVG_6M))</f>
        <v>3112111.5</v>
      </c>
      <c r="AC1456" s="31" cm="1">
        <f t="array" ref="AC1456">IF(LEFT(_xll.BDP($C1456, VOLUME_AVG_12M), 4) = "#N/A", "",  _xll.BDP($C1456, VOLUME_AVG_12M))</f>
        <v>3186988.75</v>
      </c>
      <c r="AD1456" s="41" cm="1">
        <f t="array" ref="AD1456">IF(LEFT(_xll.BDP($C1456, LAST_PRICE), 4) = "#N/A", "",  _xll.BDP($C1456, LAST_PRICE))</f>
        <v>30.9</v>
      </c>
    </row>
    <row r="1457" spans="1:30" x14ac:dyDescent="0.35">
      <c r="A1457" s="1">
        <f t="shared" si="22"/>
        <v>1454</v>
      </c>
      <c r="B1457" s="28">
        <v>45700</v>
      </c>
      <c r="C1457" s="29" t="s">
        <v>2955</v>
      </c>
      <c r="D1457" s="29" t="s">
        <v>2955</v>
      </c>
      <c r="E1457" s="29" t="s">
        <v>2956</v>
      </c>
      <c r="F1457" s="29" t="s">
        <v>33</v>
      </c>
      <c r="G1457" s="30" t="s">
        <v>34</v>
      </c>
      <c r="H1457" s="31">
        <v>3654793.14233744</v>
      </c>
      <c r="I1457" s="31">
        <v>-7280558.8576625604</v>
      </c>
      <c r="J1457" s="32">
        <v>1.8899999856948899</v>
      </c>
      <c r="K1457" s="33">
        <v>45700</v>
      </c>
      <c r="L1457" s="31">
        <v>122900</v>
      </c>
      <c r="M1457" s="32">
        <v>-67</v>
      </c>
      <c r="N1457" s="31" t="s">
        <v>35</v>
      </c>
      <c r="O1457" s="33">
        <v>45699</v>
      </c>
      <c r="P1457" s="34">
        <v>42494.03515625</v>
      </c>
      <c r="Q1457" s="34">
        <v>268836.75</v>
      </c>
      <c r="R1457" s="34">
        <v>652688.0625</v>
      </c>
      <c r="S1457" s="29"/>
      <c r="T1457" s="33"/>
      <c r="U1457" s="35" t="b">
        <v>1</v>
      </c>
      <c r="V1457" s="35" t="b">
        <v>0</v>
      </c>
      <c r="W1457" s="35" t="b">
        <v>1</v>
      </c>
      <c r="Y1457" s="31" cm="1">
        <f t="array" ref="Y1457">IF(LEFT(_xll.BDP($C1457, VOLUME_AVG_10D), 4) = "#N/A", "",  _xll.BDP($C1457, VOLUME_AVG_10D))</f>
        <v>22234.599609375</v>
      </c>
      <c r="Z1457" s="31" cm="1">
        <f t="array" ref="Z1457">IF(LEFT(_xll.BDP($C1457, VOLUME_AVG_30D), 4) = "#N/A", "",  _xll.BDP($C1457, VOLUME_AVG_30D))</f>
        <v>42494.03515625</v>
      </c>
      <c r="AA1457" s="31" cm="1">
        <f t="array" ref="AA1457">IF(LEFT(_xll.BDP($C1457, VOLUME_AVG_3M), 4) = "#N/A", "",  _xll.BDP($C1457, VOLUME_AVG_3M))</f>
        <v>268836.75</v>
      </c>
      <c r="AB1457" s="31" cm="1">
        <f t="array" ref="AB1457">IF(LEFT(_xll.BDP($C1457, VOLUME_AVG_6M), 4) = "#N/A", "",  _xll.BDP($C1457, VOLUME_AVG_6M))</f>
        <v>652688.0625</v>
      </c>
      <c r="AC1457" s="31" cm="1">
        <f t="array" ref="AC1457">IF(LEFT(_xll.BDP($C1457, VOLUME_AVG_12M), 4) = "#N/A", "",  _xll.BDP($C1457, VOLUME_AVG_12M))</f>
        <v>347261.375</v>
      </c>
      <c r="AD1457" s="41" cm="1">
        <f t="array" ref="AD1457">IF(LEFT(_xll.BDP($C1457, LAST_PRICE), 4) = "#N/A", "",  _xll.BDP($C1457, LAST_PRICE))</f>
        <v>1.89</v>
      </c>
    </row>
    <row r="1458" spans="1:30" x14ac:dyDescent="0.35">
      <c r="A1458" s="1">
        <f t="shared" si="22"/>
        <v>1455</v>
      </c>
      <c r="B1458" s="28">
        <v>45700</v>
      </c>
      <c r="C1458" s="29" t="s">
        <v>2957</v>
      </c>
      <c r="D1458" s="29" t="s">
        <v>2957</v>
      </c>
      <c r="E1458" s="29" t="s">
        <v>2958</v>
      </c>
      <c r="F1458" s="29" t="s">
        <v>40</v>
      </c>
      <c r="G1458" s="30" t="s">
        <v>41</v>
      </c>
      <c r="H1458" s="31"/>
      <c r="I1458" s="31"/>
      <c r="J1458" s="32"/>
      <c r="K1458" s="33">
        <v>45700</v>
      </c>
      <c r="L1458" s="31"/>
      <c r="M1458" s="32"/>
      <c r="N1458" s="31"/>
      <c r="O1458" s="33">
        <v>45699</v>
      </c>
      <c r="P1458" s="34"/>
      <c r="Q1458" s="34"/>
      <c r="R1458" s="34"/>
      <c r="S1458" s="29"/>
      <c r="T1458" s="33"/>
      <c r="U1458" s="35" t="b">
        <v>1</v>
      </c>
      <c r="V1458" s="35" t="b">
        <v>1</v>
      </c>
      <c r="W1458" s="35" t="b">
        <v>1</v>
      </c>
      <c r="Y1458" s="31" t="str" cm="1">
        <f t="array" ref="Y1458">IF(LEFT(_xll.BDP($C1458, VOLUME_AVG_10D), 4) = "#N/A", "",  _xll.BDP($C1458, VOLUME_AVG_10D))</f>
        <v/>
      </c>
      <c r="Z1458" s="31" t="str" cm="1">
        <f t="array" ref="Z1458">IF(LEFT(_xll.BDP($C1458, VOLUME_AVG_30D), 4) = "#N/A", "",  _xll.BDP($C1458, VOLUME_AVG_30D))</f>
        <v/>
      </c>
      <c r="AA1458" s="31" t="str" cm="1">
        <f t="array" ref="AA1458">IF(LEFT(_xll.BDP($C1458, VOLUME_AVG_3M), 4) = "#N/A", "",  _xll.BDP($C1458, VOLUME_AVG_3M))</f>
        <v/>
      </c>
      <c r="AB1458" s="31" t="str" cm="1">
        <f t="array" ref="AB1458">IF(LEFT(_xll.BDP($C1458, VOLUME_AVG_6M), 4) = "#N/A", "",  _xll.BDP($C1458, VOLUME_AVG_6M))</f>
        <v/>
      </c>
      <c r="AC1458" s="31" t="str" cm="1">
        <f t="array" ref="AC1458">IF(LEFT(_xll.BDP($C1458, VOLUME_AVG_12M), 4) = "#N/A", "",  _xll.BDP($C1458, VOLUME_AVG_12M))</f>
        <v/>
      </c>
      <c r="AD1458" s="41" t="str" cm="1">
        <f t="array" ref="AD1458">IF(LEFT(_xll.BDP($C1458, LAST_PRICE), 4) = "#N/A", "",  _xll.BDP($C1458, LAST_PRICE))</f>
        <v/>
      </c>
    </row>
    <row r="1459" spans="1:30" x14ac:dyDescent="0.35">
      <c r="A1459" s="1">
        <f t="shared" si="22"/>
        <v>1456</v>
      </c>
      <c r="B1459" s="28">
        <v>45700</v>
      </c>
      <c r="C1459" s="29" t="s">
        <v>2959</v>
      </c>
      <c r="D1459" s="29" t="s">
        <v>2959</v>
      </c>
      <c r="E1459" s="29" t="s">
        <v>2960</v>
      </c>
      <c r="F1459" s="29" t="s">
        <v>33</v>
      </c>
      <c r="G1459" s="30" t="s">
        <v>34</v>
      </c>
      <c r="H1459" s="31">
        <v>4026.6149</v>
      </c>
      <c r="I1459" s="31"/>
      <c r="J1459" s="32">
        <v>1E-4</v>
      </c>
      <c r="K1459" s="33">
        <v>45700</v>
      </c>
      <c r="L1459" s="31"/>
      <c r="M1459" s="32"/>
      <c r="N1459" s="31"/>
      <c r="O1459" s="33">
        <v>45699</v>
      </c>
      <c r="P1459" s="34">
        <v>4253.89990234375</v>
      </c>
      <c r="Q1459" s="34">
        <v>5117.98388671875</v>
      </c>
      <c r="R1459" s="34">
        <v>3084.46020507813</v>
      </c>
      <c r="S1459" s="29"/>
      <c r="T1459" s="33"/>
      <c r="U1459" s="35" t="b">
        <v>1</v>
      </c>
      <c r="V1459" s="35" t="b">
        <v>1</v>
      </c>
      <c r="W1459" s="35" t="b">
        <v>1</v>
      </c>
      <c r="Y1459" s="31" cm="1">
        <f t="array" ref="Y1459">IF(LEFT(_xll.BDP($C1459, VOLUME_AVG_10D), 4) = "#N/A", "",  _xll.BDP($C1459, VOLUME_AVG_10D))</f>
        <v>3021.800048828125</v>
      </c>
      <c r="Z1459" s="31" cm="1">
        <f t="array" ref="Z1459">IF(LEFT(_xll.BDP($C1459, VOLUME_AVG_30D), 4) = "#N/A", "",  _xll.BDP($C1459, VOLUME_AVG_30D))</f>
        <v>4253.89990234375</v>
      </c>
      <c r="AA1459" s="31" cm="1">
        <f t="array" ref="AA1459">IF(LEFT(_xll.BDP($C1459, VOLUME_AVG_3M), 4) = "#N/A", "",  _xll.BDP($C1459, VOLUME_AVG_3M))</f>
        <v>5117.98388671875</v>
      </c>
      <c r="AB1459" s="31" cm="1">
        <f t="array" ref="AB1459">IF(LEFT(_xll.BDP($C1459, VOLUME_AVG_6M), 4) = "#N/A", "",  _xll.BDP($C1459, VOLUME_AVG_6M))</f>
        <v>3084.460205078125</v>
      </c>
      <c r="AC1459" s="31" cm="1">
        <f t="array" ref="AC1459">IF(LEFT(_xll.BDP($C1459, VOLUME_AVG_12M), 4) = "#N/A", "",  _xll.BDP($C1459, VOLUME_AVG_12M))</f>
        <v>1933.1793212890625</v>
      </c>
      <c r="AD1459" s="41" cm="1">
        <f t="array" ref="AD1459">IF(LEFT(_xll.BDP($C1459, LAST_PRICE), 4) = "#N/A", "",  _xll.BDP($C1459, LAST_PRICE))</f>
        <v>1E-4</v>
      </c>
    </row>
    <row r="1460" spans="1:30" x14ac:dyDescent="0.35">
      <c r="A1460" s="1">
        <f t="shared" si="22"/>
        <v>1457</v>
      </c>
      <c r="B1460" s="28">
        <v>45700</v>
      </c>
      <c r="C1460" s="29" t="s">
        <v>2961</v>
      </c>
      <c r="D1460" s="29" t="s">
        <v>2961</v>
      </c>
      <c r="E1460" s="29" t="s">
        <v>2962</v>
      </c>
      <c r="F1460" s="29" t="s">
        <v>40</v>
      </c>
      <c r="G1460" s="30" t="s">
        <v>41</v>
      </c>
      <c r="H1460" s="31">
        <v>66900702.288395002</v>
      </c>
      <c r="I1460" s="31">
        <v>66888931.288395002</v>
      </c>
      <c r="J1460" s="32">
        <v>0.270000010728836</v>
      </c>
      <c r="K1460" s="33">
        <v>45700</v>
      </c>
      <c r="L1460" s="31">
        <v>170000</v>
      </c>
      <c r="M1460" s="32">
        <v>-16.25</v>
      </c>
      <c r="N1460" s="31" t="s">
        <v>35</v>
      </c>
      <c r="O1460" s="33">
        <v>45699</v>
      </c>
      <c r="P1460" s="34">
        <v>211156.7</v>
      </c>
      <c r="Q1460" s="34">
        <v>212977.1</v>
      </c>
      <c r="R1460" s="34">
        <v>216315.7</v>
      </c>
      <c r="S1460" s="29"/>
      <c r="T1460" s="33"/>
      <c r="U1460" s="35" t="b">
        <v>0</v>
      </c>
      <c r="V1460" s="35" t="b">
        <v>0</v>
      </c>
      <c r="W1460" s="35" t="b">
        <v>0</v>
      </c>
      <c r="Y1460" s="31" cm="1">
        <f t="array" ref="Y1460">IF(LEFT(_xll.BDP($C1460, VOLUME_AVG_10D), 4) = "#N/A", "",  _xll.BDP($C1460, VOLUME_AVG_10D))</f>
        <v>144107.20000000001</v>
      </c>
      <c r="Z1460" s="31" cm="1">
        <f t="array" ref="Z1460">IF(LEFT(_xll.BDP($C1460, VOLUME_AVG_30D), 4) = "#N/A", "",  _xll.BDP($C1460, VOLUME_AVG_30D))</f>
        <v>211156.7</v>
      </c>
      <c r="AA1460" s="31" cm="1">
        <f t="array" ref="AA1460">IF(LEFT(_xll.BDP($C1460, VOLUME_AVG_3M), 4) = "#N/A", "",  _xll.BDP($C1460, VOLUME_AVG_3M))</f>
        <v>212977.1</v>
      </c>
      <c r="AB1460" s="31" cm="1">
        <f t="array" ref="AB1460">IF(LEFT(_xll.BDP($C1460, VOLUME_AVG_6M), 4) = "#N/A", "",  _xll.BDP($C1460, VOLUME_AVG_6M))</f>
        <v>216315.7</v>
      </c>
      <c r="AC1460" s="31" cm="1">
        <f t="array" ref="AC1460">IF(LEFT(_xll.BDP($C1460, VOLUME_AVG_12M), 4) = "#N/A", "",  _xll.BDP($C1460, VOLUME_AVG_12M))</f>
        <v>228742.2</v>
      </c>
      <c r="AD1460" s="41" cm="1">
        <f t="array" ref="AD1460">IF(LEFT(_xll.BDP($C1460, LAST_PRICE), 4) = "#N/A", "",  _xll.BDP($C1460, LAST_PRICE))</f>
        <v>0.27</v>
      </c>
    </row>
    <row r="1461" spans="1:30" x14ac:dyDescent="0.35">
      <c r="A1461" s="1">
        <f t="shared" si="22"/>
        <v>1458</v>
      </c>
      <c r="B1461" s="28">
        <v>45700</v>
      </c>
      <c r="C1461" s="29" t="s">
        <v>2963</v>
      </c>
      <c r="D1461" s="29" t="s">
        <v>2963</v>
      </c>
      <c r="E1461" s="29" t="s">
        <v>2964</v>
      </c>
      <c r="F1461" s="29" t="s">
        <v>33</v>
      </c>
      <c r="G1461" s="30" t="s">
        <v>34</v>
      </c>
      <c r="H1461" s="31">
        <v>615149.99190000002</v>
      </c>
      <c r="I1461" s="31"/>
      <c r="J1461" s="32">
        <v>1E-4</v>
      </c>
      <c r="K1461" s="33">
        <v>45700</v>
      </c>
      <c r="L1461" s="31"/>
      <c r="M1461" s="32"/>
      <c r="N1461" s="31"/>
      <c r="O1461" s="33">
        <v>45699</v>
      </c>
      <c r="P1461" s="34">
        <v>142385.09375</v>
      </c>
      <c r="Q1461" s="34">
        <v>395443.84375</v>
      </c>
      <c r="R1461" s="34">
        <v>211549.390625</v>
      </c>
      <c r="S1461" s="29"/>
      <c r="T1461" s="33"/>
      <c r="U1461" s="35" t="b">
        <v>1</v>
      </c>
      <c r="V1461" s="35" t="b">
        <v>1</v>
      </c>
      <c r="W1461" s="35" t="b">
        <v>1</v>
      </c>
      <c r="Y1461" s="31" cm="1">
        <f t="array" ref="Y1461">IF(LEFT(_xll.BDP($C1461, VOLUME_AVG_10D), 4) = "#N/A", "",  _xll.BDP($C1461, VOLUME_AVG_10D))</f>
        <v>268.89999389648438</v>
      </c>
      <c r="Z1461" s="31" cm="1">
        <f t="array" ref="Z1461">IF(LEFT(_xll.BDP($C1461, VOLUME_AVG_30D), 4) = "#N/A", "",  _xll.BDP($C1461, VOLUME_AVG_30D))</f>
        <v>142385.09375</v>
      </c>
      <c r="AA1461" s="31" cm="1">
        <f t="array" ref="AA1461">IF(LEFT(_xll.BDP($C1461, VOLUME_AVG_3M), 4) = "#N/A", "",  _xll.BDP($C1461, VOLUME_AVG_3M))</f>
        <v>395443.84375</v>
      </c>
      <c r="AB1461" s="31" cm="1">
        <f t="array" ref="AB1461">IF(LEFT(_xll.BDP($C1461, VOLUME_AVG_6M), 4) = "#N/A", "",  _xll.BDP($C1461, VOLUME_AVG_6M))</f>
        <v>211549.390625</v>
      </c>
      <c r="AC1461" s="31" cm="1">
        <f t="array" ref="AC1461">IF(LEFT(_xll.BDP($C1461, VOLUME_AVG_12M), 4) = "#N/A", "",  _xll.BDP($C1461, VOLUME_AVG_12M))</f>
        <v>787233.5</v>
      </c>
      <c r="AD1461" s="41" cm="1">
        <f t="array" ref="AD1461">IF(LEFT(_xll.BDP($C1461, LAST_PRICE), 4) = "#N/A", "",  _xll.BDP($C1461, LAST_PRICE))</f>
        <v>1E-4</v>
      </c>
    </row>
    <row r="1462" spans="1:30" x14ac:dyDescent="0.35">
      <c r="A1462" s="1">
        <f t="shared" si="22"/>
        <v>1459</v>
      </c>
      <c r="B1462" s="28">
        <v>45700</v>
      </c>
      <c r="C1462" s="29" t="s">
        <v>2965</v>
      </c>
      <c r="D1462" s="29" t="s">
        <v>2965</v>
      </c>
      <c r="E1462" s="29" t="s">
        <v>2966</v>
      </c>
      <c r="F1462" s="29" t="s">
        <v>33</v>
      </c>
      <c r="G1462" s="30" t="s">
        <v>34</v>
      </c>
      <c r="H1462" s="31">
        <v>11647756.210018201</v>
      </c>
      <c r="I1462" s="31">
        <v>14000756.210018201</v>
      </c>
      <c r="J1462" s="32">
        <v>1.0099999904632599</v>
      </c>
      <c r="K1462" s="33">
        <v>45700</v>
      </c>
      <c r="L1462" s="31">
        <v>714600</v>
      </c>
      <c r="M1462" s="32">
        <v>-5.2</v>
      </c>
      <c r="N1462" s="31" t="s">
        <v>35</v>
      </c>
      <c r="O1462" s="33">
        <v>45699</v>
      </c>
      <c r="P1462" s="34">
        <v>600250.3125</v>
      </c>
      <c r="Q1462" s="34">
        <v>303258.40625</v>
      </c>
      <c r="R1462" s="34">
        <v>156013.640625</v>
      </c>
      <c r="S1462" s="29"/>
      <c r="T1462" s="33"/>
      <c r="U1462" s="35" t="b">
        <v>1</v>
      </c>
      <c r="V1462" s="35" t="b">
        <v>0</v>
      </c>
      <c r="W1462" s="35" t="b">
        <v>0</v>
      </c>
      <c r="Y1462" s="31" cm="1">
        <f t="array" ref="Y1462">IF(LEFT(_xll.BDP($C1462, VOLUME_AVG_10D), 4) = "#N/A", "",  _xll.BDP($C1462, VOLUME_AVG_10D))</f>
        <v>32411.5</v>
      </c>
      <c r="Z1462" s="31" cm="1">
        <f t="array" ref="Z1462">IF(LEFT(_xll.BDP($C1462, VOLUME_AVG_30D), 4) = "#N/A", "",  _xll.BDP($C1462, VOLUME_AVG_30D))</f>
        <v>600250.3125</v>
      </c>
      <c r="AA1462" s="31" cm="1">
        <f t="array" ref="AA1462">IF(LEFT(_xll.BDP($C1462, VOLUME_AVG_3M), 4) = "#N/A", "",  _xll.BDP($C1462, VOLUME_AVG_3M))</f>
        <v>303258.40625</v>
      </c>
      <c r="AB1462" s="31" cm="1">
        <f t="array" ref="AB1462">IF(LEFT(_xll.BDP($C1462, VOLUME_AVG_6M), 4) = "#N/A", "",  _xll.BDP($C1462, VOLUME_AVG_6M))</f>
        <v>156013.640625</v>
      </c>
      <c r="AC1462" s="31" cm="1">
        <f t="array" ref="AC1462">IF(LEFT(_xll.BDP($C1462, VOLUME_AVG_12M), 4) = "#N/A", "",  _xll.BDP($C1462, VOLUME_AVG_12M))</f>
        <v>88184.7265625</v>
      </c>
      <c r="AD1462" s="41" cm="1">
        <f t="array" ref="AD1462">IF(LEFT(_xll.BDP($C1462, LAST_PRICE), 4) = "#N/A", "",  _xll.BDP($C1462, LAST_PRICE))</f>
        <v>1.01</v>
      </c>
    </row>
    <row r="1463" spans="1:30" x14ac:dyDescent="0.35">
      <c r="A1463" s="1">
        <f t="shared" si="22"/>
        <v>1460</v>
      </c>
      <c r="B1463" s="28">
        <v>45700</v>
      </c>
      <c r="C1463" s="29" t="s">
        <v>2967</v>
      </c>
      <c r="D1463" s="29" t="s">
        <v>2967</v>
      </c>
      <c r="E1463" s="29" t="s">
        <v>2968</v>
      </c>
      <c r="F1463" s="29" t="s">
        <v>33</v>
      </c>
      <c r="G1463" s="30" t="s">
        <v>34</v>
      </c>
      <c r="H1463" s="31">
        <v>460271393.67734498</v>
      </c>
      <c r="I1463" s="31">
        <v>413891393.67734498</v>
      </c>
      <c r="J1463" s="32">
        <v>9.3599996566772496</v>
      </c>
      <c r="K1463" s="33">
        <v>45700</v>
      </c>
      <c r="L1463" s="31"/>
      <c r="M1463" s="32"/>
      <c r="N1463" s="31"/>
      <c r="O1463" s="33">
        <v>45699</v>
      </c>
      <c r="P1463" s="34">
        <v>188010.796875</v>
      </c>
      <c r="Q1463" s="34">
        <v>202513.3125</v>
      </c>
      <c r="R1463" s="34">
        <v>200377.8125</v>
      </c>
      <c r="S1463" s="29" t="s">
        <v>164</v>
      </c>
      <c r="T1463" s="33">
        <v>45446</v>
      </c>
      <c r="U1463" s="35" t="b">
        <v>0</v>
      </c>
      <c r="V1463" s="35" t="b">
        <v>0</v>
      </c>
      <c r="W1463" s="35" t="b">
        <v>0</v>
      </c>
      <c r="Y1463" s="31" cm="1">
        <f t="array" ref="Y1463">IF(LEFT(_xll.BDP($C1463, VOLUME_AVG_10D), 4) = "#N/A", "",  _xll.BDP($C1463, VOLUME_AVG_10D))</f>
        <v>160574.09375</v>
      </c>
      <c r="Z1463" s="31" cm="1">
        <f t="array" ref="Z1463">IF(LEFT(_xll.BDP($C1463, VOLUME_AVG_30D), 4) = "#N/A", "",  _xll.BDP($C1463, VOLUME_AVG_30D))</f>
        <v>188010.796875</v>
      </c>
      <c r="AA1463" s="31" cm="1">
        <f t="array" ref="AA1463">IF(LEFT(_xll.BDP($C1463, VOLUME_AVG_3M), 4) = "#N/A", "",  _xll.BDP($C1463, VOLUME_AVG_3M))</f>
        <v>202513.3125</v>
      </c>
      <c r="AB1463" s="31" cm="1">
        <f t="array" ref="AB1463">IF(LEFT(_xll.BDP($C1463, VOLUME_AVG_6M), 4) = "#N/A", "",  _xll.BDP($C1463, VOLUME_AVG_6M))</f>
        <v>200377.8125</v>
      </c>
      <c r="AC1463" s="31" cm="1">
        <f t="array" ref="AC1463">IF(LEFT(_xll.BDP($C1463, VOLUME_AVG_12M), 4) = "#N/A", "",  _xll.BDP($C1463, VOLUME_AVG_12M))</f>
        <v>307213.875</v>
      </c>
      <c r="AD1463" s="41" cm="1">
        <f t="array" ref="AD1463">IF(LEFT(_xll.BDP($C1463, LAST_PRICE), 4) = "#N/A", "",  _xll.BDP($C1463, LAST_PRICE))</f>
        <v>9.36</v>
      </c>
    </row>
    <row r="1464" spans="1:30" x14ac:dyDescent="0.35">
      <c r="A1464" s="1">
        <f t="shared" si="22"/>
        <v>1461</v>
      </c>
      <c r="B1464" s="28">
        <v>45700</v>
      </c>
      <c r="C1464" s="29" t="s">
        <v>2969</v>
      </c>
      <c r="D1464" s="29" t="s">
        <v>2969</v>
      </c>
      <c r="E1464" s="29" t="s">
        <v>2970</v>
      </c>
      <c r="F1464" s="29" t="s">
        <v>33</v>
      </c>
      <c r="G1464" s="30" t="s">
        <v>34</v>
      </c>
      <c r="H1464" s="31">
        <v>4257146.8903935002</v>
      </c>
      <c r="I1464" s="31">
        <v>-10412853.109606501</v>
      </c>
      <c r="J1464" s="32">
        <v>1.5299999713897701</v>
      </c>
      <c r="K1464" s="33">
        <v>45700</v>
      </c>
      <c r="L1464" s="31">
        <v>52900</v>
      </c>
      <c r="M1464" s="32">
        <v>-91.95</v>
      </c>
      <c r="N1464" s="31" t="s">
        <v>35</v>
      </c>
      <c r="O1464" s="33">
        <v>45699</v>
      </c>
      <c r="P1464" s="34">
        <v>253765.640625</v>
      </c>
      <c r="Q1464" s="34">
        <v>474654.4375</v>
      </c>
      <c r="R1464" s="34">
        <v>1964377.875</v>
      </c>
      <c r="S1464" s="29"/>
      <c r="T1464" s="33"/>
      <c r="U1464" s="35" t="b">
        <v>1</v>
      </c>
      <c r="V1464" s="35" t="b">
        <v>0</v>
      </c>
      <c r="W1464" s="35" t="b">
        <v>1</v>
      </c>
      <c r="Y1464" s="31" cm="1">
        <f t="array" ref="Y1464">IF(LEFT(_xll.BDP($C1464, VOLUME_AVG_10D), 4) = "#N/A", "",  _xll.BDP($C1464, VOLUME_AVG_10D))</f>
        <v>177662.703125</v>
      </c>
      <c r="Z1464" s="31" cm="1">
        <f t="array" ref="Z1464">IF(LEFT(_xll.BDP($C1464, VOLUME_AVG_30D), 4) = "#N/A", "",  _xll.BDP($C1464, VOLUME_AVG_30D))</f>
        <v>253765.640625</v>
      </c>
      <c r="AA1464" s="31" cm="1">
        <f t="array" ref="AA1464">IF(LEFT(_xll.BDP($C1464, VOLUME_AVG_3M), 4) = "#N/A", "",  _xll.BDP($C1464, VOLUME_AVG_3M))</f>
        <v>474654.4375</v>
      </c>
      <c r="AB1464" s="31" cm="1">
        <f t="array" ref="AB1464">IF(LEFT(_xll.BDP($C1464, VOLUME_AVG_6M), 4) = "#N/A", "",  _xll.BDP($C1464, VOLUME_AVG_6M))</f>
        <v>1964377.875</v>
      </c>
      <c r="AC1464" s="31" cm="1">
        <f t="array" ref="AC1464">IF(LEFT(_xll.BDP($C1464, VOLUME_AVG_12M), 4) = "#N/A", "",  _xll.BDP($C1464, VOLUME_AVG_12M))</f>
        <v>994696.1875</v>
      </c>
      <c r="AD1464" s="41" cm="1">
        <f t="array" ref="AD1464">IF(LEFT(_xll.BDP($C1464, LAST_PRICE), 4) = "#N/A", "",  _xll.BDP($C1464, LAST_PRICE))</f>
        <v>1.53</v>
      </c>
    </row>
    <row r="1465" spans="1:30" x14ac:dyDescent="0.35">
      <c r="A1465" s="1">
        <f t="shared" si="22"/>
        <v>1462</v>
      </c>
      <c r="B1465" s="28">
        <v>45700</v>
      </c>
      <c r="C1465" s="29" t="s">
        <v>2971</v>
      </c>
      <c r="D1465" s="29" t="s">
        <v>2971</v>
      </c>
      <c r="E1465" s="29" t="s">
        <v>2972</v>
      </c>
      <c r="F1465" s="29" t="s">
        <v>40</v>
      </c>
      <c r="G1465" s="30" t="s">
        <v>41</v>
      </c>
      <c r="H1465" s="31">
        <v>20323447.4225812</v>
      </c>
      <c r="I1465" s="31">
        <v>14183682.6065279</v>
      </c>
      <c r="J1465" s="32">
        <v>4.5000001788139302E-2</v>
      </c>
      <c r="K1465" s="33">
        <v>45700</v>
      </c>
      <c r="L1465" s="31">
        <v>130700</v>
      </c>
      <c r="M1465" s="32">
        <v>-2.7</v>
      </c>
      <c r="N1465" s="31" t="s">
        <v>35</v>
      </c>
      <c r="O1465" s="33">
        <v>45699</v>
      </c>
      <c r="P1465" s="34">
        <v>2611097</v>
      </c>
      <c r="Q1465" s="34">
        <v>2378919</v>
      </c>
      <c r="R1465" s="34">
        <v>2532564</v>
      </c>
      <c r="S1465" s="29"/>
      <c r="T1465" s="33"/>
      <c r="U1465" s="35" t="b">
        <v>0</v>
      </c>
      <c r="V1465" s="35" t="b">
        <v>1</v>
      </c>
      <c r="W1465" s="35" t="b">
        <v>0</v>
      </c>
      <c r="Y1465" s="31" cm="1">
        <f t="array" ref="Y1465">IF(LEFT(_xll.BDP($C1465, VOLUME_AVG_10D), 4) = "#N/A", "",  _xll.BDP($C1465, VOLUME_AVG_10D))</f>
        <v>1740191</v>
      </c>
      <c r="Z1465" s="31" cm="1">
        <f t="array" ref="Z1465">IF(LEFT(_xll.BDP($C1465, VOLUME_AVG_30D), 4) = "#N/A", "",  _xll.BDP($C1465, VOLUME_AVG_30D))</f>
        <v>2611097</v>
      </c>
      <c r="AA1465" s="31" cm="1">
        <f t="array" ref="AA1465">IF(LEFT(_xll.BDP($C1465, VOLUME_AVG_3M), 4) = "#N/A", "",  _xll.BDP($C1465, VOLUME_AVG_3M))</f>
        <v>2378919</v>
      </c>
      <c r="AB1465" s="31" cm="1">
        <f t="array" ref="AB1465">IF(LEFT(_xll.BDP($C1465, VOLUME_AVG_6M), 4) = "#N/A", "",  _xll.BDP($C1465, VOLUME_AVG_6M))</f>
        <v>2532564</v>
      </c>
      <c r="AC1465" s="31" cm="1">
        <f t="array" ref="AC1465">IF(LEFT(_xll.BDP($C1465, VOLUME_AVG_12M), 4) = "#N/A", "",  _xll.BDP($C1465, VOLUME_AVG_12M))</f>
        <v>2128578</v>
      </c>
      <c r="AD1465" s="41" cm="1">
        <f t="array" ref="AD1465">IF(LEFT(_xll.BDP($C1465, LAST_PRICE), 4) = "#N/A", "",  _xll.BDP($C1465, LAST_PRICE))</f>
        <v>4.4999999999999998E-2</v>
      </c>
    </row>
    <row r="1466" spans="1:30" x14ac:dyDescent="0.35">
      <c r="A1466" s="1">
        <f t="shared" si="22"/>
        <v>1463</v>
      </c>
      <c r="B1466" s="28">
        <v>45700</v>
      </c>
      <c r="C1466" s="29" t="s">
        <v>2973</v>
      </c>
      <c r="D1466" s="29" t="s">
        <v>2973</v>
      </c>
      <c r="E1466" s="29" t="s">
        <v>2974</v>
      </c>
      <c r="F1466" s="29" t="s">
        <v>33</v>
      </c>
      <c r="G1466" s="30" t="s">
        <v>34</v>
      </c>
      <c r="H1466" s="31">
        <v>205785142570</v>
      </c>
      <c r="I1466" s="31">
        <v>231610142570</v>
      </c>
      <c r="J1466" s="32">
        <v>538</v>
      </c>
      <c r="K1466" s="33">
        <v>45700</v>
      </c>
      <c r="L1466" s="31">
        <v>119852000</v>
      </c>
      <c r="M1466" s="32">
        <v>3.88</v>
      </c>
      <c r="N1466" s="31" t="s">
        <v>35</v>
      </c>
      <c r="O1466" s="33">
        <v>45699</v>
      </c>
      <c r="P1466" s="34">
        <v>2006972.625</v>
      </c>
      <c r="Q1466" s="34">
        <v>2080838</v>
      </c>
      <c r="R1466" s="34">
        <v>1644126.75</v>
      </c>
      <c r="S1466" s="29"/>
      <c r="T1466" s="33"/>
      <c r="U1466" s="35" t="b">
        <v>0</v>
      </c>
      <c r="V1466" s="35" t="b">
        <v>0</v>
      </c>
      <c r="W1466" s="35" t="b">
        <v>0</v>
      </c>
      <c r="Y1466" s="31" cm="1">
        <f t="array" ref="Y1466">IF(LEFT(_xll.BDP($C1466, VOLUME_AVG_10D), 4) = "#N/A", "",  _xll.BDP($C1466, VOLUME_AVG_10D))</f>
        <v>2304986.25</v>
      </c>
      <c r="Z1466" s="31" cm="1">
        <f t="array" ref="Z1466">IF(LEFT(_xll.BDP($C1466, VOLUME_AVG_30D), 4) = "#N/A", "",  _xll.BDP($C1466, VOLUME_AVG_30D))</f>
        <v>2006972.625</v>
      </c>
      <c r="AA1466" s="31" cm="1">
        <f t="array" ref="AA1466">IF(LEFT(_xll.BDP($C1466, VOLUME_AVG_3M), 4) = "#N/A", "",  _xll.BDP($C1466, VOLUME_AVG_3M))</f>
        <v>2080838</v>
      </c>
      <c r="AB1466" s="31" cm="1">
        <f t="array" ref="AB1466">IF(LEFT(_xll.BDP($C1466, VOLUME_AVG_6M), 4) = "#N/A", "",  _xll.BDP($C1466, VOLUME_AVG_6M))</f>
        <v>1644126.75</v>
      </c>
      <c r="AC1466" s="31" cm="1">
        <f t="array" ref="AC1466">IF(LEFT(_xll.BDP($C1466, VOLUME_AVG_12M), 4) = "#N/A", "",  _xll.BDP($C1466, VOLUME_AVG_12M))</f>
        <v>1556342.75</v>
      </c>
      <c r="AD1466" s="41" cm="1">
        <f t="array" ref="AD1466">IF(LEFT(_xll.BDP($C1466, LAST_PRICE), 4) = "#N/A", "",  _xll.BDP($C1466, LAST_PRICE))</f>
        <v>538</v>
      </c>
    </row>
    <row r="1467" spans="1:30" x14ac:dyDescent="0.35">
      <c r="A1467" s="1">
        <f t="shared" si="22"/>
        <v>1464</v>
      </c>
      <c r="B1467" s="28">
        <v>45700</v>
      </c>
      <c r="C1467" s="29" t="s">
        <v>2975</v>
      </c>
      <c r="D1467" s="29" t="s">
        <v>2975</v>
      </c>
      <c r="E1467" s="29" t="s">
        <v>2976</v>
      </c>
      <c r="F1467" s="29" t="s">
        <v>33</v>
      </c>
      <c r="G1467" s="30" t="s">
        <v>34</v>
      </c>
      <c r="H1467" s="31">
        <v>4754.2551000000003</v>
      </c>
      <c r="I1467" s="31">
        <v>4211754.2550999997</v>
      </c>
      <c r="J1467" s="32">
        <v>2.9999999999999997E-4</v>
      </c>
      <c r="K1467" s="33">
        <v>45700</v>
      </c>
      <c r="L1467" s="31"/>
      <c r="M1467" s="32"/>
      <c r="N1467" s="31"/>
      <c r="O1467" s="33">
        <v>45699</v>
      </c>
      <c r="P1467" s="34">
        <v>4768.033203125</v>
      </c>
      <c r="Q1467" s="34">
        <v>8272.7900390625</v>
      </c>
      <c r="R1467" s="34">
        <v>8730.24609375</v>
      </c>
      <c r="S1467" s="29"/>
      <c r="T1467" s="33"/>
      <c r="U1467" s="35" t="b">
        <v>1</v>
      </c>
      <c r="V1467" s="35" t="b">
        <v>1</v>
      </c>
      <c r="W1467" s="35" t="b">
        <v>0</v>
      </c>
      <c r="Y1467" s="31" cm="1">
        <f t="array" ref="Y1467">IF(LEFT(_xll.BDP($C1467, VOLUME_AVG_10D), 4) = "#N/A", "",  _xll.BDP($C1467, VOLUME_AVG_10D))</f>
        <v>6572.60009765625</v>
      </c>
      <c r="Z1467" s="31" cm="1">
        <f t="array" ref="Z1467">IF(LEFT(_xll.BDP($C1467, VOLUME_AVG_30D), 4) = "#N/A", "",  _xll.BDP($C1467, VOLUME_AVG_30D))</f>
        <v>4768.033203125</v>
      </c>
      <c r="AA1467" s="31" cm="1">
        <f t="array" ref="AA1467">IF(LEFT(_xll.BDP($C1467, VOLUME_AVG_3M), 4) = "#N/A", "",  _xll.BDP($C1467, VOLUME_AVG_3M))</f>
        <v>8272.7900390625</v>
      </c>
      <c r="AB1467" s="31" cm="1">
        <f t="array" ref="AB1467">IF(LEFT(_xll.BDP($C1467, VOLUME_AVG_6M), 4) = "#N/A", "",  _xll.BDP($C1467, VOLUME_AVG_6M))</f>
        <v>8730.24609375</v>
      </c>
      <c r="AC1467" s="31" cm="1">
        <f t="array" ref="AC1467">IF(LEFT(_xll.BDP($C1467, VOLUME_AVG_12M), 4) = "#N/A", "",  _xll.BDP($C1467, VOLUME_AVG_12M))</f>
        <v>34573.0234375</v>
      </c>
      <c r="AD1467" s="41" cm="1">
        <f t="array" ref="AD1467">IF(LEFT(_xll.BDP($C1467, LAST_PRICE), 4) = "#N/A", "",  _xll.BDP($C1467, LAST_PRICE))</f>
        <v>2.9999999999999997E-4</v>
      </c>
    </row>
    <row r="1468" spans="1:30" x14ac:dyDescent="0.35">
      <c r="A1468" s="1">
        <f t="shared" si="22"/>
        <v>1465</v>
      </c>
      <c r="B1468" s="28">
        <v>45700</v>
      </c>
      <c r="C1468" s="29" t="s">
        <v>2977</v>
      </c>
      <c r="D1468" s="29" t="s">
        <v>2977</v>
      </c>
      <c r="E1468" s="29" t="s">
        <v>2978</v>
      </c>
      <c r="F1468" s="29" t="s">
        <v>33</v>
      </c>
      <c r="G1468" s="30" t="s">
        <v>34</v>
      </c>
      <c r="H1468" s="31">
        <v>159957364.00144699</v>
      </c>
      <c r="I1468" s="31">
        <v>-105159635.99855299</v>
      </c>
      <c r="J1468" s="32">
        <v>3.5499999523162802</v>
      </c>
      <c r="K1468" s="33">
        <v>45700</v>
      </c>
      <c r="L1468" s="31">
        <v>6562700</v>
      </c>
      <c r="M1468" s="32">
        <v>3.7</v>
      </c>
      <c r="N1468" s="31" t="s">
        <v>35</v>
      </c>
      <c r="O1468" s="33">
        <v>45699</v>
      </c>
      <c r="P1468" s="34">
        <v>746676.8125</v>
      </c>
      <c r="Q1468" s="34">
        <v>470287.875</v>
      </c>
      <c r="R1468" s="34">
        <v>329726.3125</v>
      </c>
      <c r="S1468" s="29" t="s">
        <v>73</v>
      </c>
      <c r="T1468" s="33">
        <v>45446</v>
      </c>
      <c r="U1468" s="35" t="b">
        <v>0</v>
      </c>
      <c r="V1468" s="35" t="b">
        <v>0</v>
      </c>
      <c r="W1468" s="35" t="b">
        <v>1</v>
      </c>
      <c r="Y1468" s="31" cm="1">
        <f t="array" ref="Y1468">IF(LEFT(_xll.BDP($C1468, VOLUME_AVG_10D), 4) = "#N/A", "",  _xll.BDP($C1468, VOLUME_AVG_10D))</f>
        <v>1671303.875</v>
      </c>
      <c r="Z1468" s="31" cm="1">
        <f t="array" ref="Z1468">IF(LEFT(_xll.BDP($C1468, VOLUME_AVG_30D), 4) = "#N/A", "",  _xll.BDP($C1468, VOLUME_AVG_30D))</f>
        <v>746676.8125</v>
      </c>
      <c r="AA1468" s="31" cm="1">
        <f t="array" ref="AA1468">IF(LEFT(_xll.BDP($C1468, VOLUME_AVG_3M), 4) = "#N/A", "",  _xll.BDP($C1468, VOLUME_AVG_3M))</f>
        <v>470287.875</v>
      </c>
      <c r="AB1468" s="31" cm="1">
        <f t="array" ref="AB1468">IF(LEFT(_xll.BDP($C1468, VOLUME_AVG_6M), 4) = "#N/A", "",  _xll.BDP($C1468, VOLUME_AVG_6M))</f>
        <v>329726.3125</v>
      </c>
      <c r="AC1468" s="31" cm="1">
        <f t="array" ref="AC1468">IF(LEFT(_xll.BDP($C1468, VOLUME_AVG_12M), 4) = "#N/A", "",  _xll.BDP($C1468, VOLUME_AVG_12M))</f>
        <v>226893.71875</v>
      </c>
      <c r="AD1468" s="41" cm="1">
        <f t="array" ref="AD1468">IF(LEFT(_xll.BDP($C1468, LAST_PRICE), 4) = "#N/A", "",  _xll.BDP($C1468, LAST_PRICE))</f>
        <v>3.55</v>
      </c>
    </row>
    <row r="1469" spans="1:30" x14ac:dyDescent="0.35">
      <c r="A1469" s="1">
        <f t="shared" si="22"/>
        <v>1466</v>
      </c>
      <c r="B1469" s="28">
        <v>45700</v>
      </c>
      <c r="C1469" s="29" t="s">
        <v>2979</v>
      </c>
      <c r="D1469" s="29" t="s">
        <v>2979</v>
      </c>
      <c r="E1469" s="29" t="s">
        <v>2980</v>
      </c>
      <c r="F1469" s="29" t="s">
        <v>33</v>
      </c>
      <c r="G1469" s="30" t="s">
        <v>34</v>
      </c>
      <c r="H1469" s="31"/>
      <c r="I1469" s="31"/>
      <c r="J1469" s="32"/>
      <c r="K1469" s="33">
        <v>45700</v>
      </c>
      <c r="L1469" s="31"/>
      <c r="M1469" s="32"/>
      <c r="N1469" s="31"/>
      <c r="O1469" s="33">
        <v>45699</v>
      </c>
      <c r="P1469" s="34">
        <v>220</v>
      </c>
      <c r="Q1469" s="34">
        <v>122.580642700195</v>
      </c>
      <c r="R1469" s="34">
        <v>104.13491821289099</v>
      </c>
      <c r="S1469" s="29"/>
      <c r="T1469" s="33"/>
      <c r="U1469" s="35" t="b">
        <v>1</v>
      </c>
      <c r="V1469" s="35" t="b">
        <v>1</v>
      </c>
      <c r="W1469" s="35" t="b">
        <v>1</v>
      </c>
      <c r="Y1469" s="31" cm="1">
        <f t="array" ref="Y1469">IF(LEFT(_xll.BDP($C1469, VOLUME_AVG_10D), 4) = "#N/A", "",  _xll.BDP($C1469, VOLUME_AVG_10D))</f>
        <v>0</v>
      </c>
      <c r="Z1469" s="31" cm="1">
        <f t="array" ref="Z1469">IF(LEFT(_xll.BDP($C1469, VOLUME_AVG_30D), 4) = "#N/A", "",  _xll.BDP($C1469, VOLUME_AVG_30D))</f>
        <v>220</v>
      </c>
      <c r="AA1469" s="31" cm="1">
        <f t="array" ref="AA1469">IF(LEFT(_xll.BDP($C1469, VOLUME_AVG_3M), 4) = "#N/A", "",  _xll.BDP($C1469, VOLUME_AVG_3M))</f>
        <v>122.58064270019531</v>
      </c>
      <c r="AB1469" s="31" cm="1">
        <f t="array" ref="AB1469">IF(LEFT(_xll.BDP($C1469, VOLUME_AVG_6M), 4) = "#N/A", "",  _xll.BDP($C1469, VOLUME_AVG_6M))</f>
        <v>104.13491821289063</v>
      </c>
      <c r="AC1469" s="31" cm="1">
        <f t="array" ref="AC1469">IF(LEFT(_xll.BDP($C1469, VOLUME_AVG_12M), 4) = "#N/A", "",  _xll.BDP($C1469, VOLUME_AVG_12M))</f>
        <v>84.147407531738281</v>
      </c>
      <c r="AD1469" s="41" cm="1">
        <f t="array" ref="AD1469">IF(LEFT(_xll.BDP($C1469, LAST_PRICE), 4) = "#N/A", "",  _xll.BDP($C1469, LAST_PRICE))</f>
        <v>9.9999999999999995E-7</v>
      </c>
    </row>
    <row r="1470" spans="1:30" x14ac:dyDescent="0.35">
      <c r="A1470" s="1">
        <f t="shared" si="22"/>
        <v>1467</v>
      </c>
      <c r="B1470" s="28">
        <v>45700</v>
      </c>
      <c r="C1470" s="29" t="s">
        <v>2981</v>
      </c>
      <c r="D1470" s="29" t="s">
        <v>2981</v>
      </c>
      <c r="E1470" s="29" t="s">
        <v>2982</v>
      </c>
      <c r="F1470" s="29" t="s">
        <v>33</v>
      </c>
      <c r="G1470" s="30" t="s">
        <v>34</v>
      </c>
      <c r="H1470" s="31">
        <v>890116068.29727602</v>
      </c>
      <c r="I1470" s="31">
        <v>992338068.29727602</v>
      </c>
      <c r="J1470" s="32">
        <v>0.94929999113082897</v>
      </c>
      <c r="K1470" s="33">
        <v>45700</v>
      </c>
      <c r="L1470" s="31"/>
      <c r="M1470" s="32"/>
      <c r="N1470" s="31"/>
      <c r="O1470" s="33">
        <v>45699</v>
      </c>
      <c r="P1470" s="34">
        <v>48264056</v>
      </c>
      <c r="Q1470" s="34">
        <v>40071456</v>
      </c>
      <c r="R1470" s="34">
        <v>31863564</v>
      </c>
      <c r="S1470" s="29"/>
      <c r="T1470" s="33"/>
      <c r="U1470" s="35" t="b">
        <v>0</v>
      </c>
      <c r="V1470" s="35" t="b">
        <v>0</v>
      </c>
      <c r="W1470" s="35" t="b">
        <v>0</v>
      </c>
      <c r="Y1470" s="31" cm="1">
        <f t="array" ref="Y1470">IF(LEFT(_xll.BDP($C1470, VOLUME_AVG_10D), 4) = "#N/A", "",  _xll.BDP($C1470, VOLUME_AVG_10D))</f>
        <v>60404812</v>
      </c>
      <c r="Z1470" s="31" cm="1">
        <f t="array" ref="Z1470">IF(LEFT(_xll.BDP($C1470, VOLUME_AVG_30D), 4) = "#N/A", "",  _xll.BDP($C1470, VOLUME_AVG_30D))</f>
        <v>48264056</v>
      </c>
      <c r="AA1470" s="31" cm="1">
        <f t="array" ref="AA1470">IF(LEFT(_xll.BDP($C1470, VOLUME_AVG_3M), 4) = "#N/A", "",  _xll.BDP($C1470, VOLUME_AVG_3M))</f>
        <v>40071456</v>
      </c>
      <c r="AB1470" s="31" cm="1">
        <f t="array" ref="AB1470">IF(LEFT(_xll.BDP($C1470, VOLUME_AVG_6M), 4) = "#N/A", "",  _xll.BDP($C1470, VOLUME_AVG_6M))</f>
        <v>31863564</v>
      </c>
      <c r="AC1470" s="31" cm="1">
        <f t="array" ref="AC1470">IF(LEFT(_xll.BDP($C1470, VOLUME_AVG_12M), 4) = "#N/A", "",  _xll.BDP($C1470, VOLUME_AVG_12M))</f>
        <v>29146958</v>
      </c>
      <c r="AD1470" s="41" cm="1">
        <f t="array" ref="AD1470">IF(LEFT(_xll.BDP($C1470, LAST_PRICE), 4) = "#N/A", "",  _xll.BDP($C1470, LAST_PRICE))</f>
        <v>0.94930000000000003</v>
      </c>
    </row>
    <row r="1471" spans="1:30" x14ac:dyDescent="0.35">
      <c r="A1471" s="1">
        <f t="shared" si="22"/>
        <v>1468</v>
      </c>
      <c r="B1471" s="28">
        <v>45700</v>
      </c>
      <c r="C1471" s="29" t="s">
        <v>2983</v>
      </c>
      <c r="D1471" s="29" t="s">
        <v>2983</v>
      </c>
      <c r="E1471" s="29" t="s">
        <v>2984</v>
      </c>
      <c r="F1471" s="29" t="s">
        <v>40</v>
      </c>
      <c r="G1471" s="30" t="s">
        <v>41</v>
      </c>
      <c r="H1471" s="31">
        <v>3907908.6226514298</v>
      </c>
      <c r="I1471" s="31">
        <v>82296084.514322698</v>
      </c>
      <c r="J1471" s="32">
        <v>9.9999997764825804E-3</v>
      </c>
      <c r="K1471" s="33">
        <v>45700</v>
      </c>
      <c r="L1471" s="31"/>
      <c r="M1471" s="32"/>
      <c r="N1471" s="31"/>
      <c r="O1471" s="33">
        <v>45699</v>
      </c>
      <c r="P1471" s="34">
        <v>64384.9</v>
      </c>
      <c r="Q1471" s="34">
        <v>189030.1</v>
      </c>
      <c r="R1471" s="34">
        <v>162632.29999999999</v>
      </c>
      <c r="S1471" s="29"/>
      <c r="T1471" s="33"/>
      <c r="U1471" s="35" t="b">
        <v>1</v>
      </c>
      <c r="V1471" s="35" t="b">
        <v>1</v>
      </c>
      <c r="W1471" s="35" t="b">
        <v>0</v>
      </c>
      <c r="Y1471" s="31" cm="1">
        <f t="array" ref="Y1471">IF(LEFT(_xll.BDP($C1471, VOLUME_AVG_10D), 4) = "#N/A", "",  _xll.BDP($C1471, VOLUME_AVG_10D))</f>
        <v>64318.8</v>
      </c>
      <c r="Z1471" s="31" cm="1">
        <f t="array" ref="Z1471">IF(LEFT(_xll.BDP($C1471, VOLUME_AVG_30D), 4) = "#N/A", "",  _xll.BDP($C1471, VOLUME_AVG_30D))</f>
        <v>64384.9</v>
      </c>
      <c r="AA1471" s="31" cm="1">
        <f t="array" ref="AA1471">IF(LEFT(_xll.BDP($C1471, VOLUME_AVG_3M), 4) = "#N/A", "",  _xll.BDP($C1471, VOLUME_AVG_3M))</f>
        <v>189030.1</v>
      </c>
      <c r="AB1471" s="31" cm="1">
        <f t="array" ref="AB1471">IF(LEFT(_xll.BDP($C1471, VOLUME_AVG_6M), 4) = "#N/A", "",  _xll.BDP($C1471, VOLUME_AVG_6M))</f>
        <v>162632.29999999999</v>
      </c>
      <c r="AC1471" s="31" cm="1">
        <f t="array" ref="AC1471">IF(LEFT(_xll.BDP($C1471, VOLUME_AVG_12M), 4) = "#N/A", "",  _xll.BDP($C1471, VOLUME_AVG_12M))</f>
        <v>136683.20000000001</v>
      </c>
      <c r="AD1471" s="41" cm="1">
        <f t="array" ref="AD1471">IF(LEFT(_xll.BDP($C1471, LAST_PRICE), 4) = "#N/A", "",  _xll.BDP($C1471, LAST_PRICE))</f>
        <v>0.01</v>
      </c>
    </row>
    <row r="1472" spans="1:30" x14ac:dyDescent="0.35">
      <c r="A1472" s="1">
        <f t="shared" si="22"/>
        <v>1469</v>
      </c>
      <c r="B1472" s="28">
        <v>45700</v>
      </c>
      <c r="C1472" s="29" t="s">
        <v>2985</v>
      </c>
      <c r="D1472" s="29" t="s">
        <v>2985</v>
      </c>
      <c r="E1472" s="29" t="s">
        <v>2986</v>
      </c>
      <c r="F1472" s="29" t="s">
        <v>33</v>
      </c>
      <c r="G1472" s="30" t="s">
        <v>34</v>
      </c>
      <c r="H1472" s="31">
        <v>3784928.6379365898</v>
      </c>
      <c r="I1472" s="31">
        <v>386928.63793659199</v>
      </c>
      <c r="J1472" s="32">
        <v>4.1399998664856001</v>
      </c>
      <c r="K1472" s="33">
        <v>45700</v>
      </c>
      <c r="L1472" s="31">
        <v>62500</v>
      </c>
      <c r="M1472" s="32">
        <v>-6.05</v>
      </c>
      <c r="N1472" s="31" t="s">
        <v>35</v>
      </c>
      <c r="O1472" s="33">
        <v>45699</v>
      </c>
      <c r="P1472" s="34">
        <v>29785.533203125</v>
      </c>
      <c r="Q1472" s="34">
        <v>29777.548828125</v>
      </c>
      <c r="R1472" s="34">
        <v>240305.515625</v>
      </c>
      <c r="S1472" s="29"/>
      <c r="T1472" s="33"/>
      <c r="U1472" s="35" t="b">
        <v>1</v>
      </c>
      <c r="V1472" s="35" t="b">
        <v>0</v>
      </c>
      <c r="W1472" s="35" t="b">
        <v>0</v>
      </c>
      <c r="Y1472" s="31" cm="1">
        <f t="array" ref="Y1472">IF(LEFT(_xll.BDP($C1472, VOLUME_AVG_10D), 4) = "#N/A", "",  _xll.BDP($C1472, VOLUME_AVG_10D))</f>
        <v>8890.2998046875</v>
      </c>
      <c r="Z1472" s="31" cm="1">
        <f t="array" ref="Z1472">IF(LEFT(_xll.BDP($C1472, VOLUME_AVG_30D), 4) = "#N/A", "",  _xll.BDP($C1472, VOLUME_AVG_30D))</f>
        <v>29785.533203125</v>
      </c>
      <c r="AA1472" s="31" cm="1">
        <f t="array" ref="AA1472">IF(LEFT(_xll.BDP($C1472, VOLUME_AVG_3M), 4) = "#N/A", "",  _xll.BDP($C1472, VOLUME_AVG_3M))</f>
        <v>29777.548828125</v>
      </c>
      <c r="AB1472" s="31" cm="1">
        <f t="array" ref="AB1472">IF(LEFT(_xll.BDP($C1472, VOLUME_AVG_6M), 4) = "#N/A", "",  _xll.BDP($C1472, VOLUME_AVG_6M))</f>
        <v>240305.515625</v>
      </c>
      <c r="AC1472" s="31" cm="1">
        <f t="array" ref="AC1472">IF(LEFT(_xll.BDP($C1472, VOLUME_AVG_12M), 4) = "#N/A", "",  _xll.BDP($C1472, VOLUME_AVG_12M))</f>
        <v>124093.53125</v>
      </c>
      <c r="AD1472" s="41" cm="1">
        <f t="array" ref="AD1472">IF(LEFT(_xll.BDP($C1472, LAST_PRICE), 4) = "#N/A", "",  _xll.BDP($C1472, LAST_PRICE))</f>
        <v>4.1399999999999997</v>
      </c>
    </row>
    <row r="1473" spans="1:30" x14ac:dyDescent="0.35">
      <c r="A1473" s="1">
        <f t="shared" si="22"/>
        <v>1470</v>
      </c>
      <c r="B1473" s="28">
        <v>45700</v>
      </c>
      <c r="C1473" s="29" t="s">
        <v>2987</v>
      </c>
      <c r="D1473" s="29" t="s">
        <v>2987</v>
      </c>
      <c r="E1473" s="29" t="s">
        <v>2988</v>
      </c>
      <c r="F1473" s="29" t="s">
        <v>33</v>
      </c>
      <c r="G1473" s="30" t="s">
        <v>34</v>
      </c>
      <c r="H1473" s="31">
        <v>6627128.7871406702</v>
      </c>
      <c r="I1473" s="31">
        <v>3601128.7871406702</v>
      </c>
      <c r="J1473" s="32">
        <v>0.69999998807907104</v>
      </c>
      <c r="K1473" s="33">
        <v>45700</v>
      </c>
      <c r="L1473" s="31">
        <v>661800</v>
      </c>
      <c r="M1473" s="32">
        <v>-9.0500000000000007</v>
      </c>
      <c r="N1473" s="31" t="s">
        <v>35</v>
      </c>
      <c r="O1473" s="33">
        <v>45699</v>
      </c>
      <c r="P1473" s="34">
        <v>543172.375</v>
      </c>
      <c r="Q1473" s="34">
        <v>2296674</v>
      </c>
      <c r="R1473" s="34">
        <v>3729564.75</v>
      </c>
      <c r="S1473" s="29"/>
      <c r="T1473" s="33"/>
      <c r="U1473" s="35" t="b">
        <v>1</v>
      </c>
      <c r="V1473" s="35" t="b">
        <v>0</v>
      </c>
      <c r="W1473" s="35" t="b">
        <v>0</v>
      </c>
      <c r="Y1473" s="31" cm="1">
        <f t="array" ref="Y1473">IF(LEFT(_xll.BDP($C1473, VOLUME_AVG_10D), 4) = "#N/A", "",  _xll.BDP($C1473, VOLUME_AVG_10D))</f>
        <v>299614.5</v>
      </c>
      <c r="Z1473" s="31" cm="1">
        <f t="array" ref="Z1473">IF(LEFT(_xll.BDP($C1473, VOLUME_AVG_30D), 4) = "#N/A", "",  _xll.BDP($C1473, VOLUME_AVG_30D))</f>
        <v>543172.375</v>
      </c>
      <c r="AA1473" s="31" cm="1">
        <f t="array" ref="AA1473">IF(LEFT(_xll.BDP($C1473, VOLUME_AVG_3M), 4) = "#N/A", "",  _xll.BDP($C1473, VOLUME_AVG_3M))</f>
        <v>2296674</v>
      </c>
      <c r="AB1473" s="31" cm="1">
        <f t="array" ref="AB1473">IF(LEFT(_xll.BDP($C1473, VOLUME_AVG_6M), 4) = "#N/A", "",  _xll.BDP($C1473, VOLUME_AVG_6M))</f>
        <v>3729564.75</v>
      </c>
      <c r="AC1473" s="31" cm="1">
        <f t="array" ref="AC1473">IF(LEFT(_xll.BDP($C1473, VOLUME_AVG_12M), 4) = "#N/A", "",  _xll.BDP($C1473, VOLUME_AVG_12M))</f>
        <v>3291967.5</v>
      </c>
      <c r="AD1473" s="41" cm="1">
        <f t="array" ref="AD1473">IF(LEFT(_xll.BDP($C1473, LAST_PRICE), 4) = "#N/A", "",  _xll.BDP($C1473, LAST_PRICE))</f>
        <v>0.7</v>
      </c>
    </row>
    <row r="1474" spans="1:30" x14ac:dyDescent="0.35">
      <c r="A1474" s="1">
        <f t="shared" si="22"/>
        <v>1471</v>
      </c>
      <c r="B1474" s="28">
        <v>45700</v>
      </c>
      <c r="C1474" s="29" t="s">
        <v>2989</v>
      </c>
      <c r="D1474" s="29" t="s">
        <v>2989</v>
      </c>
      <c r="E1474" s="29" t="s">
        <v>2990</v>
      </c>
      <c r="F1474" s="29" t="s">
        <v>33</v>
      </c>
      <c r="G1474" s="30" t="s">
        <v>34</v>
      </c>
      <c r="H1474" s="31">
        <v>77109635.166427597</v>
      </c>
      <c r="I1474" s="31"/>
      <c r="J1474" s="32">
        <v>0.74800002574920699</v>
      </c>
      <c r="K1474" s="33">
        <v>45700</v>
      </c>
      <c r="L1474" s="31"/>
      <c r="M1474" s="32"/>
      <c r="N1474" s="31"/>
      <c r="O1474" s="33">
        <v>45699</v>
      </c>
      <c r="P1474" s="34">
        <v>901818.75</v>
      </c>
      <c r="Q1474" s="34">
        <v>616314.6875</v>
      </c>
      <c r="R1474" s="34">
        <v>437866.28125</v>
      </c>
      <c r="S1474" s="29"/>
      <c r="T1474" s="33"/>
      <c r="U1474" s="35" t="b">
        <v>0</v>
      </c>
      <c r="V1474" s="35" t="b">
        <v>0</v>
      </c>
      <c r="W1474" s="35" t="b">
        <v>1</v>
      </c>
      <c r="Y1474" s="31" cm="1">
        <f t="array" ref="Y1474">IF(LEFT(_xll.BDP($C1474, VOLUME_AVG_10D), 4) = "#N/A", "",  _xll.BDP($C1474, VOLUME_AVG_10D))</f>
        <v>242376.796875</v>
      </c>
      <c r="Z1474" s="31" cm="1">
        <f t="array" ref="Z1474">IF(LEFT(_xll.BDP($C1474, VOLUME_AVG_30D), 4) = "#N/A", "",  _xll.BDP($C1474, VOLUME_AVG_30D))</f>
        <v>901818.75</v>
      </c>
      <c r="AA1474" s="31" cm="1">
        <f t="array" ref="AA1474">IF(LEFT(_xll.BDP($C1474, VOLUME_AVG_3M), 4) = "#N/A", "",  _xll.BDP($C1474, VOLUME_AVG_3M))</f>
        <v>616314.6875</v>
      </c>
      <c r="AB1474" s="31" cm="1">
        <f t="array" ref="AB1474">IF(LEFT(_xll.BDP($C1474, VOLUME_AVG_6M), 4) = "#N/A", "",  _xll.BDP($C1474, VOLUME_AVG_6M))</f>
        <v>437866.28125</v>
      </c>
      <c r="AC1474" s="31" cm="1">
        <f t="array" ref="AC1474">IF(LEFT(_xll.BDP($C1474, VOLUME_AVG_12M), 4) = "#N/A", "",  _xll.BDP($C1474, VOLUME_AVG_12M))</f>
        <v>325901.875</v>
      </c>
      <c r="AD1474" s="41" cm="1">
        <f t="array" ref="AD1474">IF(LEFT(_xll.BDP($C1474, LAST_PRICE), 4) = "#N/A", "",  _xll.BDP($C1474, LAST_PRICE))</f>
        <v>0.748</v>
      </c>
    </row>
    <row r="1475" spans="1:30" x14ac:dyDescent="0.35">
      <c r="A1475" s="1">
        <f t="shared" si="22"/>
        <v>1472</v>
      </c>
      <c r="B1475" s="28">
        <v>45700</v>
      </c>
      <c r="C1475" s="29" t="s">
        <v>2991</v>
      </c>
      <c r="D1475" s="29" t="s">
        <v>2991</v>
      </c>
      <c r="E1475" s="29" t="s">
        <v>2992</v>
      </c>
      <c r="F1475" s="29" t="s">
        <v>33</v>
      </c>
      <c r="G1475" s="30" t="s">
        <v>34</v>
      </c>
      <c r="H1475" s="31">
        <v>1459910.04297429</v>
      </c>
      <c r="I1475" s="31"/>
      <c r="J1475" s="32">
        <v>0.52990001440048196</v>
      </c>
      <c r="K1475" s="33">
        <v>45700</v>
      </c>
      <c r="L1475" s="31">
        <v>51800</v>
      </c>
      <c r="M1475" s="32">
        <v>-50.15</v>
      </c>
      <c r="N1475" s="31" t="s">
        <v>35</v>
      </c>
      <c r="O1475" s="33">
        <v>45699</v>
      </c>
      <c r="P1475" s="34">
        <v>426915.9375</v>
      </c>
      <c r="Q1475" s="34">
        <v>296314.65625</v>
      </c>
      <c r="R1475" s="34">
        <v>168101.5625</v>
      </c>
      <c r="S1475" s="29"/>
      <c r="T1475" s="33"/>
      <c r="U1475" s="35" t="b">
        <v>1</v>
      </c>
      <c r="V1475" s="35" t="b">
        <v>0</v>
      </c>
      <c r="W1475" s="35" t="b">
        <v>1</v>
      </c>
      <c r="Y1475" s="31" cm="1">
        <f t="array" ref="Y1475">IF(LEFT(_xll.BDP($C1475, VOLUME_AVG_10D), 4) = "#N/A", "",  _xll.BDP($C1475, VOLUME_AVG_10D))</f>
        <v>764329.625</v>
      </c>
      <c r="Z1475" s="31" cm="1">
        <f t="array" ref="Z1475">IF(LEFT(_xll.BDP($C1475, VOLUME_AVG_30D), 4) = "#N/A", "",  _xll.BDP($C1475, VOLUME_AVG_30D))</f>
        <v>426915.9375</v>
      </c>
      <c r="AA1475" s="31" cm="1">
        <f t="array" ref="AA1475">IF(LEFT(_xll.BDP($C1475, VOLUME_AVG_3M), 4) = "#N/A", "",  _xll.BDP($C1475, VOLUME_AVG_3M))</f>
        <v>296314.65625</v>
      </c>
      <c r="AB1475" s="31" cm="1">
        <f t="array" ref="AB1475">IF(LEFT(_xll.BDP($C1475, VOLUME_AVG_6M), 4) = "#N/A", "",  _xll.BDP($C1475, VOLUME_AVG_6M))</f>
        <v>168101.5625</v>
      </c>
      <c r="AC1475" s="31" cm="1">
        <f t="array" ref="AC1475">IF(LEFT(_xll.BDP($C1475, VOLUME_AVG_12M), 4) = "#N/A", "",  _xll.BDP($C1475, VOLUME_AVG_12M))</f>
        <v>155878.734375</v>
      </c>
      <c r="AD1475" s="41" cm="1">
        <f t="array" ref="AD1475">IF(LEFT(_xll.BDP($C1475, LAST_PRICE), 4) = "#N/A", "",  _xll.BDP($C1475, LAST_PRICE))</f>
        <v>0.52990000000000004</v>
      </c>
    </row>
    <row r="1476" spans="1:30" x14ac:dyDescent="0.35">
      <c r="A1476" s="1">
        <f t="shared" si="22"/>
        <v>1473</v>
      </c>
      <c r="B1476" s="28">
        <v>45700</v>
      </c>
      <c r="C1476" s="29" t="s">
        <v>2993</v>
      </c>
      <c r="D1476" s="29" t="s">
        <v>2993</v>
      </c>
      <c r="E1476" s="29" t="s">
        <v>2994</v>
      </c>
      <c r="F1476" s="29" t="s">
        <v>33</v>
      </c>
      <c r="G1476" s="30" t="s">
        <v>34</v>
      </c>
      <c r="H1476" s="31">
        <v>422583.80477368803</v>
      </c>
      <c r="I1476" s="31">
        <v>1487583.8047736899</v>
      </c>
      <c r="J1476" s="32">
        <v>4.2249998077750197E-3</v>
      </c>
      <c r="K1476" s="33">
        <v>45700</v>
      </c>
      <c r="L1476" s="31"/>
      <c r="M1476" s="32"/>
      <c r="N1476" s="31"/>
      <c r="O1476" s="33">
        <v>45699</v>
      </c>
      <c r="P1476" s="34">
        <v>12117.7001953125</v>
      </c>
      <c r="Q1476" s="34">
        <v>20450.708984375</v>
      </c>
      <c r="R1476" s="34">
        <v>15495.4287109375</v>
      </c>
      <c r="S1476" s="29"/>
      <c r="T1476" s="33"/>
      <c r="U1476" s="35" t="b">
        <v>1</v>
      </c>
      <c r="V1476" s="35" t="b">
        <v>1</v>
      </c>
      <c r="W1476" s="35" t="b">
        <v>0</v>
      </c>
      <c r="Y1476" s="31" cm="1">
        <f t="array" ref="Y1476">IF(LEFT(_xll.BDP($C1476, VOLUME_AVG_10D), 4) = "#N/A", "",  _xll.BDP($C1476, VOLUME_AVG_10D))</f>
        <v>20500</v>
      </c>
      <c r="Z1476" s="31" cm="1">
        <f t="array" ref="Z1476">IF(LEFT(_xll.BDP($C1476, VOLUME_AVG_30D), 4) = "#N/A", "",  _xll.BDP($C1476, VOLUME_AVG_30D))</f>
        <v>12117.7001953125</v>
      </c>
      <c r="AA1476" s="31" cm="1">
        <f t="array" ref="AA1476">IF(LEFT(_xll.BDP($C1476, VOLUME_AVG_3M), 4) = "#N/A", "",  _xll.BDP($C1476, VOLUME_AVG_3M))</f>
        <v>20450.708984375</v>
      </c>
      <c r="AB1476" s="31" cm="1">
        <f t="array" ref="AB1476">IF(LEFT(_xll.BDP($C1476, VOLUME_AVG_6M), 4) = "#N/A", "",  _xll.BDP($C1476, VOLUME_AVG_6M))</f>
        <v>15495.4287109375</v>
      </c>
      <c r="AC1476" s="31" cm="1">
        <f t="array" ref="AC1476">IF(LEFT(_xll.BDP($C1476, VOLUME_AVG_12M), 4) = "#N/A", "",  _xll.BDP($C1476, VOLUME_AVG_12M))</f>
        <v>90847.828125</v>
      </c>
      <c r="AD1476" s="41" cm="1">
        <f t="array" ref="AD1476">IF(LEFT(_xll.BDP($C1476, LAST_PRICE), 4) = "#N/A", "",  _xll.BDP($C1476, LAST_PRICE))</f>
        <v>4.2249999999999996E-3</v>
      </c>
    </row>
    <row r="1477" spans="1:30" x14ac:dyDescent="0.35">
      <c r="A1477" s="1">
        <f t="shared" si="22"/>
        <v>1474</v>
      </c>
      <c r="B1477" s="28">
        <v>45700</v>
      </c>
      <c r="C1477" s="29" t="s">
        <v>2995</v>
      </c>
      <c r="D1477" s="29" t="s">
        <v>2995</v>
      </c>
      <c r="E1477" s="29" t="s">
        <v>2996</v>
      </c>
      <c r="F1477" s="29" t="s">
        <v>33</v>
      </c>
      <c r="G1477" s="30" t="s">
        <v>34</v>
      </c>
      <c r="H1477" s="31">
        <v>21492835.875</v>
      </c>
      <c r="I1477" s="31">
        <v>1951835.875</v>
      </c>
      <c r="J1477" s="32">
        <v>11.5</v>
      </c>
      <c r="K1477" s="33">
        <v>45700</v>
      </c>
      <c r="L1477" s="31">
        <v>288600</v>
      </c>
      <c r="M1477" s="32">
        <v>-8.3000000000000007</v>
      </c>
      <c r="N1477" s="31" t="s">
        <v>35</v>
      </c>
      <c r="O1477" s="33">
        <v>45699</v>
      </c>
      <c r="P1477" s="34">
        <v>1525185.875</v>
      </c>
      <c r="Q1477" s="34">
        <v>1598542.5</v>
      </c>
      <c r="R1477" s="34">
        <v>950714.5</v>
      </c>
      <c r="S1477" s="29"/>
      <c r="T1477" s="33"/>
      <c r="U1477" s="35" t="b">
        <v>0</v>
      </c>
      <c r="V1477" s="35" t="b">
        <v>0</v>
      </c>
      <c r="W1477" s="35" t="b">
        <v>0</v>
      </c>
      <c r="Y1477" s="31" cm="1">
        <f t="array" ref="Y1477">IF(LEFT(_xll.BDP($C1477, VOLUME_AVG_10D), 4) = "#N/A", "",  _xll.BDP($C1477, VOLUME_AVG_10D))</f>
        <v>2478784</v>
      </c>
      <c r="Z1477" s="31" cm="1">
        <f t="array" ref="Z1477">IF(LEFT(_xll.BDP($C1477, VOLUME_AVG_30D), 4) = "#N/A", "",  _xll.BDP($C1477, VOLUME_AVG_30D))</f>
        <v>1525185.875</v>
      </c>
      <c r="AA1477" s="31" cm="1">
        <f t="array" ref="AA1477">IF(LEFT(_xll.BDP($C1477, VOLUME_AVG_3M), 4) = "#N/A", "",  _xll.BDP($C1477, VOLUME_AVG_3M))</f>
        <v>1598542.5</v>
      </c>
      <c r="AB1477" s="31" cm="1">
        <f t="array" ref="AB1477">IF(LEFT(_xll.BDP($C1477, VOLUME_AVG_6M), 4) = "#N/A", "",  _xll.BDP($C1477, VOLUME_AVG_6M))</f>
        <v>950714.5</v>
      </c>
      <c r="AC1477" s="31" cm="1">
        <f t="array" ref="AC1477">IF(LEFT(_xll.BDP($C1477, VOLUME_AVG_12M), 4) = "#N/A", "",  _xll.BDP($C1477, VOLUME_AVG_12M))</f>
        <v>482252.09375</v>
      </c>
      <c r="AD1477" s="41" cm="1">
        <f t="array" ref="AD1477">IF(LEFT(_xll.BDP($C1477, LAST_PRICE), 4) = "#N/A", "",  _xll.BDP($C1477, LAST_PRICE))</f>
        <v>11.5</v>
      </c>
    </row>
    <row r="1478" spans="1:30" x14ac:dyDescent="0.35">
      <c r="A1478" s="1">
        <f t="shared" ref="A1478:A1541" si="23">IF(B1478="","", A1477+1)</f>
        <v>1475</v>
      </c>
      <c r="B1478" s="28">
        <v>45700</v>
      </c>
      <c r="C1478" s="29" t="s">
        <v>2997</v>
      </c>
      <c r="D1478" s="29" t="s">
        <v>2997</v>
      </c>
      <c r="E1478" s="29" t="s">
        <v>2998</v>
      </c>
      <c r="F1478" s="29" t="s">
        <v>33</v>
      </c>
      <c r="G1478" s="30" t="s">
        <v>34</v>
      </c>
      <c r="H1478" s="31">
        <v>339251718.56174499</v>
      </c>
      <c r="I1478" s="31">
        <v>57617718.561744802</v>
      </c>
      <c r="J1478" s="32">
        <v>13.2299995422363</v>
      </c>
      <c r="K1478" s="33">
        <v>45700</v>
      </c>
      <c r="L1478" s="31">
        <v>2995200</v>
      </c>
      <c r="M1478" s="32">
        <v>3.88</v>
      </c>
      <c r="N1478" s="31" t="s">
        <v>35</v>
      </c>
      <c r="O1478" s="33">
        <v>45699</v>
      </c>
      <c r="P1478" s="34">
        <v>288420.625</v>
      </c>
      <c r="Q1478" s="34">
        <v>248530.96875</v>
      </c>
      <c r="R1478" s="34">
        <v>227170.96875</v>
      </c>
      <c r="S1478" s="29" t="s">
        <v>73</v>
      </c>
      <c r="T1478" s="33">
        <v>45446</v>
      </c>
      <c r="U1478" s="35" t="b">
        <v>0</v>
      </c>
      <c r="V1478" s="35" t="b">
        <v>0</v>
      </c>
      <c r="W1478" s="35" t="b">
        <v>0</v>
      </c>
      <c r="Y1478" s="31" cm="1">
        <f t="array" ref="Y1478">IF(LEFT(_xll.BDP($C1478, VOLUME_AVG_10D), 4) = "#N/A", "",  _xll.BDP($C1478, VOLUME_AVG_10D))</f>
        <v>437486.5</v>
      </c>
      <c r="Z1478" s="31" cm="1">
        <f t="array" ref="Z1478">IF(LEFT(_xll.BDP($C1478, VOLUME_AVG_30D), 4) = "#N/A", "",  _xll.BDP($C1478, VOLUME_AVG_30D))</f>
        <v>288420.625</v>
      </c>
      <c r="AA1478" s="31" cm="1">
        <f t="array" ref="AA1478">IF(LEFT(_xll.BDP($C1478, VOLUME_AVG_3M), 4) = "#N/A", "",  _xll.BDP($C1478, VOLUME_AVG_3M))</f>
        <v>248530.96875</v>
      </c>
      <c r="AB1478" s="31" cm="1">
        <f t="array" ref="AB1478">IF(LEFT(_xll.BDP($C1478, VOLUME_AVG_6M), 4) = "#N/A", "",  _xll.BDP($C1478, VOLUME_AVG_6M))</f>
        <v>227170.96875</v>
      </c>
      <c r="AC1478" s="31" cm="1">
        <f t="array" ref="AC1478">IF(LEFT(_xll.BDP($C1478, VOLUME_AVG_12M), 4) = "#N/A", "",  _xll.BDP($C1478, VOLUME_AVG_12M))</f>
        <v>296217.40625</v>
      </c>
      <c r="AD1478" s="41" cm="1">
        <f t="array" ref="AD1478">IF(LEFT(_xll.BDP($C1478, LAST_PRICE), 4) = "#N/A", "",  _xll.BDP($C1478, LAST_PRICE))</f>
        <v>13.23</v>
      </c>
    </row>
    <row r="1479" spans="1:30" x14ac:dyDescent="0.35">
      <c r="A1479" s="1">
        <f t="shared" si="23"/>
        <v>1476</v>
      </c>
      <c r="B1479" s="28">
        <v>45700</v>
      </c>
      <c r="C1479" s="29" t="s">
        <v>2999</v>
      </c>
      <c r="D1479" s="29" t="s">
        <v>2999</v>
      </c>
      <c r="E1479" s="29" t="s">
        <v>3000</v>
      </c>
      <c r="F1479" s="29" t="s">
        <v>33</v>
      </c>
      <c r="G1479" s="30" t="s">
        <v>34</v>
      </c>
      <c r="H1479" s="31">
        <v>290154.00469303102</v>
      </c>
      <c r="I1479" s="31"/>
      <c r="J1479" s="32">
        <v>0.39210000634193398</v>
      </c>
      <c r="K1479" s="33">
        <v>45700</v>
      </c>
      <c r="L1479" s="31"/>
      <c r="M1479" s="32"/>
      <c r="N1479" s="31"/>
      <c r="O1479" s="33">
        <v>45699</v>
      </c>
      <c r="P1479" s="34">
        <v>4032.63330078125</v>
      </c>
      <c r="Q1479" s="34">
        <v>2976.95166015625</v>
      </c>
      <c r="R1479" s="34">
        <v>1829.65869140625</v>
      </c>
      <c r="S1479" s="29"/>
      <c r="T1479" s="33"/>
      <c r="U1479" s="35" t="b">
        <v>1</v>
      </c>
      <c r="V1479" s="35" t="b">
        <v>0</v>
      </c>
      <c r="W1479" s="35" t="b">
        <v>1</v>
      </c>
      <c r="Y1479" s="31" cm="1">
        <f t="array" ref="Y1479">IF(LEFT(_xll.BDP($C1479, VOLUME_AVG_10D), 4) = "#N/A", "",  _xll.BDP($C1479, VOLUME_AVG_10D))</f>
        <v>5017</v>
      </c>
      <c r="Z1479" s="31" cm="1">
        <f t="array" ref="Z1479">IF(LEFT(_xll.BDP($C1479, VOLUME_AVG_30D), 4) = "#N/A", "",  _xll.BDP($C1479, VOLUME_AVG_30D))</f>
        <v>4032.63330078125</v>
      </c>
      <c r="AA1479" s="31" cm="1">
        <f t="array" ref="AA1479">IF(LEFT(_xll.BDP($C1479, VOLUME_AVG_3M), 4) = "#N/A", "",  _xll.BDP($C1479, VOLUME_AVG_3M))</f>
        <v>2976.95166015625</v>
      </c>
      <c r="AB1479" s="31" cm="1">
        <f t="array" ref="AB1479">IF(LEFT(_xll.BDP($C1479, VOLUME_AVG_6M), 4) = "#N/A", "",  _xll.BDP($C1479, VOLUME_AVG_6M))</f>
        <v>1829.65869140625</v>
      </c>
      <c r="AC1479" s="31" cm="1">
        <f t="array" ref="AC1479">IF(LEFT(_xll.BDP($C1479, VOLUME_AVG_12M), 4) = "#N/A", "",  _xll.BDP($C1479, VOLUME_AVG_12M))</f>
        <v>966.888427734375</v>
      </c>
      <c r="AD1479" s="41" cm="1">
        <f t="array" ref="AD1479">IF(LEFT(_xll.BDP($C1479, LAST_PRICE), 4) = "#N/A", "",  _xll.BDP($C1479, LAST_PRICE))</f>
        <v>0.3921</v>
      </c>
    </row>
    <row r="1480" spans="1:30" x14ac:dyDescent="0.35">
      <c r="A1480" s="1">
        <f t="shared" si="23"/>
        <v>1477</v>
      </c>
      <c r="B1480" s="28">
        <v>45700</v>
      </c>
      <c r="C1480" s="29" t="s">
        <v>3001</v>
      </c>
      <c r="D1480" s="29" t="s">
        <v>3001</v>
      </c>
      <c r="E1480" s="29" t="s">
        <v>3002</v>
      </c>
      <c r="F1480" s="29" t="s">
        <v>40</v>
      </c>
      <c r="G1480" s="30" t="s">
        <v>41</v>
      </c>
      <c r="H1480" s="31"/>
      <c r="I1480" s="31"/>
      <c r="J1480" s="32"/>
      <c r="K1480" s="33">
        <v>45700</v>
      </c>
      <c r="L1480" s="31"/>
      <c r="M1480" s="32"/>
      <c r="N1480" s="31"/>
      <c r="O1480" s="33">
        <v>45699</v>
      </c>
      <c r="P1480" s="34"/>
      <c r="Q1480" s="34"/>
      <c r="R1480" s="34"/>
      <c r="S1480" s="29"/>
      <c r="T1480" s="33"/>
      <c r="U1480" s="35" t="b">
        <v>1</v>
      </c>
      <c r="V1480" s="35" t="b">
        <v>1</v>
      </c>
      <c r="W1480" s="35" t="b">
        <v>1</v>
      </c>
      <c r="Y1480" s="31" t="str" cm="1">
        <f t="array" ref="Y1480">IF(LEFT(_xll.BDP($C1480, VOLUME_AVG_10D), 4) = "#N/A", "",  _xll.BDP($C1480, VOLUME_AVG_10D))</f>
        <v/>
      </c>
      <c r="Z1480" s="31" t="str" cm="1">
        <f t="array" ref="Z1480">IF(LEFT(_xll.BDP($C1480, VOLUME_AVG_30D), 4) = "#N/A", "",  _xll.BDP($C1480, VOLUME_AVG_30D))</f>
        <v/>
      </c>
      <c r="AA1480" s="31" t="str" cm="1">
        <f t="array" ref="AA1480">IF(LEFT(_xll.BDP($C1480, VOLUME_AVG_3M), 4) = "#N/A", "",  _xll.BDP($C1480, VOLUME_AVG_3M))</f>
        <v/>
      </c>
      <c r="AB1480" s="31" t="str" cm="1">
        <f t="array" ref="AB1480">IF(LEFT(_xll.BDP($C1480, VOLUME_AVG_6M), 4) = "#N/A", "",  _xll.BDP($C1480, VOLUME_AVG_6M))</f>
        <v/>
      </c>
      <c r="AC1480" s="31" t="str" cm="1">
        <f t="array" ref="AC1480">IF(LEFT(_xll.BDP($C1480, VOLUME_AVG_12M), 4) = "#N/A", "",  _xll.BDP($C1480, VOLUME_AVG_12M))</f>
        <v/>
      </c>
      <c r="AD1480" s="41" t="str" cm="1">
        <f t="array" ref="AD1480">IF(LEFT(_xll.BDP($C1480, LAST_PRICE), 4) = "#N/A", "",  _xll.BDP($C1480, LAST_PRICE))</f>
        <v/>
      </c>
    </row>
    <row r="1481" spans="1:30" x14ac:dyDescent="0.35">
      <c r="A1481" s="1">
        <f t="shared" si="23"/>
        <v>1478</v>
      </c>
      <c r="B1481" s="28">
        <v>45700</v>
      </c>
      <c r="C1481" s="29" t="s">
        <v>3003</v>
      </c>
      <c r="D1481" s="29" t="s">
        <v>3003</v>
      </c>
      <c r="E1481" s="29" t="s">
        <v>3004</v>
      </c>
      <c r="F1481" s="29" t="s">
        <v>33</v>
      </c>
      <c r="G1481" s="30" t="s">
        <v>34</v>
      </c>
      <c r="H1481" s="31">
        <v>7505564.03408146</v>
      </c>
      <c r="I1481" s="31">
        <v>5782183.03408146</v>
      </c>
      <c r="J1481" s="32">
        <v>10.7799997329712</v>
      </c>
      <c r="K1481" s="33">
        <v>45700</v>
      </c>
      <c r="L1481" s="31">
        <v>19000</v>
      </c>
      <c r="M1481" s="32">
        <v>-505</v>
      </c>
      <c r="N1481" s="31" t="s">
        <v>35</v>
      </c>
      <c r="O1481" s="33">
        <v>45699</v>
      </c>
      <c r="P1481" s="34">
        <v>3291510.25</v>
      </c>
      <c r="Q1481" s="34">
        <v>1624988.5</v>
      </c>
      <c r="R1481" s="34">
        <v>825897.125</v>
      </c>
      <c r="S1481" s="29"/>
      <c r="T1481" s="33"/>
      <c r="U1481" s="35" t="b">
        <v>1</v>
      </c>
      <c r="V1481" s="35" t="b">
        <v>0</v>
      </c>
      <c r="W1481" s="35" t="b">
        <v>0</v>
      </c>
      <c r="Y1481" s="31" cm="1">
        <f t="array" ref="Y1481">IF(LEFT(_xll.BDP($C1481, VOLUME_AVG_10D), 4) = "#N/A", "",  _xll.BDP($C1481, VOLUME_AVG_10D))</f>
        <v>3551444.5</v>
      </c>
      <c r="Z1481" s="31" cm="1">
        <f t="array" ref="Z1481">IF(LEFT(_xll.BDP($C1481, VOLUME_AVG_30D), 4) = "#N/A", "",  _xll.BDP($C1481, VOLUME_AVG_30D))</f>
        <v>3291510.25</v>
      </c>
      <c r="AA1481" s="31" cm="1">
        <f t="array" ref="AA1481">IF(LEFT(_xll.BDP($C1481, VOLUME_AVG_3M), 4) = "#N/A", "",  _xll.BDP($C1481, VOLUME_AVG_3M))</f>
        <v>1624988.5</v>
      </c>
      <c r="AB1481" s="31" cm="1">
        <f t="array" ref="AB1481">IF(LEFT(_xll.BDP($C1481, VOLUME_AVG_6M), 4) = "#N/A", "",  _xll.BDP($C1481, VOLUME_AVG_6M))</f>
        <v>825897.125</v>
      </c>
      <c r="AC1481" s="31" cm="1">
        <f t="array" ref="AC1481">IF(LEFT(_xll.BDP($C1481, VOLUME_AVG_12M), 4) = "#N/A", "",  _xll.BDP($C1481, VOLUME_AVG_12M))</f>
        <v>431165.84375</v>
      </c>
      <c r="AD1481" s="41" cm="1">
        <f t="array" ref="AD1481">IF(LEFT(_xll.BDP($C1481, LAST_PRICE), 4) = "#N/A", "",  _xll.BDP($C1481, LAST_PRICE))</f>
        <v>10.78</v>
      </c>
    </row>
    <row r="1482" spans="1:30" x14ac:dyDescent="0.35">
      <c r="A1482" s="1">
        <f t="shared" si="23"/>
        <v>1479</v>
      </c>
      <c r="B1482" s="28">
        <v>45700</v>
      </c>
      <c r="C1482" s="29" t="s">
        <v>3005</v>
      </c>
      <c r="D1482" s="29" t="s">
        <v>3005</v>
      </c>
      <c r="E1482" s="29" t="s">
        <v>3006</v>
      </c>
      <c r="F1482" s="29" t="s">
        <v>33</v>
      </c>
      <c r="G1482" s="30" t="s">
        <v>34</v>
      </c>
      <c r="H1482" s="31">
        <v>2333196549.1762199</v>
      </c>
      <c r="I1482" s="31">
        <v>2521248549.1762199</v>
      </c>
      <c r="J1482" s="32">
        <v>69.519996643066406</v>
      </c>
      <c r="K1482" s="33">
        <v>45700</v>
      </c>
      <c r="L1482" s="31">
        <v>5658600</v>
      </c>
      <c r="M1482" s="32">
        <v>3.88</v>
      </c>
      <c r="N1482" s="31" t="s">
        <v>35</v>
      </c>
      <c r="O1482" s="33">
        <v>45699</v>
      </c>
      <c r="P1482" s="34">
        <v>2349244</v>
      </c>
      <c r="Q1482" s="34">
        <v>2033723.375</v>
      </c>
      <c r="R1482" s="34">
        <v>1703611.125</v>
      </c>
      <c r="S1482" s="29"/>
      <c r="T1482" s="33"/>
      <c r="U1482" s="35" t="b">
        <v>0</v>
      </c>
      <c r="V1482" s="35" t="b">
        <v>0</v>
      </c>
      <c r="W1482" s="35" t="b">
        <v>0</v>
      </c>
      <c r="Y1482" s="31" cm="1">
        <f t="array" ref="Y1482">IF(LEFT(_xll.BDP($C1482, VOLUME_AVG_10D), 4) = "#N/A", "",  _xll.BDP($C1482, VOLUME_AVG_10D))</f>
        <v>1412773.75</v>
      </c>
      <c r="Z1482" s="31" cm="1">
        <f t="array" ref="Z1482">IF(LEFT(_xll.BDP($C1482, VOLUME_AVG_30D), 4) = "#N/A", "",  _xll.BDP($C1482, VOLUME_AVG_30D))</f>
        <v>2349244</v>
      </c>
      <c r="AA1482" s="31" cm="1">
        <f t="array" ref="AA1482">IF(LEFT(_xll.BDP($C1482, VOLUME_AVG_3M), 4) = "#N/A", "",  _xll.BDP($C1482, VOLUME_AVG_3M))</f>
        <v>2033723.375</v>
      </c>
      <c r="AB1482" s="31" cm="1">
        <f t="array" ref="AB1482">IF(LEFT(_xll.BDP($C1482, VOLUME_AVG_6M), 4) = "#N/A", "",  _xll.BDP($C1482, VOLUME_AVG_6M))</f>
        <v>1703611.125</v>
      </c>
      <c r="AC1482" s="31" cm="1">
        <f t="array" ref="AC1482">IF(LEFT(_xll.BDP($C1482, VOLUME_AVG_12M), 4) = "#N/A", "",  _xll.BDP($C1482, VOLUME_AVG_12M))</f>
        <v>1275500.625</v>
      </c>
      <c r="AD1482" s="41" cm="1">
        <f t="array" ref="AD1482">IF(LEFT(_xll.BDP($C1482, LAST_PRICE), 4) = "#N/A", "",  _xll.BDP($C1482, LAST_PRICE))</f>
        <v>69.52</v>
      </c>
    </row>
    <row r="1483" spans="1:30" x14ac:dyDescent="0.35">
      <c r="A1483" s="1">
        <f t="shared" si="23"/>
        <v>1480</v>
      </c>
      <c r="B1483" s="28">
        <v>45700</v>
      </c>
      <c r="C1483" s="29" t="s">
        <v>3007</v>
      </c>
      <c r="D1483" s="29" t="s">
        <v>3007</v>
      </c>
      <c r="E1483" s="29" t="s">
        <v>3008</v>
      </c>
      <c r="F1483" s="29" t="s">
        <v>33</v>
      </c>
      <c r="G1483" s="30" t="s">
        <v>34</v>
      </c>
      <c r="H1483" s="31">
        <v>2015927340.6944201</v>
      </c>
      <c r="I1483" s="31">
        <v>2140922340.6944201</v>
      </c>
      <c r="J1483" s="32">
        <v>23.200000762939499</v>
      </c>
      <c r="K1483" s="33">
        <v>45700</v>
      </c>
      <c r="L1483" s="31">
        <v>20213600</v>
      </c>
      <c r="M1483" s="32">
        <v>3.88</v>
      </c>
      <c r="N1483" s="31" t="s">
        <v>35</v>
      </c>
      <c r="O1483" s="33">
        <v>45699</v>
      </c>
      <c r="P1483" s="34">
        <v>1482606</v>
      </c>
      <c r="Q1483" s="34">
        <v>1377077.75</v>
      </c>
      <c r="R1483" s="34">
        <v>1613110.875</v>
      </c>
      <c r="S1483" s="29" t="s">
        <v>192</v>
      </c>
      <c r="T1483" s="33">
        <v>45446</v>
      </c>
      <c r="U1483" s="35" t="b">
        <v>0</v>
      </c>
      <c r="V1483" s="35" t="b">
        <v>0</v>
      </c>
      <c r="W1483" s="35" t="b">
        <v>0</v>
      </c>
      <c r="Y1483" s="31" cm="1">
        <f t="array" ref="Y1483">IF(LEFT(_xll.BDP($C1483, VOLUME_AVG_10D), 4) = "#N/A", "",  _xll.BDP($C1483, VOLUME_AVG_10D))</f>
        <v>2013873.75</v>
      </c>
      <c r="Z1483" s="31" cm="1">
        <f t="array" ref="Z1483">IF(LEFT(_xll.BDP($C1483, VOLUME_AVG_30D), 4) = "#N/A", "",  _xll.BDP($C1483, VOLUME_AVG_30D))</f>
        <v>1482606</v>
      </c>
      <c r="AA1483" s="31" cm="1">
        <f t="array" ref="AA1483">IF(LEFT(_xll.BDP($C1483, VOLUME_AVG_3M), 4) = "#N/A", "",  _xll.BDP($C1483, VOLUME_AVG_3M))</f>
        <v>1377077.75</v>
      </c>
      <c r="AB1483" s="31" cm="1">
        <f t="array" ref="AB1483">IF(LEFT(_xll.BDP($C1483, VOLUME_AVG_6M), 4) = "#N/A", "",  _xll.BDP($C1483, VOLUME_AVG_6M))</f>
        <v>1613110.875</v>
      </c>
      <c r="AC1483" s="31" cm="1">
        <f t="array" ref="AC1483">IF(LEFT(_xll.BDP($C1483, VOLUME_AVG_12M), 4) = "#N/A", "",  _xll.BDP($C1483, VOLUME_AVG_12M))</f>
        <v>1412456.375</v>
      </c>
      <c r="AD1483" s="41" cm="1">
        <f t="array" ref="AD1483">IF(LEFT(_xll.BDP($C1483, LAST_PRICE), 4) = "#N/A", "",  _xll.BDP($C1483, LAST_PRICE))</f>
        <v>23.2</v>
      </c>
    </row>
    <row r="1484" spans="1:30" x14ac:dyDescent="0.35">
      <c r="A1484" s="1">
        <f t="shared" si="23"/>
        <v>1481</v>
      </c>
      <c r="B1484" s="28">
        <v>45700</v>
      </c>
      <c r="C1484" s="29" t="s">
        <v>3009</v>
      </c>
      <c r="D1484" s="29" t="s">
        <v>3009</v>
      </c>
      <c r="E1484" s="29" t="s">
        <v>3010</v>
      </c>
      <c r="F1484" s="29" t="s">
        <v>33</v>
      </c>
      <c r="G1484" s="30" t="s">
        <v>34</v>
      </c>
      <c r="H1484" s="31">
        <v>25153536.102574799</v>
      </c>
      <c r="I1484" s="31">
        <v>19743536.102574799</v>
      </c>
      <c r="J1484" s="32">
        <v>6.8899998664856001</v>
      </c>
      <c r="K1484" s="33">
        <v>45700</v>
      </c>
      <c r="L1484" s="31">
        <v>21100</v>
      </c>
      <c r="M1484" s="32">
        <v>-62.15</v>
      </c>
      <c r="N1484" s="31" t="s">
        <v>35</v>
      </c>
      <c r="O1484" s="33">
        <v>45699</v>
      </c>
      <c r="P1484" s="34">
        <v>169459.03125</v>
      </c>
      <c r="Q1484" s="34">
        <v>558525.25</v>
      </c>
      <c r="R1484" s="34">
        <v>279970.6875</v>
      </c>
      <c r="S1484" s="29"/>
      <c r="T1484" s="33"/>
      <c r="U1484" s="35" t="b">
        <v>0</v>
      </c>
      <c r="V1484" s="35" t="b">
        <v>0</v>
      </c>
      <c r="W1484" s="35" t="b">
        <v>0</v>
      </c>
      <c r="Y1484" s="31" cm="1">
        <f t="array" ref="Y1484">IF(LEFT(_xll.BDP($C1484, VOLUME_AVG_10D), 4) = "#N/A", "",  _xll.BDP($C1484, VOLUME_AVG_10D))</f>
        <v>44181.80078125</v>
      </c>
      <c r="Z1484" s="31" cm="1">
        <f t="array" ref="Z1484">IF(LEFT(_xll.BDP($C1484, VOLUME_AVG_30D), 4) = "#N/A", "",  _xll.BDP($C1484, VOLUME_AVG_30D))</f>
        <v>169459.03125</v>
      </c>
      <c r="AA1484" s="31" cm="1">
        <f t="array" ref="AA1484">IF(LEFT(_xll.BDP($C1484, VOLUME_AVG_3M), 4) = "#N/A", "",  _xll.BDP($C1484, VOLUME_AVG_3M))</f>
        <v>558525.25</v>
      </c>
      <c r="AB1484" s="31" cm="1">
        <f t="array" ref="AB1484">IF(LEFT(_xll.BDP($C1484, VOLUME_AVG_6M), 4) = "#N/A", "",  _xll.BDP($C1484, VOLUME_AVG_6M))</f>
        <v>279970.6875</v>
      </c>
      <c r="AC1484" s="31" cm="1">
        <f t="array" ref="AC1484">IF(LEFT(_xll.BDP($C1484, VOLUME_AVG_12M), 4) = "#N/A", "",  _xll.BDP($C1484, VOLUME_AVG_12M))</f>
        <v>142791.953125</v>
      </c>
      <c r="AD1484" s="41" cm="1">
        <f t="array" ref="AD1484">IF(LEFT(_xll.BDP($C1484, LAST_PRICE), 4) = "#N/A", "",  _xll.BDP($C1484, LAST_PRICE))</f>
        <v>6.89</v>
      </c>
    </row>
    <row r="1485" spans="1:30" x14ac:dyDescent="0.35">
      <c r="A1485" s="1">
        <f t="shared" si="23"/>
        <v>1482</v>
      </c>
      <c r="B1485" s="28">
        <v>45700</v>
      </c>
      <c r="C1485" s="29" t="s">
        <v>3011</v>
      </c>
      <c r="D1485" s="29" t="s">
        <v>3011</v>
      </c>
      <c r="E1485" s="29" t="s">
        <v>3012</v>
      </c>
      <c r="F1485" s="29" t="s">
        <v>33</v>
      </c>
      <c r="G1485" s="30" t="s">
        <v>34</v>
      </c>
      <c r="H1485" s="31">
        <v>611757286.94844103</v>
      </c>
      <c r="I1485" s="31">
        <v>599284286.94844103</v>
      </c>
      <c r="J1485" s="32">
        <v>9.8199996948242205</v>
      </c>
      <c r="K1485" s="33">
        <v>45700</v>
      </c>
      <c r="L1485" s="31">
        <v>10764100</v>
      </c>
      <c r="M1485" s="32">
        <v>3.88</v>
      </c>
      <c r="N1485" s="31" t="s">
        <v>35</v>
      </c>
      <c r="O1485" s="33">
        <v>45699</v>
      </c>
      <c r="P1485" s="34">
        <v>417374.3125</v>
      </c>
      <c r="Q1485" s="34">
        <v>398138.0625</v>
      </c>
      <c r="R1485" s="34">
        <v>505742.84375</v>
      </c>
      <c r="S1485" s="29"/>
      <c r="T1485" s="33"/>
      <c r="U1485" s="35" t="b">
        <v>0</v>
      </c>
      <c r="V1485" s="35" t="b">
        <v>0</v>
      </c>
      <c r="W1485" s="35" t="b">
        <v>0</v>
      </c>
      <c r="Y1485" s="31" cm="1">
        <f t="array" ref="Y1485">IF(LEFT(_xll.BDP($C1485, VOLUME_AVG_10D), 4) = "#N/A", "",  _xll.BDP($C1485, VOLUME_AVG_10D))</f>
        <v>513902.90625</v>
      </c>
      <c r="Z1485" s="31" cm="1">
        <f t="array" ref="Z1485">IF(LEFT(_xll.BDP($C1485, VOLUME_AVG_30D), 4) = "#N/A", "",  _xll.BDP($C1485, VOLUME_AVG_30D))</f>
        <v>417374.3125</v>
      </c>
      <c r="AA1485" s="31" cm="1">
        <f t="array" ref="AA1485">IF(LEFT(_xll.BDP($C1485, VOLUME_AVG_3M), 4) = "#N/A", "",  _xll.BDP($C1485, VOLUME_AVG_3M))</f>
        <v>398138.0625</v>
      </c>
      <c r="AB1485" s="31" cm="1">
        <f t="array" ref="AB1485">IF(LEFT(_xll.BDP($C1485, VOLUME_AVG_6M), 4) = "#N/A", "",  _xll.BDP($C1485, VOLUME_AVG_6M))</f>
        <v>505742.84375</v>
      </c>
      <c r="AC1485" s="31" cm="1">
        <f t="array" ref="AC1485">IF(LEFT(_xll.BDP($C1485, VOLUME_AVG_12M), 4) = "#N/A", "",  _xll.BDP($C1485, VOLUME_AVG_12M))</f>
        <v>748806.0625</v>
      </c>
      <c r="AD1485" s="41" cm="1">
        <f t="array" ref="AD1485">IF(LEFT(_xll.BDP($C1485, LAST_PRICE), 4) = "#N/A", "",  _xll.BDP($C1485, LAST_PRICE))</f>
        <v>9.82</v>
      </c>
    </row>
    <row r="1486" spans="1:30" x14ac:dyDescent="0.35">
      <c r="A1486" s="1">
        <f t="shared" si="23"/>
        <v>1483</v>
      </c>
      <c r="B1486" s="28">
        <v>45700</v>
      </c>
      <c r="C1486" s="29" t="s">
        <v>3013</v>
      </c>
      <c r="D1486" s="29" t="s">
        <v>3013</v>
      </c>
      <c r="E1486" s="29" t="s">
        <v>3014</v>
      </c>
      <c r="F1486" s="29" t="s">
        <v>40</v>
      </c>
      <c r="G1486" s="30" t="s">
        <v>41</v>
      </c>
      <c r="H1486" s="31">
        <v>30238380.115876101</v>
      </c>
      <c r="I1486" s="31">
        <v>29522851.115876101</v>
      </c>
      <c r="J1486" s="32">
        <v>0.58999997377395597</v>
      </c>
      <c r="K1486" s="33">
        <v>45700</v>
      </c>
      <c r="L1486" s="31">
        <v>25000</v>
      </c>
      <c r="M1486" s="32">
        <v>-0.9</v>
      </c>
      <c r="N1486" s="31" t="s">
        <v>35</v>
      </c>
      <c r="O1486" s="33">
        <v>45699</v>
      </c>
      <c r="P1486" s="34">
        <v>230681.60000000001</v>
      </c>
      <c r="Q1486" s="34">
        <v>232506.3</v>
      </c>
      <c r="R1486" s="34">
        <v>296881.2</v>
      </c>
      <c r="S1486" s="29"/>
      <c r="T1486" s="33"/>
      <c r="U1486" s="35" t="b">
        <v>0</v>
      </c>
      <c r="V1486" s="35" t="b">
        <v>0</v>
      </c>
      <c r="W1486" s="35" t="b">
        <v>0</v>
      </c>
      <c r="Y1486" s="31" cm="1">
        <f t="array" ref="Y1486">IF(LEFT(_xll.BDP($C1486, VOLUME_AVG_10D), 4) = "#N/A", "",  _xll.BDP($C1486, VOLUME_AVG_10D))</f>
        <v>238861.6</v>
      </c>
      <c r="Z1486" s="31" cm="1">
        <f t="array" ref="Z1486">IF(LEFT(_xll.BDP($C1486, VOLUME_AVG_30D), 4) = "#N/A", "",  _xll.BDP($C1486, VOLUME_AVG_30D))</f>
        <v>230681.60000000001</v>
      </c>
      <c r="AA1486" s="31" cm="1">
        <f t="array" ref="AA1486">IF(LEFT(_xll.BDP($C1486, VOLUME_AVG_3M), 4) = "#N/A", "",  _xll.BDP($C1486, VOLUME_AVG_3M))</f>
        <v>232506.3</v>
      </c>
      <c r="AB1486" s="31" cm="1">
        <f t="array" ref="AB1486">IF(LEFT(_xll.BDP($C1486, VOLUME_AVG_6M), 4) = "#N/A", "",  _xll.BDP($C1486, VOLUME_AVG_6M))</f>
        <v>296881.2</v>
      </c>
      <c r="AC1486" s="31" cm="1">
        <f t="array" ref="AC1486">IF(LEFT(_xll.BDP($C1486, VOLUME_AVG_12M), 4) = "#N/A", "",  _xll.BDP($C1486, VOLUME_AVG_12M))</f>
        <v>280672</v>
      </c>
      <c r="AD1486" s="41" cm="1">
        <f t="array" ref="AD1486">IF(LEFT(_xll.BDP($C1486, LAST_PRICE), 4) = "#N/A", "",  _xll.BDP($C1486, LAST_PRICE))</f>
        <v>0.59</v>
      </c>
    </row>
    <row r="1487" spans="1:30" x14ac:dyDescent="0.35">
      <c r="A1487" s="1">
        <f t="shared" si="23"/>
        <v>1484</v>
      </c>
      <c r="B1487" s="28">
        <v>45700</v>
      </c>
      <c r="C1487" s="29" t="s">
        <v>3015</v>
      </c>
      <c r="D1487" s="29" t="s">
        <v>3015</v>
      </c>
      <c r="E1487" s="29" t="s">
        <v>3016</v>
      </c>
      <c r="F1487" s="29" t="s">
        <v>33</v>
      </c>
      <c r="G1487" s="30" t="s">
        <v>34</v>
      </c>
      <c r="H1487" s="31">
        <v>1563456.23057365</v>
      </c>
      <c r="I1487" s="31">
        <v>25665456.230573699</v>
      </c>
      <c r="J1487" s="32">
        <v>1.8099999427795399</v>
      </c>
      <c r="K1487" s="33">
        <v>45700</v>
      </c>
      <c r="L1487" s="31">
        <v>24700</v>
      </c>
      <c r="M1487" s="32">
        <v>-18.600000000000001</v>
      </c>
      <c r="N1487" s="31" t="s">
        <v>35</v>
      </c>
      <c r="O1487" s="33">
        <v>45699</v>
      </c>
      <c r="P1487" s="34">
        <v>3967.5</v>
      </c>
      <c r="Q1487" s="34">
        <v>4652.5</v>
      </c>
      <c r="R1487" s="34">
        <v>23009.9140625</v>
      </c>
      <c r="S1487" s="29"/>
      <c r="T1487" s="33"/>
      <c r="U1487" s="35" t="b">
        <v>1</v>
      </c>
      <c r="V1487" s="35" t="b">
        <v>0</v>
      </c>
      <c r="W1487" s="35" t="b">
        <v>0</v>
      </c>
      <c r="Y1487" s="31" cm="1">
        <f t="array" ref="Y1487">IF(LEFT(_xll.BDP($C1487, VOLUME_AVG_10D), 4) = "#N/A", "",  _xll.BDP($C1487, VOLUME_AVG_10D))</f>
        <v>3009.5</v>
      </c>
      <c r="Z1487" s="31" cm="1">
        <f t="array" ref="Z1487">IF(LEFT(_xll.BDP($C1487, VOLUME_AVG_30D), 4) = "#N/A", "",  _xll.BDP($C1487, VOLUME_AVG_30D))</f>
        <v>3967.5</v>
      </c>
      <c r="AA1487" s="31" cm="1">
        <f t="array" ref="AA1487">IF(LEFT(_xll.BDP($C1487, VOLUME_AVG_3M), 4) = "#N/A", "",  _xll.BDP($C1487, VOLUME_AVG_3M))</f>
        <v>4652.5</v>
      </c>
      <c r="AB1487" s="31" cm="1">
        <f t="array" ref="AB1487">IF(LEFT(_xll.BDP($C1487, VOLUME_AVG_6M), 4) = "#N/A", "",  _xll.BDP($C1487, VOLUME_AVG_6M))</f>
        <v>23009.9140625</v>
      </c>
      <c r="AC1487" s="31" cm="1">
        <f t="array" ref="AC1487">IF(LEFT(_xll.BDP($C1487, VOLUME_AVG_12M), 4) = "#N/A", "",  _xll.BDP($C1487, VOLUME_AVG_12M))</f>
        <v>23582.765625</v>
      </c>
      <c r="AD1487" s="41" cm="1">
        <f t="array" ref="AD1487">IF(LEFT(_xll.BDP($C1487, LAST_PRICE), 4) = "#N/A", "",  _xll.BDP($C1487, LAST_PRICE))</f>
        <v>1.81</v>
      </c>
    </row>
    <row r="1488" spans="1:30" x14ac:dyDescent="0.35">
      <c r="A1488" s="1">
        <f t="shared" si="23"/>
        <v>1485</v>
      </c>
      <c r="B1488" s="28">
        <v>45700</v>
      </c>
      <c r="C1488" s="29" t="s">
        <v>3017</v>
      </c>
      <c r="D1488" s="29" t="s">
        <v>3017</v>
      </c>
      <c r="E1488" s="29" t="s">
        <v>3018</v>
      </c>
      <c r="F1488" s="29" t="s">
        <v>33</v>
      </c>
      <c r="G1488" s="30" t="s">
        <v>34</v>
      </c>
      <c r="H1488" s="31">
        <v>356215235.52596599</v>
      </c>
      <c r="I1488" s="31">
        <v>291835235.52596599</v>
      </c>
      <c r="J1488" s="32">
        <v>4.0500001907348597</v>
      </c>
      <c r="K1488" s="33">
        <v>45700</v>
      </c>
      <c r="L1488" s="31">
        <v>8926300</v>
      </c>
      <c r="M1488" s="32">
        <v>3.88</v>
      </c>
      <c r="N1488" s="31" t="s">
        <v>35</v>
      </c>
      <c r="O1488" s="33">
        <v>45699</v>
      </c>
      <c r="P1488" s="34">
        <v>522057.875</v>
      </c>
      <c r="Q1488" s="34">
        <v>1733406.875</v>
      </c>
      <c r="R1488" s="34">
        <v>1042948.6875</v>
      </c>
      <c r="S1488" s="29"/>
      <c r="T1488" s="33"/>
      <c r="U1488" s="35" t="b">
        <v>0</v>
      </c>
      <c r="V1488" s="35" t="b">
        <v>0</v>
      </c>
      <c r="W1488" s="35" t="b">
        <v>0</v>
      </c>
      <c r="Y1488" s="31" cm="1">
        <f t="array" ref="Y1488">IF(LEFT(_xll.BDP($C1488, VOLUME_AVG_10D), 4) = "#N/A", "",  _xll.BDP($C1488, VOLUME_AVG_10D))</f>
        <v>505688.59375</v>
      </c>
      <c r="Z1488" s="31" cm="1">
        <f t="array" ref="Z1488">IF(LEFT(_xll.BDP($C1488, VOLUME_AVG_30D), 4) = "#N/A", "",  _xll.BDP($C1488, VOLUME_AVG_30D))</f>
        <v>522057.875</v>
      </c>
      <c r="AA1488" s="31" cm="1">
        <f t="array" ref="AA1488">IF(LEFT(_xll.BDP($C1488, VOLUME_AVG_3M), 4) = "#N/A", "",  _xll.BDP($C1488, VOLUME_AVG_3M))</f>
        <v>1733406.875</v>
      </c>
      <c r="AB1488" s="31" cm="1">
        <f t="array" ref="AB1488">IF(LEFT(_xll.BDP($C1488, VOLUME_AVG_6M), 4) = "#N/A", "",  _xll.BDP($C1488, VOLUME_AVG_6M))</f>
        <v>1042948.6875</v>
      </c>
      <c r="AC1488" s="31" cm="1">
        <f t="array" ref="AC1488">IF(LEFT(_xll.BDP($C1488, VOLUME_AVG_12M), 4) = "#N/A", "",  _xll.BDP($C1488, VOLUME_AVG_12M))</f>
        <v>656836.6875</v>
      </c>
      <c r="AD1488" s="41" cm="1">
        <f t="array" ref="AD1488">IF(LEFT(_xll.BDP($C1488, LAST_PRICE), 4) = "#N/A", "",  _xll.BDP($C1488, LAST_PRICE))</f>
        <v>4.05</v>
      </c>
    </row>
    <row r="1489" spans="1:30" x14ac:dyDescent="0.35">
      <c r="A1489" s="1">
        <f t="shared" si="23"/>
        <v>1486</v>
      </c>
      <c r="B1489" s="28">
        <v>45700</v>
      </c>
      <c r="C1489" s="29" t="s">
        <v>3019</v>
      </c>
      <c r="D1489" s="29" t="s">
        <v>3019</v>
      </c>
      <c r="E1489" s="29" t="s">
        <v>3020</v>
      </c>
      <c r="F1489" s="29" t="s">
        <v>33</v>
      </c>
      <c r="G1489" s="30" t="s">
        <v>34</v>
      </c>
      <c r="H1489" s="31">
        <v>5807550.7191248396</v>
      </c>
      <c r="I1489" s="31">
        <v>83416550.719124898</v>
      </c>
      <c r="J1489" s="32">
        <v>0.75999999046325695</v>
      </c>
      <c r="K1489" s="33">
        <v>45700</v>
      </c>
      <c r="L1489" s="31">
        <v>260500</v>
      </c>
      <c r="M1489" s="32">
        <v>-85.65</v>
      </c>
      <c r="N1489" s="31" t="s">
        <v>35</v>
      </c>
      <c r="O1489" s="33">
        <v>45699</v>
      </c>
      <c r="P1489" s="34">
        <v>4332678</v>
      </c>
      <c r="Q1489" s="34">
        <v>2183416.75</v>
      </c>
      <c r="R1489" s="34">
        <v>1769856.125</v>
      </c>
      <c r="S1489" s="29"/>
      <c r="T1489" s="33"/>
      <c r="U1489" s="35" t="b">
        <v>1</v>
      </c>
      <c r="V1489" s="35" t="b">
        <v>0</v>
      </c>
      <c r="W1489" s="35" t="b">
        <v>0</v>
      </c>
      <c r="Y1489" s="31" cm="1">
        <f t="array" ref="Y1489">IF(LEFT(_xll.BDP($C1489, VOLUME_AVG_10D), 4) = "#N/A", "",  _xll.BDP($C1489, VOLUME_AVG_10D))</f>
        <v>836775</v>
      </c>
      <c r="Z1489" s="31" cm="1">
        <f t="array" ref="Z1489">IF(LEFT(_xll.BDP($C1489, VOLUME_AVG_30D), 4) = "#N/A", "",  _xll.BDP($C1489, VOLUME_AVG_30D))</f>
        <v>4332678</v>
      </c>
      <c r="AA1489" s="31" cm="1">
        <f t="array" ref="AA1489">IF(LEFT(_xll.BDP($C1489, VOLUME_AVG_3M), 4) = "#N/A", "",  _xll.BDP($C1489, VOLUME_AVG_3M))</f>
        <v>2183416.75</v>
      </c>
      <c r="AB1489" s="31" cm="1">
        <f t="array" ref="AB1489">IF(LEFT(_xll.BDP($C1489, VOLUME_AVG_6M), 4) = "#N/A", "",  _xll.BDP($C1489, VOLUME_AVG_6M))</f>
        <v>1769856.125</v>
      </c>
      <c r="AC1489" s="31" cm="1">
        <f t="array" ref="AC1489">IF(LEFT(_xll.BDP($C1489, VOLUME_AVG_12M), 4) = "#N/A", "",  _xll.BDP($C1489, VOLUME_AVG_12M))</f>
        <v>906626.0625</v>
      </c>
      <c r="AD1489" s="41" cm="1">
        <f t="array" ref="AD1489">IF(LEFT(_xll.BDP($C1489, LAST_PRICE), 4) = "#N/A", "",  _xll.BDP($C1489, LAST_PRICE))</f>
        <v>0.76</v>
      </c>
    </row>
    <row r="1490" spans="1:30" x14ac:dyDescent="0.35">
      <c r="A1490" s="1">
        <f t="shared" si="23"/>
        <v>1487</v>
      </c>
      <c r="B1490" s="28">
        <v>45700</v>
      </c>
      <c r="C1490" s="29" t="s">
        <v>3021</v>
      </c>
      <c r="D1490" s="29" t="s">
        <v>3021</v>
      </c>
      <c r="E1490" s="29" t="s">
        <v>3022</v>
      </c>
      <c r="F1490" s="29" t="s">
        <v>33</v>
      </c>
      <c r="G1490" s="30" t="s">
        <v>34</v>
      </c>
      <c r="H1490" s="31">
        <v>171066508.25127301</v>
      </c>
      <c r="I1490" s="31">
        <v>199439528.25127301</v>
      </c>
      <c r="J1490" s="32">
        <v>5.6100001335143999</v>
      </c>
      <c r="K1490" s="33">
        <v>45700</v>
      </c>
      <c r="L1490" s="31">
        <v>153500</v>
      </c>
      <c r="M1490" s="32">
        <v>-14.05</v>
      </c>
      <c r="N1490" s="31" t="s">
        <v>35</v>
      </c>
      <c r="O1490" s="33">
        <v>45699</v>
      </c>
      <c r="P1490" s="34">
        <v>32450.333984375</v>
      </c>
      <c r="Q1490" s="34">
        <v>41862.85546875</v>
      </c>
      <c r="R1490" s="34">
        <v>44301.81640625</v>
      </c>
      <c r="S1490" s="29"/>
      <c r="T1490" s="33"/>
      <c r="U1490" s="35" t="b">
        <v>0</v>
      </c>
      <c r="V1490" s="35" t="b">
        <v>0</v>
      </c>
      <c r="W1490" s="35" t="b">
        <v>0</v>
      </c>
      <c r="Y1490" s="31" cm="1">
        <f t="array" ref="Y1490">IF(LEFT(_xll.BDP($C1490, VOLUME_AVG_10D), 4) = "#N/A", "",  _xll.BDP($C1490, VOLUME_AVG_10D))</f>
        <v>42947.30078125</v>
      </c>
      <c r="Z1490" s="31" cm="1">
        <f t="array" ref="Z1490">IF(LEFT(_xll.BDP($C1490, VOLUME_AVG_30D), 4) = "#N/A", "",  _xll.BDP($C1490, VOLUME_AVG_30D))</f>
        <v>32450.333984375</v>
      </c>
      <c r="AA1490" s="31" cm="1">
        <f t="array" ref="AA1490">IF(LEFT(_xll.BDP($C1490, VOLUME_AVG_3M), 4) = "#N/A", "",  _xll.BDP($C1490, VOLUME_AVG_3M))</f>
        <v>41862.85546875</v>
      </c>
      <c r="AB1490" s="31" cm="1">
        <f t="array" ref="AB1490">IF(LEFT(_xll.BDP($C1490, VOLUME_AVG_6M), 4) = "#N/A", "",  _xll.BDP($C1490, VOLUME_AVG_6M))</f>
        <v>44301.81640625</v>
      </c>
      <c r="AC1490" s="31" cm="1">
        <f t="array" ref="AC1490">IF(LEFT(_xll.BDP($C1490, VOLUME_AVG_12M), 4) = "#N/A", "",  _xll.BDP($C1490, VOLUME_AVG_12M))</f>
        <v>40520.046875</v>
      </c>
      <c r="AD1490" s="41" cm="1">
        <f t="array" ref="AD1490">IF(LEFT(_xll.BDP($C1490, LAST_PRICE), 4) = "#N/A", "",  _xll.BDP($C1490, LAST_PRICE))</f>
        <v>5.61</v>
      </c>
    </row>
    <row r="1491" spans="1:30" x14ac:dyDescent="0.35">
      <c r="A1491" s="1">
        <f t="shared" si="23"/>
        <v>1488</v>
      </c>
      <c r="B1491" s="28">
        <v>45700</v>
      </c>
      <c r="C1491" s="29" t="s">
        <v>3023</v>
      </c>
      <c r="D1491" s="29" t="s">
        <v>3023</v>
      </c>
      <c r="E1491" s="29" t="s">
        <v>3024</v>
      </c>
      <c r="F1491" s="29" t="s">
        <v>33</v>
      </c>
      <c r="G1491" s="30" t="s">
        <v>34</v>
      </c>
      <c r="H1491" s="31">
        <v>397902470.56261402</v>
      </c>
      <c r="I1491" s="31">
        <v>569185470.56261396</v>
      </c>
      <c r="J1491" s="32">
        <v>26.659999847412099</v>
      </c>
      <c r="K1491" s="33">
        <v>45700</v>
      </c>
      <c r="L1491" s="31">
        <v>2041800</v>
      </c>
      <c r="M1491" s="32">
        <v>3.88</v>
      </c>
      <c r="N1491" s="31" t="s">
        <v>35</v>
      </c>
      <c r="O1491" s="33">
        <v>45699</v>
      </c>
      <c r="P1491" s="34">
        <v>118903.265625</v>
      </c>
      <c r="Q1491" s="34">
        <v>90589.2421875</v>
      </c>
      <c r="R1491" s="34">
        <v>72916.671875</v>
      </c>
      <c r="S1491" s="29"/>
      <c r="T1491" s="33"/>
      <c r="U1491" s="35" t="b">
        <v>0</v>
      </c>
      <c r="V1491" s="35" t="b">
        <v>0</v>
      </c>
      <c r="W1491" s="35" t="b">
        <v>0</v>
      </c>
      <c r="Y1491" s="31" cm="1">
        <f t="array" ref="Y1491">IF(LEFT(_xll.BDP($C1491, VOLUME_AVG_10D), 4) = "#N/A", "",  _xll.BDP($C1491, VOLUME_AVG_10D))</f>
        <v>155862.203125</v>
      </c>
      <c r="Z1491" s="31" cm="1">
        <f t="array" ref="Z1491">IF(LEFT(_xll.BDP($C1491, VOLUME_AVG_30D), 4) = "#N/A", "",  _xll.BDP($C1491, VOLUME_AVG_30D))</f>
        <v>118903.265625</v>
      </c>
      <c r="AA1491" s="31" cm="1">
        <f t="array" ref="AA1491">IF(LEFT(_xll.BDP($C1491, VOLUME_AVG_3M), 4) = "#N/A", "",  _xll.BDP($C1491, VOLUME_AVG_3M))</f>
        <v>90589.2421875</v>
      </c>
      <c r="AB1491" s="31" cm="1">
        <f t="array" ref="AB1491">IF(LEFT(_xll.BDP($C1491, VOLUME_AVG_6M), 4) = "#N/A", "",  _xll.BDP($C1491, VOLUME_AVG_6M))</f>
        <v>72916.671875</v>
      </c>
      <c r="AC1491" s="31" cm="1">
        <f t="array" ref="AC1491">IF(LEFT(_xll.BDP($C1491, VOLUME_AVG_12M), 4) = "#N/A", "",  _xll.BDP($C1491, VOLUME_AVG_12M))</f>
        <v>135440.390625</v>
      </c>
      <c r="AD1491" s="41" cm="1">
        <f t="array" ref="AD1491">IF(LEFT(_xll.BDP($C1491, LAST_PRICE), 4) = "#N/A", "",  _xll.BDP($C1491, LAST_PRICE))</f>
        <v>26.66</v>
      </c>
    </row>
    <row r="1492" spans="1:30" x14ac:dyDescent="0.35">
      <c r="A1492" s="1">
        <f t="shared" si="23"/>
        <v>1489</v>
      </c>
      <c r="B1492" s="28">
        <v>45700</v>
      </c>
      <c r="C1492" s="29" t="s">
        <v>3025</v>
      </c>
      <c r="D1492" s="29" t="s">
        <v>3025</v>
      </c>
      <c r="E1492" s="29" t="s">
        <v>3026</v>
      </c>
      <c r="F1492" s="29" t="s">
        <v>40</v>
      </c>
      <c r="G1492" s="30" t="s">
        <v>41</v>
      </c>
      <c r="H1492" s="31">
        <v>1262549288.90204</v>
      </c>
      <c r="I1492" s="31">
        <v>1246918003.9031</v>
      </c>
      <c r="J1492" s="32">
        <v>6.6100001335143999</v>
      </c>
      <c r="K1492" s="33">
        <v>45700</v>
      </c>
      <c r="L1492" s="31"/>
      <c r="M1492" s="32"/>
      <c r="N1492" s="31"/>
      <c r="O1492" s="33">
        <v>45699</v>
      </c>
      <c r="P1492" s="34">
        <v>382396.1</v>
      </c>
      <c r="Q1492" s="34">
        <v>575309.6</v>
      </c>
      <c r="R1492" s="34">
        <v>478467.1</v>
      </c>
      <c r="S1492" s="29"/>
      <c r="T1492" s="33"/>
      <c r="U1492" s="35" t="b">
        <v>0</v>
      </c>
      <c r="V1492" s="35" t="b">
        <v>0</v>
      </c>
      <c r="W1492" s="35" t="b">
        <v>0</v>
      </c>
      <c r="Y1492" s="31" cm="1">
        <f t="array" ref="Y1492">IF(LEFT(_xll.BDP($C1492, VOLUME_AVG_10D), 4) = "#N/A", "",  _xll.BDP($C1492, VOLUME_AVG_10D))</f>
        <v>468552.3</v>
      </c>
      <c r="Z1492" s="31" cm="1">
        <f t="array" ref="Z1492">IF(LEFT(_xll.BDP($C1492, VOLUME_AVG_30D), 4) = "#N/A", "",  _xll.BDP($C1492, VOLUME_AVG_30D))</f>
        <v>382396.1</v>
      </c>
      <c r="AA1492" s="31" cm="1">
        <f t="array" ref="AA1492">IF(LEFT(_xll.BDP($C1492, VOLUME_AVG_3M), 4) = "#N/A", "",  _xll.BDP($C1492, VOLUME_AVG_3M))</f>
        <v>575309.6</v>
      </c>
      <c r="AB1492" s="31" cm="1">
        <f t="array" ref="AB1492">IF(LEFT(_xll.BDP($C1492, VOLUME_AVG_6M), 4) = "#N/A", "",  _xll.BDP($C1492, VOLUME_AVG_6M))</f>
        <v>478467.1</v>
      </c>
      <c r="AC1492" s="31" cm="1">
        <f t="array" ref="AC1492">IF(LEFT(_xll.BDP($C1492, VOLUME_AVG_12M), 4) = "#N/A", "",  _xll.BDP($C1492, VOLUME_AVG_12M))</f>
        <v>430939</v>
      </c>
      <c r="AD1492" s="41" cm="1">
        <f t="array" ref="AD1492">IF(LEFT(_xll.BDP($C1492, LAST_PRICE), 4) = "#N/A", "",  _xll.BDP($C1492, LAST_PRICE))</f>
        <v>6.61</v>
      </c>
    </row>
    <row r="1493" spans="1:30" x14ac:dyDescent="0.35">
      <c r="A1493" s="1">
        <f t="shared" si="23"/>
        <v>1490</v>
      </c>
      <c r="B1493" s="28">
        <v>45700</v>
      </c>
      <c r="C1493" s="29" t="s">
        <v>3027</v>
      </c>
      <c r="D1493" s="29" t="s">
        <v>3027</v>
      </c>
      <c r="E1493" s="29" t="s">
        <v>3028</v>
      </c>
      <c r="F1493" s="29" t="s">
        <v>33</v>
      </c>
      <c r="G1493" s="30" t="s">
        <v>34</v>
      </c>
      <c r="H1493" s="31">
        <v>112611947.741202</v>
      </c>
      <c r="I1493" s="31">
        <v>13000947.7412019</v>
      </c>
      <c r="J1493" s="32">
        <v>2.1099998950958301</v>
      </c>
      <c r="K1493" s="33">
        <v>45700</v>
      </c>
      <c r="L1493" s="31">
        <v>6836200</v>
      </c>
      <c r="M1493" s="32">
        <v>3.88</v>
      </c>
      <c r="N1493" s="31" t="s">
        <v>35</v>
      </c>
      <c r="O1493" s="33">
        <v>45699</v>
      </c>
      <c r="P1493" s="34">
        <v>300127.90625</v>
      </c>
      <c r="Q1493" s="34">
        <v>398389.40625</v>
      </c>
      <c r="R1493" s="34">
        <v>310613.0625</v>
      </c>
      <c r="S1493" s="29" t="s">
        <v>46</v>
      </c>
      <c r="T1493" s="33">
        <v>45446</v>
      </c>
      <c r="U1493" s="35" t="b">
        <v>0</v>
      </c>
      <c r="V1493" s="35" t="b">
        <v>0</v>
      </c>
      <c r="W1493" s="35" t="b">
        <v>0</v>
      </c>
      <c r="Y1493" s="31" cm="1">
        <f t="array" ref="Y1493">IF(LEFT(_xll.BDP($C1493, VOLUME_AVG_10D), 4) = "#N/A", "",  _xll.BDP($C1493, VOLUME_AVG_10D))</f>
        <v>220983.5</v>
      </c>
      <c r="Z1493" s="31" cm="1">
        <f t="array" ref="Z1493">IF(LEFT(_xll.BDP($C1493, VOLUME_AVG_30D), 4) = "#N/A", "",  _xll.BDP($C1493, VOLUME_AVG_30D))</f>
        <v>300127.90625</v>
      </c>
      <c r="AA1493" s="31" cm="1">
        <f t="array" ref="AA1493">IF(LEFT(_xll.BDP($C1493, VOLUME_AVG_3M), 4) = "#N/A", "",  _xll.BDP($C1493, VOLUME_AVG_3M))</f>
        <v>398389.40625</v>
      </c>
      <c r="AB1493" s="31" cm="1">
        <f t="array" ref="AB1493">IF(LEFT(_xll.BDP($C1493, VOLUME_AVG_6M), 4) = "#N/A", "",  _xll.BDP($C1493, VOLUME_AVG_6M))</f>
        <v>310613.0625</v>
      </c>
      <c r="AC1493" s="31" cm="1">
        <f t="array" ref="AC1493">IF(LEFT(_xll.BDP($C1493, VOLUME_AVG_12M), 4) = "#N/A", "",  _xll.BDP($C1493, VOLUME_AVG_12M))</f>
        <v>298891.625</v>
      </c>
      <c r="AD1493" s="41" cm="1">
        <f t="array" ref="AD1493">IF(LEFT(_xll.BDP($C1493, LAST_PRICE), 4) = "#N/A", "",  _xll.BDP($C1493, LAST_PRICE))</f>
        <v>2.11</v>
      </c>
    </row>
    <row r="1494" spans="1:30" x14ac:dyDescent="0.35">
      <c r="A1494" s="1">
        <f t="shared" si="23"/>
        <v>1491</v>
      </c>
      <c r="B1494" s="28">
        <v>45700</v>
      </c>
      <c r="C1494" s="29" t="s">
        <v>3029</v>
      </c>
      <c r="D1494" s="29" t="s">
        <v>3029</v>
      </c>
      <c r="E1494" s="29" t="s">
        <v>3030</v>
      </c>
      <c r="F1494" s="29" t="s">
        <v>33</v>
      </c>
      <c r="G1494" s="30" t="s">
        <v>34</v>
      </c>
      <c r="H1494" s="31">
        <v>192394592.26513299</v>
      </c>
      <c r="I1494" s="31"/>
      <c r="J1494" s="32">
        <v>4.5500001907348597</v>
      </c>
      <c r="K1494" s="33">
        <v>45700</v>
      </c>
      <c r="L1494" s="31">
        <v>126800</v>
      </c>
      <c r="M1494" s="32">
        <v>-24.2</v>
      </c>
      <c r="N1494" s="31" t="s">
        <v>35</v>
      </c>
      <c r="O1494" s="33">
        <v>45699</v>
      </c>
      <c r="P1494" s="34">
        <v>208455.328125</v>
      </c>
      <c r="Q1494" s="34">
        <v>336600.6875</v>
      </c>
      <c r="R1494" s="34">
        <v>211693.859375</v>
      </c>
      <c r="S1494" s="29"/>
      <c r="T1494" s="33"/>
      <c r="U1494" s="35" t="b">
        <v>0</v>
      </c>
      <c r="V1494" s="35" t="b">
        <v>0</v>
      </c>
      <c r="W1494" s="35" t="b">
        <v>1</v>
      </c>
      <c r="Y1494" s="31" cm="1">
        <f t="array" ref="Y1494">IF(LEFT(_xll.BDP($C1494, VOLUME_AVG_10D), 4) = "#N/A", "",  _xll.BDP($C1494, VOLUME_AVG_10D))</f>
        <v>253820.203125</v>
      </c>
      <c r="Z1494" s="31" cm="1">
        <f t="array" ref="Z1494">IF(LEFT(_xll.BDP($C1494, VOLUME_AVG_30D), 4) = "#N/A", "",  _xll.BDP($C1494, VOLUME_AVG_30D))</f>
        <v>208455.328125</v>
      </c>
      <c r="AA1494" s="31" cm="1">
        <f t="array" ref="AA1494">IF(LEFT(_xll.BDP($C1494, VOLUME_AVG_3M), 4) = "#N/A", "",  _xll.BDP($C1494, VOLUME_AVG_3M))</f>
        <v>336600.6875</v>
      </c>
      <c r="AB1494" s="31" cm="1">
        <f t="array" ref="AB1494">IF(LEFT(_xll.BDP($C1494, VOLUME_AVG_6M), 4) = "#N/A", "",  _xll.BDP($C1494, VOLUME_AVG_6M))</f>
        <v>211693.859375</v>
      </c>
      <c r="AC1494" s="31" cm="1">
        <f t="array" ref="AC1494">IF(LEFT(_xll.BDP($C1494, VOLUME_AVG_12M), 4) = "#N/A", "",  _xll.BDP($C1494, VOLUME_AVG_12M))</f>
        <v>291045.59375</v>
      </c>
      <c r="AD1494" s="41" cm="1">
        <f t="array" ref="AD1494">IF(LEFT(_xll.BDP($C1494, LAST_PRICE), 4) = "#N/A", "",  _xll.BDP($C1494, LAST_PRICE))</f>
        <v>4.55</v>
      </c>
    </row>
    <row r="1495" spans="1:30" x14ac:dyDescent="0.35">
      <c r="A1495" s="1">
        <f t="shared" si="23"/>
        <v>1492</v>
      </c>
      <c r="B1495" s="28">
        <v>45700</v>
      </c>
      <c r="C1495" s="29" t="s">
        <v>3031</v>
      </c>
      <c r="D1495" s="29" t="s">
        <v>3031</v>
      </c>
      <c r="E1495" s="29" t="s">
        <v>3032</v>
      </c>
      <c r="F1495" s="29" t="s">
        <v>33</v>
      </c>
      <c r="G1495" s="30" t="s">
        <v>34</v>
      </c>
      <c r="H1495" s="31"/>
      <c r="I1495" s="31"/>
      <c r="J1495" s="32"/>
      <c r="K1495" s="33">
        <v>45700</v>
      </c>
      <c r="L1495" s="31"/>
      <c r="M1495" s="32"/>
      <c r="N1495" s="31"/>
      <c r="O1495" s="33">
        <v>45699</v>
      </c>
      <c r="P1495" s="34"/>
      <c r="Q1495" s="34"/>
      <c r="R1495" s="34"/>
      <c r="S1495" s="29"/>
      <c r="T1495" s="33"/>
      <c r="U1495" s="35" t="b">
        <v>1</v>
      </c>
      <c r="V1495" s="35" t="b">
        <v>1</v>
      </c>
      <c r="W1495" s="35" t="b">
        <v>1</v>
      </c>
      <c r="Y1495" s="31" t="str" cm="1">
        <f t="array" ref="Y1495">IF(LEFT(_xll.BDP($C1495, VOLUME_AVG_10D), 4) = "#N/A", "",  _xll.BDP($C1495, VOLUME_AVG_10D))</f>
        <v/>
      </c>
      <c r="Z1495" s="31" t="str" cm="1">
        <f t="array" ref="Z1495">IF(LEFT(_xll.BDP($C1495, VOLUME_AVG_30D), 4) = "#N/A", "",  _xll.BDP($C1495, VOLUME_AVG_30D))</f>
        <v/>
      </c>
      <c r="AA1495" s="31" t="str" cm="1">
        <f t="array" ref="AA1495">IF(LEFT(_xll.BDP($C1495, VOLUME_AVG_3M), 4) = "#N/A", "",  _xll.BDP($C1495, VOLUME_AVG_3M))</f>
        <v/>
      </c>
      <c r="AB1495" s="31" t="str" cm="1">
        <f t="array" ref="AB1495">IF(LEFT(_xll.BDP($C1495, VOLUME_AVG_6M), 4) = "#N/A", "",  _xll.BDP($C1495, VOLUME_AVG_6M))</f>
        <v/>
      </c>
      <c r="AC1495" s="31" t="str" cm="1">
        <f t="array" ref="AC1495">IF(LEFT(_xll.BDP($C1495, VOLUME_AVG_12M), 4) = "#N/A", "",  _xll.BDP($C1495, VOLUME_AVG_12M))</f>
        <v/>
      </c>
      <c r="AD1495" s="41" t="str" cm="1">
        <f t="array" ref="AD1495">IF(LEFT(_xll.BDP($C1495, LAST_PRICE), 4) = "#N/A", "",  _xll.BDP($C1495, LAST_PRICE))</f>
        <v/>
      </c>
    </row>
    <row r="1496" spans="1:30" x14ac:dyDescent="0.35">
      <c r="A1496" s="1">
        <f t="shared" si="23"/>
        <v>1493</v>
      </c>
      <c r="B1496" s="28">
        <v>45700</v>
      </c>
      <c r="C1496" s="29" t="s">
        <v>3033</v>
      </c>
      <c r="D1496" s="29" t="s">
        <v>3033</v>
      </c>
      <c r="E1496" s="29" t="s">
        <v>3034</v>
      </c>
      <c r="F1496" s="29" t="s">
        <v>33</v>
      </c>
      <c r="G1496" s="30" t="s">
        <v>34</v>
      </c>
      <c r="H1496" s="31">
        <v>9047851.3437591791</v>
      </c>
      <c r="I1496" s="31">
        <v>-82515148.656240806</v>
      </c>
      <c r="J1496" s="32">
        <v>0.39120000600814803</v>
      </c>
      <c r="K1496" s="33">
        <v>45700</v>
      </c>
      <c r="L1496" s="31">
        <v>775800</v>
      </c>
      <c r="M1496" s="32">
        <v>-2</v>
      </c>
      <c r="N1496" s="31" t="s">
        <v>35</v>
      </c>
      <c r="O1496" s="33">
        <v>45699</v>
      </c>
      <c r="P1496" s="34">
        <v>295906.09375</v>
      </c>
      <c r="Q1496" s="34">
        <v>203459.578125</v>
      </c>
      <c r="R1496" s="34">
        <v>314591.3125</v>
      </c>
      <c r="S1496" s="29"/>
      <c r="T1496" s="33"/>
      <c r="U1496" s="35" t="b">
        <v>1</v>
      </c>
      <c r="V1496" s="35" t="b">
        <v>0</v>
      </c>
      <c r="W1496" s="35" t="b">
        <v>1</v>
      </c>
      <c r="Y1496" s="31" cm="1">
        <f t="array" ref="Y1496">IF(LEFT(_xll.BDP($C1496, VOLUME_AVG_10D), 4) = "#N/A", "",  _xll.BDP($C1496, VOLUME_AVG_10D))</f>
        <v>553686</v>
      </c>
      <c r="Z1496" s="31" cm="1">
        <f t="array" ref="Z1496">IF(LEFT(_xll.BDP($C1496, VOLUME_AVG_30D), 4) = "#N/A", "",  _xll.BDP($C1496, VOLUME_AVG_30D))</f>
        <v>295906.09375</v>
      </c>
      <c r="AA1496" s="31" cm="1">
        <f t="array" ref="AA1496">IF(LEFT(_xll.BDP($C1496, VOLUME_AVG_3M), 4) = "#N/A", "",  _xll.BDP($C1496, VOLUME_AVG_3M))</f>
        <v>203459.578125</v>
      </c>
      <c r="AB1496" s="31" cm="1">
        <f t="array" ref="AB1496">IF(LEFT(_xll.BDP($C1496, VOLUME_AVG_6M), 4) = "#N/A", "",  _xll.BDP($C1496, VOLUME_AVG_6M))</f>
        <v>314591.3125</v>
      </c>
      <c r="AC1496" s="31" cm="1">
        <f t="array" ref="AC1496">IF(LEFT(_xll.BDP($C1496, VOLUME_AVG_12M), 4) = "#N/A", "",  _xll.BDP($C1496, VOLUME_AVG_12M))</f>
        <v>231343.5625</v>
      </c>
      <c r="AD1496" s="41" cm="1">
        <f t="array" ref="AD1496">IF(LEFT(_xll.BDP($C1496, LAST_PRICE), 4) = "#N/A", "",  _xll.BDP($C1496, LAST_PRICE))</f>
        <v>0.39119999999999999</v>
      </c>
    </row>
    <row r="1497" spans="1:30" x14ac:dyDescent="0.35">
      <c r="A1497" s="1">
        <f t="shared" si="23"/>
        <v>1494</v>
      </c>
      <c r="B1497" s="28">
        <v>45700</v>
      </c>
      <c r="C1497" s="29" t="s">
        <v>3035</v>
      </c>
      <c r="D1497" s="29" t="s">
        <v>3035</v>
      </c>
      <c r="E1497" s="29" t="s">
        <v>3036</v>
      </c>
      <c r="F1497" s="29" t="s">
        <v>33</v>
      </c>
      <c r="G1497" s="30" t="s">
        <v>34</v>
      </c>
      <c r="H1497" s="31">
        <v>2706372248.8257098</v>
      </c>
      <c r="I1497" s="31">
        <v>2518161248.8257098</v>
      </c>
      <c r="J1497" s="32">
        <v>45.369998931884801</v>
      </c>
      <c r="K1497" s="33">
        <v>45700</v>
      </c>
      <c r="L1497" s="31">
        <v>18839600</v>
      </c>
      <c r="M1497" s="32">
        <v>3.88</v>
      </c>
      <c r="N1497" s="31" t="s">
        <v>35</v>
      </c>
      <c r="O1497" s="33">
        <v>45699</v>
      </c>
      <c r="P1497" s="34">
        <v>803278.1875</v>
      </c>
      <c r="Q1497" s="34">
        <v>872825.1875</v>
      </c>
      <c r="R1497" s="34">
        <v>774194</v>
      </c>
      <c r="S1497" s="29" t="s">
        <v>3037</v>
      </c>
      <c r="T1497" s="33">
        <v>45215</v>
      </c>
      <c r="U1497" s="35" t="b">
        <v>0</v>
      </c>
      <c r="V1497" s="35" t="b">
        <v>0</v>
      </c>
      <c r="W1497" s="35" t="b">
        <v>0</v>
      </c>
      <c r="Y1497" s="31" cm="1">
        <f t="array" ref="Y1497">IF(LEFT(_xll.BDP($C1497, VOLUME_AVG_10D), 4) = "#N/A", "",  _xll.BDP($C1497, VOLUME_AVG_10D))</f>
        <v>1050806.375</v>
      </c>
      <c r="Z1497" s="31" cm="1">
        <f t="array" ref="Z1497">IF(LEFT(_xll.BDP($C1497, VOLUME_AVG_30D), 4) = "#N/A", "",  _xll.BDP($C1497, VOLUME_AVG_30D))</f>
        <v>803278.1875</v>
      </c>
      <c r="AA1497" s="31" cm="1">
        <f t="array" ref="AA1497">IF(LEFT(_xll.BDP($C1497, VOLUME_AVG_3M), 4) = "#N/A", "",  _xll.BDP($C1497, VOLUME_AVG_3M))</f>
        <v>872825.1875</v>
      </c>
      <c r="AB1497" s="31" cm="1">
        <f t="array" ref="AB1497">IF(LEFT(_xll.BDP($C1497, VOLUME_AVG_6M), 4) = "#N/A", "",  _xll.BDP($C1497, VOLUME_AVG_6M))</f>
        <v>774194</v>
      </c>
      <c r="AC1497" s="31" cm="1">
        <f t="array" ref="AC1497">IF(LEFT(_xll.BDP($C1497, VOLUME_AVG_12M), 4) = "#N/A", "",  _xll.BDP($C1497, VOLUME_AVG_12M))</f>
        <v>909033.75</v>
      </c>
      <c r="AD1497" s="41" cm="1">
        <f t="array" ref="AD1497">IF(LEFT(_xll.BDP($C1497, LAST_PRICE), 4) = "#N/A", "",  _xll.BDP($C1497, LAST_PRICE))</f>
        <v>45.37</v>
      </c>
    </row>
    <row r="1498" spans="1:30" x14ac:dyDescent="0.35">
      <c r="A1498" s="1">
        <f t="shared" si="23"/>
        <v>1495</v>
      </c>
      <c r="B1498" s="28">
        <v>45700</v>
      </c>
      <c r="C1498" s="29" t="s">
        <v>3038</v>
      </c>
      <c r="D1498" s="29" t="s">
        <v>3038</v>
      </c>
      <c r="E1498" s="29" t="s">
        <v>3039</v>
      </c>
      <c r="F1498" s="29" t="s">
        <v>33</v>
      </c>
      <c r="G1498" s="30" t="s">
        <v>34</v>
      </c>
      <c r="H1498" s="31">
        <v>609260009.70964897</v>
      </c>
      <c r="I1498" s="31">
        <v>412287009.70964903</v>
      </c>
      <c r="J1498" s="32">
        <v>12.039999961853001</v>
      </c>
      <c r="K1498" s="33">
        <v>45700</v>
      </c>
      <c r="L1498" s="31">
        <v>2584200</v>
      </c>
      <c r="M1498" s="32">
        <v>3.6</v>
      </c>
      <c r="N1498" s="31" t="s">
        <v>35</v>
      </c>
      <c r="O1498" s="33">
        <v>45699</v>
      </c>
      <c r="P1498" s="34">
        <v>262515.6875</v>
      </c>
      <c r="Q1498" s="34">
        <v>250460.609375</v>
      </c>
      <c r="R1498" s="34">
        <v>273968.4375</v>
      </c>
      <c r="S1498" s="29" t="s">
        <v>46</v>
      </c>
      <c r="T1498" s="33">
        <v>45446</v>
      </c>
      <c r="U1498" s="35" t="b">
        <v>0</v>
      </c>
      <c r="V1498" s="35" t="b">
        <v>0</v>
      </c>
      <c r="W1498" s="35" t="b">
        <v>0</v>
      </c>
      <c r="Y1498" s="31" cm="1">
        <f t="array" ref="Y1498">IF(LEFT(_xll.BDP($C1498, VOLUME_AVG_10D), 4) = "#N/A", "",  _xll.BDP($C1498, VOLUME_AVG_10D))</f>
        <v>313901</v>
      </c>
      <c r="Z1498" s="31" cm="1">
        <f t="array" ref="Z1498">IF(LEFT(_xll.BDP($C1498, VOLUME_AVG_30D), 4) = "#N/A", "",  _xll.BDP($C1498, VOLUME_AVG_30D))</f>
        <v>262515.6875</v>
      </c>
      <c r="AA1498" s="31" cm="1">
        <f t="array" ref="AA1498">IF(LEFT(_xll.BDP($C1498, VOLUME_AVG_3M), 4) = "#N/A", "",  _xll.BDP($C1498, VOLUME_AVG_3M))</f>
        <v>250460.609375</v>
      </c>
      <c r="AB1498" s="31" cm="1">
        <f t="array" ref="AB1498">IF(LEFT(_xll.BDP($C1498, VOLUME_AVG_6M), 4) = "#N/A", "",  _xll.BDP($C1498, VOLUME_AVG_6M))</f>
        <v>273968.4375</v>
      </c>
      <c r="AC1498" s="31" cm="1">
        <f t="array" ref="AC1498">IF(LEFT(_xll.BDP($C1498, VOLUME_AVG_12M), 4) = "#N/A", "",  _xll.BDP($C1498, VOLUME_AVG_12M))</f>
        <v>211938.828125</v>
      </c>
      <c r="AD1498" s="41" cm="1">
        <f t="array" ref="AD1498">IF(LEFT(_xll.BDP($C1498, LAST_PRICE), 4) = "#N/A", "",  _xll.BDP($C1498, LAST_PRICE))</f>
        <v>12.04</v>
      </c>
    </row>
    <row r="1499" spans="1:30" x14ac:dyDescent="0.35">
      <c r="A1499" s="1">
        <f t="shared" si="23"/>
        <v>1496</v>
      </c>
      <c r="B1499" s="28">
        <v>45700</v>
      </c>
      <c r="C1499" s="29" t="s">
        <v>3040</v>
      </c>
      <c r="D1499" s="29" t="s">
        <v>3040</v>
      </c>
      <c r="E1499" s="29" t="s">
        <v>3041</v>
      </c>
      <c r="F1499" s="29" t="s">
        <v>33</v>
      </c>
      <c r="G1499" s="30" t="s">
        <v>34</v>
      </c>
      <c r="H1499" s="31">
        <v>1922044189.9296999</v>
      </c>
      <c r="I1499" s="31">
        <v>2133628189.9296999</v>
      </c>
      <c r="J1499" s="32">
        <v>250.44999694824199</v>
      </c>
      <c r="K1499" s="33">
        <v>45700</v>
      </c>
      <c r="L1499" s="31">
        <v>1872500</v>
      </c>
      <c r="M1499" s="32">
        <v>3.88</v>
      </c>
      <c r="N1499" s="31" t="s">
        <v>35</v>
      </c>
      <c r="O1499" s="33">
        <v>45699</v>
      </c>
      <c r="P1499" s="34">
        <v>99901.296875</v>
      </c>
      <c r="Q1499" s="34">
        <v>94357.5625</v>
      </c>
      <c r="R1499" s="34">
        <v>77715.2421875</v>
      </c>
      <c r="S1499" s="29"/>
      <c r="T1499" s="33"/>
      <c r="U1499" s="35" t="b">
        <v>0</v>
      </c>
      <c r="V1499" s="35" t="b">
        <v>0</v>
      </c>
      <c r="W1499" s="35" t="b">
        <v>0</v>
      </c>
      <c r="Y1499" s="31" cm="1">
        <f t="array" ref="Y1499">IF(LEFT(_xll.BDP($C1499, VOLUME_AVG_10D), 4) = "#N/A", "",  _xll.BDP($C1499, VOLUME_AVG_10D))</f>
        <v>84111.203125</v>
      </c>
      <c r="Z1499" s="31" cm="1">
        <f t="array" ref="Z1499">IF(LEFT(_xll.BDP($C1499, VOLUME_AVG_30D), 4) = "#N/A", "",  _xll.BDP($C1499, VOLUME_AVG_30D))</f>
        <v>99901.296875</v>
      </c>
      <c r="AA1499" s="31" cm="1">
        <f t="array" ref="AA1499">IF(LEFT(_xll.BDP($C1499, VOLUME_AVG_3M), 4) = "#N/A", "",  _xll.BDP($C1499, VOLUME_AVG_3M))</f>
        <v>94357.5625</v>
      </c>
      <c r="AB1499" s="31" cm="1">
        <f t="array" ref="AB1499">IF(LEFT(_xll.BDP($C1499, VOLUME_AVG_6M), 4) = "#N/A", "",  _xll.BDP($C1499, VOLUME_AVG_6M))</f>
        <v>77715.2421875</v>
      </c>
      <c r="AC1499" s="31" cm="1">
        <f t="array" ref="AC1499">IF(LEFT(_xll.BDP($C1499, VOLUME_AVG_12M), 4) = "#N/A", "",  _xll.BDP($C1499, VOLUME_AVG_12M))</f>
        <v>69881.7734375</v>
      </c>
      <c r="AD1499" s="41" cm="1">
        <f t="array" ref="AD1499">IF(LEFT(_xll.BDP($C1499, LAST_PRICE), 4) = "#N/A", "",  _xll.BDP($C1499, LAST_PRICE))</f>
        <v>250.45</v>
      </c>
    </row>
    <row r="1500" spans="1:30" x14ac:dyDescent="0.35">
      <c r="A1500" s="1">
        <f t="shared" si="23"/>
        <v>1497</v>
      </c>
      <c r="B1500" s="28">
        <v>45700</v>
      </c>
      <c r="C1500" s="29" t="s">
        <v>3042</v>
      </c>
      <c r="D1500" s="29" t="s">
        <v>3042</v>
      </c>
      <c r="E1500" s="29" t="s">
        <v>3043</v>
      </c>
      <c r="F1500" s="29" t="s">
        <v>33</v>
      </c>
      <c r="G1500" s="30" t="s">
        <v>34</v>
      </c>
      <c r="H1500" s="31">
        <v>4010511587.4212298</v>
      </c>
      <c r="I1500" s="31">
        <v>3422984587.4212298</v>
      </c>
      <c r="J1500" s="32">
        <v>43.430000305175803</v>
      </c>
      <c r="K1500" s="33">
        <v>45700</v>
      </c>
      <c r="L1500" s="31">
        <v>30665400</v>
      </c>
      <c r="M1500" s="32">
        <v>3.88</v>
      </c>
      <c r="N1500" s="31" t="s">
        <v>35</v>
      </c>
      <c r="O1500" s="33">
        <v>45699</v>
      </c>
      <c r="P1500" s="34">
        <v>893610.9375</v>
      </c>
      <c r="Q1500" s="34">
        <v>816298.6875</v>
      </c>
      <c r="R1500" s="34">
        <v>756128.625</v>
      </c>
      <c r="S1500" s="29" t="s">
        <v>177</v>
      </c>
      <c r="T1500" s="33">
        <v>45446</v>
      </c>
      <c r="U1500" s="35" t="b">
        <v>0</v>
      </c>
      <c r="V1500" s="35" t="b">
        <v>0</v>
      </c>
      <c r="W1500" s="35" t="b">
        <v>0</v>
      </c>
      <c r="Y1500" s="31" cm="1">
        <f t="array" ref="Y1500">IF(LEFT(_xll.BDP($C1500, VOLUME_AVG_10D), 4) = "#N/A", "",  _xll.BDP($C1500, VOLUME_AVG_10D))</f>
        <v>570927.3125</v>
      </c>
      <c r="Z1500" s="31" cm="1">
        <f t="array" ref="Z1500">IF(LEFT(_xll.BDP($C1500, VOLUME_AVG_30D), 4) = "#N/A", "",  _xll.BDP($C1500, VOLUME_AVG_30D))</f>
        <v>893610.9375</v>
      </c>
      <c r="AA1500" s="31" cm="1">
        <f t="array" ref="AA1500">IF(LEFT(_xll.BDP($C1500, VOLUME_AVG_3M), 4) = "#N/A", "",  _xll.BDP($C1500, VOLUME_AVG_3M))</f>
        <v>816298.6875</v>
      </c>
      <c r="AB1500" s="31" cm="1">
        <f t="array" ref="AB1500">IF(LEFT(_xll.BDP($C1500, VOLUME_AVG_6M), 4) = "#N/A", "",  _xll.BDP($C1500, VOLUME_AVG_6M))</f>
        <v>756128.625</v>
      </c>
      <c r="AC1500" s="31" cm="1">
        <f t="array" ref="AC1500">IF(LEFT(_xll.BDP($C1500, VOLUME_AVG_12M), 4) = "#N/A", "",  _xll.BDP($C1500, VOLUME_AVG_12M))</f>
        <v>785560.625</v>
      </c>
      <c r="AD1500" s="41" cm="1">
        <f t="array" ref="AD1500">IF(LEFT(_xll.BDP($C1500, LAST_PRICE), 4) = "#N/A", "",  _xll.BDP($C1500, LAST_PRICE))</f>
        <v>43.43</v>
      </c>
    </row>
    <row r="1501" spans="1:30" x14ac:dyDescent="0.35">
      <c r="A1501" s="1">
        <f t="shared" si="23"/>
        <v>1498</v>
      </c>
      <c r="B1501" s="28">
        <v>45700</v>
      </c>
      <c r="C1501" s="29" t="s">
        <v>3044</v>
      </c>
      <c r="D1501" s="29" t="s">
        <v>3044</v>
      </c>
      <c r="E1501" s="29" t="s">
        <v>3045</v>
      </c>
      <c r="F1501" s="29" t="s">
        <v>33</v>
      </c>
      <c r="G1501" s="30" t="s">
        <v>34</v>
      </c>
      <c r="H1501" s="31">
        <v>60230279.827117898</v>
      </c>
      <c r="I1501" s="31">
        <v>51322279.827117898</v>
      </c>
      <c r="J1501" s="32">
        <v>0.53159999847412098</v>
      </c>
      <c r="K1501" s="33">
        <v>45700</v>
      </c>
      <c r="L1501" s="31">
        <v>4192100</v>
      </c>
      <c r="M1501" s="32">
        <v>2.5499999999999998</v>
      </c>
      <c r="N1501" s="31" t="s">
        <v>35</v>
      </c>
      <c r="O1501" s="33">
        <v>45699</v>
      </c>
      <c r="P1501" s="34">
        <v>1128755.125</v>
      </c>
      <c r="Q1501" s="34">
        <v>1379246.625</v>
      </c>
      <c r="R1501" s="34">
        <v>1813966</v>
      </c>
      <c r="S1501" s="29"/>
      <c r="T1501" s="33"/>
      <c r="U1501" s="35" t="b">
        <v>0</v>
      </c>
      <c r="V1501" s="35" t="b">
        <v>0</v>
      </c>
      <c r="W1501" s="35" t="b">
        <v>0</v>
      </c>
      <c r="Y1501" s="31" cm="1">
        <f t="array" ref="Y1501">IF(LEFT(_xll.BDP($C1501, VOLUME_AVG_10D), 4) = "#N/A", "",  _xll.BDP($C1501, VOLUME_AVG_10D))</f>
        <v>1043024.5</v>
      </c>
      <c r="Z1501" s="31" cm="1">
        <f t="array" ref="Z1501">IF(LEFT(_xll.BDP($C1501, VOLUME_AVG_30D), 4) = "#N/A", "",  _xll.BDP($C1501, VOLUME_AVG_30D))</f>
        <v>1128755.125</v>
      </c>
      <c r="AA1501" s="31" cm="1">
        <f t="array" ref="AA1501">IF(LEFT(_xll.BDP($C1501, VOLUME_AVG_3M), 4) = "#N/A", "",  _xll.BDP($C1501, VOLUME_AVG_3M))</f>
        <v>1379246.625</v>
      </c>
      <c r="AB1501" s="31" cm="1">
        <f t="array" ref="AB1501">IF(LEFT(_xll.BDP($C1501, VOLUME_AVG_6M), 4) = "#N/A", "",  _xll.BDP($C1501, VOLUME_AVG_6M))</f>
        <v>1813966</v>
      </c>
      <c r="AC1501" s="31" cm="1">
        <f t="array" ref="AC1501">IF(LEFT(_xll.BDP($C1501, VOLUME_AVG_12M), 4) = "#N/A", "",  _xll.BDP($C1501, VOLUME_AVG_12M))</f>
        <v>1343426.125</v>
      </c>
      <c r="AD1501" s="41" cm="1">
        <f t="array" ref="AD1501">IF(LEFT(_xll.BDP($C1501, LAST_PRICE), 4) = "#N/A", "",  _xll.BDP($C1501, LAST_PRICE))</f>
        <v>0.53159999999999996</v>
      </c>
    </row>
    <row r="1502" spans="1:30" x14ac:dyDescent="0.35">
      <c r="A1502" s="1">
        <f t="shared" si="23"/>
        <v>1499</v>
      </c>
      <c r="B1502" s="28">
        <v>45700</v>
      </c>
      <c r="C1502" s="29" t="s">
        <v>3046</v>
      </c>
      <c r="D1502" s="29" t="s">
        <v>3046</v>
      </c>
      <c r="E1502" s="29" t="s">
        <v>3047</v>
      </c>
      <c r="F1502" s="29" t="s">
        <v>33</v>
      </c>
      <c r="G1502" s="30" t="s">
        <v>34</v>
      </c>
      <c r="H1502" s="31">
        <v>706903495.53768003</v>
      </c>
      <c r="I1502" s="31">
        <v>368491495.53767997</v>
      </c>
      <c r="J1502" s="32">
        <v>13.300000190734901</v>
      </c>
      <c r="K1502" s="33">
        <v>45700</v>
      </c>
      <c r="L1502" s="31"/>
      <c r="M1502" s="32"/>
      <c r="N1502" s="31"/>
      <c r="O1502" s="33">
        <v>45699</v>
      </c>
      <c r="P1502" s="34">
        <v>1129144.75</v>
      </c>
      <c r="Q1502" s="34">
        <v>2222646.25</v>
      </c>
      <c r="R1502" s="34">
        <v>1430365.75</v>
      </c>
      <c r="S1502" s="29" t="s">
        <v>68</v>
      </c>
      <c r="T1502" s="33">
        <v>45446</v>
      </c>
      <c r="U1502" s="35" t="b">
        <v>0</v>
      </c>
      <c r="V1502" s="35" t="b">
        <v>0</v>
      </c>
      <c r="W1502" s="35" t="b">
        <v>0</v>
      </c>
      <c r="Y1502" s="31" cm="1">
        <f t="array" ref="Y1502">IF(LEFT(_xll.BDP($C1502, VOLUME_AVG_10D), 4) = "#N/A", "",  _xll.BDP($C1502, VOLUME_AVG_10D))</f>
        <v>924412.125</v>
      </c>
      <c r="Z1502" s="31" cm="1">
        <f t="array" ref="Z1502">IF(LEFT(_xll.BDP($C1502, VOLUME_AVG_30D), 4) = "#N/A", "",  _xll.BDP($C1502, VOLUME_AVG_30D))</f>
        <v>1129144.75</v>
      </c>
      <c r="AA1502" s="31" cm="1">
        <f t="array" ref="AA1502">IF(LEFT(_xll.BDP($C1502, VOLUME_AVG_3M), 4) = "#N/A", "",  _xll.BDP($C1502, VOLUME_AVG_3M))</f>
        <v>2222646.25</v>
      </c>
      <c r="AB1502" s="31" cm="1">
        <f t="array" ref="AB1502">IF(LEFT(_xll.BDP($C1502, VOLUME_AVG_6M), 4) = "#N/A", "",  _xll.BDP($C1502, VOLUME_AVG_6M))</f>
        <v>1430365.75</v>
      </c>
      <c r="AC1502" s="31" cm="1">
        <f t="array" ref="AC1502">IF(LEFT(_xll.BDP($C1502, VOLUME_AVG_12M), 4) = "#N/A", "",  _xll.BDP($C1502, VOLUME_AVG_12M))</f>
        <v>1664967.5</v>
      </c>
      <c r="AD1502" s="41" cm="1">
        <f t="array" ref="AD1502">IF(LEFT(_xll.BDP($C1502, LAST_PRICE), 4) = "#N/A", "",  _xll.BDP($C1502, LAST_PRICE))</f>
        <v>13.3</v>
      </c>
    </row>
    <row r="1503" spans="1:30" x14ac:dyDescent="0.35">
      <c r="A1503" s="1">
        <f t="shared" si="23"/>
        <v>1500</v>
      </c>
      <c r="B1503" s="28">
        <v>45700</v>
      </c>
      <c r="C1503" s="29" t="s">
        <v>3048</v>
      </c>
      <c r="D1503" s="29" t="s">
        <v>3048</v>
      </c>
      <c r="E1503" s="29" t="s">
        <v>3049</v>
      </c>
      <c r="F1503" s="29" t="s">
        <v>33</v>
      </c>
      <c r="G1503" s="30" t="s">
        <v>34</v>
      </c>
      <c r="H1503" s="31">
        <v>446077.34100000001</v>
      </c>
      <c r="I1503" s="31">
        <v>6141077.341</v>
      </c>
      <c r="J1503" s="32">
        <v>1.35E-2</v>
      </c>
      <c r="K1503" s="33">
        <v>45700</v>
      </c>
      <c r="L1503" s="31">
        <v>111000</v>
      </c>
      <c r="M1503" s="32">
        <v>3.3</v>
      </c>
      <c r="N1503" s="31" t="s">
        <v>35</v>
      </c>
      <c r="O1503" s="33">
        <v>45699</v>
      </c>
      <c r="P1503" s="34">
        <v>4630.033203125</v>
      </c>
      <c r="Q1503" s="34">
        <v>4013.83862304688</v>
      </c>
      <c r="R1503" s="34">
        <v>44049.67578125</v>
      </c>
      <c r="S1503" s="29"/>
      <c r="T1503" s="33"/>
      <c r="U1503" s="35" t="b">
        <v>1</v>
      </c>
      <c r="V1503" s="35" t="b">
        <v>1</v>
      </c>
      <c r="W1503" s="35" t="b">
        <v>0</v>
      </c>
      <c r="Y1503" s="31" cm="1">
        <f t="array" ref="Y1503">IF(LEFT(_xll.BDP($C1503, VOLUME_AVG_10D), 4) = "#N/A", "",  _xll.BDP($C1503, VOLUME_AVG_10D))</f>
        <v>62</v>
      </c>
      <c r="Z1503" s="31" cm="1">
        <f t="array" ref="Z1503">IF(LEFT(_xll.BDP($C1503, VOLUME_AVG_30D), 4) = "#N/A", "",  _xll.BDP($C1503, VOLUME_AVG_30D))</f>
        <v>4630.033203125</v>
      </c>
      <c r="AA1503" s="31" cm="1">
        <f t="array" ref="AA1503">IF(LEFT(_xll.BDP($C1503, VOLUME_AVG_3M), 4) = "#N/A", "",  _xll.BDP($C1503, VOLUME_AVG_3M))</f>
        <v>4013.838623046875</v>
      </c>
      <c r="AB1503" s="31" cm="1">
        <f t="array" ref="AB1503">IF(LEFT(_xll.BDP($C1503, VOLUME_AVG_6M), 4) = "#N/A", "",  _xll.BDP($C1503, VOLUME_AVG_6M))</f>
        <v>44049.67578125</v>
      </c>
      <c r="AC1503" s="31" cm="1">
        <f t="array" ref="AC1503">IF(LEFT(_xll.BDP($C1503, VOLUME_AVG_12M), 4) = "#N/A", "",  _xll.BDP($C1503, VOLUME_AVG_12M))</f>
        <v>31485.01953125</v>
      </c>
      <c r="AD1503" s="41" cm="1">
        <f t="array" ref="AD1503">IF(LEFT(_xll.BDP($C1503, LAST_PRICE), 4) = "#N/A", "",  _xll.BDP($C1503, LAST_PRICE))</f>
        <v>1.35E-2</v>
      </c>
    </row>
    <row r="1504" spans="1:30" x14ac:dyDescent="0.35">
      <c r="A1504" s="1">
        <f t="shared" si="23"/>
        <v>1501</v>
      </c>
      <c r="B1504" s="28">
        <v>45700</v>
      </c>
      <c r="C1504" s="29" t="s">
        <v>3050</v>
      </c>
      <c r="D1504" s="29" t="s">
        <v>3050</v>
      </c>
      <c r="E1504" s="29" t="s">
        <v>3051</v>
      </c>
      <c r="F1504" s="29" t="s">
        <v>33</v>
      </c>
      <c r="G1504" s="30" t="s">
        <v>34</v>
      </c>
      <c r="H1504" s="31">
        <v>22078597.037236899</v>
      </c>
      <c r="I1504" s="31"/>
      <c r="J1504" s="32">
        <v>8.82849991321564E-2</v>
      </c>
      <c r="K1504" s="33">
        <v>45700</v>
      </c>
      <c r="L1504" s="31">
        <v>1930400</v>
      </c>
      <c r="M1504" s="32">
        <v>3.3</v>
      </c>
      <c r="N1504" s="31" t="s">
        <v>35</v>
      </c>
      <c r="O1504" s="33">
        <v>45699</v>
      </c>
      <c r="P1504" s="34">
        <v>154551.234375</v>
      </c>
      <c r="Q1504" s="34">
        <v>221715.953125</v>
      </c>
      <c r="R1504" s="34">
        <v>191899.828125</v>
      </c>
      <c r="S1504" s="29"/>
      <c r="T1504" s="33"/>
      <c r="U1504" s="35" t="b">
        <v>0</v>
      </c>
      <c r="V1504" s="35" t="b">
        <v>1</v>
      </c>
      <c r="W1504" s="35" t="b">
        <v>1</v>
      </c>
      <c r="Y1504" s="31" cm="1">
        <f t="array" ref="Y1504">IF(LEFT(_xll.BDP($C1504, VOLUME_AVG_10D), 4) = "#N/A", "",  _xll.BDP($C1504, VOLUME_AVG_10D))</f>
        <v>97527.1015625</v>
      </c>
      <c r="Z1504" s="31" cm="1">
        <f t="array" ref="Z1504">IF(LEFT(_xll.BDP($C1504, VOLUME_AVG_30D), 4) = "#N/A", "",  _xll.BDP($C1504, VOLUME_AVG_30D))</f>
        <v>154551.234375</v>
      </c>
      <c r="AA1504" s="31" cm="1">
        <f t="array" ref="AA1504">IF(LEFT(_xll.BDP($C1504, VOLUME_AVG_3M), 4) = "#N/A", "",  _xll.BDP($C1504, VOLUME_AVG_3M))</f>
        <v>221715.953125</v>
      </c>
      <c r="AB1504" s="31" cm="1">
        <f t="array" ref="AB1504">IF(LEFT(_xll.BDP($C1504, VOLUME_AVG_6M), 4) = "#N/A", "",  _xll.BDP($C1504, VOLUME_AVG_6M))</f>
        <v>191899.828125</v>
      </c>
      <c r="AC1504" s="31" cm="1">
        <f t="array" ref="AC1504">IF(LEFT(_xll.BDP($C1504, VOLUME_AVG_12M), 4) = "#N/A", "",  _xll.BDP($C1504, VOLUME_AVG_12M))</f>
        <v>157774.828125</v>
      </c>
      <c r="AD1504" s="41" cm="1">
        <f t="array" ref="AD1504">IF(LEFT(_xll.BDP($C1504, LAST_PRICE), 4) = "#N/A", "",  _xll.BDP($C1504, LAST_PRICE))</f>
        <v>8.8300000000000003E-2</v>
      </c>
    </row>
    <row r="1505" spans="1:30" x14ac:dyDescent="0.35">
      <c r="A1505" s="1">
        <f t="shared" si="23"/>
        <v>1502</v>
      </c>
      <c r="B1505" s="28">
        <v>45700</v>
      </c>
      <c r="C1505" s="29" t="s">
        <v>3052</v>
      </c>
      <c r="D1505" s="29" t="s">
        <v>3052</v>
      </c>
      <c r="E1505" s="29" t="s">
        <v>3053</v>
      </c>
      <c r="F1505" s="29" t="s">
        <v>33</v>
      </c>
      <c r="G1505" s="30" t="s">
        <v>34</v>
      </c>
      <c r="H1505" s="31">
        <v>16551508538.0784</v>
      </c>
      <c r="I1505" s="31">
        <v>12345608538.0784</v>
      </c>
      <c r="J1505" s="32">
        <v>370.739990234375</v>
      </c>
      <c r="K1505" s="33">
        <v>45700</v>
      </c>
      <c r="L1505" s="31">
        <v>18319400</v>
      </c>
      <c r="M1505" s="32">
        <v>3.88</v>
      </c>
      <c r="N1505" s="31" t="s">
        <v>35</v>
      </c>
      <c r="O1505" s="33">
        <v>45699</v>
      </c>
      <c r="P1505" s="34">
        <v>309835.0625</v>
      </c>
      <c r="Q1505" s="34">
        <v>314320.3125</v>
      </c>
      <c r="R1505" s="34">
        <v>356783.71875</v>
      </c>
      <c r="S1505" s="29" t="s">
        <v>164</v>
      </c>
      <c r="T1505" s="33">
        <v>45446</v>
      </c>
      <c r="U1505" s="35" t="b">
        <v>0</v>
      </c>
      <c r="V1505" s="35" t="b">
        <v>0</v>
      </c>
      <c r="W1505" s="35" t="b">
        <v>0</v>
      </c>
      <c r="Y1505" s="31" cm="1">
        <f t="array" ref="Y1505">IF(LEFT(_xll.BDP($C1505, VOLUME_AVG_10D), 4) = "#N/A", "",  _xll.BDP($C1505, VOLUME_AVG_10D))</f>
        <v>376640.8125</v>
      </c>
      <c r="Z1505" s="31" cm="1">
        <f t="array" ref="Z1505">IF(LEFT(_xll.BDP($C1505, VOLUME_AVG_30D), 4) = "#N/A", "",  _xll.BDP($C1505, VOLUME_AVG_30D))</f>
        <v>309835.0625</v>
      </c>
      <c r="AA1505" s="31" cm="1">
        <f t="array" ref="AA1505">IF(LEFT(_xll.BDP($C1505, VOLUME_AVG_3M), 4) = "#N/A", "",  _xll.BDP($C1505, VOLUME_AVG_3M))</f>
        <v>314320.3125</v>
      </c>
      <c r="AB1505" s="31" cm="1">
        <f t="array" ref="AB1505">IF(LEFT(_xll.BDP($C1505, VOLUME_AVG_6M), 4) = "#N/A", "",  _xll.BDP($C1505, VOLUME_AVG_6M))</f>
        <v>356783.71875</v>
      </c>
      <c r="AC1505" s="31" cm="1">
        <f t="array" ref="AC1505">IF(LEFT(_xll.BDP($C1505, VOLUME_AVG_12M), 4) = "#N/A", "",  _xll.BDP($C1505, VOLUME_AVG_12M))</f>
        <v>444066.8125</v>
      </c>
      <c r="AD1505" s="41" cm="1">
        <f t="array" ref="AD1505">IF(LEFT(_xll.BDP($C1505, LAST_PRICE), 4) = "#N/A", "",  _xll.BDP($C1505, LAST_PRICE))</f>
        <v>370.74</v>
      </c>
    </row>
    <row r="1506" spans="1:30" x14ac:dyDescent="0.35">
      <c r="A1506" s="1">
        <f t="shared" si="23"/>
        <v>1503</v>
      </c>
      <c r="B1506" s="28">
        <v>45700</v>
      </c>
      <c r="C1506" s="29" t="s">
        <v>3054</v>
      </c>
      <c r="D1506" s="29" t="s">
        <v>3054</v>
      </c>
      <c r="E1506" s="29" t="s">
        <v>3055</v>
      </c>
      <c r="F1506" s="29" t="s">
        <v>33</v>
      </c>
      <c r="G1506" s="30" t="s">
        <v>34</v>
      </c>
      <c r="H1506" s="31">
        <v>485357980219.479</v>
      </c>
      <c r="I1506" s="31">
        <v>537471980219.479</v>
      </c>
      <c r="J1506" s="32">
        <v>527.40002441406295</v>
      </c>
      <c r="K1506" s="33">
        <v>45700</v>
      </c>
      <c r="L1506" s="31">
        <v>310748288</v>
      </c>
      <c r="M1506" s="32">
        <v>3.88</v>
      </c>
      <c r="N1506" s="31" t="s">
        <v>35</v>
      </c>
      <c r="O1506" s="33">
        <v>45699</v>
      </c>
      <c r="P1506" s="34">
        <v>4298572</v>
      </c>
      <c r="Q1506" s="34">
        <v>4891407.5</v>
      </c>
      <c r="R1506" s="34">
        <v>3933134.75</v>
      </c>
      <c r="S1506" s="29"/>
      <c r="T1506" s="33"/>
      <c r="U1506" s="35" t="b">
        <v>0</v>
      </c>
      <c r="V1506" s="35" t="b">
        <v>0</v>
      </c>
      <c r="W1506" s="35" t="b">
        <v>0</v>
      </c>
      <c r="Y1506" s="31" cm="1">
        <f t="array" ref="Y1506">IF(LEFT(_xll.BDP($C1506, VOLUME_AVG_10D), 4) = "#N/A", "",  _xll.BDP($C1506, VOLUME_AVG_10D))</f>
        <v>3440948.25</v>
      </c>
      <c r="Z1506" s="31" cm="1">
        <f t="array" ref="Z1506">IF(LEFT(_xll.BDP($C1506, VOLUME_AVG_30D), 4) = "#N/A", "",  _xll.BDP($C1506, VOLUME_AVG_30D))</f>
        <v>4298572</v>
      </c>
      <c r="AA1506" s="31" cm="1">
        <f t="array" ref="AA1506">IF(LEFT(_xll.BDP($C1506, VOLUME_AVG_3M), 4) = "#N/A", "",  _xll.BDP($C1506, VOLUME_AVG_3M))</f>
        <v>4891407.5</v>
      </c>
      <c r="AB1506" s="31" cm="1">
        <f t="array" ref="AB1506">IF(LEFT(_xll.BDP($C1506, VOLUME_AVG_6M), 4) = "#N/A", "",  _xll.BDP($C1506, VOLUME_AVG_6M))</f>
        <v>3933134.75</v>
      </c>
      <c r="AC1506" s="31" cm="1">
        <f t="array" ref="AC1506">IF(LEFT(_xll.BDP($C1506, VOLUME_AVG_12M), 4) = "#N/A", "",  _xll.BDP($C1506, VOLUME_AVG_12M))</f>
        <v>4100638</v>
      </c>
      <c r="AD1506" s="41" cm="1">
        <f t="array" ref="AD1506">IF(LEFT(_xll.BDP($C1506, LAST_PRICE), 4) = "#N/A", "",  _xll.BDP($C1506, LAST_PRICE))</f>
        <v>527.4</v>
      </c>
    </row>
    <row r="1507" spans="1:30" x14ac:dyDescent="0.35">
      <c r="A1507" s="1">
        <f t="shared" si="23"/>
        <v>1504</v>
      </c>
      <c r="B1507" s="28">
        <v>45700</v>
      </c>
      <c r="C1507" s="29" t="s">
        <v>3056</v>
      </c>
      <c r="D1507" s="29" t="s">
        <v>3056</v>
      </c>
      <c r="E1507" s="29" t="s">
        <v>3057</v>
      </c>
      <c r="F1507" s="29" t="s">
        <v>33</v>
      </c>
      <c r="G1507" s="30" t="s">
        <v>34</v>
      </c>
      <c r="H1507" s="31">
        <v>32689679.964184798</v>
      </c>
      <c r="I1507" s="31">
        <v>28082679.964184798</v>
      </c>
      <c r="J1507" s="32">
        <v>1.9400000572204601</v>
      </c>
      <c r="K1507" s="33">
        <v>45700</v>
      </c>
      <c r="L1507" s="31">
        <v>1259100</v>
      </c>
      <c r="M1507" s="32">
        <v>3.88</v>
      </c>
      <c r="N1507" s="31" t="s">
        <v>35</v>
      </c>
      <c r="O1507" s="33">
        <v>45699</v>
      </c>
      <c r="P1507" s="34">
        <v>382738.84375</v>
      </c>
      <c r="Q1507" s="34">
        <v>230330.3125</v>
      </c>
      <c r="R1507" s="34">
        <v>137405.8125</v>
      </c>
      <c r="S1507" s="29"/>
      <c r="T1507" s="33"/>
      <c r="U1507" s="35" t="b">
        <v>0</v>
      </c>
      <c r="V1507" s="35" t="b">
        <v>0</v>
      </c>
      <c r="W1507" s="35" t="b">
        <v>0</v>
      </c>
      <c r="Y1507" s="31" cm="1">
        <f t="array" ref="Y1507">IF(LEFT(_xll.BDP($C1507, VOLUME_AVG_10D), 4) = "#N/A", "",  _xll.BDP($C1507, VOLUME_AVG_10D))</f>
        <v>181610.203125</v>
      </c>
      <c r="Z1507" s="31" cm="1">
        <f t="array" ref="Z1507">IF(LEFT(_xll.BDP($C1507, VOLUME_AVG_30D), 4) = "#N/A", "",  _xll.BDP($C1507, VOLUME_AVG_30D))</f>
        <v>382738.84375</v>
      </c>
      <c r="AA1507" s="31" cm="1">
        <f t="array" ref="AA1507">IF(LEFT(_xll.BDP($C1507, VOLUME_AVG_3M), 4) = "#N/A", "",  _xll.BDP($C1507, VOLUME_AVG_3M))</f>
        <v>230330.3125</v>
      </c>
      <c r="AB1507" s="31" cm="1">
        <f t="array" ref="AB1507">IF(LEFT(_xll.BDP($C1507, VOLUME_AVG_6M), 4) = "#N/A", "",  _xll.BDP($C1507, VOLUME_AVG_6M))</f>
        <v>137405.8125</v>
      </c>
      <c r="AC1507" s="31" cm="1">
        <f t="array" ref="AC1507">IF(LEFT(_xll.BDP($C1507, VOLUME_AVG_12M), 4) = "#N/A", "",  _xll.BDP($C1507, VOLUME_AVG_12M))</f>
        <v>105169.515625</v>
      </c>
      <c r="AD1507" s="41" cm="1">
        <f t="array" ref="AD1507">IF(LEFT(_xll.BDP($C1507, LAST_PRICE), 4) = "#N/A", "",  _xll.BDP($C1507, LAST_PRICE))</f>
        <v>1.94</v>
      </c>
    </row>
    <row r="1508" spans="1:30" x14ac:dyDescent="0.35">
      <c r="A1508" s="1">
        <f t="shared" si="23"/>
        <v>1505</v>
      </c>
      <c r="B1508" s="28">
        <v>45700</v>
      </c>
      <c r="C1508" s="29" t="s">
        <v>3058</v>
      </c>
      <c r="D1508" s="29" t="s">
        <v>3058</v>
      </c>
      <c r="E1508" s="29" t="s">
        <v>3059</v>
      </c>
      <c r="F1508" s="29" t="s">
        <v>33</v>
      </c>
      <c r="G1508" s="30" t="s">
        <v>34</v>
      </c>
      <c r="H1508" s="31">
        <v>439435.28631117899</v>
      </c>
      <c r="I1508" s="31">
        <v>1681547.2863111801</v>
      </c>
      <c r="J1508" s="32">
        <v>2.4250000715255698E-3</v>
      </c>
      <c r="K1508" s="33">
        <v>45700</v>
      </c>
      <c r="L1508" s="31"/>
      <c r="M1508" s="32"/>
      <c r="N1508" s="31"/>
      <c r="O1508" s="33">
        <v>45699</v>
      </c>
      <c r="P1508" s="34">
        <v>1249109.375</v>
      </c>
      <c r="Q1508" s="34">
        <v>1173639.375</v>
      </c>
      <c r="R1508" s="34">
        <v>867205.1875</v>
      </c>
      <c r="S1508" s="29"/>
      <c r="T1508" s="33"/>
      <c r="U1508" s="35" t="b">
        <v>1</v>
      </c>
      <c r="V1508" s="35" t="b">
        <v>1</v>
      </c>
      <c r="W1508" s="35" t="b">
        <v>0</v>
      </c>
      <c r="Y1508" s="31" cm="1">
        <f t="array" ref="Y1508">IF(LEFT(_xll.BDP($C1508, VOLUME_AVG_10D), 4) = "#N/A", "",  _xll.BDP($C1508, VOLUME_AVG_10D))</f>
        <v>824344.5</v>
      </c>
      <c r="Z1508" s="31" cm="1">
        <f t="array" ref="Z1508">IF(LEFT(_xll.BDP($C1508, VOLUME_AVG_30D), 4) = "#N/A", "",  _xll.BDP($C1508, VOLUME_AVG_30D))</f>
        <v>1249109.375</v>
      </c>
      <c r="AA1508" s="31" cm="1">
        <f t="array" ref="AA1508">IF(LEFT(_xll.BDP($C1508, VOLUME_AVG_3M), 4) = "#N/A", "",  _xll.BDP($C1508, VOLUME_AVG_3M))</f>
        <v>1173639.375</v>
      </c>
      <c r="AB1508" s="31" cm="1">
        <f t="array" ref="AB1508">IF(LEFT(_xll.BDP($C1508, VOLUME_AVG_6M), 4) = "#N/A", "",  _xll.BDP($C1508, VOLUME_AVG_6M))</f>
        <v>867205.1875</v>
      </c>
      <c r="AC1508" s="31" cm="1">
        <f t="array" ref="AC1508">IF(LEFT(_xll.BDP($C1508, VOLUME_AVG_12M), 4) = "#N/A", "",  _xll.BDP($C1508, VOLUME_AVG_12M))</f>
        <v>925818.5625</v>
      </c>
      <c r="AD1508" s="41" cm="1">
        <f t="array" ref="AD1508">IF(LEFT(_xll.BDP($C1508, LAST_PRICE), 4) = "#N/A", "",  _xll.BDP($C1508, LAST_PRICE))</f>
        <v>2.4250000000000001E-3</v>
      </c>
    </row>
    <row r="1509" spans="1:30" x14ac:dyDescent="0.35">
      <c r="A1509" s="1">
        <f t="shared" si="23"/>
        <v>1506</v>
      </c>
      <c r="B1509" s="28">
        <v>45700</v>
      </c>
      <c r="C1509" s="29" t="s">
        <v>3060</v>
      </c>
      <c r="D1509" s="29" t="s">
        <v>3060</v>
      </c>
      <c r="E1509" s="29" t="s">
        <v>3061</v>
      </c>
      <c r="F1509" s="29" t="s">
        <v>33</v>
      </c>
      <c r="G1509" s="30" t="s">
        <v>34</v>
      </c>
      <c r="H1509" s="31">
        <v>11823683109.8801</v>
      </c>
      <c r="I1509" s="31">
        <v>16905475109.8801</v>
      </c>
      <c r="J1509" s="32">
        <v>179.24000549316401</v>
      </c>
      <c r="K1509" s="33">
        <v>45700</v>
      </c>
      <c r="L1509" s="31">
        <v>20154000</v>
      </c>
      <c r="M1509" s="32">
        <v>3.88</v>
      </c>
      <c r="N1509" s="31" t="s">
        <v>35</v>
      </c>
      <c r="O1509" s="33">
        <v>45699</v>
      </c>
      <c r="P1509" s="34">
        <v>450487.78125</v>
      </c>
      <c r="Q1509" s="34">
        <v>569868.8125</v>
      </c>
      <c r="R1509" s="34">
        <v>649573.875</v>
      </c>
      <c r="S1509" s="29"/>
      <c r="T1509" s="33"/>
      <c r="U1509" s="35" t="b">
        <v>0</v>
      </c>
      <c r="V1509" s="35" t="b">
        <v>0</v>
      </c>
      <c r="W1509" s="35" t="b">
        <v>0</v>
      </c>
      <c r="Y1509" s="31" cm="1">
        <f t="array" ref="Y1509">IF(LEFT(_xll.BDP($C1509, VOLUME_AVG_10D), 4) = "#N/A", "",  _xll.BDP($C1509, VOLUME_AVG_10D))</f>
        <v>409146.59375</v>
      </c>
      <c r="Z1509" s="31" cm="1">
        <f t="array" ref="Z1509">IF(LEFT(_xll.BDP($C1509, VOLUME_AVG_30D), 4) = "#N/A", "",  _xll.BDP($C1509, VOLUME_AVG_30D))</f>
        <v>450487.78125</v>
      </c>
      <c r="AA1509" s="31" cm="1">
        <f t="array" ref="AA1509">IF(LEFT(_xll.BDP($C1509, VOLUME_AVG_3M), 4) = "#N/A", "",  _xll.BDP($C1509, VOLUME_AVG_3M))</f>
        <v>569868.8125</v>
      </c>
      <c r="AB1509" s="31" cm="1">
        <f t="array" ref="AB1509">IF(LEFT(_xll.BDP($C1509, VOLUME_AVG_6M), 4) = "#N/A", "",  _xll.BDP($C1509, VOLUME_AVG_6M))</f>
        <v>649573.875</v>
      </c>
      <c r="AC1509" s="31" cm="1">
        <f t="array" ref="AC1509">IF(LEFT(_xll.BDP($C1509, VOLUME_AVG_12M), 4) = "#N/A", "",  _xll.BDP($C1509, VOLUME_AVG_12M))</f>
        <v>678261.25</v>
      </c>
      <c r="AD1509" s="41" cm="1">
        <f t="array" ref="AD1509">IF(LEFT(_xll.BDP($C1509, LAST_PRICE), 4) = "#N/A", "",  _xll.BDP($C1509, LAST_PRICE))</f>
        <v>179.24</v>
      </c>
    </row>
    <row r="1510" spans="1:30" x14ac:dyDescent="0.35">
      <c r="A1510" s="1">
        <f t="shared" si="23"/>
        <v>1507</v>
      </c>
      <c r="B1510" s="28">
        <v>45700</v>
      </c>
      <c r="C1510" s="29" t="s">
        <v>3062</v>
      </c>
      <c r="D1510" s="29" t="s">
        <v>3062</v>
      </c>
      <c r="E1510" s="29" t="s">
        <v>3063</v>
      </c>
      <c r="F1510" s="29" t="s">
        <v>33</v>
      </c>
      <c r="G1510" s="30" t="s">
        <v>34</v>
      </c>
      <c r="H1510" s="31">
        <v>290845.47061601299</v>
      </c>
      <c r="I1510" s="31">
        <v>-13416257.529384</v>
      </c>
      <c r="J1510" s="32">
        <v>0.18449999392032601</v>
      </c>
      <c r="K1510" s="33">
        <v>45700</v>
      </c>
      <c r="L1510" s="31"/>
      <c r="M1510" s="32"/>
      <c r="N1510" s="31"/>
      <c r="O1510" s="33">
        <v>45699</v>
      </c>
      <c r="P1510" s="34">
        <v>7239174</v>
      </c>
      <c r="Q1510" s="34">
        <v>5519713</v>
      </c>
      <c r="R1510" s="34">
        <v>2832537.25</v>
      </c>
      <c r="S1510" s="29"/>
      <c r="T1510" s="33"/>
      <c r="U1510" s="35" t="b">
        <v>1</v>
      </c>
      <c r="V1510" s="35" t="b">
        <v>0</v>
      </c>
      <c r="W1510" s="35" t="b">
        <v>1</v>
      </c>
      <c r="Y1510" s="31" cm="1">
        <f t="array" ref="Y1510">IF(LEFT(_xll.BDP($C1510, VOLUME_AVG_10D), 4) = "#N/A", "",  _xll.BDP($C1510, VOLUME_AVG_10D))</f>
        <v>20344792</v>
      </c>
      <c r="Z1510" s="31" cm="1">
        <f t="array" ref="Z1510">IF(LEFT(_xll.BDP($C1510, VOLUME_AVG_30D), 4) = "#N/A", "",  _xll.BDP($C1510, VOLUME_AVG_30D))</f>
        <v>7239174</v>
      </c>
      <c r="AA1510" s="31" cm="1">
        <f t="array" ref="AA1510">IF(LEFT(_xll.BDP($C1510, VOLUME_AVG_3M), 4) = "#N/A", "",  _xll.BDP($C1510, VOLUME_AVG_3M))</f>
        <v>5519713</v>
      </c>
      <c r="AB1510" s="31" cm="1">
        <f t="array" ref="AB1510">IF(LEFT(_xll.BDP($C1510, VOLUME_AVG_6M), 4) = "#N/A", "",  _xll.BDP($C1510, VOLUME_AVG_6M))</f>
        <v>2832537.25</v>
      </c>
      <c r="AC1510" s="31" cm="1">
        <f t="array" ref="AC1510">IF(LEFT(_xll.BDP($C1510, VOLUME_AVG_12M), 4) = "#N/A", "",  _xll.BDP($C1510, VOLUME_AVG_12M))</f>
        <v>1427875.375</v>
      </c>
      <c r="AD1510" s="41" cm="1">
        <f t="array" ref="AD1510">IF(LEFT(_xll.BDP($C1510, LAST_PRICE), 4) = "#N/A", "",  _xll.BDP($C1510, LAST_PRICE))</f>
        <v>0.1845</v>
      </c>
    </row>
    <row r="1511" spans="1:30" x14ac:dyDescent="0.35">
      <c r="A1511" s="1">
        <f t="shared" si="23"/>
        <v>1508</v>
      </c>
      <c r="B1511" s="28">
        <v>45700</v>
      </c>
      <c r="C1511" s="29" t="s">
        <v>3064</v>
      </c>
      <c r="D1511" s="29" t="s">
        <v>3064</v>
      </c>
      <c r="E1511" s="29" t="s">
        <v>3065</v>
      </c>
      <c r="F1511" s="29" t="s">
        <v>33</v>
      </c>
      <c r="G1511" s="30" t="s">
        <v>34</v>
      </c>
      <c r="H1511" s="31">
        <v>3786.43830434652</v>
      </c>
      <c r="I1511" s="31">
        <v>148955786.43830401</v>
      </c>
      <c r="J1511" s="32">
        <v>1.9999999494757501E-4</v>
      </c>
      <c r="K1511" s="33">
        <v>45700</v>
      </c>
      <c r="L1511" s="31"/>
      <c r="M1511" s="32"/>
      <c r="N1511" s="31"/>
      <c r="O1511" s="33">
        <v>45699</v>
      </c>
      <c r="P1511" s="34">
        <v>10914.7998046875</v>
      </c>
      <c r="Q1511" s="34">
        <v>23558.40234375</v>
      </c>
      <c r="R1511" s="34">
        <v>52410.984375</v>
      </c>
      <c r="S1511" s="29"/>
      <c r="T1511" s="33"/>
      <c r="U1511" s="35" t="b">
        <v>1</v>
      </c>
      <c r="V1511" s="35" t="b">
        <v>1</v>
      </c>
      <c r="W1511" s="35" t="b">
        <v>0</v>
      </c>
      <c r="Y1511" s="31" cm="1">
        <f t="array" ref="Y1511">IF(LEFT(_xll.BDP($C1511, VOLUME_AVG_10D), 4) = "#N/A", "",  _xll.BDP($C1511, VOLUME_AVG_10D))</f>
        <v>20820.599609375</v>
      </c>
      <c r="Z1511" s="31" cm="1">
        <f t="array" ref="Z1511">IF(LEFT(_xll.BDP($C1511, VOLUME_AVG_30D), 4) = "#N/A", "",  _xll.BDP($C1511, VOLUME_AVG_30D))</f>
        <v>10914.7998046875</v>
      </c>
      <c r="AA1511" s="31" cm="1">
        <f t="array" ref="AA1511">IF(LEFT(_xll.BDP($C1511, VOLUME_AVG_3M), 4) = "#N/A", "",  _xll.BDP($C1511, VOLUME_AVG_3M))</f>
        <v>23558.40234375</v>
      </c>
      <c r="AB1511" s="31" cm="1">
        <f t="array" ref="AB1511">IF(LEFT(_xll.BDP($C1511, VOLUME_AVG_6M), 4) = "#N/A", "",  _xll.BDP($C1511, VOLUME_AVG_6M))</f>
        <v>52410.984375</v>
      </c>
      <c r="AC1511" s="31" cm="1">
        <f t="array" ref="AC1511">IF(LEFT(_xll.BDP($C1511, VOLUME_AVG_12M), 4) = "#N/A", "",  _xll.BDP($C1511, VOLUME_AVG_12M))</f>
        <v>44801.7109375</v>
      </c>
      <c r="AD1511" s="41" cm="1">
        <f t="array" ref="AD1511">IF(LEFT(_xll.BDP($C1511, LAST_PRICE), 4) = "#N/A", "",  _xll.BDP($C1511, LAST_PRICE))</f>
        <v>2.0000000000000001E-4</v>
      </c>
    </row>
    <row r="1512" spans="1:30" x14ac:dyDescent="0.35">
      <c r="A1512" s="1">
        <f t="shared" si="23"/>
        <v>1509</v>
      </c>
      <c r="B1512" s="28">
        <v>45700</v>
      </c>
      <c r="C1512" s="29" t="s">
        <v>3066</v>
      </c>
      <c r="D1512" s="29" t="s">
        <v>3066</v>
      </c>
      <c r="E1512" s="29" t="s">
        <v>3067</v>
      </c>
      <c r="F1512" s="29" t="s">
        <v>33</v>
      </c>
      <c r="G1512" s="30" t="s">
        <v>34</v>
      </c>
      <c r="H1512" s="31">
        <v>383751654.98180801</v>
      </c>
      <c r="I1512" s="31">
        <v>383872824.98180801</v>
      </c>
      <c r="J1512" s="32">
        <v>7.1599998474121103</v>
      </c>
      <c r="K1512" s="33">
        <v>45700</v>
      </c>
      <c r="L1512" s="31">
        <v>2127100</v>
      </c>
      <c r="M1512" s="32">
        <v>-0.05</v>
      </c>
      <c r="N1512" s="31" t="s">
        <v>35</v>
      </c>
      <c r="O1512" s="33">
        <v>45699</v>
      </c>
      <c r="P1512" s="34">
        <v>267929.15625</v>
      </c>
      <c r="Q1512" s="34">
        <v>324667.8125</v>
      </c>
      <c r="R1512" s="34"/>
      <c r="S1512" s="29"/>
      <c r="T1512" s="33"/>
      <c r="U1512" s="35" t="b">
        <v>0</v>
      </c>
      <c r="V1512" s="35" t="b">
        <v>0</v>
      </c>
      <c r="W1512" s="35" t="b">
        <v>0</v>
      </c>
      <c r="Y1512" s="31" cm="1">
        <f t="array" ref="Y1512">IF(LEFT(_xll.BDP($C1512, VOLUME_AVG_10D), 4) = "#N/A", "",  _xll.BDP($C1512, VOLUME_AVG_10D))</f>
        <v>296763.1875</v>
      </c>
      <c r="Z1512" s="31" cm="1">
        <f t="array" ref="Z1512">IF(LEFT(_xll.BDP($C1512, VOLUME_AVG_30D), 4) = "#N/A", "",  _xll.BDP($C1512, VOLUME_AVG_30D))</f>
        <v>267929.15625</v>
      </c>
      <c r="AA1512" s="31" cm="1">
        <f t="array" ref="AA1512">IF(LEFT(_xll.BDP($C1512, VOLUME_AVG_3M), 4) = "#N/A", "",  _xll.BDP($C1512, VOLUME_AVG_3M))</f>
        <v>324667.8125</v>
      </c>
      <c r="AB1512" s="31" t="str" cm="1">
        <f t="array" ref="AB1512">IF(LEFT(_xll.BDP($C1512, VOLUME_AVG_6M), 4) = "#N/A", "",  _xll.BDP($C1512, VOLUME_AVG_6M))</f>
        <v/>
      </c>
      <c r="AC1512" s="31" t="str" cm="1">
        <f t="array" ref="AC1512">IF(LEFT(_xll.BDP($C1512, VOLUME_AVG_12M), 4) = "#N/A", "",  _xll.BDP($C1512, VOLUME_AVG_12M))</f>
        <v/>
      </c>
      <c r="AD1512" s="41" cm="1">
        <f t="array" ref="AD1512">IF(LEFT(_xll.BDP($C1512, LAST_PRICE), 4) = "#N/A", "",  _xll.BDP($C1512, LAST_PRICE))</f>
        <v>7.16</v>
      </c>
    </row>
    <row r="1513" spans="1:30" x14ac:dyDescent="0.35">
      <c r="A1513" s="1">
        <f t="shared" si="23"/>
        <v>1510</v>
      </c>
      <c r="B1513" s="28">
        <v>45700</v>
      </c>
      <c r="C1513" s="29" t="s">
        <v>3068</v>
      </c>
      <c r="D1513" s="29" t="s">
        <v>3068</v>
      </c>
      <c r="E1513" s="29" t="s">
        <v>3069</v>
      </c>
      <c r="F1513" s="29" t="s">
        <v>33</v>
      </c>
      <c r="G1513" s="30" t="s">
        <v>34</v>
      </c>
      <c r="H1513" s="31">
        <v>437607918.35066003</v>
      </c>
      <c r="I1513" s="31">
        <v>306137918.35066003</v>
      </c>
      <c r="J1513" s="32">
        <v>10.3699998855591</v>
      </c>
      <c r="K1513" s="33">
        <v>45700</v>
      </c>
      <c r="L1513" s="31"/>
      <c r="M1513" s="32"/>
      <c r="N1513" s="31"/>
      <c r="O1513" s="33">
        <v>45699</v>
      </c>
      <c r="P1513" s="34">
        <v>373236.46875</v>
      </c>
      <c r="Q1513" s="34">
        <v>398564.65625</v>
      </c>
      <c r="R1513" s="34">
        <v>501886.1875</v>
      </c>
      <c r="S1513" s="29" t="s">
        <v>46</v>
      </c>
      <c r="T1513" s="33">
        <v>45446</v>
      </c>
      <c r="U1513" s="35" t="b">
        <v>0</v>
      </c>
      <c r="V1513" s="35" t="b">
        <v>0</v>
      </c>
      <c r="W1513" s="35" t="b">
        <v>0</v>
      </c>
      <c r="Y1513" s="31" cm="1">
        <f t="array" ref="Y1513">IF(LEFT(_xll.BDP($C1513, VOLUME_AVG_10D), 4) = "#N/A", "",  _xll.BDP($C1513, VOLUME_AVG_10D))</f>
        <v>337557.90625</v>
      </c>
      <c r="Z1513" s="31" cm="1">
        <f t="array" ref="Z1513">IF(LEFT(_xll.BDP($C1513, VOLUME_AVG_30D), 4) = "#N/A", "",  _xll.BDP($C1513, VOLUME_AVG_30D))</f>
        <v>373236.46875</v>
      </c>
      <c r="AA1513" s="31" cm="1">
        <f t="array" ref="AA1513">IF(LEFT(_xll.BDP($C1513, VOLUME_AVG_3M), 4) = "#N/A", "",  _xll.BDP($C1513, VOLUME_AVG_3M))</f>
        <v>398564.65625</v>
      </c>
      <c r="AB1513" s="31" cm="1">
        <f t="array" ref="AB1513">IF(LEFT(_xll.BDP($C1513, VOLUME_AVG_6M), 4) = "#N/A", "",  _xll.BDP($C1513, VOLUME_AVG_6M))</f>
        <v>501886.1875</v>
      </c>
      <c r="AC1513" s="31" cm="1">
        <f t="array" ref="AC1513">IF(LEFT(_xll.BDP($C1513, VOLUME_AVG_12M), 4) = "#N/A", "",  _xll.BDP($C1513, VOLUME_AVG_12M))</f>
        <v>499674.34375</v>
      </c>
      <c r="AD1513" s="41" cm="1">
        <f t="array" ref="AD1513">IF(LEFT(_xll.BDP($C1513, LAST_PRICE), 4) = "#N/A", "",  _xll.BDP($C1513, LAST_PRICE))</f>
        <v>10.37</v>
      </c>
    </row>
    <row r="1514" spans="1:30" x14ac:dyDescent="0.35">
      <c r="A1514" s="1">
        <f t="shared" si="23"/>
        <v>1511</v>
      </c>
      <c r="B1514" s="28">
        <v>45700</v>
      </c>
      <c r="C1514" s="29" t="s">
        <v>3070</v>
      </c>
      <c r="D1514" s="29" t="s">
        <v>3070</v>
      </c>
      <c r="E1514" s="29" t="s">
        <v>3071</v>
      </c>
      <c r="F1514" s="29" t="s">
        <v>33</v>
      </c>
      <c r="G1514" s="30" t="s">
        <v>34</v>
      </c>
      <c r="H1514" s="31">
        <v>2181.7725999999998</v>
      </c>
      <c r="I1514" s="31">
        <v>4842181.7725999998</v>
      </c>
      <c r="J1514" s="32">
        <v>1E-4</v>
      </c>
      <c r="K1514" s="33">
        <v>45700</v>
      </c>
      <c r="L1514" s="31"/>
      <c r="M1514" s="32"/>
      <c r="N1514" s="31"/>
      <c r="O1514" s="33">
        <v>45699</v>
      </c>
      <c r="P1514" s="34">
        <v>73.333335876464801</v>
      </c>
      <c r="Q1514" s="34">
        <v>609.98388671875</v>
      </c>
      <c r="R1514" s="34">
        <v>366.02380371093801</v>
      </c>
      <c r="S1514" s="29"/>
      <c r="T1514" s="33"/>
      <c r="U1514" s="35" t="b">
        <v>1</v>
      </c>
      <c r="V1514" s="35" t="b">
        <v>1</v>
      </c>
      <c r="W1514" s="35" t="b">
        <v>0</v>
      </c>
      <c r="Y1514" s="31" cm="1">
        <f t="array" ref="Y1514">IF(LEFT(_xll.BDP($C1514, VOLUME_AVG_10D), 4) = "#N/A", "",  _xll.BDP($C1514, VOLUME_AVG_10D))</f>
        <v>30</v>
      </c>
      <c r="Z1514" s="31" cm="1">
        <f t="array" ref="Z1514">IF(LEFT(_xll.BDP($C1514, VOLUME_AVG_30D), 4) = "#N/A", "",  _xll.BDP($C1514, VOLUME_AVG_30D))</f>
        <v>73.333335876464844</v>
      </c>
      <c r="AA1514" s="31" cm="1">
        <f t="array" ref="AA1514">IF(LEFT(_xll.BDP($C1514, VOLUME_AVG_3M), 4) = "#N/A", "",  _xll.BDP($C1514, VOLUME_AVG_3M))</f>
        <v>609.98388671875</v>
      </c>
      <c r="AB1514" s="31" cm="1">
        <f t="array" ref="AB1514">IF(LEFT(_xll.BDP($C1514, VOLUME_AVG_6M), 4) = "#N/A", "",  _xll.BDP($C1514, VOLUME_AVG_6M))</f>
        <v>366.0238037109375</v>
      </c>
      <c r="AC1514" s="31" cm="1">
        <f t="array" ref="AC1514">IF(LEFT(_xll.BDP($C1514, VOLUME_AVG_12M), 4) = "#N/A", "",  _xll.BDP($C1514, VOLUME_AVG_12M))</f>
        <v>219.59761047363281</v>
      </c>
      <c r="AD1514" s="41" cm="1">
        <f t="array" ref="AD1514">IF(LEFT(_xll.BDP($C1514, LAST_PRICE), 4) = "#N/A", "",  _xll.BDP($C1514, LAST_PRICE))</f>
        <v>1E-4</v>
      </c>
    </row>
    <row r="1515" spans="1:30" x14ac:dyDescent="0.35">
      <c r="A1515" s="1">
        <f t="shared" si="23"/>
        <v>1512</v>
      </c>
      <c r="B1515" s="28">
        <v>45700</v>
      </c>
      <c r="C1515" s="29" t="s">
        <v>3072</v>
      </c>
      <c r="D1515" s="29" t="s">
        <v>3072</v>
      </c>
      <c r="E1515" s="29" t="s">
        <v>3073</v>
      </c>
      <c r="F1515" s="29" t="s">
        <v>33</v>
      </c>
      <c r="G1515" s="30" t="s">
        <v>34</v>
      </c>
      <c r="H1515" s="31">
        <v>15646431.185511099</v>
      </c>
      <c r="I1515" s="31">
        <v>12540431.185511099</v>
      </c>
      <c r="J1515" s="32">
        <v>0.89999997615814198</v>
      </c>
      <c r="K1515" s="33">
        <v>45700</v>
      </c>
      <c r="L1515" s="31">
        <v>99600</v>
      </c>
      <c r="M1515" s="32">
        <v>-1.35</v>
      </c>
      <c r="N1515" s="31" t="s">
        <v>35</v>
      </c>
      <c r="O1515" s="33">
        <v>45699</v>
      </c>
      <c r="P1515" s="34">
        <v>4212.10009765625</v>
      </c>
      <c r="Q1515" s="34">
        <v>3473.5966796875</v>
      </c>
      <c r="R1515" s="34">
        <v>2075.92065429688</v>
      </c>
      <c r="S1515" s="29"/>
      <c r="T1515" s="33"/>
      <c r="U1515" s="35" t="b">
        <v>1</v>
      </c>
      <c r="V1515" s="35" t="b">
        <v>0</v>
      </c>
      <c r="W1515" s="35" t="b">
        <v>0</v>
      </c>
      <c r="Y1515" s="31" cm="1">
        <f t="array" ref="Y1515">IF(LEFT(_xll.BDP($C1515, VOLUME_AVG_10D), 4) = "#N/A", "",  _xll.BDP($C1515, VOLUME_AVG_10D))</f>
        <v>5937.10009765625</v>
      </c>
      <c r="Z1515" s="31" cm="1">
        <f t="array" ref="Z1515">IF(LEFT(_xll.BDP($C1515, VOLUME_AVG_30D), 4) = "#N/A", "",  _xll.BDP($C1515, VOLUME_AVG_30D))</f>
        <v>4212.10009765625</v>
      </c>
      <c r="AA1515" s="31" cm="1">
        <f t="array" ref="AA1515">IF(LEFT(_xll.BDP($C1515, VOLUME_AVG_3M), 4) = "#N/A", "",  _xll.BDP($C1515, VOLUME_AVG_3M))</f>
        <v>3473.5966796875</v>
      </c>
      <c r="AB1515" s="31" cm="1">
        <f t="array" ref="AB1515">IF(LEFT(_xll.BDP($C1515, VOLUME_AVG_6M), 4) = "#N/A", "",  _xll.BDP($C1515, VOLUME_AVG_6M))</f>
        <v>2075.920654296875</v>
      </c>
      <c r="AC1515" s="31" cm="1">
        <f t="array" ref="AC1515">IF(LEFT(_xll.BDP($C1515, VOLUME_AVG_12M), 4) = "#N/A", "",  _xll.BDP($C1515, VOLUME_AVG_12M))</f>
        <v>2701.537841796875</v>
      </c>
      <c r="AD1515" s="41" cm="1">
        <f t="array" ref="AD1515">IF(LEFT(_xll.BDP($C1515, LAST_PRICE), 4) = "#N/A", "",  _xll.BDP($C1515, LAST_PRICE))</f>
        <v>0.9</v>
      </c>
    </row>
    <row r="1516" spans="1:30" x14ac:dyDescent="0.35">
      <c r="A1516" s="1">
        <f t="shared" si="23"/>
        <v>1513</v>
      </c>
      <c r="B1516" s="28">
        <v>45700</v>
      </c>
      <c r="C1516" s="29" t="s">
        <v>3074</v>
      </c>
      <c r="D1516" s="29" t="s">
        <v>3074</v>
      </c>
      <c r="E1516" s="29" t="s">
        <v>3075</v>
      </c>
      <c r="F1516" s="29" t="s">
        <v>33</v>
      </c>
      <c r="G1516" s="30" t="s">
        <v>34</v>
      </c>
      <c r="H1516" s="31">
        <v>1284432388.5505099</v>
      </c>
      <c r="I1516" s="31">
        <v>1609783388.5505099</v>
      </c>
      <c r="J1516" s="32">
        <v>85.089996337890597</v>
      </c>
      <c r="K1516" s="33">
        <v>45700</v>
      </c>
      <c r="L1516" s="31">
        <v>3822200</v>
      </c>
      <c r="M1516" s="32">
        <v>3.88</v>
      </c>
      <c r="N1516" s="31" t="s">
        <v>35</v>
      </c>
      <c r="O1516" s="33">
        <v>45699</v>
      </c>
      <c r="P1516" s="34">
        <v>84249.1328125</v>
      </c>
      <c r="Q1516" s="34">
        <v>99457</v>
      </c>
      <c r="R1516" s="34">
        <v>106955.109375</v>
      </c>
      <c r="S1516" s="29"/>
      <c r="T1516" s="33"/>
      <c r="U1516" s="35" t="b">
        <v>0</v>
      </c>
      <c r="V1516" s="35" t="b">
        <v>0</v>
      </c>
      <c r="W1516" s="35" t="b">
        <v>0</v>
      </c>
      <c r="Y1516" s="31" cm="1">
        <f t="array" ref="Y1516">IF(LEFT(_xll.BDP($C1516, VOLUME_AVG_10D), 4) = "#N/A", "",  _xll.BDP($C1516, VOLUME_AVG_10D))</f>
        <v>87738.8984375</v>
      </c>
      <c r="Z1516" s="31" cm="1">
        <f t="array" ref="Z1516">IF(LEFT(_xll.BDP($C1516, VOLUME_AVG_30D), 4) = "#N/A", "",  _xll.BDP($C1516, VOLUME_AVG_30D))</f>
        <v>84249.1328125</v>
      </c>
      <c r="AA1516" s="31" cm="1">
        <f t="array" ref="AA1516">IF(LEFT(_xll.BDP($C1516, VOLUME_AVG_3M), 4) = "#N/A", "",  _xll.BDP($C1516, VOLUME_AVG_3M))</f>
        <v>99457</v>
      </c>
      <c r="AB1516" s="31" cm="1">
        <f t="array" ref="AB1516">IF(LEFT(_xll.BDP($C1516, VOLUME_AVG_6M), 4) = "#N/A", "",  _xll.BDP($C1516, VOLUME_AVG_6M))</f>
        <v>106955.109375</v>
      </c>
      <c r="AC1516" s="31" cm="1">
        <f t="array" ref="AC1516">IF(LEFT(_xll.BDP($C1516, VOLUME_AVG_12M), 4) = "#N/A", "",  _xll.BDP($C1516, VOLUME_AVG_12M))</f>
        <v>97016.125</v>
      </c>
      <c r="AD1516" s="41" cm="1">
        <f t="array" ref="AD1516">IF(LEFT(_xll.BDP($C1516, LAST_PRICE), 4) = "#N/A", "",  _xll.BDP($C1516, LAST_PRICE))</f>
        <v>85.09</v>
      </c>
    </row>
    <row r="1517" spans="1:30" x14ac:dyDescent="0.35">
      <c r="A1517" s="1">
        <f t="shared" si="23"/>
        <v>1514</v>
      </c>
      <c r="B1517" s="28">
        <v>45700</v>
      </c>
      <c r="C1517" s="29" t="s">
        <v>3076</v>
      </c>
      <c r="D1517" s="29" t="s">
        <v>3076</v>
      </c>
      <c r="E1517" s="29" t="s">
        <v>3077</v>
      </c>
      <c r="F1517" s="29" t="s">
        <v>33</v>
      </c>
      <c r="G1517" s="30" t="s">
        <v>34</v>
      </c>
      <c r="H1517" s="31">
        <v>64150.731699999997</v>
      </c>
      <c r="I1517" s="31">
        <v>9005882.7316999994</v>
      </c>
      <c r="J1517" s="32">
        <v>9.9999999747524292E-7</v>
      </c>
      <c r="K1517" s="33">
        <v>45700</v>
      </c>
      <c r="L1517" s="31"/>
      <c r="M1517" s="32"/>
      <c r="N1517" s="31"/>
      <c r="O1517" s="33">
        <v>45699</v>
      </c>
      <c r="P1517" s="34">
        <v>141368.53125</v>
      </c>
      <c r="Q1517" s="34">
        <v>317074.75</v>
      </c>
      <c r="R1517" s="34">
        <v>169115.09375</v>
      </c>
      <c r="S1517" s="29"/>
      <c r="T1517" s="33"/>
      <c r="U1517" s="35" t="b">
        <v>1</v>
      </c>
      <c r="V1517" s="35" t="b">
        <v>1</v>
      </c>
      <c r="W1517" s="35" t="b">
        <v>0</v>
      </c>
      <c r="Y1517" s="31" cm="1">
        <f t="array" ref="Y1517">IF(LEFT(_xll.BDP($C1517, VOLUME_AVG_10D), 4) = "#N/A", "",  _xll.BDP($C1517, VOLUME_AVG_10D))</f>
        <v>0</v>
      </c>
      <c r="Z1517" s="31" cm="1">
        <f t="array" ref="Z1517">IF(LEFT(_xll.BDP($C1517, VOLUME_AVG_30D), 4) = "#N/A", "",  _xll.BDP($C1517, VOLUME_AVG_30D))</f>
        <v>141368.53125</v>
      </c>
      <c r="AA1517" s="31" cm="1">
        <f t="array" ref="AA1517">IF(LEFT(_xll.BDP($C1517, VOLUME_AVG_3M), 4) = "#N/A", "",  _xll.BDP($C1517, VOLUME_AVG_3M))</f>
        <v>317074.75</v>
      </c>
      <c r="AB1517" s="31" cm="1">
        <f t="array" ref="AB1517">IF(LEFT(_xll.BDP($C1517, VOLUME_AVG_6M), 4) = "#N/A", "",  _xll.BDP($C1517, VOLUME_AVG_6M))</f>
        <v>169115.09375</v>
      </c>
      <c r="AC1517" s="31" cm="1">
        <f t="array" ref="AC1517">IF(LEFT(_xll.BDP($C1517, VOLUME_AVG_12M), 4) = "#N/A", "",  _xll.BDP($C1517, VOLUME_AVG_12M))</f>
        <v>105619.3828125</v>
      </c>
      <c r="AD1517" s="41" cm="1">
        <f t="array" ref="AD1517">IF(LEFT(_xll.BDP($C1517, LAST_PRICE), 4) = "#N/A", "",  _xll.BDP($C1517, LAST_PRICE))</f>
        <v>9.9999999999999995E-7</v>
      </c>
    </row>
    <row r="1518" spans="1:30" x14ac:dyDescent="0.35">
      <c r="A1518" s="1">
        <f t="shared" si="23"/>
        <v>1515</v>
      </c>
      <c r="B1518" s="28">
        <v>45700</v>
      </c>
      <c r="C1518" s="29" t="s">
        <v>3078</v>
      </c>
      <c r="D1518" s="29" t="s">
        <v>3078</v>
      </c>
      <c r="E1518" s="29" t="s">
        <v>3079</v>
      </c>
      <c r="F1518" s="29" t="s">
        <v>33</v>
      </c>
      <c r="G1518" s="30" t="s">
        <v>34</v>
      </c>
      <c r="H1518" s="31">
        <v>205328677.905121</v>
      </c>
      <c r="I1518" s="31">
        <v>122634677.905121</v>
      </c>
      <c r="J1518" s="32">
        <v>60.540000915527301</v>
      </c>
      <c r="K1518" s="33">
        <v>45700</v>
      </c>
      <c r="L1518" s="31">
        <v>750300</v>
      </c>
      <c r="M1518" s="32">
        <v>3.88</v>
      </c>
      <c r="N1518" s="31" t="s">
        <v>35</v>
      </c>
      <c r="O1518" s="33">
        <v>45699</v>
      </c>
      <c r="P1518" s="34">
        <v>23298.767578125</v>
      </c>
      <c r="Q1518" s="34">
        <v>21708.984375</v>
      </c>
      <c r="R1518" s="34">
        <v>20839.849609375</v>
      </c>
      <c r="S1518" s="29"/>
      <c r="T1518" s="33"/>
      <c r="U1518" s="35" t="b">
        <v>0</v>
      </c>
      <c r="V1518" s="35" t="b">
        <v>0</v>
      </c>
      <c r="W1518" s="35" t="b">
        <v>0</v>
      </c>
      <c r="Y1518" s="31" cm="1">
        <f t="array" ref="Y1518">IF(LEFT(_xll.BDP($C1518, VOLUME_AVG_10D), 4) = "#N/A", "",  _xll.BDP($C1518, VOLUME_AVG_10D))</f>
        <v>28212</v>
      </c>
      <c r="Z1518" s="31" cm="1">
        <f t="array" ref="Z1518">IF(LEFT(_xll.BDP($C1518, VOLUME_AVG_30D), 4) = "#N/A", "",  _xll.BDP($C1518, VOLUME_AVG_30D))</f>
        <v>23298.767578125</v>
      </c>
      <c r="AA1518" s="31" cm="1">
        <f t="array" ref="AA1518">IF(LEFT(_xll.BDP($C1518, VOLUME_AVG_3M), 4) = "#N/A", "",  _xll.BDP($C1518, VOLUME_AVG_3M))</f>
        <v>21708.984375</v>
      </c>
      <c r="AB1518" s="31" cm="1">
        <f t="array" ref="AB1518">IF(LEFT(_xll.BDP($C1518, VOLUME_AVG_6M), 4) = "#N/A", "",  _xll.BDP($C1518, VOLUME_AVG_6M))</f>
        <v>20839.849609375</v>
      </c>
      <c r="AC1518" s="31" cm="1">
        <f t="array" ref="AC1518">IF(LEFT(_xll.BDP($C1518, VOLUME_AVG_12M), 4) = "#N/A", "",  _xll.BDP($C1518, VOLUME_AVG_12M))</f>
        <v>22999.61328125</v>
      </c>
      <c r="AD1518" s="41" cm="1">
        <f t="array" ref="AD1518">IF(LEFT(_xll.BDP($C1518, LAST_PRICE), 4) = "#N/A", "",  _xll.BDP($C1518, LAST_PRICE))</f>
        <v>60.54</v>
      </c>
    </row>
    <row r="1519" spans="1:30" x14ac:dyDescent="0.35">
      <c r="A1519" s="1">
        <f t="shared" si="23"/>
        <v>1516</v>
      </c>
      <c r="B1519" s="28">
        <v>45700</v>
      </c>
      <c r="C1519" s="29" t="s">
        <v>3080</v>
      </c>
      <c r="D1519" s="29" t="s">
        <v>3080</v>
      </c>
      <c r="E1519" s="29" t="s">
        <v>3081</v>
      </c>
      <c r="F1519" s="29" t="s">
        <v>33</v>
      </c>
      <c r="G1519" s="30" t="s">
        <v>34</v>
      </c>
      <c r="H1519" s="31">
        <v>2989687.1380176502</v>
      </c>
      <c r="I1519" s="31">
        <v>1892687.13801765</v>
      </c>
      <c r="J1519" s="32">
        <v>1.1499999761581401</v>
      </c>
      <c r="K1519" s="33">
        <v>45700</v>
      </c>
      <c r="L1519" s="31">
        <v>54200</v>
      </c>
      <c r="M1519" s="32">
        <v>-41.85</v>
      </c>
      <c r="N1519" s="31" t="s">
        <v>35</v>
      </c>
      <c r="O1519" s="33">
        <v>45699</v>
      </c>
      <c r="P1519" s="34">
        <v>3723.7333984375</v>
      </c>
      <c r="Q1519" s="34">
        <v>43133.11328125</v>
      </c>
      <c r="R1519" s="34">
        <v>68384.3125</v>
      </c>
      <c r="S1519" s="29"/>
      <c r="T1519" s="33"/>
      <c r="U1519" s="35" t="b">
        <v>1</v>
      </c>
      <c r="V1519" s="35" t="b">
        <v>0</v>
      </c>
      <c r="W1519" s="35" t="b">
        <v>0</v>
      </c>
      <c r="Y1519" s="31" cm="1">
        <f t="array" ref="Y1519">IF(LEFT(_xll.BDP($C1519, VOLUME_AVG_10D), 4) = "#N/A", "",  _xll.BDP($C1519, VOLUME_AVG_10D))</f>
        <v>3423.89990234375</v>
      </c>
      <c r="Z1519" s="31" cm="1">
        <f t="array" ref="Z1519">IF(LEFT(_xll.BDP($C1519, VOLUME_AVG_30D), 4) = "#N/A", "",  _xll.BDP($C1519, VOLUME_AVG_30D))</f>
        <v>3723.7333984375</v>
      </c>
      <c r="AA1519" s="31" cm="1">
        <f t="array" ref="AA1519">IF(LEFT(_xll.BDP($C1519, VOLUME_AVG_3M), 4) = "#N/A", "",  _xll.BDP($C1519, VOLUME_AVG_3M))</f>
        <v>43133.11328125</v>
      </c>
      <c r="AB1519" s="31" cm="1">
        <f t="array" ref="AB1519">IF(LEFT(_xll.BDP($C1519, VOLUME_AVG_6M), 4) = "#N/A", "",  _xll.BDP($C1519, VOLUME_AVG_6M))</f>
        <v>68384.3125</v>
      </c>
      <c r="AC1519" s="31" cm="1">
        <f t="array" ref="AC1519">IF(LEFT(_xll.BDP($C1519, VOLUME_AVG_12M), 4) = "#N/A", "",  _xll.BDP($C1519, VOLUME_AVG_12M))</f>
        <v>57971.82421875</v>
      </c>
      <c r="AD1519" s="41" cm="1">
        <f t="array" ref="AD1519">IF(LEFT(_xll.BDP($C1519, LAST_PRICE), 4) = "#N/A", "",  _xll.BDP($C1519, LAST_PRICE))</f>
        <v>1.1499999999999999</v>
      </c>
    </row>
    <row r="1520" spans="1:30" x14ac:dyDescent="0.35">
      <c r="A1520" s="1">
        <f t="shared" si="23"/>
        <v>1517</v>
      </c>
      <c r="B1520" s="28">
        <v>45700</v>
      </c>
      <c r="C1520" s="29" t="s">
        <v>3082</v>
      </c>
      <c r="D1520" s="29" t="s">
        <v>3082</v>
      </c>
      <c r="E1520" s="29" t="s">
        <v>3083</v>
      </c>
      <c r="F1520" s="29" t="s">
        <v>33</v>
      </c>
      <c r="G1520" s="30" t="s">
        <v>34</v>
      </c>
      <c r="H1520" s="31">
        <v>276963684</v>
      </c>
      <c r="I1520" s="31">
        <v>-91357316</v>
      </c>
      <c r="J1520" s="32">
        <v>4.75</v>
      </c>
      <c r="K1520" s="33">
        <v>45700</v>
      </c>
      <c r="L1520" s="31">
        <v>20140600</v>
      </c>
      <c r="M1520" s="32">
        <v>3.88</v>
      </c>
      <c r="N1520" s="31" t="s">
        <v>35</v>
      </c>
      <c r="O1520" s="33">
        <v>45699</v>
      </c>
      <c r="P1520" s="34">
        <v>565104.6875</v>
      </c>
      <c r="Q1520" s="34">
        <v>623983.5625</v>
      </c>
      <c r="R1520" s="34">
        <v>606464.875</v>
      </c>
      <c r="S1520" s="29" t="s">
        <v>285</v>
      </c>
      <c r="T1520" s="33">
        <v>45446</v>
      </c>
      <c r="U1520" s="35" t="b">
        <v>0</v>
      </c>
      <c r="V1520" s="35" t="b">
        <v>0</v>
      </c>
      <c r="W1520" s="35" t="b">
        <v>1</v>
      </c>
      <c r="Y1520" s="31" cm="1">
        <f t="array" ref="Y1520">IF(LEFT(_xll.BDP($C1520, VOLUME_AVG_10D), 4) = "#N/A", "",  _xll.BDP($C1520, VOLUME_AVG_10D))</f>
        <v>530003.5</v>
      </c>
      <c r="Z1520" s="31" cm="1">
        <f t="array" ref="Z1520">IF(LEFT(_xll.BDP($C1520, VOLUME_AVG_30D), 4) = "#N/A", "",  _xll.BDP($C1520, VOLUME_AVG_30D))</f>
        <v>565104.6875</v>
      </c>
      <c r="AA1520" s="31" cm="1">
        <f t="array" ref="AA1520">IF(LEFT(_xll.BDP($C1520, VOLUME_AVG_3M), 4) = "#N/A", "",  _xll.BDP($C1520, VOLUME_AVG_3M))</f>
        <v>623983.5625</v>
      </c>
      <c r="AB1520" s="31" cm="1">
        <f t="array" ref="AB1520">IF(LEFT(_xll.BDP($C1520, VOLUME_AVG_6M), 4) = "#N/A", "",  _xll.BDP($C1520, VOLUME_AVG_6M))</f>
        <v>606464.875</v>
      </c>
      <c r="AC1520" s="31" cm="1">
        <f t="array" ref="AC1520">IF(LEFT(_xll.BDP($C1520, VOLUME_AVG_12M), 4) = "#N/A", "",  _xll.BDP($C1520, VOLUME_AVG_12M))</f>
        <v>1164017</v>
      </c>
      <c r="AD1520" s="41" cm="1">
        <f t="array" ref="AD1520">IF(LEFT(_xll.BDP($C1520, LAST_PRICE), 4) = "#N/A", "",  _xll.BDP($C1520, LAST_PRICE))</f>
        <v>4.75</v>
      </c>
    </row>
    <row r="1521" spans="1:30" x14ac:dyDescent="0.35">
      <c r="A1521" s="1">
        <f t="shared" si="23"/>
        <v>1518</v>
      </c>
      <c r="B1521" s="28">
        <v>45700</v>
      </c>
      <c r="C1521" s="29" t="s">
        <v>3084</v>
      </c>
      <c r="D1521" s="29" t="s">
        <v>3084</v>
      </c>
      <c r="E1521" s="29" t="s">
        <v>3085</v>
      </c>
      <c r="F1521" s="29" t="s">
        <v>33</v>
      </c>
      <c r="G1521" s="30" t="s">
        <v>34</v>
      </c>
      <c r="H1521" s="31">
        <v>553727982.71179199</v>
      </c>
      <c r="I1521" s="31">
        <v>953427982.71179199</v>
      </c>
      <c r="J1521" s="32">
        <v>13.439999580383301</v>
      </c>
      <c r="K1521" s="33">
        <v>45700</v>
      </c>
      <c r="L1521" s="31">
        <v>14150200</v>
      </c>
      <c r="M1521" s="32">
        <v>3.88</v>
      </c>
      <c r="N1521" s="31" t="s">
        <v>35</v>
      </c>
      <c r="O1521" s="33">
        <v>45699</v>
      </c>
      <c r="P1521" s="34">
        <v>520295.34375</v>
      </c>
      <c r="Q1521" s="34">
        <v>613378.9375</v>
      </c>
      <c r="R1521" s="34">
        <v>646588.875</v>
      </c>
      <c r="S1521" s="29"/>
      <c r="T1521" s="33"/>
      <c r="U1521" s="35" t="b">
        <v>0</v>
      </c>
      <c r="V1521" s="35" t="b">
        <v>0</v>
      </c>
      <c r="W1521" s="35" t="b">
        <v>0</v>
      </c>
      <c r="Y1521" s="31" cm="1">
        <f t="array" ref="Y1521">IF(LEFT(_xll.BDP($C1521, VOLUME_AVG_10D), 4) = "#N/A", "",  _xll.BDP($C1521, VOLUME_AVG_10D))</f>
        <v>774769.875</v>
      </c>
      <c r="Z1521" s="31" cm="1">
        <f t="array" ref="Z1521">IF(LEFT(_xll.BDP($C1521, VOLUME_AVG_30D), 4) = "#N/A", "",  _xll.BDP($C1521, VOLUME_AVG_30D))</f>
        <v>520295.34375</v>
      </c>
      <c r="AA1521" s="31" cm="1">
        <f t="array" ref="AA1521">IF(LEFT(_xll.BDP($C1521, VOLUME_AVG_3M), 4) = "#N/A", "",  _xll.BDP($C1521, VOLUME_AVG_3M))</f>
        <v>613378.9375</v>
      </c>
      <c r="AB1521" s="31" cm="1">
        <f t="array" ref="AB1521">IF(LEFT(_xll.BDP($C1521, VOLUME_AVG_6M), 4) = "#N/A", "",  _xll.BDP($C1521, VOLUME_AVG_6M))</f>
        <v>646588.875</v>
      </c>
      <c r="AC1521" s="31" cm="1">
        <f t="array" ref="AC1521">IF(LEFT(_xll.BDP($C1521, VOLUME_AVG_12M), 4) = "#N/A", "",  _xll.BDP($C1521, VOLUME_AVG_12M))</f>
        <v>537134.125</v>
      </c>
      <c r="AD1521" s="41" cm="1">
        <f t="array" ref="AD1521">IF(LEFT(_xll.BDP($C1521, LAST_PRICE), 4) = "#N/A", "",  _xll.BDP($C1521, LAST_PRICE))</f>
        <v>13.44</v>
      </c>
    </row>
    <row r="1522" spans="1:30" x14ac:dyDescent="0.35">
      <c r="A1522" s="1">
        <f t="shared" si="23"/>
        <v>1519</v>
      </c>
      <c r="B1522" s="28">
        <v>45700</v>
      </c>
      <c r="C1522" s="29" t="s">
        <v>3086</v>
      </c>
      <c r="D1522" s="29" t="s">
        <v>3086</v>
      </c>
      <c r="E1522" s="29" t="s">
        <v>3087</v>
      </c>
      <c r="F1522" s="29" t="s">
        <v>33</v>
      </c>
      <c r="G1522" s="30" t="s">
        <v>34</v>
      </c>
      <c r="H1522" s="31">
        <v>21943288.875</v>
      </c>
      <c r="I1522" s="31">
        <v>-2707711.125</v>
      </c>
      <c r="J1522" s="32">
        <v>0.125</v>
      </c>
      <c r="K1522" s="33">
        <v>45700</v>
      </c>
      <c r="L1522" s="31">
        <v>639300</v>
      </c>
      <c r="M1522" s="32">
        <v>3.3</v>
      </c>
      <c r="N1522" s="31" t="s">
        <v>35</v>
      </c>
      <c r="O1522" s="33">
        <v>45699</v>
      </c>
      <c r="P1522" s="34">
        <v>106363.03125</v>
      </c>
      <c r="Q1522" s="34">
        <v>104450.578125</v>
      </c>
      <c r="R1522" s="34">
        <v>173002.578125</v>
      </c>
      <c r="S1522" s="29"/>
      <c r="T1522" s="33"/>
      <c r="U1522" s="35" t="b">
        <v>0</v>
      </c>
      <c r="V1522" s="35" t="b">
        <v>0</v>
      </c>
      <c r="W1522" s="35" t="b">
        <v>1</v>
      </c>
      <c r="Y1522" s="31" cm="1">
        <f t="array" ref="Y1522">IF(LEFT(_xll.BDP($C1522, VOLUME_AVG_10D), 4) = "#N/A", "",  _xll.BDP($C1522, VOLUME_AVG_10D))</f>
        <v>72220.1015625</v>
      </c>
      <c r="Z1522" s="31" cm="1">
        <f t="array" ref="Z1522">IF(LEFT(_xll.BDP($C1522, VOLUME_AVG_30D), 4) = "#N/A", "",  _xll.BDP($C1522, VOLUME_AVG_30D))</f>
        <v>106363.03125</v>
      </c>
      <c r="AA1522" s="31" cm="1">
        <f t="array" ref="AA1522">IF(LEFT(_xll.BDP($C1522, VOLUME_AVG_3M), 4) = "#N/A", "",  _xll.BDP($C1522, VOLUME_AVG_3M))</f>
        <v>104450.578125</v>
      </c>
      <c r="AB1522" s="31" cm="1">
        <f t="array" ref="AB1522">IF(LEFT(_xll.BDP($C1522, VOLUME_AVG_6M), 4) = "#N/A", "",  _xll.BDP($C1522, VOLUME_AVG_6M))</f>
        <v>173002.578125</v>
      </c>
      <c r="AC1522" s="31" cm="1">
        <f t="array" ref="AC1522">IF(LEFT(_xll.BDP($C1522, VOLUME_AVG_12M), 4) = "#N/A", "",  _xll.BDP($C1522, VOLUME_AVG_12M))</f>
        <v>150951.84375</v>
      </c>
      <c r="AD1522" s="41" cm="1">
        <f t="array" ref="AD1522">IF(LEFT(_xll.BDP($C1522, LAST_PRICE), 4) = "#N/A", "",  _xll.BDP($C1522, LAST_PRICE))</f>
        <v>0.125</v>
      </c>
    </row>
    <row r="1523" spans="1:30" x14ac:dyDescent="0.35">
      <c r="A1523" s="1">
        <f t="shared" si="23"/>
        <v>1520</v>
      </c>
      <c r="B1523" s="28">
        <v>45700</v>
      </c>
      <c r="C1523" s="29" t="s">
        <v>3088</v>
      </c>
      <c r="D1523" s="29" t="s">
        <v>3088</v>
      </c>
      <c r="E1523" s="29" t="s">
        <v>3089</v>
      </c>
      <c r="F1523" s="29" t="s">
        <v>33</v>
      </c>
      <c r="G1523" s="30" t="s">
        <v>34</v>
      </c>
      <c r="H1523" s="31">
        <v>164786371.422086</v>
      </c>
      <c r="I1523" s="31">
        <v>124276371.422086</v>
      </c>
      <c r="J1523" s="32">
        <v>0.72439998388290405</v>
      </c>
      <c r="K1523" s="33">
        <v>45700</v>
      </c>
      <c r="L1523" s="31">
        <v>16157100</v>
      </c>
      <c r="M1523" s="32">
        <v>3.7</v>
      </c>
      <c r="N1523" s="31" t="s">
        <v>35</v>
      </c>
      <c r="O1523" s="33">
        <v>45699</v>
      </c>
      <c r="P1523" s="34">
        <v>2070545.875</v>
      </c>
      <c r="Q1523" s="34">
        <v>1805082.625</v>
      </c>
      <c r="R1523" s="34">
        <v>1791789.125</v>
      </c>
      <c r="S1523" s="29" t="s">
        <v>353</v>
      </c>
      <c r="T1523" s="33">
        <v>45446</v>
      </c>
      <c r="U1523" s="35" t="b">
        <v>0</v>
      </c>
      <c r="V1523" s="35" t="b">
        <v>0</v>
      </c>
      <c r="W1523" s="35" t="b">
        <v>0</v>
      </c>
      <c r="Y1523" s="31" cm="1">
        <f t="array" ref="Y1523">IF(LEFT(_xll.BDP($C1523, VOLUME_AVG_10D), 4) = "#N/A", "",  _xll.BDP($C1523, VOLUME_AVG_10D))</f>
        <v>1255451.75</v>
      </c>
      <c r="Z1523" s="31" cm="1">
        <f t="array" ref="Z1523">IF(LEFT(_xll.BDP($C1523, VOLUME_AVG_30D), 4) = "#N/A", "",  _xll.BDP($C1523, VOLUME_AVG_30D))</f>
        <v>2070545.875</v>
      </c>
      <c r="AA1523" s="31" cm="1">
        <f t="array" ref="AA1523">IF(LEFT(_xll.BDP($C1523, VOLUME_AVG_3M), 4) = "#N/A", "",  _xll.BDP($C1523, VOLUME_AVG_3M))</f>
        <v>1805082.625</v>
      </c>
      <c r="AB1523" s="31" cm="1">
        <f t="array" ref="AB1523">IF(LEFT(_xll.BDP($C1523, VOLUME_AVG_6M), 4) = "#N/A", "",  _xll.BDP($C1523, VOLUME_AVG_6M))</f>
        <v>1791789.125</v>
      </c>
      <c r="AC1523" s="31" cm="1">
        <f t="array" ref="AC1523">IF(LEFT(_xll.BDP($C1523, VOLUME_AVG_12M), 4) = "#N/A", "",  _xll.BDP($C1523, VOLUME_AVG_12M))</f>
        <v>2349727.5</v>
      </c>
      <c r="AD1523" s="41" cm="1">
        <f t="array" ref="AD1523">IF(LEFT(_xll.BDP($C1523, LAST_PRICE), 4) = "#N/A", "",  _xll.BDP($C1523, LAST_PRICE))</f>
        <v>0.72440000000000004</v>
      </c>
    </row>
    <row r="1524" spans="1:30" x14ac:dyDescent="0.35">
      <c r="A1524" s="1">
        <f t="shared" si="23"/>
        <v>1521</v>
      </c>
      <c r="B1524" s="28">
        <v>45700</v>
      </c>
      <c r="C1524" s="29" t="s">
        <v>3090</v>
      </c>
      <c r="D1524" s="29" t="s">
        <v>3090</v>
      </c>
      <c r="E1524" s="29" t="s">
        <v>3091</v>
      </c>
      <c r="F1524" s="29" t="s">
        <v>33</v>
      </c>
      <c r="G1524" s="30" t="s">
        <v>34</v>
      </c>
      <c r="H1524" s="31">
        <v>10646453531.103701</v>
      </c>
      <c r="I1524" s="31">
        <v>8493947531.1036701</v>
      </c>
      <c r="J1524" s="32">
        <v>85.419998168945298</v>
      </c>
      <c r="K1524" s="33">
        <v>45700</v>
      </c>
      <c r="L1524" s="31">
        <v>50631300</v>
      </c>
      <c r="M1524" s="32">
        <v>3.88</v>
      </c>
      <c r="N1524" s="31" t="s">
        <v>35</v>
      </c>
      <c r="O1524" s="33">
        <v>45699</v>
      </c>
      <c r="P1524" s="34">
        <v>1130137.625</v>
      </c>
      <c r="Q1524" s="34">
        <v>1291717.375</v>
      </c>
      <c r="R1524" s="34">
        <v>1128068.125</v>
      </c>
      <c r="S1524" s="29" t="s">
        <v>353</v>
      </c>
      <c r="T1524" s="33">
        <v>45446</v>
      </c>
      <c r="U1524" s="35" t="b">
        <v>0</v>
      </c>
      <c r="V1524" s="35" t="b">
        <v>0</v>
      </c>
      <c r="W1524" s="35" t="b">
        <v>0</v>
      </c>
      <c r="Y1524" s="31" cm="1">
        <f t="array" ref="Y1524">IF(LEFT(_xll.BDP($C1524, VOLUME_AVG_10D), 4) = "#N/A", "",  _xll.BDP($C1524, VOLUME_AVG_10D))</f>
        <v>934857.375</v>
      </c>
      <c r="Z1524" s="31" cm="1">
        <f t="array" ref="Z1524">IF(LEFT(_xll.BDP($C1524, VOLUME_AVG_30D), 4) = "#N/A", "",  _xll.BDP($C1524, VOLUME_AVG_30D))</f>
        <v>1130137.625</v>
      </c>
      <c r="AA1524" s="31" cm="1">
        <f t="array" ref="AA1524">IF(LEFT(_xll.BDP($C1524, VOLUME_AVG_3M), 4) = "#N/A", "",  _xll.BDP($C1524, VOLUME_AVG_3M))</f>
        <v>1291717.375</v>
      </c>
      <c r="AB1524" s="31" cm="1">
        <f t="array" ref="AB1524">IF(LEFT(_xll.BDP($C1524, VOLUME_AVG_6M), 4) = "#N/A", "",  _xll.BDP($C1524, VOLUME_AVG_6M))</f>
        <v>1128068.125</v>
      </c>
      <c r="AC1524" s="31" cm="1">
        <f t="array" ref="AC1524">IF(LEFT(_xll.BDP($C1524, VOLUME_AVG_12M), 4) = "#N/A", "",  _xll.BDP($C1524, VOLUME_AVG_12M))</f>
        <v>931298.0625</v>
      </c>
      <c r="AD1524" s="41" cm="1">
        <f t="array" ref="AD1524">IF(LEFT(_xll.BDP($C1524, LAST_PRICE), 4) = "#N/A", "",  _xll.BDP($C1524, LAST_PRICE))</f>
        <v>85.42</v>
      </c>
    </row>
    <row r="1525" spans="1:30" x14ac:dyDescent="0.35">
      <c r="A1525" s="1">
        <f t="shared" si="23"/>
        <v>1522</v>
      </c>
      <c r="B1525" s="28">
        <v>45700</v>
      </c>
      <c r="C1525" s="29" t="s">
        <v>3092</v>
      </c>
      <c r="D1525" s="29" t="s">
        <v>3092</v>
      </c>
      <c r="E1525" s="29" t="s">
        <v>3093</v>
      </c>
      <c r="F1525" s="29" t="s">
        <v>40</v>
      </c>
      <c r="G1525" s="30" t="s">
        <v>41</v>
      </c>
      <c r="H1525" s="31"/>
      <c r="I1525" s="31"/>
      <c r="J1525" s="32"/>
      <c r="K1525" s="33">
        <v>45700</v>
      </c>
      <c r="L1525" s="31"/>
      <c r="M1525" s="32"/>
      <c r="N1525" s="31"/>
      <c r="O1525" s="33">
        <v>45699</v>
      </c>
      <c r="P1525" s="34"/>
      <c r="Q1525" s="34"/>
      <c r="R1525" s="34"/>
      <c r="S1525" s="29"/>
      <c r="T1525" s="33"/>
      <c r="U1525" s="35" t="b">
        <v>1</v>
      </c>
      <c r="V1525" s="35" t="b">
        <v>1</v>
      </c>
      <c r="W1525" s="35" t="b">
        <v>1</v>
      </c>
      <c r="Y1525" s="31" t="str" cm="1">
        <f t="array" ref="Y1525">IF(LEFT(_xll.BDP($C1525, VOLUME_AVG_10D), 4) = "#N/A", "",  _xll.BDP($C1525, VOLUME_AVG_10D))</f>
        <v/>
      </c>
      <c r="Z1525" s="31" t="str" cm="1">
        <f t="array" ref="Z1525">IF(LEFT(_xll.BDP($C1525, VOLUME_AVG_30D), 4) = "#N/A", "",  _xll.BDP($C1525, VOLUME_AVG_30D))</f>
        <v/>
      </c>
      <c r="AA1525" s="31" t="str" cm="1">
        <f t="array" ref="AA1525">IF(LEFT(_xll.BDP($C1525, VOLUME_AVG_3M), 4) = "#N/A", "",  _xll.BDP($C1525, VOLUME_AVG_3M))</f>
        <v/>
      </c>
      <c r="AB1525" s="31" t="str" cm="1">
        <f t="array" ref="AB1525">IF(LEFT(_xll.BDP($C1525, VOLUME_AVG_6M), 4) = "#N/A", "",  _xll.BDP($C1525, VOLUME_AVG_6M))</f>
        <v/>
      </c>
      <c r="AC1525" s="31" t="str" cm="1">
        <f t="array" ref="AC1525">IF(LEFT(_xll.BDP($C1525, VOLUME_AVG_12M), 4) = "#N/A", "",  _xll.BDP($C1525, VOLUME_AVG_12M))</f>
        <v/>
      </c>
      <c r="AD1525" s="41" t="str" cm="1">
        <f t="array" ref="AD1525">IF(LEFT(_xll.BDP($C1525, LAST_PRICE), 4) = "#N/A", "",  _xll.BDP($C1525, LAST_PRICE))</f>
        <v/>
      </c>
    </row>
    <row r="1526" spans="1:30" x14ac:dyDescent="0.35">
      <c r="A1526" s="1">
        <f t="shared" si="23"/>
        <v>1523</v>
      </c>
      <c r="B1526" s="28">
        <v>45700</v>
      </c>
      <c r="C1526" s="29" t="s">
        <v>3094</v>
      </c>
      <c r="D1526" s="29" t="s">
        <v>3094</v>
      </c>
      <c r="E1526" s="29" t="s">
        <v>3095</v>
      </c>
      <c r="F1526" s="29" t="s">
        <v>33</v>
      </c>
      <c r="G1526" s="30" t="s">
        <v>34</v>
      </c>
      <c r="H1526" s="31">
        <v>12674.7680798084</v>
      </c>
      <c r="I1526" s="31">
        <v>-30382325.231920201</v>
      </c>
      <c r="J1526" s="32">
        <v>9.9999997473787503E-5</v>
      </c>
      <c r="K1526" s="33">
        <v>45700</v>
      </c>
      <c r="L1526" s="31">
        <v>1510000</v>
      </c>
      <c r="M1526" s="32">
        <v>1.5</v>
      </c>
      <c r="N1526" s="31" t="s">
        <v>35</v>
      </c>
      <c r="O1526" s="33">
        <v>45699</v>
      </c>
      <c r="P1526" s="34">
        <v>20731.333984375</v>
      </c>
      <c r="Q1526" s="34">
        <v>25674.935546875</v>
      </c>
      <c r="R1526" s="34">
        <v>19576</v>
      </c>
      <c r="S1526" s="29"/>
      <c r="T1526" s="33"/>
      <c r="U1526" s="35" t="b">
        <v>1</v>
      </c>
      <c r="V1526" s="35" t="b">
        <v>1</v>
      </c>
      <c r="W1526" s="35" t="b">
        <v>1</v>
      </c>
      <c r="Y1526" s="31" cm="1">
        <f t="array" ref="Y1526">IF(LEFT(_xll.BDP($C1526, VOLUME_AVG_10D), 4) = "#N/A", "",  _xll.BDP($C1526, VOLUME_AVG_10D))</f>
        <v>1204.300048828125</v>
      </c>
      <c r="Z1526" s="31" cm="1">
        <f t="array" ref="Z1526">IF(LEFT(_xll.BDP($C1526, VOLUME_AVG_30D), 4) = "#N/A", "",  _xll.BDP($C1526, VOLUME_AVG_30D))</f>
        <v>20731.333984375</v>
      </c>
      <c r="AA1526" s="31" cm="1">
        <f t="array" ref="AA1526">IF(LEFT(_xll.BDP($C1526, VOLUME_AVG_3M), 4) = "#N/A", "",  _xll.BDP($C1526, VOLUME_AVG_3M))</f>
        <v>25674.935546875</v>
      </c>
      <c r="AB1526" s="31" cm="1">
        <f t="array" ref="AB1526">IF(LEFT(_xll.BDP($C1526, VOLUME_AVG_6M), 4) = "#N/A", "",  _xll.BDP($C1526, VOLUME_AVG_6M))</f>
        <v>19576</v>
      </c>
      <c r="AC1526" s="31" cm="1">
        <f t="array" ref="AC1526">IF(LEFT(_xll.BDP($C1526, VOLUME_AVG_12M), 4) = "#N/A", "",  _xll.BDP($C1526, VOLUME_AVG_12M))</f>
        <v>666021.875</v>
      </c>
      <c r="AD1526" s="41" cm="1">
        <f t="array" ref="AD1526">IF(LEFT(_xll.BDP($C1526, LAST_PRICE), 4) = "#N/A", "",  _xll.BDP($C1526, LAST_PRICE))</f>
        <v>1E-4</v>
      </c>
    </row>
    <row r="1527" spans="1:30" x14ac:dyDescent="0.35">
      <c r="A1527" s="1">
        <f t="shared" si="23"/>
        <v>1524</v>
      </c>
      <c r="B1527" s="28">
        <v>45700</v>
      </c>
      <c r="C1527" s="29" t="s">
        <v>3096</v>
      </c>
      <c r="D1527" s="29" t="s">
        <v>3096</v>
      </c>
      <c r="E1527" s="29" t="s">
        <v>3097</v>
      </c>
      <c r="F1527" s="29" t="s">
        <v>33</v>
      </c>
      <c r="G1527" s="30" t="s">
        <v>34</v>
      </c>
      <c r="H1527" s="31">
        <v>37882830774.475197</v>
      </c>
      <c r="I1527" s="31">
        <v>32891545774.475201</v>
      </c>
      <c r="J1527" s="32">
        <v>233.33999633789099</v>
      </c>
      <c r="K1527" s="33">
        <v>45700</v>
      </c>
      <c r="L1527" s="31">
        <v>52016400</v>
      </c>
      <c r="M1527" s="32">
        <v>3.88</v>
      </c>
      <c r="N1527" s="31" t="s">
        <v>35</v>
      </c>
      <c r="O1527" s="33">
        <v>45699</v>
      </c>
      <c r="P1527" s="34">
        <v>979323.8125</v>
      </c>
      <c r="Q1527" s="34">
        <v>1166925.5</v>
      </c>
      <c r="R1527" s="34">
        <v>1013253.75</v>
      </c>
      <c r="S1527" s="29"/>
      <c r="T1527" s="33"/>
      <c r="U1527" s="35" t="b">
        <v>0</v>
      </c>
      <c r="V1527" s="35" t="b">
        <v>0</v>
      </c>
      <c r="W1527" s="35" t="b">
        <v>0</v>
      </c>
      <c r="Y1527" s="31" cm="1">
        <f t="array" ref="Y1527">IF(LEFT(_xll.BDP($C1527, VOLUME_AVG_10D), 4) = "#N/A", "",  _xll.BDP($C1527, VOLUME_AVG_10D))</f>
        <v>867993</v>
      </c>
      <c r="Z1527" s="31" cm="1">
        <f t="array" ref="Z1527">IF(LEFT(_xll.BDP($C1527, VOLUME_AVG_30D), 4) = "#N/A", "",  _xll.BDP($C1527, VOLUME_AVG_30D))</f>
        <v>979323.8125</v>
      </c>
      <c r="AA1527" s="31" cm="1">
        <f t="array" ref="AA1527">IF(LEFT(_xll.BDP($C1527, VOLUME_AVG_3M), 4) = "#N/A", "",  _xll.BDP($C1527, VOLUME_AVG_3M))</f>
        <v>1166925.5</v>
      </c>
      <c r="AB1527" s="31" cm="1">
        <f t="array" ref="AB1527">IF(LEFT(_xll.BDP($C1527, VOLUME_AVG_6M), 4) = "#N/A", "",  _xll.BDP($C1527, VOLUME_AVG_6M))</f>
        <v>1013253.75</v>
      </c>
      <c r="AC1527" s="31" cm="1">
        <f t="array" ref="AC1527">IF(LEFT(_xll.BDP($C1527, VOLUME_AVG_12M), 4) = "#N/A", "",  _xll.BDP($C1527, VOLUME_AVG_12M))</f>
        <v>996294.3125</v>
      </c>
      <c r="AD1527" s="41" cm="1">
        <f t="array" ref="AD1527">IF(LEFT(_xll.BDP($C1527, LAST_PRICE), 4) = "#N/A", "",  _xll.BDP($C1527, LAST_PRICE))</f>
        <v>233.34</v>
      </c>
    </row>
    <row r="1528" spans="1:30" x14ac:dyDescent="0.35">
      <c r="A1528" s="1">
        <f t="shared" si="23"/>
        <v>1525</v>
      </c>
      <c r="B1528" s="28">
        <v>45700</v>
      </c>
      <c r="C1528" s="29" t="s">
        <v>3098</v>
      </c>
      <c r="D1528" s="29" t="s">
        <v>3098</v>
      </c>
      <c r="E1528" s="29" t="s">
        <v>3099</v>
      </c>
      <c r="F1528" s="29" t="s">
        <v>33</v>
      </c>
      <c r="G1528" s="30" t="s">
        <v>34</v>
      </c>
      <c r="H1528" s="31">
        <v>4177403.4507966498</v>
      </c>
      <c r="I1528" s="31">
        <v>4168888.4507966498</v>
      </c>
      <c r="J1528" s="32">
        <v>8.6999997496604906E-2</v>
      </c>
      <c r="K1528" s="33">
        <v>45700</v>
      </c>
      <c r="L1528" s="31">
        <v>305900</v>
      </c>
      <c r="M1528" s="32">
        <v>3.3</v>
      </c>
      <c r="N1528" s="31" t="s">
        <v>35</v>
      </c>
      <c r="O1528" s="33">
        <v>45699</v>
      </c>
      <c r="P1528" s="34">
        <v>14695.7998046875</v>
      </c>
      <c r="Q1528" s="34">
        <v>7567.064453125</v>
      </c>
      <c r="R1528" s="34">
        <v>15338.5869140625</v>
      </c>
      <c r="S1528" s="29"/>
      <c r="T1528" s="33"/>
      <c r="U1528" s="35" t="b">
        <v>1</v>
      </c>
      <c r="V1528" s="35" t="b">
        <v>1</v>
      </c>
      <c r="W1528" s="35" t="b">
        <v>0</v>
      </c>
      <c r="Y1528" s="31" cm="1">
        <f t="array" ref="Y1528">IF(LEFT(_xll.BDP($C1528, VOLUME_AVG_10D), 4) = "#N/A", "",  _xll.BDP($C1528, VOLUME_AVG_10D))</f>
        <v>4923.2001953125</v>
      </c>
      <c r="Z1528" s="31" cm="1">
        <f t="array" ref="Z1528">IF(LEFT(_xll.BDP($C1528, VOLUME_AVG_30D), 4) = "#N/A", "",  _xll.BDP($C1528, VOLUME_AVG_30D))</f>
        <v>14695.7998046875</v>
      </c>
      <c r="AA1528" s="31" cm="1">
        <f t="array" ref="AA1528">IF(LEFT(_xll.BDP($C1528, VOLUME_AVG_3M), 4) = "#N/A", "",  _xll.BDP($C1528, VOLUME_AVG_3M))</f>
        <v>7567.064453125</v>
      </c>
      <c r="AB1528" s="31" cm="1">
        <f t="array" ref="AB1528">IF(LEFT(_xll.BDP($C1528, VOLUME_AVG_6M), 4) = "#N/A", "",  _xll.BDP($C1528, VOLUME_AVG_6M))</f>
        <v>15338.5869140625</v>
      </c>
      <c r="AC1528" s="31" cm="1">
        <f t="array" ref="AC1528">IF(LEFT(_xll.BDP($C1528, VOLUME_AVG_12M), 4) = "#N/A", "",  _xll.BDP($C1528, VOLUME_AVG_12M))</f>
        <v>13954.7490234375</v>
      </c>
      <c r="AD1528" s="41" cm="1">
        <f t="array" ref="AD1528">IF(LEFT(_xll.BDP($C1528, LAST_PRICE), 4) = "#N/A", "",  _xll.BDP($C1528, LAST_PRICE))</f>
        <v>8.6999999999999994E-2</v>
      </c>
    </row>
    <row r="1529" spans="1:30" x14ac:dyDescent="0.35">
      <c r="A1529" s="1">
        <f t="shared" si="23"/>
        <v>1526</v>
      </c>
      <c r="B1529" s="28">
        <v>45700</v>
      </c>
      <c r="C1529" s="29" t="s">
        <v>3100</v>
      </c>
      <c r="D1529" s="29" t="s">
        <v>3100</v>
      </c>
      <c r="E1529" s="29" t="s">
        <v>3101</v>
      </c>
      <c r="F1529" s="29" t="s">
        <v>40</v>
      </c>
      <c r="G1529" s="30" t="s">
        <v>41</v>
      </c>
      <c r="H1529" s="31">
        <v>13787369.470022</v>
      </c>
      <c r="I1529" s="31">
        <v>10619258.1976</v>
      </c>
      <c r="J1529" s="32">
        <v>8.5000000894069699E-2</v>
      </c>
      <c r="K1529" s="33">
        <v>45700</v>
      </c>
      <c r="L1529" s="31">
        <v>1214600</v>
      </c>
      <c r="M1529" s="32">
        <v>3.8</v>
      </c>
      <c r="N1529" s="31" t="s">
        <v>35</v>
      </c>
      <c r="O1529" s="33">
        <v>45699</v>
      </c>
      <c r="P1529" s="34">
        <v>278799.40000000002</v>
      </c>
      <c r="Q1529" s="34">
        <v>348032.6</v>
      </c>
      <c r="R1529" s="34">
        <v>296625.3</v>
      </c>
      <c r="S1529" s="29"/>
      <c r="T1529" s="33"/>
      <c r="U1529" s="35" t="b">
        <v>1</v>
      </c>
      <c r="V1529" s="35" t="b">
        <v>1</v>
      </c>
      <c r="W1529" s="35" t="b">
        <v>0</v>
      </c>
      <c r="Y1529" s="31" cm="1">
        <f t="array" ref="Y1529">IF(LEFT(_xll.BDP($C1529, VOLUME_AVG_10D), 4) = "#N/A", "",  _xll.BDP($C1529, VOLUME_AVG_10D))</f>
        <v>245667.20000000001</v>
      </c>
      <c r="Z1529" s="31" cm="1">
        <f t="array" ref="Z1529">IF(LEFT(_xll.BDP($C1529, VOLUME_AVG_30D), 4) = "#N/A", "",  _xll.BDP($C1529, VOLUME_AVG_30D))</f>
        <v>278799.40000000002</v>
      </c>
      <c r="AA1529" s="31" cm="1">
        <f t="array" ref="AA1529">IF(LEFT(_xll.BDP($C1529, VOLUME_AVG_3M), 4) = "#N/A", "",  _xll.BDP($C1529, VOLUME_AVG_3M))</f>
        <v>348032.6</v>
      </c>
      <c r="AB1529" s="31" cm="1">
        <f t="array" ref="AB1529">IF(LEFT(_xll.BDP($C1529, VOLUME_AVG_6M), 4) = "#N/A", "",  _xll.BDP($C1529, VOLUME_AVG_6M))</f>
        <v>296625.3</v>
      </c>
      <c r="AC1529" s="31" cm="1">
        <f t="array" ref="AC1529">IF(LEFT(_xll.BDP($C1529, VOLUME_AVG_12M), 4) = "#N/A", "",  _xll.BDP($C1529, VOLUME_AVG_12M))</f>
        <v>241756.5</v>
      </c>
      <c r="AD1529" s="41" cm="1">
        <f t="array" ref="AD1529">IF(LEFT(_xll.BDP($C1529, LAST_PRICE), 4) = "#N/A", "",  _xll.BDP($C1529, LAST_PRICE))</f>
        <v>8.5000000000000006E-2</v>
      </c>
    </row>
    <row r="1530" spans="1:30" x14ac:dyDescent="0.35">
      <c r="A1530" s="1">
        <f t="shared" si="23"/>
        <v>1527</v>
      </c>
      <c r="B1530" s="28">
        <v>45700</v>
      </c>
      <c r="C1530" s="29" t="s">
        <v>3102</v>
      </c>
      <c r="D1530" s="29" t="s">
        <v>3102</v>
      </c>
      <c r="E1530" s="29" t="s">
        <v>3103</v>
      </c>
      <c r="F1530" s="29" t="s">
        <v>33</v>
      </c>
      <c r="G1530" s="30" t="s">
        <v>34</v>
      </c>
      <c r="H1530" s="31">
        <v>114551280.877175</v>
      </c>
      <c r="I1530" s="31">
        <v>-125162719.122825</v>
      </c>
      <c r="J1530" s="32">
        <v>1.62000000476837</v>
      </c>
      <c r="K1530" s="33">
        <v>45700</v>
      </c>
      <c r="L1530" s="31">
        <v>11376900</v>
      </c>
      <c r="M1530" s="32">
        <v>3.88</v>
      </c>
      <c r="N1530" s="31" t="s">
        <v>35</v>
      </c>
      <c r="O1530" s="33">
        <v>45699</v>
      </c>
      <c r="P1530" s="34">
        <v>1801970.625</v>
      </c>
      <c r="Q1530" s="34">
        <v>1863061.875</v>
      </c>
      <c r="R1530" s="34">
        <v>1508137.75</v>
      </c>
      <c r="S1530" s="29" t="s">
        <v>217</v>
      </c>
      <c r="T1530" s="33">
        <v>45215</v>
      </c>
      <c r="U1530" s="35" t="b">
        <v>0</v>
      </c>
      <c r="V1530" s="35" t="b">
        <v>0</v>
      </c>
      <c r="W1530" s="35" t="b">
        <v>1</v>
      </c>
      <c r="Y1530" s="31" cm="1">
        <f t="array" ref="Y1530">IF(LEFT(_xll.BDP($C1530, VOLUME_AVG_10D), 4) = "#N/A", "",  _xll.BDP($C1530, VOLUME_AVG_10D))</f>
        <v>1405891.25</v>
      </c>
      <c r="Z1530" s="31" cm="1">
        <f t="array" ref="Z1530">IF(LEFT(_xll.BDP($C1530, VOLUME_AVG_30D), 4) = "#N/A", "",  _xll.BDP($C1530, VOLUME_AVG_30D))</f>
        <v>1801970.625</v>
      </c>
      <c r="AA1530" s="31" cm="1">
        <f t="array" ref="AA1530">IF(LEFT(_xll.BDP($C1530, VOLUME_AVG_3M), 4) = "#N/A", "",  _xll.BDP($C1530, VOLUME_AVG_3M))</f>
        <v>1863061.875</v>
      </c>
      <c r="AB1530" s="31" cm="1">
        <f t="array" ref="AB1530">IF(LEFT(_xll.BDP($C1530, VOLUME_AVG_6M), 4) = "#N/A", "",  _xll.BDP($C1530, VOLUME_AVG_6M))</f>
        <v>1508137.75</v>
      </c>
      <c r="AC1530" s="31" cm="1">
        <f t="array" ref="AC1530">IF(LEFT(_xll.BDP($C1530, VOLUME_AVG_12M), 4) = "#N/A", "",  _xll.BDP($C1530, VOLUME_AVG_12M))</f>
        <v>2017616.75</v>
      </c>
      <c r="AD1530" s="41" cm="1">
        <f t="array" ref="AD1530">IF(LEFT(_xll.BDP($C1530, LAST_PRICE), 4) = "#N/A", "",  _xll.BDP($C1530, LAST_PRICE))</f>
        <v>1.62</v>
      </c>
    </row>
    <row r="1531" spans="1:30" x14ac:dyDescent="0.35">
      <c r="A1531" s="1">
        <f t="shared" si="23"/>
        <v>1528</v>
      </c>
      <c r="B1531" s="28">
        <v>45700</v>
      </c>
      <c r="C1531" s="29" t="s">
        <v>3104</v>
      </c>
      <c r="D1531" s="29" t="s">
        <v>3104</v>
      </c>
      <c r="E1531" s="29" t="s">
        <v>3105</v>
      </c>
      <c r="F1531" s="29" t="s">
        <v>33</v>
      </c>
      <c r="G1531" s="30" t="s">
        <v>34</v>
      </c>
      <c r="H1531" s="31">
        <v>2442126.2790231099</v>
      </c>
      <c r="I1531" s="31">
        <v>36827126.279023103</v>
      </c>
      <c r="J1531" s="32">
        <v>0.33660000562667802</v>
      </c>
      <c r="K1531" s="33">
        <v>45700</v>
      </c>
      <c r="L1531" s="31">
        <v>193300</v>
      </c>
      <c r="M1531" s="32">
        <v>-32.6</v>
      </c>
      <c r="N1531" s="31" t="s">
        <v>35</v>
      </c>
      <c r="O1531" s="33">
        <v>45699</v>
      </c>
      <c r="P1531" s="34">
        <v>267509.53125</v>
      </c>
      <c r="Q1531" s="34">
        <v>298373.34375</v>
      </c>
      <c r="R1531" s="34">
        <v>1019966</v>
      </c>
      <c r="S1531" s="29"/>
      <c r="T1531" s="33"/>
      <c r="U1531" s="35" t="b">
        <v>1</v>
      </c>
      <c r="V1531" s="35" t="b">
        <v>0</v>
      </c>
      <c r="W1531" s="35" t="b">
        <v>0</v>
      </c>
      <c r="Y1531" s="31" cm="1">
        <f t="array" ref="Y1531">IF(LEFT(_xll.BDP($C1531, VOLUME_AVG_10D), 4) = "#N/A", "",  _xll.BDP($C1531, VOLUME_AVG_10D))</f>
        <v>182309.90625</v>
      </c>
      <c r="Z1531" s="31" cm="1">
        <f t="array" ref="Z1531">IF(LEFT(_xll.BDP($C1531, VOLUME_AVG_30D), 4) = "#N/A", "",  _xll.BDP($C1531, VOLUME_AVG_30D))</f>
        <v>267509.53125</v>
      </c>
      <c r="AA1531" s="31" cm="1">
        <f t="array" ref="AA1531">IF(LEFT(_xll.BDP($C1531, VOLUME_AVG_3M), 4) = "#N/A", "",  _xll.BDP($C1531, VOLUME_AVG_3M))</f>
        <v>298373.34375</v>
      </c>
      <c r="AB1531" s="31" cm="1">
        <f t="array" ref="AB1531">IF(LEFT(_xll.BDP($C1531, VOLUME_AVG_6M), 4) = "#N/A", "",  _xll.BDP($C1531, VOLUME_AVG_6M))</f>
        <v>1019966</v>
      </c>
      <c r="AC1531" s="31" cm="1">
        <f t="array" ref="AC1531">IF(LEFT(_xll.BDP($C1531, VOLUME_AVG_12M), 4) = "#N/A", "",  _xll.BDP($C1531, VOLUME_AVG_12M))</f>
        <v>1042606.9375</v>
      </c>
      <c r="AD1531" s="41" cm="1">
        <f t="array" ref="AD1531">IF(LEFT(_xll.BDP($C1531, LAST_PRICE), 4) = "#N/A", "",  _xll.BDP($C1531, LAST_PRICE))</f>
        <v>0.33660000000000001</v>
      </c>
    </row>
    <row r="1532" spans="1:30" x14ac:dyDescent="0.35">
      <c r="A1532" s="1">
        <f t="shared" si="23"/>
        <v>1529</v>
      </c>
      <c r="B1532" s="28">
        <v>45700</v>
      </c>
      <c r="C1532" s="29" t="s">
        <v>3106</v>
      </c>
      <c r="D1532" s="29" t="s">
        <v>3106</v>
      </c>
      <c r="E1532" s="29" t="s">
        <v>3107</v>
      </c>
      <c r="F1532" s="29" t="s">
        <v>33</v>
      </c>
      <c r="G1532" s="30" t="s">
        <v>34</v>
      </c>
      <c r="H1532" s="31">
        <v>2187811432.8383398</v>
      </c>
      <c r="I1532" s="31">
        <v>2080792432.83834</v>
      </c>
      <c r="J1532" s="32">
        <v>34.549999237060497</v>
      </c>
      <c r="K1532" s="33">
        <v>45700</v>
      </c>
      <c r="L1532" s="31">
        <v>12798100</v>
      </c>
      <c r="M1532" s="32">
        <v>3.88</v>
      </c>
      <c r="N1532" s="31" t="s">
        <v>35</v>
      </c>
      <c r="O1532" s="33">
        <v>45699</v>
      </c>
      <c r="P1532" s="34">
        <v>717356.3125</v>
      </c>
      <c r="Q1532" s="34">
        <v>634974.8125</v>
      </c>
      <c r="R1532" s="34">
        <v>672922.875</v>
      </c>
      <c r="S1532" s="29" t="s">
        <v>192</v>
      </c>
      <c r="T1532" s="33">
        <v>45446</v>
      </c>
      <c r="U1532" s="35" t="b">
        <v>0</v>
      </c>
      <c r="V1532" s="35" t="b">
        <v>0</v>
      </c>
      <c r="W1532" s="35" t="b">
        <v>0</v>
      </c>
      <c r="Y1532" s="31" cm="1">
        <f t="array" ref="Y1532">IF(LEFT(_xll.BDP($C1532, VOLUME_AVG_10D), 4) = "#N/A", "",  _xll.BDP($C1532, VOLUME_AVG_10D))</f>
        <v>599053</v>
      </c>
      <c r="Z1532" s="31" cm="1">
        <f t="array" ref="Z1532">IF(LEFT(_xll.BDP($C1532, VOLUME_AVG_30D), 4) = "#N/A", "",  _xll.BDP($C1532, VOLUME_AVG_30D))</f>
        <v>717356.3125</v>
      </c>
      <c r="AA1532" s="31" cm="1">
        <f t="array" ref="AA1532">IF(LEFT(_xll.BDP($C1532, VOLUME_AVG_3M), 4) = "#N/A", "",  _xll.BDP($C1532, VOLUME_AVG_3M))</f>
        <v>634974.8125</v>
      </c>
      <c r="AB1532" s="31" cm="1">
        <f t="array" ref="AB1532">IF(LEFT(_xll.BDP($C1532, VOLUME_AVG_6M), 4) = "#N/A", "",  _xll.BDP($C1532, VOLUME_AVG_6M))</f>
        <v>672922.875</v>
      </c>
      <c r="AC1532" s="31" cm="1">
        <f t="array" ref="AC1532">IF(LEFT(_xll.BDP($C1532, VOLUME_AVG_12M), 4) = "#N/A", "",  _xll.BDP($C1532, VOLUME_AVG_12M))</f>
        <v>757425.875</v>
      </c>
      <c r="AD1532" s="41" cm="1">
        <f t="array" ref="AD1532">IF(LEFT(_xll.BDP($C1532, LAST_PRICE), 4) = "#N/A", "",  _xll.BDP($C1532, LAST_PRICE))</f>
        <v>34.549999999999997</v>
      </c>
    </row>
    <row r="1533" spans="1:30" x14ac:dyDescent="0.35">
      <c r="A1533" s="1">
        <f t="shared" si="23"/>
        <v>1530</v>
      </c>
      <c r="B1533" s="28">
        <v>45700</v>
      </c>
      <c r="C1533" s="29" t="s">
        <v>3108</v>
      </c>
      <c r="D1533" s="29" t="s">
        <v>3108</v>
      </c>
      <c r="E1533" s="29" t="s">
        <v>3109</v>
      </c>
      <c r="F1533" s="29" t="s">
        <v>33</v>
      </c>
      <c r="G1533" s="30" t="s">
        <v>34</v>
      </c>
      <c r="H1533" s="31">
        <v>3129435101.7985301</v>
      </c>
      <c r="I1533" s="31">
        <v>2875050101.7985301</v>
      </c>
      <c r="J1533" s="32">
        <v>40.380001068115199</v>
      </c>
      <c r="K1533" s="33">
        <v>45700</v>
      </c>
      <c r="L1533" s="31">
        <v>31826500</v>
      </c>
      <c r="M1533" s="32">
        <v>3.88</v>
      </c>
      <c r="N1533" s="31" t="s">
        <v>35</v>
      </c>
      <c r="O1533" s="33">
        <v>45699</v>
      </c>
      <c r="P1533" s="34">
        <v>754327.25</v>
      </c>
      <c r="Q1533" s="34">
        <v>781605</v>
      </c>
      <c r="R1533" s="34">
        <v>785009.1875</v>
      </c>
      <c r="S1533" s="29" t="s">
        <v>671</v>
      </c>
      <c r="T1533" s="33">
        <v>45215</v>
      </c>
      <c r="U1533" s="35" t="b">
        <v>0</v>
      </c>
      <c r="V1533" s="35" t="b">
        <v>0</v>
      </c>
      <c r="W1533" s="35" t="b">
        <v>0</v>
      </c>
      <c r="Y1533" s="31" cm="1">
        <f t="array" ref="Y1533">IF(LEFT(_xll.BDP($C1533, VOLUME_AVG_10D), 4) = "#N/A", "",  _xll.BDP($C1533, VOLUME_AVG_10D))</f>
        <v>726776.125</v>
      </c>
      <c r="Z1533" s="31" cm="1">
        <f t="array" ref="Z1533">IF(LEFT(_xll.BDP($C1533, VOLUME_AVG_30D), 4) = "#N/A", "",  _xll.BDP($C1533, VOLUME_AVG_30D))</f>
        <v>754327.25</v>
      </c>
      <c r="AA1533" s="31" cm="1">
        <f t="array" ref="AA1533">IF(LEFT(_xll.BDP($C1533, VOLUME_AVG_3M), 4) = "#N/A", "",  _xll.BDP($C1533, VOLUME_AVG_3M))</f>
        <v>781605</v>
      </c>
      <c r="AB1533" s="31" cm="1">
        <f t="array" ref="AB1533">IF(LEFT(_xll.BDP($C1533, VOLUME_AVG_6M), 4) = "#N/A", "",  _xll.BDP($C1533, VOLUME_AVG_6M))</f>
        <v>785009.1875</v>
      </c>
      <c r="AC1533" s="31" cm="1">
        <f t="array" ref="AC1533">IF(LEFT(_xll.BDP($C1533, VOLUME_AVG_12M), 4) = "#N/A", "",  _xll.BDP($C1533, VOLUME_AVG_12M))</f>
        <v>798310.9375</v>
      </c>
      <c r="AD1533" s="41" cm="1">
        <f t="array" ref="AD1533">IF(LEFT(_xll.BDP($C1533, LAST_PRICE), 4) = "#N/A", "",  _xll.BDP($C1533, LAST_PRICE))</f>
        <v>40.380000000000003</v>
      </c>
    </row>
    <row r="1534" spans="1:30" x14ac:dyDescent="0.35">
      <c r="A1534" s="1">
        <f t="shared" si="23"/>
        <v>1531</v>
      </c>
      <c r="B1534" s="28">
        <v>45700</v>
      </c>
      <c r="C1534" s="29" t="s">
        <v>3110</v>
      </c>
      <c r="D1534" s="29" t="s">
        <v>3110</v>
      </c>
      <c r="E1534" s="29" t="s">
        <v>3111</v>
      </c>
      <c r="F1534" s="29" t="s">
        <v>33</v>
      </c>
      <c r="G1534" s="30" t="s">
        <v>34</v>
      </c>
      <c r="H1534" s="31">
        <v>559727865.06930399</v>
      </c>
      <c r="I1534" s="31">
        <v>285937865.06930399</v>
      </c>
      <c r="J1534" s="32">
        <v>5.1999998092651403</v>
      </c>
      <c r="K1534" s="33">
        <v>45700</v>
      </c>
      <c r="L1534" s="31">
        <v>2953800</v>
      </c>
      <c r="M1534" s="32">
        <v>3.75</v>
      </c>
      <c r="N1534" s="31" t="s">
        <v>35</v>
      </c>
      <c r="O1534" s="33">
        <v>45699</v>
      </c>
      <c r="P1534" s="34">
        <v>746384.5625</v>
      </c>
      <c r="Q1534" s="34">
        <v>557926.8125</v>
      </c>
      <c r="R1534" s="34">
        <v>419524.53125</v>
      </c>
      <c r="S1534" s="29"/>
      <c r="T1534" s="33"/>
      <c r="U1534" s="35" t="b">
        <v>0</v>
      </c>
      <c r="V1534" s="35" t="b">
        <v>0</v>
      </c>
      <c r="W1534" s="35" t="b">
        <v>0</v>
      </c>
      <c r="Y1534" s="31" cm="1">
        <f t="array" ref="Y1534">IF(LEFT(_xll.BDP($C1534, VOLUME_AVG_10D), 4) = "#N/A", "",  _xll.BDP($C1534, VOLUME_AVG_10D))</f>
        <v>1538625.25</v>
      </c>
      <c r="Z1534" s="31" cm="1">
        <f t="array" ref="Z1534">IF(LEFT(_xll.BDP($C1534, VOLUME_AVG_30D), 4) = "#N/A", "",  _xll.BDP($C1534, VOLUME_AVG_30D))</f>
        <v>746384.5625</v>
      </c>
      <c r="AA1534" s="31" cm="1">
        <f t="array" ref="AA1534">IF(LEFT(_xll.BDP($C1534, VOLUME_AVG_3M), 4) = "#N/A", "",  _xll.BDP($C1534, VOLUME_AVG_3M))</f>
        <v>557926.8125</v>
      </c>
      <c r="AB1534" s="31" cm="1">
        <f t="array" ref="AB1534">IF(LEFT(_xll.BDP($C1534, VOLUME_AVG_6M), 4) = "#N/A", "",  _xll.BDP($C1534, VOLUME_AVG_6M))</f>
        <v>419524.53125</v>
      </c>
      <c r="AC1534" s="31" cm="1">
        <f t="array" ref="AC1534">IF(LEFT(_xll.BDP($C1534, VOLUME_AVG_12M), 4) = "#N/A", "",  _xll.BDP($C1534, VOLUME_AVG_12M))</f>
        <v>1319887</v>
      </c>
      <c r="AD1534" s="41" cm="1">
        <f t="array" ref="AD1534">IF(LEFT(_xll.BDP($C1534, LAST_PRICE), 4) = "#N/A", "",  _xll.BDP($C1534, LAST_PRICE))</f>
        <v>5.2</v>
      </c>
    </row>
    <row r="1535" spans="1:30" x14ac:dyDescent="0.35">
      <c r="A1535" s="1">
        <f t="shared" si="23"/>
        <v>1532</v>
      </c>
      <c r="B1535" s="28">
        <v>45700</v>
      </c>
      <c r="C1535" s="29" t="s">
        <v>3112</v>
      </c>
      <c r="D1535" s="29" t="s">
        <v>3112</v>
      </c>
      <c r="E1535" s="29" t="s">
        <v>3113</v>
      </c>
      <c r="F1535" s="29" t="s">
        <v>40</v>
      </c>
      <c r="G1535" s="30" t="s">
        <v>41</v>
      </c>
      <c r="H1535" s="31">
        <v>584758080.98935997</v>
      </c>
      <c r="I1535" s="31">
        <v>866761266.14288199</v>
      </c>
      <c r="J1535" s="32">
        <v>1.62999999523163</v>
      </c>
      <c r="K1535" s="33">
        <v>45700</v>
      </c>
      <c r="L1535" s="31"/>
      <c r="M1535" s="32"/>
      <c r="N1535" s="31"/>
      <c r="O1535" s="33">
        <v>45699</v>
      </c>
      <c r="P1535" s="34">
        <v>339258.6</v>
      </c>
      <c r="Q1535" s="34">
        <v>604419.69999999995</v>
      </c>
      <c r="R1535" s="34">
        <v>487115.9</v>
      </c>
      <c r="S1535" s="29"/>
      <c r="T1535" s="33"/>
      <c r="U1535" s="35" t="b">
        <v>0</v>
      </c>
      <c r="V1535" s="35" t="b">
        <v>0</v>
      </c>
      <c r="W1535" s="35" t="b">
        <v>0</v>
      </c>
      <c r="Y1535" s="31" cm="1">
        <f t="array" ref="Y1535">IF(LEFT(_xll.BDP($C1535, VOLUME_AVG_10D), 4) = "#N/A", "",  _xll.BDP($C1535, VOLUME_AVG_10D))</f>
        <v>356341.6</v>
      </c>
      <c r="Z1535" s="31" cm="1">
        <f t="array" ref="Z1535">IF(LEFT(_xll.BDP($C1535, VOLUME_AVG_30D), 4) = "#N/A", "",  _xll.BDP($C1535, VOLUME_AVG_30D))</f>
        <v>339258.6</v>
      </c>
      <c r="AA1535" s="31" cm="1">
        <f t="array" ref="AA1535">IF(LEFT(_xll.BDP($C1535, VOLUME_AVG_3M), 4) = "#N/A", "",  _xll.BDP($C1535, VOLUME_AVG_3M))</f>
        <v>604419.69999999995</v>
      </c>
      <c r="AB1535" s="31" cm="1">
        <f t="array" ref="AB1535">IF(LEFT(_xll.BDP($C1535, VOLUME_AVG_6M), 4) = "#N/A", "",  _xll.BDP($C1535, VOLUME_AVG_6M))</f>
        <v>487115.9</v>
      </c>
      <c r="AC1535" s="31" cm="1">
        <f t="array" ref="AC1535">IF(LEFT(_xll.BDP($C1535, VOLUME_AVG_12M), 4) = "#N/A", "",  _xll.BDP($C1535, VOLUME_AVG_12M))</f>
        <v>457586.4</v>
      </c>
      <c r="AD1535" s="41" cm="1">
        <f t="array" ref="AD1535">IF(LEFT(_xll.BDP($C1535, LAST_PRICE), 4) = "#N/A", "",  _xll.BDP($C1535, LAST_PRICE))</f>
        <v>1.63</v>
      </c>
    </row>
    <row r="1536" spans="1:30" x14ac:dyDescent="0.35">
      <c r="A1536" s="1">
        <f t="shared" si="23"/>
        <v>1533</v>
      </c>
      <c r="B1536" s="28">
        <v>45700</v>
      </c>
      <c r="C1536" s="29" t="s">
        <v>3114</v>
      </c>
      <c r="D1536" s="29" t="s">
        <v>3114</v>
      </c>
      <c r="E1536" s="29" t="s">
        <v>3115</v>
      </c>
      <c r="F1536" s="29" t="s">
        <v>33</v>
      </c>
      <c r="G1536" s="30" t="s">
        <v>34</v>
      </c>
      <c r="H1536" s="31">
        <v>270599674.68442202</v>
      </c>
      <c r="I1536" s="31">
        <v>220013674.68442199</v>
      </c>
      <c r="J1536" s="32">
        <v>6.0799999237060502</v>
      </c>
      <c r="K1536" s="33">
        <v>45700</v>
      </c>
      <c r="L1536" s="31">
        <v>4880000</v>
      </c>
      <c r="M1536" s="32">
        <v>3.88</v>
      </c>
      <c r="N1536" s="31" t="s">
        <v>35</v>
      </c>
      <c r="O1536" s="33">
        <v>45699</v>
      </c>
      <c r="P1536" s="34">
        <v>1935525.125</v>
      </c>
      <c r="Q1536" s="34">
        <v>1479102.75</v>
      </c>
      <c r="R1536" s="34">
        <v>1102269.25</v>
      </c>
      <c r="S1536" s="29" t="s">
        <v>46</v>
      </c>
      <c r="T1536" s="33">
        <v>45446</v>
      </c>
      <c r="U1536" s="35" t="b">
        <v>0</v>
      </c>
      <c r="V1536" s="35" t="b">
        <v>0</v>
      </c>
      <c r="W1536" s="35" t="b">
        <v>0</v>
      </c>
      <c r="Y1536" s="31" cm="1">
        <f t="array" ref="Y1536">IF(LEFT(_xll.BDP($C1536, VOLUME_AVG_10D), 4) = "#N/A", "",  _xll.BDP($C1536, VOLUME_AVG_10D))</f>
        <v>689970.5</v>
      </c>
      <c r="Z1536" s="31" cm="1">
        <f t="array" ref="Z1536">IF(LEFT(_xll.BDP($C1536, VOLUME_AVG_30D), 4) = "#N/A", "",  _xll.BDP($C1536, VOLUME_AVG_30D))</f>
        <v>1935525.125</v>
      </c>
      <c r="AA1536" s="31" cm="1">
        <f t="array" ref="AA1536">IF(LEFT(_xll.BDP($C1536, VOLUME_AVG_3M), 4) = "#N/A", "",  _xll.BDP($C1536, VOLUME_AVG_3M))</f>
        <v>1479102.75</v>
      </c>
      <c r="AB1536" s="31" cm="1">
        <f t="array" ref="AB1536">IF(LEFT(_xll.BDP($C1536, VOLUME_AVG_6M), 4) = "#N/A", "",  _xll.BDP($C1536, VOLUME_AVG_6M))</f>
        <v>1102269.25</v>
      </c>
      <c r="AC1536" s="31" cm="1">
        <f t="array" ref="AC1536">IF(LEFT(_xll.BDP($C1536, VOLUME_AVG_12M), 4) = "#N/A", "",  _xll.BDP($C1536, VOLUME_AVG_12M))</f>
        <v>849530</v>
      </c>
      <c r="AD1536" s="41" cm="1">
        <f t="array" ref="AD1536">IF(LEFT(_xll.BDP($C1536, LAST_PRICE), 4) = "#N/A", "",  _xll.BDP($C1536, LAST_PRICE))</f>
        <v>6.08</v>
      </c>
    </row>
    <row r="1537" spans="1:30" x14ac:dyDescent="0.35">
      <c r="A1537" s="1">
        <f t="shared" si="23"/>
        <v>1534</v>
      </c>
      <c r="B1537" s="28">
        <v>45700</v>
      </c>
      <c r="C1537" s="29" t="s">
        <v>3116</v>
      </c>
      <c r="D1537" s="29" t="s">
        <v>3116</v>
      </c>
      <c r="E1537" s="29" t="s">
        <v>3117</v>
      </c>
      <c r="F1537" s="29" t="s">
        <v>33</v>
      </c>
      <c r="G1537" s="30" t="s">
        <v>34</v>
      </c>
      <c r="H1537" s="31">
        <v>2765058038.7544899</v>
      </c>
      <c r="I1537" s="31">
        <v>2760787038.7544899</v>
      </c>
      <c r="J1537" s="32">
        <v>56.0200004577637</v>
      </c>
      <c r="K1537" s="33">
        <v>45700</v>
      </c>
      <c r="L1537" s="31">
        <v>17576400</v>
      </c>
      <c r="M1537" s="32">
        <v>3.88</v>
      </c>
      <c r="N1537" s="31" t="s">
        <v>35</v>
      </c>
      <c r="O1537" s="33">
        <v>45699</v>
      </c>
      <c r="P1537" s="34">
        <v>390659.09375</v>
      </c>
      <c r="Q1537" s="34">
        <v>390574.625</v>
      </c>
      <c r="R1537" s="34">
        <v>370833.03125</v>
      </c>
      <c r="S1537" s="29" t="s">
        <v>1964</v>
      </c>
      <c r="T1537" s="33">
        <v>45215</v>
      </c>
      <c r="U1537" s="35" t="b">
        <v>0</v>
      </c>
      <c r="V1537" s="35" t="b">
        <v>0</v>
      </c>
      <c r="W1537" s="35" t="b">
        <v>0</v>
      </c>
      <c r="Y1537" s="31" cm="1">
        <f t="array" ref="Y1537">IF(LEFT(_xll.BDP($C1537, VOLUME_AVG_10D), 4) = "#N/A", "",  _xll.BDP($C1537, VOLUME_AVG_10D))</f>
        <v>304684.59375</v>
      </c>
      <c r="Z1537" s="31" cm="1">
        <f t="array" ref="Z1537">IF(LEFT(_xll.BDP($C1537, VOLUME_AVG_30D), 4) = "#N/A", "",  _xll.BDP($C1537, VOLUME_AVG_30D))</f>
        <v>390659.09375</v>
      </c>
      <c r="AA1537" s="31" cm="1">
        <f t="array" ref="AA1537">IF(LEFT(_xll.BDP($C1537, VOLUME_AVG_3M), 4) = "#N/A", "",  _xll.BDP($C1537, VOLUME_AVG_3M))</f>
        <v>390574.625</v>
      </c>
      <c r="AB1537" s="31" cm="1">
        <f t="array" ref="AB1537">IF(LEFT(_xll.BDP($C1537, VOLUME_AVG_6M), 4) = "#N/A", "",  _xll.BDP($C1537, VOLUME_AVG_6M))</f>
        <v>370833.03125</v>
      </c>
      <c r="AC1537" s="31" cm="1">
        <f t="array" ref="AC1537">IF(LEFT(_xll.BDP($C1537, VOLUME_AVG_12M), 4) = "#N/A", "",  _xll.BDP($C1537, VOLUME_AVG_12M))</f>
        <v>388013.125</v>
      </c>
      <c r="AD1537" s="41" cm="1">
        <f t="array" ref="AD1537">IF(LEFT(_xll.BDP($C1537, LAST_PRICE), 4) = "#N/A", "",  _xll.BDP($C1537, LAST_PRICE))</f>
        <v>56.02</v>
      </c>
    </row>
    <row r="1538" spans="1:30" x14ac:dyDescent="0.35">
      <c r="A1538" s="1">
        <f t="shared" si="23"/>
        <v>1535</v>
      </c>
      <c r="B1538" s="28">
        <v>45700</v>
      </c>
      <c r="C1538" s="29" t="s">
        <v>3118</v>
      </c>
      <c r="D1538" s="29" t="s">
        <v>3118</v>
      </c>
      <c r="E1538" s="29" t="s">
        <v>3119</v>
      </c>
      <c r="F1538" s="29" t="s">
        <v>33</v>
      </c>
      <c r="G1538" s="30" t="s">
        <v>34</v>
      </c>
      <c r="H1538" s="31">
        <v>58867143.840765998</v>
      </c>
      <c r="I1538" s="31">
        <v>83021143.840765998</v>
      </c>
      <c r="J1538" s="32">
        <v>0.64999997615814198</v>
      </c>
      <c r="K1538" s="33">
        <v>45700</v>
      </c>
      <c r="L1538" s="31">
        <v>11170700</v>
      </c>
      <c r="M1538" s="32">
        <v>-4.55</v>
      </c>
      <c r="N1538" s="31" t="s">
        <v>35</v>
      </c>
      <c r="O1538" s="33">
        <v>45699</v>
      </c>
      <c r="P1538" s="34">
        <v>376745.90625</v>
      </c>
      <c r="Q1538" s="34">
        <v>569764.875</v>
      </c>
      <c r="R1538" s="34">
        <v>839490.0625</v>
      </c>
      <c r="S1538" s="29" t="s">
        <v>217</v>
      </c>
      <c r="T1538" s="33">
        <v>45215</v>
      </c>
      <c r="U1538" s="35" t="b">
        <v>0</v>
      </c>
      <c r="V1538" s="35" t="b">
        <v>0</v>
      </c>
      <c r="W1538" s="35" t="b">
        <v>0</v>
      </c>
      <c r="Y1538" s="31" cm="1">
        <f t="array" ref="Y1538">IF(LEFT(_xll.BDP($C1538, VOLUME_AVG_10D), 4) = "#N/A", "",  _xll.BDP($C1538, VOLUME_AVG_10D))</f>
        <v>200840.203125</v>
      </c>
      <c r="Z1538" s="31" cm="1">
        <f t="array" ref="Z1538">IF(LEFT(_xll.BDP($C1538, VOLUME_AVG_30D), 4) = "#N/A", "",  _xll.BDP($C1538, VOLUME_AVG_30D))</f>
        <v>376745.90625</v>
      </c>
      <c r="AA1538" s="31" cm="1">
        <f t="array" ref="AA1538">IF(LEFT(_xll.BDP($C1538, VOLUME_AVG_3M), 4) = "#N/A", "",  _xll.BDP($C1538, VOLUME_AVG_3M))</f>
        <v>569764.875</v>
      </c>
      <c r="AB1538" s="31" cm="1">
        <f t="array" ref="AB1538">IF(LEFT(_xll.BDP($C1538, VOLUME_AVG_6M), 4) = "#N/A", "",  _xll.BDP($C1538, VOLUME_AVG_6M))</f>
        <v>839490.0625</v>
      </c>
      <c r="AC1538" s="31" cm="1">
        <f t="array" ref="AC1538">IF(LEFT(_xll.BDP($C1538, VOLUME_AVG_12M), 4) = "#N/A", "",  _xll.BDP($C1538, VOLUME_AVG_12M))</f>
        <v>521460.5</v>
      </c>
      <c r="AD1538" s="41" cm="1">
        <f t="array" ref="AD1538">IF(LEFT(_xll.BDP($C1538, LAST_PRICE), 4) = "#N/A", "",  _xll.BDP($C1538, LAST_PRICE))</f>
        <v>0.65</v>
      </c>
    </row>
    <row r="1539" spans="1:30" x14ac:dyDescent="0.35">
      <c r="A1539" s="1">
        <f t="shared" si="23"/>
        <v>1536</v>
      </c>
      <c r="B1539" s="28">
        <v>45700</v>
      </c>
      <c r="C1539" s="29" t="s">
        <v>3120</v>
      </c>
      <c r="D1539" s="29" t="s">
        <v>3120</v>
      </c>
      <c r="E1539" s="29" t="s">
        <v>3121</v>
      </c>
      <c r="F1539" s="29" t="s">
        <v>33</v>
      </c>
      <c r="G1539" s="30" t="s">
        <v>34</v>
      </c>
      <c r="H1539" s="31">
        <v>116712277371.668</v>
      </c>
      <c r="I1539" s="31">
        <v>112253577371.668</v>
      </c>
      <c r="J1539" s="32">
        <v>453.20001220703102</v>
      </c>
      <c r="K1539" s="33">
        <v>45700</v>
      </c>
      <c r="L1539" s="31">
        <v>106456400</v>
      </c>
      <c r="M1539" s="32">
        <v>3.88</v>
      </c>
      <c r="N1539" s="31" t="s">
        <v>35</v>
      </c>
      <c r="O1539" s="33">
        <v>45699</v>
      </c>
      <c r="P1539" s="34">
        <v>1563958.125</v>
      </c>
      <c r="Q1539" s="34">
        <v>1649624.75</v>
      </c>
      <c r="R1539" s="34">
        <v>1344759.875</v>
      </c>
      <c r="S1539" s="29" t="s">
        <v>533</v>
      </c>
      <c r="T1539" s="33">
        <v>45215</v>
      </c>
      <c r="U1539" s="35" t="b">
        <v>0</v>
      </c>
      <c r="V1539" s="35" t="b">
        <v>0</v>
      </c>
      <c r="W1539" s="35" t="b">
        <v>0</v>
      </c>
      <c r="Y1539" s="31" cm="1">
        <f t="array" ref="Y1539">IF(LEFT(_xll.BDP($C1539, VOLUME_AVG_10D), 4) = "#N/A", "",  _xll.BDP($C1539, VOLUME_AVG_10D))</f>
        <v>1714351.25</v>
      </c>
      <c r="Z1539" s="31" cm="1">
        <f t="array" ref="Z1539">IF(LEFT(_xll.BDP($C1539, VOLUME_AVG_30D), 4) = "#N/A", "",  _xll.BDP($C1539, VOLUME_AVG_30D))</f>
        <v>1563958.125</v>
      </c>
      <c r="AA1539" s="31" cm="1">
        <f t="array" ref="AA1539">IF(LEFT(_xll.BDP($C1539, VOLUME_AVG_3M), 4) = "#N/A", "",  _xll.BDP($C1539, VOLUME_AVG_3M))</f>
        <v>1649624.75</v>
      </c>
      <c r="AB1539" s="31" cm="1">
        <f t="array" ref="AB1539">IF(LEFT(_xll.BDP($C1539, VOLUME_AVG_6M), 4) = "#N/A", "",  _xll.BDP($C1539, VOLUME_AVG_6M))</f>
        <v>1344759.875</v>
      </c>
      <c r="AC1539" s="31" cm="1">
        <f t="array" ref="AC1539">IF(LEFT(_xll.BDP($C1539, VOLUME_AVG_12M), 4) = "#N/A", "",  _xll.BDP($C1539, VOLUME_AVG_12M))</f>
        <v>1237353.125</v>
      </c>
      <c r="AD1539" s="41" cm="1">
        <f t="array" ref="AD1539">IF(LEFT(_xll.BDP($C1539, LAST_PRICE), 4) = "#N/A", "",  _xll.BDP($C1539, LAST_PRICE))</f>
        <v>453.2</v>
      </c>
    </row>
    <row r="1540" spans="1:30" x14ac:dyDescent="0.35">
      <c r="A1540" s="1">
        <f t="shared" si="23"/>
        <v>1537</v>
      </c>
      <c r="B1540" s="28">
        <v>45700</v>
      </c>
      <c r="C1540" s="29" t="s">
        <v>3122</v>
      </c>
      <c r="D1540" s="29" t="s">
        <v>3122</v>
      </c>
      <c r="E1540" s="29" t="s">
        <v>3123</v>
      </c>
      <c r="F1540" s="29" t="s">
        <v>33</v>
      </c>
      <c r="G1540" s="30" t="s">
        <v>34</v>
      </c>
      <c r="H1540" s="31">
        <v>680697270.37033105</v>
      </c>
      <c r="I1540" s="31">
        <v>131654270.370331</v>
      </c>
      <c r="J1540" s="32">
        <v>8.0399999618530291</v>
      </c>
      <c r="K1540" s="33">
        <v>45700</v>
      </c>
      <c r="L1540" s="31">
        <v>12073000</v>
      </c>
      <c r="M1540" s="32">
        <v>3.88</v>
      </c>
      <c r="N1540" s="31" t="s">
        <v>35</v>
      </c>
      <c r="O1540" s="33">
        <v>45699</v>
      </c>
      <c r="P1540" s="34">
        <v>1609718.375</v>
      </c>
      <c r="Q1540" s="34">
        <v>1708179.5</v>
      </c>
      <c r="R1540" s="34">
        <v>1519806.375</v>
      </c>
      <c r="S1540" s="29" t="s">
        <v>68</v>
      </c>
      <c r="T1540" s="33">
        <v>45446</v>
      </c>
      <c r="U1540" s="35" t="b">
        <v>0</v>
      </c>
      <c r="V1540" s="35" t="b">
        <v>0</v>
      </c>
      <c r="W1540" s="35" t="b">
        <v>0</v>
      </c>
      <c r="Y1540" s="31">
        <f>IF(LEFT(_xll.BDP($C1540, VOLUME_AVG_10D), 4) = "#N/A", "",  _xll.BDP($C1540, VOLUME_AVG_10D))</f>
        <v>1384358.375</v>
      </c>
      <c r="Z1540" s="31">
        <f>IF(LEFT(_xll.BDP($C1540, VOLUME_AVG_30D), 4) = "#N/A", "",  _xll.BDP($C1540, VOLUME_AVG_30D))</f>
        <v>1609718.375</v>
      </c>
      <c r="AA1540" s="31">
        <f>IF(LEFT(_xll.BDP($C1540, VOLUME_AVG_3M), 4) = "#N/A", "",  _xll.BDP($C1540, VOLUME_AVG_3M))</f>
        <v>1708179.5</v>
      </c>
      <c r="AB1540" s="31">
        <f>IF(LEFT(_xll.BDP($C1540, VOLUME_AVG_6M), 4) = "#N/A", "",  _xll.BDP($C1540, VOLUME_AVG_6M))</f>
        <v>1519806.375</v>
      </c>
      <c r="AC1540" s="31">
        <f>IF(LEFT(_xll.BDP($C1540, VOLUME_AVG_12M), 4) = "#N/A", "",  _xll.BDP($C1540, VOLUME_AVG_12M))</f>
        <v>1437396.75</v>
      </c>
      <c r="AD1540" s="41" cm="1">
        <f t="array" ref="AD1540">IF(LEFT(_xll.BDP($C1540, LAST_PRICE), 4) = "#N/A", "",  _xll.BDP($C1540, LAST_PRICE))</f>
        <v>8.0399999999999991</v>
      </c>
    </row>
    <row r="1541" spans="1:30" x14ac:dyDescent="0.35">
      <c r="A1541" s="1">
        <f t="shared" si="23"/>
        <v>1538</v>
      </c>
      <c r="B1541" s="28">
        <v>45700</v>
      </c>
      <c r="C1541" s="29" t="s">
        <v>3124</v>
      </c>
      <c r="D1541" s="29" t="s">
        <v>3124</v>
      </c>
      <c r="E1541" s="29" t="s">
        <v>3125</v>
      </c>
      <c r="F1541" s="29" t="s">
        <v>40</v>
      </c>
      <c r="G1541" s="30" t="s">
        <v>41</v>
      </c>
      <c r="H1541" s="31">
        <v>33556034.818397</v>
      </c>
      <c r="I1541" s="31">
        <v>53404892.788095497</v>
      </c>
      <c r="J1541" s="32">
        <v>0.135000005364418</v>
      </c>
      <c r="K1541" s="33">
        <v>45700</v>
      </c>
      <c r="L1541" s="31"/>
      <c r="M1541" s="32"/>
      <c r="N1541" s="31"/>
      <c r="O1541" s="33">
        <v>45699</v>
      </c>
      <c r="P1541" s="34">
        <v>71622.16</v>
      </c>
      <c r="Q1541" s="34">
        <v>57331.42</v>
      </c>
      <c r="R1541" s="34">
        <v>60697.37</v>
      </c>
      <c r="S1541" s="29"/>
      <c r="T1541" s="33"/>
      <c r="U1541" s="35" t="b">
        <v>0</v>
      </c>
      <c r="V1541" s="35" t="b">
        <v>0</v>
      </c>
      <c r="W1541" s="35" t="b">
        <v>0</v>
      </c>
      <c r="Y1541" s="31">
        <f>IF(LEFT(_xll.BDP($C1541, VOLUME_AVG_10D), 4) = "#N/A", "",  _xll.BDP($C1541, VOLUME_AVG_10D))</f>
        <v>148779.5</v>
      </c>
      <c r="Z1541" s="31">
        <f>IF(LEFT(_xll.BDP($C1541, VOLUME_AVG_30D), 4) = "#N/A", "",  _xll.BDP($C1541, VOLUME_AVG_30D))</f>
        <v>71622.16</v>
      </c>
      <c r="AA1541" s="31">
        <f>IF(LEFT(_xll.BDP($C1541, VOLUME_AVG_3M), 4) = "#N/A", "",  _xll.BDP($C1541, VOLUME_AVG_3M))</f>
        <v>57331.42</v>
      </c>
      <c r="AB1541" s="31">
        <f>IF(LEFT(_xll.BDP($C1541, VOLUME_AVG_6M), 4) = "#N/A", "",  _xll.BDP($C1541, VOLUME_AVG_6M))</f>
        <v>60697.37</v>
      </c>
      <c r="AC1541" s="31">
        <f>IF(LEFT(_xll.BDP($C1541, VOLUME_AVG_12M), 4) = "#N/A", "",  _xll.BDP($C1541, VOLUME_AVG_12M))</f>
        <v>63827.39</v>
      </c>
      <c r="AD1541" s="41" cm="1">
        <f t="array" ref="AD1541">IF(LEFT(_xll.BDP($C1541, LAST_PRICE), 4) = "#N/A", "",  _xll.BDP($C1541, LAST_PRICE))</f>
        <v>0.13500000000000001</v>
      </c>
    </row>
    <row r="1542" spans="1:30" x14ac:dyDescent="0.35">
      <c r="A1542" s="1">
        <f t="shared" ref="A1542:A1605" si="24">IF(B1542="","", A1541+1)</f>
        <v>1539</v>
      </c>
      <c r="B1542" s="28">
        <v>45700</v>
      </c>
      <c r="C1542" s="29" t="s">
        <v>3126</v>
      </c>
      <c r="D1542" s="29" t="s">
        <v>3126</v>
      </c>
      <c r="E1542" s="29" t="s">
        <v>3127</v>
      </c>
      <c r="F1542" s="29" t="s">
        <v>33</v>
      </c>
      <c r="G1542" s="30" t="s">
        <v>34</v>
      </c>
      <c r="H1542" s="31">
        <v>10788.315327464201</v>
      </c>
      <c r="I1542" s="31">
        <v>3898809.3076065201</v>
      </c>
      <c r="J1542" s="32">
        <v>9.9999997473787503E-5</v>
      </c>
      <c r="K1542" s="33">
        <v>45700</v>
      </c>
      <c r="L1542" s="31"/>
      <c r="M1542" s="32"/>
      <c r="N1542" s="31"/>
      <c r="O1542" s="33">
        <v>45699</v>
      </c>
      <c r="P1542" s="34">
        <v>5804262.5</v>
      </c>
      <c r="Q1542" s="34">
        <v>7428694.5</v>
      </c>
      <c r="R1542" s="34">
        <v>6355388</v>
      </c>
      <c r="S1542" s="29"/>
      <c r="T1542" s="33"/>
      <c r="U1542" s="35" t="b">
        <v>1</v>
      </c>
      <c r="V1542" s="35" t="b">
        <v>1</v>
      </c>
      <c r="W1542" s="35" t="b">
        <v>0</v>
      </c>
      <c r="Y1542" s="31">
        <f>IF(LEFT(_xll.BDP($C1542, VOLUME_AVG_10D), 4) = "#N/A", "",  _xll.BDP($C1542, VOLUME_AVG_10D))</f>
        <v>859936.8125</v>
      </c>
      <c r="Z1542" s="31">
        <f>IF(LEFT(_xll.BDP($C1542, VOLUME_AVG_30D), 4) = "#N/A", "",  _xll.BDP($C1542, VOLUME_AVG_30D))</f>
        <v>5804262.5</v>
      </c>
      <c r="AA1542" s="31">
        <f>IF(LEFT(_xll.BDP($C1542, VOLUME_AVG_3M), 4) = "#N/A", "",  _xll.BDP($C1542, VOLUME_AVG_3M))</f>
        <v>7428694.5</v>
      </c>
      <c r="AB1542" s="31">
        <f>IF(LEFT(_xll.BDP($C1542, VOLUME_AVG_6M), 4) = "#N/A", "",  _xll.BDP($C1542, VOLUME_AVG_6M))</f>
        <v>6355388</v>
      </c>
      <c r="AC1542" s="31">
        <f>IF(LEFT(_xll.BDP($C1542, VOLUME_AVG_12M), 4) = "#N/A", "",  _xll.BDP($C1542, VOLUME_AVG_12M))</f>
        <v>6587634</v>
      </c>
      <c r="AD1542" s="41" cm="1">
        <f t="array" ref="AD1542">IF(LEFT(_xll.BDP($C1542, LAST_PRICE), 4) = "#N/A", "",  _xll.BDP($C1542, LAST_PRICE))</f>
        <v>1E-4</v>
      </c>
    </row>
    <row r="1543" spans="1:30" x14ac:dyDescent="0.35">
      <c r="A1543" s="1">
        <f t="shared" si="24"/>
        <v>1540</v>
      </c>
      <c r="B1543" s="28">
        <v>45700</v>
      </c>
      <c r="C1543" s="29" t="s">
        <v>3128</v>
      </c>
      <c r="D1543" s="29" t="s">
        <v>3128</v>
      </c>
      <c r="E1543" s="29" t="s">
        <v>3129</v>
      </c>
      <c r="F1543" s="29" t="s">
        <v>33</v>
      </c>
      <c r="G1543" s="30" t="s">
        <v>34</v>
      </c>
      <c r="H1543" s="31"/>
      <c r="I1543" s="31"/>
      <c r="J1543" s="32"/>
      <c r="K1543" s="33">
        <v>45700</v>
      </c>
      <c r="L1543" s="31"/>
      <c r="M1543" s="32"/>
      <c r="N1543" s="31"/>
      <c r="O1543" s="33">
        <v>45699</v>
      </c>
      <c r="P1543" s="34">
        <v>440.03332519531301</v>
      </c>
      <c r="Q1543" s="34">
        <v>661.69354248046898</v>
      </c>
      <c r="R1543" s="34">
        <v>337.5</v>
      </c>
      <c r="S1543" s="29"/>
      <c r="T1543" s="33"/>
      <c r="U1543" s="35" t="b">
        <v>1</v>
      </c>
      <c r="V1543" s="35" t="b">
        <v>1</v>
      </c>
      <c r="W1543" s="35" t="b">
        <v>1</v>
      </c>
      <c r="Y1543" s="31">
        <f>IF(LEFT(_xll.BDP($C1543, VOLUME_AVG_10D), 4) = "#N/A", "",  _xll.BDP($C1543, VOLUME_AVG_10D))</f>
        <v>0</v>
      </c>
      <c r="Z1543" s="31">
        <f>IF(LEFT(_xll.BDP($C1543, VOLUME_AVG_30D), 4) = "#N/A", "",  _xll.BDP($C1543, VOLUME_AVG_30D))</f>
        <v>440.0333251953125</v>
      </c>
      <c r="AA1543" s="31">
        <f>IF(LEFT(_xll.BDP($C1543, VOLUME_AVG_3M), 4) = "#N/A", "",  _xll.BDP($C1543, VOLUME_AVG_3M))</f>
        <v>661.69354248046875</v>
      </c>
      <c r="AB1543" s="31">
        <f>IF(LEFT(_xll.BDP($C1543, VOLUME_AVG_6M), 4) = "#N/A", "",  _xll.BDP($C1543, VOLUME_AVG_6M))</f>
        <v>337.5</v>
      </c>
      <c r="AC1543" s="31">
        <f>IF(LEFT(_xll.BDP($C1543, VOLUME_AVG_12M), 4) = "#N/A", "",  _xll.BDP($C1543, VOLUME_AVG_12M))</f>
        <v>176.19522094726563</v>
      </c>
      <c r="AD1543" s="41" cm="1">
        <f t="array" ref="AD1543">IF(LEFT(_xll.BDP($C1543, LAST_PRICE), 4) = "#N/A", "",  _xll.BDP($C1543, LAST_PRICE))</f>
        <v>9.9999999999999995E-7</v>
      </c>
    </row>
    <row r="1544" spans="1:30" x14ac:dyDescent="0.35">
      <c r="A1544" s="1">
        <f t="shared" si="24"/>
        <v>1541</v>
      </c>
      <c r="B1544" s="28">
        <v>45700</v>
      </c>
      <c r="C1544" s="29" t="s">
        <v>3130</v>
      </c>
      <c r="D1544" s="29" t="s">
        <v>3130</v>
      </c>
      <c r="E1544" s="29" t="s">
        <v>3131</v>
      </c>
      <c r="F1544" s="29" t="s">
        <v>33</v>
      </c>
      <c r="G1544" s="30" t="s">
        <v>34</v>
      </c>
      <c r="H1544" s="31">
        <v>2032.3656006138799</v>
      </c>
      <c r="I1544" s="31">
        <v>6097713.3656006102</v>
      </c>
      <c r="J1544" s="32">
        <v>1.48000000044703E-2</v>
      </c>
      <c r="K1544" s="33">
        <v>45700</v>
      </c>
      <c r="L1544" s="31">
        <v>12920700</v>
      </c>
      <c r="M1544" s="32">
        <v>-1.45</v>
      </c>
      <c r="N1544" s="31" t="s">
        <v>35</v>
      </c>
      <c r="O1544" s="33">
        <v>45699</v>
      </c>
      <c r="P1544" s="34">
        <v>3026245</v>
      </c>
      <c r="Q1544" s="34">
        <v>2901470</v>
      </c>
      <c r="R1544" s="34">
        <v>2337698.75</v>
      </c>
      <c r="S1544" s="29"/>
      <c r="T1544" s="33"/>
      <c r="U1544" s="35" t="b">
        <v>1</v>
      </c>
      <c r="V1544" s="35" t="b">
        <v>1</v>
      </c>
      <c r="W1544" s="35" t="b">
        <v>0</v>
      </c>
      <c r="Y1544" s="31">
        <f>IF(LEFT(_xll.BDP($C1544, VOLUME_AVG_10D), 4) = "#N/A", "",  _xll.BDP($C1544, VOLUME_AVG_10D))</f>
        <v>2671343</v>
      </c>
      <c r="Z1544" s="31">
        <f>IF(LEFT(_xll.BDP($C1544, VOLUME_AVG_30D), 4) = "#N/A", "",  _xll.BDP($C1544, VOLUME_AVG_30D))</f>
        <v>3026245</v>
      </c>
      <c r="AA1544" s="31">
        <f>IF(LEFT(_xll.BDP($C1544, VOLUME_AVG_3M), 4) = "#N/A", "",  _xll.BDP($C1544, VOLUME_AVG_3M))</f>
        <v>2901470</v>
      </c>
      <c r="AB1544" s="31">
        <f>IF(LEFT(_xll.BDP($C1544, VOLUME_AVG_6M), 4) = "#N/A", "",  _xll.BDP($C1544, VOLUME_AVG_6M))</f>
        <v>2337698.75</v>
      </c>
      <c r="AC1544" s="31">
        <f>IF(LEFT(_xll.BDP($C1544, VOLUME_AVG_12M), 4) = "#N/A", "",  _xll.BDP($C1544, VOLUME_AVG_12M))</f>
        <v>1841516.375</v>
      </c>
      <c r="AD1544" s="41" cm="1">
        <f t="array" ref="AD1544">IF(LEFT(_xll.BDP($C1544, LAST_PRICE), 4) = "#N/A", "",  _xll.BDP($C1544, LAST_PRICE))</f>
        <v>1.4800000000000001E-2</v>
      </c>
    </row>
    <row r="1545" spans="1:30" x14ac:dyDescent="0.35">
      <c r="A1545" s="1">
        <f t="shared" si="24"/>
        <v>1542</v>
      </c>
      <c r="B1545" s="28">
        <v>45700</v>
      </c>
      <c r="C1545" s="29" t="s">
        <v>3132</v>
      </c>
      <c r="D1545" s="29" t="s">
        <v>3132</v>
      </c>
      <c r="E1545" s="29" t="s">
        <v>3133</v>
      </c>
      <c r="F1545" s="29" t="s">
        <v>33</v>
      </c>
      <c r="G1545" s="30" t="s">
        <v>34</v>
      </c>
      <c r="H1545" s="31">
        <v>12652085216.5196</v>
      </c>
      <c r="I1545" s="31">
        <v>26756085216.5196</v>
      </c>
      <c r="J1545" s="32">
        <v>10.6000003814697</v>
      </c>
      <c r="K1545" s="33">
        <v>45700</v>
      </c>
      <c r="L1545" s="31">
        <v>412342592</v>
      </c>
      <c r="M1545" s="32">
        <v>3.88</v>
      </c>
      <c r="N1545" s="31" t="s">
        <v>35</v>
      </c>
      <c r="O1545" s="33">
        <v>45699</v>
      </c>
      <c r="P1545" s="34">
        <v>9255372</v>
      </c>
      <c r="Q1545" s="34">
        <v>9135947</v>
      </c>
      <c r="R1545" s="34">
        <v>8356057.5</v>
      </c>
      <c r="S1545" s="29" t="s">
        <v>285</v>
      </c>
      <c r="T1545" s="33">
        <v>45446</v>
      </c>
      <c r="U1545" s="35" t="b">
        <v>0</v>
      </c>
      <c r="V1545" s="35" t="b">
        <v>0</v>
      </c>
      <c r="W1545" s="35" t="b">
        <v>0</v>
      </c>
      <c r="Y1545" s="31">
        <f>IF(LEFT(_xll.BDP($C1545, VOLUME_AVG_10D), 4) = "#N/A", "",  _xll.BDP($C1545, VOLUME_AVG_10D))</f>
        <v>10389256</v>
      </c>
      <c r="Z1545" s="31">
        <f>IF(LEFT(_xll.BDP($C1545, VOLUME_AVG_30D), 4) = "#N/A", "",  _xll.BDP($C1545, VOLUME_AVG_30D))</f>
        <v>9255372</v>
      </c>
      <c r="AA1545" s="31">
        <f>IF(LEFT(_xll.BDP($C1545, VOLUME_AVG_3M), 4) = "#N/A", "",  _xll.BDP($C1545, VOLUME_AVG_3M))</f>
        <v>9135947</v>
      </c>
      <c r="AB1545" s="31">
        <f>IF(LEFT(_xll.BDP($C1545, VOLUME_AVG_6M), 4) = "#N/A", "",  _xll.BDP($C1545, VOLUME_AVG_6M))</f>
        <v>8356057.5</v>
      </c>
      <c r="AC1545" s="31">
        <f>IF(LEFT(_xll.BDP($C1545, VOLUME_AVG_12M), 4) = "#N/A", "",  _xll.BDP($C1545, VOLUME_AVG_12M))</f>
        <v>8647874</v>
      </c>
      <c r="AD1545" s="41" cm="1">
        <f t="array" ref="AD1545">IF(LEFT(_xll.BDP($C1545, LAST_PRICE), 4) = "#N/A", "",  _xll.BDP($C1545, LAST_PRICE))</f>
        <v>10.6</v>
      </c>
    </row>
    <row r="1546" spans="1:30" x14ac:dyDescent="0.35">
      <c r="A1546" s="1">
        <f t="shared" si="24"/>
        <v>1543</v>
      </c>
      <c r="B1546" s="28">
        <v>45700</v>
      </c>
      <c r="C1546" s="29" t="s">
        <v>3134</v>
      </c>
      <c r="D1546" s="29" t="s">
        <v>3134</v>
      </c>
      <c r="E1546" s="29" t="s">
        <v>3135</v>
      </c>
      <c r="F1546" s="29" t="s">
        <v>40</v>
      </c>
      <c r="G1546" s="30" t="s">
        <v>41</v>
      </c>
      <c r="H1546" s="31">
        <v>755791.897</v>
      </c>
      <c r="I1546" s="31">
        <v>2812813.4479999999</v>
      </c>
      <c r="J1546" s="32">
        <v>7.0000000000000007E-2</v>
      </c>
      <c r="K1546" s="33">
        <v>45700</v>
      </c>
      <c r="L1546" s="31"/>
      <c r="M1546" s="32"/>
      <c r="N1546" s="31"/>
      <c r="O1546" s="33">
        <v>45699</v>
      </c>
      <c r="P1546" s="34">
        <v>31499.43</v>
      </c>
      <c r="Q1546" s="34">
        <v>16511.38</v>
      </c>
      <c r="R1546" s="34">
        <v>9358.7639999999992</v>
      </c>
      <c r="S1546" s="29"/>
      <c r="T1546" s="33"/>
      <c r="U1546" s="35" t="b">
        <v>1</v>
      </c>
      <c r="V1546" s="35" t="b">
        <v>1</v>
      </c>
      <c r="W1546" s="35" t="b">
        <v>0</v>
      </c>
      <c r="Y1546" s="31">
        <f>IF(LEFT(_xll.BDP($C1546, VOLUME_AVG_10D), 4) = "#N/A", "",  _xll.BDP($C1546, VOLUME_AVG_10D))</f>
        <v>935.4</v>
      </c>
      <c r="Z1546" s="31">
        <f>IF(LEFT(_xll.BDP($C1546, VOLUME_AVG_30D), 4) = "#N/A", "",  _xll.BDP($C1546, VOLUME_AVG_30D))</f>
        <v>31499.43</v>
      </c>
      <c r="AA1546" s="31">
        <f>IF(LEFT(_xll.BDP($C1546, VOLUME_AVG_3M), 4) = "#N/A", "",  _xll.BDP($C1546, VOLUME_AVG_3M))</f>
        <v>16511.38</v>
      </c>
      <c r="AB1546" s="31">
        <f>IF(LEFT(_xll.BDP($C1546, VOLUME_AVG_6M), 4) = "#N/A", "",  _xll.BDP($C1546, VOLUME_AVG_6M))</f>
        <v>9358.7639999999992</v>
      </c>
      <c r="AC1546" s="31">
        <f>IF(LEFT(_xll.BDP($C1546, VOLUME_AVG_12M), 4) = "#N/A", "",  _xll.BDP($C1546, VOLUME_AVG_12M))</f>
        <v>5648.2920000000004</v>
      </c>
      <c r="AD1546" s="41" cm="1">
        <f t="array" ref="AD1546">IF(LEFT(_xll.BDP($C1546, LAST_PRICE), 4) = "#N/A", "",  _xll.BDP($C1546, LAST_PRICE))</f>
        <v>7.0000000000000007E-2</v>
      </c>
    </row>
    <row r="1547" spans="1:30" x14ac:dyDescent="0.35">
      <c r="A1547" s="1">
        <f t="shared" si="24"/>
        <v>1544</v>
      </c>
      <c r="B1547" s="28">
        <v>45700</v>
      </c>
      <c r="C1547" s="29" t="s">
        <v>3136</v>
      </c>
      <c r="D1547" s="29" t="s">
        <v>3136</v>
      </c>
      <c r="E1547" s="29" t="s">
        <v>3137</v>
      </c>
      <c r="F1547" s="29" t="s">
        <v>33</v>
      </c>
      <c r="G1547" s="30" t="s">
        <v>34</v>
      </c>
      <c r="H1547" s="31">
        <v>66361162.950000003</v>
      </c>
      <c r="I1547" s="31"/>
      <c r="J1547" s="32">
        <v>2.0499999999999998</v>
      </c>
      <c r="K1547" s="33">
        <v>45700</v>
      </c>
      <c r="L1547" s="31"/>
      <c r="M1547" s="32"/>
      <c r="N1547" s="31"/>
      <c r="O1547" s="33">
        <v>45699</v>
      </c>
      <c r="P1547" s="34">
        <v>77</v>
      </c>
      <c r="Q1547" s="34">
        <v>76.080642700195298</v>
      </c>
      <c r="R1547" s="34">
        <v>37.452381134033203</v>
      </c>
      <c r="S1547" s="29"/>
      <c r="T1547" s="33"/>
      <c r="U1547" s="35" t="b">
        <v>0</v>
      </c>
      <c r="V1547" s="35" t="b">
        <v>0</v>
      </c>
      <c r="W1547" s="35" t="b">
        <v>1</v>
      </c>
      <c r="Y1547" s="31">
        <f>IF(LEFT(_xll.BDP($C1547, VOLUME_AVG_10D), 4) = "#N/A", "",  _xll.BDP($C1547, VOLUME_AVG_10D))</f>
        <v>60</v>
      </c>
      <c r="Z1547" s="31">
        <f>IF(LEFT(_xll.BDP($C1547, VOLUME_AVG_30D), 4) = "#N/A", "",  _xll.BDP($C1547, VOLUME_AVG_30D))</f>
        <v>77</v>
      </c>
      <c r="AA1547" s="31">
        <f>IF(LEFT(_xll.BDP($C1547, VOLUME_AVG_3M), 4) = "#N/A", "",  _xll.BDP($C1547, VOLUME_AVG_3M))</f>
        <v>76.080642700195313</v>
      </c>
      <c r="AB1547" s="31">
        <f>IF(LEFT(_xll.BDP($C1547, VOLUME_AVG_6M), 4) = "#N/A", "",  _xll.BDP($C1547, VOLUME_AVG_6M))</f>
        <v>37.452381134033203</v>
      </c>
      <c r="AC1547" s="31">
        <f>IF(LEFT(_xll.BDP($C1547, VOLUME_AVG_12M), 4) = "#N/A", "",  _xll.BDP($C1547, VOLUME_AVG_12M))</f>
        <v>112.47012329101563</v>
      </c>
      <c r="AD1547" s="41" cm="1">
        <f t="array" ref="AD1547">IF(LEFT(_xll.BDP($C1547, LAST_PRICE), 4) = "#N/A", "",  _xll.BDP($C1547, LAST_PRICE))</f>
        <v>2.0499999999999998</v>
      </c>
    </row>
    <row r="1548" spans="1:30" x14ac:dyDescent="0.35">
      <c r="A1548" s="1">
        <f t="shared" si="24"/>
        <v>1545</v>
      </c>
      <c r="B1548" s="28">
        <v>45700</v>
      </c>
      <c r="C1548" s="29" t="s">
        <v>3138</v>
      </c>
      <c r="D1548" s="29" t="s">
        <v>3138</v>
      </c>
      <c r="E1548" s="29" t="s">
        <v>3139</v>
      </c>
      <c r="F1548" s="29" t="s">
        <v>33</v>
      </c>
      <c r="G1548" s="30" t="s">
        <v>34</v>
      </c>
      <c r="H1548" s="31">
        <v>70425994.770761505</v>
      </c>
      <c r="I1548" s="31">
        <v>-12919005.229238501</v>
      </c>
      <c r="J1548" s="32">
        <v>11.920000076293899</v>
      </c>
      <c r="K1548" s="33">
        <v>45700</v>
      </c>
      <c r="L1548" s="31">
        <v>140200</v>
      </c>
      <c r="M1548" s="32">
        <v>3.55</v>
      </c>
      <c r="N1548" s="31" t="s">
        <v>35</v>
      </c>
      <c r="O1548" s="33">
        <v>45699</v>
      </c>
      <c r="P1548" s="34">
        <v>45714.734375</v>
      </c>
      <c r="Q1548" s="34">
        <v>47593.53125</v>
      </c>
      <c r="R1548" s="34">
        <v>32388.19921875</v>
      </c>
      <c r="S1548" s="29"/>
      <c r="T1548" s="33"/>
      <c r="U1548" s="35" t="b">
        <v>0</v>
      </c>
      <c r="V1548" s="35" t="b">
        <v>0</v>
      </c>
      <c r="W1548" s="35" t="b">
        <v>1</v>
      </c>
      <c r="Y1548" s="31">
        <f>IF(LEFT(_xll.BDP($C1548, VOLUME_AVG_10D), 4) = "#N/A", "",  _xll.BDP($C1548, VOLUME_AVG_10D))</f>
        <v>29383.30078125</v>
      </c>
      <c r="Z1548" s="31">
        <f>IF(LEFT(_xll.BDP($C1548, VOLUME_AVG_30D), 4) = "#N/A", "",  _xll.BDP($C1548, VOLUME_AVG_30D))</f>
        <v>45714.734375</v>
      </c>
      <c r="AA1548" s="31">
        <f>IF(LEFT(_xll.BDP($C1548, VOLUME_AVG_3M), 4) = "#N/A", "",  _xll.BDP($C1548, VOLUME_AVG_3M))</f>
        <v>47593.53125</v>
      </c>
      <c r="AB1548" s="31">
        <f>IF(LEFT(_xll.BDP($C1548, VOLUME_AVG_6M), 4) = "#N/A", "",  _xll.BDP($C1548, VOLUME_AVG_6M))</f>
        <v>32388.19921875</v>
      </c>
      <c r="AC1548" s="31">
        <f>IF(LEFT(_xll.BDP($C1548, VOLUME_AVG_12M), 4) = "#N/A", "",  _xll.BDP($C1548, VOLUME_AVG_12M))</f>
        <v>31256.666015625</v>
      </c>
      <c r="AD1548" s="41" cm="1">
        <f t="array" ref="AD1548">IF(LEFT(_xll.BDP($C1548, LAST_PRICE), 4) = "#N/A", "",  _xll.BDP($C1548, LAST_PRICE))</f>
        <v>11.92</v>
      </c>
    </row>
    <row r="1549" spans="1:30" x14ac:dyDescent="0.35">
      <c r="A1549" s="1">
        <f t="shared" si="24"/>
        <v>1546</v>
      </c>
      <c r="B1549" s="28">
        <v>45700</v>
      </c>
      <c r="C1549" s="29" t="s">
        <v>3140</v>
      </c>
      <c r="D1549" s="29" t="s">
        <v>3140</v>
      </c>
      <c r="E1549" s="29" t="s">
        <v>3141</v>
      </c>
      <c r="F1549" s="29" t="s">
        <v>33</v>
      </c>
      <c r="G1549" s="30" t="s">
        <v>34</v>
      </c>
      <c r="H1549" s="31">
        <v>306430738.48406398</v>
      </c>
      <c r="I1549" s="31">
        <v>303915738.48406398</v>
      </c>
      <c r="J1549" s="32">
        <v>7.8699998855590803</v>
      </c>
      <c r="K1549" s="33">
        <v>45700</v>
      </c>
      <c r="L1549" s="31"/>
      <c r="M1549" s="32"/>
      <c r="N1549" s="31"/>
      <c r="O1549" s="33">
        <v>45699</v>
      </c>
      <c r="P1549" s="34">
        <v>117078.265625</v>
      </c>
      <c r="Q1549" s="34">
        <v>133268.28125</v>
      </c>
      <c r="R1549" s="34">
        <v>142422.265625</v>
      </c>
      <c r="S1549" s="29" t="s">
        <v>46</v>
      </c>
      <c r="T1549" s="33">
        <v>45446</v>
      </c>
      <c r="U1549" s="35" t="b">
        <v>0</v>
      </c>
      <c r="V1549" s="35" t="b">
        <v>0</v>
      </c>
      <c r="W1549" s="35" t="b">
        <v>0</v>
      </c>
      <c r="Y1549" s="31">
        <f>IF(LEFT(_xll.BDP($C1549, VOLUME_AVG_10D), 4) = "#N/A", "",  _xll.BDP($C1549, VOLUME_AVG_10D))</f>
        <v>75461.1015625</v>
      </c>
      <c r="Z1549" s="31">
        <f>IF(LEFT(_xll.BDP($C1549, VOLUME_AVG_30D), 4) = "#N/A", "",  _xll.BDP($C1549, VOLUME_AVG_30D))</f>
        <v>117078.265625</v>
      </c>
      <c r="AA1549" s="31">
        <f>IF(LEFT(_xll.BDP($C1549, VOLUME_AVG_3M), 4) = "#N/A", "",  _xll.BDP($C1549, VOLUME_AVG_3M))</f>
        <v>133268.28125</v>
      </c>
      <c r="AB1549" s="31">
        <f>IF(LEFT(_xll.BDP($C1549, VOLUME_AVG_6M), 4) = "#N/A", "",  _xll.BDP($C1549, VOLUME_AVG_6M))</f>
        <v>142422.265625</v>
      </c>
      <c r="AC1549" s="31">
        <f>IF(LEFT(_xll.BDP($C1549, VOLUME_AVG_12M), 4) = "#N/A", "",  _xll.BDP($C1549, VOLUME_AVG_12M))</f>
        <v>150633.046875</v>
      </c>
      <c r="AD1549" s="41" cm="1">
        <f t="array" ref="AD1549">IF(LEFT(_xll.BDP($C1549, LAST_PRICE), 4) = "#N/A", "",  _xll.BDP($C1549, LAST_PRICE))</f>
        <v>7.87</v>
      </c>
    </row>
    <row r="1550" spans="1:30" x14ac:dyDescent="0.35">
      <c r="A1550" s="1">
        <f t="shared" si="24"/>
        <v>1547</v>
      </c>
      <c r="B1550" s="28">
        <v>45700</v>
      </c>
      <c r="C1550" s="29" t="s">
        <v>3142</v>
      </c>
      <c r="D1550" s="29" t="s">
        <v>3142</v>
      </c>
      <c r="E1550" s="29" t="s">
        <v>3143</v>
      </c>
      <c r="F1550" s="29" t="s">
        <v>33</v>
      </c>
      <c r="G1550" s="30" t="s">
        <v>34</v>
      </c>
      <c r="H1550" s="31">
        <v>109965816.989143</v>
      </c>
      <c r="I1550" s="31">
        <v>11873816.9891429</v>
      </c>
      <c r="J1550" s="32">
        <v>2.6900000572204599</v>
      </c>
      <c r="K1550" s="33">
        <v>45700</v>
      </c>
      <c r="L1550" s="31">
        <v>1277800</v>
      </c>
      <c r="M1550" s="32">
        <v>2.4</v>
      </c>
      <c r="N1550" s="31" t="s">
        <v>35</v>
      </c>
      <c r="O1550" s="33">
        <v>45699</v>
      </c>
      <c r="P1550" s="34">
        <v>1857192.75</v>
      </c>
      <c r="Q1550" s="34">
        <v>1053040</v>
      </c>
      <c r="R1550" s="34">
        <v>568887.625</v>
      </c>
      <c r="S1550" s="29" t="s">
        <v>97</v>
      </c>
      <c r="T1550" s="33">
        <v>45215</v>
      </c>
      <c r="U1550" s="35" t="b">
        <v>0</v>
      </c>
      <c r="V1550" s="35" t="b">
        <v>0</v>
      </c>
      <c r="W1550" s="35" t="b">
        <v>0</v>
      </c>
      <c r="Y1550" s="31">
        <f>IF(LEFT(_xll.BDP($C1550, VOLUME_AVG_10D), 4) = "#N/A", "",  _xll.BDP($C1550, VOLUME_AVG_10D))</f>
        <v>431598.3125</v>
      </c>
      <c r="Z1550" s="31">
        <f>IF(LEFT(_xll.BDP($C1550, VOLUME_AVG_30D), 4) = "#N/A", "",  _xll.BDP($C1550, VOLUME_AVG_30D))</f>
        <v>1857192.75</v>
      </c>
      <c r="AA1550" s="31">
        <f>IF(LEFT(_xll.BDP($C1550, VOLUME_AVG_3M), 4) = "#N/A", "",  _xll.BDP($C1550, VOLUME_AVG_3M))</f>
        <v>1053040</v>
      </c>
      <c r="AB1550" s="31">
        <f>IF(LEFT(_xll.BDP($C1550, VOLUME_AVG_6M), 4) = "#N/A", "",  _xll.BDP($C1550, VOLUME_AVG_6M))</f>
        <v>568887.625</v>
      </c>
      <c r="AC1550" s="31">
        <f>IF(LEFT(_xll.BDP($C1550, VOLUME_AVG_12M), 4) = "#N/A", "",  _xll.BDP($C1550, VOLUME_AVG_12M))</f>
        <v>451969.90625</v>
      </c>
      <c r="AD1550" s="41" cm="1">
        <f t="array" ref="AD1550">IF(LEFT(_xll.BDP($C1550, LAST_PRICE), 4) = "#N/A", "",  _xll.BDP($C1550, LAST_PRICE))</f>
        <v>2.69</v>
      </c>
    </row>
    <row r="1551" spans="1:30" x14ac:dyDescent="0.35">
      <c r="A1551" s="1">
        <f t="shared" si="24"/>
        <v>1548</v>
      </c>
      <c r="B1551" s="28">
        <v>45700</v>
      </c>
      <c r="C1551" s="29" t="s">
        <v>3144</v>
      </c>
      <c r="D1551" s="29" t="s">
        <v>3144</v>
      </c>
      <c r="E1551" s="29" t="s">
        <v>3145</v>
      </c>
      <c r="F1551" s="29" t="s">
        <v>33</v>
      </c>
      <c r="G1551" s="30" t="s">
        <v>34</v>
      </c>
      <c r="H1551" s="31">
        <v>3267314744.8723102</v>
      </c>
      <c r="I1551" s="31">
        <v>2365821744.8723102</v>
      </c>
      <c r="J1551" s="32">
        <v>29.319999694824201</v>
      </c>
      <c r="K1551" s="33">
        <v>45700</v>
      </c>
      <c r="L1551" s="31">
        <v>17457400</v>
      </c>
      <c r="M1551" s="32">
        <v>3.88</v>
      </c>
      <c r="N1551" s="31" t="s">
        <v>35</v>
      </c>
      <c r="O1551" s="33">
        <v>45699</v>
      </c>
      <c r="P1551" s="34">
        <v>3954078.25</v>
      </c>
      <c r="Q1551" s="34">
        <v>4032896.75</v>
      </c>
      <c r="R1551" s="34">
        <v>3956482.75</v>
      </c>
      <c r="S1551" s="29" t="s">
        <v>195</v>
      </c>
      <c r="T1551" s="33">
        <v>45446</v>
      </c>
      <c r="U1551" s="35" t="b">
        <v>0</v>
      </c>
      <c r="V1551" s="35" t="b">
        <v>0</v>
      </c>
      <c r="W1551" s="35" t="b">
        <v>0</v>
      </c>
      <c r="Y1551" s="31">
        <f>IF(LEFT(_xll.BDP($C1551, VOLUME_AVG_10D), 4) = "#N/A", "",  _xll.BDP($C1551, VOLUME_AVG_10D))</f>
        <v>4774571</v>
      </c>
      <c r="Z1551" s="31">
        <f>IF(LEFT(_xll.BDP($C1551, VOLUME_AVG_30D), 4) = "#N/A", "",  _xll.BDP($C1551, VOLUME_AVG_30D))</f>
        <v>3954078.25</v>
      </c>
      <c r="AA1551" s="31">
        <f>IF(LEFT(_xll.BDP($C1551, VOLUME_AVG_3M), 4) = "#N/A", "",  _xll.BDP($C1551, VOLUME_AVG_3M))</f>
        <v>4032896.75</v>
      </c>
      <c r="AB1551" s="31">
        <f>IF(LEFT(_xll.BDP($C1551, VOLUME_AVG_6M), 4) = "#N/A", "",  _xll.BDP($C1551, VOLUME_AVG_6M))</f>
        <v>3956482.75</v>
      </c>
      <c r="AC1551" s="31">
        <f>IF(LEFT(_xll.BDP($C1551, VOLUME_AVG_12M), 4) = "#N/A", "",  _xll.BDP($C1551, VOLUME_AVG_12M))</f>
        <v>4552091</v>
      </c>
      <c r="AD1551" s="41" cm="1">
        <f t="array" ref="AD1551">IF(LEFT(_xll.BDP($C1551, LAST_PRICE), 4) = "#N/A", "",  _xll.BDP($C1551, LAST_PRICE))</f>
        <v>29.32</v>
      </c>
    </row>
    <row r="1552" spans="1:30" x14ac:dyDescent="0.35">
      <c r="A1552" s="1">
        <f t="shared" si="24"/>
        <v>1549</v>
      </c>
      <c r="B1552" s="28">
        <v>45700</v>
      </c>
      <c r="C1552" s="29" t="s">
        <v>3146</v>
      </c>
      <c r="D1552" s="29" t="s">
        <v>3146</v>
      </c>
      <c r="E1552" s="29" t="s">
        <v>3147</v>
      </c>
      <c r="F1552" s="29" t="s">
        <v>33</v>
      </c>
      <c r="G1552" s="30" t="s">
        <v>34</v>
      </c>
      <c r="H1552" s="31">
        <v>2799475.5625</v>
      </c>
      <c r="I1552" s="31">
        <v>-5647524.4375</v>
      </c>
      <c r="J1552" s="32">
        <v>1.25</v>
      </c>
      <c r="K1552" s="33">
        <v>45700</v>
      </c>
      <c r="L1552" s="31">
        <v>74600</v>
      </c>
      <c r="M1552" s="32">
        <v>-18.100000000000001</v>
      </c>
      <c r="N1552" s="31" t="s">
        <v>35</v>
      </c>
      <c r="O1552" s="33">
        <v>45699</v>
      </c>
      <c r="P1552" s="34">
        <v>1463112.25</v>
      </c>
      <c r="Q1552" s="34">
        <v>723441.125</v>
      </c>
      <c r="R1552" s="34">
        <v>369158.5</v>
      </c>
      <c r="S1552" s="29" t="s">
        <v>46</v>
      </c>
      <c r="T1552" s="33">
        <v>45446</v>
      </c>
      <c r="U1552" s="35" t="b">
        <v>1</v>
      </c>
      <c r="V1552" s="35" t="b">
        <v>0</v>
      </c>
      <c r="W1552" s="35" t="b">
        <v>1</v>
      </c>
      <c r="Y1552" s="31">
        <f>IF(LEFT(_xll.BDP($C1552, VOLUME_AVG_10D), 4) = "#N/A", "",  _xll.BDP($C1552, VOLUME_AVG_10D))</f>
        <v>2097681</v>
      </c>
      <c r="Z1552" s="31">
        <f>IF(LEFT(_xll.BDP($C1552, VOLUME_AVG_30D), 4) = "#N/A", "",  _xll.BDP($C1552, VOLUME_AVG_30D))</f>
        <v>1463112.25</v>
      </c>
      <c r="AA1552" s="31">
        <f>IF(LEFT(_xll.BDP($C1552, VOLUME_AVG_3M), 4) = "#N/A", "",  _xll.BDP($C1552, VOLUME_AVG_3M))</f>
        <v>723441.125</v>
      </c>
      <c r="AB1552" s="31">
        <f>IF(LEFT(_xll.BDP($C1552, VOLUME_AVG_6M), 4) = "#N/A", "",  _xll.BDP($C1552, VOLUME_AVG_6M))</f>
        <v>369158.5</v>
      </c>
      <c r="AC1552" s="31">
        <f>IF(LEFT(_xll.BDP($C1552, VOLUME_AVG_12M), 4) = "#N/A", "",  _xll.BDP($C1552, VOLUME_AVG_12M))</f>
        <v>202729.671875</v>
      </c>
      <c r="AD1552" s="41" cm="1">
        <f t="array" ref="AD1552">IF(LEFT(_xll.BDP($C1552, LAST_PRICE), 4) = "#N/A", "",  _xll.BDP($C1552, LAST_PRICE))</f>
        <v>1.25</v>
      </c>
    </row>
    <row r="1553" spans="1:30" x14ac:dyDescent="0.35">
      <c r="A1553" s="1">
        <f t="shared" si="24"/>
        <v>1550</v>
      </c>
      <c r="B1553" s="28">
        <v>45700</v>
      </c>
      <c r="C1553" s="29" t="s">
        <v>3148</v>
      </c>
      <c r="D1553" s="29" t="s">
        <v>3148</v>
      </c>
      <c r="E1553" s="29" t="s">
        <v>3149</v>
      </c>
      <c r="F1553" s="29" t="s">
        <v>33</v>
      </c>
      <c r="G1553" s="30" t="s">
        <v>34</v>
      </c>
      <c r="H1553" s="31"/>
      <c r="I1553" s="31"/>
      <c r="J1553" s="32"/>
      <c r="K1553" s="33">
        <v>45700</v>
      </c>
      <c r="L1553" s="31"/>
      <c r="M1553" s="32"/>
      <c r="N1553" s="31"/>
      <c r="O1553" s="33">
        <v>45699</v>
      </c>
      <c r="P1553" s="34"/>
      <c r="Q1553" s="34"/>
      <c r="R1553" s="34"/>
      <c r="S1553" s="29"/>
      <c r="T1553" s="33"/>
      <c r="U1553" s="35" t="b">
        <v>1</v>
      </c>
      <c r="V1553" s="35" t="b">
        <v>1</v>
      </c>
      <c r="W1553" s="35" t="b">
        <v>1</v>
      </c>
      <c r="Y1553" s="31" t="str">
        <f>IF(LEFT(_xll.BDP($C1553, VOLUME_AVG_10D), 4) = "#N/A", "",  _xll.BDP($C1553, VOLUME_AVG_10D))</f>
        <v/>
      </c>
      <c r="Z1553" s="31" t="str">
        <f>IF(LEFT(_xll.BDP($C1553, VOLUME_AVG_30D), 4) = "#N/A", "",  _xll.BDP($C1553, VOLUME_AVG_30D))</f>
        <v/>
      </c>
      <c r="AA1553" s="31" t="str">
        <f>IF(LEFT(_xll.BDP($C1553, VOLUME_AVG_3M), 4) = "#N/A", "",  _xll.BDP($C1553, VOLUME_AVG_3M))</f>
        <v/>
      </c>
      <c r="AB1553" s="31" t="str">
        <f>IF(LEFT(_xll.BDP($C1553, VOLUME_AVG_6M), 4) = "#N/A", "",  _xll.BDP($C1553, VOLUME_AVG_6M))</f>
        <v/>
      </c>
      <c r="AC1553" s="31" t="str">
        <f>IF(LEFT(_xll.BDP($C1553, VOLUME_AVG_12M), 4) = "#N/A", "",  _xll.BDP($C1553, VOLUME_AVG_12M))</f>
        <v/>
      </c>
      <c r="AD1553" s="41" t="str" cm="1">
        <f t="array" ref="AD1553">IF(LEFT(_xll.BDP($C1553, LAST_PRICE), 4) = "#N/A", "",  _xll.BDP($C1553, LAST_PRICE))</f>
        <v/>
      </c>
    </row>
    <row r="1554" spans="1:30" x14ac:dyDescent="0.35">
      <c r="A1554" s="1">
        <f t="shared" si="24"/>
        <v>1551</v>
      </c>
      <c r="B1554" s="28">
        <v>45700</v>
      </c>
      <c r="C1554" s="29" t="s">
        <v>3150</v>
      </c>
      <c r="D1554" s="29" t="s">
        <v>3150</v>
      </c>
      <c r="E1554" s="29" t="s">
        <v>3151</v>
      </c>
      <c r="F1554" s="29" t="s">
        <v>33</v>
      </c>
      <c r="G1554" s="30" t="s">
        <v>34</v>
      </c>
      <c r="H1554" s="31">
        <v>1254630245.9175501</v>
      </c>
      <c r="I1554" s="31">
        <v>186991245.91754901</v>
      </c>
      <c r="J1554" s="32">
        <v>9.1099996566772496</v>
      </c>
      <c r="K1554" s="33">
        <v>45700</v>
      </c>
      <c r="L1554" s="31">
        <v>38293300</v>
      </c>
      <c r="M1554" s="32">
        <v>3.88</v>
      </c>
      <c r="N1554" s="31" t="s">
        <v>35</v>
      </c>
      <c r="O1554" s="33">
        <v>45699</v>
      </c>
      <c r="P1554" s="34">
        <v>2899761.75</v>
      </c>
      <c r="Q1554" s="34">
        <v>2134636</v>
      </c>
      <c r="R1554" s="34">
        <v>1510916.875</v>
      </c>
      <c r="S1554" s="29"/>
      <c r="T1554" s="33">
        <v>45446</v>
      </c>
      <c r="U1554" s="35" t="b">
        <v>0</v>
      </c>
      <c r="V1554" s="35" t="b">
        <v>0</v>
      </c>
      <c r="W1554" s="35" t="b">
        <v>0</v>
      </c>
      <c r="Y1554" s="31">
        <f>IF(LEFT(_xll.BDP($C1554, VOLUME_AVG_10D), 4) = "#N/A", "",  _xll.BDP($C1554, VOLUME_AVG_10D))</f>
        <v>1411243.375</v>
      </c>
      <c r="Z1554" s="31">
        <f>IF(LEFT(_xll.BDP($C1554, VOLUME_AVG_30D), 4) = "#N/A", "",  _xll.BDP($C1554, VOLUME_AVG_30D))</f>
        <v>2899761.75</v>
      </c>
      <c r="AA1554" s="31">
        <f>IF(LEFT(_xll.BDP($C1554, VOLUME_AVG_3M), 4) = "#N/A", "",  _xll.BDP($C1554, VOLUME_AVG_3M))</f>
        <v>2134636</v>
      </c>
      <c r="AB1554" s="31">
        <f>IF(LEFT(_xll.BDP($C1554, VOLUME_AVG_6M), 4) = "#N/A", "",  _xll.BDP($C1554, VOLUME_AVG_6M))</f>
        <v>1510916.875</v>
      </c>
      <c r="AC1554" s="31">
        <f>IF(LEFT(_xll.BDP($C1554, VOLUME_AVG_12M), 4) = "#N/A", "",  _xll.BDP($C1554, VOLUME_AVG_12M))</f>
        <v>1298556.375</v>
      </c>
      <c r="AD1554" s="41" cm="1">
        <f t="array" ref="AD1554">IF(LEFT(_xll.BDP($C1554, LAST_PRICE), 4) = "#N/A", "",  _xll.BDP($C1554, LAST_PRICE))</f>
        <v>9.11</v>
      </c>
    </row>
    <row r="1555" spans="1:30" x14ac:dyDescent="0.35">
      <c r="A1555" s="1">
        <f t="shared" si="24"/>
        <v>1552</v>
      </c>
      <c r="B1555" s="28">
        <v>45700</v>
      </c>
      <c r="C1555" s="29" t="s">
        <v>3152</v>
      </c>
      <c r="D1555" s="29" t="s">
        <v>3152</v>
      </c>
      <c r="E1555" s="29" t="s">
        <v>3153</v>
      </c>
      <c r="F1555" s="29" t="s">
        <v>33</v>
      </c>
      <c r="G1555" s="30" t="s">
        <v>34</v>
      </c>
      <c r="H1555" s="31">
        <v>397442.21111647401</v>
      </c>
      <c r="I1555" s="31">
        <v>-3823557.7888835301</v>
      </c>
      <c r="J1555" s="32">
        <v>9.9999997764825804E-3</v>
      </c>
      <c r="K1555" s="33">
        <v>45700</v>
      </c>
      <c r="L1555" s="31">
        <v>1348900</v>
      </c>
      <c r="M1555" s="32">
        <v>-30.2</v>
      </c>
      <c r="N1555" s="31" t="s">
        <v>35</v>
      </c>
      <c r="O1555" s="33">
        <v>45699</v>
      </c>
      <c r="P1555" s="34">
        <v>2362130.5</v>
      </c>
      <c r="Q1555" s="34">
        <v>2542856.25</v>
      </c>
      <c r="R1555" s="34">
        <v>1964372.75</v>
      </c>
      <c r="S1555" s="29"/>
      <c r="T1555" s="33"/>
      <c r="U1555" s="35" t="b">
        <v>1</v>
      </c>
      <c r="V1555" s="35" t="b">
        <v>1</v>
      </c>
      <c r="W1555" s="35" t="b">
        <v>1</v>
      </c>
      <c r="Y1555" s="31">
        <f>IF(LEFT(_xll.BDP($C1555, VOLUME_AVG_10D), 4) = "#N/A", "",  _xll.BDP($C1555, VOLUME_AVG_10D))</f>
        <v>2615750</v>
      </c>
      <c r="Z1555" s="31">
        <f>IF(LEFT(_xll.BDP($C1555, VOLUME_AVG_30D), 4) = "#N/A", "",  _xll.BDP($C1555, VOLUME_AVG_30D))</f>
        <v>2362130.5</v>
      </c>
      <c r="AA1555" s="31">
        <f>IF(LEFT(_xll.BDP($C1555, VOLUME_AVG_3M), 4) = "#N/A", "",  _xll.BDP($C1555, VOLUME_AVG_3M))</f>
        <v>2542856.25</v>
      </c>
      <c r="AB1555" s="31">
        <f>IF(LEFT(_xll.BDP($C1555, VOLUME_AVG_6M), 4) = "#N/A", "",  _xll.BDP($C1555, VOLUME_AVG_6M))</f>
        <v>1964372.75</v>
      </c>
      <c r="AC1555" s="31">
        <f>IF(LEFT(_xll.BDP($C1555, VOLUME_AVG_12M), 4) = "#N/A", "",  _xll.BDP($C1555, VOLUME_AVG_12M))</f>
        <v>1040911</v>
      </c>
      <c r="AD1555" s="41" cm="1">
        <f t="array" ref="AD1555">IF(LEFT(_xll.BDP($C1555, LAST_PRICE), 4) = "#N/A", "",  _xll.BDP($C1555, LAST_PRICE))</f>
        <v>0.01</v>
      </c>
    </row>
    <row r="1556" spans="1:30" x14ac:dyDescent="0.35">
      <c r="A1556" s="1">
        <f t="shared" si="24"/>
        <v>1553</v>
      </c>
      <c r="B1556" s="28">
        <v>45700</v>
      </c>
      <c r="C1556" s="29" t="s">
        <v>3154</v>
      </c>
      <c r="D1556" s="29" t="s">
        <v>3154</v>
      </c>
      <c r="E1556" s="29" t="s">
        <v>3155</v>
      </c>
      <c r="F1556" s="29" t="s">
        <v>33</v>
      </c>
      <c r="G1556" s="30" t="s">
        <v>34</v>
      </c>
      <c r="H1556" s="31">
        <v>8857590.0743675195</v>
      </c>
      <c r="I1556" s="31">
        <v>5264664.0743675204</v>
      </c>
      <c r="J1556" s="32">
        <v>2.03999996185303</v>
      </c>
      <c r="K1556" s="33">
        <v>45700</v>
      </c>
      <c r="L1556" s="31"/>
      <c r="M1556" s="32"/>
      <c r="N1556" s="31"/>
      <c r="O1556" s="33">
        <v>45699</v>
      </c>
      <c r="P1556" s="34">
        <v>440218.5625</v>
      </c>
      <c r="Q1556" s="34">
        <v>386640.28125</v>
      </c>
      <c r="R1556" s="34">
        <v>3296165</v>
      </c>
      <c r="S1556" s="29"/>
      <c r="T1556" s="33"/>
      <c r="U1556" s="35" t="b">
        <v>1</v>
      </c>
      <c r="V1556" s="35" t="b">
        <v>0</v>
      </c>
      <c r="W1556" s="35" t="b">
        <v>0</v>
      </c>
      <c r="Y1556" s="31">
        <f>IF(LEFT(_xll.BDP($C1556, VOLUME_AVG_10D), 4) = "#N/A", "",  _xll.BDP($C1556, VOLUME_AVG_10D))</f>
        <v>406980.40625</v>
      </c>
      <c r="Z1556" s="31">
        <f>IF(LEFT(_xll.BDP($C1556, VOLUME_AVG_30D), 4) = "#N/A", "",  _xll.BDP($C1556, VOLUME_AVG_30D))</f>
        <v>440218.5625</v>
      </c>
      <c r="AA1556" s="31">
        <f>IF(LEFT(_xll.BDP($C1556, VOLUME_AVG_3M), 4) = "#N/A", "",  _xll.BDP($C1556, VOLUME_AVG_3M))</f>
        <v>386640.28125</v>
      </c>
      <c r="AB1556" s="31">
        <f>IF(LEFT(_xll.BDP($C1556, VOLUME_AVG_6M), 4) = "#N/A", "",  _xll.BDP($C1556, VOLUME_AVG_6M))</f>
        <v>3296165</v>
      </c>
      <c r="AC1556" s="31">
        <f>IF(LEFT(_xll.BDP($C1556, VOLUME_AVG_12M), 4) = "#N/A", "",  _xll.BDP($C1556, VOLUME_AVG_12M))</f>
        <v>2037470.25</v>
      </c>
      <c r="AD1556" s="41" cm="1">
        <f t="array" ref="AD1556">IF(LEFT(_xll.BDP($C1556, LAST_PRICE), 4) = "#N/A", "",  _xll.BDP($C1556, LAST_PRICE))</f>
        <v>2.04</v>
      </c>
    </row>
    <row r="1557" spans="1:30" x14ac:dyDescent="0.35">
      <c r="A1557" s="1">
        <f t="shared" si="24"/>
        <v>1554</v>
      </c>
      <c r="B1557" s="28">
        <v>45700</v>
      </c>
      <c r="C1557" s="29" t="s">
        <v>3156</v>
      </c>
      <c r="D1557" s="29" t="s">
        <v>3156</v>
      </c>
      <c r="E1557" s="29" t="s">
        <v>3157</v>
      </c>
      <c r="F1557" s="29" t="s">
        <v>40</v>
      </c>
      <c r="G1557" s="30" t="s">
        <v>41</v>
      </c>
      <c r="H1557" s="31">
        <v>154298053.163472</v>
      </c>
      <c r="I1557" s="31">
        <v>179191934.230481</v>
      </c>
      <c r="J1557" s="32">
        <v>0.67000001668930098</v>
      </c>
      <c r="K1557" s="33">
        <v>45700</v>
      </c>
      <c r="L1557" s="31"/>
      <c r="M1557" s="32"/>
      <c r="N1557" s="31"/>
      <c r="O1557" s="33">
        <v>45699</v>
      </c>
      <c r="P1557" s="34">
        <v>52713.9</v>
      </c>
      <c r="Q1557" s="34">
        <v>147124.1</v>
      </c>
      <c r="R1557" s="34">
        <v>101564.8</v>
      </c>
      <c r="S1557" s="29"/>
      <c r="T1557" s="33"/>
      <c r="U1557" s="35" t="b">
        <v>0</v>
      </c>
      <c r="V1557" s="35" t="b">
        <v>0</v>
      </c>
      <c r="W1557" s="35" t="b">
        <v>0</v>
      </c>
      <c r="Y1557" s="31">
        <f>IF(LEFT(_xll.BDP($C1557, VOLUME_AVG_10D), 4) = "#N/A", "",  _xll.BDP($C1557, VOLUME_AVG_10D))</f>
        <v>52378.6</v>
      </c>
      <c r="Z1557" s="31">
        <f>IF(LEFT(_xll.BDP($C1557, VOLUME_AVG_30D), 4) = "#N/A", "",  _xll.BDP($C1557, VOLUME_AVG_30D))</f>
        <v>52713.9</v>
      </c>
      <c r="AA1557" s="31">
        <f>IF(LEFT(_xll.BDP($C1557, VOLUME_AVG_3M), 4) = "#N/A", "",  _xll.BDP($C1557, VOLUME_AVG_3M))</f>
        <v>147124.1</v>
      </c>
      <c r="AB1557" s="31">
        <f>IF(LEFT(_xll.BDP($C1557, VOLUME_AVG_6M), 4) = "#N/A", "",  _xll.BDP($C1557, VOLUME_AVG_6M))</f>
        <v>101564.8</v>
      </c>
      <c r="AC1557" s="31">
        <f>IF(LEFT(_xll.BDP($C1557, VOLUME_AVG_12M), 4) = "#N/A", "",  _xll.BDP($C1557, VOLUME_AVG_12M))</f>
        <v>102453.1</v>
      </c>
      <c r="AD1557" s="41" cm="1">
        <f t="array" ref="AD1557">IF(LEFT(_xll.BDP($C1557, LAST_PRICE), 4) = "#N/A", "",  _xll.BDP($C1557, LAST_PRICE))</f>
        <v>0.67</v>
      </c>
    </row>
    <row r="1558" spans="1:30" x14ac:dyDescent="0.35">
      <c r="A1558" s="1">
        <f t="shared" si="24"/>
        <v>1555</v>
      </c>
      <c r="B1558" s="28">
        <v>45700</v>
      </c>
      <c r="C1558" s="29" t="s">
        <v>3158</v>
      </c>
      <c r="D1558" s="29" t="s">
        <v>3158</v>
      </c>
      <c r="E1558" s="29" t="s">
        <v>3159</v>
      </c>
      <c r="F1558" s="29" t="s">
        <v>33</v>
      </c>
      <c r="G1558" s="30" t="s">
        <v>34</v>
      </c>
      <c r="H1558" s="31">
        <v>1383846635.69892</v>
      </c>
      <c r="I1558" s="31">
        <v>779826635.69892299</v>
      </c>
      <c r="J1558" s="32">
        <v>17.469999313354499</v>
      </c>
      <c r="K1558" s="33">
        <v>45700</v>
      </c>
      <c r="L1558" s="31">
        <v>16685900</v>
      </c>
      <c r="M1558" s="32">
        <v>3.88</v>
      </c>
      <c r="N1558" s="31" t="s">
        <v>35</v>
      </c>
      <c r="O1558" s="33">
        <v>45699</v>
      </c>
      <c r="P1558" s="34">
        <v>1172027.625</v>
      </c>
      <c r="Q1558" s="34">
        <v>1407607.5</v>
      </c>
      <c r="R1558" s="34">
        <v>1399822.125</v>
      </c>
      <c r="S1558" s="29" t="s">
        <v>73</v>
      </c>
      <c r="T1558" s="33">
        <v>45446</v>
      </c>
      <c r="U1558" s="35" t="b">
        <v>0</v>
      </c>
      <c r="V1558" s="35" t="b">
        <v>0</v>
      </c>
      <c r="W1558" s="35" t="b">
        <v>0</v>
      </c>
      <c r="Y1558" s="31">
        <f>IF(LEFT(_xll.BDP($C1558, VOLUME_AVG_10D), 4) = "#N/A", "",  _xll.BDP($C1558, VOLUME_AVG_10D))</f>
        <v>1043181.3125</v>
      </c>
      <c r="Z1558" s="31">
        <f>IF(LEFT(_xll.BDP($C1558, VOLUME_AVG_30D), 4) = "#N/A", "",  _xll.BDP($C1558, VOLUME_AVG_30D))</f>
        <v>1172027.625</v>
      </c>
      <c r="AA1558" s="31">
        <f>IF(LEFT(_xll.BDP($C1558, VOLUME_AVG_3M), 4) = "#N/A", "",  _xll.BDP($C1558, VOLUME_AVG_3M))</f>
        <v>1407607.5</v>
      </c>
      <c r="AB1558" s="31">
        <f>IF(LEFT(_xll.BDP($C1558, VOLUME_AVG_6M), 4) = "#N/A", "",  _xll.BDP($C1558, VOLUME_AVG_6M))</f>
        <v>1399822.125</v>
      </c>
      <c r="AC1558" s="31">
        <f>IF(LEFT(_xll.BDP($C1558, VOLUME_AVG_12M), 4) = "#N/A", "",  _xll.BDP($C1558, VOLUME_AVG_12M))</f>
        <v>1193567.125</v>
      </c>
      <c r="AD1558" s="41" cm="1">
        <f t="array" ref="AD1558">IF(LEFT(_xll.BDP($C1558, LAST_PRICE), 4) = "#N/A", "",  _xll.BDP($C1558, LAST_PRICE))</f>
        <v>17.47</v>
      </c>
    </row>
    <row r="1559" spans="1:30" x14ac:dyDescent="0.35">
      <c r="A1559" s="1">
        <f t="shared" si="24"/>
        <v>1556</v>
      </c>
      <c r="B1559" s="28">
        <v>45700</v>
      </c>
      <c r="C1559" s="29" t="s">
        <v>3160</v>
      </c>
      <c r="D1559" s="29" t="s">
        <v>3160</v>
      </c>
      <c r="E1559" s="29" t="s">
        <v>3161</v>
      </c>
      <c r="F1559" s="29" t="s">
        <v>33</v>
      </c>
      <c r="G1559" s="30" t="s">
        <v>34</v>
      </c>
      <c r="H1559" s="31">
        <v>4921806.9869819302</v>
      </c>
      <c r="I1559" s="31">
        <v>4787782.9869819302</v>
      </c>
      <c r="J1559" s="32">
        <v>0.26840001344680797</v>
      </c>
      <c r="K1559" s="33">
        <v>45700</v>
      </c>
      <c r="L1559" s="31">
        <v>573900</v>
      </c>
      <c r="M1559" s="32">
        <v>-69.599999999999994</v>
      </c>
      <c r="N1559" s="31" t="s">
        <v>35</v>
      </c>
      <c r="O1559" s="33">
        <v>45699</v>
      </c>
      <c r="P1559" s="34">
        <v>835067.75</v>
      </c>
      <c r="Q1559" s="34">
        <v>3823038</v>
      </c>
      <c r="R1559" s="34">
        <v>2025705.125</v>
      </c>
      <c r="S1559" s="29"/>
      <c r="T1559" s="33"/>
      <c r="U1559" s="35" t="b">
        <v>1</v>
      </c>
      <c r="V1559" s="35" t="b">
        <v>0</v>
      </c>
      <c r="W1559" s="35" t="b">
        <v>0</v>
      </c>
      <c r="Y1559" s="31">
        <f>IF(LEFT(_xll.BDP($C1559, VOLUME_AVG_10D), 4) = "#N/A", "",  _xll.BDP($C1559, VOLUME_AVG_10D))</f>
        <v>429623.90625</v>
      </c>
      <c r="Z1559" s="31">
        <f>IF(LEFT(_xll.BDP($C1559, VOLUME_AVG_30D), 4) = "#N/A", "",  _xll.BDP($C1559, VOLUME_AVG_30D))</f>
        <v>835067.75</v>
      </c>
      <c r="AA1559" s="31">
        <f>IF(LEFT(_xll.BDP($C1559, VOLUME_AVG_3M), 4) = "#N/A", "",  _xll.BDP($C1559, VOLUME_AVG_3M))</f>
        <v>3823038</v>
      </c>
      <c r="AB1559" s="31">
        <f>IF(LEFT(_xll.BDP($C1559, VOLUME_AVG_6M), 4) = "#N/A", "",  _xll.BDP($C1559, VOLUME_AVG_6M))</f>
        <v>2025705.125</v>
      </c>
      <c r="AC1559" s="31">
        <f>IF(LEFT(_xll.BDP($C1559, VOLUME_AVG_12M), 4) = "#N/A", "",  _xll.BDP($C1559, VOLUME_AVG_12M))</f>
        <v>2531798.75</v>
      </c>
      <c r="AD1559" s="41" cm="1">
        <f t="array" ref="AD1559">IF(LEFT(_xll.BDP($C1559, LAST_PRICE), 4) = "#N/A", "",  _xll.BDP($C1559, LAST_PRICE))</f>
        <v>0.26840000000000003</v>
      </c>
    </row>
    <row r="1560" spans="1:30" x14ac:dyDescent="0.35">
      <c r="A1560" s="1">
        <f t="shared" si="24"/>
        <v>1557</v>
      </c>
      <c r="B1560" s="28">
        <v>45700</v>
      </c>
      <c r="C1560" s="29" t="s">
        <v>3162</v>
      </c>
      <c r="D1560" s="29" t="s">
        <v>3162</v>
      </c>
      <c r="E1560" s="29" t="s">
        <v>3163</v>
      </c>
      <c r="F1560" s="29" t="s">
        <v>33</v>
      </c>
      <c r="G1560" s="30" t="s">
        <v>34</v>
      </c>
      <c r="H1560" s="31"/>
      <c r="I1560" s="31"/>
      <c r="J1560" s="32">
        <v>9.9999999747524292E-7</v>
      </c>
      <c r="K1560" s="33">
        <v>45700</v>
      </c>
      <c r="L1560" s="31"/>
      <c r="M1560" s="32"/>
      <c r="N1560" s="31"/>
      <c r="O1560" s="33">
        <v>45699</v>
      </c>
      <c r="P1560" s="34">
        <v>3478.69995117188</v>
      </c>
      <c r="Q1560" s="34">
        <v>3954.58056640625</v>
      </c>
      <c r="R1560" s="34">
        <v>12933.6982421875</v>
      </c>
      <c r="S1560" s="29"/>
      <c r="T1560" s="33"/>
      <c r="U1560" s="35" t="b">
        <v>1</v>
      </c>
      <c r="V1560" s="35" t="b">
        <v>1</v>
      </c>
      <c r="W1560" s="35" t="b">
        <v>1</v>
      </c>
      <c r="Y1560" s="31">
        <f>IF(LEFT(_xll.BDP($C1560, VOLUME_AVG_10D), 4) = "#N/A", "",  _xll.BDP($C1560, VOLUME_AVG_10D))</f>
        <v>0</v>
      </c>
      <c r="Z1560" s="31">
        <f>IF(LEFT(_xll.BDP($C1560, VOLUME_AVG_30D), 4) = "#N/A", "",  _xll.BDP($C1560, VOLUME_AVG_30D))</f>
        <v>3478.699951171875</v>
      </c>
      <c r="AA1560" s="31">
        <f>IF(LEFT(_xll.BDP($C1560, VOLUME_AVG_3M), 4) = "#N/A", "",  _xll.BDP($C1560, VOLUME_AVG_3M))</f>
        <v>3954.58056640625</v>
      </c>
      <c r="AB1560" s="31">
        <f>IF(LEFT(_xll.BDP($C1560, VOLUME_AVG_6M), 4) = "#N/A", "",  _xll.BDP($C1560, VOLUME_AVG_6M))</f>
        <v>12933.6982421875</v>
      </c>
      <c r="AC1560" s="31">
        <f>IF(LEFT(_xll.BDP($C1560, VOLUME_AVG_12M), 4) = "#N/A", "",  _xll.BDP($C1560, VOLUME_AVG_12M))</f>
        <v>9915.2587890625</v>
      </c>
      <c r="AD1560" s="41" cm="1">
        <f t="array" ref="AD1560">IF(LEFT(_xll.BDP($C1560, LAST_PRICE), 4) = "#N/A", "",  _xll.BDP($C1560, LAST_PRICE))</f>
        <v>9.9999999999999995E-7</v>
      </c>
    </row>
    <row r="1561" spans="1:30" x14ac:dyDescent="0.35">
      <c r="A1561" s="1">
        <f t="shared" si="24"/>
        <v>1558</v>
      </c>
      <c r="B1561" s="28">
        <v>45700</v>
      </c>
      <c r="C1561" s="29" t="s">
        <v>3164</v>
      </c>
      <c r="D1561" s="29" t="s">
        <v>3164</v>
      </c>
      <c r="E1561" s="29" t="s">
        <v>3165</v>
      </c>
      <c r="F1561" s="29" t="s">
        <v>33</v>
      </c>
      <c r="G1561" s="30" t="s">
        <v>34</v>
      </c>
      <c r="H1561" s="31">
        <v>76291097.105535999</v>
      </c>
      <c r="I1561" s="31">
        <v>-19492902.894464001</v>
      </c>
      <c r="J1561" s="32">
        <v>2.7400000095367401</v>
      </c>
      <c r="K1561" s="33">
        <v>45700</v>
      </c>
      <c r="L1561" s="31">
        <v>3355100</v>
      </c>
      <c r="M1561" s="32">
        <v>3.88</v>
      </c>
      <c r="N1561" s="31" t="s">
        <v>35</v>
      </c>
      <c r="O1561" s="33">
        <v>45699</v>
      </c>
      <c r="P1561" s="34">
        <v>242176.171875</v>
      </c>
      <c r="Q1561" s="34">
        <v>270518.34375</v>
      </c>
      <c r="R1561" s="34">
        <v>213855.359375</v>
      </c>
      <c r="S1561" s="29"/>
      <c r="T1561" s="33"/>
      <c r="U1561" s="35" t="b">
        <v>0</v>
      </c>
      <c r="V1561" s="35" t="b">
        <v>0</v>
      </c>
      <c r="W1561" s="35" t="b">
        <v>1</v>
      </c>
      <c r="Y1561" s="31">
        <f>IF(LEFT(_xll.BDP($C1561, VOLUME_AVG_10D), 4) = "#N/A", "",  _xll.BDP($C1561, VOLUME_AVG_10D))</f>
        <v>219060</v>
      </c>
      <c r="Z1561" s="31">
        <f>IF(LEFT(_xll.BDP($C1561, VOLUME_AVG_30D), 4) = "#N/A", "",  _xll.BDP($C1561, VOLUME_AVG_30D))</f>
        <v>242176.171875</v>
      </c>
      <c r="AA1561" s="31">
        <f>IF(LEFT(_xll.BDP($C1561, VOLUME_AVG_3M), 4) = "#N/A", "",  _xll.BDP($C1561, VOLUME_AVG_3M))</f>
        <v>270518.34375</v>
      </c>
      <c r="AB1561" s="31">
        <f>IF(LEFT(_xll.BDP($C1561, VOLUME_AVG_6M), 4) = "#N/A", "",  _xll.BDP($C1561, VOLUME_AVG_6M))</f>
        <v>213855.359375</v>
      </c>
      <c r="AC1561" s="31">
        <f>IF(LEFT(_xll.BDP($C1561, VOLUME_AVG_12M), 4) = "#N/A", "",  _xll.BDP($C1561, VOLUME_AVG_12M))</f>
        <v>200051.265625</v>
      </c>
      <c r="AD1561" s="41" cm="1">
        <f t="array" ref="AD1561">IF(LEFT(_xll.BDP($C1561, LAST_PRICE), 4) = "#N/A", "",  _xll.BDP($C1561, LAST_PRICE))</f>
        <v>2.74</v>
      </c>
    </row>
    <row r="1562" spans="1:30" x14ac:dyDescent="0.35">
      <c r="A1562" s="1">
        <f t="shared" si="24"/>
        <v>1559</v>
      </c>
      <c r="B1562" s="28">
        <v>45700</v>
      </c>
      <c r="C1562" s="29" t="s">
        <v>3166</v>
      </c>
      <c r="D1562" s="29" t="s">
        <v>3166</v>
      </c>
      <c r="E1562" s="29" t="s">
        <v>3167</v>
      </c>
      <c r="F1562" s="29" t="s">
        <v>40</v>
      </c>
      <c r="G1562" s="30" t="s">
        <v>41</v>
      </c>
      <c r="H1562" s="31">
        <v>629913228.521173</v>
      </c>
      <c r="I1562" s="31">
        <v>548833819.521173</v>
      </c>
      <c r="J1562" s="32">
        <v>11.3500003814697</v>
      </c>
      <c r="K1562" s="33">
        <v>45700</v>
      </c>
      <c r="L1562" s="31">
        <v>2504300</v>
      </c>
      <c r="M1562" s="32">
        <v>-5.4</v>
      </c>
      <c r="N1562" s="31" t="s">
        <v>35</v>
      </c>
      <c r="O1562" s="33">
        <v>45699</v>
      </c>
      <c r="P1562" s="34">
        <v>228537.5</v>
      </c>
      <c r="Q1562" s="34">
        <v>235836.5</v>
      </c>
      <c r="R1562" s="34">
        <v>196882.4</v>
      </c>
      <c r="S1562" s="29"/>
      <c r="T1562" s="33"/>
      <c r="U1562" s="35" t="b">
        <v>0</v>
      </c>
      <c r="V1562" s="35" t="b">
        <v>0</v>
      </c>
      <c r="W1562" s="35" t="b">
        <v>0</v>
      </c>
      <c r="Y1562" s="31">
        <f>IF(LEFT(_xll.BDP($C1562, VOLUME_AVG_10D), 4) = "#N/A", "",  _xll.BDP($C1562, VOLUME_AVG_10D))</f>
        <v>221918.8</v>
      </c>
      <c r="Z1562" s="31" cm="1">
        <f t="array" ref="Z1562">IF(LEFT(_xll.BDP($C1562, VOLUME_AVG_30D), 4) = "#N/A", "",  _xll.BDP($C1562, VOLUME_AVG_30D))</f>
        <v>228537.5</v>
      </c>
      <c r="AA1562" s="31">
        <f>IF(LEFT(_xll.BDP($C1562, VOLUME_AVG_3M), 4) = "#N/A", "",  _xll.BDP($C1562, VOLUME_AVG_3M))</f>
        <v>235836.5</v>
      </c>
      <c r="AB1562" s="31">
        <f>IF(LEFT(_xll.BDP($C1562, VOLUME_AVG_6M), 4) = "#N/A", "",  _xll.BDP($C1562, VOLUME_AVG_6M))</f>
        <v>196882.4</v>
      </c>
      <c r="AC1562" s="31">
        <f>IF(LEFT(_xll.BDP($C1562, VOLUME_AVG_12M), 4) = "#N/A", "",  _xll.BDP($C1562, VOLUME_AVG_12M))</f>
        <v>233653.9</v>
      </c>
      <c r="AD1562" s="41" cm="1">
        <f t="array" ref="AD1562">IF(LEFT(_xll.BDP($C1562, LAST_PRICE), 4) = "#N/A", "",  _xll.BDP($C1562, LAST_PRICE))</f>
        <v>11.35</v>
      </c>
    </row>
    <row r="1563" spans="1:30" x14ac:dyDescent="0.35">
      <c r="A1563" s="1">
        <f t="shared" si="24"/>
        <v>1560</v>
      </c>
      <c r="B1563" s="28">
        <v>45700</v>
      </c>
      <c r="C1563" s="29" t="s">
        <v>3168</v>
      </c>
      <c r="D1563" s="29" t="s">
        <v>3168</v>
      </c>
      <c r="E1563" s="29" t="s">
        <v>3169</v>
      </c>
      <c r="F1563" s="29" t="s">
        <v>33</v>
      </c>
      <c r="G1563" s="30" t="s">
        <v>34</v>
      </c>
      <c r="H1563" s="31">
        <v>66935198.287547</v>
      </c>
      <c r="I1563" s="31">
        <v>66968198.287547</v>
      </c>
      <c r="J1563" s="32">
        <v>1.12999999523163</v>
      </c>
      <c r="K1563" s="33">
        <v>45700</v>
      </c>
      <c r="L1563" s="31">
        <v>1911900</v>
      </c>
      <c r="M1563" s="32">
        <v>3.88</v>
      </c>
      <c r="N1563" s="31" t="s">
        <v>35</v>
      </c>
      <c r="O1563" s="33">
        <v>45699</v>
      </c>
      <c r="P1563" s="34">
        <v>100639.0703125</v>
      </c>
      <c r="Q1563" s="34">
        <v>135824.921875</v>
      </c>
      <c r="R1563" s="34">
        <v>103922.6640625</v>
      </c>
      <c r="S1563" s="29"/>
      <c r="T1563" s="33"/>
      <c r="U1563" s="35" t="b">
        <v>0</v>
      </c>
      <c r="V1563" s="35" t="b">
        <v>0</v>
      </c>
      <c r="W1563" s="35" t="b">
        <v>0</v>
      </c>
      <c r="Y1563" s="31">
        <f>IF(LEFT(_xll.BDP($C1563, VOLUME_AVG_10D), 4) = "#N/A", "",  _xll.BDP($C1563, VOLUME_AVG_10D))</f>
        <v>101295.5</v>
      </c>
      <c r="Z1563" s="31">
        <f>IF(LEFT(_xll.BDP($C1563, VOLUME_AVG_30D), 4) = "#N/A", "",  _xll.BDP($C1563, VOLUME_AVG_30D))</f>
        <v>100639.0703125</v>
      </c>
      <c r="AA1563" s="31">
        <f>IF(LEFT(_xll.BDP($C1563, VOLUME_AVG_3M), 4) = "#N/A", "",  _xll.BDP($C1563, VOLUME_AVG_3M))</f>
        <v>135824.921875</v>
      </c>
      <c r="AB1563" s="31">
        <f>IF(LEFT(_xll.BDP($C1563, VOLUME_AVG_6M), 4) = "#N/A", "",  _xll.BDP($C1563, VOLUME_AVG_6M))</f>
        <v>103922.6640625</v>
      </c>
      <c r="AC1563" s="31">
        <f>IF(LEFT(_xll.BDP($C1563, VOLUME_AVG_12M), 4) = "#N/A", "",  _xll.BDP($C1563, VOLUME_AVG_12M))</f>
        <v>926534.4375</v>
      </c>
      <c r="AD1563" s="41" cm="1">
        <f t="array" ref="AD1563">IF(LEFT(_xll.BDP($C1563, LAST_PRICE), 4) = "#N/A", "",  _xll.BDP($C1563, LAST_PRICE))</f>
        <v>1.1299999999999999</v>
      </c>
    </row>
    <row r="1564" spans="1:30" x14ac:dyDescent="0.35">
      <c r="A1564" s="1">
        <f t="shared" si="24"/>
        <v>1561</v>
      </c>
      <c r="B1564" s="28">
        <v>45700</v>
      </c>
      <c r="C1564" s="29" t="s">
        <v>3170</v>
      </c>
      <c r="D1564" s="29" t="s">
        <v>3170</v>
      </c>
      <c r="E1564" s="29" t="s">
        <v>3171</v>
      </c>
      <c r="F1564" s="29" t="s">
        <v>33</v>
      </c>
      <c r="G1564" s="30" t="s">
        <v>34</v>
      </c>
      <c r="H1564" s="31">
        <v>1072.3856729092599</v>
      </c>
      <c r="I1564" s="31">
        <v>108072.385672909</v>
      </c>
      <c r="J1564" s="32">
        <v>9.9999997473787503E-5</v>
      </c>
      <c r="K1564" s="33">
        <v>45700</v>
      </c>
      <c r="L1564" s="31"/>
      <c r="M1564" s="32"/>
      <c r="N1564" s="31"/>
      <c r="O1564" s="33">
        <v>45699</v>
      </c>
      <c r="P1564" s="34">
        <v>8020.56689453125</v>
      </c>
      <c r="Q1564" s="34">
        <v>7713.564453125</v>
      </c>
      <c r="R1564" s="34">
        <v>4370.26171875</v>
      </c>
      <c r="S1564" s="29"/>
      <c r="T1564" s="33"/>
      <c r="U1564" s="35" t="b">
        <v>1</v>
      </c>
      <c r="V1564" s="35" t="b">
        <v>1</v>
      </c>
      <c r="W1564" s="35" t="b">
        <v>0</v>
      </c>
      <c r="Y1564" s="31">
        <f>IF(LEFT(_xll.BDP($C1564, VOLUME_AVG_10D), 4) = "#N/A", "",  _xll.BDP($C1564, VOLUME_AVG_10D))</f>
        <v>734.5</v>
      </c>
      <c r="Z1564" s="31">
        <f>IF(LEFT(_xll.BDP($C1564, VOLUME_AVG_30D), 4) = "#N/A", "",  _xll.BDP($C1564, VOLUME_AVG_30D))</f>
        <v>8020.56689453125</v>
      </c>
      <c r="AA1564" s="31">
        <f>IF(LEFT(_xll.BDP($C1564, VOLUME_AVG_3M), 4) = "#N/A", "",  _xll.BDP($C1564, VOLUME_AVG_3M))</f>
        <v>7713.564453125</v>
      </c>
      <c r="AB1564" s="31">
        <f>IF(LEFT(_xll.BDP($C1564, VOLUME_AVG_6M), 4) = "#N/A", "",  _xll.BDP($C1564, VOLUME_AVG_6M))</f>
        <v>4370.26171875</v>
      </c>
      <c r="AC1564" s="31">
        <f>IF(LEFT(_xll.BDP($C1564, VOLUME_AVG_12M), 4) = "#N/A", "",  _xll.BDP($C1564, VOLUME_AVG_12M))</f>
        <v>3088.788818359375</v>
      </c>
      <c r="AD1564" s="41" cm="1">
        <f t="array" ref="AD1564">IF(LEFT(_xll.BDP($C1564, LAST_PRICE), 4) = "#N/A", "",  _xll.BDP($C1564, LAST_PRICE))</f>
        <v>1E-4</v>
      </c>
    </row>
    <row r="1565" spans="1:30" x14ac:dyDescent="0.35">
      <c r="A1565" s="1">
        <f t="shared" si="24"/>
        <v>1562</v>
      </c>
      <c r="B1565" s="28">
        <v>45700</v>
      </c>
      <c r="C1565" s="29" t="s">
        <v>3172</v>
      </c>
      <c r="D1565" s="29" t="s">
        <v>3172</v>
      </c>
      <c r="E1565" s="29" t="s">
        <v>3173</v>
      </c>
      <c r="F1565" s="29" t="s">
        <v>33</v>
      </c>
      <c r="G1565" s="30" t="s">
        <v>34</v>
      </c>
      <c r="H1565" s="31"/>
      <c r="I1565" s="31"/>
      <c r="J1565" s="32"/>
      <c r="K1565" s="33">
        <v>45700</v>
      </c>
      <c r="L1565" s="31"/>
      <c r="M1565" s="32"/>
      <c r="N1565" s="31"/>
      <c r="O1565" s="33">
        <v>45699</v>
      </c>
      <c r="P1565" s="34"/>
      <c r="Q1565" s="34">
        <v>37.483871459960902</v>
      </c>
      <c r="R1565" s="34">
        <v>24.119047164916999</v>
      </c>
      <c r="S1565" s="29"/>
      <c r="T1565" s="33"/>
      <c r="U1565" s="35" t="b">
        <v>1</v>
      </c>
      <c r="V1565" s="35" t="b">
        <v>1</v>
      </c>
      <c r="W1565" s="35" t="b">
        <v>1</v>
      </c>
      <c r="Y1565" s="31">
        <f>IF(LEFT(_xll.BDP($C1565, VOLUME_AVG_10D), 4) = "#N/A", "",  _xll.BDP($C1565, VOLUME_AVG_10D))</f>
        <v>0</v>
      </c>
      <c r="Z1565" s="31">
        <f>IF(LEFT(_xll.BDP($C1565, VOLUME_AVG_30D), 4) = "#N/A", "",  _xll.BDP($C1565, VOLUME_AVG_30D))</f>
        <v>0</v>
      </c>
      <c r="AA1565" s="31">
        <f>IF(LEFT(_xll.BDP($C1565, VOLUME_AVG_3M), 4) = "#N/A", "",  _xll.BDP($C1565, VOLUME_AVG_3M))</f>
        <v>37.483871459960938</v>
      </c>
      <c r="AB1565" s="31">
        <f>IF(LEFT(_xll.BDP($C1565, VOLUME_AVG_6M), 4) = "#N/A", "",  _xll.BDP($C1565, VOLUME_AVG_6M))</f>
        <v>24.119047164916992</v>
      </c>
      <c r="AC1565" s="31">
        <f>IF(LEFT(_xll.BDP($C1565, VOLUME_AVG_12M), 4) = "#N/A", "",  _xll.BDP($C1565, VOLUME_AVG_12M))</f>
        <v>12.107569694519043</v>
      </c>
      <c r="AD1565" s="41" t="str" cm="1">
        <f t="array" ref="AD1565">IF(LEFT(_xll.BDP($C1565, LAST_PRICE), 4) = "#N/A", "",  _xll.BDP($C1565, LAST_PRICE))</f>
        <v/>
      </c>
    </row>
    <row r="1566" spans="1:30" x14ac:dyDescent="0.35">
      <c r="A1566" s="1">
        <f t="shared" si="24"/>
        <v>1563</v>
      </c>
      <c r="B1566" s="28">
        <v>45700</v>
      </c>
      <c r="C1566" s="29" t="s">
        <v>3174</v>
      </c>
      <c r="D1566" s="29" t="s">
        <v>3174</v>
      </c>
      <c r="E1566" s="29" t="s">
        <v>3175</v>
      </c>
      <c r="F1566" s="29" t="s">
        <v>33</v>
      </c>
      <c r="G1566" s="30" t="s">
        <v>34</v>
      </c>
      <c r="H1566" s="31">
        <v>56375017.145141803</v>
      </c>
      <c r="I1566" s="31"/>
      <c r="J1566" s="32">
        <v>0.135000005364418</v>
      </c>
      <c r="K1566" s="33">
        <v>45700</v>
      </c>
      <c r="L1566" s="31">
        <v>4026000</v>
      </c>
      <c r="M1566" s="32">
        <v>-1.1499999999999999</v>
      </c>
      <c r="N1566" s="31" t="s">
        <v>35</v>
      </c>
      <c r="O1566" s="33">
        <v>45699</v>
      </c>
      <c r="P1566" s="34">
        <v>1247685.375</v>
      </c>
      <c r="Q1566" s="34">
        <v>1274417.625</v>
      </c>
      <c r="R1566" s="34">
        <v>1165013.25</v>
      </c>
      <c r="S1566" s="29"/>
      <c r="T1566" s="33"/>
      <c r="U1566" s="35" t="b">
        <v>0</v>
      </c>
      <c r="V1566" s="35" t="b">
        <v>0</v>
      </c>
      <c r="W1566" s="35" t="b">
        <v>1</v>
      </c>
      <c r="Y1566" s="31">
        <f>IF(LEFT(_xll.BDP($C1566, VOLUME_AVG_10D), 4) = "#N/A", "",  _xll.BDP($C1566, VOLUME_AVG_10D))</f>
        <v>1009330.875</v>
      </c>
      <c r="Z1566" s="31">
        <f>IF(LEFT(_xll.BDP($C1566, VOLUME_AVG_30D), 4) = "#N/A", "",  _xll.BDP($C1566, VOLUME_AVG_30D))</f>
        <v>1247685.375</v>
      </c>
      <c r="AA1566" s="31">
        <f>IF(LEFT(_xll.BDP($C1566, VOLUME_AVG_3M), 4) = "#N/A", "",  _xll.BDP($C1566, VOLUME_AVG_3M))</f>
        <v>1274417.625</v>
      </c>
      <c r="AB1566" s="31">
        <f>IF(LEFT(_xll.BDP($C1566, VOLUME_AVG_6M), 4) = "#N/A", "",  _xll.BDP($C1566, VOLUME_AVG_6M))</f>
        <v>1165013.25</v>
      </c>
      <c r="AC1566" s="31">
        <f>IF(LEFT(_xll.BDP($C1566, VOLUME_AVG_12M), 4) = "#N/A", "",  _xll.BDP($C1566, VOLUME_AVG_12M))</f>
        <v>1357564.25</v>
      </c>
      <c r="AD1566" s="41" cm="1">
        <f t="array" ref="AD1566">IF(LEFT(_xll.BDP($C1566, LAST_PRICE), 4) = "#N/A", "",  _xll.BDP($C1566, LAST_PRICE))</f>
        <v>0.13500000000000001</v>
      </c>
    </row>
    <row r="1567" spans="1:30" x14ac:dyDescent="0.35">
      <c r="A1567" s="1">
        <f t="shared" si="24"/>
        <v>1564</v>
      </c>
      <c r="B1567" s="28">
        <v>45700</v>
      </c>
      <c r="C1567" s="29" t="s">
        <v>3176</v>
      </c>
      <c r="D1567" s="29" t="s">
        <v>3176</v>
      </c>
      <c r="E1567" s="29" t="s">
        <v>3177</v>
      </c>
      <c r="F1567" s="29" t="s">
        <v>33</v>
      </c>
      <c r="G1567" s="30" t="s">
        <v>34</v>
      </c>
      <c r="H1567" s="31">
        <v>26150863.211321801</v>
      </c>
      <c r="I1567" s="31">
        <v>21482863.211321801</v>
      </c>
      <c r="J1567" s="32">
        <v>3.8800001144409202</v>
      </c>
      <c r="K1567" s="33">
        <v>45700</v>
      </c>
      <c r="L1567" s="31">
        <v>125500</v>
      </c>
      <c r="M1567" s="32">
        <v>-11.45</v>
      </c>
      <c r="N1567" s="31" t="s">
        <v>35</v>
      </c>
      <c r="O1567" s="33">
        <v>45699</v>
      </c>
      <c r="P1567" s="34">
        <v>263696.53125</v>
      </c>
      <c r="Q1567" s="34">
        <v>248005.53125</v>
      </c>
      <c r="R1567" s="34">
        <v>811682.5625</v>
      </c>
      <c r="S1567" s="29"/>
      <c r="T1567" s="33"/>
      <c r="U1567" s="35" t="b">
        <v>0</v>
      </c>
      <c r="V1567" s="35" t="b">
        <v>0</v>
      </c>
      <c r="W1567" s="35" t="b">
        <v>0</v>
      </c>
      <c r="Y1567" s="31">
        <f>IF(LEFT(_xll.BDP($C1567, VOLUME_AVG_10D), 4) = "#N/A", "",  _xll.BDP($C1567, VOLUME_AVG_10D))</f>
        <v>125635.296875</v>
      </c>
      <c r="Z1567" s="31">
        <f>IF(LEFT(_xll.BDP($C1567, VOLUME_AVG_30D), 4) = "#N/A", "",  _xll.BDP($C1567, VOLUME_AVG_30D))</f>
        <v>263696.53125</v>
      </c>
      <c r="AA1567" s="31">
        <f>IF(LEFT(_xll.BDP($C1567, VOLUME_AVG_3M), 4) = "#N/A", "",  _xll.BDP($C1567, VOLUME_AVG_3M))</f>
        <v>248005.53125</v>
      </c>
      <c r="AB1567" s="31">
        <f>IF(LEFT(_xll.BDP($C1567, VOLUME_AVG_6M), 4) = "#N/A", "",  _xll.BDP($C1567, VOLUME_AVG_6M))</f>
        <v>811682.5625</v>
      </c>
      <c r="AC1567" s="31">
        <f>IF(LEFT(_xll.BDP($C1567, VOLUME_AVG_12M), 4) = "#N/A", "",  _xll.BDP($C1567, VOLUME_AVG_12M))</f>
        <v>466468.4375</v>
      </c>
      <c r="AD1567" s="41" cm="1">
        <f t="array" ref="AD1567">IF(LEFT(_xll.BDP($C1567, LAST_PRICE), 4) = "#N/A", "",  _xll.BDP($C1567, LAST_PRICE))</f>
        <v>3.88</v>
      </c>
    </row>
    <row r="1568" spans="1:30" x14ac:dyDescent="0.35">
      <c r="A1568" s="1">
        <f t="shared" si="24"/>
        <v>1565</v>
      </c>
      <c r="B1568" s="28">
        <v>45700</v>
      </c>
      <c r="C1568" s="29" t="s">
        <v>3178</v>
      </c>
      <c r="D1568" s="29" t="s">
        <v>3178</v>
      </c>
      <c r="E1568" s="29" t="s">
        <v>3179</v>
      </c>
      <c r="F1568" s="29" t="s">
        <v>33</v>
      </c>
      <c r="G1568" s="30" t="s">
        <v>34</v>
      </c>
      <c r="H1568" s="31">
        <v>53773387.946856998</v>
      </c>
      <c r="I1568" s="31">
        <v>53109220.946856998</v>
      </c>
      <c r="J1568" s="32">
        <v>0.580299973487854</v>
      </c>
      <c r="K1568" s="33">
        <v>45700</v>
      </c>
      <c r="L1568" s="31">
        <v>8470900</v>
      </c>
      <c r="M1568" s="32">
        <v>3.88</v>
      </c>
      <c r="N1568" s="31" t="s">
        <v>35</v>
      </c>
      <c r="O1568" s="33">
        <v>45699</v>
      </c>
      <c r="P1568" s="34">
        <v>106145.03125</v>
      </c>
      <c r="Q1568" s="34">
        <v>269630.6875</v>
      </c>
      <c r="R1568" s="34">
        <v>196680.984375</v>
      </c>
      <c r="S1568" s="29"/>
      <c r="T1568" s="33"/>
      <c r="U1568" s="35" t="b">
        <v>0</v>
      </c>
      <c r="V1568" s="35" t="b">
        <v>0</v>
      </c>
      <c r="W1568" s="35" t="b">
        <v>0</v>
      </c>
      <c r="Y1568" s="31">
        <f>IF(LEFT(_xll.BDP($C1568, VOLUME_AVG_10D), 4) = "#N/A", "",  _xll.BDP($C1568, VOLUME_AVG_10D))</f>
        <v>87353.8984375</v>
      </c>
      <c r="Z1568" s="31">
        <f>IF(LEFT(_xll.BDP($C1568, VOLUME_AVG_30D), 4) = "#N/A", "",  _xll.BDP($C1568, VOLUME_AVG_30D))</f>
        <v>106145.03125</v>
      </c>
      <c r="AA1568" s="31">
        <f>IF(LEFT(_xll.BDP($C1568, VOLUME_AVG_3M), 4) = "#N/A", "",  _xll.BDP($C1568, VOLUME_AVG_3M))</f>
        <v>269630.6875</v>
      </c>
      <c r="AB1568" s="31">
        <f>IF(LEFT(_xll.BDP($C1568, VOLUME_AVG_6M), 4) = "#N/A", "",  _xll.BDP($C1568, VOLUME_AVG_6M))</f>
        <v>196680.984375</v>
      </c>
      <c r="AC1568" s="31">
        <f>IF(LEFT(_xll.BDP($C1568, VOLUME_AVG_12M), 4) = "#N/A", "",  _xll.BDP($C1568, VOLUME_AVG_12M))</f>
        <v>176236.359375</v>
      </c>
      <c r="AD1568" s="41" cm="1">
        <f t="array" ref="AD1568">IF(LEFT(_xll.BDP($C1568, LAST_PRICE), 4) = "#N/A", "",  _xll.BDP($C1568, LAST_PRICE))</f>
        <v>0.58030000000000004</v>
      </c>
    </row>
    <row r="1569" spans="1:30" x14ac:dyDescent="0.35">
      <c r="A1569" s="1">
        <f t="shared" si="24"/>
        <v>1566</v>
      </c>
      <c r="B1569" s="28">
        <v>45700</v>
      </c>
      <c r="C1569" s="29" t="s">
        <v>3180</v>
      </c>
      <c r="D1569" s="29" t="s">
        <v>3180</v>
      </c>
      <c r="E1569" s="29" t="s">
        <v>3181</v>
      </c>
      <c r="F1569" s="29" t="s">
        <v>33</v>
      </c>
      <c r="G1569" s="30" t="s">
        <v>34</v>
      </c>
      <c r="H1569" s="31">
        <v>172197482.704999</v>
      </c>
      <c r="I1569" s="31">
        <v>142242482.704999</v>
      </c>
      <c r="J1569" s="32">
        <v>1.37999999523163</v>
      </c>
      <c r="K1569" s="33">
        <v>45700</v>
      </c>
      <c r="L1569" s="31">
        <v>4282700</v>
      </c>
      <c r="M1569" s="32">
        <v>3.85</v>
      </c>
      <c r="N1569" s="31" t="s">
        <v>35</v>
      </c>
      <c r="O1569" s="33">
        <v>45699</v>
      </c>
      <c r="P1569" s="34">
        <v>983808.1875</v>
      </c>
      <c r="Q1569" s="34">
        <v>745460.9375</v>
      </c>
      <c r="R1569" s="34">
        <v>858829.625</v>
      </c>
      <c r="S1569" s="29" t="s">
        <v>46</v>
      </c>
      <c r="T1569" s="33">
        <v>45446</v>
      </c>
      <c r="U1569" s="35" t="b">
        <v>0</v>
      </c>
      <c r="V1569" s="35" t="b">
        <v>0</v>
      </c>
      <c r="W1569" s="35" t="b">
        <v>0</v>
      </c>
      <c r="Y1569" s="31">
        <f>IF(LEFT(_xll.BDP($C1569, VOLUME_AVG_10D), 4) = "#N/A", "",  _xll.BDP($C1569, VOLUME_AVG_10D))</f>
        <v>453996.3125</v>
      </c>
      <c r="Z1569" s="31">
        <f>IF(LEFT(_xll.BDP($C1569, VOLUME_AVG_30D), 4) = "#N/A", "",  _xll.BDP($C1569, VOLUME_AVG_30D))</f>
        <v>983808.1875</v>
      </c>
      <c r="AA1569" s="31">
        <f>IF(LEFT(_xll.BDP($C1569, VOLUME_AVG_3M), 4) = "#N/A", "",  _xll.BDP($C1569, VOLUME_AVG_3M))</f>
        <v>745460.9375</v>
      </c>
      <c r="AB1569" s="31">
        <f>IF(LEFT(_xll.BDP($C1569, VOLUME_AVG_6M), 4) = "#N/A", "",  _xll.BDP($C1569, VOLUME_AVG_6M))</f>
        <v>858829.625</v>
      </c>
      <c r="AC1569" s="31">
        <f>IF(LEFT(_xll.BDP($C1569, VOLUME_AVG_12M), 4) = "#N/A", "",  _xll.BDP($C1569, VOLUME_AVG_12M))</f>
        <v>602440.6875</v>
      </c>
      <c r="AD1569" s="41" cm="1">
        <f t="array" ref="AD1569">IF(LEFT(_xll.BDP($C1569, LAST_PRICE), 4) = "#N/A", "",  _xll.BDP($C1569, LAST_PRICE))</f>
        <v>1.38</v>
      </c>
    </row>
    <row r="1570" spans="1:30" x14ac:dyDescent="0.35">
      <c r="A1570" s="1">
        <f t="shared" si="24"/>
        <v>1567</v>
      </c>
      <c r="B1570" s="28">
        <v>45700</v>
      </c>
      <c r="C1570" s="29" t="s">
        <v>3182</v>
      </c>
      <c r="D1570" s="29" t="s">
        <v>3182</v>
      </c>
      <c r="E1570" s="29" t="s">
        <v>3183</v>
      </c>
      <c r="F1570" s="29" t="s">
        <v>33</v>
      </c>
      <c r="G1570" s="30" t="s">
        <v>34</v>
      </c>
      <c r="H1570" s="31">
        <v>241445094.28760099</v>
      </c>
      <c r="I1570" s="31">
        <v>-58567905.712398604</v>
      </c>
      <c r="J1570" s="32">
        <v>4.4200000762939498</v>
      </c>
      <c r="K1570" s="33">
        <v>45700</v>
      </c>
      <c r="L1570" s="31">
        <v>11826400</v>
      </c>
      <c r="M1570" s="32">
        <v>3.88</v>
      </c>
      <c r="N1570" s="31" t="s">
        <v>35</v>
      </c>
      <c r="O1570" s="33">
        <v>45699</v>
      </c>
      <c r="P1570" s="34">
        <v>368748.34375</v>
      </c>
      <c r="Q1570" s="34">
        <v>436076.09375</v>
      </c>
      <c r="R1570" s="34">
        <v>491677.875</v>
      </c>
      <c r="S1570" s="29" t="s">
        <v>68</v>
      </c>
      <c r="T1570" s="33">
        <v>45446</v>
      </c>
      <c r="U1570" s="35" t="b">
        <v>0</v>
      </c>
      <c r="V1570" s="35" t="b">
        <v>0</v>
      </c>
      <c r="W1570" s="35" t="b">
        <v>1</v>
      </c>
      <c r="Y1570" s="31">
        <f>IF(LEFT(_xll.BDP($C1570, VOLUME_AVG_10D), 4) = "#N/A", "",  _xll.BDP($C1570, VOLUME_AVG_10D))</f>
        <v>370800.59375</v>
      </c>
      <c r="Z1570" s="31">
        <f>IF(LEFT(_xll.BDP($C1570, VOLUME_AVG_30D), 4) = "#N/A", "",  _xll.BDP($C1570, VOLUME_AVG_30D))</f>
        <v>368748.34375</v>
      </c>
      <c r="AA1570" s="31">
        <f>IF(LEFT(_xll.BDP($C1570, VOLUME_AVG_3M), 4) = "#N/A", "",  _xll.BDP($C1570, VOLUME_AVG_3M))</f>
        <v>436076.09375</v>
      </c>
      <c r="AB1570" s="31">
        <f>IF(LEFT(_xll.BDP($C1570, VOLUME_AVG_6M), 4) = "#N/A", "",  _xll.BDP($C1570, VOLUME_AVG_6M))</f>
        <v>491677.875</v>
      </c>
      <c r="AC1570" s="31">
        <f>IF(LEFT(_xll.BDP($C1570, VOLUME_AVG_12M), 4) = "#N/A", "",  _xll.BDP($C1570, VOLUME_AVG_12M))</f>
        <v>521974.3125</v>
      </c>
      <c r="AD1570" s="41" cm="1">
        <f t="array" ref="AD1570">IF(LEFT(_xll.BDP($C1570, LAST_PRICE), 4) = "#N/A", "",  _xll.BDP($C1570, LAST_PRICE))</f>
        <v>4.42</v>
      </c>
    </row>
    <row r="1571" spans="1:30" x14ac:dyDescent="0.35">
      <c r="A1571" s="1">
        <f t="shared" si="24"/>
        <v>1568</v>
      </c>
      <c r="B1571" s="28">
        <v>45700</v>
      </c>
      <c r="C1571" s="29" t="s">
        <v>3184</v>
      </c>
      <c r="D1571" s="29" t="s">
        <v>3184</v>
      </c>
      <c r="E1571" s="29" t="s">
        <v>3185</v>
      </c>
      <c r="F1571" s="29" t="s">
        <v>33</v>
      </c>
      <c r="G1571" s="30" t="s">
        <v>34</v>
      </c>
      <c r="H1571" s="31">
        <v>27256713.869391002</v>
      </c>
      <c r="I1571" s="31">
        <v>26693364.869391002</v>
      </c>
      <c r="J1571" s="32">
        <v>1.7400000095367401</v>
      </c>
      <c r="K1571" s="33">
        <v>45700</v>
      </c>
      <c r="L1571" s="31">
        <v>45400</v>
      </c>
      <c r="M1571" s="32">
        <v>-139.44999999999999</v>
      </c>
      <c r="N1571" s="31" t="s">
        <v>35</v>
      </c>
      <c r="O1571" s="33">
        <v>45699</v>
      </c>
      <c r="P1571" s="34">
        <v>400579.71875</v>
      </c>
      <c r="Q1571" s="34">
        <v>2133450.25</v>
      </c>
      <c r="R1571" s="34">
        <v>1292722.25</v>
      </c>
      <c r="S1571" s="29"/>
      <c r="T1571" s="33"/>
      <c r="U1571" s="35" t="b">
        <v>0</v>
      </c>
      <c r="V1571" s="35" t="b">
        <v>0</v>
      </c>
      <c r="W1571" s="35" t="b">
        <v>0</v>
      </c>
      <c r="Y1571" s="31">
        <f>IF(LEFT(_xll.BDP($C1571, VOLUME_AVG_10D), 4) = "#N/A", "",  _xll.BDP($C1571, VOLUME_AVG_10D))</f>
        <v>156771.5</v>
      </c>
      <c r="Z1571" s="31">
        <f>IF(LEFT(_xll.BDP($C1571, VOLUME_AVG_30D), 4) = "#N/A", "",  _xll.BDP($C1571, VOLUME_AVG_30D))</f>
        <v>400579.71875</v>
      </c>
      <c r="AA1571" s="31">
        <f>IF(LEFT(_xll.BDP($C1571, VOLUME_AVG_3M), 4) = "#N/A", "",  _xll.BDP($C1571, VOLUME_AVG_3M))</f>
        <v>2133450.25</v>
      </c>
      <c r="AB1571" s="31">
        <f>IF(LEFT(_xll.BDP($C1571, VOLUME_AVG_6M), 4) = "#N/A", "",  _xll.BDP($C1571, VOLUME_AVG_6M))</f>
        <v>1292722.25</v>
      </c>
      <c r="AC1571" s="31">
        <f>IF(LEFT(_xll.BDP($C1571, VOLUME_AVG_12M), 4) = "#N/A", "",  _xll.BDP($C1571, VOLUME_AVG_12M))</f>
        <v>975113.4375</v>
      </c>
      <c r="AD1571" s="41" cm="1">
        <f t="array" ref="AD1571">IF(LEFT(_xll.BDP($C1571, LAST_PRICE), 4) = "#N/A", "",  _xll.BDP($C1571, LAST_PRICE))</f>
        <v>1.74</v>
      </c>
    </row>
    <row r="1572" spans="1:30" x14ac:dyDescent="0.35">
      <c r="A1572" s="1">
        <f t="shared" si="24"/>
        <v>1569</v>
      </c>
      <c r="B1572" s="28">
        <v>45700</v>
      </c>
      <c r="C1572" s="29" t="s">
        <v>3186</v>
      </c>
      <c r="D1572" s="29" t="s">
        <v>3186</v>
      </c>
      <c r="E1572" s="29" t="s">
        <v>3187</v>
      </c>
      <c r="F1572" s="29" t="s">
        <v>33</v>
      </c>
      <c r="G1572" s="30" t="s">
        <v>34</v>
      </c>
      <c r="H1572" s="31">
        <v>126784854</v>
      </c>
      <c r="I1572" s="31">
        <v>88331854</v>
      </c>
      <c r="J1572" s="32">
        <v>18</v>
      </c>
      <c r="K1572" s="33">
        <v>45700</v>
      </c>
      <c r="L1572" s="31">
        <v>56000</v>
      </c>
      <c r="M1572" s="32">
        <v>-1</v>
      </c>
      <c r="N1572" s="31" t="s">
        <v>35</v>
      </c>
      <c r="O1572" s="33">
        <v>45699</v>
      </c>
      <c r="P1572" s="34">
        <v>8888.2001953125</v>
      </c>
      <c r="Q1572" s="34">
        <v>21450.7265625</v>
      </c>
      <c r="R1572" s="34">
        <v>24256.80859375</v>
      </c>
      <c r="S1572" s="29"/>
      <c r="T1572" s="33"/>
      <c r="U1572" s="35" t="b">
        <v>0</v>
      </c>
      <c r="V1572" s="35" t="b">
        <v>0</v>
      </c>
      <c r="W1572" s="35" t="b">
        <v>0</v>
      </c>
      <c r="Y1572" s="31">
        <f>IF(LEFT(_xll.BDP($C1572, VOLUME_AVG_10D), 4) = "#N/A", "",  _xll.BDP($C1572, VOLUME_AVG_10D))</f>
        <v>10241.5</v>
      </c>
      <c r="Z1572" s="31">
        <f>IF(LEFT(_xll.BDP($C1572, VOLUME_AVG_30D), 4) = "#N/A", "",  _xll.BDP($C1572, VOLUME_AVG_30D))</f>
        <v>8888.2001953125</v>
      </c>
      <c r="AA1572" s="31">
        <f>IF(LEFT(_xll.BDP($C1572, VOLUME_AVG_3M), 4) = "#N/A", "",  _xll.BDP($C1572, VOLUME_AVG_3M))</f>
        <v>21450.7265625</v>
      </c>
      <c r="AB1572" s="31">
        <f>IF(LEFT(_xll.BDP($C1572, VOLUME_AVG_6M), 4) = "#N/A", "",  _xll.BDP($C1572, VOLUME_AVG_6M))</f>
        <v>24256.80859375</v>
      </c>
      <c r="AC1572" s="31">
        <f>IF(LEFT(_xll.BDP($C1572, VOLUME_AVG_12M), 4) = "#N/A", "",  _xll.BDP($C1572, VOLUME_AVG_12M))</f>
        <v>34047.73828125</v>
      </c>
      <c r="AD1572" s="41" cm="1">
        <f t="array" ref="AD1572">IF(LEFT(_xll.BDP($C1572, LAST_PRICE), 4) = "#N/A", "",  _xll.BDP($C1572, LAST_PRICE))</f>
        <v>18</v>
      </c>
    </row>
    <row r="1573" spans="1:30" x14ac:dyDescent="0.35">
      <c r="A1573" s="1">
        <f t="shared" si="24"/>
        <v>1570</v>
      </c>
      <c r="B1573" s="28">
        <v>45700</v>
      </c>
      <c r="C1573" s="29" t="s">
        <v>3188</v>
      </c>
      <c r="D1573" s="29" t="s">
        <v>3188</v>
      </c>
      <c r="E1573" s="29" t="s">
        <v>3189</v>
      </c>
      <c r="F1573" s="29" t="s">
        <v>33</v>
      </c>
      <c r="G1573" s="30" t="s">
        <v>34</v>
      </c>
      <c r="H1573" s="31">
        <v>2302722.9240000001</v>
      </c>
      <c r="I1573" s="31">
        <v>3227907.9240000001</v>
      </c>
      <c r="J1573" s="32">
        <v>6.9000000000000006E-2</v>
      </c>
      <c r="K1573" s="33">
        <v>45700</v>
      </c>
      <c r="L1573" s="31"/>
      <c r="M1573" s="32"/>
      <c r="N1573" s="31"/>
      <c r="O1573" s="33">
        <v>45699</v>
      </c>
      <c r="P1573" s="34">
        <v>1173.23327636719</v>
      </c>
      <c r="Q1573" s="34">
        <v>4817.9033203125</v>
      </c>
      <c r="R1573" s="34">
        <v>5329.33349609375</v>
      </c>
      <c r="S1573" s="29"/>
      <c r="T1573" s="33"/>
      <c r="U1573" s="35" t="b">
        <v>1</v>
      </c>
      <c r="V1573" s="35" t="b">
        <v>1</v>
      </c>
      <c r="W1573" s="35" t="b">
        <v>0</v>
      </c>
      <c r="Y1573" s="31">
        <f>IF(LEFT(_xll.BDP($C1573, VOLUME_AVG_10D), 4) = "#N/A", "",  _xll.BDP($C1573, VOLUME_AVG_10D))</f>
        <v>0</v>
      </c>
      <c r="Z1573" s="31">
        <f>IF(LEFT(_xll.BDP($C1573, VOLUME_AVG_30D), 4) = "#N/A", "",  _xll.BDP($C1573, VOLUME_AVG_30D))</f>
        <v>1173.2332763671875</v>
      </c>
      <c r="AA1573" s="31">
        <f>IF(LEFT(_xll.BDP($C1573, VOLUME_AVG_3M), 4) = "#N/A", "",  _xll.BDP($C1573, VOLUME_AVG_3M))</f>
        <v>4817.9033203125</v>
      </c>
      <c r="AB1573" s="31">
        <f>IF(LEFT(_xll.BDP($C1573, VOLUME_AVG_6M), 4) = "#N/A", "",  _xll.BDP($C1573, VOLUME_AVG_6M))</f>
        <v>5329.33349609375</v>
      </c>
      <c r="AC1573" s="31">
        <f>IF(LEFT(_xll.BDP($C1573, VOLUME_AVG_12M), 4) = "#N/A", "",  _xll.BDP($C1573, VOLUME_AVG_12M))</f>
        <v>4086.2548828125</v>
      </c>
      <c r="AD1573" s="41" cm="1">
        <f t="array" ref="AD1573">IF(LEFT(_xll.BDP($C1573, LAST_PRICE), 4) = "#N/A", "",  _xll.BDP($C1573, LAST_PRICE))</f>
        <v>6.9000000000000006E-2</v>
      </c>
    </row>
    <row r="1574" spans="1:30" x14ac:dyDescent="0.35">
      <c r="A1574" s="1">
        <f t="shared" si="24"/>
        <v>1571</v>
      </c>
      <c r="B1574" s="28">
        <v>45700</v>
      </c>
      <c r="C1574" s="29" t="s">
        <v>3190</v>
      </c>
      <c r="D1574" s="29" t="s">
        <v>3190</v>
      </c>
      <c r="E1574" s="29" t="s">
        <v>3191</v>
      </c>
      <c r="F1574" s="29" t="s">
        <v>33</v>
      </c>
      <c r="G1574" s="30" t="s">
        <v>34</v>
      </c>
      <c r="H1574" s="31">
        <v>37026096.689319402</v>
      </c>
      <c r="I1574" s="31">
        <v>-33035903.310680602</v>
      </c>
      <c r="J1574" s="32">
        <v>2.5099999904632599</v>
      </c>
      <c r="K1574" s="33">
        <v>45700</v>
      </c>
      <c r="L1574" s="31">
        <v>1741200</v>
      </c>
      <c r="M1574" s="32">
        <v>3.2</v>
      </c>
      <c r="N1574" s="31" t="s">
        <v>35</v>
      </c>
      <c r="O1574" s="33">
        <v>45699</v>
      </c>
      <c r="P1574" s="34">
        <v>124162.8984375</v>
      </c>
      <c r="Q1574" s="34">
        <v>107934.7578125</v>
      </c>
      <c r="R1574" s="34">
        <v>87834.40625</v>
      </c>
      <c r="S1574" s="29"/>
      <c r="T1574" s="33"/>
      <c r="U1574" s="35" t="b">
        <v>0</v>
      </c>
      <c r="V1574" s="35" t="b">
        <v>0</v>
      </c>
      <c r="W1574" s="35" t="b">
        <v>1</v>
      </c>
      <c r="Y1574" s="31">
        <f>IF(LEFT(_xll.BDP($C1574, VOLUME_AVG_10D), 4) = "#N/A", "",  _xll.BDP($C1574, VOLUME_AVG_10D))</f>
        <v>100413</v>
      </c>
      <c r="Z1574" s="31">
        <f>IF(LEFT(_xll.BDP($C1574, VOLUME_AVG_30D), 4) = "#N/A", "",  _xll.BDP($C1574, VOLUME_AVG_30D))</f>
        <v>124162.8984375</v>
      </c>
      <c r="AA1574" s="31">
        <f>IF(LEFT(_xll.BDP($C1574, VOLUME_AVG_3M), 4) = "#N/A", "",  _xll.BDP($C1574, VOLUME_AVG_3M))</f>
        <v>107934.7578125</v>
      </c>
      <c r="AB1574" s="31">
        <f>IF(LEFT(_xll.BDP($C1574, VOLUME_AVG_6M), 4) = "#N/A", "",  _xll.BDP($C1574, VOLUME_AVG_6M))</f>
        <v>87834.40625</v>
      </c>
      <c r="AC1574" s="31">
        <f>IF(LEFT(_xll.BDP($C1574, VOLUME_AVG_12M), 4) = "#N/A", "",  _xll.BDP($C1574, VOLUME_AVG_12M))</f>
        <v>81660.296875</v>
      </c>
      <c r="AD1574" s="41" cm="1">
        <f t="array" ref="AD1574">IF(LEFT(_xll.BDP($C1574, LAST_PRICE), 4) = "#N/A", "",  _xll.BDP($C1574, LAST_PRICE))</f>
        <v>2.5099999999999998</v>
      </c>
    </row>
    <row r="1575" spans="1:30" x14ac:dyDescent="0.35">
      <c r="A1575" s="1">
        <f t="shared" si="24"/>
        <v>1572</v>
      </c>
      <c r="B1575" s="28">
        <v>45700</v>
      </c>
      <c r="C1575" s="29" t="s">
        <v>3192</v>
      </c>
      <c r="D1575" s="29" t="s">
        <v>3192</v>
      </c>
      <c r="E1575" s="29" t="s">
        <v>3193</v>
      </c>
      <c r="F1575" s="29" t="s">
        <v>33</v>
      </c>
      <c r="G1575" s="30" t="s">
        <v>34</v>
      </c>
      <c r="H1575" s="31">
        <v>22676354829.782001</v>
      </c>
      <c r="I1575" s="31">
        <v>23977487829.782001</v>
      </c>
      <c r="J1575" s="32">
        <v>381.91000366210898</v>
      </c>
      <c r="K1575" s="33">
        <v>45700</v>
      </c>
      <c r="L1575" s="31">
        <v>20434700</v>
      </c>
      <c r="M1575" s="32">
        <v>3.88</v>
      </c>
      <c r="N1575" s="31" t="s">
        <v>35</v>
      </c>
      <c r="O1575" s="33">
        <v>45699</v>
      </c>
      <c r="P1575" s="34">
        <v>394719.375</v>
      </c>
      <c r="Q1575" s="34">
        <v>462491.53125</v>
      </c>
      <c r="R1575" s="34">
        <v>425424.1875</v>
      </c>
      <c r="S1575" s="29"/>
      <c r="T1575" s="33"/>
      <c r="U1575" s="35" t="b">
        <v>0</v>
      </c>
      <c r="V1575" s="35" t="b">
        <v>0</v>
      </c>
      <c r="W1575" s="35" t="b">
        <v>0</v>
      </c>
      <c r="Y1575" s="31">
        <f>IF(LEFT(_xll.BDP($C1575, VOLUME_AVG_10D), 4) = "#N/A", "",  _xll.BDP($C1575, VOLUME_AVG_10D))</f>
        <v>377879.6875</v>
      </c>
      <c r="Z1575" s="31">
        <f>IF(LEFT(_xll.BDP($C1575, VOLUME_AVG_30D), 4) = "#N/A", "",  _xll.BDP($C1575, VOLUME_AVG_30D))</f>
        <v>394719.375</v>
      </c>
      <c r="AA1575" s="31">
        <f>IF(LEFT(_xll.BDP($C1575, VOLUME_AVG_3M), 4) = "#N/A", "",  _xll.BDP($C1575, VOLUME_AVG_3M))</f>
        <v>462491.53125</v>
      </c>
      <c r="AB1575" s="31">
        <f>IF(LEFT(_xll.BDP($C1575, VOLUME_AVG_6M), 4) = "#N/A", "",  _xll.BDP($C1575, VOLUME_AVG_6M))</f>
        <v>425424.1875</v>
      </c>
      <c r="AC1575" s="31">
        <f>IF(LEFT(_xll.BDP($C1575, VOLUME_AVG_12M), 4) = "#N/A", "",  _xll.BDP($C1575, VOLUME_AVG_12M))</f>
        <v>439836.65625</v>
      </c>
      <c r="AD1575" s="41" cm="1">
        <f t="array" ref="AD1575">IF(LEFT(_xll.BDP($C1575, LAST_PRICE), 4) = "#N/A", "",  _xll.BDP($C1575, LAST_PRICE))</f>
        <v>381.91</v>
      </c>
    </row>
    <row r="1576" spans="1:30" x14ac:dyDescent="0.35">
      <c r="A1576" s="1">
        <f t="shared" si="24"/>
        <v>1573</v>
      </c>
      <c r="B1576" s="28">
        <v>45700</v>
      </c>
      <c r="C1576" s="29" t="s">
        <v>3194</v>
      </c>
      <c r="D1576" s="29" t="s">
        <v>3194</v>
      </c>
      <c r="E1576" s="29" t="s">
        <v>3195</v>
      </c>
      <c r="F1576" s="29" t="s">
        <v>33</v>
      </c>
      <c r="G1576" s="30" t="s">
        <v>34</v>
      </c>
      <c r="H1576" s="31">
        <v>1663990667.42733</v>
      </c>
      <c r="I1576" s="31">
        <v>1388086667.42733</v>
      </c>
      <c r="J1576" s="32">
        <v>10.9099998474121</v>
      </c>
      <c r="K1576" s="33">
        <v>45700</v>
      </c>
      <c r="L1576" s="31"/>
      <c r="M1576" s="32"/>
      <c r="N1576" s="31"/>
      <c r="O1576" s="33">
        <v>45699</v>
      </c>
      <c r="P1576" s="34">
        <v>845476.9375</v>
      </c>
      <c r="Q1576" s="34">
        <v>1003819.875</v>
      </c>
      <c r="R1576" s="34">
        <v>1357171.375</v>
      </c>
      <c r="S1576" s="29" t="s">
        <v>68</v>
      </c>
      <c r="T1576" s="33">
        <v>45446</v>
      </c>
      <c r="U1576" s="35" t="b">
        <v>0</v>
      </c>
      <c r="V1576" s="35" t="b">
        <v>0</v>
      </c>
      <c r="W1576" s="35" t="b">
        <v>0</v>
      </c>
      <c r="Y1576" s="31">
        <f>IF(LEFT(_xll.BDP($C1576, VOLUME_AVG_10D), 4) = "#N/A", "",  _xll.BDP($C1576, VOLUME_AVG_10D))</f>
        <v>757105.125</v>
      </c>
      <c r="Z1576" s="31">
        <f>IF(LEFT(_xll.BDP($C1576, VOLUME_AVG_30D), 4) = "#N/A", "",  _xll.BDP($C1576, VOLUME_AVG_30D))</f>
        <v>845476.9375</v>
      </c>
      <c r="AA1576" s="31">
        <f>IF(LEFT(_xll.BDP($C1576, VOLUME_AVG_3M), 4) = "#N/A", "",  _xll.BDP($C1576, VOLUME_AVG_3M))</f>
        <v>1003819.875</v>
      </c>
      <c r="AB1576" s="31">
        <f>IF(LEFT(_xll.BDP($C1576, VOLUME_AVG_6M), 4) = "#N/A", "",  _xll.BDP($C1576, VOLUME_AVG_6M))</f>
        <v>1357171.375</v>
      </c>
      <c r="AC1576" s="31">
        <f>IF(LEFT(_xll.BDP($C1576, VOLUME_AVG_12M), 4) = "#N/A", "",  _xll.BDP($C1576, VOLUME_AVG_12M))</f>
        <v>1132732.375</v>
      </c>
      <c r="AD1576" s="41" cm="1">
        <f t="array" ref="AD1576">IF(LEFT(_xll.BDP($C1576, LAST_PRICE), 4) = "#N/A", "",  _xll.BDP($C1576, LAST_PRICE))</f>
        <v>10.91</v>
      </c>
    </row>
    <row r="1577" spans="1:30" x14ac:dyDescent="0.35">
      <c r="A1577" s="1">
        <f t="shared" si="24"/>
        <v>1574</v>
      </c>
      <c r="B1577" s="28">
        <v>45700</v>
      </c>
      <c r="C1577" s="29" t="s">
        <v>3196</v>
      </c>
      <c r="D1577" s="29" t="s">
        <v>3196</v>
      </c>
      <c r="E1577" s="29" t="s">
        <v>3197</v>
      </c>
      <c r="F1577" s="29" t="s">
        <v>40</v>
      </c>
      <c r="G1577" s="30" t="s">
        <v>41</v>
      </c>
      <c r="H1577" s="31">
        <v>540000</v>
      </c>
      <c r="I1577" s="31">
        <v>3261239</v>
      </c>
      <c r="J1577" s="32">
        <v>0.01</v>
      </c>
      <c r="K1577" s="33">
        <v>45700</v>
      </c>
      <c r="L1577" s="31"/>
      <c r="M1577" s="32"/>
      <c r="N1577" s="31"/>
      <c r="O1577" s="33">
        <v>45699</v>
      </c>
      <c r="P1577" s="34">
        <v>9184.9</v>
      </c>
      <c r="Q1577" s="34">
        <v>11783.31</v>
      </c>
      <c r="R1577" s="34">
        <v>9449.8739999999998</v>
      </c>
      <c r="S1577" s="29"/>
      <c r="T1577" s="33"/>
      <c r="U1577" s="35" t="b">
        <v>1</v>
      </c>
      <c r="V1577" s="35" t="b">
        <v>1</v>
      </c>
      <c r="W1577" s="35" t="b">
        <v>0</v>
      </c>
      <c r="Y1577" s="31">
        <f>IF(LEFT(_xll.BDP($C1577, VOLUME_AVG_10D), 4) = "#N/A", "",  _xll.BDP($C1577, VOLUME_AVG_10D))</f>
        <v>100</v>
      </c>
      <c r="Z1577" s="31">
        <f>IF(LEFT(_xll.BDP($C1577, VOLUME_AVG_30D), 4) = "#N/A", "",  _xll.BDP($C1577, VOLUME_AVG_30D))</f>
        <v>9184.9</v>
      </c>
      <c r="AA1577" s="31">
        <f>IF(LEFT(_xll.BDP($C1577, VOLUME_AVG_3M), 4) = "#N/A", "",  _xll.BDP($C1577, VOLUME_AVG_3M))</f>
        <v>11783.31</v>
      </c>
      <c r="AB1577" s="31">
        <f>IF(LEFT(_xll.BDP($C1577, VOLUME_AVG_6M), 4) = "#N/A", "",  _xll.BDP($C1577, VOLUME_AVG_6M))</f>
        <v>9449.8739999999998</v>
      </c>
      <c r="AC1577" s="31">
        <f>IF(LEFT(_xll.BDP($C1577, VOLUME_AVG_12M), 4) = "#N/A", "",  _xll.BDP($C1577, VOLUME_AVG_12M))</f>
        <v>7204.4440000000004</v>
      </c>
      <c r="AD1577" s="41" cm="1">
        <f t="array" ref="AD1577">IF(LEFT(_xll.BDP($C1577, LAST_PRICE), 4) = "#N/A", "",  _xll.BDP($C1577, LAST_PRICE))</f>
        <v>0.01</v>
      </c>
    </row>
    <row r="1578" spans="1:30" x14ac:dyDescent="0.35">
      <c r="A1578" s="1">
        <f t="shared" si="24"/>
        <v>1575</v>
      </c>
      <c r="B1578" s="28">
        <v>45700</v>
      </c>
      <c r="C1578" s="29" t="s">
        <v>3198</v>
      </c>
      <c r="D1578" s="29" t="s">
        <v>3198</v>
      </c>
      <c r="E1578" s="29" t="s">
        <v>3199</v>
      </c>
      <c r="F1578" s="29" t="s">
        <v>33</v>
      </c>
      <c r="G1578" s="30" t="s">
        <v>34</v>
      </c>
      <c r="H1578" s="31">
        <v>7528768143.75</v>
      </c>
      <c r="I1578" s="31">
        <v>9746938143.75</v>
      </c>
      <c r="J1578" s="32">
        <v>43.75</v>
      </c>
      <c r="K1578" s="33">
        <v>45700</v>
      </c>
      <c r="L1578" s="31">
        <v>17392800</v>
      </c>
      <c r="M1578" s="32">
        <v>3.88</v>
      </c>
      <c r="N1578" s="31" t="s">
        <v>35</v>
      </c>
      <c r="O1578" s="33">
        <v>45699</v>
      </c>
      <c r="P1578" s="34">
        <v>1117501.25</v>
      </c>
      <c r="Q1578" s="34">
        <v>1183531.75</v>
      </c>
      <c r="R1578" s="34">
        <v>982148.4375</v>
      </c>
      <c r="S1578" s="29"/>
      <c r="T1578" s="33"/>
      <c r="U1578" s="35" t="b">
        <v>0</v>
      </c>
      <c r="V1578" s="35" t="b">
        <v>0</v>
      </c>
      <c r="W1578" s="35" t="b">
        <v>0</v>
      </c>
      <c r="Y1578" s="31">
        <f>IF(LEFT(_xll.BDP($C1578, VOLUME_AVG_10D), 4) = "#N/A", "",  _xll.BDP($C1578, VOLUME_AVG_10D))</f>
        <v>1013799.8125</v>
      </c>
      <c r="Z1578" s="31">
        <f>IF(LEFT(_xll.BDP($C1578, VOLUME_AVG_30D), 4) = "#N/A", "",  _xll.BDP($C1578, VOLUME_AVG_30D))</f>
        <v>1117501.25</v>
      </c>
      <c r="AA1578" s="31">
        <f>IF(LEFT(_xll.BDP($C1578, VOLUME_AVG_3M), 4) = "#N/A", "",  _xll.BDP($C1578, VOLUME_AVG_3M))</f>
        <v>1183531.75</v>
      </c>
      <c r="AB1578" s="31">
        <f>IF(LEFT(_xll.BDP($C1578, VOLUME_AVG_6M), 4) = "#N/A", "",  _xll.BDP($C1578, VOLUME_AVG_6M))</f>
        <v>982148.4375</v>
      </c>
      <c r="AC1578" s="31" t="str">
        <f>IF(LEFT(_xll.BDP($C1578, VOLUME_AVG_12M), 4) = "#N/A", "",  _xll.BDP($C1578, VOLUME_AVG_12M))</f>
        <v/>
      </c>
      <c r="AD1578" s="41" cm="1">
        <f t="array" ref="AD1578">IF(LEFT(_xll.BDP($C1578, LAST_PRICE), 4) = "#N/A", "",  _xll.BDP($C1578, LAST_PRICE))</f>
        <v>43.75</v>
      </c>
    </row>
    <row r="1579" spans="1:30" x14ac:dyDescent="0.35">
      <c r="A1579" s="1">
        <f t="shared" si="24"/>
        <v>1576</v>
      </c>
      <c r="B1579" s="28">
        <v>45700</v>
      </c>
      <c r="C1579" s="29" t="s">
        <v>3200</v>
      </c>
      <c r="D1579" s="29" t="s">
        <v>3200</v>
      </c>
      <c r="E1579" s="29" t="s">
        <v>3201</v>
      </c>
      <c r="F1579" s="29" t="s">
        <v>33</v>
      </c>
      <c r="G1579" s="30" t="s">
        <v>34</v>
      </c>
      <c r="H1579" s="31">
        <v>4319901.6225045398</v>
      </c>
      <c r="I1579" s="31"/>
      <c r="J1579" s="32">
        <v>3.4439999610185602E-2</v>
      </c>
      <c r="K1579" s="33">
        <v>45700</v>
      </c>
      <c r="L1579" s="31"/>
      <c r="M1579" s="32"/>
      <c r="N1579" s="31"/>
      <c r="O1579" s="33">
        <v>45699</v>
      </c>
      <c r="P1579" s="34">
        <v>67170.765625</v>
      </c>
      <c r="Q1579" s="34">
        <v>70031.2265625</v>
      </c>
      <c r="R1579" s="34">
        <v>60554.68359375</v>
      </c>
      <c r="S1579" s="29"/>
      <c r="T1579" s="33"/>
      <c r="U1579" s="35" t="b">
        <v>1</v>
      </c>
      <c r="V1579" s="35" t="b">
        <v>1</v>
      </c>
      <c r="W1579" s="35" t="b">
        <v>1</v>
      </c>
      <c r="Y1579" s="31">
        <f>IF(LEFT(_xll.BDP($C1579, VOLUME_AVG_10D), 4) = "#N/A", "",  _xll.BDP($C1579, VOLUME_AVG_10D))</f>
        <v>56052.5</v>
      </c>
      <c r="Z1579" s="31">
        <f>IF(LEFT(_xll.BDP($C1579, VOLUME_AVG_30D), 4) = "#N/A", "",  _xll.BDP($C1579, VOLUME_AVG_30D))</f>
        <v>67170.765625</v>
      </c>
      <c r="AA1579" s="31">
        <f>IF(LEFT(_xll.BDP($C1579, VOLUME_AVG_3M), 4) = "#N/A", "",  _xll.BDP($C1579, VOLUME_AVG_3M))</f>
        <v>70031.2265625</v>
      </c>
      <c r="AB1579" s="31">
        <f>IF(LEFT(_xll.BDP($C1579, VOLUME_AVG_6M), 4) = "#N/A", "",  _xll.BDP($C1579, VOLUME_AVG_6M))</f>
        <v>60554.68359375</v>
      </c>
      <c r="AC1579" s="31">
        <f>IF(LEFT(_xll.BDP($C1579, VOLUME_AVG_12M), 4) = "#N/A", "",  _xll.BDP($C1579, VOLUME_AVG_12M))</f>
        <v>56198.95703125</v>
      </c>
      <c r="AD1579" s="41" cm="1">
        <f t="array" ref="AD1579">IF(LEFT(_xll.BDP($C1579, LAST_PRICE), 4) = "#N/A", "",  _xll.BDP($C1579, LAST_PRICE))</f>
        <v>3.4439999999999998E-2</v>
      </c>
    </row>
    <row r="1580" spans="1:30" x14ac:dyDescent="0.35">
      <c r="A1580" s="1">
        <f t="shared" si="24"/>
        <v>1577</v>
      </c>
      <c r="B1580" s="28">
        <v>45700</v>
      </c>
      <c r="C1580" s="29" t="s">
        <v>3202</v>
      </c>
      <c r="D1580" s="29" t="s">
        <v>3202</v>
      </c>
      <c r="E1580" s="29" t="s">
        <v>3203</v>
      </c>
      <c r="F1580" s="29" t="s">
        <v>40</v>
      </c>
      <c r="G1580" s="30" t="s">
        <v>41</v>
      </c>
      <c r="H1580" s="31">
        <v>1519460810.24474</v>
      </c>
      <c r="I1580" s="31">
        <v>1920585810.24474</v>
      </c>
      <c r="J1580" s="32">
        <v>6.0999999046325701</v>
      </c>
      <c r="K1580" s="33">
        <v>45700</v>
      </c>
      <c r="L1580" s="31">
        <v>12284800</v>
      </c>
      <c r="M1580" s="32">
        <v>3.15</v>
      </c>
      <c r="N1580" s="31" t="s">
        <v>35</v>
      </c>
      <c r="O1580" s="33">
        <v>45699</v>
      </c>
      <c r="P1580" s="34">
        <v>1419086</v>
      </c>
      <c r="Q1580" s="34">
        <v>1920001</v>
      </c>
      <c r="R1580" s="34">
        <v>1562968</v>
      </c>
      <c r="S1580" s="29"/>
      <c r="T1580" s="33"/>
      <c r="U1580" s="35" t="b">
        <v>0</v>
      </c>
      <c r="V1580" s="35" t="b">
        <v>0</v>
      </c>
      <c r="W1580" s="35" t="b">
        <v>0</v>
      </c>
      <c r="Y1580" s="31">
        <f>IF(LEFT(_xll.BDP($C1580, VOLUME_AVG_10D), 4) = "#N/A", "",  _xll.BDP($C1580, VOLUME_AVG_10D))</f>
        <v>1519270</v>
      </c>
      <c r="Z1580" s="31">
        <f>IF(LEFT(_xll.BDP($C1580, VOLUME_AVG_30D), 4) = "#N/A", "",  _xll.BDP($C1580, VOLUME_AVG_30D))</f>
        <v>1419086</v>
      </c>
      <c r="AA1580" s="31">
        <f>IF(LEFT(_xll.BDP($C1580, VOLUME_AVG_3M), 4) = "#N/A", "",  _xll.BDP($C1580, VOLUME_AVG_3M))</f>
        <v>1920001</v>
      </c>
      <c r="AB1580" s="31">
        <f>IF(LEFT(_xll.BDP($C1580, VOLUME_AVG_6M), 4) = "#N/A", "",  _xll.BDP($C1580, VOLUME_AVG_6M))</f>
        <v>1562968</v>
      </c>
      <c r="AC1580" s="31">
        <f>IF(LEFT(_xll.BDP($C1580, VOLUME_AVG_12M), 4) = "#N/A", "",  _xll.BDP($C1580, VOLUME_AVG_12M))</f>
        <v>1509844</v>
      </c>
      <c r="AD1580" s="41" cm="1">
        <f t="array" ref="AD1580">IF(LEFT(_xll.BDP($C1580, LAST_PRICE), 4) = "#N/A", "",  _xll.BDP($C1580, LAST_PRICE))</f>
        <v>6.1</v>
      </c>
    </row>
    <row r="1581" spans="1:30" x14ac:dyDescent="0.35">
      <c r="A1581" s="1">
        <f t="shared" si="24"/>
        <v>1578</v>
      </c>
      <c r="B1581" s="28">
        <v>45700</v>
      </c>
      <c r="C1581" s="29" t="s">
        <v>3204</v>
      </c>
      <c r="D1581" s="29" t="s">
        <v>3204</v>
      </c>
      <c r="E1581" s="29" t="s">
        <v>3205</v>
      </c>
      <c r="F1581" s="29" t="s">
        <v>33</v>
      </c>
      <c r="G1581" s="30" t="s">
        <v>34</v>
      </c>
      <c r="H1581" s="31">
        <v>13599.9573564362</v>
      </c>
      <c r="I1581" s="31">
        <v>2177245.9573564399</v>
      </c>
      <c r="J1581" s="32">
        <v>9.9999997473787503E-5</v>
      </c>
      <c r="K1581" s="33">
        <v>45700</v>
      </c>
      <c r="L1581" s="31"/>
      <c r="M1581" s="32"/>
      <c r="N1581" s="31"/>
      <c r="O1581" s="33">
        <v>45699</v>
      </c>
      <c r="P1581" s="34">
        <v>54314.03515625</v>
      </c>
      <c r="Q1581" s="34">
        <v>65915.90625</v>
      </c>
      <c r="R1581" s="34">
        <v>39713.83984375</v>
      </c>
      <c r="S1581" s="29"/>
      <c r="T1581" s="33"/>
      <c r="U1581" s="35" t="b">
        <v>1</v>
      </c>
      <c r="V1581" s="35" t="b">
        <v>1</v>
      </c>
      <c r="W1581" s="35" t="b">
        <v>0</v>
      </c>
      <c r="Y1581" s="31">
        <f>IF(LEFT(_xll.BDP($C1581, VOLUME_AVG_10D), 4) = "#N/A", "",  _xll.BDP($C1581, VOLUME_AVG_10D))</f>
        <v>52364.6015625</v>
      </c>
      <c r="Z1581" s="31">
        <f>IF(LEFT(_xll.BDP($C1581, VOLUME_AVG_30D), 4) = "#N/A", "",  _xll.BDP($C1581, VOLUME_AVG_30D))</f>
        <v>54314.03515625</v>
      </c>
      <c r="AA1581" s="31">
        <f>IF(LEFT(_xll.BDP($C1581, VOLUME_AVG_3M), 4) = "#N/A", "",  _xll.BDP($C1581, VOLUME_AVG_3M))</f>
        <v>65915.90625</v>
      </c>
      <c r="AB1581" s="31">
        <f>IF(LEFT(_xll.BDP($C1581, VOLUME_AVG_6M), 4) = "#N/A", "",  _xll.BDP($C1581, VOLUME_AVG_6M))</f>
        <v>39713.83984375</v>
      </c>
      <c r="AC1581" s="31">
        <f>IF(LEFT(_xll.BDP($C1581, VOLUME_AVG_12M), 4) = "#N/A", "",  _xll.BDP($C1581, VOLUME_AVG_12M))</f>
        <v>34857.5625</v>
      </c>
      <c r="AD1581" s="41" cm="1">
        <f t="array" ref="AD1581">IF(LEFT(_xll.BDP($C1581, LAST_PRICE), 4) = "#N/A", "",  _xll.BDP($C1581, LAST_PRICE))</f>
        <v>1E-4</v>
      </c>
    </row>
    <row r="1582" spans="1:30" x14ac:dyDescent="0.35">
      <c r="A1582" s="1">
        <f t="shared" si="24"/>
        <v>1579</v>
      </c>
      <c r="B1582" s="28">
        <v>45700</v>
      </c>
      <c r="C1582" s="29" t="s">
        <v>3206</v>
      </c>
      <c r="D1582" s="29" t="s">
        <v>3206</v>
      </c>
      <c r="E1582" s="29" t="s">
        <v>3207</v>
      </c>
      <c r="F1582" s="29" t="s">
        <v>33</v>
      </c>
      <c r="G1582" s="30" t="s">
        <v>34</v>
      </c>
      <c r="H1582" s="31">
        <v>67735991.710025296</v>
      </c>
      <c r="I1582" s="31">
        <v>-54007008.289974697</v>
      </c>
      <c r="J1582" s="32">
        <v>1.5199999809265099</v>
      </c>
      <c r="K1582" s="33">
        <v>45700</v>
      </c>
      <c r="L1582" s="31">
        <v>3364600</v>
      </c>
      <c r="M1582" s="32">
        <v>3.88</v>
      </c>
      <c r="N1582" s="31" t="s">
        <v>35</v>
      </c>
      <c r="O1582" s="33">
        <v>45699</v>
      </c>
      <c r="P1582" s="34">
        <v>300438.1875</v>
      </c>
      <c r="Q1582" s="34">
        <v>370571.59375</v>
      </c>
      <c r="R1582" s="34">
        <v>495163.53125</v>
      </c>
      <c r="S1582" s="29"/>
      <c r="T1582" s="33"/>
      <c r="U1582" s="35" t="b">
        <v>0</v>
      </c>
      <c r="V1582" s="35" t="b">
        <v>0</v>
      </c>
      <c r="W1582" s="35" t="b">
        <v>1</v>
      </c>
      <c r="Y1582" s="31">
        <f>IF(LEFT(_xll.BDP($C1582, VOLUME_AVG_10D), 4) = "#N/A", "",  _xll.BDP($C1582, VOLUME_AVG_10D))</f>
        <v>302989.90625</v>
      </c>
      <c r="Z1582" s="31" cm="1">
        <f t="array" ref="Z1582">IF(LEFT(_xll.BDP($C1582, VOLUME_AVG_30D), 4) = "#N/A", "",  _xll.BDP($C1582, VOLUME_AVG_30D))</f>
        <v>300438.1875</v>
      </c>
      <c r="AA1582" s="31">
        <f>IF(LEFT(_xll.BDP($C1582, VOLUME_AVG_3M), 4) = "#N/A", "",  _xll.BDP($C1582, VOLUME_AVG_3M))</f>
        <v>370571.59375</v>
      </c>
      <c r="AB1582" s="31">
        <f>IF(LEFT(_xll.BDP($C1582, VOLUME_AVG_6M), 4) = "#N/A", "",  _xll.BDP($C1582, VOLUME_AVG_6M))</f>
        <v>495163.53125</v>
      </c>
      <c r="AC1582" s="31">
        <f>IF(LEFT(_xll.BDP($C1582, VOLUME_AVG_12M), 4) = "#N/A", "",  _xll.BDP($C1582, VOLUME_AVG_12M))</f>
        <v>377699.15625</v>
      </c>
      <c r="AD1582" s="41" cm="1">
        <f t="array" ref="AD1582">IF(LEFT(_xll.BDP($C1582, LAST_PRICE), 4) = "#N/A", "",  _xll.BDP($C1582, LAST_PRICE))</f>
        <v>1.52</v>
      </c>
    </row>
    <row r="1583" spans="1:30" x14ac:dyDescent="0.35">
      <c r="A1583" s="1">
        <f t="shared" si="24"/>
        <v>1580</v>
      </c>
      <c r="B1583" s="28">
        <v>45700</v>
      </c>
      <c r="C1583" s="29" t="s">
        <v>3208</v>
      </c>
      <c r="D1583" s="29" t="s">
        <v>3208</v>
      </c>
      <c r="E1583" s="29" t="s">
        <v>3209</v>
      </c>
      <c r="F1583" s="29" t="s">
        <v>40</v>
      </c>
      <c r="G1583" s="30" t="s">
        <v>41</v>
      </c>
      <c r="H1583" s="31"/>
      <c r="I1583" s="31"/>
      <c r="J1583" s="32"/>
      <c r="K1583" s="33">
        <v>45700</v>
      </c>
      <c r="L1583" s="31"/>
      <c r="M1583" s="32"/>
      <c r="N1583" s="31"/>
      <c r="O1583" s="33">
        <v>45699</v>
      </c>
      <c r="P1583" s="34"/>
      <c r="Q1583" s="34"/>
      <c r="R1583" s="34"/>
      <c r="S1583" s="29"/>
      <c r="T1583" s="33"/>
      <c r="U1583" s="35" t="b">
        <v>1</v>
      </c>
      <c r="V1583" s="35" t="b">
        <v>1</v>
      </c>
      <c r="W1583" s="35" t="b">
        <v>1</v>
      </c>
      <c r="Y1583" s="31" t="str" cm="1">
        <f t="array" ref="Y1583">IF(LEFT(_xll.BDP($C1583, VOLUME_AVG_10D), 4) = "#N/A", "",  _xll.BDP($C1583, VOLUME_AVG_10D))</f>
        <v/>
      </c>
      <c r="Z1583" s="31" t="str" cm="1">
        <f t="array" ref="Z1583">IF(LEFT(_xll.BDP($C1583, VOLUME_AVG_30D), 4) = "#N/A", "",  _xll.BDP($C1583, VOLUME_AVG_30D))</f>
        <v/>
      </c>
      <c r="AA1583" s="31" t="str">
        <f>IF(LEFT(_xll.BDP($C1583, VOLUME_AVG_3M), 4) = "#N/A", "",  _xll.BDP($C1583, VOLUME_AVG_3M))</f>
        <v/>
      </c>
      <c r="AB1583" s="31" t="str">
        <f>IF(LEFT(_xll.BDP($C1583, VOLUME_AVG_6M), 4) = "#N/A", "",  _xll.BDP($C1583, VOLUME_AVG_6M))</f>
        <v/>
      </c>
      <c r="AC1583" s="31" t="str">
        <f>IF(LEFT(_xll.BDP($C1583, VOLUME_AVG_12M), 4) = "#N/A", "",  _xll.BDP($C1583, VOLUME_AVG_12M))</f>
        <v/>
      </c>
      <c r="AD1583" s="41" t="str" cm="1">
        <f t="array" ref="AD1583">IF(LEFT(_xll.BDP($C1583, LAST_PRICE), 4) = "#N/A", "",  _xll.BDP($C1583, LAST_PRICE))</f>
        <v/>
      </c>
    </row>
    <row r="1584" spans="1:30" x14ac:dyDescent="0.35">
      <c r="A1584" s="1">
        <f t="shared" si="24"/>
        <v>1581</v>
      </c>
      <c r="B1584" s="28">
        <v>45700</v>
      </c>
      <c r="C1584" s="29" t="s">
        <v>3210</v>
      </c>
      <c r="D1584" s="29" t="s">
        <v>3210</v>
      </c>
      <c r="E1584" s="29" t="s">
        <v>3211</v>
      </c>
      <c r="F1584" s="29" t="s">
        <v>33</v>
      </c>
      <c r="G1584" s="30" t="s">
        <v>34</v>
      </c>
      <c r="H1584" s="31">
        <v>23340274547.313801</v>
      </c>
      <c r="I1584" s="31">
        <v>23154174547.313801</v>
      </c>
      <c r="J1584" s="32">
        <v>322.27999877929699</v>
      </c>
      <c r="K1584" s="33">
        <v>45700</v>
      </c>
      <c r="L1584" s="31">
        <v>21910000</v>
      </c>
      <c r="M1584" s="32">
        <v>3.88</v>
      </c>
      <c r="N1584" s="31" t="s">
        <v>35</v>
      </c>
      <c r="O1584" s="33">
        <v>45699</v>
      </c>
      <c r="P1584" s="34">
        <v>438785.46875</v>
      </c>
      <c r="Q1584" s="34">
        <v>491880.875</v>
      </c>
      <c r="R1584" s="34">
        <v>521476.4375</v>
      </c>
      <c r="S1584" s="29" t="s">
        <v>3037</v>
      </c>
      <c r="T1584" s="33">
        <v>45215</v>
      </c>
      <c r="U1584" s="35" t="b">
        <v>0</v>
      </c>
      <c r="V1584" s="35" t="b">
        <v>0</v>
      </c>
      <c r="W1584" s="35" t="b">
        <v>0</v>
      </c>
      <c r="Y1584" s="31">
        <f>IF(LEFT(_xll.BDP($C1584, VOLUME_AVG_10D), 4) = "#N/A", "",  _xll.BDP($C1584, VOLUME_AVG_10D))</f>
        <v>470224.3125</v>
      </c>
      <c r="Z1584" s="31">
        <f>IF(LEFT(_xll.BDP($C1584, VOLUME_AVG_30D), 4) = "#N/A", "",  _xll.BDP($C1584, VOLUME_AVG_30D))</f>
        <v>438785.46875</v>
      </c>
      <c r="AA1584" s="31">
        <f>IF(LEFT(_xll.BDP($C1584, VOLUME_AVG_3M), 4) = "#N/A", "",  _xll.BDP($C1584, VOLUME_AVG_3M))</f>
        <v>491880.875</v>
      </c>
      <c r="AB1584" s="31">
        <f>IF(LEFT(_xll.BDP($C1584, VOLUME_AVG_6M), 4) = "#N/A", "",  _xll.BDP($C1584, VOLUME_AVG_6M))</f>
        <v>521476.4375</v>
      </c>
      <c r="AC1584" s="31">
        <f>IF(LEFT(_xll.BDP($C1584, VOLUME_AVG_12M), 4) = "#N/A", "",  _xll.BDP($C1584, VOLUME_AVG_12M))</f>
        <v>561174.6875</v>
      </c>
      <c r="AD1584" s="41" cm="1">
        <f t="array" ref="AD1584">IF(LEFT(_xll.BDP($C1584, LAST_PRICE), 4) = "#N/A", "",  _xll.BDP($C1584, LAST_PRICE))</f>
        <v>322.27999999999997</v>
      </c>
    </row>
    <row r="1585" spans="1:30" x14ac:dyDescent="0.35">
      <c r="A1585" s="1">
        <f t="shared" si="24"/>
        <v>1582</v>
      </c>
      <c r="B1585" s="28">
        <v>45700</v>
      </c>
      <c r="C1585" s="29" t="s">
        <v>3212</v>
      </c>
      <c r="D1585" s="29" t="s">
        <v>3212</v>
      </c>
      <c r="E1585" s="29" t="s">
        <v>3213</v>
      </c>
      <c r="F1585" s="29" t="s">
        <v>40</v>
      </c>
      <c r="G1585" s="30" t="s">
        <v>41</v>
      </c>
      <c r="H1585" s="31">
        <v>3621163.6289595398</v>
      </c>
      <c r="I1585" s="31">
        <v>3817163.6289595398</v>
      </c>
      <c r="J1585" s="32">
        <v>2.5000000372528999E-2</v>
      </c>
      <c r="K1585" s="33">
        <v>45700</v>
      </c>
      <c r="L1585" s="31">
        <v>554800</v>
      </c>
      <c r="M1585" s="32">
        <v>-0.35</v>
      </c>
      <c r="N1585" s="31" t="s">
        <v>35</v>
      </c>
      <c r="O1585" s="33">
        <v>45699</v>
      </c>
      <c r="P1585" s="34">
        <v>797826.4</v>
      </c>
      <c r="Q1585" s="34">
        <v>563322.1</v>
      </c>
      <c r="R1585" s="34">
        <v>346853.6</v>
      </c>
      <c r="S1585" s="29"/>
      <c r="T1585" s="33"/>
      <c r="U1585" s="35" t="b">
        <v>1</v>
      </c>
      <c r="V1585" s="35" t="b">
        <v>1</v>
      </c>
      <c r="W1585" s="35" t="b">
        <v>0</v>
      </c>
      <c r="Y1585" s="31">
        <f>IF(LEFT(_xll.BDP($C1585, VOLUME_AVG_10D), 4) = "#N/A", "",  _xll.BDP($C1585, VOLUME_AVG_10D))</f>
        <v>667374.19999999995</v>
      </c>
      <c r="Z1585" s="31">
        <f>IF(LEFT(_xll.BDP($C1585, VOLUME_AVG_30D), 4) = "#N/A", "",  _xll.BDP($C1585, VOLUME_AVG_30D))</f>
        <v>797826.4</v>
      </c>
      <c r="AA1585" s="31">
        <f>IF(LEFT(_xll.BDP($C1585, VOLUME_AVG_3M), 4) = "#N/A", "",  _xll.BDP($C1585, VOLUME_AVG_3M))</f>
        <v>563322.1</v>
      </c>
      <c r="AB1585" s="31">
        <f>IF(LEFT(_xll.BDP($C1585, VOLUME_AVG_6M), 4) = "#N/A", "",  _xll.BDP($C1585, VOLUME_AVG_6M))</f>
        <v>346853.6</v>
      </c>
      <c r="AC1585" s="31">
        <f>IF(LEFT(_xll.BDP($C1585, VOLUME_AVG_12M), 4) = "#N/A", "",  _xll.BDP($C1585, VOLUME_AVG_12M))</f>
        <v>232239.5</v>
      </c>
      <c r="AD1585" s="41" cm="1">
        <f t="array" ref="AD1585">IF(LEFT(_xll.BDP($C1585, LAST_PRICE), 4) = "#N/A", "",  _xll.BDP($C1585, LAST_PRICE))</f>
        <v>2.5000000000000001E-2</v>
      </c>
    </row>
    <row r="1586" spans="1:30" x14ac:dyDescent="0.35">
      <c r="A1586" s="1">
        <f t="shared" si="24"/>
        <v>1583</v>
      </c>
      <c r="B1586" s="28">
        <v>45700</v>
      </c>
      <c r="C1586" s="29" t="s">
        <v>3214</v>
      </c>
      <c r="D1586" s="29" t="s">
        <v>3214</v>
      </c>
      <c r="E1586" s="29" t="s">
        <v>3215</v>
      </c>
      <c r="F1586" s="29" t="s">
        <v>33</v>
      </c>
      <c r="G1586" s="30" t="s">
        <v>34</v>
      </c>
      <c r="H1586" s="31">
        <v>1879405.68125999</v>
      </c>
      <c r="I1586" s="31">
        <v>3734405.6812599902</v>
      </c>
      <c r="J1586" s="32">
        <v>0.17010000348091101</v>
      </c>
      <c r="K1586" s="33">
        <v>45700</v>
      </c>
      <c r="L1586" s="31">
        <v>1126600</v>
      </c>
      <c r="M1586" s="32">
        <v>-4.95</v>
      </c>
      <c r="N1586" s="31" t="s">
        <v>35</v>
      </c>
      <c r="O1586" s="33">
        <v>45699</v>
      </c>
      <c r="P1586" s="34">
        <v>8738515</v>
      </c>
      <c r="Q1586" s="34">
        <v>4699276.5</v>
      </c>
      <c r="R1586" s="34">
        <v>3166662.75</v>
      </c>
      <c r="S1586" s="29"/>
      <c r="T1586" s="33"/>
      <c r="U1586" s="35" t="b">
        <v>1</v>
      </c>
      <c r="V1586" s="35" t="b">
        <v>0</v>
      </c>
      <c r="W1586" s="35" t="b">
        <v>0</v>
      </c>
      <c r="Y1586" s="31">
        <f>IF(LEFT(_xll.BDP($C1586, VOLUME_AVG_10D), 4) = "#N/A", "",  _xll.BDP($C1586, VOLUME_AVG_10D))</f>
        <v>10839174</v>
      </c>
      <c r="Z1586" s="31">
        <f>IF(LEFT(_xll.BDP($C1586, VOLUME_AVG_30D), 4) = "#N/A", "",  _xll.BDP($C1586, VOLUME_AVG_30D))</f>
        <v>8738515</v>
      </c>
      <c r="AA1586" s="31">
        <f>IF(LEFT(_xll.BDP($C1586, VOLUME_AVG_3M), 4) = "#N/A", "",  _xll.BDP($C1586, VOLUME_AVG_3M))</f>
        <v>4699276.5</v>
      </c>
      <c r="AB1586" s="31">
        <f>IF(LEFT(_xll.BDP($C1586, VOLUME_AVG_6M), 4) = "#N/A", "",  _xll.BDP($C1586, VOLUME_AVG_6M))</f>
        <v>3166662.75</v>
      </c>
      <c r="AC1586" s="31">
        <f>IF(LEFT(_xll.BDP($C1586, VOLUME_AVG_12M), 4) = "#N/A", "",  _xll.BDP($C1586, VOLUME_AVG_12M))</f>
        <v>1827450.625</v>
      </c>
      <c r="AD1586" s="41" cm="1">
        <f t="array" ref="AD1586">IF(LEFT(_xll.BDP($C1586, LAST_PRICE), 4) = "#N/A", "",  _xll.BDP($C1586, LAST_PRICE))</f>
        <v>0.1701</v>
      </c>
    </row>
    <row r="1587" spans="1:30" x14ac:dyDescent="0.35">
      <c r="A1587" s="1">
        <f t="shared" si="24"/>
        <v>1584</v>
      </c>
      <c r="B1587" s="28">
        <v>45700</v>
      </c>
      <c r="C1587" s="29" t="s">
        <v>3216</v>
      </c>
      <c r="D1587" s="29" t="s">
        <v>3216</v>
      </c>
      <c r="E1587" s="29" t="s">
        <v>3217</v>
      </c>
      <c r="F1587" s="29" t="s">
        <v>33</v>
      </c>
      <c r="G1587" s="30" t="s">
        <v>34</v>
      </c>
      <c r="H1587" s="31"/>
      <c r="I1587" s="31"/>
      <c r="J1587" s="32"/>
      <c r="K1587" s="33">
        <v>45700</v>
      </c>
      <c r="L1587" s="31"/>
      <c r="M1587" s="32"/>
      <c r="N1587" s="31"/>
      <c r="O1587" s="33">
        <v>45699</v>
      </c>
      <c r="P1587" s="34"/>
      <c r="Q1587" s="34"/>
      <c r="R1587" s="34"/>
      <c r="S1587" s="29"/>
      <c r="T1587" s="33"/>
      <c r="U1587" s="35" t="b">
        <v>1</v>
      </c>
      <c r="V1587" s="35" t="b">
        <v>1</v>
      </c>
      <c r="W1587" s="35" t="b">
        <v>1</v>
      </c>
      <c r="Y1587" s="31" t="str">
        <f>IF(LEFT(_xll.BDP($C1587, VOLUME_AVG_10D), 4) = "#N/A", "",  _xll.BDP($C1587, VOLUME_AVG_10D))</f>
        <v/>
      </c>
      <c r="Z1587" s="31" t="str">
        <f>IF(LEFT(_xll.BDP($C1587, VOLUME_AVG_30D), 4) = "#N/A", "",  _xll.BDP($C1587, VOLUME_AVG_30D))</f>
        <v/>
      </c>
      <c r="AA1587" s="31" t="str">
        <f>IF(LEFT(_xll.BDP($C1587, VOLUME_AVG_3M), 4) = "#N/A", "",  _xll.BDP($C1587, VOLUME_AVG_3M))</f>
        <v/>
      </c>
      <c r="AB1587" s="31" t="str">
        <f>IF(LEFT(_xll.BDP($C1587, VOLUME_AVG_6M), 4) = "#N/A", "",  _xll.BDP($C1587, VOLUME_AVG_6M))</f>
        <v/>
      </c>
      <c r="AC1587" s="31" t="str">
        <f>IF(LEFT(_xll.BDP($C1587, VOLUME_AVG_12M), 4) = "#N/A", "",  _xll.BDP($C1587, VOLUME_AVG_12M))</f>
        <v/>
      </c>
      <c r="AD1587" s="41" t="str" cm="1">
        <f t="array" ref="AD1587">IF(LEFT(_xll.BDP($C1587, LAST_PRICE), 4) = "#N/A", "",  _xll.BDP($C1587, LAST_PRICE))</f>
        <v/>
      </c>
    </row>
    <row r="1588" spans="1:30" x14ac:dyDescent="0.35">
      <c r="A1588" s="1">
        <f t="shared" si="24"/>
        <v>1585</v>
      </c>
      <c r="B1588" s="28">
        <v>45700</v>
      </c>
      <c r="C1588" s="29" t="s">
        <v>3218</v>
      </c>
      <c r="D1588" s="29" t="s">
        <v>3218</v>
      </c>
      <c r="E1588" s="29" t="s">
        <v>3219</v>
      </c>
      <c r="F1588" s="29" t="s">
        <v>33</v>
      </c>
      <c r="G1588" s="30" t="s">
        <v>34</v>
      </c>
      <c r="H1588" s="31">
        <v>179.30240000000001</v>
      </c>
      <c r="I1588" s="31">
        <v>-394070.697495692</v>
      </c>
      <c r="J1588" s="32">
        <v>5.1200000000000002E-2</v>
      </c>
      <c r="K1588" s="33">
        <v>45700</v>
      </c>
      <c r="L1588" s="31"/>
      <c r="M1588" s="32"/>
      <c r="N1588" s="31"/>
      <c r="O1588" s="33">
        <v>45699</v>
      </c>
      <c r="P1588" s="34">
        <v>72.5</v>
      </c>
      <c r="Q1588" s="34">
        <v>59.596775054931598</v>
      </c>
      <c r="R1588" s="34">
        <v>61.436508178710902</v>
      </c>
      <c r="S1588" s="29"/>
      <c r="T1588" s="33"/>
      <c r="U1588" s="35" t="b">
        <v>1</v>
      </c>
      <c r="V1588" s="35" t="b">
        <v>1</v>
      </c>
      <c r="W1588" s="35" t="b">
        <v>1</v>
      </c>
      <c r="Y1588" s="31">
        <f>IF(LEFT(_xll.BDP($C1588, VOLUME_AVG_10D), 4) = "#N/A", "",  _xll.BDP($C1588, VOLUME_AVG_10D))</f>
        <v>186.69999694824219</v>
      </c>
      <c r="Z1588" s="31">
        <f>IF(LEFT(_xll.BDP($C1588, VOLUME_AVG_30D), 4) = "#N/A", "",  _xll.BDP($C1588, VOLUME_AVG_30D))</f>
        <v>72.5</v>
      </c>
      <c r="AA1588" s="31">
        <f>IF(LEFT(_xll.BDP($C1588, VOLUME_AVG_3M), 4) = "#N/A", "",  _xll.BDP($C1588, VOLUME_AVG_3M))</f>
        <v>59.596775054931641</v>
      </c>
      <c r="AB1588" s="31">
        <f>IF(LEFT(_xll.BDP($C1588, VOLUME_AVG_6M), 4) = "#N/A", "",  _xll.BDP($C1588, VOLUME_AVG_6M))</f>
        <v>61.436508178710938</v>
      </c>
      <c r="AC1588" s="31">
        <f>IF(LEFT(_xll.BDP($C1588, VOLUME_AVG_12M), 4) = "#N/A", "",  _xll.BDP($C1588, VOLUME_AVG_12M))</f>
        <v>34.988048553466797</v>
      </c>
      <c r="AD1588" s="41" cm="1">
        <f t="array" ref="AD1588">IF(LEFT(_xll.BDP($C1588, LAST_PRICE), 4) = "#N/A", "",  _xll.BDP($C1588, LAST_PRICE))</f>
        <v>5.1200000000000002E-2</v>
      </c>
    </row>
    <row r="1589" spans="1:30" x14ac:dyDescent="0.35">
      <c r="A1589" s="1">
        <f t="shared" si="24"/>
        <v>1586</v>
      </c>
      <c r="B1589" s="28">
        <v>45700</v>
      </c>
      <c r="C1589" s="29" t="s">
        <v>3220</v>
      </c>
      <c r="D1589" s="29" t="s">
        <v>3220</v>
      </c>
      <c r="E1589" s="29" t="s">
        <v>3221</v>
      </c>
      <c r="F1589" s="29" t="s">
        <v>33</v>
      </c>
      <c r="G1589" s="30" t="s">
        <v>34</v>
      </c>
      <c r="H1589" s="31">
        <v>35312500.753276803</v>
      </c>
      <c r="I1589" s="31">
        <v>41832799.753276803</v>
      </c>
      <c r="J1589" s="32">
        <v>2.4200000762939502</v>
      </c>
      <c r="K1589" s="33">
        <v>45700</v>
      </c>
      <c r="L1589" s="31"/>
      <c r="M1589" s="32"/>
      <c r="N1589" s="31"/>
      <c r="O1589" s="33">
        <v>45699</v>
      </c>
      <c r="P1589" s="34">
        <v>178335.703125</v>
      </c>
      <c r="Q1589" s="34">
        <v>168864.8125</v>
      </c>
      <c r="R1589" s="34"/>
      <c r="S1589" s="29"/>
      <c r="T1589" s="33"/>
      <c r="U1589" s="35" t="b">
        <v>0</v>
      </c>
      <c r="V1589" s="35" t="b">
        <v>0</v>
      </c>
      <c r="W1589" s="35" t="b">
        <v>0</v>
      </c>
      <c r="Y1589" s="31" cm="1">
        <f t="array" ref="Y1589">IF(LEFT(_xll.BDP($C1589, VOLUME_AVG_10D), 4) = "#N/A", "",  _xll.BDP($C1589, VOLUME_AVG_10D))</f>
        <v>29202.400390625</v>
      </c>
      <c r="Z1589" s="31" cm="1">
        <f t="array" ref="Z1589">IF(LEFT(_xll.BDP($C1589, VOLUME_AVG_30D), 4) = "#N/A", "",  _xll.BDP($C1589, VOLUME_AVG_30D))</f>
        <v>178335.703125</v>
      </c>
      <c r="AA1589" s="31">
        <f>IF(LEFT(_xll.BDP($C1589, VOLUME_AVG_3M), 4) = "#N/A", "",  _xll.BDP($C1589, VOLUME_AVG_3M))</f>
        <v>168864.8125</v>
      </c>
      <c r="AB1589" s="31" t="str">
        <f>IF(LEFT(_xll.BDP($C1589, VOLUME_AVG_6M), 4) = "#N/A", "",  _xll.BDP($C1589, VOLUME_AVG_6M))</f>
        <v/>
      </c>
      <c r="AC1589" s="31" t="str">
        <f>IF(LEFT(_xll.BDP($C1589, VOLUME_AVG_12M), 4) = "#N/A", "",  _xll.BDP($C1589, VOLUME_AVG_12M))</f>
        <v/>
      </c>
      <c r="AD1589" s="41" cm="1">
        <f t="array" ref="AD1589">IF(LEFT(_xll.BDP($C1589, LAST_PRICE), 4) = "#N/A", "",  _xll.BDP($C1589, LAST_PRICE))</f>
        <v>2.42</v>
      </c>
    </row>
    <row r="1590" spans="1:30" x14ac:dyDescent="0.35">
      <c r="A1590" s="1">
        <f t="shared" si="24"/>
        <v>1587</v>
      </c>
      <c r="B1590" s="28">
        <v>45700</v>
      </c>
      <c r="C1590" s="29" t="s">
        <v>3222</v>
      </c>
      <c r="D1590" s="29" t="s">
        <v>3222</v>
      </c>
      <c r="E1590" s="29" t="s">
        <v>3223</v>
      </c>
      <c r="F1590" s="29" t="s">
        <v>33</v>
      </c>
      <c r="G1590" s="30" t="s">
        <v>34</v>
      </c>
      <c r="H1590" s="31"/>
      <c r="I1590" s="31"/>
      <c r="J1590" s="32"/>
      <c r="K1590" s="33">
        <v>45700</v>
      </c>
      <c r="L1590" s="31"/>
      <c r="M1590" s="32"/>
      <c r="N1590" s="31"/>
      <c r="O1590" s="33">
        <v>45699</v>
      </c>
      <c r="P1590" s="34"/>
      <c r="Q1590" s="34"/>
      <c r="R1590" s="34"/>
      <c r="S1590" s="29"/>
      <c r="T1590" s="33"/>
      <c r="U1590" s="35" t="b">
        <v>1</v>
      </c>
      <c r="V1590" s="35" t="b">
        <v>1</v>
      </c>
      <c r="W1590" s="35" t="b">
        <v>1</v>
      </c>
      <c r="Y1590" s="31" t="str">
        <f>IF(LEFT(_xll.BDP($C1590, VOLUME_AVG_10D), 4) = "#N/A", "",  _xll.BDP($C1590, VOLUME_AVG_10D))</f>
        <v/>
      </c>
      <c r="Z1590" s="31" t="str">
        <f>IF(LEFT(_xll.BDP($C1590, VOLUME_AVG_30D), 4) = "#N/A", "",  _xll.BDP($C1590, VOLUME_AVG_30D))</f>
        <v/>
      </c>
      <c r="AA1590" s="31" t="str">
        <f>IF(LEFT(_xll.BDP($C1590, VOLUME_AVG_3M), 4) = "#N/A", "",  _xll.BDP($C1590, VOLUME_AVG_3M))</f>
        <v/>
      </c>
      <c r="AB1590" s="31" t="str">
        <f>IF(LEFT(_xll.BDP($C1590, VOLUME_AVG_6M), 4) = "#N/A", "",  _xll.BDP($C1590, VOLUME_AVG_6M))</f>
        <v/>
      </c>
      <c r="AC1590" s="31" t="str">
        <f>IF(LEFT(_xll.BDP($C1590, VOLUME_AVG_12M), 4) = "#N/A", "",  _xll.BDP($C1590, VOLUME_AVG_12M))</f>
        <v/>
      </c>
      <c r="AD1590" s="41" t="str" cm="1">
        <f t="array" ref="AD1590">IF(LEFT(_xll.BDP($C1590, LAST_PRICE), 4) = "#N/A", "",  _xll.BDP($C1590, LAST_PRICE))</f>
        <v/>
      </c>
    </row>
    <row r="1591" spans="1:30" x14ac:dyDescent="0.35">
      <c r="A1591" s="1">
        <f t="shared" si="24"/>
        <v>1588</v>
      </c>
      <c r="B1591" s="28">
        <v>45700</v>
      </c>
      <c r="C1591" s="29" t="s">
        <v>3224</v>
      </c>
      <c r="D1591" s="29" t="s">
        <v>3224</v>
      </c>
      <c r="E1591" s="29" t="s">
        <v>3225</v>
      </c>
      <c r="F1591" s="29" t="s">
        <v>33</v>
      </c>
      <c r="G1591" s="30" t="s">
        <v>34</v>
      </c>
      <c r="H1591" s="31">
        <v>81981685.298068404</v>
      </c>
      <c r="I1591" s="31">
        <v>25207685.2980684</v>
      </c>
      <c r="J1591" s="32">
        <v>0.48069998621940602</v>
      </c>
      <c r="K1591" s="33">
        <v>45700</v>
      </c>
      <c r="L1591" s="31">
        <v>6834000</v>
      </c>
      <c r="M1591" s="32">
        <v>3.2</v>
      </c>
      <c r="N1591" s="31" t="s">
        <v>35</v>
      </c>
      <c r="O1591" s="33">
        <v>45699</v>
      </c>
      <c r="P1591" s="34">
        <v>5710218.5</v>
      </c>
      <c r="Q1591" s="34">
        <v>5491702</v>
      </c>
      <c r="R1591" s="34">
        <v>3245973</v>
      </c>
      <c r="S1591" s="29" t="s">
        <v>177</v>
      </c>
      <c r="T1591" s="33">
        <v>45446</v>
      </c>
      <c r="U1591" s="35" t="b">
        <v>0</v>
      </c>
      <c r="V1591" s="35" t="b">
        <v>0</v>
      </c>
      <c r="W1591" s="35" t="b">
        <v>0</v>
      </c>
      <c r="Y1591" s="31">
        <f>IF(LEFT(_xll.BDP($C1591, VOLUME_AVG_10D), 4) = "#N/A", "",  _xll.BDP($C1591, VOLUME_AVG_10D))</f>
        <v>12020296</v>
      </c>
      <c r="Z1591" s="31">
        <f>IF(LEFT(_xll.BDP($C1591, VOLUME_AVG_30D), 4) = "#N/A", "",  _xll.BDP($C1591, VOLUME_AVG_30D))</f>
        <v>5710218.5</v>
      </c>
      <c r="AA1591" s="31">
        <f>IF(LEFT(_xll.BDP($C1591, VOLUME_AVG_3M), 4) = "#N/A", "",  _xll.BDP($C1591, VOLUME_AVG_3M))</f>
        <v>5491702</v>
      </c>
      <c r="AB1591" s="31">
        <f>IF(LEFT(_xll.BDP($C1591, VOLUME_AVG_6M), 4) = "#N/A", "",  _xll.BDP($C1591, VOLUME_AVG_6M))</f>
        <v>3245973</v>
      </c>
      <c r="AC1591" s="31">
        <f>IF(LEFT(_xll.BDP($C1591, VOLUME_AVG_12M), 4) = "#N/A", "",  _xll.BDP($C1591, VOLUME_AVG_12M))</f>
        <v>2991347.5</v>
      </c>
      <c r="AD1591" s="41" cm="1">
        <f t="array" ref="AD1591">IF(LEFT(_xll.BDP($C1591, LAST_PRICE), 4) = "#N/A", "",  _xll.BDP($C1591, LAST_PRICE))</f>
        <v>0.48070000000000002</v>
      </c>
    </row>
    <row r="1592" spans="1:30" x14ac:dyDescent="0.35">
      <c r="A1592" s="1">
        <f t="shared" si="24"/>
        <v>1589</v>
      </c>
      <c r="B1592" s="28">
        <v>45700</v>
      </c>
      <c r="C1592" s="29" t="s">
        <v>3226</v>
      </c>
      <c r="D1592" s="29" t="s">
        <v>3226</v>
      </c>
      <c r="E1592" s="29" t="s">
        <v>3227</v>
      </c>
      <c r="F1592" s="29" t="s">
        <v>33</v>
      </c>
      <c r="G1592" s="30" t="s">
        <v>34</v>
      </c>
      <c r="H1592" s="31">
        <v>98156809.692139402</v>
      </c>
      <c r="I1592" s="31">
        <v>-84961190.307860598</v>
      </c>
      <c r="J1592" s="32">
        <v>3.2200000286102299</v>
      </c>
      <c r="K1592" s="33">
        <v>45700</v>
      </c>
      <c r="L1592" s="31">
        <v>2163600</v>
      </c>
      <c r="M1592" s="32">
        <v>3.45</v>
      </c>
      <c r="N1592" s="31" t="s">
        <v>35</v>
      </c>
      <c r="O1592" s="33">
        <v>45699</v>
      </c>
      <c r="P1592" s="34">
        <v>61788</v>
      </c>
      <c r="Q1592" s="34">
        <v>69996</v>
      </c>
      <c r="R1592" s="34">
        <v>58703.4453125</v>
      </c>
      <c r="S1592" s="29" t="s">
        <v>46</v>
      </c>
      <c r="T1592" s="33">
        <v>45215</v>
      </c>
      <c r="U1592" s="35" t="b">
        <v>0</v>
      </c>
      <c r="V1592" s="35" t="b">
        <v>0</v>
      </c>
      <c r="W1592" s="35" t="b">
        <v>1</v>
      </c>
      <c r="Y1592" s="31">
        <f>IF(LEFT(_xll.BDP($C1592, VOLUME_AVG_10D), 4) = "#N/A", "",  _xll.BDP($C1592, VOLUME_AVG_10D))</f>
        <v>58414.5</v>
      </c>
      <c r="Z1592" s="31">
        <f>IF(LEFT(_xll.BDP($C1592, VOLUME_AVG_30D), 4) = "#N/A", "",  _xll.BDP($C1592, VOLUME_AVG_30D))</f>
        <v>61788</v>
      </c>
      <c r="AA1592" s="31">
        <f>IF(LEFT(_xll.BDP($C1592, VOLUME_AVG_3M), 4) = "#N/A", "",  _xll.BDP($C1592, VOLUME_AVG_3M))</f>
        <v>69996</v>
      </c>
      <c r="AB1592" s="31">
        <f>IF(LEFT(_xll.BDP($C1592, VOLUME_AVG_6M), 4) = "#N/A", "",  _xll.BDP($C1592, VOLUME_AVG_6M))</f>
        <v>58703.4453125</v>
      </c>
      <c r="AC1592" s="31">
        <f>IF(LEFT(_xll.BDP($C1592, VOLUME_AVG_12M), 4) = "#N/A", "",  _xll.BDP($C1592, VOLUME_AVG_12M))</f>
        <v>81877.640625</v>
      </c>
      <c r="AD1592" s="41" cm="1">
        <f t="array" ref="AD1592">IF(LEFT(_xll.BDP($C1592, LAST_PRICE), 4) = "#N/A", "",  _xll.BDP($C1592, LAST_PRICE))</f>
        <v>3.22</v>
      </c>
    </row>
    <row r="1593" spans="1:30" x14ac:dyDescent="0.35">
      <c r="A1593" s="1">
        <f t="shared" si="24"/>
        <v>1590</v>
      </c>
      <c r="B1593" s="28">
        <v>45700</v>
      </c>
      <c r="C1593" s="29" t="s">
        <v>3228</v>
      </c>
      <c r="D1593" s="29" t="s">
        <v>3228</v>
      </c>
      <c r="E1593" s="29" t="s">
        <v>3229</v>
      </c>
      <c r="F1593" s="29" t="s">
        <v>33</v>
      </c>
      <c r="G1593" s="30" t="s">
        <v>34</v>
      </c>
      <c r="H1593" s="31">
        <v>9275423.6605054997</v>
      </c>
      <c r="I1593" s="31"/>
      <c r="J1593" s="32">
        <v>2.1350000053644201E-2</v>
      </c>
      <c r="K1593" s="33">
        <v>45700</v>
      </c>
      <c r="L1593" s="31">
        <v>2947600</v>
      </c>
      <c r="M1593" s="32">
        <v>-0.9</v>
      </c>
      <c r="N1593" s="31" t="s">
        <v>35</v>
      </c>
      <c r="O1593" s="33">
        <v>45699</v>
      </c>
      <c r="P1593" s="34">
        <v>140047.96875</v>
      </c>
      <c r="Q1593" s="34">
        <v>146611.484375</v>
      </c>
      <c r="R1593" s="34">
        <v>176177.953125</v>
      </c>
      <c r="S1593" s="29"/>
      <c r="T1593" s="33"/>
      <c r="U1593" s="35" t="b">
        <v>1</v>
      </c>
      <c r="V1593" s="35" t="b">
        <v>1</v>
      </c>
      <c r="W1593" s="35" t="b">
        <v>1</v>
      </c>
      <c r="Y1593" s="31">
        <f>IF(LEFT(_xll.BDP($C1593, VOLUME_AVG_10D), 4) = "#N/A", "",  _xll.BDP($C1593, VOLUME_AVG_10D))</f>
        <v>185430.40625</v>
      </c>
      <c r="Z1593" s="31">
        <f>IF(LEFT(_xll.BDP($C1593, VOLUME_AVG_30D), 4) = "#N/A", "",  _xll.BDP($C1593, VOLUME_AVG_30D))</f>
        <v>140047.96875</v>
      </c>
      <c r="AA1593" s="31">
        <f>IF(LEFT(_xll.BDP($C1593, VOLUME_AVG_3M), 4) = "#N/A", "",  _xll.BDP($C1593, VOLUME_AVG_3M))</f>
        <v>146611.484375</v>
      </c>
      <c r="AB1593" s="31">
        <f>IF(LEFT(_xll.BDP($C1593, VOLUME_AVG_6M), 4) = "#N/A", "",  _xll.BDP($C1593, VOLUME_AVG_6M))</f>
        <v>176177.953125</v>
      </c>
      <c r="AC1593" s="31">
        <f>IF(LEFT(_xll.BDP($C1593, VOLUME_AVG_12M), 4) = "#N/A", "",  _xll.BDP($C1593, VOLUME_AVG_12M))</f>
        <v>176896.71875</v>
      </c>
      <c r="AD1593" s="41" cm="1">
        <f t="array" ref="AD1593">IF(LEFT(_xll.BDP($C1593, LAST_PRICE), 4) = "#N/A", "",  _xll.BDP($C1593, LAST_PRICE))</f>
        <v>2.1350000000000001E-2</v>
      </c>
    </row>
    <row r="1594" spans="1:30" x14ac:dyDescent="0.35">
      <c r="A1594" s="1">
        <f t="shared" si="24"/>
        <v>1591</v>
      </c>
      <c r="B1594" s="28">
        <v>45700</v>
      </c>
      <c r="C1594" s="29" t="s">
        <v>3230</v>
      </c>
      <c r="D1594" s="29" t="s">
        <v>3230</v>
      </c>
      <c r="E1594" s="29" t="s">
        <v>3231</v>
      </c>
      <c r="F1594" s="29" t="s">
        <v>33</v>
      </c>
      <c r="G1594" s="30" t="s">
        <v>34</v>
      </c>
      <c r="H1594" s="31"/>
      <c r="I1594" s="31"/>
      <c r="J1594" s="32"/>
      <c r="K1594" s="33">
        <v>45700</v>
      </c>
      <c r="L1594" s="31"/>
      <c r="M1594" s="32"/>
      <c r="N1594" s="31"/>
      <c r="O1594" s="33">
        <v>45699</v>
      </c>
      <c r="P1594" s="34"/>
      <c r="Q1594" s="34"/>
      <c r="R1594" s="34">
        <v>3103.42065429688</v>
      </c>
      <c r="S1594" s="29"/>
      <c r="T1594" s="33"/>
      <c r="U1594" s="35" t="b">
        <v>1</v>
      </c>
      <c r="V1594" s="35" t="b">
        <v>1</v>
      </c>
      <c r="W1594" s="35" t="b">
        <v>1</v>
      </c>
      <c r="Y1594" s="31">
        <f>IF(LEFT(_xll.BDP($C1594, VOLUME_AVG_10D), 4) = "#N/A", "",  _xll.BDP($C1594, VOLUME_AVG_10D))</f>
        <v>0</v>
      </c>
      <c r="Z1594" s="31">
        <f>IF(LEFT(_xll.BDP($C1594, VOLUME_AVG_30D), 4) = "#N/A", "",  _xll.BDP($C1594, VOLUME_AVG_30D))</f>
        <v>0</v>
      </c>
      <c r="AA1594" s="31">
        <f>IF(LEFT(_xll.BDP($C1594, VOLUME_AVG_3M), 4) = "#N/A", "",  _xll.BDP($C1594, VOLUME_AVG_3M))</f>
        <v>0</v>
      </c>
      <c r="AB1594" s="31">
        <f>IF(LEFT(_xll.BDP($C1594, VOLUME_AVG_6M), 4) = "#N/A", "",  _xll.BDP($C1594, VOLUME_AVG_6M))</f>
        <v>3103.420654296875</v>
      </c>
      <c r="AC1594" s="31">
        <f>IF(LEFT(_xll.BDP($C1594, VOLUME_AVG_12M), 4) = "#N/A", "",  _xll.BDP($C1594, VOLUME_AVG_12M))</f>
        <v>3677.458251953125</v>
      </c>
      <c r="AD1594" s="41" t="str" cm="1">
        <f t="array" ref="AD1594">IF(LEFT(_xll.BDP($C1594, LAST_PRICE), 4) = "#N/A", "",  _xll.BDP($C1594, LAST_PRICE))</f>
        <v/>
      </c>
    </row>
    <row r="1595" spans="1:30" x14ac:dyDescent="0.35">
      <c r="A1595" s="1">
        <f t="shared" si="24"/>
        <v>1592</v>
      </c>
      <c r="B1595" s="28">
        <v>45700</v>
      </c>
      <c r="C1595" s="29" t="s">
        <v>3232</v>
      </c>
      <c r="D1595" s="29" t="s">
        <v>3232</v>
      </c>
      <c r="E1595" s="29" t="s">
        <v>3233</v>
      </c>
      <c r="F1595" s="29" t="s">
        <v>33</v>
      </c>
      <c r="G1595" s="30" t="s">
        <v>34</v>
      </c>
      <c r="H1595" s="31">
        <v>1135108478.5471499</v>
      </c>
      <c r="I1595" s="31">
        <v>385507478.547153</v>
      </c>
      <c r="J1595" s="32">
        <v>16.219999313354499</v>
      </c>
      <c r="K1595" s="33">
        <v>45700</v>
      </c>
      <c r="L1595" s="31">
        <v>24225000</v>
      </c>
      <c r="M1595" s="32">
        <v>3.88</v>
      </c>
      <c r="N1595" s="31" t="s">
        <v>35</v>
      </c>
      <c r="O1595" s="33">
        <v>45699</v>
      </c>
      <c r="P1595" s="34">
        <v>528745.875</v>
      </c>
      <c r="Q1595" s="34">
        <v>668541.5625</v>
      </c>
      <c r="R1595" s="34">
        <v>580886.4375</v>
      </c>
      <c r="S1595" s="29" t="s">
        <v>46</v>
      </c>
      <c r="T1595" s="33">
        <v>45446</v>
      </c>
      <c r="U1595" s="35" t="b">
        <v>0</v>
      </c>
      <c r="V1595" s="35" t="b">
        <v>0</v>
      </c>
      <c r="W1595" s="35" t="b">
        <v>0</v>
      </c>
      <c r="Y1595" s="31">
        <f>IF(LEFT(_xll.BDP($C1595, VOLUME_AVG_10D), 4) = "#N/A", "",  _xll.BDP($C1595, VOLUME_AVG_10D))</f>
        <v>481748.40625</v>
      </c>
      <c r="Z1595" s="31">
        <f>IF(LEFT(_xll.BDP($C1595, VOLUME_AVG_30D), 4) = "#N/A", "",  _xll.BDP($C1595, VOLUME_AVG_30D))</f>
        <v>528745.875</v>
      </c>
      <c r="AA1595" s="31">
        <f>IF(LEFT(_xll.BDP($C1595, VOLUME_AVG_3M), 4) = "#N/A", "",  _xll.BDP($C1595, VOLUME_AVG_3M))</f>
        <v>668541.5625</v>
      </c>
      <c r="AB1595" s="31">
        <f>IF(LEFT(_xll.BDP($C1595, VOLUME_AVG_6M), 4) = "#N/A", "",  _xll.BDP($C1595, VOLUME_AVG_6M))</f>
        <v>580886.4375</v>
      </c>
      <c r="AC1595" s="31">
        <f>IF(LEFT(_xll.BDP($C1595, VOLUME_AVG_12M), 4) = "#N/A", "",  _xll.BDP($C1595, VOLUME_AVG_12M))</f>
        <v>611894.8125</v>
      </c>
      <c r="AD1595" s="41" cm="1">
        <f t="array" ref="AD1595">IF(LEFT(_xll.BDP($C1595, LAST_PRICE), 4) = "#N/A", "",  _xll.BDP($C1595, LAST_PRICE))</f>
        <v>16.22</v>
      </c>
    </row>
    <row r="1596" spans="1:30" x14ac:dyDescent="0.35">
      <c r="A1596" s="1">
        <f t="shared" si="24"/>
        <v>1593</v>
      </c>
      <c r="B1596" s="28">
        <v>45700</v>
      </c>
      <c r="C1596" s="29" t="s">
        <v>3234</v>
      </c>
      <c r="D1596" s="29" t="s">
        <v>3234</v>
      </c>
      <c r="E1596" s="29" t="s">
        <v>3235</v>
      </c>
      <c r="F1596" s="29" t="s">
        <v>33</v>
      </c>
      <c r="G1596" s="30" t="s">
        <v>34</v>
      </c>
      <c r="H1596" s="31">
        <v>6353612.5035162</v>
      </c>
      <c r="I1596" s="31">
        <v>-484143.49648380303</v>
      </c>
      <c r="J1596" s="32">
        <v>4.1199998855590803</v>
      </c>
      <c r="K1596" s="33">
        <v>45700</v>
      </c>
      <c r="L1596" s="31">
        <v>59100</v>
      </c>
      <c r="M1596" s="32">
        <v>-3.75</v>
      </c>
      <c r="N1596" s="31" t="s">
        <v>35</v>
      </c>
      <c r="O1596" s="33">
        <v>45699</v>
      </c>
      <c r="P1596" s="34">
        <v>8337.2666015625</v>
      </c>
      <c r="Q1596" s="34">
        <v>18400.662109375</v>
      </c>
      <c r="R1596" s="34">
        <v>18415.80859375</v>
      </c>
      <c r="S1596" s="29"/>
      <c r="T1596" s="33"/>
      <c r="U1596" s="35" t="b">
        <v>1</v>
      </c>
      <c r="V1596" s="35" t="b">
        <v>0</v>
      </c>
      <c r="W1596" s="35" t="b">
        <v>1</v>
      </c>
      <c r="Y1596" s="31">
        <f>IF(LEFT(_xll.BDP($C1596, VOLUME_AVG_10D), 4) = "#N/A", "",  _xll.BDP($C1596, VOLUME_AVG_10D))</f>
        <v>6541.7998046875</v>
      </c>
      <c r="Z1596" s="31">
        <f>IF(LEFT(_xll.BDP($C1596, VOLUME_AVG_30D), 4) = "#N/A", "",  _xll.BDP($C1596, VOLUME_AVG_30D))</f>
        <v>8337.2666015625</v>
      </c>
      <c r="AA1596" s="31">
        <f>IF(LEFT(_xll.BDP($C1596, VOLUME_AVG_3M), 4) = "#N/A", "",  _xll.BDP($C1596, VOLUME_AVG_3M))</f>
        <v>18400.662109375</v>
      </c>
      <c r="AB1596" s="31">
        <f>IF(LEFT(_xll.BDP($C1596, VOLUME_AVG_6M), 4) = "#N/A", "",  _xll.BDP($C1596, VOLUME_AVG_6M))</f>
        <v>18415.80859375</v>
      </c>
      <c r="AC1596" s="31">
        <f>IF(LEFT(_xll.BDP($C1596, VOLUME_AVG_12M), 4) = "#N/A", "",  _xll.BDP($C1596, VOLUME_AVG_12M))</f>
        <v>12622.78125</v>
      </c>
      <c r="AD1596" s="41" cm="1">
        <f t="array" ref="AD1596">IF(LEFT(_xll.BDP($C1596, LAST_PRICE), 4) = "#N/A", "",  _xll.BDP($C1596, LAST_PRICE))</f>
        <v>4.12</v>
      </c>
    </row>
    <row r="1597" spans="1:30" x14ac:dyDescent="0.35">
      <c r="A1597" s="1">
        <f t="shared" si="24"/>
        <v>1594</v>
      </c>
      <c r="B1597" s="28">
        <v>45700</v>
      </c>
      <c r="C1597" s="29" t="s">
        <v>3236</v>
      </c>
      <c r="D1597" s="29" t="s">
        <v>3236</v>
      </c>
      <c r="E1597" s="29" t="s">
        <v>3237</v>
      </c>
      <c r="F1597" s="29" t="s">
        <v>33</v>
      </c>
      <c r="G1597" s="30" t="s">
        <v>34</v>
      </c>
      <c r="H1597" s="31">
        <v>4036.3822</v>
      </c>
      <c r="I1597" s="31">
        <v>312389.381327237</v>
      </c>
      <c r="J1597" s="32"/>
      <c r="K1597" s="33">
        <v>45700</v>
      </c>
      <c r="L1597" s="31"/>
      <c r="M1597" s="32"/>
      <c r="N1597" s="31"/>
      <c r="O1597" s="33">
        <v>45699</v>
      </c>
      <c r="P1597" s="34"/>
      <c r="Q1597" s="34">
        <v>80.645164489746094</v>
      </c>
      <c r="R1597" s="34">
        <v>620.63494873046898</v>
      </c>
      <c r="S1597" s="29"/>
      <c r="T1597" s="33"/>
      <c r="U1597" s="35" t="b">
        <v>1</v>
      </c>
      <c r="V1597" s="35" t="b">
        <v>1</v>
      </c>
      <c r="W1597" s="35" t="b">
        <v>0</v>
      </c>
      <c r="Y1597" s="31">
        <f>IF(LEFT(_xll.BDP($C1597, VOLUME_AVG_10D), 4) = "#N/A", "",  _xll.BDP($C1597, VOLUME_AVG_10D))</f>
        <v>0</v>
      </c>
      <c r="Z1597" s="31">
        <f>IF(LEFT(_xll.BDP($C1597, VOLUME_AVG_30D), 4) = "#N/A", "",  _xll.BDP($C1597, VOLUME_AVG_30D))</f>
        <v>0</v>
      </c>
      <c r="AA1597" s="31">
        <f>IF(LEFT(_xll.BDP($C1597, VOLUME_AVG_3M), 4) = "#N/A", "",  _xll.BDP($C1597, VOLUME_AVG_3M))</f>
        <v>80.645164489746094</v>
      </c>
      <c r="AB1597" s="31">
        <f>IF(LEFT(_xll.BDP($C1597, VOLUME_AVG_6M), 4) = "#N/A", "",  _xll.BDP($C1597, VOLUME_AVG_6M))</f>
        <v>620.63494873046875</v>
      </c>
      <c r="AC1597" s="31">
        <f>IF(LEFT(_xll.BDP($C1597, VOLUME_AVG_12M), 4) = "#N/A", "",  _xll.BDP($C1597, VOLUME_AVG_12M))</f>
        <v>460.9561767578125</v>
      </c>
      <c r="AD1597" s="41" t="str" cm="1">
        <f t="array" ref="AD1597">IF(LEFT(_xll.BDP($C1597, LAST_PRICE), 4) = "#N/A", "",  _xll.BDP($C1597, LAST_PRICE))</f>
        <v/>
      </c>
    </row>
    <row r="1598" spans="1:30" x14ac:dyDescent="0.35">
      <c r="A1598" s="1">
        <f t="shared" si="24"/>
        <v>1595</v>
      </c>
      <c r="B1598" s="28">
        <v>45700</v>
      </c>
      <c r="C1598" s="29" t="s">
        <v>3238</v>
      </c>
      <c r="D1598" s="29" t="s">
        <v>3238</v>
      </c>
      <c r="E1598" s="29" t="s">
        <v>3239</v>
      </c>
      <c r="F1598" s="29" t="s">
        <v>33</v>
      </c>
      <c r="G1598" s="30" t="s">
        <v>34</v>
      </c>
      <c r="H1598" s="31">
        <v>3011464279</v>
      </c>
      <c r="I1598" s="31">
        <v>2217918279</v>
      </c>
      <c r="J1598" s="32">
        <v>39.5</v>
      </c>
      <c r="K1598" s="33">
        <v>45700</v>
      </c>
      <c r="L1598" s="31">
        <v>10622100</v>
      </c>
      <c r="M1598" s="32">
        <v>3.88</v>
      </c>
      <c r="N1598" s="31" t="s">
        <v>35</v>
      </c>
      <c r="O1598" s="33">
        <v>45699</v>
      </c>
      <c r="P1598" s="34">
        <v>409850.46875</v>
      </c>
      <c r="Q1598" s="34">
        <v>414102.5625</v>
      </c>
      <c r="R1598" s="34">
        <v>376613.28125</v>
      </c>
      <c r="S1598" s="29" t="s">
        <v>82</v>
      </c>
      <c r="T1598" s="33">
        <v>45446</v>
      </c>
      <c r="U1598" s="35" t="b">
        <v>0</v>
      </c>
      <c r="V1598" s="35" t="b">
        <v>0</v>
      </c>
      <c r="W1598" s="35" t="b">
        <v>0</v>
      </c>
      <c r="Y1598" s="31">
        <f>IF(LEFT(_xll.BDP($C1598, VOLUME_AVG_10D), 4) = "#N/A", "",  _xll.BDP($C1598, VOLUME_AVG_10D))</f>
        <v>466495.8125</v>
      </c>
      <c r="Z1598" s="31">
        <f>IF(LEFT(_xll.BDP($C1598, VOLUME_AVG_30D), 4) = "#N/A", "",  _xll.BDP($C1598, VOLUME_AVG_30D))</f>
        <v>409850.46875</v>
      </c>
      <c r="AA1598" s="31">
        <f>IF(LEFT(_xll.BDP($C1598, VOLUME_AVG_3M), 4) = "#N/A", "",  _xll.BDP($C1598, VOLUME_AVG_3M))</f>
        <v>414102.5625</v>
      </c>
      <c r="AB1598" s="31">
        <f>IF(LEFT(_xll.BDP($C1598, VOLUME_AVG_6M), 4) = "#N/A", "",  _xll.BDP($C1598, VOLUME_AVG_6M))</f>
        <v>376613.28125</v>
      </c>
      <c r="AC1598" s="31">
        <f>IF(LEFT(_xll.BDP($C1598, VOLUME_AVG_12M), 4) = "#N/A", "",  _xll.BDP($C1598, VOLUME_AVG_12M))</f>
        <v>383920.75</v>
      </c>
      <c r="AD1598" s="41" cm="1">
        <f t="array" ref="AD1598">IF(LEFT(_xll.BDP($C1598, LAST_PRICE), 4) = "#N/A", "",  _xll.BDP($C1598, LAST_PRICE))</f>
        <v>39.5</v>
      </c>
    </row>
    <row r="1599" spans="1:30" x14ac:dyDescent="0.35">
      <c r="A1599" s="1">
        <f t="shared" si="24"/>
        <v>1596</v>
      </c>
      <c r="B1599" s="28">
        <v>45700</v>
      </c>
      <c r="C1599" s="29" t="s">
        <v>3240</v>
      </c>
      <c r="D1599" s="29" t="s">
        <v>3240</v>
      </c>
      <c r="E1599" s="29" t="s">
        <v>3241</v>
      </c>
      <c r="F1599" s="29" t="s">
        <v>33</v>
      </c>
      <c r="G1599" s="30" t="s">
        <v>34</v>
      </c>
      <c r="H1599" s="31">
        <v>533711619.00598699</v>
      </c>
      <c r="I1599" s="31">
        <v>735274619.00598705</v>
      </c>
      <c r="J1599" s="32">
        <v>3.5799999237060498</v>
      </c>
      <c r="K1599" s="33">
        <v>45700</v>
      </c>
      <c r="L1599" s="31">
        <v>31740100</v>
      </c>
      <c r="M1599" s="32">
        <v>3.88</v>
      </c>
      <c r="N1599" s="31" t="s">
        <v>35</v>
      </c>
      <c r="O1599" s="33">
        <v>45699</v>
      </c>
      <c r="P1599" s="34">
        <v>1461643</v>
      </c>
      <c r="Q1599" s="34">
        <v>1576251.5</v>
      </c>
      <c r="R1599" s="34">
        <v>1576548.375</v>
      </c>
      <c r="S1599" s="29" t="s">
        <v>285</v>
      </c>
      <c r="T1599" s="33">
        <v>45446</v>
      </c>
      <c r="U1599" s="35" t="b">
        <v>0</v>
      </c>
      <c r="V1599" s="35" t="b">
        <v>0</v>
      </c>
      <c r="W1599" s="35" t="b">
        <v>0</v>
      </c>
      <c r="Y1599" s="31">
        <f>IF(LEFT(_xll.BDP($C1599, VOLUME_AVG_10D), 4) = "#N/A", "",  _xll.BDP($C1599, VOLUME_AVG_10D))</f>
        <v>1581935.25</v>
      </c>
      <c r="Z1599" s="31">
        <f>IF(LEFT(_xll.BDP($C1599, VOLUME_AVG_30D), 4) = "#N/A", "",  _xll.BDP($C1599, VOLUME_AVG_30D))</f>
        <v>1461643</v>
      </c>
      <c r="AA1599" s="31">
        <f>IF(LEFT(_xll.BDP($C1599, VOLUME_AVG_3M), 4) = "#N/A", "",  _xll.BDP($C1599, VOLUME_AVG_3M))</f>
        <v>1576251.5</v>
      </c>
      <c r="AB1599" s="31">
        <f>IF(LEFT(_xll.BDP($C1599, VOLUME_AVG_6M), 4) = "#N/A", "",  _xll.BDP($C1599, VOLUME_AVG_6M))</f>
        <v>1576548.375</v>
      </c>
      <c r="AC1599" s="31">
        <f>IF(LEFT(_xll.BDP($C1599, VOLUME_AVG_12M), 4) = "#N/A", "",  _xll.BDP($C1599, VOLUME_AVG_12M))</f>
        <v>1604676.125</v>
      </c>
      <c r="AD1599" s="41" cm="1">
        <f t="array" ref="AD1599">IF(LEFT(_xll.BDP($C1599, LAST_PRICE), 4) = "#N/A", "",  _xll.BDP($C1599, LAST_PRICE))</f>
        <v>3.58</v>
      </c>
    </row>
    <row r="1600" spans="1:30" x14ac:dyDescent="0.35">
      <c r="A1600" s="1">
        <f t="shared" si="24"/>
        <v>1597</v>
      </c>
      <c r="B1600" s="28">
        <v>45700</v>
      </c>
      <c r="C1600" s="29" t="s">
        <v>3242</v>
      </c>
      <c r="D1600" s="29" t="s">
        <v>3242</v>
      </c>
      <c r="E1600" s="29" t="s">
        <v>3243</v>
      </c>
      <c r="F1600" s="29" t="s">
        <v>33</v>
      </c>
      <c r="G1600" s="30" t="s">
        <v>34</v>
      </c>
      <c r="H1600" s="31">
        <v>65057950.358433701</v>
      </c>
      <c r="I1600" s="31">
        <v>32905950.358433701</v>
      </c>
      <c r="J1600" s="32">
        <v>1.4800000190734901</v>
      </c>
      <c r="K1600" s="33">
        <v>45700</v>
      </c>
      <c r="L1600" s="31">
        <v>1612700</v>
      </c>
      <c r="M1600" s="32">
        <v>0.25</v>
      </c>
      <c r="N1600" s="31" t="s">
        <v>35</v>
      </c>
      <c r="O1600" s="33">
        <v>45699</v>
      </c>
      <c r="P1600" s="34">
        <v>379029.84375</v>
      </c>
      <c r="Q1600" s="34">
        <v>479106.5625</v>
      </c>
      <c r="R1600" s="34">
        <v>364818.4375</v>
      </c>
      <c r="S1600" s="29"/>
      <c r="T1600" s="33"/>
      <c r="U1600" s="35" t="b">
        <v>0</v>
      </c>
      <c r="V1600" s="35" t="b">
        <v>0</v>
      </c>
      <c r="W1600" s="35" t="b">
        <v>0</v>
      </c>
      <c r="Y1600" s="31">
        <f>IF(LEFT(_xll.BDP($C1600, VOLUME_AVG_10D), 4) = "#N/A", "",  _xll.BDP($C1600, VOLUME_AVG_10D))</f>
        <v>151391.5</v>
      </c>
      <c r="Z1600" s="31">
        <f>IF(LEFT(_xll.BDP($C1600, VOLUME_AVG_30D), 4) = "#N/A", "",  _xll.BDP($C1600, VOLUME_AVG_30D))</f>
        <v>379029.84375</v>
      </c>
      <c r="AA1600" s="31">
        <f>IF(LEFT(_xll.BDP($C1600, VOLUME_AVG_3M), 4) = "#N/A", "",  _xll.BDP($C1600, VOLUME_AVG_3M))</f>
        <v>479106.5625</v>
      </c>
      <c r="AB1600" s="31">
        <f>IF(LEFT(_xll.BDP($C1600, VOLUME_AVG_6M), 4) = "#N/A", "",  _xll.BDP($C1600, VOLUME_AVG_6M))</f>
        <v>364818.4375</v>
      </c>
      <c r="AC1600" s="31">
        <f>IF(LEFT(_xll.BDP($C1600, VOLUME_AVG_12M), 4) = "#N/A", "",  _xll.BDP($C1600, VOLUME_AVG_12M))</f>
        <v>552408.625</v>
      </c>
      <c r="AD1600" s="41" cm="1">
        <f t="array" ref="AD1600">IF(LEFT(_xll.BDP($C1600, LAST_PRICE), 4) = "#N/A", "",  _xll.BDP($C1600, LAST_PRICE))</f>
        <v>1.48</v>
      </c>
    </row>
    <row r="1601" spans="1:30" x14ac:dyDescent="0.35">
      <c r="A1601" s="1">
        <f t="shared" si="24"/>
        <v>1598</v>
      </c>
      <c r="B1601" s="28">
        <v>45700</v>
      </c>
      <c r="C1601" s="29" t="s">
        <v>3244</v>
      </c>
      <c r="D1601" s="29" t="s">
        <v>3244</v>
      </c>
      <c r="E1601" s="29" t="s">
        <v>3245</v>
      </c>
      <c r="F1601" s="29" t="s">
        <v>33</v>
      </c>
      <c r="G1601" s="30" t="s">
        <v>34</v>
      </c>
      <c r="H1601" s="31">
        <v>319311797.794752</v>
      </c>
      <c r="I1601" s="31">
        <v>285642797.794752</v>
      </c>
      <c r="J1601" s="32">
        <v>27.100000381469702</v>
      </c>
      <c r="K1601" s="33">
        <v>45700</v>
      </c>
      <c r="L1601" s="31">
        <v>1058500</v>
      </c>
      <c r="M1601" s="32">
        <v>3.88</v>
      </c>
      <c r="N1601" s="31" t="s">
        <v>35</v>
      </c>
      <c r="O1601" s="33">
        <v>45699</v>
      </c>
      <c r="P1601" s="34">
        <v>49708.265625</v>
      </c>
      <c r="Q1601" s="34">
        <v>42737.35546875</v>
      </c>
      <c r="R1601" s="34">
        <v>32244.841796875</v>
      </c>
      <c r="S1601" s="29" t="s">
        <v>550</v>
      </c>
      <c r="T1601" s="33">
        <v>45215</v>
      </c>
      <c r="U1601" s="35" t="b">
        <v>0</v>
      </c>
      <c r="V1601" s="35" t="b">
        <v>0</v>
      </c>
      <c r="W1601" s="35" t="b">
        <v>0</v>
      </c>
      <c r="Y1601" s="31" cm="1">
        <f t="array" ref="Y1601">IF(LEFT(_xll.BDP($C1601, VOLUME_AVG_10D), 4) = "#N/A", "",  _xll.BDP($C1601, VOLUME_AVG_10D))</f>
        <v>25752.400390625</v>
      </c>
      <c r="Z1601" s="31" cm="1">
        <f t="array" ref="Z1601">IF(LEFT(_xll.BDP($C1601, VOLUME_AVG_30D), 4) = "#N/A", "",  _xll.BDP($C1601, VOLUME_AVG_30D))</f>
        <v>49708.265625</v>
      </c>
      <c r="AA1601" s="31">
        <f>IF(LEFT(_xll.BDP($C1601, VOLUME_AVG_3M), 4) = "#N/A", "",  _xll.BDP($C1601, VOLUME_AVG_3M))</f>
        <v>42737.35546875</v>
      </c>
      <c r="AB1601" s="31">
        <f>IF(LEFT(_xll.BDP($C1601, VOLUME_AVG_6M), 4) = "#N/A", "",  _xll.BDP($C1601, VOLUME_AVG_6M))</f>
        <v>32244.841796875</v>
      </c>
      <c r="AC1601" s="31">
        <f>IF(LEFT(_xll.BDP($C1601, VOLUME_AVG_12M), 4) = "#N/A", "",  _xll.BDP($C1601, VOLUME_AVG_12M))</f>
        <v>26139.716796875</v>
      </c>
      <c r="AD1601" s="41" cm="1">
        <f t="array" ref="AD1601">IF(LEFT(_xll.BDP($C1601, LAST_PRICE), 4) = "#N/A", "",  _xll.BDP($C1601, LAST_PRICE))</f>
        <v>27.1</v>
      </c>
    </row>
    <row r="1602" spans="1:30" x14ac:dyDescent="0.35">
      <c r="A1602" s="1">
        <f t="shared" si="24"/>
        <v>1599</v>
      </c>
      <c r="B1602" s="28">
        <v>45700</v>
      </c>
      <c r="C1602" s="29" t="s">
        <v>3246</v>
      </c>
      <c r="D1602" s="29" t="s">
        <v>3246</v>
      </c>
      <c r="E1602" s="29" t="s">
        <v>3247</v>
      </c>
      <c r="F1602" s="29" t="s">
        <v>40</v>
      </c>
      <c r="G1602" s="30" t="s">
        <v>41</v>
      </c>
      <c r="H1602" s="31">
        <v>4886837.1954898797</v>
      </c>
      <c r="I1602" s="31">
        <v>-9681.0937875011005</v>
      </c>
      <c r="J1602" s="32">
        <v>1.28999996185303</v>
      </c>
      <c r="K1602" s="33">
        <v>45700</v>
      </c>
      <c r="L1602" s="31">
        <v>102700</v>
      </c>
      <c r="M1602" s="32">
        <v>-321.25</v>
      </c>
      <c r="N1602" s="31" t="s">
        <v>35</v>
      </c>
      <c r="O1602" s="33">
        <v>45699</v>
      </c>
      <c r="P1602" s="34">
        <v>9724.634</v>
      </c>
      <c r="Q1602" s="34">
        <v>6803.1719999999996</v>
      </c>
      <c r="R1602" s="34">
        <v>15143.53</v>
      </c>
      <c r="S1602" s="29"/>
      <c r="T1602" s="33"/>
      <c r="U1602" s="35" t="b">
        <v>1</v>
      </c>
      <c r="V1602" s="35" t="b">
        <v>0</v>
      </c>
      <c r="W1602" s="35" t="b">
        <v>1</v>
      </c>
      <c r="Y1602" s="31">
        <f>IF(LEFT(_xll.BDP($C1602, VOLUME_AVG_10D), 4) = "#N/A", "",  _xll.BDP($C1602, VOLUME_AVG_10D))</f>
        <v>4550.2</v>
      </c>
      <c r="Z1602" s="31">
        <f>IF(LEFT(_xll.BDP($C1602, VOLUME_AVG_30D), 4) = "#N/A", "",  _xll.BDP($C1602, VOLUME_AVG_30D))</f>
        <v>9724.634</v>
      </c>
      <c r="AA1602" s="31">
        <f>IF(LEFT(_xll.BDP($C1602, VOLUME_AVG_3M), 4) = "#N/A", "",  _xll.BDP($C1602, VOLUME_AVG_3M))</f>
        <v>6803.1719999999996</v>
      </c>
      <c r="AB1602" s="31">
        <f>IF(LEFT(_xll.BDP($C1602, VOLUME_AVG_6M), 4) = "#N/A", "",  _xll.BDP($C1602, VOLUME_AVG_6M))</f>
        <v>15143.53</v>
      </c>
      <c r="AC1602" s="31">
        <f>IF(LEFT(_xll.BDP($C1602, VOLUME_AVG_12M), 4) = "#N/A", "",  _xll.BDP($C1602, VOLUME_AVG_12M))</f>
        <v>14979.21</v>
      </c>
      <c r="AD1602" s="41" cm="1">
        <f t="array" ref="AD1602">IF(LEFT(_xll.BDP($C1602, LAST_PRICE), 4) = "#N/A", "",  _xll.BDP($C1602, LAST_PRICE))</f>
        <v>1.29</v>
      </c>
    </row>
    <row r="1603" spans="1:30" x14ac:dyDescent="0.35">
      <c r="A1603" s="1">
        <f t="shared" si="24"/>
        <v>1600</v>
      </c>
      <c r="B1603" s="28">
        <v>45700</v>
      </c>
      <c r="C1603" s="29" t="s">
        <v>3248</v>
      </c>
      <c r="D1603" s="29" t="s">
        <v>3248</v>
      </c>
      <c r="E1603" s="29" t="s">
        <v>3249</v>
      </c>
      <c r="F1603" s="29" t="s">
        <v>33</v>
      </c>
      <c r="G1603" s="30" t="s">
        <v>34</v>
      </c>
      <c r="H1603" s="31">
        <v>77844735.691422001</v>
      </c>
      <c r="I1603" s="31">
        <v>107198735.691422</v>
      </c>
      <c r="J1603" s="32">
        <v>0.56000000238418601</v>
      </c>
      <c r="K1603" s="33">
        <v>45700</v>
      </c>
      <c r="L1603" s="31">
        <v>3067200</v>
      </c>
      <c r="M1603" s="32">
        <v>3.75</v>
      </c>
      <c r="N1603" s="31" t="s">
        <v>35</v>
      </c>
      <c r="O1603" s="33">
        <v>45699</v>
      </c>
      <c r="P1603" s="34">
        <v>57770.53515625</v>
      </c>
      <c r="Q1603" s="34">
        <v>138995.640625</v>
      </c>
      <c r="R1603" s="34">
        <v>100527.1796875</v>
      </c>
      <c r="S1603" s="29"/>
      <c r="T1603" s="33"/>
      <c r="U1603" s="35" t="b">
        <v>0</v>
      </c>
      <c r="V1603" s="35" t="b">
        <v>0</v>
      </c>
      <c r="W1603" s="35" t="b">
        <v>0</v>
      </c>
      <c r="Y1603" s="31">
        <f>IF(LEFT(_xll.BDP($C1603, VOLUME_AVG_10D), 4) = "#N/A", "",  _xll.BDP($C1603, VOLUME_AVG_10D))</f>
        <v>65778.203125</v>
      </c>
      <c r="Z1603" s="31">
        <f>IF(LEFT(_xll.BDP($C1603, VOLUME_AVG_30D), 4) = "#N/A", "",  _xll.BDP($C1603, VOLUME_AVG_30D))</f>
        <v>57770.53515625</v>
      </c>
      <c r="AA1603" s="31">
        <f>IF(LEFT(_xll.BDP($C1603, VOLUME_AVG_3M), 4) = "#N/A", "",  _xll.BDP($C1603, VOLUME_AVG_3M))</f>
        <v>138995.640625</v>
      </c>
      <c r="AB1603" s="31">
        <f>IF(LEFT(_xll.BDP($C1603, VOLUME_AVG_6M), 4) = "#N/A", "",  _xll.BDP($C1603, VOLUME_AVG_6M))</f>
        <v>100527.1796875</v>
      </c>
      <c r="AC1603" s="31">
        <f>IF(LEFT(_xll.BDP($C1603, VOLUME_AVG_12M), 4) = "#N/A", "",  _xll.BDP($C1603, VOLUME_AVG_12M))</f>
        <v>109363.1875</v>
      </c>
      <c r="AD1603" s="41" cm="1">
        <f t="array" ref="AD1603">IF(LEFT(_xll.BDP($C1603, LAST_PRICE), 4) = "#N/A", "",  _xll.BDP($C1603, LAST_PRICE))</f>
        <v>0.56000000000000005</v>
      </c>
    </row>
    <row r="1604" spans="1:30" x14ac:dyDescent="0.35">
      <c r="A1604" s="1">
        <f t="shared" si="24"/>
        <v>1601</v>
      </c>
      <c r="B1604" s="28">
        <v>45700</v>
      </c>
      <c r="C1604" s="29" t="s">
        <v>3250</v>
      </c>
      <c r="D1604" s="29" t="s">
        <v>3250</v>
      </c>
      <c r="E1604" s="29" t="s">
        <v>3251</v>
      </c>
      <c r="F1604" s="29" t="s">
        <v>33</v>
      </c>
      <c r="G1604" s="30" t="s">
        <v>34</v>
      </c>
      <c r="H1604" s="31">
        <v>2808695.6230166201</v>
      </c>
      <c r="I1604" s="31">
        <v>8917695.6230166201</v>
      </c>
      <c r="J1604" s="32">
        <v>4.5556001663207999</v>
      </c>
      <c r="K1604" s="33">
        <v>45700</v>
      </c>
      <c r="L1604" s="31">
        <v>25300</v>
      </c>
      <c r="M1604" s="32">
        <v>-52.9</v>
      </c>
      <c r="N1604" s="31" t="s">
        <v>35</v>
      </c>
      <c r="O1604" s="33">
        <v>45699</v>
      </c>
      <c r="P1604" s="34">
        <v>12990.5</v>
      </c>
      <c r="Q1604" s="34">
        <v>14961.4033203125</v>
      </c>
      <c r="R1604" s="34">
        <v>13810.1904296875</v>
      </c>
      <c r="S1604" s="29"/>
      <c r="T1604" s="33"/>
      <c r="U1604" s="35" t="b">
        <v>1</v>
      </c>
      <c r="V1604" s="35" t="b">
        <v>0</v>
      </c>
      <c r="W1604" s="35" t="b">
        <v>0</v>
      </c>
      <c r="Y1604" s="31">
        <f>IF(LEFT(_xll.BDP($C1604, VOLUME_AVG_10D), 4) = "#N/A", "",  _xll.BDP($C1604, VOLUME_AVG_10D))</f>
        <v>6656.2001953125</v>
      </c>
      <c r="Z1604" s="31">
        <f>IF(LEFT(_xll.BDP($C1604, VOLUME_AVG_30D), 4) = "#N/A", "",  _xll.BDP($C1604, VOLUME_AVG_30D))</f>
        <v>12990.5</v>
      </c>
      <c r="AA1604" s="31">
        <f>IF(LEFT(_xll.BDP($C1604, VOLUME_AVG_3M), 4) = "#N/A", "",  _xll.BDP($C1604, VOLUME_AVG_3M))</f>
        <v>14961.4033203125</v>
      </c>
      <c r="AB1604" s="31">
        <f>IF(LEFT(_xll.BDP($C1604, VOLUME_AVG_6M), 4) = "#N/A", "",  _xll.BDP($C1604, VOLUME_AVG_6M))</f>
        <v>13810.1904296875</v>
      </c>
      <c r="AC1604" s="31">
        <f>IF(LEFT(_xll.BDP($C1604, VOLUME_AVG_12M), 4) = "#N/A", "",  _xll.BDP($C1604, VOLUME_AVG_12M))</f>
        <v>17162.392578125</v>
      </c>
      <c r="AD1604" s="41" cm="1">
        <f t="array" ref="AD1604">IF(LEFT(_xll.BDP($C1604, LAST_PRICE), 4) = "#N/A", "",  _xll.BDP($C1604, LAST_PRICE))</f>
        <v>4.5556000000000001</v>
      </c>
    </row>
    <row r="1605" spans="1:30" x14ac:dyDescent="0.35">
      <c r="A1605" s="1">
        <f t="shared" si="24"/>
        <v>1602</v>
      </c>
      <c r="B1605" s="28">
        <v>45700</v>
      </c>
      <c r="C1605" s="29" t="s">
        <v>3252</v>
      </c>
      <c r="D1605" s="29" t="s">
        <v>3252</v>
      </c>
      <c r="E1605" s="29" t="s">
        <v>3253</v>
      </c>
      <c r="F1605" s="29" t="s">
        <v>33</v>
      </c>
      <c r="G1605" s="30" t="s">
        <v>34</v>
      </c>
      <c r="H1605" s="31">
        <v>265599212.99144599</v>
      </c>
      <c r="I1605" s="31">
        <v>198552212.99144599</v>
      </c>
      <c r="J1605" s="32">
        <v>5.9299998283386204</v>
      </c>
      <c r="K1605" s="33">
        <v>45700</v>
      </c>
      <c r="L1605" s="31">
        <v>4978000</v>
      </c>
      <c r="M1605" s="32">
        <v>3.8</v>
      </c>
      <c r="N1605" s="31" t="s">
        <v>35</v>
      </c>
      <c r="O1605" s="33">
        <v>45699</v>
      </c>
      <c r="P1605" s="34">
        <v>466181.875</v>
      </c>
      <c r="Q1605" s="34">
        <v>387607.875</v>
      </c>
      <c r="R1605" s="34">
        <v>325985.34375</v>
      </c>
      <c r="S1605" s="29" t="s">
        <v>46</v>
      </c>
      <c r="T1605" s="33">
        <v>45446</v>
      </c>
      <c r="U1605" s="35" t="b">
        <v>0</v>
      </c>
      <c r="V1605" s="35" t="b">
        <v>0</v>
      </c>
      <c r="W1605" s="35" t="b">
        <v>0</v>
      </c>
      <c r="Y1605" s="31">
        <f>IF(LEFT(_xll.BDP($C1605, VOLUME_AVG_10D), 4) = "#N/A", "",  _xll.BDP($C1605, VOLUME_AVG_10D))</f>
        <v>503177.09375</v>
      </c>
      <c r="Z1605" s="31">
        <f>IF(LEFT(_xll.BDP($C1605, VOLUME_AVG_30D), 4) = "#N/A", "",  _xll.BDP($C1605, VOLUME_AVG_30D))</f>
        <v>466181.875</v>
      </c>
      <c r="AA1605" s="31">
        <f>IF(LEFT(_xll.BDP($C1605, VOLUME_AVG_3M), 4) = "#N/A", "",  _xll.BDP($C1605, VOLUME_AVG_3M))</f>
        <v>387607.875</v>
      </c>
      <c r="AB1605" s="31">
        <f>IF(LEFT(_xll.BDP($C1605, VOLUME_AVG_6M), 4) = "#N/A", "",  _xll.BDP($C1605, VOLUME_AVG_6M))</f>
        <v>325985.34375</v>
      </c>
      <c r="AC1605" s="31">
        <f>IF(LEFT(_xll.BDP($C1605, VOLUME_AVG_12M), 4) = "#N/A", "",  _xll.BDP($C1605, VOLUME_AVG_12M))</f>
        <v>332477</v>
      </c>
      <c r="AD1605" s="41" cm="1">
        <f t="array" ref="AD1605">IF(LEFT(_xll.BDP($C1605, LAST_PRICE), 4) = "#N/A", "",  _xll.BDP($C1605, LAST_PRICE))</f>
        <v>5.93</v>
      </c>
    </row>
    <row r="1606" spans="1:30" x14ac:dyDescent="0.35">
      <c r="A1606" s="1">
        <f t="shared" ref="A1606:A1669" si="25">IF(B1606="","", A1605+1)</f>
        <v>1603</v>
      </c>
      <c r="B1606" s="28">
        <v>45700</v>
      </c>
      <c r="C1606" s="29" t="s">
        <v>3254</v>
      </c>
      <c r="D1606" s="29" t="s">
        <v>3254</v>
      </c>
      <c r="E1606" s="29" t="s">
        <v>3255</v>
      </c>
      <c r="F1606" s="29" t="s">
        <v>33</v>
      </c>
      <c r="G1606" s="30" t="s">
        <v>34</v>
      </c>
      <c r="H1606" s="31">
        <v>2609432</v>
      </c>
      <c r="I1606" s="31">
        <v>9476800</v>
      </c>
      <c r="J1606" s="32">
        <v>9.5200000000000007E-2</v>
      </c>
      <c r="K1606" s="33">
        <v>45700</v>
      </c>
      <c r="L1606" s="31">
        <v>7000</v>
      </c>
      <c r="M1606" s="32">
        <v>3.3</v>
      </c>
      <c r="N1606" s="31" t="s">
        <v>35</v>
      </c>
      <c r="O1606" s="33">
        <v>45699</v>
      </c>
      <c r="P1606" s="34">
        <v>3781.60009765625</v>
      </c>
      <c r="Q1606" s="34">
        <v>2906.0966796875</v>
      </c>
      <c r="R1606" s="34">
        <v>1536.16662597656</v>
      </c>
      <c r="S1606" s="29"/>
      <c r="T1606" s="33"/>
      <c r="U1606" s="35" t="b">
        <v>1</v>
      </c>
      <c r="V1606" s="35" t="b">
        <v>1</v>
      </c>
      <c r="W1606" s="35" t="b">
        <v>0</v>
      </c>
      <c r="Y1606" s="31">
        <f>IF(LEFT(_xll.BDP($C1606, VOLUME_AVG_10D), 4) = "#N/A", "",  _xll.BDP($C1606, VOLUME_AVG_10D))</f>
        <v>8638</v>
      </c>
      <c r="Z1606" s="31">
        <f>IF(LEFT(_xll.BDP($C1606, VOLUME_AVG_30D), 4) = "#N/A", "",  _xll.BDP($C1606, VOLUME_AVG_30D))</f>
        <v>3781.60009765625</v>
      </c>
      <c r="AA1606" s="31">
        <f>IF(LEFT(_xll.BDP($C1606, VOLUME_AVG_3M), 4) = "#N/A", "",  _xll.BDP($C1606, VOLUME_AVG_3M))</f>
        <v>2906.0966796875</v>
      </c>
      <c r="AB1606" s="31">
        <f>IF(LEFT(_xll.BDP($C1606, VOLUME_AVG_6M), 4) = "#N/A", "",  _xll.BDP($C1606, VOLUME_AVG_6M))</f>
        <v>1536.1666259765625</v>
      </c>
      <c r="AC1606" s="31">
        <f>IF(LEFT(_xll.BDP($C1606, VOLUME_AVG_12M), 4) = "#N/A", "",  _xll.BDP($C1606, VOLUME_AVG_12M))</f>
        <v>945.3306884765625</v>
      </c>
      <c r="AD1606" s="41" cm="1">
        <f t="array" ref="AD1606">IF(LEFT(_xll.BDP($C1606, LAST_PRICE), 4) = "#N/A", "",  _xll.BDP($C1606, LAST_PRICE))</f>
        <v>9.5200000000000007E-2</v>
      </c>
    </row>
    <row r="1607" spans="1:30" x14ac:dyDescent="0.35">
      <c r="A1607" s="1">
        <f t="shared" si="25"/>
        <v>1604</v>
      </c>
      <c r="B1607" s="28">
        <v>45700</v>
      </c>
      <c r="C1607" s="29" t="s">
        <v>3256</v>
      </c>
      <c r="D1607" s="29" t="s">
        <v>3256</v>
      </c>
      <c r="E1607" s="29" t="s">
        <v>3257</v>
      </c>
      <c r="F1607" s="29" t="s">
        <v>33</v>
      </c>
      <c r="G1607" s="30" t="s">
        <v>34</v>
      </c>
      <c r="H1607" s="31">
        <v>3060711545.6415</v>
      </c>
      <c r="I1607" s="31">
        <v>2570317545.6415</v>
      </c>
      <c r="J1607" s="32">
        <v>27.969999313354499</v>
      </c>
      <c r="K1607" s="33">
        <v>45700</v>
      </c>
      <c r="L1607" s="31">
        <v>13686500</v>
      </c>
      <c r="M1607" s="32">
        <v>3.88</v>
      </c>
      <c r="N1607" s="31" t="s">
        <v>35</v>
      </c>
      <c r="O1607" s="33">
        <v>45699</v>
      </c>
      <c r="P1607" s="34">
        <v>578478.6875</v>
      </c>
      <c r="Q1607" s="34">
        <v>813072.875</v>
      </c>
      <c r="R1607" s="34">
        <v>777132.6875</v>
      </c>
      <c r="S1607" s="29" t="s">
        <v>46</v>
      </c>
      <c r="T1607" s="33">
        <v>45446</v>
      </c>
      <c r="U1607" s="35" t="b">
        <v>0</v>
      </c>
      <c r="V1607" s="35" t="b">
        <v>0</v>
      </c>
      <c r="W1607" s="35" t="b">
        <v>0</v>
      </c>
      <c r="Y1607" s="31">
        <f>IF(LEFT(_xll.BDP($C1607, VOLUME_AVG_10D), 4) = "#N/A", "",  _xll.BDP($C1607, VOLUME_AVG_10D))</f>
        <v>606925.375</v>
      </c>
      <c r="Z1607" s="31">
        <f>IF(LEFT(_xll.BDP($C1607, VOLUME_AVG_30D), 4) = "#N/A", "",  _xll.BDP($C1607, VOLUME_AVG_30D))</f>
        <v>578478.6875</v>
      </c>
      <c r="AA1607" s="31">
        <f>IF(LEFT(_xll.BDP($C1607, VOLUME_AVG_3M), 4) = "#N/A", "",  _xll.BDP($C1607, VOLUME_AVG_3M))</f>
        <v>813072.875</v>
      </c>
      <c r="AB1607" s="31">
        <f>IF(LEFT(_xll.BDP($C1607, VOLUME_AVG_6M), 4) = "#N/A", "",  _xll.BDP($C1607, VOLUME_AVG_6M))</f>
        <v>777132.6875</v>
      </c>
      <c r="AC1607" s="31">
        <f>IF(LEFT(_xll.BDP($C1607, VOLUME_AVG_12M), 4) = "#N/A", "",  _xll.BDP($C1607, VOLUME_AVG_12M))</f>
        <v>700553.0625</v>
      </c>
      <c r="AD1607" s="41" cm="1">
        <f t="array" ref="AD1607">IF(LEFT(_xll.BDP($C1607, LAST_PRICE), 4) = "#N/A", "",  _xll.BDP($C1607, LAST_PRICE))</f>
        <v>27.97</v>
      </c>
    </row>
    <row r="1608" spans="1:30" x14ac:dyDescent="0.35">
      <c r="A1608" s="1">
        <f t="shared" si="25"/>
        <v>1605</v>
      </c>
      <c r="B1608" s="28">
        <v>45700</v>
      </c>
      <c r="C1608" s="29" t="s">
        <v>3258</v>
      </c>
      <c r="D1608" s="29" t="s">
        <v>3258</v>
      </c>
      <c r="E1608" s="29" t="s">
        <v>3259</v>
      </c>
      <c r="F1608" s="29" t="s">
        <v>33</v>
      </c>
      <c r="G1608" s="30" t="s">
        <v>34</v>
      </c>
      <c r="H1608" s="31">
        <v>301313378.36420202</v>
      </c>
      <c r="I1608" s="31">
        <v>515099378.36420202</v>
      </c>
      <c r="J1608" s="32">
        <v>7.21000003814697</v>
      </c>
      <c r="K1608" s="33">
        <v>45700</v>
      </c>
      <c r="L1608" s="31">
        <v>1310400</v>
      </c>
      <c r="M1608" s="32">
        <v>-2</v>
      </c>
      <c r="N1608" s="31" t="s">
        <v>35</v>
      </c>
      <c r="O1608" s="33">
        <v>45699</v>
      </c>
      <c r="P1608" s="34">
        <v>211707.640625</v>
      </c>
      <c r="Q1608" s="34">
        <v>329886.40625</v>
      </c>
      <c r="R1608" s="34"/>
      <c r="S1608" s="29"/>
      <c r="T1608" s="33"/>
      <c r="U1608" s="35" t="b">
        <v>0</v>
      </c>
      <c r="V1608" s="35" t="b">
        <v>0</v>
      </c>
      <c r="W1608" s="35" t="b">
        <v>0</v>
      </c>
      <c r="Y1608" s="31">
        <f>IF(LEFT(_xll.BDP($C1608, VOLUME_AVG_10D), 4) = "#N/A", "",  _xll.BDP($C1608, VOLUME_AVG_10D))</f>
        <v>234266</v>
      </c>
      <c r="Z1608" s="31" cm="1">
        <f t="array" ref="Z1608">IF(LEFT(_xll.BDP($C1608, VOLUME_AVG_30D), 4) = "#N/A", "",  _xll.BDP($C1608, VOLUME_AVG_30D))</f>
        <v>211707.640625</v>
      </c>
      <c r="AA1608" s="31">
        <f>IF(LEFT(_xll.BDP($C1608, VOLUME_AVG_3M), 4) = "#N/A", "",  _xll.BDP($C1608, VOLUME_AVG_3M))</f>
        <v>329886.40625</v>
      </c>
      <c r="AB1608" s="31" t="str">
        <f>IF(LEFT(_xll.BDP($C1608, VOLUME_AVG_6M), 4) = "#N/A", "",  _xll.BDP($C1608, VOLUME_AVG_6M))</f>
        <v/>
      </c>
      <c r="AC1608" s="31" t="str">
        <f>IF(LEFT(_xll.BDP($C1608, VOLUME_AVG_12M), 4) = "#N/A", "",  _xll.BDP($C1608, VOLUME_AVG_12M))</f>
        <v/>
      </c>
      <c r="AD1608" s="41" cm="1">
        <f t="array" ref="AD1608">IF(LEFT(_xll.BDP($C1608, LAST_PRICE), 4) = "#N/A", "",  _xll.BDP($C1608, LAST_PRICE))</f>
        <v>7.21</v>
      </c>
    </row>
    <row r="1609" spans="1:30" x14ac:dyDescent="0.35">
      <c r="A1609" s="1">
        <f t="shared" si="25"/>
        <v>1606</v>
      </c>
      <c r="B1609" s="28">
        <v>45700</v>
      </c>
      <c r="C1609" s="29" t="s">
        <v>3260</v>
      </c>
      <c r="D1609" s="29" t="s">
        <v>3260</v>
      </c>
      <c r="E1609" s="29" t="s">
        <v>3261</v>
      </c>
      <c r="F1609" s="29" t="s">
        <v>33</v>
      </c>
      <c r="G1609" s="30" t="s">
        <v>34</v>
      </c>
      <c r="H1609" s="31">
        <v>153933270.11675799</v>
      </c>
      <c r="I1609" s="31">
        <v>-194052729.88324201</v>
      </c>
      <c r="J1609" s="32">
        <v>2.1600000858306898</v>
      </c>
      <c r="K1609" s="33">
        <v>45700</v>
      </c>
      <c r="L1609" s="31">
        <v>10744400</v>
      </c>
      <c r="M1609" s="32">
        <v>3.88</v>
      </c>
      <c r="N1609" s="31" t="s">
        <v>35</v>
      </c>
      <c r="O1609" s="33">
        <v>45699</v>
      </c>
      <c r="P1609" s="34">
        <v>2675381</v>
      </c>
      <c r="Q1609" s="34">
        <v>1872123.875</v>
      </c>
      <c r="R1609" s="34">
        <v>1935279.5</v>
      </c>
      <c r="S1609" s="29" t="s">
        <v>46</v>
      </c>
      <c r="T1609" s="33">
        <v>45446</v>
      </c>
      <c r="U1609" s="35" t="b">
        <v>0</v>
      </c>
      <c r="V1609" s="35" t="b">
        <v>0</v>
      </c>
      <c r="W1609" s="35" t="b">
        <v>1</v>
      </c>
      <c r="Y1609" s="31">
        <f>IF(LEFT(_xll.BDP($C1609, VOLUME_AVG_10D), 4) = "#N/A", "",  _xll.BDP($C1609, VOLUME_AVG_10D))</f>
        <v>3632049.75</v>
      </c>
      <c r="Z1609" s="31">
        <f>IF(LEFT(_xll.BDP($C1609, VOLUME_AVG_30D), 4) = "#N/A", "",  _xll.BDP($C1609, VOLUME_AVG_30D))</f>
        <v>2675381</v>
      </c>
      <c r="AA1609" s="31">
        <f>IF(LEFT(_xll.BDP($C1609, VOLUME_AVG_3M), 4) = "#N/A", "",  _xll.BDP($C1609, VOLUME_AVG_3M))</f>
        <v>1872123.875</v>
      </c>
      <c r="AB1609" s="31">
        <f>IF(LEFT(_xll.BDP($C1609, VOLUME_AVG_6M), 4) = "#N/A", "",  _xll.BDP($C1609, VOLUME_AVG_6M))</f>
        <v>1935279.5</v>
      </c>
      <c r="AC1609" s="31">
        <f>IF(LEFT(_xll.BDP($C1609, VOLUME_AVG_12M), 4) = "#N/A", "",  _xll.BDP($C1609, VOLUME_AVG_12M))</f>
        <v>1529862.125</v>
      </c>
      <c r="AD1609" s="41" cm="1">
        <f t="array" ref="AD1609">IF(LEFT(_xll.BDP($C1609, LAST_PRICE), 4) = "#N/A", "",  _xll.BDP($C1609, LAST_PRICE))</f>
        <v>2.16</v>
      </c>
    </row>
    <row r="1610" spans="1:30" x14ac:dyDescent="0.35">
      <c r="A1610" s="1">
        <f t="shared" si="25"/>
        <v>1607</v>
      </c>
      <c r="B1610" s="28">
        <v>45700</v>
      </c>
      <c r="C1610" s="29" t="s">
        <v>3262</v>
      </c>
      <c r="D1610" s="29" t="s">
        <v>3262</v>
      </c>
      <c r="E1610" s="29" t="s">
        <v>3263</v>
      </c>
      <c r="F1610" s="29" t="s">
        <v>40</v>
      </c>
      <c r="G1610" s="30" t="s">
        <v>41</v>
      </c>
      <c r="H1610" s="31">
        <v>160322684.70868501</v>
      </c>
      <c r="I1610" s="31">
        <v>157779507.70868501</v>
      </c>
      <c r="J1610" s="32">
        <v>1.53999996185303</v>
      </c>
      <c r="K1610" s="33">
        <v>45700</v>
      </c>
      <c r="L1610" s="31"/>
      <c r="M1610" s="32"/>
      <c r="N1610" s="31"/>
      <c r="O1610" s="33">
        <v>45699</v>
      </c>
      <c r="P1610" s="34">
        <v>58022.9</v>
      </c>
      <c r="Q1610" s="34">
        <v>85687.98</v>
      </c>
      <c r="R1610" s="34">
        <v>91715.23</v>
      </c>
      <c r="S1610" s="29"/>
      <c r="T1610" s="33"/>
      <c r="U1610" s="35" t="b">
        <v>0</v>
      </c>
      <c r="V1610" s="35" t="b">
        <v>0</v>
      </c>
      <c r="W1610" s="35" t="b">
        <v>0</v>
      </c>
      <c r="Y1610" s="31">
        <f>IF(LEFT(_xll.BDP($C1610, VOLUME_AVG_10D), 4) = "#N/A", "",  _xll.BDP($C1610, VOLUME_AVG_10D))</f>
        <v>47049.3</v>
      </c>
      <c r="Z1610" s="31">
        <f>IF(LEFT(_xll.BDP($C1610, VOLUME_AVG_30D), 4) = "#N/A", "",  _xll.BDP($C1610, VOLUME_AVG_30D))</f>
        <v>58022.9</v>
      </c>
      <c r="AA1610" s="31">
        <f>IF(LEFT(_xll.BDP($C1610, VOLUME_AVG_3M), 4) = "#N/A", "",  _xll.BDP($C1610, VOLUME_AVG_3M))</f>
        <v>85687.98</v>
      </c>
      <c r="AB1610" s="31">
        <f>IF(LEFT(_xll.BDP($C1610, VOLUME_AVG_6M), 4) = "#N/A", "",  _xll.BDP($C1610, VOLUME_AVG_6M))</f>
        <v>91715.23</v>
      </c>
      <c r="AC1610" s="31">
        <f>IF(LEFT(_xll.BDP($C1610, VOLUME_AVG_12M), 4) = "#N/A", "",  _xll.BDP($C1610, VOLUME_AVG_12M))</f>
        <v>79497.78</v>
      </c>
      <c r="AD1610" s="41" cm="1">
        <f t="array" ref="AD1610">IF(LEFT(_xll.BDP($C1610, LAST_PRICE), 4) = "#N/A", "",  _xll.BDP($C1610, LAST_PRICE))</f>
        <v>1.54</v>
      </c>
    </row>
    <row r="1611" spans="1:30" x14ac:dyDescent="0.35">
      <c r="A1611" s="1">
        <f t="shared" si="25"/>
        <v>1608</v>
      </c>
      <c r="B1611" s="28">
        <v>45700</v>
      </c>
      <c r="C1611" s="29" t="s">
        <v>3264</v>
      </c>
      <c r="D1611" s="29" t="s">
        <v>3264</v>
      </c>
      <c r="E1611" s="29" t="s">
        <v>3265</v>
      </c>
      <c r="F1611" s="29" t="s">
        <v>33</v>
      </c>
      <c r="G1611" s="30" t="s">
        <v>34</v>
      </c>
      <c r="H1611" s="31">
        <v>19097899.109491099</v>
      </c>
      <c r="I1611" s="31">
        <v>19133899.109491099</v>
      </c>
      <c r="J1611" s="32">
        <v>3.0099999904632599</v>
      </c>
      <c r="K1611" s="33">
        <v>45700</v>
      </c>
      <c r="L1611" s="31">
        <v>57800</v>
      </c>
      <c r="M1611" s="32">
        <v>-0.9</v>
      </c>
      <c r="N1611" s="31" t="s">
        <v>35</v>
      </c>
      <c r="O1611" s="33">
        <v>45699</v>
      </c>
      <c r="P1611" s="34">
        <v>4477.7998046875</v>
      </c>
      <c r="Q1611" s="34">
        <v>5290.5966796875</v>
      </c>
      <c r="R1611" s="34">
        <v>4836.16650390625</v>
      </c>
      <c r="S1611" s="29"/>
      <c r="T1611" s="33"/>
      <c r="U1611" s="35" t="b">
        <v>1</v>
      </c>
      <c r="V1611" s="35" t="b">
        <v>0</v>
      </c>
      <c r="W1611" s="35" t="b">
        <v>0</v>
      </c>
      <c r="Y1611" s="31">
        <f>IF(LEFT(_xll.BDP($C1611, VOLUME_AVG_10D), 4) = "#N/A", "",  _xll.BDP($C1611, VOLUME_AVG_10D))</f>
        <v>5175.5</v>
      </c>
      <c r="Z1611" s="31">
        <f>IF(LEFT(_xll.BDP($C1611, VOLUME_AVG_30D), 4) = "#N/A", "",  _xll.BDP($C1611, VOLUME_AVG_30D))</f>
        <v>4477.7998046875</v>
      </c>
      <c r="AA1611" s="31">
        <f>IF(LEFT(_xll.BDP($C1611, VOLUME_AVG_3M), 4) = "#N/A", "",  _xll.BDP($C1611, VOLUME_AVG_3M))</f>
        <v>5290.5966796875</v>
      </c>
      <c r="AB1611" s="31">
        <f>IF(LEFT(_xll.BDP($C1611, VOLUME_AVG_6M), 4) = "#N/A", "",  _xll.BDP($C1611, VOLUME_AVG_6M))</f>
        <v>4836.16650390625</v>
      </c>
      <c r="AC1611" s="31">
        <f>IF(LEFT(_xll.BDP($C1611, VOLUME_AVG_12M), 4) = "#N/A", "",  _xll.BDP($C1611, VOLUME_AVG_12M))</f>
        <v>4787.708984375</v>
      </c>
      <c r="AD1611" s="41" cm="1">
        <f t="array" ref="AD1611">IF(LEFT(_xll.BDP($C1611, LAST_PRICE), 4) = "#N/A", "",  _xll.BDP($C1611, LAST_PRICE))</f>
        <v>3.01</v>
      </c>
    </row>
    <row r="1612" spans="1:30" x14ac:dyDescent="0.35">
      <c r="A1612" s="1">
        <f t="shared" si="25"/>
        <v>1609</v>
      </c>
      <c r="B1612" s="28">
        <v>45700</v>
      </c>
      <c r="C1612" s="29" t="s">
        <v>3266</v>
      </c>
      <c r="D1612" s="29" t="s">
        <v>3266</v>
      </c>
      <c r="E1612" s="29" t="s">
        <v>3267</v>
      </c>
      <c r="F1612" s="29" t="s">
        <v>33</v>
      </c>
      <c r="G1612" s="30" t="s">
        <v>34</v>
      </c>
      <c r="H1612" s="31">
        <v>412062183.84128398</v>
      </c>
      <c r="I1612" s="31">
        <v>391160183.84128398</v>
      </c>
      <c r="J1612" s="32">
        <v>7.7199997901916504</v>
      </c>
      <c r="K1612" s="33">
        <v>45700</v>
      </c>
      <c r="L1612" s="31">
        <v>5588000</v>
      </c>
      <c r="M1612" s="32">
        <v>3.88</v>
      </c>
      <c r="N1612" s="31" t="s">
        <v>35</v>
      </c>
      <c r="O1612" s="33">
        <v>45699</v>
      </c>
      <c r="P1612" s="34">
        <v>400799.78125</v>
      </c>
      <c r="Q1612" s="34">
        <v>512553.90625</v>
      </c>
      <c r="R1612" s="34">
        <v>686601.875</v>
      </c>
      <c r="S1612" s="29" t="s">
        <v>177</v>
      </c>
      <c r="T1612" s="33">
        <v>45446</v>
      </c>
      <c r="U1612" s="35" t="b">
        <v>0</v>
      </c>
      <c r="V1612" s="35" t="b">
        <v>0</v>
      </c>
      <c r="W1612" s="35" t="b">
        <v>0</v>
      </c>
      <c r="Y1612" s="31">
        <f>IF(LEFT(_xll.BDP($C1612, VOLUME_AVG_10D), 4) = "#N/A", "",  _xll.BDP($C1612, VOLUME_AVG_10D))</f>
        <v>416741.90625</v>
      </c>
      <c r="Z1612" s="31">
        <f>IF(LEFT(_xll.BDP($C1612, VOLUME_AVG_30D), 4) = "#N/A", "",  _xll.BDP($C1612, VOLUME_AVG_30D))</f>
        <v>400799.78125</v>
      </c>
      <c r="AA1612" s="31">
        <f>IF(LEFT(_xll.BDP($C1612, VOLUME_AVG_3M), 4) = "#N/A", "",  _xll.BDP($C1612, VOLUME_AVG_3M))</f>
        <v>512553.90625</v>
      </c>
      <c r="AB1612" s="31">
        <f>IF(LEFT(_xll.BDP($C1612, VOLUME_AVG_6M), 4) = "#N/A", "",  _xll.BDP($C1612, VOLUME_AVG_6M))</f>
        <v>686601.875</v>
      </c>
      <c r="AC1612" s="31">
        <f>IF(LEFT(_xll.BDP($C1612, VOLUME_AVG_12M), 4) = "#N/A", "",  _xll.BDP($C1612, VOLUME_AVG_12M))</f>
        <v>565125.625</v>
      </c>
      <c r="AD1612" s="41" cm="1">
        <f t="array" ref="AD1612">IF(LEFT(_xll.BDP($C1612, LAST_PRICE), 4) = "#N/A", "",  _xll.BDP($C1612, LAST_PRICE))</f>
        <v>7.72</v>
      </c>
    </row>
    <row r="1613" spans="1:30" x14ac:dyDescent="0.35">
      <c r="A1613" s="1">
        <f t="shared" si="25"/>
        <v>1610</v>
      </c>
      <c r="B1613" s="28">
        <v>45700</v>
      </c>
      <c r="C1613" s="29" t="s">
        <v>3294</v>
      </c>
      <c r="D1613" s="29" t="s">
        <v>3294</v>
      </c>
      <c r="E1613" s="29" t="s">
        <v>3295</v>
      </c>
      <c r="F1613" s="29" t="s">
        <v>33</v>
      </c>
      <c r="G1613" s="30" t="s">
        <v>34</v>
      </c>
      <c r="H1613" s="31">
        <v>204013904.48530599</v>
      </c>
      <c r="I1613" s="31">
        <v>223728904.48530599</v>
      </c>
      <c r="J1613" s="32">
        <v>4.3299999237060502</v>
      </c>
      <c r="K1613" s="33">
        <v>45700</v>
      </c>
      <c r="L1613" s="31"/>
      <c r="M1613" s="32"/>
      <c r="N1613" s="31"/>
      <c r="O1613" s="33">
        <v>45699</v>
      </c>
      <c r="P1613" s="34"/>
      <c r="Q1613" s="34"/>
      <c r="R1613" s="34"/>
      <c r="S1613" s="29"/>
      <c r="T1613" s="33"/>
      <c r="U1613" s="35" t="b">
        <v>0</v>
      </c>
      <c r="V1613" s="35" t="b">
        <v>0</v>
      </c>
      <c r="W1613" s="35" t="b">
        <v>0</v>
      </c>
      <c r="Y1613" s="31">
        <f>IF(LEFT(_xll.BDP($C1613, VOLUME_AVG_10D), 4) = "#N/A", "",  _xll.BDP($C1613, VOLUME_AVG_10D))</f>
        <v>27380.900390625</v>
      </c>
      <c r="Z1613" s="31" t="str">
        <f>IF(LEFT(_xll.BDP($C1613, VOLUME_AVG_30D), 4) = "#N/A", "",  _xll.BDP($C1613, VOLUME_AVG_30D))</f>
        <v/>
      </c>
      <c r="AA1613" s="31" t="str">
        <f>IF(LEFT(_xll.BDP($C1613, VOLUME_AVG_3M), 4) = "#N/A", "",  _xll.BDP($C1613, VOLUME_AVG_3M))</f>
        <v/>
      </c>
      <c r="AB1613" s="31" t="str">
        <f>IF(LEFT(_xll.BDP($C1613, VOLUME_AVG_6M), 4) = "#N/A", "",  _xll.BDP($C1613, VOLUME_AVG_6M))</f>
        <v/>
      </c>
      <c r="AC1613" s="31" t="str">
        <f>IF(LEFT(_xll.BDP($C1613, VOLUME_AVG_12M), 4) = "#N/A", "",  _xll.BDP($C1613, VOLUME_AVG_12M))</f>
        <v/>
      </c>
      <c r="AD1613" s="41" cm="1">
        <f t="array" ref="AD1613">IF(LEFT(_xll.BDP($C1613, LAST_PRICE), 4) = "#N/A", "",  _xll.BDP($C1613, LAST_PRICE))</f>
        <v>4.33</v>
      </c>
    </row>
    <row r="1614" spans="1:30" x14ac:dyDescent="0.35">
      <c r="A1614" s="1">
        <f t="shared" si="25"/>
        <v>1611</v>
      </c>
      <c r="B1614" s="28">
        <v>45700</v>
      </c>
      <c r="C1614" s="29" t="s">
        <v>3268</v>
      </c>
      <c r="D1614" s="29" t="s">
        <v>3268</v>
      </c>
      <c r="E1614" s="29" t="s">
        <v>3269</v>
      </c>
      <c r="F1614" s="29" t="s">
        <v>33</v>
      </c>
      <c r="G1614" s="30" t="s">
        <v>34</v>
      </c>
      <c r="H1614" s="31">
        <v>19706306325.612701</v>
      </c>
      <c r="I1614" s="31">
        <v>25385406325.612701</v>
      </c>
      <c r="J1614" s="32">
        <v>98.989997863769503</v>
      </c>
      <c r="K1614" s="33">
        <v>45700</v>
      </c>
      <c r="L1614" s="31">
        <v>66774000</v>
      </c>
      <c r="M1614" s="32">
        <v>3.88</v>
      </c>
      <c r="N1614" s="31" t="s">
        <v>35</v>
      </c>
      <c r="O1614" s="33">
        <v>45699</v>
      </c>
      <c r="P1614" s="34">
        <v>1786837.5</v>
      </c>
      <c r="Q1614" s="34">
        <v>1676732.25</v>
      </c>
      <c r="R1614" s="34">
        <v>1569085</v>
      </c>
      <c r="S1614" s="29"/>
      <c r="T1614" s="33"/>
      <c r="U1614" s="35" t="b">
        <v>0</v>
      </c>
      <c r="V1614" s="35" t="b">
        <v>0</v>
      </c>
      <c r="W1614" s="35" t="b">
        <v>0</v>
      </c>
      <c r="Y1614" s="31">
        <f>IF(LEFT(_xll.BDP($C1614, VOLUME_AVG_10D), 4) = "#N/A", "",  _xll.BDP($C1614, VOLUME_AVG_10D))</f>
        <v>2023733.25</v>
      </c>
      <c r="Z1614" s="31">
        <f>IF(LEFT(_xll.BDP($C1614, VOLUME_AVG_30D), 4) = "#N/A", "",  _xll.BDP($C1614, VOLUME_AVG_30D))</f>
        <v>1786837.5</v>
      </c>
      <c r="AA1614" s="31">
        <f>IF(LEFT(_xll.BDP($C1614, VOLUME_AVG_3M), 4) = "#N/A", "",  _xll.BDP($C1614, VOLUME_AVG_3M))</f>
        <v>1676732.25</v>
      </c>
      <c r="AB1614" s="31">
        <f>IF(LEFT(_xll.BDP($C1614, VOLUME_AVG_6M), 4) = "#N/A", "",  _xll.BDP($C1614, VOLUME_AVG_6M))</f>
        <v>1569085</v>
      </c>
      <c r="AC1614" s="31">
        <f>IF(LEFT(_xll.BDP($C1614, VOLUME_AVG_12M), 4) = "#N/A", "",  _xll.BDP($C1614, VOLUME_AVG_12M))</f>
        <v>1501870</v>
      </c>
      <c r="AD1614" s="41" cm="1">
        <f t="array" ref="AD1614">IF(LEFT(_xll.BDP($C1614, LAST_PRICE), 4) = "#N/A", "",  _xll.BDP($C1614, LAST_PRICE))</f>
        <v>98.99</v>
      </c>
    </row>
    <row r="1615" spans="1:30" x14ac:dyDescent="0.35">
      <c r="A1615" s="1">
        <f t="shared" si="25"/>
        <v>1612</v>
      </c>
      <c r="B1615" s="28">
        <v>45700</v>
      </c>
      <c r="C1615" s="29" t="s">
        <v>3270</v>
      </c>
      <c r="D1615" s="29" t="s">
        <v>3270</v>
      </c>
      <c r="E1615" s="29" t="s">
        <v>3271</v>
      </c>
      <c r="F1615" s="29" t="s">
        <v>33</v>
      </c>
      <c r="G1615" s="30" t="s">
        <v>34</v>
      </c>
      <c r="H1615" s="31">
        <v>358785323</v>
      </c>
      <c r="I1615" s="31">
        <v>521735323</v>
      </c>
      <c r="J1615" s="32">
        <v>13</v>
      </c>
      <c r="K1615" s="33">
        <v>45700</v>
      </c>
      <c r="L1615" s="31">
        <v>6959700</v>
      </c>
      <c r="M1615" s="32">
        <v>3.88</v>
      </c>
      <c r="N1615" s="31" t="s">
        <v>35</v>
      </c>
      <c r="O1615" s="33">
        <v>45699</v>
      </c>
      <c r="P1615" s="34">
        <v>111570.1328125</v>
      </c>
      <c r="Q1615" s="34">
        <v>122970.484375</v>
      </c>
      <c r="R1615" s="34">
        <v>154664.328125</v>
      </c>
      <c r="S1615" s="29"/>
      <c r="T1615" s="33"/>
      <c r="U1615" s="35" t="b">
        <v>0</v>
      </c>
      <c r="V1615" s="35" t="b">
        <v>0</v>
      </c>
      <c r="W1615" s="35" t="b">
        <v>0</v>
      </c>
      <c r="Y1615" s="31">
        <f>IF(LEFT(_xll.BDP($C1615, VOLUME_AVG_10D), 4) = "#N/A", "",  _xll.BDP($C1615, VOLUME_AVG_10D))</f>
        <v>114721.703125</v>
      </c>
      <c r="Z1615" s="31">
        <f>IF(LEFT(_xll.BDP($C1615, VOLUME_AVG_30D), 4) = "#N/A", "",  _xll.BDP($C1615, VOLUME_AVG_30D))</f>
        <v>111570.1328125</v>
      </c>
      <c r="AA1615" s="31">
        <f>IF(LEFT(_xll.BDP($C1615, VOLUME_AVG_3M), 4) = "#N/A", "",  _xll.BDP($C1615, VOLUME_AVG_3M))</f>
        <v>122970.484375</v>
      </c>
      <c r="AB1615" s="31">
        <f>IF(LEFT(_xll.BDP($C1615, VOLUME_AVG_6M), 4) = "#N/A", "",  _xll.BDP($C1615, VOLUME_AVG_6M))</f>
        <v>154664.328125</v>
      </c>
      <c r="AC1615" s="31">
        <f>IF(LEFT(_xll.BDP($C1615, VOLUME_AVG_12M), 4) = "#N/A", "",  _xll.BDP($C1615, VOLUME_AVG_12M))</f>
        <v>266599.09375</v>
      </c>
      <c r="AD1615" s="41" cm="1">
        <f t="array" ref="AD1615">IF(LEFT(_xll.BDP($C1615, LAST_PRICE), 4) = "#N/A", "",  _xll.BDP($C1615, LAST_PRICE))</f>
        <v>13</v>
      </c>
    </row>
    <row r="1616" spans="1:30" x14ac:dyDescent="0.35">
      <c r="A1616" s="1">
        <f t="shared" si="25"/>
        <v>1613</v>
      </c>
      <c r="B1616" s="28">
        <v>45700</v>
      </c>
      <c r="C1616" s="29" t="s">
        <v>3272</v>
      </c>
      <c r="D1616" s="29" t="s">
        <v>3272</v>
      </c>
      <c r="E1616" s="29" t="s">
        <v>3273</v>
      </c>
      <c r="F1616" s="29" t="s">
        <v>33</v>
      </c>
      <c r="G1616" s="30" t="s">
        <v>34</v>
      </c>
      <c r="H1616" s="31">
        <v>78448574315.634201</v>
      </c>
      <c r="I1616" s="31">
        <v>83489574315.634201</v>
      </c>
      <c r="J1616" s="32">
        <v>173.88000488281301</v>
      </c>
      <c r="K1616" s="33">
        <v>45700</v>
      </c>
      <c r="L1616" s="31">
        <v>120038096</v>
      </c>
      <c r="M1616" s="32">
        <v>3.88</v>
      </c>
      <c r="N1616" s="31" t="s">
        <v>35</v>
      </c>
      <c r="O1616" s="33">
        <v>45699</v>
      </c>
      <c r="P1616" s="34">
        <v>2514063.5</v>
      </c>
      <c r="Q1616" s="34">
        <v>2551134.25</v>
      </c>
      <c r="R1616" s="34">
        <v>2237633.75</v>
      </c>
      <c r="S1616" s="29"/>
      <c r="T1616" s="33"/>
      <c r="U1616" s="35" t="b">
        <v>0</v>
      </c>
      <c r="V1616" s="35" t="b">
        <v>0</v>
      </c>
      <c r="W1616" s="35" t="b">
        <v>0</v>
      </c>
      <c r="Y1616" s="31">
        <f>IF(LEFT(_xll.BDP($C1616, VOLUME_AVG_10D), 4) = "#N/A", "",  _xll.BDP($C1616, VOLUME_AVG_10D))</f>
        <v>2353625.75</v>
      </c>
      <c r="Z1616" s="31">
        <f>IF(LEFT(_xll.BDP($C1616, VOLUME_AVG_30D), 4) = "#N/A", "",  _xll.BDP($C1616, VOLUME_AVG_30D))</f>
        <v>2514063.5</v>
      </c>
      <c r="AA1616" s="31">
        <f>IF(LEFT(_xll.BDP($C1616, VOLUME_AVG_3M), 4) = "#N/A", "",  _xll.BDP($C1616, VOLUME_AVG_3M))</f>
        <v>2551134.25</v>
      </c>
      <c r="AB1616" s="31">
        <f>IF(LEFT(_xll.BDP($C1616, VOLUME_AVG_6M), 4) = "#N/A", "",  _xll.BDP($C1616, VOLUME_AVG_6M))</f>
        <v>2237633.75</v>
      </c>
      <c r="AC1616" s="31">
        <f>IF(LEFT(_xll.BDP($C1616, VOLUME_AVG_12M), 4) = "#N/A", "",  _xll.BDP($C1616, VOLUME_AVG_12M))</f>
        <v>2615099.25</v>
      </c>
      <c r="AD1616" s="41" cm="1">
        <f t="array" ref="AD1616">IF(LEFT(_xll.BDP($C1616, LAST_PRICE), 4) = "#N/A", "",  _xll.BDP($C1616, LAST_PRICE))</f>
        <v>173.88</v>
      </c>
    </row>
    <row r="1617" spans="1:30" x14ac:dyDescent="0.35">
      <c r="A1617" s="1">
        <f t="shared" si="25"/>
        <v>1614</v>
      </c>
      <c r="B1617" s="28">
        <v>45700</v>
      </c>
      <c r="C1617" s="29" t="s">
        <v>3274</v>
      </c>
      <c r="D1617" s="29" t="s">
        <v>3274</v>
      </c>
      <c r="E1617" s="29" t="s">
        <v>3275</v>
      </c>
      <c r="F1617" s="29" t="s">
        <v>33</v>
      </c>
      <c r="G1617" s="30" t="s">
        <v>34</v>
      </c>
      <c r="H1617" s="31">
        <v>118083933.35853299</v>
      </c>
      <c r="I1617" s="31">
        <v>154911114.16227901</v>
      </c>
      <c r="J1617" s="32">
        <v>0.12049999833107</v>
      </c>
      <c r="K1617" s="33">
        <v>45700</v>
      </c>
      <c r="L1617" s="31">
        <v>86998800</v>
      </c>
      <c r="M1617" s="32">
        <v>3.7</v>
      </c>
      <c r="N1617" s="31" t="s">
        <v>35</v>
      </c>
      <c r="O1617" s="33">
        <v>45699</v>
      </c>
      <c r="P1617" s="34">
        <v>6140623.5</v>
      </c>
      <c r="Q1617" s="34">
        <v>6395178</v>
      </c>
      <c r="R1617" s="34">
        <v>5017502</v>
      </c>
      <c r="S1617" s="29"/>
      <c r="T1617" s="33"/>
      <c r="U1617" s="35" t="b">
        <v>0</v>
      </c>
      <c r="V1617" s="35" t="b">
        <v>0</v>
      </c>
      <c r="W1617" s="35" t="b">
        <v>0</v>
      </c>
      <c r="Y1617" s="31">
        <f>IF(LEFT(_xll.BDP($C1617, VOLUME_AVG_10D), 4) = "#N/A", "",  _xll.BDP($C1617, VOLUME_AVG_10D))</f>
        <v>3161418.75</v>
      </c>
      <c r="Z1617" s="31">
        <f>IF(LEFT(_xll.BDP($C1617, VOLUME_AVG_30D), 4) = "#N/A", "",  _xll.BDP($C1617, VOLUME_AVG_30D))</f>
        <v>6140623.5</v>
      </c>
      <c r="AA1617" s="31">
        <f>IF(LEFT(_xll.BDP($C1617, VOLUME_AVG_3M), 4) = "#N/A", "",  _xll.BDP($C1617, VOLUME_AVG_3M))</f>
        <v>6395178</v>
      </c>
      <c r="AB1617" s="31">
        <f>IF(LEFT(_xll.BDP($C1617, VOLUME_AVG_6M), 4) = "#N/A", "",  _xll.BDP($C1617, VOLUME_AVG_6M))</f>
        <v>5017502</v>
      </c>
      <c r="AC1617" s="31">
        <f>IF(LEFT(_xll.BDP($C1617, VOLUME_AVG_12M), 4) = "#N/A", "",  _xll.BDP($C1617, VOLUME_AVG_12M))</f>
        <v>4900401.5</v>
      </c>
      <c r="AD1617" s="41" cm="1">
        <f t="array" ref="AD1617">IF(LEFT(_xll.BDP($C1617, LAST_PRICE), 4) = "#N/A", "",  _xll.BDP($C1617, LAST_PRICE))</f>
        <v>0.1205</v>
      </c>
    </row>
    <row r="1618" spans="1:30" x14ac:dyDescent="0.35">
      <c r="A1618" s="1">
        <f t="shared" si="25"/>
        <v>1615</v>
      </c>
      <c r="B1618" s="28">
        <v>45700</v>
      </c>
      <c r="C1618" s="29" t="s">
        <v>3276</v>
      </c>
      <c r="D1618" s="29" t="s">
        <v>3276</v>
      </c>
      <c r="E1618" s="29" t="s">
        <v>3277</v>
      </c>
      <c r="F1618" s="29" t="s">
        <v>33</v>
      </c>
      <c r="G1618" s="30" t="s">
        <v>34</v>
      </c>
      <c r="H1618" s="31">
        <v>94920518.132968694</v>
      </c>
      <c r="I1618" s="31">
        <v>-75519481.867031306</v>
      </c>
      <c r="J1618" s="32">
        <v>1.4099999666214</v>
      </c>
      <c r="K1618" s="33">
        <v>45700</v>
      </c>
      <c r="L1618" s="31"/>
      <c r="M1618" s="32"/>
      <c r="N1618" s="31"/>
      <c r="O1618" s="33">
        <v>45699</v>
      </c>
      <c r="P1618" s="34">
        <v>501664.4375</v>
      </c>
      <c r="Q1618" s="34">
        <v>521773.875</v>
      </c>
      <c r="R1618" s="34">
        <v>477180.375</v>
      </c>
      <c r="S1618" s="29" t="s">
        <v>73</v>
      </c>
      <c r="T1618" s="33">
        <v>45446</v>
      </c>
      <c r="U1618" s="35" t="b">
        <v>0</v>
      </c>
      <c r="V1618" s="35" t="b">
        <v>0</v>
      </c>
      <c r="W1618" s="35" t="b">
        <v>1</v>
      </c>
      <c r="Y1618" s="31">
        <f>IF(LEFT(_xll.BDP($C1618, VOLUME_AVG_10D), 4) = "#N/A", "",  _xll.BDP($C1618, VOLUME_AVG_10D))</f>
        <v>630955</v>
      </c>
      <c r="Z1618" s="31">
        <f>IF(LEFT(_xll.BDP($C1618, VOLUME_AVG_30D), 4) = "#N/A", "",  _xll.BDP($C1618, VOLUME_AVG_30D))</f>
        <v>501664.4375</v>
      </c>
      <c r="AA1618" s="31">
        <f>IF(LEFT(_xll.BDP($C1618, VOLUME_AVG_3M), 4) = "#N/A", "",  _xll.BDP($C1618, VOLUME_AVG_3M))</f>
        <v>521773.875</v>
      </c>
      <c r="AB1618" s="31">
        <f>IF(LEFT(_xll.BDP($C1618, VOLUME_AVG_6M), 4) = "#N/A", "",  _xll.BDP($C1618, VOLUME_AVG_6M))</f>
        <v>477180.375</v>
      </c>
      <c r="AC1618" s="31">
        <f>IF(LEFT(_xll.BDP($C1618, VOLUME_AVG_12M), 4) = "#N/A", "",  _xll.BDP($C1618, VOLUME_AVG_12M))</f>
        <v>387926.9375</v>
      </c>
      <c r="AD1618" s="41" cm="1">
        <f t="array" ref="AD1618">IF(LEFT(_xll.BDP($C1618, LAST_PRICE), 4) = "#N/A", "",  _xll.BDP($C1618, LAST_PRICE))</f>
        <v>1.41</v>
      </c>
    </row>
    <row r="1619" spans="1:30" x14ac:dyDescent="0.35">
      <c r="A1619" s="1">
        <f t="shared" si="25"/>
        <v>1616</v>
      </c>
      <c r="B1619" s="28">
        <v>45700</v>
      </c>
      <c r="C1619" s="29" t="s">
        <v>3278</v>
      </c>
      <c r="D1619" s="29" t="s">
        <v>3278</v>
      </c>
      <c r="E1619" s="29" t="s">
        <v>3279</v>
      </c>
      <c r="F1619" s="29" t="s">
        <v>33</v>
      </c>
      <c r="G1619" s="30" t="s">
        <v>34</v>
      </c>
      <c r="H1619" s="31">
        <v>984948634.93734598</v>
      </c>
      <c r="I1619" s="31">
        <v>722633634.93734598</v>
      </c>
      <c r="J1619" s="32">
        <v>14.300000190734901</v>
      </c>
      <c r="K1619" s="33">
        <v>45700</v>
      </c>
      <c r="L1619" s="31">
        <v>7221000</v>
      </c>
      <c r="M1619" s="32">
        <v>3.88</v>
      </c>
      <c r="N1619" s="31" t="s">
        <v>35</v>
      </c>
      <c r="O1619" s="33">
        <v>45699</v>
      </c>
      <c r="P1619" s="34">
        <v>410834.90625</v>
      </c>
      <c r="Q1619" s="34">
        <v>454562.34375</v>
      </c>
      <c r="R1619" s="34">
        <v>549657.625</v>
      </c>
      <c r="S1619" s="29" t="s">
        <v>46</v>
      </c>
      <c r="T1619" s="33">
        <v>45446</v>
      </c>
      <c r="U1619" s="35" t="b">
        <v>0</v>
      </c>
      <c r="V1619" s="35" t="b">
        <v>0</v>
      </c>
      <c r="W1619" s="35" t="b">
        <v>0</v>
      </c>
      <c r="Y1619" s="31">
        <f>IF(LEFT(_xll.BDP($C1619, VOLUME_AVG_10D), 4) = "#N/A", "",  _xll.BDP($C1619, VOLUME_AVG_10D))</f>
        <v>318633.90625</v>
      </c>
      <c r="Z1619" s="31">
        <f>IF(LEFT(_xll.BDP($C1619, VOLUME_AVG_30D), 4) = "#N/A", "",  _xll.BDP($C1619, VOLUME_AVG_30D))</f>
        <v>410834.90625</v>
      </c>
      <c r="AA1619" s="31">
        <f>IF(LEFT(_xll.BDP($C1619, VOLUME_AVG_3M), 4) = "#N/A", "",  _xll.BDP($C1619, VOLUME_AVG_3M))</f>
        <v>454562.34375</v>
      </c>
      <c r="AB1619" s="31">
        <f>IF(LEFT(_xll.BDP($C1619, VOLUME_AVG_6M), 4) = "#N/A", "",  _xll.BDP($C1619, VOLUME_AVG_6M))</f>
        <v>549657.625</v>
      </c>
      <c r="AC1619" s="31">
        <f>IF(LEFT(_xll.BDP($C1619, VOLUME_AVG_12M), 4) = "#N/A", "",  _xll.BDP($C1619, VOLUME_AVG_12M))</f>
        <v>593199.1875</v>
      </c>
      <c r="AD1619" s="41" cm="1">
        <f t="array" ref="AD1619">IF(LEFT(_xll.BDP($C1619, LAST_PRICE), 4) = "#N/A", "",  _xll.BDP($C1619, LAST_PRICE))</f>
        <v>14.3</v>
      </c>
    </row>
    <row r="1620" spans="1:30" x14ac:dyDescent="0.35">
      <c r="A1620" s="1">
        <f t="shared" si="25"/>
        <v>1617</v>
      </c>
      <c r="B1620" s="28">
        <v>45700</v>
      </c>
      <c r="C1620" s="29" t="s">
        <v>3280</v>
      </c>
      <c r="D1620" s="29" t="s">
        <v>3280</v>
      </c>
      <c r="E1620" s="29" t="s">
        <v>3281</v>
      </c>
      <c r="F1620" s="29" t="s">
        <v>33</v>
      </c>
      <c r="G1620" s="30" t="s">
        <v>34</v>
      </c>
      <c r="H1620" s="31">
        <v>238204677.20740601</v>
      </c>
      <c r="I1620" s="31">
        <v>275255677.20740598</v>
      </c>
      <c r="J1620" s="32">
        <v>7.4800000190734899</v>
      </c>
      <c r="K1620" s="33">
        <v>45700</v>
      </c>
      <c r="L1620" s="31">
        <v>465300</v>
      </c>
      <c r="M1620" s="32">
        <v>-3.3</v>
      </c>
      <c r="N1620" s="31" t="s">
        <v>35</v>
      </c>
      <c r="O1620" s="33">
        <v>45699</v>
      </c>
      <c r="P1620" s="34">
        <v>68068.734375</v>
      </c>
      <c r="Q1620" s="34">
        <v>71730.1796875</v>
      </c>
      <c r="R1620" s="34">
        <v>90404.9921875</v>
      </c>
      <c r="S1620" s="29"/>
      <c r="T1620" s="33"/>
      <c r="U1620" s="35" t="b">
        <v>0</v>
      </c>
      <c r="V1620" s="35" t="b">
        <v>0</v>
      </c>
      <c r="W1620" s="35" t="b">
        <v>0</v>
      </c>
      <c r="Y1620" s="31">
        <f>IF(LEFT(_xll.BDP($C1620, VOLUME_AVG_10D), 4) = "#N/A", "",  _xll.BDP($C1620, VOLUME_AVG_10D))</f>
        <v>82840.296875</v>
      </c>
      <c r="Z1620" s="31">
        <f>IF(LEFT(_xll.BDP($C1620, VOLUME_AVG_30D), 4) = "#N/A", "",  _xll.BDP($C1620, VOLUME_AVG_30D))</f>
        <v>68068.734375</v>
      </c>
      <c r="AA1620" s="31">
        <f>IF(LEFT(_xll.BDP($C1620, VOLUME_AVG_3M), 4) = "#N/A", "",  _xll.BDP($C1620, VOLUME_AVG_3M))</f>
        <v>71730.1796875</v>
      </c>
      <c r="AB1620" s="31">
        <f>IF(LEFT(_xll.BDP($C1620, VOLUME_AVG_6M), 4) = "#N/A", "",  _xll.BDP($C1620, VOLUME_AVG_6M))</f>
        <v>90404.9921875</v>
      </c>
      <c r="AC1620" s="31">
        <f>IF(LEFT(_xll.BDP($C1620, VOLUME_AVG_12M), 4) = "#N/A", "",  _xll.BDP($C1620, VOLUME_AVG_12M))</f>
        <v>129438.5703125</v>
      </c>
      <c r="AD1620" s="41" cm="1">
        <f t="array" ref="AD1620">IF(LEFT(_xll.BDP($C1620, LAST_PRICE), 4) = "#N/A", "",  _xll.BDP($C1620, LAST_PRICE))</f>
        <v>7.48</v>
      </c>
    </row>
    <row r="1621" spans="1:30" x14ac:dyDescent="0.35">
      <c r="A1621" s="1">
        <f t="shared" si="25"/>
        <v>1618</v>
      </c>
      <c r="B1621" s="28">
        <v>45700</v>
      </c>
      <c r="C1621" s="29" t="s">
        <v>3282</v>
      </c>
      <c r="D1621" s="29" t="s">
        <v>3282</v>
      </c>
      <c r="E1621" s="29" t="s">
        <v>3283</v>
      </c>
      <c r="F1621" s="29" t="s">
        <v>40</v>
      </c>
      <c r="G1621" s="30" t="s">
        <v>41</v>
      </c>
      <c r="H1621" s="31">
        <v>59486192.799999997</v>
      </c>
      <c r="I1621" s="31">
        <v>67081192.799999997</v>
      </c>
      <c r="J1621" s="32">
        <v>0.8</v>
      </c>
      <c r="K1621" s="33">
        <v>45700</v>
      </c>
      <c r="L1621" s="31"/>
      <c r="M1621" s="32"/>
      <c r="N1621" s="31"/>
      <c r="O1621" s="33">
        <v>45699</v>
      </c>
      <c r="P1621" s="34">
        <v>3360</v>
      </c>
      <c r="Q1621" s="34">
        <v>4166.5469999999996</v>
      </c>
      <c r="R1621" s="34">
        <v>4437.7560000000003</v>
      </c>
      <c r="S1621" s="29"/>
      <c r="T1621" s="33"/>
      <c r="U1621" s="35" t="b">
        <v>0</v>
      </c>
      <c r="V1621" s="35" t="b">
        <v>0</v>
      </c>
      <c r="W1621" s="35" t="b">
        <v>0</v>
      </c>
      <c r="Y1621" s="31">
        <f>IF(LEFT(_xll.BDP($C1621, VOLUME_AVG_10D), 4) = "#N/A", "",  _xll.BDP($C1621, VOLUME_AVG_10D))</f>
        <v>1266.5</v>
      </c>
      <c r="Z1621" s="31">
        <f>IF(LEFT(_xll.BDP($C1621, VOLUME_AVG_30D), 4) = "#N/A", "",  _xll.BDP($C1621, VOLUME_AVG_30D))</f>
        <v>3360</v>
      </c>
      <c r="AA1621" s="31">
        <f>IF(LEFT(_xll.BDP($C1621, VOLUME_AVG_3M), 4) = "#N/A", "",  _xll.BDP($C1621, VOLUME_AVG_3M))</f>
        <v>4166.5469999999996</v>
      </c>
      <c r="AB1621" s="31">
        <f>IF(LEFT(_xll.BDP($C1621, VOLUME_AVG_6M), 4) = "#N/A", "",  _xll.BDP($C1621, VOLUME_AVG_6M))</f>
        <v>4437.7560000000003</v>
      </c>
      <c r="AC1621" s="31">
        <f>IF(LEFT(_xll.BDP($C1621, VOLUME_AVG_12M), 4) = "#N/A", "",  _xll.BDP($C1621, VOLUME_AVG_12M))</f>
        <v>5173.4920000000002</v>
      </c>
      <c r="AD1621" s="41" cm="1">
        <f t="array" ref="AD1621">IF(LEFT(_xll.BDP($C1621, LAST_PRICE), 4) = "#N/A", "",  _xll.BDP($C1621, LAST_PRICE))</f>
        <v>0.8</v>
      </c>
    </row>
    <row r="1622" spans="1:30" x14ac:dyDescent="0.35">
      <c r="A1622" s="1">
        <f t="shared" si="25"/>
        <v>1619</v>
      </c>
      <c r="B1622" s="28">
        <v>45700</v>
      </c>
      <c r="C1622" s="29" t="s">
        <v>3284</v>
      </c>
      <c r="D1622" s="29" t="s">
        <v>3284</v>
      </c>
      <c r="E1622" s="29" t="s">
        <v>3285</v>
      </c>
      <c r="F1622" s="29" t="s">
        <v>33</v>
      </c>
      <c r="G1622" s="30" t="s">
        <v>34</v>
      </c>
      <c r="H1622" s="31">
        <v>3285730.0664801602</v>
      </c>
      <c r="I1622" s="31">
        <v>3162810.0664801602</v>
      </c>
      <c r="J1622" s="32">
        <v>1.3099999427795399</v>
      </c>
      <c r="K1622" s="33">
        <v>45700</v>
      </c>
      <c r="L1622" s="31">
        <v>66100</v>
      </c>
      <c r="M1622" s="32">
        <v>-37.299999999999997</v>
      </c>
      <c r="N1622" s="31" t="s">
        <v>35</v>
      </c>
      <c r="O1622" s="33">
        <v>45699</v>
      </c>
      <c r="P1622" s="34">
        <v>1433176.625</v>
      </c>
      <c r="Q1622" s="34">
        <v>823337.6875</v>
      </c>
      <c r="R1622" s="34">
        <v>1008579.375</v>
      </c>
      <c r="S1622" s="29"/>
      <c r="T1622" s="33"/>
      <c r="U1622" s="35" t="b">
        <v>1</v>
      </c>
      <c r="V1622" s="35" t="b">
        <v>0</v>
      </c>
      <c r="W1622" s="35" t="b">
        <v>0</v>
      </c>
      <c r="Y1622" s="31">
        <f>IF(LEFT(_xll.BDP($C1622, VOLUME_AVG_10D), 4) = "#N/A", "",  _xll.BDP($C1622, VOLUME_AVG_10D))</f>
        <v>64498.1015625</v>
      </c>
      <c r="Z1622" s="31">
        <f>IF(LEFT(_xll.BDP($C1622, VOLUME_AVG_30D), 4) = "#N/A", "",  _xll.BDP($C1622, VOLUME_AVG_30D))</f>
        <v>1433176.625</v>
      </c>
      <c r="AA1622" s="31">
        <f>IF(LEFT(_xll.BDP($C1622, VOLUME_AVG_3M), 4) = "#N/A", "",  _xll.BDP($C1622, VOLUME_AVG_3M))</f>
        <v>823337.6875</v>
      </c>
      <c r="AB1622" s="31">
        <f>IF(LEFT(_xll.BDP($C1622, VOLUME_AVG_6M), 4) = "#N/A", "",  _xll.BDP($C1622, VOLUME_AVG_6M))</f>
        <v>1008579.375</v>
      </c>
      <c r="AC1622" s="31">
        <f>IF(LEFT(_xll.BDP($C1622, VOLUME_AVG_12M), 4) = "#N/A", "",  _xll.BDP($C1622, VOLUME_AVG_12M))</f>
        <v>641993.9375</v>
      </c>
      <c r="AD1622" s="41" cm="1">
        <f t="array" ref="AD1622">IF(LEFT(_xll.BDP($C1622, LAST_PRICE), 4) = "#N/A", "",  _xll.BDP($C1622, LAST_PRICE))</f>
        <v>1.31</v>
      </c>
    </row>
    <row r="1623" spans="1:30" x14ac:dyDescent="0.35">
      <c r="A1623" s="1" t="str">
        <f t="shared" si="25"/>
        <v/>
      </c>
      <c r="B1623" s="28"/>
      <c r="C1623" s="29"/>
      <c r="D1623" s="29"/>
      <c r="E1623" s="29"/>
      <c r="F1623" s="29"/>
      <c r="G1623" s="30"/>
      <c r="H1623" s="31"/>
      <c r="I1623" s="31"/>
      <c r="J1623" s="32"/>
      <c r="K1623" s="33"/>
      <c r="L1623" s="31"/>
      <c r="M1623" s="32"/>
      <c r="N1623" s="31"/>
      <c r="O1623" s="33"/>
      <c r="P1623" s="34"/>
      <c r="Q1623" s="34"/>
      <c r="R1623" s="34"/>
      <c r="S1623" s="29"/>
      <c r="T1623" s="33"/>
      <c r="U1623" s="35"/>
      <c r="V1623" s="35"/>
      <c r="W1623" s="35"/>
      <c r="Y1623" s="31" t="str">
        <f>IF(LEFT(_xll.BDP($C1623, VOLUME_AVG_10D), 4) = "#N/A", "",  _xll.BDP($C1623, VOLUME_AVG_10D))</f>
        <v/>
      </c>
      <c r="Z1623" s="31" t="str">
        <f>IF(LEFT(_xll.BDP($C1623, VOLUME_AVG_30D), 4) = "#N/A", "",  _xll.BDP($C1623, VOLUME_AVG_30D))</f>
        <v/>
      </c>
      <c r="AA1623" s="31" t="str">
        <f>IF(LEFT(_xll.BDP($C1623, VOLUME_AVG_3M), 4) = "#N/A", "",  _xll.BDP($C1623, VOLUME_AVG_3M))</f>
        <v/>
      </c>
      <c r="AB1623" s="31" t="str">
        <f>IF(LEFT(_xll.BDP($C1623, VOLUME_AVG_6M), 4) = "#N/A", "",  _xll.BDP($C1623, VOLUME_AVG_6M))</f>
        <v/>
      </c>
      <c r="AC1623" s="31" t="str">
        <f>IF(LEFT(_xll.BDP($C1623, VOLUME_AVG_12M), 4) = "#N/A", "",  _xll.BDP($C1623, VOLUME_AVG_12M))</f>
        <v/>
      </c>
      <c r="AD1623" s="41" t="str" cm="1">
        <f t="array" ref="AD1623">IF(LEFT(_xll.BDP($C1623, LAST_PRICE), 4) = "#N/A", "",  _xll.BDP($C1623, LAST_PRICE))</f>
        <v/>
      </c>
    </row>
    <row r="1624" spans="1:30" x14ac:dyDescent="0.35">
      <c r="A1624" s="1" t="str">
        <f t="shared" si="25"/>
        <v/>
      </c>
      <c r="B1624" s="28"/>
      <c r="C1624" s="29"/>
      <c r="D1624" s="29"/>
      <c r="E1624" s="29"/>
      <c r="F1624" s="29"/>
      <c r="G1624" s="30"/>
      <c r="H1624" s="31"/>
      <c r="I1624" s="31"/>
      <c r="J1624" s="32"/>
      <c r="K1624" s="33"/>
      <c r="L1624" s="31"/>
      <c r="M1624" s="32"/>
      <c r="N1624" s="31"/>
      <c r="O1624" s="33"/>
      <c r="P1624" s="34"/>
      <c r="Q1624" s="34"/>
      <c r="R1624" s="34"/>
      <c r="S1624" s="29"/>
      <c r="T1624" s="33"/>
      <c r="U1624" s="35"/>
      <c r="V1624" s="35"/>
      <c r="W1624" s="35"/>
      <c r="Y1624" s="31" t="str">
        <f>IF(LEFT(_xll.BDP($C1624, VOLUME_AVG_10D), 4) = "#N/A", "",  _xll.BDP($C1624, VOLUME_AVG_10D))</f>
        <v/>
      </c>
      <c r="Z1624" s="31" t="str">
        <f>IF(LEFT(_xll.BDP($C1624, VOLUME_AVG_30D), 4) = "#N/A", "",  _xll.BDP($C1624, VOLUME_AVG_30D))</f>
        <v/>
      </c>
      <c r="AA1624" s="31" t="str">
        <f>IF(LEFT(_xll.BDP($C1624, VOLUME_AVG_3M), 4) = "#N/A", "",  _xll.BDP($C1624, VOLUME_AVG_3M))</f>
        <v/>
      </c>
      <c r="AB1624" s="31" t="str">
        <f>IF(LEFT(_xll.BDP($C1624, VOLUME_AVG_6M), 4) = "#N/A", "",  _xll.BDP($C1624, VOLUME_AVG_6M))</f>
        <v/>
      </c>
      <c r="AC1624" s="31" t="str">
        <f>IF(LEFT(_xll.BDP($C1624, VOLUME_AVG_12M), 4) = "#N/A", "",  _xll.BDP($C1624, VOLUME_AVG_12M))</f>
        <v/>
      </c>
      <c r="AD1624" s="41" t="str" cm="1">
        <f t="array" ref="AD1624">IF(LEFT(_xll.BDP($C1624, LAST_PRICE), 4) = "#N/A", "",  _xll.BDP($C1624, LAST_PRICE))</f>
        <v/>
      </c>
    </row>
    <row r="1625" spans="1:30" x14ac:dyDescent="0.35">
      <c r="A1625" s="1" t="str">
        <f t="shared" si="25"/>
        <v/>
      </c>
      <c r="B1625" s="28"/>
      <c r="C1625" s="29"/>
      <c r="D1625" s="29"/>
      <c r="E1625" s="29"/>
      <c r="F1625" s="29"/>
      <c r="G1625" s="30"/>
      <c r="H1625" s="31"/>
      <c r="I1625" s="31"/>
      <c r="J1625" s="32"/>
      <c r="K1625" s="33"/>
      <c r="L1625" s="31"/>
      <c r="M1625" s="32"/>
      <c r="N1625" s="31"/>
      <c r="O1625" s="33"/>
      <c r="P1625" s="34"/>
      <c r="Q1625" s="34"/>
      <c r="R1625" s="34"/>
      <c r="S1625" s="29"/>
      <c r="T1625" s="33"/>
      <c r="U1625" s="35"/>
      <c r="V1625" s="35"/>
      <c r="W1625" s="35"/>
      <c r="Y1625" s="31" t="str">
        <f>IF(LEFT(_xll.BDP($C1625, VOLUME_AVG_10D), 4) = "#N/A", "",  _xll.BDP($C1625, VOLUME_AVG_10D))</f>
        <v/>
      </c>
      <c r="Z1625" s="31" t="str">
        <f>IF(LEFT(_xll.BDP($C1625, VOLUME_AVG_30D), 4) = "#N/A", "",  _xll.BDP($C1625, VOLUME_AVG_30D))</f>
        <v/>
      </c>
      <c r="AA1625" s="31" t="str">
        <f>IF(LEFT(_xll.BDP($C1625, VOLUME_AVG_3M), 4) = "#N/A", "",  _xll.BDP($C1625, VOLUME_AVG_3M))</f>
        <v/>
      </c>
      <c r="AB1625" s="31" t="str">
        <f>IF(LEFT(_xll.BDP($C1625, VOLUME_AVG_6M), 4) = "#N/A", "",  _xll.BDP($C1625, VOLUME_AVG_6M))</f>
        <v/>
      </c>
      <c r="AC1625" s="31" t="str">
        <f>IF(LEFT(_xll.BDP($C1625, VOLUME_AVG_12M), 4) = "#N/A", "",  _xll.BDP($C1625, VOLUME_AVG_12M))</f>
        <v/>
      </c>
      <c r="AD1625" s="41" t="str" cm="1">
        <f t="array" ref="AD1625">IF(LEFT(_xll.BDP($C1625, LAST_PRICE), 4) = "#N/A", "",  _xll.BDP($C1625, LAST_PRICE))</f>
        <v/>
      </c>
    </row>
    <row r="1626" spans="1:30" x14ac:dyDescent="0.35">
      <c r="A1626" s="1" t="str">
        <f t="shared" si="25"/>
        <v/>
      </c>
      <c r="B1626" s="28"/>
      <c r="C1626" s="29"/>
      <c r="D1626" s="29"/>
      <c r="E1626" s="29"/>
      <c r="F1626" s="29"/>
      <c r="G1626" s="30"/>
      <c r="H1626" s="31"/>
      <c r="I1626" s="31"/>
      <c r="J1626" s="32"/>
      <c r="K1626" s="33"/>
      <c r="L1626" s="31"/>
      <c r="M1626" s="32"/>
      <c r="N1626" s="31"/>
      <c r="O1626" s="33"/>
      <c r="P1626" s="34"/>
      <c r="Q1626" s="34"/>
      <c r="R1626" s="34"/>
      <c r="S1626" s="29"/>
      <c r="T1626" s="33"/>
      <c r="U1626" s="35"/>
      <c r="V1626" s="35"/>
      <c r="W1626" s="35"/>
      <c r="Y1626" s="31" t="str">
        <f>IF(LEFT(_xll.BDP($C1626, VOLUME_AVG_10D), 4) = "#N/A", "",  _xll.BDP($C1626, VOLUME_AVG_10D))</f>
        <v/>
      </c>
      <c r="Z1626" s="31" t="str">
        <f>IF(LEFT(_xll.BDP($C1626, VOLUME_AVG_30D), 4) = "#N/A", "",  _xll.BDP($C1626, VOLUME_AVG_30D))</f>
        <v/>
      </c>
      <c r="AA1626" s="31" t="str">
        <f>IF(LEFT(_xll.BDP($C1626, VOLUME_AVG_3M), 4) = "#N/A", "",  _xll.BDP($C1626, VOLUME_AVG_3M))</f>
        <v/>
      </c>
      <c r="AB1626" s="31" t="str">
        <f>IF(LEFT(_xll.BDP($C1626, VOLUME_AVG_6M), 4) = "#N/A", "",  _xll.BDP($C1626, VOLUME_AVG_6M))</f>
        <v/>
      </c>
      <c r="AC1626" s="31" t="str">
        <f>IF(LEFT(_xll.BDP($C1626, VOLUME_AVG_12M), 4) = "#N/A", "",  _xll.BDP($C1626, VOLUME_AVG_12M))</f>
        <v/>
      </c>
      <c r="AD1626" s="41" t="str" cm="1">
        <f t="array" ref="AD1626">IF(LEFT(_xll.BDP($C1626, LAST_PRICE), 4) = "#N/A", "",  _xll.BDP($C1626, LAST_PRICE))</f>
        <v/>
      </c>
    </row>
    <row r="1627" spans="1:30" x14ac:dyDescent="0.35">
      <c r="A1627" s="1" t="str">
        <f t="shared" si="25"/>
        <v/>
      </c>
      <c r="B1627" s="28"/>
      <c r="C1627" s="29"/>
      <c r="D1627" s="29"/>
      <c r="E1627" s="29"/>
      <c r="F1627" s="29"/>
      <c r="G1627" s="30"/>
      <c r="H1627" s="31"/>
      <c r="I1627" s="31"/>
      <c r="J1627" s="32"/>
      <c r="K1627" s="33"/>
      <c r="L1627" s="31"/>
      <c r="M1627" s="32"/>
      <c r="N1627" s="31"/>
      <c r="O1627" s="33"/>
      <c r="P1627" s="34"/>
      <c r="Q1627" s="34"/>
      <c r="R1627" s="34"/>
      <c r="S1627" s="29"/>
      <c r="T1627" s="33"/>
      <c r="U1627" s="35"/>
      <c r="V1627" s="35"/>
      <c r="W1627" s="35"/>
      <c r="Y1627" s="31" t="str">
        <f>IF(LEFT(_xll.BDP($C1627, VOLUME_AVG_10D), 4) = "#N/A", "",  _xll.BDP($C1627, VOLUME_AVG_10D))</f>
        <v/>
      </c>
      <c r="Z1627" s="31" t="str">
        <f>IF(LEFT(_xll.BDP($C1627, VOLUME_AVG_30D), 4) = "#N/A", "",  _xll.BDP($C1627, VOLUME_AVG_30D))</f>
        <v/>
      </c>
      <c r="AA1627" s="31" t="str">
        <f>IF(LEFT(_xll.BDP($C1627, VOLUME_AVG_3M), 4) = "#N/A", "",  _xll.BDP($C1627, VOLUME_AVG_3M))</f>
        <v/>
      </c>
      <c r="AB1627" s="31" t="str">
        <f>IF(LEFT(_xll.BDP($C1627, VOLUME_AVG_6M), 4) = "#N/A", "",  _xll.BDP($C1627, VOLUME_AVG_6M))</f>
        <v/>
      </c>
      <c r="AC1627" s="31" t="str">
        <f>IF(LEFT(_xll.BDP($C1627, VOLUME_AVG_12M), 4) = "#N/A", "",  _xll.BDP($C1627, VOLUME_AVG_12M))</f>
        <v/>
      </c>
      <c r="AD1627" s="41" t="str" cm="1">
        <f t="array" ref="AD1627">IF(LEFT(_xll.BDP($C1627, LAST_PRICE), 4) = "#N/A", "",  _xll.BDP($C1627, LAST_PRICE))</f>
        <v/>
      </c>
    </row>
    <row r="1628" spans="1:30" x14ac:dyDescent="0.35">
      <c r="A1628" s="1" t="str">
        <f t="shared" si="25"/>
        <v/>
      </c>
      <c r="B1628" s="28"/>
      <c r="C1628" s="29"/>
      <c r="D1628" s="29"/>
      <c r="E1628" s="29"/>
      <c r="F1628" s="29"/>
      <c r="G1628" s="30"/>
      <c r="H1628" s="31"/>
      <c r="I1628" s="31"/>
      <c r="J1628" s="32"/>
      <c r="K1628" s="33"/>
      <c r="L1628" s="31"/>
      <c r="M1628" s="32"/>
      <c r="N1628" s="31"/>
      <c r="O1628" s="33"/>
      <c r="P1628" s="34"/>
      <c r="Q1628" s="34"/>
      <c r="R1628" s="34"/>
      <c r="S1628" s="29"/>
      <c r="T1628" s="33"/>
      <c r="U1628" s="35"/>
      <c r="V1628" s="35"/>
      <c r="W1628" s="35"/>
      <c r="Y1628" s="31" t="str">
        <f>IF(LEFT(_xll.BDP($C1628, VOLUME_AVG_10D), 4) = "#N/A", "",  _xll.BDP($C1628, VOLUME_AVG_10D))</f>
        <v/>
      </c>
      <c r="Z1628" s="31" t="str">
        <f>IF(LEFT(_xll.BDP($C1628, VOLUME_AVG_30D), 4) = "#N/A", "",  _xll.BDP($C1628, VOLUME_AVG_30D))</f>
        <v/>
      </c>
      <c r="AA1628" s="31" t="str">
        <f>IF(LEFT(_xll.BDP($C1628, VOLUME_AVG_3M), 4) = "#N/A", "",  _xll.BDP($C1628, VOLUME_AVG_3M))</f>
        <v/>
      </c>
      <c r="AB1628" s="31" t="str">
        <f>IF(LEFT(_xll.BDP($C1628, VOLUME_AVG_6M), 4) = "#N/A", "",  _xll.BDP($C1628, VOLUME_AVG_6M))</f>
        <v/>
      </c>
      <c r="AC1628" s="31" t="str">
        <f>IF(LEFT(_xll.BDP($C1628, VOLUME_AVG_12M), 4) = "#N/A", "",  _xll.BDP($C1628, VOLUME_AVG_12M))</f>
        <v/>
      </c>
      <c r="AD1628" s="41" t="str" cm="1">
        <f t="array" ref="AD1628">IF(LEFT(_xll.BDP($C1628, LAST_PRICE), 4) = "#N/A", "",  _xll.BDP($C1628, LAST_PRICE))</f>
        <v/>
      </c>
    </row>
    <row r="1629" spans="1:30" x14ac:dyDescent="0.35">
      <c r="A1629" s="1" t="str">
        <f t="shared" si="25"/>
        <v/>
      </c>
      <c r="B1629" s="28"/>
      <c r="C1629" s="29"/>
      <c r="D1629" s="29"/>
      <c r="E1629" s="29"/>
      <c r="F1629" s="29"/>
      <c r="G1629" s="30"/>
      <c r="H1629" s="31"/>
      <c r="I1629" s="31"/>
      <c r="J1629" s="32"/>
      <c r="K1629" s="33"/>
      <c r="L1629" s="31"/>
      <c r="M1629" s="32"/>
      <c r="N1629" s="31"/>
      <c r="O1629" s="33"/>
      <c r="P1629" s="34"/>
      <c r="Q1629" s="34"/>
      <c r="R1629" s="34"/>
      <c r="S1629" s="29"/>
      <c r="T1629" s="33"/>
      <c r="U1629" s="35"/>
      <c r="V1629" s="35"/>
      <c r="W1629" s="35"/>
      <c r="Y1629" s="31" t="str" cm="1">
        <f t="array" ref="Y1629">IF(LEFT(_xll.BDP($C1629, VOLUME_AVG_10D), 4) = "#N/A", "",  _xll.BDP($C1629, VOLUME_AVG_10D))</f>
        <v/>
      </c>
      <c r="Z1629" s="31" t="str" cm="1">
        <f t="array" ref="Z1629">IF(LEFT(_xll.BDP($C1629, VOLUME_AVG_30D), 4) = "#N/A", "",  _xll.BDP($C1629, VOLUME_AVG_30D))</f>
        <v/>
      </c>
      <c r="AA1629" s="31" t="str">
        <f>IF(LEFT(_xll.BDP($C1629, VOLUME_AVG_3M), 4) = "#N/A", "",  _xll.BDP($C1629, VOLUME_AVG_3M))</f>
        <v/>
      </c>
      <c r="AB1629" s="31" t="str">
        <f>IF(LEFT(_xll.BDP($C1629, VOLUME_AVG_6M), 4) = "#N/A", "",  _xll.BDP($C1629, VOLUME_AVG_6M))</f>
        <v/>
      </c>
      <c r="AC1629" s="31" t="str">
        <f>IF(LEFT(_xll.BDP($C1629, VOLUME_AVG_12M), 4) = "#N/A", "",  _xll.BDP($C1629, VOLUME_AVG_12M))</f>
        <v/>
      </c>
      <c r="AD1629" s="41" t="str" cm="1">
        <f t="array" ref="AD1629">IF(LEFT(_xll.BDP($C1629, LAST_PRICE), 4) = "#N/A", "",  _xll.BDP($C1629, LAST_PRICE))</f>
        <v/>
      </c>
    </row>
    <row r="1630" spans="1:30" x14ac:dyDescent="0.35">
      <c r="A1630" s="1" t="str">
        <f t="shared" si="25"/>
        <v/>
      </c>
      <c r="B1630" s="28"/>
      <c r="C1630" s="29"/>
      <c r="D1630" s="29"/>
      <c r="E1630" s="29"/>
      <c r="F1630" s="29"/>
      <c r="G1630" s="30"/>
      <c r="H1630" s="31"/>
      <c r="I1630" s="31"/>
      <c r="J1630" s="32"/>
      <c r="K1630" s="33"/>
      <c r="L1630" s="31"/>
      <c r="M1630" s="32"/>
      <c r="N1630" s="31"/>
      <c r="O1630" s="33"/>
      <c r="P1630" s="34"/>
      <c r="Q1630" s="34"/>
      <c r="R1630" s="34"/>
      <c r="S1630" s="29"/>
      <c r="T1630" s="33"/>
      <c r="U1630" s="35"/>
      <c r="V1630" s="35"/>
      <c r="W1630" s="35"/>
      <c r="Y1630" s="31" t="str">
        <f>IF(LEFT(_xll.BDP($C1630, VOLUME_AVG_10D), 4) = "#N/A", "",  _xll.BDP($C1630, VOLUME_AVG_10D))</f>
        <v/>
      </c>
      <c r="Z1630" s="31" t="str">
        <f>IF(LEFT(_xll.BDP($C1630, VOLUME_AVG_30D), 4) = "#N/A", "",  _xll.BDP($C1630, VOLUME_AVG_30D))</f>
        <v/>
      </c>
      <c r="AA1630" s="31" t="str">
        <f>IF(LEFT(_xll.BDP($C1630, VOLUME_AVG_3M), 4) = "#N/A", "",  _xll.BDP($C1630, VOLUME_AVG_3M))</f>
        <v/>
      </c>
      <c r="AB1630" s="31" t="str">
        <f>IF(LEFT(_xll.BDP($C1630, VOLUME_AVG_6M), 4) = "#N/A", "",  _xll.BDP($C1630, VOLUME_AVG_6M))</f>
        <v/>
      </c>
      <c r="AC1630" s="31" t="str">
        <f>IF(LEFT(_xll.BDP($C1630, VOLUME_AVG_12M), 4) = "#N/A", "",  _xll.BDP($C1630, VOLUME_AVG_12M))</f>
        <v/>
      </c>
      <c r="AD1630" s="41" t="str" cm="1">
        <f t="array" ref="AD1630">IF(LEFT(_xll.BDP($C1630, LAST_PRICE), 4) = "#N/A", "",  _xll.BDP($C1630, LAST_PRICE))</f>
        <v/>
      </c>
    </row>
    <row r="1631" spans="1:30" x14ac:dyDescent="0.35">
      <c r="A1631" s="1" t="str">
        <f t="shared" si="25"/>
        <v/>
      </c>
      <c r="B1631" s="28"/>
      <c r="C1631" s="29"/>
      <c r="D1631" s="29"/>
      <c r="E1631" s="29"/>
      <c r="F1631" s="29"/>
      <c r="G1631" s="30"/>
      <c r="H1631" s="31"/>
      <c r="I1631" s="31"/>
      <c r="J1631" s="32"/>
      <c r="K1631" s="33"/>
      <c r="L1631" s="31"/>
      <c r="M1631" s="32"/>
      <c r="N1631" s="31"/>
      <c r="O1631" s="33"/>
      <c r="P1631" s="34"/>
      <c r="Q1631" s="34"/>
      <c r="R1631" s="34"/>
      <c r="S1631" s="29"/>
      <c r="T1631" s="33"/>
      <c r="U1631" s="35"/>
      <c r="V1631" s="35"/>
      <c r="W1631" s="35"/>
      <c r="Y1631" s="31" t="str">
        <f>IF(LEFT(_xll.BDP($C1631, VOLUME_AVG_10D), 4) = "#N/A", "",  _xll.BDP($C1631, VOLUME_AVG_10D))</f>
        <v/>
      </c>
      <c r="Z1631" s="31" t="str">
        <f>IF(LEFT(_xll.BDP($C1631, VOLUME_AVG_30D), 4) = "#N/A", "",  _xll.BDP($C1631, VOLUME_AVG_30D))</f>
        <v/>
      </c>
      <c r="AA1631" s="31" t="str">
        <f>IF(LEFT(_xll.BDP($C1631, VOLUME_AVG_3M), 4) = "#N/A", "",  _xll.BDP($C1631, VOLUME_AVG_3M))</f>
        <v/>
      </c>
      <c r="AB1631" s="31" t="str">
        <f>IF(LEFT(_xll.BDP($C1631, VOLUME_AVG_6M), 4) = "#N/A", "",  _xll.BDP($C1631, VOLUME_AVG_6M))</f>
        <v/>
      </c>
      <c r="AC1631" s="31" t="str">
        <f>IF(LEFT(_xll.BDP($C1631, VOLUME_AVG_12M), 4) = "#N/A", "",  _xll.BDP($C1631, VOLUME_AVG_12M))</f>
        <v/>
      </c>
      <c r="AD1631" s="41" t="str" cm="1">
        <f t="array" ref="AD1631">IF(LEFT(_xll.BDP($C1631, LAST_PRICE), 4) = "#N/A", "",  _xll.BDP($C1631, LAST_PRICE))</f>
        <v/>
      </c>
    </row>
    <row r="1632" spans="1:30" x14ac:dyDescent="0.35">
      <c r="A1632" s="1" t="str">
        <f t="shared" si="25"/>
        <v/>
      </c>
      <c r="B1632" s="28"/>
      <c r="C1632" s="29"/>
      <c r="D1632" s="29"/>
      <c r="E1632" s="29"/>
      <c r="F1632" s="29"/>
      <c r="G1632" s="30"/>
      <c r="H1632" s="31"/>
      <c r="I1632" s="31"/>
      <c r="J1632" s="32"/>
      <c r="K1632" s="33"/>
      <c r="L1632" s="31"/>
      <c r="M1632" s="32"/>
      <c r="N1632" s="31"/>
      <c r="O1632" s="33"/>
      <c r="P1632" s="34"/>
      <c r="Q1632" s="34"/>
      <c r="R1632" s="34"/>
      <c r="S1632" s="29"/>
      <c r="T1632" s="33"/>
      <c r="U1632" s="35"/>
      <c r="V1632" s="35"/>
      <c r="W1632" s="35"/>
      <c r="Y1632" s="31" t="str">
        <f>IF(LEFT(_xll.BDP($C1632, VOLUME_AVG_10D), 4) = "#N/A", "",  _xll.BDP($C1632, VOLUME_AVG_10D))</f>
        <v/>
      </c>
      <c r="Z1632" s="31" t="str">
        <f>IF(LEFT(_xll.BDP($C1632, VOLUME_AVG_30D), 4) = "#N/A", "",  _xll.BDP($C1632, VOLUME_AVG_30D))</f>
        <v/>
      </c>
      <c r="AA1632" s="31" t="str">
        <f>IF(LEFT(_xll.BDP($C1632, VOLUME_AVG_3M), 4) = "#N/A", "",  _xll.BDP($C1632, VOLUME_AVG_3M))</f>
        <v/>
      </c>
      <c r="AB1632" s="31" t="str">
        <f>IF(LEFT(_xll.BDP($C1632, VOLUME_AVG_6M), 4) = "#N/A", "",  _xll.BDP($C1632, VOLUME_AVG_6M))</f>
        <v/>
      </c>
      <c r="AC1632" s="31" t="str">
        <f>IF(LEFT(_xll.BDP($C1632, VOLUME_AVG_12M), 4) = "#N/A", "",  _xll.BDP($C1632, VOLUME_AVG_12M))</f>
        <v/>
      </c>
      <c r="AD1632" s="41" t="str" cm="1">
        <f t="array" ref="AD1632">IF(LEFT(_xll.BDP($C1632, LAST_PRICE), 4) = "#N/A", "",  _xll.BDP($C1632, LAST_PRICE))</f>
        <v/>
      </c>
    </row>
    <row r="1633" spans="1:30" x14ac:dyDescent="0.35">
      <c r="A1633" s="1" t="str">
        <f t="shared" si="25"/>
        <v/>
      </c>
      <c r="B1633" s="28"/>
      <c r="C1633" s="29"/>
      <c r="D1633" s="29"/>
      <c r="E1633" s="29"/>
      <c r="F1633" s="29"/>
      <c r="G1633" s="30"/>
      <c r="H1633" s="31"/>
      <c r="I1633" s="31"/>
      <c r="J1633" s="32"/>
      <c r="K1633" s="33"/>
      <c r="L1633" s="31"/>
      <c r="M1633" s="32"/>
      <c r="N1633" s="31"/>
      <c r="O1633" s="33"/>
      <c r="P1633" s="34"/>
      <c r="Q1633" s="34"/>
      <c r="R1633" s="34"/>
      <c r="S1633" s="29"/>
      <c r="T1633" s="33"/>
      <c r="U1633" s="35"/>
      <c r="V1633" s="35"/>
      <c r="W1633" s="35"/>
      <c r="Y1633" s="31" t="str">
        <f>IF(LEFT(_xll.BDP($C1633, VOLUME_AVG_10D), 4) = "#N/A", "",  _xll.BDP($C1633, VOLUME_AVG_10D))</f>
        <v/>
      </c>
      <c r="Z1633" s="31" t="str">
        <f>IF(LEFT(_xll.BDP($C1633, VOLUME_AVG_30D), 4) = "#N/A", "",  _xll.BDP($C1633, VOLUME_AVG_30D))</f>
        <v/>
      </c>
      <c r="AA1633" s="31" t="str">
        <f>IF(LEFT(_xll.BDP($C1633, VOLUME_AVG_3M), 4) = "#N/A", "",  _xll.BDP($C1633, VOLUME_AVG_3M))</f>
        <v/>
      </c>
      <c r="AB1633" s="31" t="str">
        <f>IF(LEFT(_xll.BDP($C1633, VOLUME_AVG_6M), 4) = "#N/A", "",  _xll.BDP($C1633, VOLUME_AVG_6M))</f>
        <v/>
      </c>
      <c r="AC1633" s="31" t="str">
        <f>IF(LEFT(_xll.BDP($C1633, VOLUME_AVG_12M), 4) = "#N/A", "",  _xll.BDP($C1633, VOLUME_AVG_12M))</f>
        <v/>
      </c>
      <c r="AD1633" s="41" t="str" cm="1">
        <f t="array" ref="AD1633">IF(LEFT(_xll.BDP($C1633, LAST_PRICE), 4) = "#N/A", "",  _xll.BDP($C1633, LAST_PRICE))</f>
        <v/>
      </c>
    </row>
    <row r="1634" spans="1:30" x14ac:dyDescent="0.35">
      <c r="A1634" s="1" t="str">
        <f t="shared" si="25"/>
        <v/>
      </c>
      <c r="B1634" s="28"/>
      <c r="C1634" s="29"/>
      <c r="D1634" s="29"/>
      <c r="E1634" s="29"/>
      <c r="F1634" s="29"/>
      <c r="G1634" s="30"/>
      <c r="H1634" s="31"/>
      <c r="I1634" s="31"/>
      <c r="J1634" s="32"/>
      <c r="K1634" s="33"/>
      <c r="L1634" s="31"/>
      <c r="M1634" s="32"/>
      <c r="N1634" s="31"/>
      <c r="O1634" s="33"/>
      <c r="P1634" s="34"/>
      <c r="Q1634" s="34"/>
      <c r="R1634" s="34"/>
      <c r="S1634" s="29"/>
      <c r="T1634" s="33"/>
      <c r="U1634" s="35"/>
      <c r="V1634" s="35"/>
      <c r="W1634" s="35"/>
      <c r="Y1634" s="31" t="str">
        <f>IF(LEFT(_xll.BDP($C1634, VOLUME_AVG_10D), 4) = "#N/A", "",  _xll.BDP($C1634, VOLUME_AVG_10D))</f>
        <v/>
      </c>
      <c r="Z1634" s="31" t="str">
        <f>IF(LEFT(_xll.BDP($C1634, VOLUME_AVG_30D), 4) = "#N/A", "",  _xll.BDP($C1634, VOLUME_AVG_30D))</f>
        <v/>
      </c>
      <c r="AA1634" s="31" t="str">
        <f>IF(LEFT(_xll.BDP($C1634, VOLUME_AVG_3M), 4) = "#N/A", "",  _xll.BDP($C1634, VOLUME_AVG_3M))</f>
        <v/>
      </c>
      <c r="AB1634" s="31" t="str">
        <f>IF(LEFT(_xll.BDP($C1634, VOLUME_AVG_6M), 4) = "#N/A", "",  _xll.BDP($C1634, VOLUME_AVG_6M))</f>
        <v/>
      </c>
      <c r="AC1634" s="31" t="str">
        <f>IF(LEFT(_xll.BDP($C1634, VOLUME_AVG_12M), 4) = "#N/A", "",  _xll.BDP($C1634, VOLUME_AVG_12M))</f>
        <v/>
      </c>
      <c r="AD1634" s="41" t="str" cm="1">
        <f t="array" ref="AD1634">IF(LEFT(_xll.BDP($C1634, LAST_PRICE), 4) = "#N/A", "",  _xll.BDP($C1634, LAST_PRICE))</f>
        <v/>
      </c>
    </row>
    <row r="1635" spans="1:30" x14ac:dyDescent="0.35">
      <c r="A1635" s="1" t="str">
        <f t="shared" si="25"/>
        <v/>
      </c>
      <c r="B1635" s="28"/>
      <c r="C1635" s="29"/>
      <c r="D1635" s="29"/>
      <c r="E1635" s="29"/>
      <c r="F1635" s="29"/>
      <c r="G1635" s="30"/>
      <c r="H1635" s="31"/>
      <c r="I1635" s="31"/>
      <c r="J1635" s="32"/>
      <c r="K1635" s="33"/>
      <c r="L1635" s="31"/>
      <c r="M1635" s="32"/>
      <c r="N1635" s="31"/>
      <c r="O1635" s="33"/>
      <c r="P1635" s="34"/>
      <c r="Q1635" s="34"/>
      <c r="R1635" s="34"/>
      <c r="S1635" s="29"/>
      <c r="T1635" s="33"/>
      <c r="U1635" s="35"/>
      <c r="V1635" s="35"/>
      <c r="W1635" s="35"/>
      <c r="Y1635" s="31" t="str">
        <f>IF(LEFT(_xll.BDP($C1635, VOLUME_AVG_10D), 4) = "#N/A", "",  _xll.BDP($C1635, VOLUME_AVG_10D))</f>
        <v/>
      </c>
      <c r="Z1635" s="31" t="str">
        <f>IF(LEFT(_xll.BDP($C1635, VOLUME_AVG_30D), 4) = "#N/A", "",  _xll.BDP($C1635, VOLUME_AVG_30D))</f>
        <v/>
      </c>
      <c r="AA1635" s="31" t="str">
        <f>IF(LEFT(_xll.BDP($C1635, VOLUME_AVG_3M), 4) = "#N/A", "",  _xll.BDP($C1635, VOLUME_AVG_3M))</f>
        <v/>
      </c>
      <c r="AB1635" s="31" t="str">
        <f>IF(LEFT(_xll.BDP($C1635, VOLUME_AVG_6M), 4) = "#N/A", "",  _xll.BDP($C1635, VOLUME_AVG_6M))</f>
        <v/>
      </c>
      <c r="AC1635" s="31" t="str">
        <f>IF(LEFT(_xll.BDP($C1635, VOLUME_AVG_12M), 4) = "#N/A", "",  _xll.BDP($C1635, VOLUME_AVG_12M))</f>
        <v/>
      </c>
      <c r="AD1635" s="41" t="str" cm="1">
        <f t="array" ref="AD1635">IF(LEFT(_xll.BDP($C1635, LAST_PRICE), 4) = "#N/A", "",  _xll.BDP($C1635, LAST_PRICE))</f>
        <v/>
      </c>
    </row>
    <row r="1636" spans="1:30" x14ac:dyDescent="0.35">
      <c r="A1636" s="1" t="str">
        <f t="shared" si="25"/>
        <v/>
      </c>
      <c r="B1636" s="28"/>
      <c r="C1636" s="29"/>
      <c r="D1636" s="29"/>
      <c r="E1636" s="29"/>
      <c r="F1636" s="29"/>
      <c r="G1636" s="30"/>
      <c r="H1636" s="31"/>
      <c r="I1636" s="31"/>
      <c r="J1636" s="32"/>
      <c r="K1636" s="33"/>
      <c r="L1636" s="31"/>
      <c r="M1636" s="32"/>
      <c r="N1636" s="31"/>
      <c r="O1636" s="33"/>
      <c r="P1636" s="34"/>
      <c r="Q1636" s="34"/>
      <c r="R1636" s="34"/>
      <c r="S1636" s="29"/>
      <c r="T1636" s="33"/>
      <c r="U1636" s="35"/>
      <c r="V1636" s="35"/>
      <c r="W1636" s="35"/>
      <c r="Y1636" s="31" t="str">
        <f>IF(LEFT(_xll.BDP($C1636, VOLUME_AVG_10D), 4) = "#N/A", "",  _xll.BDP($C1636, VOLUME_AVG_10D))</f>
        <v/>
      </c>
      <c r="Z1636" s="31" t="str">
        <f>IF(LEFT(_xll.BDP($C1636, VOLUME_AVG_30D), 4) = "#N/A", "",  _xll.BDP($C1636, VOLUME_AVG_30D))</f>
        <v/>
      </c>
      <c r="AA1636" s="31" t="str">
        <f>IF(LEFT(_xll.BDP($C1636, VOLUME_AVG_3M), 4) = "#N/A", "",  _xll.BDP($C1636, VOLUME_AVG_3M))</f>
        <v/>
      </c>
      <c r="AB1636" s="31" t="str">
        <f>IF(LEFT(_xll.BDP($C1636, VOLUME_AVG_6M), 4) = "#N/A", "",  _xll.BDP($C1636, VOLUME_AVG_6M))</f>
        <v/>
      </c>
      <c r="AC1636" s="31" t="str">
        <f>IF(LEFT(_xll.BDP($C1636, VOLUME_AVG_12M), 4) = "#N/A", "",  _xll.BDP($C1636, VOLUME_AVG_12M))</f>
        <v/>
      </c>
      <c r="AD1636" s="41" t="str" cm="1">
        <f t="array" ref="AD1636">IF(LEFT(_xll.BDP($C1636, LAST_PRICE), 4) = "#N/A", "",  _xll.BDP($C1636, LAST_PRICE))</f>
        <v/>
      </c>
    </row>
    <row r="1637" spans="1:30" x14ac:dyDescent="0.35">
      <c r="A1637" s="1" t="str">
        <f t="shared" si="25"/>
        <v/>
      </c>
      <c r="B1637" s="28"/>
      <c r="C1637" s="29"/>
      <c r="D1637" s="29"/>
      <c r="E1637" s="29"/>
      <c r="F1637" s="29"/>
      <c r="G1637" s="30"/>
      <c r="H1637" s="31"/>
      <c r="I1637" s="31"/>
      <c r="J1637" s="32"/>
      <c r="K1637" s="33"/>
      <c r="L1637" s="31"/>
      <c r="M1637" s="32"/>
      <c r="N1637" s="31"/>
      <c r="O1637" s="33"/>
      <c r="P1637" s="34"/>
      <c r="Q1637" s="34"/>
      <c r="R1637" s="34"/>
      <c r="S1637" s="29"/>
      <c r="T1637" s="33"/>
      <c r="U1637" s="35"/>
      <c r="V1637" s="35"/>
      <c r="W1637" s="35"/>
      <c r="Y1637" s="31" t="str">
        <f>IF(LEFT(_xll.BDP($C1637, VOLUME_AVG_10D), 4) = "#N/A", "",  _xll.BDP($C1637, VOLUME_AVG_10D))</f>
        <v/>
      </c>
      <c r="Z1637" s="31" t="str">
        <f>IF(LEFT(_xll.BDP($C1637, VOLUME_AVG_30D), 4) = "#N/A", "",  _xll.BDP($C1637, VOLUME_AVG_30D))</f>
        <v/>
      </c>
      <c r="AA1637" s="31" t="str">
        <f>IF(LEFT(_xll.BDP($C1637, VOLUME_AVG_3M), 4) = "#N/A", "",  _xll.BDP($C1637, VOLUME_AVG_3M))</f>
        <v/>
      </c>
      <c r="AB1637" s="31" t="str">
        <f>IF(LEFT(_xll.BDP($C1637, VOLUME_AVG_6M), 4) = "#N/A", "",  _xll.BDP($C1637, VOLUME_AVG_6M))</f>
        <v/>
      </c>
      <c r="AC1637" s="31" t="str">
        <f>IF(LEFT(_xll.BDP($C1637, VOLUME_AVG_12M), 4) = "#N/A", "",  _xll.BDP($C1637, VOLUME_AVG_12M))</f>
        <v/>
      </c>
      <c r="AD1637" s="41" t="str" cm="1">
        <f t="array" ref="AD1637">IF(LEFT(_xll.BDP($C1637, LAST_PRICE), 4) = "#N/A", "",  _xll.BDP($C1637, LAST_PRICE))</f>
        <v/>
      </c>
    </row>
    <row r="1638" spans="1:30" x14ac:dyDescent="0.35">
      <c r="A1638" s="1" t="str">
        <f t="shared" si="25"/>
        <v/>
      </c>
      <c r="B1638" s="28"/>
      <c r="C1638" s="29"/>
      <c r="D1638" s="29"/>
      <c r="E1638" s="29"/>
      <c r="F1638" s="29"/>
      <c r="G1638" s="30"/>
      <c r="H1638" s="31"/>
      <c r="I1638" s="31"/>
      <c r="J1638" s="32"/>
      <c r="K1638" s="33"/>
      <c r="L1638" s="31"/>
      <c r="M1638" s="32"/>
      <c r="N1638" s="31"/>
      <c r="O1638" s="33"/>
      <c r="P1638" s="34"/>
      <c r="Q1638" s="34"/>
      <c r="R1638" s="34"/>
      <c r="S1638" s="29"/>
      <c r="T1638" s="33"/>
      <c r="U1638" s="35"/>
      <c r="V1638" s="35"/>
      <c r="W1638" s="35"/>
      <c r="Y1638" s="31" t="str">
        <f>IF(LEFT(_xll.BDP($C1638, VOLUME_AVG_10D), 4) = "#N/A", "",  _xll.BDP($C1638, VOLUME_AVG_10D))</f>
        <v/>
      </c>
      <c r="Z1638" s="31" t="str">
        <f>IF(LEFT(_xll.BDP($C1638, VOLUME_AVG_30D), 4) = "#N/A", "",  _xll.BDP($C1638, VOLUME_AVG_30D))</f>
        <v/>
      </c>
      <c r="AA1638" s="31" t="str">
        <f>IF(LEFT(_xll.BDP($C1638, VOLUME_AVG_3M), 4) = "#N/A", "",  _xll.BDP($C1638, VOLUME_AVG_3M))</f>
        <v/>
      </c>
      <c r="AB1638" s="31" t="str">
        <f>IF(LEFT(_xll.BDP($C1638, VOLUME_AVG_6M), 4) = "#N/A", "",  _xll.BDP($C1638, VOLUME_AVG_6M))</f>
        <v/>
      </c>
      <c r="AC1638" s="31" t="str">
        <f>IF(LEFT(_xll.BDP($C1638, VOLUME_AVG_12M), 4) = "#N/A", "",  _xll.BDP($C1638, VOLUME_AVG_12M))</f>
        <v/>
      </c>
      <c r="AD1638" s="41" t="str" cm="1">
        <f t="array" ref="AD1638">IF(LEFT(_xll.BDP($C1638, LAST_PRICE), 4) = "#N/A", "",  _xll.BDP($C1638, LAST_PRICE))</f>
        <v/>
      </c>
    </row>
    <row r="1639" spans="1:30" x14ac:dyDescent="0.35">
      <c r="A1639" s="1" t="str">
        <f t="shared" si="25"/>
        <v/>
      </c>
      <c r="B1639" s="28"/>
      <c r="C1639" s="29"/>
      <c r="D1639" s="29"/>
      <c r="E1639" s="29"/>
      <c r="F1639" s="29"/>
      <c r="G1639" s="30"/>
      <c r="H1639" s="31"/>
      <c r="I1639" s="31"/>
      <c r="J1639" s="32"/>
      <c r="K1639" s="33"/>
      <c r="L1639" s="31"/>
      <c r="M1639" s="32"/>
      <c r="N1639" s="31"/>
      <c r="O1639" s="33"/>
      <c r="P1639" s="34"/>
      <c r="Q1639" s="34"/>
      <c r="R1639" s="34"/>
      <c r="S1639" s="29"/>
      <c r="T1639" s="33"/>
      <c r="U1639" s="35"/>
      <c r="V1639" s="35"/>
      <c r="W1639" s="35"/>
      <c r="Y1639" s="31" t="str">
        <f>IF(LEFT(_xll.BDP($C1639, VOLUME_AVG_10D), 4) = "#N/A", "",  _xll.BDP($C1639, VOLUME_AVG_10D))</f>
        <v/>
      </c>
      <c r="Z1639" s="31" t="str">
        <f>IF(LEFT(_xll.BDP($C1639, VOLUME_AVG_30D), 4) = "#N/A", "",  _xll.BDP($C1639, VOLUME_AVG_30D))</f>
        <v/>
      </c>
      <c r="AA1639" s="31" t="str">
        <f>IF(LEFT(_xll.BDP($C1639, VOLUME_AVG_3M), 4) = "#N/A", "",  _xll.BDP($C1639, VOLUME_AVG_3M))</f>
        <v/>
      </c>
      <c r="AB1639" s="31" t="str">
        <f>IF(LEFT(_xll.BDP($C1639, VOLUME_AVG_6M), 4) = "#N/A", "",  _xll.BDP($C1639, VOLUME_AVG_6M))</f>
        <v/>
      </c>
      <c r="AC1639" s="31" t="str">
        <f>IF(LEFT(_xll.BDP($C1639, VOLUME_AVG_12M), 4) = "#N/A", "",  _xll.BDP($C1639, VOLUME_AVG_12M))</f>
        <v/>
      </c>
      <c r="AD1639" s="41" t="str" cm="1">
        <f t="array" ref="AD1639">IF(LEFT(_xll.BDP($C1639, LAST_PRICE), 4) = "#N/A", "",  _xll.BDP($C1639, LAST_PRICE))</f>
        <v/>
      </c>
    </row>
    <row r="1640" spans="1:30" x14ac:dyDescent="0.35">
      <c r="A1640" s="1" t="str">
        <f t="shared" si="25"/>
        <v/>
      </c>
      <c r="B1640" s="28"/>
      <c r="C1640" s="29"/>
      <c r="D1640" s="29"/>
      <c r="E1640" s="29"/>
      <c r="F1640" s="29"/>
      <c r="G1640" s="30"/>
      <c r="H1640" s="31"/>
      <c r="I1640" s="31"/>
      <c r="J1640" s="32"/>
      <c r="K1640" s="33"/>
      <c r="L1640" s="31"/>
      <c r="M1640" s="32"/>
      <c r="N1640" s="31"/>
      <c r="O1640" s="33"/>
      <c r="P1640" s="34"/>
      <c r="Q1640" s="34"/>
      <c r="R1640" s="34"/>
      <c r="S1640" s="29"/>
      <c r="T1640" s="33"/>
      <c r="U1640" s="35"/>
      <c r="V1640" s="35"/>
      <c r="W1640" s="35"/>
      <c r="Y1640" s="31" t="str">
        <f>IF(LEFT(_xll.BDP($C1640, VOLUME_AVG_10D), 4) = "#N/A", "",  _xll.BDP($C1640, VOLUME_AVG_10D))</f>
        <v/>
      </c>
      <c r="Z1640" s="31" t="str">
        <f>IF(LEFT(_xll.BDP($C1640, VOLUME_AVG_30D), 4) = "#N/A", "",  _xll.BDP($C1640, VOLUME_AVG_30D))</f>
        <v/>
      </c>
      <c r="AA1640" s="31" t="str">
        <f>IF(LEFT(_xll.BDP($C1640, VOLUME_AVG_3M), 4) = "#N/A", "",  _xll.BDP($C1640, VOLUME_AVG_3M))</f>
        <v/>
      </c>
      <c r="AB1640" s="31" t="str">
        <f>IF(LEFT(_xll.BDP($C1640, VOLUME_AVG_6M), 4) = "#N/A", "",  _xll.BDP($C1640, VOLUME_AVG_6M))</f>
        <v/>
      </c>
      <c r="AC1640" s="31" t="str">
        <f>IF(LEFT(_xll.BDP($C1640, VOLUME_AVG_12M), 4) = "#N/A", "",  _xll.BDP($C1640, VOLUME_AVG_12M))</f>
        <v/>
      </c>
      <c r="AD1640" s="41" t="str" cm="1">
        <f t="array" ref="AD1640">IF(LEFT(_xll.BDP($C1640, LAST_PRICE), 4) = "#N/A", "",  _xll.BDP($C1640, LAST_PRICE))</f>
        <v/>
      </c>
    </row>
    <row r="1641" spans="1:30" x14ac:dyDescent="0.35">
      <c r="A1641" s="1" t="str">
        <f t="shared" si="25"/>
        <v/>
      </c>
      <c r="B1641" s="28"/>
      <c r="C1641" s="29"/>
      <c r="D1641" s="29"/>
      <c r="E1641" s="29"/>
      <c r="F1641" s="29"/>
      <c r="G1641" s="30"/>
      <c r="H1641" s="31"/>
      <c r="I1641" s="31"/>
      <c r="J1641" s="32"/>
      <c r="K1641" s="33"/>
      <c r="L1641" s="31"/>
      <c r="M1641" s="32"/>
      <c r="N1641" s="31"/>
      <c r="O1641" s="33"/>
      <c r="P1641" s="34"/>
      <c r="Q1641" s="34"/>
      <c r="R1641" s="34"/>
      <c r="S1641" s="29"/>
      <c r="T1641" s="33"/>
      <c r="U1641" s="35"/>
      <c r="V1641" s="35"/>
      <c r="W1641" s="35"/>
      <c r="Y1641" s="31" t="str">
        <f>IF(LEFT(_xll.BDP($C1641, VOLUME_AVG_10D), 4) = "#N/A", "",  _xll.BDP($C1641, VOLUME_AVG_10D))</f>
        <v/>
      </c>
      <c r="Z1641" s="31" t="str">
        <f>IF(LEFT(_xll.BDP($C1641, VOLUME_AVG_30D), 4) = "#N/A", "",  _xll.BDP($C1641, VOLUME_AVG_30D))</f>
        <v/>
      </c>
      <c r="AA1641" s="31" t="str">
        <f>IF(LEFT(_xll.BDP($C1641, VOLUME_AVG_3M), 4) = "#N/A", "",  _xll.BDP($C1641, VOLUME_AVG_3M))</f>
        <v/>
      </c>
      <c r="AB1641" s="31" t="str">
        <f>IF(LEFT(_xll.BDP($C1641, VOLUME_AVG_6M), 4) = "#N/A", "",  _xll.BDP($C1641, VOLUME_AVG_6M))</f>
        <v/>
      </c>
      <c r="AC1641" s="31" t="str">
        <f>IF(LEFT(_xll.BDP($C1641, VOLUME_AVG_12M), 4) = "#N/A", "",  _xll.BDP($C1641, VOLUME_AVG_12M))</f>
        <v/>
      </c>
      <c r="AD1641" s="41" t="str" cm="1">
        <f t="array" ref="AD1641">IF(LEFT(_xll.BDP($C1641, LAST_PRICE), 4) = "#N/A", "",  _xll.BDP($C1641, LAST_PRICE))</f>
        <v/>
      </c>
    </row>
    <row r="1642" spans="1:30" x14ac:dyDescent="0.35">
      <c r="A1642" s="1" t="str">
        <f t="shared" si="25"/>
        <v/>
      </c>
      <c r="B1642" s="28"/>
      <c r="C1642" s="29"/>
      <c r="D1642" s="29"/>
      <c r="E1642" s="29"/>
      <c r="F1642" s="29"/>
      <c r="G1642" s="30"/>
      <c r="H1642" s="31"/>
      <c r="I1642" s="31"/>
      <c r="J1642" s="32"/>
      <c r="K1642" s="33"/>
      <c r="L1642" s="31"/>
      <c r="M1642" s="32"/>
      <c r="N1642" s="31"/>
      <c r="O1642" s="33"/>
      <c r="P1642" s="34"/>
      <c r="Q1642" s="34"/>
      <c r="R1642" s="34"/>
      <c r="S1642" s="29"/>
      <c r="T1642" s="33"/>
      <c r="U1642" s="35"/>
      <c r="V1642" s="35"/>
      <c r="W1642" s="35"/>
      <c r="Y1642" s="31" t="str">
        <f>IF(LEFT(_xll.BDP($C1642, VOLUME_AVG_10D), 4) = "#N/A", "",  _xll.BDP($C1642, VOLUME_AVG_10D))</f>
        <v/>
      </c>
      <c r="Z1642" s="31" t="str">
        <f>IF(LEFT(_xll.BDP($C1642, VOLUME_AVG_30D), 4) = "#N/A", "",  _xll.BDP($C1642, VOLUME_AVG_30D))</f>
        <v/>
      </c>
      <c r="AA1642" s="31" t="str">
        <f>IF(LEFT(_xll.BDP($C1642, VOLUME_AVG_3M), 4) = "#N/A", "",  _xll.BDP($C1642, VOLUME_AVG_3M))</f>
        <v/>
      </c>
      <c r="AB1642" s="31" t="str">
        <f>IF(LEFT(_xll.BDP($C1642, VOLUME_AVG_6M), 4) = "#N/A", "",  _xll.BDP($C1642, VOLUME_AVG_6M))</f>
        <v/>
      </c>
      <c r="AC1642" s="31" t="str">
        <f>IF(LEFT(_xll.BDP($C1642, VOLUME_AVG_12M), 4) = "#N/A", "",  _xll.BDP($C1642, VOLUME_AVG_12M))</f>
        <v/>
      </c>
      <c r="AD1642" s="41" t="str" cm="1">
        <f t="array" ref="AD1642">IF(LEFT(_xll.BDP($C1642, LAST_PRICE), 4) = "#N/A", "",  _xll.BDP($C1642, LAST_PRICE))</f>
        <v/>
      </c>
    </row>
    <row r="1643" spans="1:30" x14ac:dyDescent="0.35">
      <c r="A1643" s="1" t="str">
        <f t="shared" si="25"/>
        <v/>
      </c>
      <c r="B1643" s="28"/>
      <c r="C1643" s="29"/>
      <c r="D1643" s="29"/>
      <c r="E1643" s="29"/>
      <c r="F1643" s="29"/>
      <c r="G1643" s="30"/>
      <c r="H1643" s="31"/>
      <c r="I1643" s="31"/>
      <c r="J1643" s="32"/>
      <c r="K1643" s="33"/>
      <c r="L1643" s="31"/>
      <c r="M1643" s="32"/>
      <c r="N1643" s="31"/>
      <c r="O1643" s="33"/>
      <c r="P1643" s="34"/>
      <c r="Q1643" s="34"/>
      <c r="R1643" s="34"/>
      <c r="S1643" s="29"/>
      <c r="T1643" s="33"/>
      <c r="U1643" s="35"/>
      <c r="V1643" s="35"/>
      <c r="W1643" s="35"/>
      <c r="Y1643" s="31" t="str">
        <f>IF(LEFT(_xll.BDP($C1643, VOLUME_AVG_10D), 4) = "#N/A", "",  _xll.BDP($C1643, VOLUME_AVG_10D))</f>
        <v/>
      </c>
      <c r="Z1643" s="31" t="str">
        <f>IF(LEFT(_xll.BDP($C1643, VOLUME_AVG_30D), 4) = "#N/A", "",  _xll.BDP($C1643, VOLUME_AVG_30D))</f>
        <v/>
      </c>
      <c r="AA1643" s="31" t="str">
        <f>IF(LEFT(_xll.BDP($C1643, VOLUME_AVG_3M), 4) = "#N/A", "",  _xll.BDP($C1643, VOLUME_AVG_3M))</f>
        <v/>
      </c>
      <c r="AB1643" s="31" t="str">
        <f>IF(LEFT(_xll.BDP($C1643, VOLUME_AVG_6M), 4) = "#N/A", "",  _xll.BDP($C1643, VOLUME_AVG_6M))</f>
        <v/>
      </c>
      <c r="AC1643" s="31" t="str">
        <f>IF(LEFT(_xll.BDP($C1643, VOLUME_AVG_12M), 4) = "#N/A", "",  _xll.BDP($C1643, VOLUME_AVG_12M))</f>
        <v/>
      </c>
      <c r="AD1643" s="41" t="str" cm="1">
        <f t="array" ref="AD1643">IF(LEFT(_xll.BDP($C1643, LAST_PRICE), 4) = "#N/A", "",  _xll.BDP($C1643, LAST_PRICE))</f>
        <v/>
      </c>
    </row>
    <row r="1644" spans="1:30" x14ac:dyDescent="0.35">
      <c r="A1644" s="1" t="str">
        <f t="shared" si="25"/>
        <v/>
      </c>
      <c r="B1644" s="28"/>
      <c r="C1644" s="29"/>
      <c r="D1644" s="29"/>
      <c r="E1644" s="29"/>
      <c r="F1644" s="29"/>
      <c r="G1644" s="30"/>
      <c r="H1644" s="31"/>
      <c r="I1644" s="31"/>
      <c r="J1644" s="32"/>
      <c r="K1644" s="33"/>
      <c r="L1644" s="31"/>
      <c r="M1644" s="32"/>
      <c r="N1644" s="31"/>
      <c r="O1644" s="33"/>
      <c r="P1644" s="34"/>
      <c r="Q1644" s="34"/>
      <c r="R1644" s="34"/>
      <c r="S1644" s="29"/>
      <c r="T1644" s="33"/>
      <c r="U1644" s="35"/>
      <c r="V1644" s="35"/>
      <c r="W1644" s="35"/>
      <c r="Y1644" s="31" t="str">
        <f>IF(LEFT(_xll.BDP($C1644, VOLUME_AVG_10D), 4) = "#N/A", "",  _xll.BDP($C1644, VOLUME_AVG_10D))</f>
        <v/>
      </c>
      <c r="Z1644" s="31" t="str">
        <f>IF(LEFT(_xll.BDP($C1644, VOLUME_AVG_30D), 4) = "#N/A", "",  _xll.BDP($C1644, VOLUME_AVG_30D))</f>
        <v/>
      </c>
      <c r="AA1644" s="31" t="str">
        <f>IF(LEFT(_xll.BDP($C1644, VOLUME_AVG_3M), 4) = "#N/A", "",  _xll.BDP($C1644, VOLUME_AVG_3M))</f>
        <v/>
      </c>
      <c r="AB1644" s="31" t="str">
        <f>IF(LEFT(_xll.BDP($C1644, VOLUME_AVG_6M), 4) = "#N/A", "",  _xll.BDP($C1644, VOLUME_AVG_6M))</f>
        <v/>
      </c>
      <c r="AC1644" s="31" t="str">
        <f>IF(LEFT(_xll.BDP($C1644, VOLUME_AVG_12M), 4) = "#N/A", "",  _xll.BDP($C1644, VOLUME_AVG_12M))</f>
        <v/>
      </c>
      <c r="AD1644" s="41" t="str" cm="1">
        <f t="array" ref="AD1644">IF(LEFT(_xll.BDP($C1644, LAST_PRICE), 4) = "#N/A", "",  _xll.BDP($C1644, LAST_PRICE))</f>
        <v/>
      </c>
    </row>
    <row r="1645" spans="1:30" x14ac:dyDescent="0.35">
      <c r="A1645" s="1" t="str">
        <f t="shared" si="25"/>
        <v/>
      </c>
      <c r="B1645" s="28"/>
      <c r="C1645" s="29"/>
      <c r="D1645" s="29"/>
      <c r="E1645" s="29"/>
      <c r="F1645" s="29"/>
      <c r="G1645" s="30"/>
      <c r="H1645" s="31"/>
      <c r="I1645" s="31"/>
      <c r="J1645" s="32"/>
      <c r="K1645" s="33"/>
      <c r="L1645" s="31"/>
      <c r="M1645" s="32"/>
      <c r="N1645" s="31"/>
      <c r="O1645" s="33"/>
      <c r="P1645" s="34"/>
      <c r="Q1645" s="34"/>
      <c r="R1645" s="34"/>
      <c r="S1645" s="29"/>
      <c r="T1645" s="33"/>
      <c r="U1645" s="35"/>
      <c r="V1645" s="35"/>
      <c r="W1645" s="35"/>
      <c r="Y1645" s="31" t="str">
        <f>IF(LEFT(_xll.BDP($C1645, VOLUME_AVG_10D), 4) = "#N/A", "",  _xll.BDP($C1645, VOLUME_AVG_10D))</f>
        <v/>
      </c>
      <c r="Z1645" s="31" t="str">
        <f>IF(LEFT(_xll.BDP($C1645, VOLUME_AVG_30D), 4) = "#N/A", "",  _xll.BDP($C1645, VOLUME_AVG_30D))</f>
        <v/>
      </c>
      <c r="AA1645" s="31" t="str">
        <f>IF(LEFT(_xll.BDP($C1645, VOLUME_AVG_3M), 4) = "#N/A", "",  _xll.BDP($C1645, VOLUME_AVG_3M))</f>
        <v/>
      </c>
      <c r="AB1645" s="31" t="str">
        <f>IF(LEFT(_xll.BDP($C1645, VOLUME_AVG_6M), 4) = "#N/A", "",  _xll.BDP($C1645, VOLUME_AVG_6M))</f>
        <v/>
      </c>
      <c r="AC1645" s="31" t="str">
        <f>IF(LEFT(_xll.BDP($C1645, VOLUME_AVG_12M), 4) = "#N/A", "",  _xll.BDP($C1645, VOLUME_AVG_12M))</f>
        <v/>
      </c>
      <c r="AD1645" s="41" t="str" cm="1">
        <f t="array" ref="AD1645">IF(LEFT(_xll.BDP($C1645, LAST_PRICE), 4) = "#N/A", "",  _xll.BDP($C1645, LAST_PRICE))</f>
        <v/>
      </c>
    </row>
    <row r="1646" spans="1:30" x14ac:dyDescent="0.35">
      <c r="A1646" s="1" t="str">
        <f t="shared" si="25"/>
        <v/>
      </c>
      <c r="B1646" s="28"/>
      <c r="C1646" s="29"/>
      <c r="D1646" s="29"/>
      <c r="E1646" s="29"/>
      <c r="F1646" s="29"/>
      <c r="G1646" s="30"/>
      <c r="H1646" s="31"/>
      <c r="I1646" s="31"/>
      <c r="J1646" s="32"/>
      <c r="K1646" s="33"/>
      <c r="L1646" s="31"/>
      <c r="M1646" s="32"/>
      <c r="N1646" s="31"/>
      <c r="O1646" s="33"/>
      <c r="P1646" s="34"/>
      <c r="Q1646" s="34"/>
      <c r="R1646" s="34"/>
      <c r="S1646" s="29"/>
      <c r="T1646" s="33"/>
      <c r="U1646" s="35"/>
      <c r="V1646" s="35"/>
      <c r="W1646" s="35"/>
      <c r="Y1646" s="31" t="str">
        <f>IF(LEFT(_xll.BDP($C1646, VOLUME_AVG_10D), 4) = "#N/A", "",  _xll.BDP($C1646, VOLUME_AVG_10D))</f>
        <v/>
      </c>
      <c r="Z1646" s="31" t="str">
        <f>IF(LEFT(_xll.BDP($C1646, VOLUME_AVG_30D), 4) = "#N/A", "",  _xll.BDP($C1646, VOLUME_AVG_30D))</f>
        <v/>
      </c>
      <c r="AA1646" s="31" t="str">
        <f>IF(LEFT(_xll.BDP($C1646, VOLUME_AVG_3M), 4) = "#N/A", "",  _xll.BDP($C1646, VOLUME_AVG_3M))</f>
        <v/>
      </c>
      <c r="AB1646" s="31" t="str">
        <f>IF(LEFT(_xll.BDP($C1646, VOLUME_AVG_6M), 4) = "#N/A", "",  _xll.BDP($C1646, VOLUME_AVG_6M))</f>
        <v/>
      </c>
      <c r="AC1646" s="31" t="str">
        <f>IF(LEFT(_xll.BDP($C1646, VOLUME_AVG_12M), 4) = "#N/A", "",  _xll.BDP($C1646, VOLUME_AVG_12M))</f>
        <v/>
      </c>
      <c r="AD1646" s="41" t="str" cm="1">
        <f t="array" ref="AD1646">IF(LEFT(_xll.BDP($C1646, LAST_PRICE), 4) = "#N/A", "",  _xll.BDP($C1646, LAST_PRICE))</f>
        <v/>
      </c>
    </row>
    <row r="1647" spans="1:30" x14ac:dyDescent="0.35">
      <c r="A1647" s="1" t="str">
        <f t="shared" si="25"/>
        <v/>
      </c>
      <c r="B1647" s="28"/>
      <c r="C1647" s="29"/>
      <c r="D1647" s="29"/>
      <c r="E1647" s="29"/>
      <c r="F1647" s="29"/>
      <c r="G1647" s="30"/>
      <c r="H1647" s="31"/>
      <c r="I1647" s="31"/>
      <c r="J1647" s="32"/>
      <c r="K1647" s="33"/>
      <c r="L1647" s="31"/>
      <c r="M1647" s="32"/>
      <c r="N1647" s="31"/>
      <c r="O1647" s="33"/>
      <c r="P1647" s="34"/>
      <c r="Q1647" s="34"/>
      <c r="R1647" s="34"/>
      <c r="S1647" s="29"/>
      <c r="T1647" s="33"/>
      <c r="U1647" s="35"/>
      <c r="V1647" s="35"/>
      <c r="W1647" s="35"/>
      <c r="Y1647" s="31" t="str">
        <f>IF(LEFT(_xll.BDP($C1647, VOLUME_AVG_10D), 4) = "#N/A", "",  _xll.BDP($C1647, VOLUME_AVG_10D))</f>
        <v/>
      </c>
      <c r="Z1647" s="31" t="str">
        <f>IF(LEFT(_xll.BDP($C1647, VOLUME_AVG_30D), 4) = "#N/A", "",  _xll.BDP($C1647, VOLUME_AVG_30D))</f>
        <v/>
      </c>
      <c r="AA1647" s="31" t="str">
        <f>IF(LEFT(_xll.BDP($C1647, VOLUME_AVG_3M), 4) = "#N/A", "",  _xll.BDP($C1647, VOLUME_AVG_3M))</f>
        <v/>
      </c>
      <c r="AB1647" s="31" t="str">
        <f>IF(LEFT(_xll.BDP($C1647, VOLUME_AVG_6M), 4) = "#N/A", "",  _xll.BDP($C1647, VOLUME_AVG_6M))</f>
        <v/>
      </c>
      <c r="AC1647" s="31" t="str">
        <f>IF(LEFT(_xll.BDP($C1647, VOLUME_AVG_12M), 4) = "#N/A", "",  _xll.BDP($C1647, VOLUME_AVG_12M))</f>
        <v/>
      </c>
      <c r="AD1647" s="41" t="str" cm="1">
        <f t="array" ref="AD1647">IF(LEFT(_xll.BDP($C1647, LAST_PRICE), 4) = "#N/A", "",  _xll.BDP($C1647, LAST_PRICE))</f>
        <v/>
      </c>
    </row>
    <row r="1648" spans="1:30" x14ac:dyDescent="0.35">
      <c r="A1648" s="1" t="str">
        <f t="shared" si="25"/>
        <v/>
      </c>
      <c r="B1648" s="28"/>
      <c r="C1648" s="29"/>
      <c r="D1648" s="29"/>
      <c r="E1648" s="29"/>
      <c r="F1648" s="29"/>
      <c r="G1648" s="30"/>
      <c r="H1648" s="31"/>
      <c r="I1648" s="31"/>
      <c r="J1648" s="32"/>
      <c r="K1648" s="33"/>
      <c r="L1648" s="31"/>
      <c r="M1648" s="32"/>
      <c r="N1648" s="31"/>
      <c r="O1648" s="33"/>
      <c r="P1648" s="34"/>
      <c r="Q1648" s="34"/>
      <c r="R1648" s="34"/>
      <c r="S1648" s="29"/>
      <c r="T1648" s="33"/>
      <c r="U1648" s="35"/>
      <c r="V1648" s="35"/>
      <c r="W1648" s="35"/>
      <c r="Y1648" s="31" t="str" cm="1">
        <f t="array" ref="Y1648">IF(LEFT(_xll.BDP($C1648, VOLUME_AVG_10D), 4) = "#N/A", "",  _xll.BDP($C1648, VOLUME_AVG_10D))</f>
        <v/>
      </c>
      <c r="Z1648" s="31" t="str" cm="1">
        <f t="array" ref="Z1648">IF(LEFT(_xll.BDP($C1648, VOLUME_AVG_30D), 4) = "#N/A", "",  _xll.BDP($C1648, VOLUME_AVG_30D))</f>
        <v/>
      </c>
      <c r="AA1648" s="31" t="str">
        <f>IF(LEFT(_xll.BDP($C1648, VOLUME_AVG_3M), 4) = "#N/A", "",  _xll.BDP($C1648, VOLUME_AVG_3M))</f>
        <v/>
      </c>
      <c r="AB1648" s="31" t="str">
        <f>IF(LEFT(_xll.BDP($C1648, VOLUME_AVG_6M), 4) = "#N/A", "",  _xll.BDP($C1648, VOLUME_AVG_6M))</f>
        <v/>
      </c>
      <c r="AC1648" s="31" t="str">
        <f>IF(LEFT(_xll.BDP($C1648, VOLUME_AVG_12M), 4) = "#N/A", "",  _xll.BDP($C1648, VOLUME_AVG_12M))</f>
        <v/>
      </c>
      <c r="AD1648" s="41" t="str" cm="1">
        <f t="array" ref="AD1648">IF(LEFT(_xll.BDP($C1648, LAST_PRICE), 4) = "#N/A", "",  _xll.BDP($C1648, LAST_PRICE))</f>
        <v/>
      </c>
    </row>
    <row r="1649" spans="1:30" x14ac:dyDescent="0.35">
      <c r="A1649" s="1" t="str">
        <f t="shared" si="25"/>
        <v/>
      </c>
      <c r="B1649" s="28"/>
      <c r="C1649" s="29"/>
      <c r="D1649" s="29"/>
      <c r="E1649" s="29"/>
      <c r="F1649" s="29"/>
      <c r="G1649" s="30"/>
      <c r="H1649" s="31"/>
      <c r="I1649" s="31"/>
      <c r="J1649" s="32"/>
      <c r="K1649" s="33"/>
      <c r="L1649" s="31"/>
      <c r="M1649" s="32"/>
      <c r="N1649" s="31"/>
      <c r="O1649" s="33"/>
      <c r="P1649" s="34"/>
      <c r="Q1649" s="34"/>
      <c r="R1649" s="34"/>
      <c r="S1649" s="29"/>
      <c r="T1649" s="33"/>
      <c r="U1649" s="35"/>
      <c r="V1649" s="35"/>
      <c r="W1649" s="35"/>
      <c r="Y1649" s="31" t="str">
        <f>IF(LEFT(_xll.BDP($C1649, VOLUME_AVG_10D), 4) = "#N/A", "",  _xll.BDP($C1649, VOLUME_AVG_10D))</f>
        <v/>
      </c>
      <c r="Z1649" s="31" t="str">
        <f>IF(LEFT(_xll.BDP($C1649, VOLUME_AVG_30D), 4) = "#N/A", "",  _xll.BDP($C1649, VOLUME_AVG_30D))</f>
        <v/>
      </c>
      <c r="AA1649" s="31" t="str">
        <f>IF(LEFT(_xll.BDP($C1649, VOLUME_AVG_3M), 4) = "#N/A", "",  _xll.BDP($C1649, VOLUME_AVG_3M))</f>
        <v/>
      </c>
      <c r="AB1649" s="31" t="str">
        <f>IF(LEFT(_xll.BDP($C1649, VOLUME_AVG_6M), 4) = "#N/A", "",  _xll.BDP($C1649, VOLUME_AVG_6M))</f>
        <v/>
      </c>
      <c r="AC1649" s="31" t="str">
        <f>IF(LEFT(_xll.BDP($C1649, VOLUME_AVG_12M), 4) = "#N/A", "",  _xll.BDP($C1649, VOLUME_AVG_12M))</f>
        <v/>
      </c>
      <c r="AD1649" s="41" t="str" cm="1">
        <f t="array" ref="AD1649">IF(LEFT(_xll.BDP($C1649, LAST_PRICE), 4) = "#N/A", "",  _xll.BDP($C1649, LAST_PRICE))</f>
        <v/>
      </c>
    </row>
    <row r="1650" spans="1:30" x14ac:dyDescent="0.35">
      <c r="A1650" s="1" t="str">
        <f t="shared" si="25"/>
        <v/>
      </c>
      <c r="B1650" s="28"/>
      <c r="C1650" s="29"/>
      <c r="D1650" s="29"/>
      <c r="E1650" s="29"/>
      <c r="F1650" s="29"/>
      <c r="G1650" s="30"/>
      <c r="H1650" s="31"/>
      <c r="I1650" s="31"/>
      <c r="J1650" s="32"/>
      <c r="K1650" s="33"/>
      <c r="L1650" s="31"/>
      <c r="M1650" s="32"/>
      <c r="N1650" s="31"/>
      <c r="O1650" s="33"/>
      <c r="P1650" s="34"/>
      <c r="Q1650" s="34"/>
      <c r="R1650" s="34"/>
      <c r="S1650" s="29"/>
      <c r="T1650" s="33"/>
      <c r="U1650" s="35"/>
      <c r="V1650" s="35"/>
      <c r="W1650" s="35"/>
      <c r="Y1650" s="31" t="str">
        <f>IF(LEFT(_xll.BDP($C1650, VOLUME_AVG_10D), 4) = "#N/A", "",  _xll.BDP($C1650, VOLUME_AVG_10D))</f>
        <v/>
      </c>
      <c r="Z1650" s="31" t="str">
        <f>IF(LEFT(_xll.BDP($C1650, VOLUME_AVG_30D), 4) = "#N/A", "",  _xll.BDP($C1650, VOLUME_AVG_30D))</f>
        <v/>
      </c>
      <c r="AA1650" s="31" t="str">
        <f>IF(LEFT(_xll.BDP($C1650, VOLUME_AVG_3M), 4) = "#N/A", "",  _xll.BDP($C1650, VOLUME_AVG_3M))</f>
        <v/>
      </c>
      <c r="AB1650" s="31" t="str">
        <f>IF(LEFT(_xll.BDP($C1650, VOLUME_AVG_6M), 4) = "#N/A", "",  _xll.BDP($C1650, VOLUME_AVG_6M))</f>
        <v/>
      </c>
      <c r="AC1650" s="31" t="str">
        <f>IF(LEFT(_xll.BDP($C1650, VOLUME_AVG_12M), 4) = "#N/A", "",  _xll.BDP($C1650, VOLUME_AVG_12M))</f>
        <v/>
      </c>
      <c r="AD1650" s="41" t="str" cm="1">
        <f t="array" ref="AD1650">IF(LEFT(_xll.BDP($C1650, LAST_PRICE), 4) = "#N/A", "",  _xll.BDP($C1650, LAST_PRICE))</f>
        <v/>
      </c>
    </row>
    <row r="1651" spans="1:30" x14ac:dyDescent="0.35">
      <c r="A1651" s="1" t="str">
        <f t="shared" si="25"/>
        <v/>
      </c>
      <c r="B1651" s="28"/>
      <c r="C1651" s="29"/>
      <c r="D1651" s="29"/>
      <c r="E1651" s="29"/>
      <c r="F1651" s="29"/>
      <c r="G1651" s="30"/>
      <c r="H1651" s="31"/>
      <c r="I1651" s="31"/>
      <c r="J1651" s="32"/>
      <c r="K1651" s="33"/>
      <c r="L1651" s="31"/>
      <c r="M1651" s="32"/>
      <c r="N1651" s="31"/>
      <c r="O1651" s="33"/>
      <c r="P1651" s="34"/>
      <c r="Q1651" s="34"/>
      <c r="R1651" s="34"/>
      <c r="S1651" s="29"/>
      <c r="T1651" s="33"/>
      <c r="U1651" s="35"/>
      <c r="V1651" s="35"/>
      <c r="W1651" s="35"/>
      <c r="Y1651" s="31" t="str">
        <f>IF(LEFT(_xll.BDP($C1651, VOLUME_AVG_10D), 4) = "#N/A", "",  _xll.BDP($C1651, VOLUME_AVG_10D))</f>
        <v/>
      </c>
      <c r="Z1651" s="31" t="str">
        <f>IF(LEFT(_xll.BDP($C1651, VOLUME_AVG_30D), 4) = "#N/A", "",  _xll.BDP($C1651, VOLUME_AVG_30D))</f>
        <v/>
      </c>
      <c r="AA1651" s="31" t="str">
        <f>IF(LEFT(_xll.BDP($C1651, VOLUME_AVG_3M), 4) = "#N/A", "",  _xll.BDP($C1651, VOLUME_AVG_3M))</f>
        <v/>
      </c>
      <c r="AB1651" s="31" t="str">
        <f>IF(LEFT(_xll.BDP($C1651, VOLUME_AVG_6M), 4) = "#N/A", "",  _xll.BDP($C1651, VOLUME_AVG_6M))</f>
        <v/>
      </c>
      <c r="AC1651" s="31" t="str">
        <f>IF(LEFT(_xll.BDP($C1651, VOLUME_AVG_12M), 4) = "#N/A", "",  _xll.BDP($C1651, VOLUME_AVG_12M))</f>
        <v/>
      </c>
      <c r="AD1651" s="41" t="str" cm="1">
        <f t="array" ref="AD1651">IF(LEFT(_xll.BDP($C1651, LAST_PRICE), 4) = "#N/A", "",  _xll.BDP($C1651, LAST_PRICE))</f>
        <v/>
      </c>
    </row>
    <row r="1652" spans="1:30" x14ac:dyDescent="0.35">
      <c r="A1652" s="1" t="str">
        <f t="shared" si="25"/>
        <v/>
      </c>
      <c r="B1652" s="28"/>
      <c r="C1652" s="29"/>
      <c r="D1652" s="29"/>
      <c r="E1652" s="29"/>
      <c r="F1652" s="29"/>
      <c r="G1652" s="30"/>
      <c r="H1652" s="31"/>
      <c r="I1652" s="31"/>
      <c r="J1652" s="32"/>
      <c r="K1652" s="33"/>
      <c r="L1652" s="31"/>
      <c r="M1652" s="32"/>
      <c r="N1652" s="31"/>
      <c r="O1652" s="33"/>
      <c r="P1652" s="34"/>
      <c r="Q1652" s="34"/>
      <c r="R1652" s="34"/>
      <c r="S1652" s="29"/>
      <c r="T1652" s="33"/>
      <c r="U1652" s="35"/>
      <c r="V1652" s="35"/>
      <c r="W1652" s="35"/>
      <c r="Y1652" s="31" t="str">
        <f>IF(LEFT(_xll.BDP($C1652, VOLUME_AVG_10D), 4) = "#N/A", "",  _xll.BDP($C1652, VOLUME_AVG_10D))</f>
        <v/>
      </c>
      <c r="Z1652" s="31" t="str">
        <f>IF(LEFT(_xll.BDP($C1652, VOLUME_AVG_30D), 4) = "#N/A", "",  _xll.BDP($C1652, VOLUME_AVG_30D))</f>
        <v/>
      </c>
      <c r="AA1652" s="31" t="str">
        <f>IF(LEFT(_xll.BDP($C1652, VOLUME_AVG_3M), 4) = "#N/A", "",  _xll.BDP($C1652, VOLUME_AVG_3M))</f>
        <v/>
      </c>
      <c r="AB1652" s="31" t="str">
        <f>IF(LEFT(_xll.BDP($C1652, VOLUME_AVG_6M), 4) = "#N/A", "",  _xll.BDP($C1652, VOLUME_AVG_6M))</f>
        <v/>
      </c>
      <c r="AC1652" s="31" t="str">
        <f>IF(LEFT(_xll.BDP($C1652, VOLUME_AVG_12M), 4) = "#N/A", "",  _xll.BDP($C1652, VOLUME_AVG_12M))</f>
        <v/>
      </c>
      <c r="AD1652" s="41" t="str" cm="1">
        <f t="array" ref="AD1652">IF(LEFT(_xll.BDP($C1652, LAST_PRICE), 4) = "#N/A", "",  _xll.BDP($C1652, LAST_PRICE))</f>
        <v/>
      </c>
    </row>
    <row r="1653" spans="1:30" x14ac:dyDescent="0.35">
      <c r="A1653" s="1" t="str">
        <f t="shared" si="25"/>
        <v/>
      </c>
      <c r="B1653" s="28"/>
      <c r="C1653" s="29"/>
      <c r="D1653" s="29"/>
      <c r="E1653" s="29"/>
      <c r="F1653" s="29"/>
      <c r="G1653" s="30"/>
      <c r="H1653" s="31"/>
      <c r="I1653" s="31"/>
      <c r="J1653" s="32"/>
      <c r="K1653" s="33"/>
      <c r="L1653" s="31"/>
      <c r="M1653" s="32"/>
      <c r="N1653" s="31"/>
      <c r="O1653" s="33"/>
      <c r="P1653" s="34"/>
      <c r="Q1653" s="34"/>
      <c r="R1653" s="34"/>
      <c r="S1653" s="29"/>
      <c r="T1653" s="33"/>
      <c r="U1653" s="35"/>
      <c r="V1653" s="35"/>
      <c r="W1653" s="35"/>
      <c r="Y1653" s="31" t="str" cm="1">
        <f t="array" ref="Y1653">IF(LEFT(_xll.BDP($C1653, VOLUME_AVG_10D), 4) = "#N/A", "",  _xll.BDP($C1653, VOLUME_AVG_10D))</f>
        <v/>
      </c>
      <c r="Z1653" s="31" t="str" cm="1">
        <f t="array" ref="Z1653">IF(LEFT(_xll.BDP($C1653, VOLUME_AVG_30D), 4) = "#N/A", "",  _xll.BDP($C1653, VOLUME_AVG_30D))</f>
        <v/>
      </c>
      <c r="AA1653" s="31" t="str" cm="1">
        <f t="array" ref="AA1653">IF(LEFT(_xll.BDP($C1653, VOLUME_AVG_3M), 4) = "#N/A", "",  _xll.BDP($C1653, VOLUME_AVG_3M))</f>
        <v/>
      </c>
      <c r="AB1653" s="31" t="str" cm="1">
        <f t="array" ref="AB1653">IF(LEFT(_xll.BDP($C1653, VOLUME_AVG_6M), 4) = "#N/A", "",  _xll.BDP($C1653, VOLUME_AVG_6M))</f>
        <v/>
      </c>
      <c r="AC1653" s="31" t="str" cm="1">
        <f t="array" ref="AC1653">IF(LEFT(_xll.BDP($C1653, VOLUME_AVG_12M), 4) = "#N/A", "",  _xll.BDP($C1653, VOLUME_AVG_12M))</f>
        <v/>
      </c>
      <c r="AD1653" s="41" t="str" cm="1">
        <f t="array" ref="AD1653">IF(LEFT(_xll.BDP($C1653, LAST_PRICE), 4) = "#N/A", "",  _xll.BDP($C1653, LAST_PRICE))</f>
        <v/>
      </c>
    </row>
    <row r="1654" spans="1:30" x14ac:dyDescent="0.35">
      <c r="A1654" s="1" t="str">
        <f t="shared" si="25"/>
        <v/>
      </c>
      <c r="B1654" s="28"/>
      <c r="C1654" s="29"/>
      <c r="D1654" s="29"/>
      <c r="E1654" s="29"/>
      <c r="F1654" s="29"/>
      <c r="G1654" s="30"/>
      <c r="H1654" s="31"/>
      <c r="I1654" s="31"/>
      <c r="J1654" s="32"/>
      <c r="K1654" s="33"/>
      <c r="L1654" s="31"/>
      <c r="M1654" s="32"/>
      <c r="N1654" s="31"/>
      <c r="O1654" s="33"/>
      <c r="P1654" s="34"/>
      <c r="Q1654" s="34"/>
      <c r="R1654" s="34"/>
      <c r="S1654" s="29"/>
      <c r="T1654" s="33"/>
      <c r="U1654" s="35"/>
      <c r="V1654" s="35"/>
      <c r="W1654" s="35"/>
      <c r="Y1654" s="31" t="str" cm="1">
        <f t="array" ref="Y1654">IF(LEFT(_xll.BDP($C1654, VOLUME_AVG_10D), 4) = "#N/A", "",  _xll.BDP($C1654, VOLUME_AVG_10D))</f>
        <v/>
      </c>
      <c r="Z1654" s="31" t="str" cm="1">
        <f t="array" ref="Z1654">IF(LEFT(_xll.BDP($C1654, VOLUME_AVG_30D), 4) = "#N/A", "",  _xll.BDP($C1654, VOLUME_AVG_30D))</f>
        <v/>
      </c>
      <c r="AA1654" s="31" t="str" cm="1">
        <f t="array" ref="AA1654">IF(LEFT(_xll.BDP($C1654, VOLUME_AVG_3M), 4) = "#N/A", "",  _xll.BDP($C1654, VOLUME_AVG_3M))</f>
        <v/>
      </c>
      <c r="AB1654" s="31" t="str" cm="1">
        <f t="array" ref="AB1654">IF(LEFT(_xll.BDP($C1654, VOLUME_AVG_6M), 4) = "#N/A", "",  _xll.BDP($C1654, VOLUME_AVG_6M))</f>
        <v/>
      </c>
      <c r="AC1654" s="31" t="str" cm="1">
        <f t="array" ref="AC1654">IF(LEFT(_xll.BDP($C1654, VOLUME_AVG_12M), 4) = "#N/A", "",  _xll.BDP($C1654, VOLUME_AVG_12M))</f>
        <v/>
      </c>
      <c r="AD1654" s="41" t="str" cm="1">
        <f t="array" ref="AD1654">IF(LEFT(_xll.BDP($C1654, LAST_PRICE), 4) = "#N/A", "",  _xll.BDP($C1654, LAST_PRICE))</f>
        <v/>
      </c>
    </row>
    <row r="1655" spans="1:30" x14ac:dyDescent="0.35">
      <c r="A1655" s="1" t="str">
        <f t="shared" si="25"/>
        <v/>
      </c>
      <c r="B1655" s="28"/>
      <c r="C1655" s="29"/>
      <c r="D1655" s="29"/>
      <c r="E1655" s="29"/>
      <c r="F1655" s="29"/>
      <c r="G1655" s="30"/>
      <c r="H1655" s="31"/>
      <c r="I1655" s="31"/>
      <c r="J1655" s="32"/>
      <c r="K1655" s="33"/>
      <c r="L1655" s="31"/>
      <c r="M1655" s="32"/>
      <c r="N1655" s="31"/>
      <c r="O1655" s="33"/>
      <c r="P1655" s="34"/>
      <c r="Q1655" s="34"/>
      <c r="R1655" s="34"/>
      <c r="S1655" s="29"/>
      <c r="T1655" s="33"/>
      <c r="U1655" s="35"/>
      <c r="V1655" s="35"/>
      <c r="W1655" s="35"/>
      <c r="Y1655" s="31" t="str" cm="1">
        <f t="array" ref="Y1655">IF(LEFT(_xll.BDP($C1655, VOLUME_AVG_10D), 4) = "#N/A", "",  _xll.BDP($C1655, VOLUME_AVG_10D))</f>
        <v/>
      </c>
      <c r="Z1655" s="31" t="str" cm="1">
        <f t="array" ref="Z1655">IF(LEFT(_xll.BDP($C1655, VOLUME_AVG_30D), 4) = "#N/A", "",  _xll.BDP($C1655, VOLUME_AVG_30D))</f>
        <v/>
      </c>
      <c r="AA1655" s="31" t="str" cm="1">
        <f t="array" ref="AA1655">IF(LEFT(_xll.BDP($C1655, VOLUME_AVG_3M), 4) = "#N/A", "",  _xll.BDP($C1655, VOLUME_AVG_3M))</f>
        <v/>
      </c>
      <c r="AB1655" s="31" t="str" cm="1">
        <f t="array" ref="AB1655">IF(LEFT(_xll.BDP($C1655, VOLUME_AVG_6M), 4) = "#N/A", "",  _xll.BDP($C1655, VOLUME_AVG_6M))</f>
        <v/>
      </c>
      <c r="AC1655" s="31" t="str" cm="1">
        <f t="array" ref="AC1655">IF(LEFT(_xll.BDP($C1655, VOLUME_AVG_12M), 4) = "#N/A", "",  _xll.BDP($C1655, VOLUME_AVG_12M))</f>
        <v/>
      </c>
      <c r="AD1655" s="41" t="str" cm="1">
        <f t="array" ref="AD1655">IF(LEFT(_xll.BDP($C1655, LAST_PRICE), 4) = "#N/A", "",  _xll.BDP($C1655, LAST_PRICE))</f>
        <v/>
      </c>
    </row>
    <row r="1656" spans="1:30" x14ac:dyDescent="0.35">
      <c r="A1656" s="1" t="str">
        <f t="shared" si="25"/>
        <v/>
      </c>
      <c r="B1656" s="28"/>
      <c r="C1656" s="29"/>
      <c r="D1656" s="29"/>
      <c r="E1656" s="29"/>
      <c r="F1656" s="29"/>
      <c r="G1656" s="30"/>
      <c r="H1656" s="31"/>
      <c r="I1656" s="31"/>
      <c r="J1656" s="32"/>
      <c r="K1656" s="33"/>
      <c r="L1656" s="31"/>
      <c r="M1656" s="32"/>
      <c r="N1656" s="31"/>
      <c r="O1656" s="33"/>
      <c r="P1656" s="34"/>
      <c r="Q1656" s="34"/>
      <c r="R1656" s="34"/>
      <c r="S1656" s="29"/>
      <c r="T1656" s="33"/>
      <c r="U1656" s="35"/>
      <c r="V1656" s="35"/>
      <c r="W1656" s="35"/>
      <c r="Y1656" s="31" t="str" cm="1">
        <f t="array" ref="Y1656">IF(LEFT(_xll.BDP($C1656, VOLUME_AVG_10D), 4) = "#N/A", "",  _xll.BDP($C1656, VOLUME_AVG_10D))</f>
        <v/>
      </c>
      <c r="Z1656" s="31" t="str" cm="1">
        <f t="array" ref="Z1656">IF(LEFT(_xll.BDP($C1656, VOLUME_AVG_30D), 4) = "#N/A", "",  _xll.BDP($C1656, VOLUME_AVG_30D))</f>
        <v/>
      </c>
      <c r="AA1656" s="31" t="str" cm="1">
        <f t="array" ref="AA1656">IF(LEFT(_xll.BDP($C1656, VOLUME_AVG_3M), 4) = "#N/A", "",  _xll.BDP($C1656, VOLUME_AVG_3M))</f>
        <v/>
      </c>
      <c r="AB1656" s="31" t="str" cm="1">
        <f t="array" ref="AB1656">IF(LEFT(_xll.BDP($C1656, VOLUME_AVG_6M), 4) = "#N/A", "",  _xll.BDP($C1656, VOLUME_AVG_6M))</f>
        <v/>
      </c>
      <c r="AC1656" s="31" t="str" cm="1">
        <f t="array" ref="AC1656">IF(LEFT(_xll.BDP($C1656, VOLUME_AVG_12M), 4) = "#N/A", "",  _xll.BDP($C1656, VOLUME_AVG_12M))</f>
        <v/>
      </c>
      <c r="AD1656" s="41" t="str" cm="1">
        <f t="array" ref="AD1656">IF(LEFT(_xll.BDP($C1656, LAST_PRICE), 4) = "#N/A", "",  _xll.BDP($C1656, LAST_PRICE))</f>
        <v/>
      </c>
    </row>
    <row r="1657" spans="1:30" x14ac:dyDescent="0.35">
      <c r="A1657" s="1" t="str">
        <f t="shared" si="25"/>
        <v/>
      </c>
      <c r="B1657" s="28"/>
      <c r="C1657" s="29"/>
      <c r="D1657" s="29"/>
      <c r="E1657" s="29"/>
      <c r="F1657" s="29"/>
      <c r="G1657" s="30"/>
      <c r="H1657" s="31"/>
      <c r="I1657" s="31"/>
      <c r="J1657" s="32"/>
      <c r="K1657" s="33"/>
      <c r="L1657" s="31"/>
      <c r="M1657" s="32"/>
      <c r="N1657" s="31"/>
      <c r="O1657" s="33"/>
      <c r="P1657" s="34"/>
      <c r="Q1657" s="34"/>
      <c r="R1657" s="34"/>
      <c r="S1657" s="29"/>
      <c r="T1657" s="33"/>
      <c r="U1657" s="35"/>
      <c r="V1657" s="35"/>
      <c r="W1657" s="35"/>
      <c r="Y1657" s="31" t="str" cm="1">
        <f t="array" ref="Y1657">IF(LEFT(_xll.BDP($C1657, VOLUME_AVG_10D), 4) = "#N/A", "",  _xll.BDP($C1657, VOLUME_AVG_10D))</f>
        <v/>
      </c>
      <c r="Z1657" s="31" t="str" cm="1">
        <f t="array" ref="Z1657">IF(LEFT(_xll.BDP($C1657, VOLUME_AVG_30D), 4) = "#N/A", "",  _xll.BDP($C1657, VOLUME_AVG_30D))</f>
        <v/>
      </c>
      <c r="AA1657" s="31" t="str" cm="1">
        <f t="array" ref="AA1657">IF(LEFT(_xll.BDP($C1657, VOLUME_AVG_3M), 4) = "#N/A", "",  _xll.BDP($C1657, VOLUME_AVG_3M))</f>
        <v/>
      </c>
      <c r="AB1657" s="31" t="str" cm="1">
        <f t="array" ref="AB1657">IF(LEFT(_xll.BDP($C1657, VOLUME_AVG_6M), 4) = "#N/A", "",  _xll.BDP($C1657, VOLUME_AVG_6M))</f>
        <v/>
      </c>
      <c r="AC1657" s="31" t="str" cm="1">
        <f t="array" ref="AC1657">IF(LEFT(_xll.BDP($C1657, VOLUME_AVG_12M), 4) = "#N/A", "",  _xll.BDP($C1657, VOLUME_AVG_12M))</f>
        <v/>
      </c>
      <c r="AD1657" s="41" t="str" cm="1">
        <f t="array" ref="AD1657">IF(LEFT(_xll.BDP($C1657, LAST_PRICE), 4) = "#N/A", "",  _xll.BDP($C1657, LAST_PRICE))</f>
        <v/>
      </c>
    </row>
    <row r="1658" spans="1:30" x14ac:dyDescent="0.35">
      <c r="A1658" s="1" t="str">
        <f t="shared" si="25"/>
        <v/>
      </c>
      <c r="B1658" s="28"/>
      <c r="C1658" s="29"/>
      <c r="D1658" s="29"/>
      <c r="E1658" s="29"/>
      <c r="F1658" s="29"/>
      <c r="G1658" s="30"/>
      <c r="H1658" s="31"/>
      <c r="I1658" s="31"/>
      <c r="J1658" s="32"/>
      <c r="K1658" s="33"/>
      <c r="L1658" s="31"/>
      <c r="M1658" s="32"/>
      <c r="N1658" s="31"/>
      <c r="O1658" s="33"/>
      <c r="P1658" s="34"/>
      <c r="Q1658" s="34"/>
      <c r="R1658" s="34"/>
      <c r="S1658" s="29"/>
      <c r="T1658" s="33"/>
      <c r="U1658" s="35"/>
      <c r="V1658" s="35"/>
      <c r="W1658" s="35"/>
      <c r="Y1658" s="31" t="str" cm="1">
        <f t="array" ref="Y1658">IF(LEFT(_xll.BDP($C1658, VOLUME_AVG_10D), 4) = "#N/A", "",  _xll.BDP($C1658, VOLUME_AVG_10D))</f>
        <v/>
      </c>
      <c r="Z1658" s="31" t="str" cm="1">
        <f t="array" ref="Z1658">IF(LEFT(_xll.BDP($C1658, VOLUME_AVG_30D), 4) = "#N/A", "",  _xll.BDP($C1658, VOLUME_AVG_30D))</f>
        <v/>
      </c>
      <c r="AA1658" s="31" t="str" cm="1">
        <f t="array" ref="AA1658">IF(LEFT(_xll.BDP($C1658, VOLUME_AVG_3M), 4) = "#N/A", "",  _xll.BDP($C1658, VOLUME_AVG_3M))</f>
        <v/>
      </c>
      <c r="AB1658" s="31" t="str" cm="1">
        <f t="array" ref="AB1658">IF(LEFT(_xll.BDP($C1658, VOLUME_AVG_6M), 4) = "#N/A", "",  _xll.BDP($C1658, VOLUME_AVG_6M))</f>
        <v/>
      </c>
      <c r="AC1658" s="31" t="str" cm="1">
        <f t="array" ref="AC1658">IF(LEFT(_xll.BDP($C1658, VOLUME_AVG_12M), 4) = "#N/A", "",  _xll.BDP($C1658, VOLUME_AVG_12M))</f>
        <v/>
      </c>
      <c r="AD1658" s="41" t="str" cm="1">
        <f t="array" ref="AD1658">IF(LEFT(_xll.BDP($C1658, LAST_PRICE), 4) = "#N/A", "",  _xll.BDP($C1658, LAST_PRICE))</f>
        <v/>
      </c>
    </row>
    <row r="1659" spans="1:30" x14ac:dyDescent="0.35">
      <c r="A1659" s="1" t="str">
        <f t="shared" si="25"/>
        <v/>
      </c>
      <c r="B1659" s="28"/>
      <c r="C1659" s="29"/>
      <c r="D1659" s="29"/>
      <c r="E1659" s="29"/>
      <c r="F1659" s="29"/>
      <c r="G1659" s="30"/>
      <c r="H1659" s="31"/>
      <c r="I1659" s="31"/>
      <c r="J1659" s="32"/>
      <c r="K1659" s="33"/>
      <c r="L1659" s="31"/>
      <c r="M1659" s="32"/>
      <c r="N1659" s="31"/>
      <c r="O1659" s="33"/>
      <c r="P1659" s="34"/>
      <c r="Q1659" s="34"/>
      <c r="R1659" s="34"/>
      <c r="S1659" s="29"/>
      <c r="T1659" s="33"/>
      <c r="U1659" s="35"/>
      <c r="V1659" s="35"/>
      <c r="W1659" s="35"/>
      <c r="Y1659" s="31" t="str" cm="1">
        <f t="array" ref="Y1659">IF(LEFT(_xll.BDP($C1659, VOLUME_AVG_10D), 4) = "#N/A", "",  _xll.BDP($C1659, VOLUME_AVG_10D))</f>
        <v/>
      </c>
      <c r="Z1659" s="31" t="str" cm="1">
        <f t="array" ref="Z1659">IF(LEFT(_xll.BDP($C1659, VOLUME_AVG_30D), 4) = "#N/A", "",  _xll.BDP($C1659, VOLUME_AVG_30D))</f>
        <v/>
      </c>
      <c r="AA1659" s="31" t="str" cm="1">
        <f t="array" ref="AA1659">IF(LEFT(_xll.BDP($C1659, VOLUME_AVG_3M), 4) = "#N/A", "",  _xll.BDP($C1659, VOLUME_AVG_3M))</f>
        <v/>
      </c>
      <c r="AB1659" s="31" t="str" cm="1">
        <f t="array" ref="AB1659">IF(LEFT(_xll.BDP($C1659, VOLUME_AVG_6M), 4) = "#N/A", "",  _xll.BDP($C1659, VOLUME_AVG_6M))</f>
        <v/>
      </c>
      <c r="AC1659" s="31" t="str" cm="1">
        <f t="array" ref="AC1659">IF(LEFT(_xll.BDP($C1659, VOLUME_AVG_12M), 4) = "#N/A", "",  _xll.BDP($C1659, VOLUME_AVG_12M))</f>
        <v/>
      </c>
      <c r="AD1659" s="41" t="str" cm="1">
        <f t="array" ref="AD1659">IF(LEFT(_xll.BDP($C1659, LAST_PRICE), 4) = "#N/A", "",  _xll.BDP($C1659, LAST_PRICE))</f>
        <v/>
      </c>
    </row>
    <row r="1660" spans="1:30" x14ac:dyDescent="0.35">
      <c r="A1660" s="1" t="str">
        <f t="shared" si="25"/>
        <v/>
      </c>
      <c r="B1660" s="28"/>
      <c r="C1660" s="29"/>
      <c r="D1660" s="29"/>
      <c r="E1660" s="29"/>
      <c r="F1660" s="29"/>
      <c r="G1660" s="30"/>
      <c r="H1660" s="31"/>
      <c r="I1660" s="31"/>
      <c r="J1660" s="32"/>
      <c r="K1660" s="33"/>
      <c r="L1660" s="31"/>
      <c r="M1660" s="32"/>
      <c r="N1660" s="31"/>
      <c r="O1660" s="33"/>
      <c r="P1660" s="34"/>
      <c r="Q1660" s="34"/>
      <c r="R1660" s="34"/>
      <c r="S1660" s="29"/>
      <c r="T1660" s="35"/>
      <c r="U1660" s="35"/>
      <c r="V1660" s="35"/>
      <c r="W1660" s="35"/>
      <c r="Y1660" s="31" t="str" cm="1">
        <f t="array" ref="Y1660">IF(LEFT(_xll.BDP($C1660, VOLUME_AVG_10D), 4) = "#N/A", "",  _xll.BDP($C1660, VOLUME_AVG_10D))</f>
        <v/>
      </c>
      <c r="Z1660" s="31" t="str" cm="1">
        <f t="array" ref="Z1660">IF(LEFT(_xll.BDP($C1660, VOLUME_AVG_30D), 4) = "#N/A", "",  _xll.BDP($C1660, VOLUME_AVG_30D))</f>
        <v/>
      </c>
      <c r="AA1660" s="31" t="str" cm="1">
        <f t="array" ref="AA1660">IF(LEFT(_xll.BDP($C1660, VOLUME_AVG_3M), 4) = "#N/A", "",  _xll.BDP($C1660, VOLUME_AVG_3M))</f>
        <v/>
      </c>
      <c r="AB1660" s="31" t="str" cm="1">
        <f t="array" ref="AB1660">IF(LEFT(_xll.BDP($C1660, VOLUME_AVG_6M), 4) = "#N/A", "",  _xll.BDP($C1660, VOLUME_AVG_6M))</f>
        <v/>
      </c>
      <c r="AC1660" s="31" t="str" cm="1">
        <f t="array" ref="AC1660">IF(LEFT(_xll.BDP($C1660, VOLUME_AVG_12M), 4) = "#N/A", "",  _xll.BDP($C1660, VOLUME_AVG_12M))</f>
        <v/>
      </c>
      <c r="AD1660" s="41" t="str" cm="1">
        <f t="array" ref="AD1660">IF(LEFT(_xll.BDP($C1660, LAST_PRICE), 4) = "#N/A", "",  _xll.BDP($C1660, LAST_PRICE))</f>
        <v/>
      </c>
    </row>
    <row r="1661" spans="1:30" x14ac:dyDescent="0.35">
      <c r="A1661" s="1" t="str">
        <f t="shared" si="25"/>
        <v/>
      </c>
      <c r="B1661" s="28"/>
      <c r="C1661" s="29"/>
      <c r="D1661" s="29"/>
      <c r="E1661" s="29"/>
      <c r="F1661" s="29"/>
      <c r="G1661" s="30"/>
      <c r="H1661" s="31"/>
      <c r="I1661" s="31"/>
      <c r="J1661" s="32"/>
      <c r="K1661" s="33"/>
      <c r="L1661" s="31"/>
      <c r="M1661" s="32"/>
      <c r="N1661" s="31"/>
      <c r="O1661" s="33"/>
      <c r="P1661" s="34"/>
      <c r="Q1661" s="34"/>
      <c r="R1661" s="34"/>
      <c r="S1661" s="29"/>
      <c r="T1661" s="35"/>
      <c r="U1661" s="35"/>
      <c r="V1661" s="35"/>
      <c r="W1661" s="35"/>
      <c r="Y1661" s="31" t="str" cm="1">
        <f t="array" ref="Y1661">IF(LEFT(_xll.BDP($C1661, VOLUME_AVG_10D), 4) = "#N/A", "",  _xll.BDP($C1661, VOLUME_AVG_10D))</f>
        <v/>
      </c>
      <c r="Z1661" s="31" t="str" cm="1">
        <f t="array" ref="Z1661">IF(LEFT(_xll.BDP($C1661, VOLUME_AVG_30D), 4) = "#N/A", "",  _xll.BDP($C1661, VOLUME_AVG_30D))</f>
        <v/>
      </c>
      <c r="AA1661" s="31" t="str" cm="1">
        <f t="array" ref="AA1661">IF(LEFT(_xll.BDP($C1661, VOLUME_AVG_3M), 4) = "#N/A", "",  _xll.BDP($C1661, VOLUME_AVG_3M))</f>
        <v/>
      </c>
      <c r="AB1661" s="31" t="str" cm="1">
        <f t="array" ref="AB1661">IF(LEFT(_xll.BDP($C1661, VOLUME_AVG_6M), 4) = "#N/A", "",  _xll.BDP($C1661, VOLUME_AVG_6M))</f>
        <v/>
      </c>
      <c r="AC1661" s="31" t="str" cm="1">
        <f t="array" ref="AC1661">IF(LEFT(_xll.BDP($C1661, VOLUME_AVG_12M), 4) = "#N/A", "",  _xll.BDP($C1661, VOLUME_AVG_12M))</f>
        <v/>
      </c>
      <c r="AD1661" s="41" t="str" cm="1">
        <f t="array" ref="AD1661">IF(LEFT(_xll.BDP($C1661, LAST_PRICE), 4) = "#N/A", "",  _xll.BDP($C1661, LAST_PRICE))</f>
        <v/>
      </c>
    </row>
    <row r="1662" spans="1:30" x14ac:dyDescent="0.35">
      <c r="A1662" s="1" t="str">
        <f t="shared" si="25"/>
        <v/>
      </c>
      <c r="B1662" s="28"/>
      <c r="C1662" s="29"/>
      <c r="D1662" s="29"/>
      <c r="E1662" s="29"/>
      <c r="F1662" s="29"/>
      <c r="G1662" s="30"/>
      <c r="H1662" s="31"/>
      <c r="I1662" s="31"/>
      <c r="J1662" s="32"/>
      <c r="K1662" s="33"/>
      <c r="L1662" s="31"/>
      <c r="M1662" s="32"/>
      <c r="N1662" s="31"/>
      <c r="O1662" s="33"/>
      <c r="P1662" s="34"/>
      <c r="Q1662" s="34"/>
      <c r="R1662" s="34"/>
      <c r="S1662" s="29"/>
      <c r="T1662" s="35"/>
      <c r="U1662" s="35"/>
      <c r="V1662" s="35"/>
      <c r="W1662" s="35"/>
      <c r="Y1662" s="31" t="str" cm="1">
        <f t="array" ref="Y1662">IF(LEFT(_xll.BDP($C1662, VOLUME_AVG_10D), 4) = "#N/A", "",  _xll.BDP($C1662, VOLUME_AVG_10D))</f>
        <v/>
      </c>
      <c r="Z1662" s="31" t="str" cm="1">
        <f t="array" ref="Z1662">IF(LEFT(_xll.BDP($C1662, VOLUME_AVG_30D), 4) = "#N/A", "",  _xll.BDP($C1662, VOLUME_AVG_30D))</f>
        <v/>
      </c>
      <c r="AA1662" s="31" t="str" cm="1">
        <f t="array" ref="AA1662">IF(LEFT(_xll.BDP($C1662, VOLUME_AVG_3M), 4) = "#N/A", "",  _xll.BDP($C1662, VOLUME_AVG_3M))</f>
        <v/>
      </c>
      <c r="AB1662" s="31" t="str" cm="1">
        <f t="array" ref="AB1662">IF(LEFT(_xll.BDP($C1662, VOLUME_AVG_6M), 4) = "#N/A", "",  _xll.BDP($C1662, VOLUME_AVG_6M))</f>
        <v/>
      </c>
      <c r="AC1662" s="31" t="str" cm="1">
        <f t="array" ref="AC1662">IF(LEFT(_xll.BDP($C1662, VOLUME_AVG_12M), 4) = "#N/A", "",  _xll.BDP($C1662, VOLUME_AVG_12M))</f>
        <v/>
      </c>
      <c r="AD1662" s="41" t="str" cm="1">
        <f t="array" ref="AD1662">IF(LEFT(_xll.BDP($C1662, LAST_PRICE), 4) = "#N/A", "",  _xll.BDP($C1662, LAST_PRICE))</f>
        <v/>
      </c>
    </row>
    <row r="1663" spans="1:30" x14ac:dyDescent="0.35">
      <c r="A1663" s="1" t="str">
        <f t="shared" si="25"/>
        <v/>
      </c>
      <c r="B1663" s="28"/>
      <c r="C1663" s="29"/>
      <c r="D1663" s="29"/>
      <c r="E1663" s="29"/>
      <c r="F1663" s="29"/>
      <c r="G1663" s="30"/>
      <c r="H1663" s="31"/>
      <c r="I1663" s="31"/>
      <c r="J1663" s="32"/>
      <c r="K1663" s="33"/>
      <c r="L1663" s="31"/>
      <c r="M1663" s="32"/>
      <c r="N1663" s="31"/>
      <c r="O1663" s="33"/>
      <c r="P1663" s="34"/>
      <c r="Q1663" s="34"/>
      <c r="R1663" s="34"/>
      <c r="S1663" s="29"/>
      <c r="T1663" s="35"/>
      <c r="U1663" s="35"/>
      <c r="V1663" s="35"/>
      <c r="W1663" s="35"/>
      <c r="Y1663" s="31" t="str" cm="1">
        <f t="array" ref="Y1663">IF(LEFT(_xll.BDP($C1663, VOLUME_AVG_10D), 4) = "#N/A", "",  _xll.BDP($C1663, VOLUME_AVG_10D))</f>
        <v/>
      </c>
      <c r="Z1663" s="31" t="str" cm="1">
        <f t="array" ref="Z1663">IF(LEFT(_xll.BDP($C1663, VOLUME_AVG_30D), 4) = "#N/A", "",  _xll.BDP($C1663, VOLUME_AVG_30D))</f>
        <v/>
      </c>
      <c r="AA1663" s="31" t="str" cm="1">
        <f t="array" ref="AA1663">IF(LEFT(_xll.BDP($C1663, VOLUME_AVG_3M), 4) = "#N/A", "",  _xll.BDP($C1663, VOLUME_AVG_3M))</f>
        <v/>
      </c>
      <c r="AB1663" s="31" t="str" cm="1">
        <f t="array" ref="AB1663">IF(LEFT(_xll.BDP($C1663, VOLUME_AVG_6M), 4) = "#N/A", "",  _xll.BDP($C1663, VOLUME_AVG_6M))</f>
        <v/>
      </c>
      <c r="AC1663" s="31" t="str" cm="1">
        <f t="array" ref="AC1663">IF(LEFT(_xll.BDP($C1663, VOLUME_AVG_12M), 4) = "#N/A", "",  _xll.BDP($C1663, VOLUME_AVG_12M))</f>
        <v/>
      </c>
      <c r="AD1663" s="41" t="str" cm="1">
        <f t="array" ref="AD1663">IF(LEFT(_xll.BDP($C1663, LAST_PRICE), 4) = "#N/A", "",  _xll.BDP($C1663, LAST_PRICE))</f>
        <v/>
      </c>
    </row>
    <row r="1664" spans="1:30" x14ac:dyDescent="0.35">
      <c r="A1664" s="1" t="str">
        <f t="shared" si="25"/>
        <v/>
      </c>
      <c r="B1664" s="28"/>
      <c r="C1664" s="29"/>
      <c r="D1664" s="29"/>
      <c r="E1664" s="29"/>
      <c r="F1664" s="29"/>
      <c r="G1664" s="30"/>
      <c r="H1664" s="31"/>
      <c r="I1664" s="31"/>
      <c r="J1664" s="32"/>
      <c r="K1664" s="33"/>
      <c r="L1664" s="31"/>
      <c r="M1664" s="32"/>
      <c r="N1664" s="31"/>
      <c r="O1664" s="33"/>
      <c r="P1664" s="34"/>
      <c r="Q1664" s="34"/>
      <c r="R1664" s="34"/>
      <c r="S1664" s="29"/>
      <c r="T1664" s="35"/>
      <c r="U1664" s="35"/>
      <c r="V1664" s="35"/>
      <c r="W1664" s="35"/>
      <c r="Y1664" s="31" t="str" cm="1">
        <f t="array" ref="Y1664">IF(LEFT(_xll.BDP($C1664, VOLUME_AVG_10D), 4) = "#N/A", "",  _xll.BDP($C1664, VOLUME_AVG_10D))</f>
        <v/>
      </c>
      <c r="Z1664" s="31" t="str" cm="1">
        <f t="array" ref="Z1664">IF(LEFT(_xll.BDP($C1664, VOLUME_AVG_30D), 4) = "#N/A", "",  _xll.BDP($C1664, VOLUME_AVG_30D))</f>
        <v/>
      </c>
      <c r="AA1664" s="31" t="str" cm="1">
        <f t="array" ref="AA1664">IF(LEFT(_xll.BDP($C1664, VOLUME_AVG_3M), 4) = "#N/A", "",  _xll.BDP($C1664, VOLUME_AVG_3M))</f>
        <v/>
      </c>
      <c r="AB1664" s="31" t="str" cm="1">
        <f t="array" ref="AB1664">IF(LEFT(_xll.BDP($C1664, VOLUME_AVG_6M), 4) = "#N/A", "",  _xll.BDP($C1664, VOLUME_AVG_6M))</f>
        <v/>
      </c>
      <c r="AC1664" s="31" t="str" cm="1">
        <f t="array" ref="AC1664">IF(LEFT(_xll.BDP($C1664, VOLUME_AVG_12M), 4) = "#N/A", "",  _xll.BDP($C1664, VOLUME_AVG_12M))</f>
        <v/>
      </c>
      <c r="AD1664" s="41" t="str" cm="1">
        <f t="array" ref="AD1664">IF(LEFT(_xll.BDP($C1664, LAST_PRICE), 4) = "#N/A", "",  _xll.BDP($C1664, LAST_PRICE))</f>
        <v/>
      </c>
    </row>
    <row r="1665" spans="1:30" x14ac:dyDescent="0.35">
      <c r="A1665" s="1" t="str">
        <f t="shared" si="25"/>
        <v/>
      </c>
      <c r="B1665" s="28"/>
      <c r="C1665" s="29"/>
      <c r="D1665" s="29"/>
      <c r="E1665" s="29"/>
      <c r="F1665" s="29"/>
      <c r="G1665" s="30"/>
      <c r="H1665" s="31"/>
      <c r="I1665" s="31"/>
      <c r="J1665" s="32"/>
      <c r="K1665" s="33"/>
      <c r="L1665" s="31"/>
      <c r="M1665" s="32"/>
      <c r="N1665" s="31"/>
      <c r="O1665" s="33"/>
      <c r="P1665" s="34"/>
      <c r="Q1665" s="34"/>
      <c r="R1665" s="34"/>
      <c r="S1665" s="29"/>
      <c r="T1665" s="35"/>
      <c r="U1665" s="35"/>
      <c r="V1665" s="35"/>
      <c r="W1665" s="35"/>
      <c r="Y1665" s="31" t="str" cm="1">
        <f t="array" ref="Y1665">IF(LEFT(_xll.BDP($C1665, VOLUME_AVG_10D), 4) = "#N/A", "",  _xll.BDP($C1665, VOLUME_AVG_10D))</f>
        <v/>
      </c>
      <c r="Z1665" s="31" t="str" cm="1">
        <f t="array" ref="Z1665">IF(LEFT(_xll.BDP($C1665, VOLUME_AVG_30D), 4) = "#N/A", "",  _xll.BDP($C1665, VOLUME_AVG_30D))</f>
        <v/>
      </c>
      <c r="AA1665" s="31" t="str" cm="1">
        <f t="array" ref="AA1665">IF(LEFT(_xll.BDP($C1665, VOLUME_AVG_3M), 4) = "#N/A", "",  _xll.BDP($C1665, VOLUME_AVG_3M))</f>
        <v/>
      </c>
      <c r="AB1665" s="31" t="str" cm="1">
        <f t="array" ref="AB1665">IF(LEFT(_xll.BDP($C1665, VOLUME_AVG_6M), 4) = "#N/A", "",  _xll.BDP($C1665, VOLUME_AVG_6M))</f>
        <v/>
      </c>
      <c r="AC1665" s="31" t="str" cm="1">
        <f t="array" ref="AC1665">IF(LEFT(_xll.BDP($C1665, VOLUME_AVG_12M), 4) = "#N/A", "",  _xll.BDP($C1665, VOLUME_AVG_12M))</f>
        <v/>
      </c>
      <c r="AD1665" s="41" t="str" cm="1">
        <f t="array" ref="AD1665">IF(LEFT(_xll.BDP($C1665, LAST_PRICE), 4) = "#N/A", "",  _xll.BDP($C1665, LAST_PRICE))</f>
        <v/>
      </c>
    </row>
    <row r="1666" spans="1:30" x14ac:dyDescent="0.35">
      <c r="A1666" s="1" t="str">
        <f t="shared" si="25"/>
        <v/>
      </c>
      <c r="B1666" s="28"/>
      <c r="C1666" s="29"/>
      <c r="D1666" s="29"/>
      <c r="E1666" s="29"/>
      <c r="F1666" s="29"/>
      <c r="G1666" s="30"/>
      <c r="H1666" s="31"/>
      <c r="I1666" s="31"/>
      <c r="J1666" s="32"/>
      <c r="K1666" s="33"/>
      <c r="L1666" s="31"/>
      <c r="M1666" s="32"/>
      <c r="N1666" s="31"/>
      <c r="O1666" s="33"/>
      <c r="P1666" s="34"/>
      <c r="Q1666" s="34"/>
      <c r="R1666" s="34"/>
      <c r="S1666" s="29"/>
      <c r="T1666" s="35"/>
      <c r="U1666" s="35"/>
      <c r="V1666" s="35"/>
      <c r="W1666" s="35"/>
      <c r="Y1666" s="31" t="str" cm="1">
        <f t="array" ref="Y1666">IF(LEFT(_xll.BDP($C1666, VOLUME_AVG_10D), 4) = "#N/A", "",  _xll.BDP($C1666, VOLUME_AVG_10D))</f>
        <v/>
      </c>
      <c r="Z1666" s="31" t="str" cm="1">
        <f t="array" ref="Z1666">IF(LEFT(_xll.BDP($C1666, VOLUME_AVG_30D), 4) = "#N/A", "",  _xll.BDP($C1666, VOLUME_AVG_30D))</f>
        <v/>
      </c>
      <c r="AA1666" s="31" t="str" cm="1">
        <f t="array" ref="AA1666">IF(LEFT(_xll.BDP($C1666, VOLUME_AVG_3M), 4) = "#N/A", "",  _xll.BDP($C1666, VOLUME_AVG_3M))</f>
        <v/>
      </c>
      <c r="AB1666" s="31" t="str" cm="1">
        <f t="array" ref="AB1666">IF(LEFT(_xll.BDP($C1666, VOLUME_AVG_6M), 4) = "#N/A", "",  _xll.BDP($C1666, VOLUME_AVG_6M))</f>
        <v/>
      </c>
      <c r="AC1666" s="31" t="str" cm="1">
        <f t="array" ref="AC1666">IF(LEFT(_xll.BDP($C1666, VOLUME_AVG_12M), 4) = "#N/A", "",  _xll.BDP($C1666, VOLUME_AVG_12M))</f>
        <v/>
      </c>
      <c r="AD1666" s="41" t="str" cm="1">
        <f t="array" ref="AD1666">IF(LEFT(_xll.BDP($C1666, LAST_PRICE), 4) = "#N/A", "",  _xll.BDP($C1666, LAST_PRICE))</f>
        <v/>
      </c>
    </row>
    <row r="1667" spans="1:30" x14ac:dyDescent="0.35">
      <c r="A1667" s="1" t="str">
        <f t="shared" si="25"/>
        <v/>
      </c>
      <c r="B1667" s="30"/>
      <c r="C1667" s="29"/>
      <c r="D1667" s="29"/>
      <c r="E1667" s="29"/>
      <c r="F1667" s="29"/>
      <c r="G1667" s="30"/>
      <c r="H1667" s="31"/>
      <c r="I1667" s="31"/>
      <c r="J1667" s="32"/>
      <c r="K1667" s="33"/>
      <c r="L1667" s="31"/>
      <c r="M1667" s="32"/>
      <c r="N1667" s="31"/>
      <c r="O1667" s="36"/>
      <c r="P1667" s="34"/>
      <c r="Q1667" s="34"/>
      <c r="R1667" s="34"/>
      <c r="S1667" s="29"/>
      <c r="T1667" s="35"/>
      <c r="U1667" s="35"/>
      <c r="V1667" s="35"/>
      <c r="W1667" s="35"/>
      <c r="Y1667" s="31" t="str" cm="1">
        <f t="array" ref="Y1667">IF(LEFT(_xll.BDP($C1667, VOLUME_AVG_10D), 4) = "#N/A", "",  _xll.BDP($C1667, VOLUME_AVG_10D))</f>
        <v/>
      </c>
      <c r="Z1667" s="31" t="str" cm="1">
        <f t="array" ref="Z1667">IF(LEFT(_xll.BDP($C1667, VOLUME_AVG_30D), 4) = "#N/A", "",  _xll.BDP($C1667, VOLUME_AVG_30D))</f>
        <v/>
      </c>
      <c r="AA1667" s="31" t="str" cm="1">
        <f t="array" ref="AA1667">IF(LEFT(_xll.BDP($C1667, VOLUME_AVG_3M), 4) = "#N/A", "",  _xll.BDP($C1667, VOLUME_AVG_3M))</f>
        <v/>
      </c>
      <c r="AB1667" s="31" t="str" cm="1">
        <f t="array" ref="AB1667">IF(LEFT(_xll.BDP($C1667, VOLUME_AVG_6M), 4) = "#N/A", "",  _xll.BDP($C1667, VOLUME_AVG_6M))</f>
        <v/>
      </c>
      <c r="AC1667" s="31" t="str" cm="1">
        <f t="array" ref="AC1667">IF(LEFT(_xll.BDP($C1667, VOLUME_AVG_12M), 4) = "#N/A", "",  _xll.BDP($C1667, VOLUME_AVG_12M))</f>
        <v/>
      </c>
      <c r="AD1667" s="41" t="str" cm="1">
        <f t="array" ref="AD1667">IF(LEFT(_xll.BDP($C1667, LAST_PRICE), 4) = "#N/A", "",  _xll.BDP($C1667, LAST_PRICE))</f>
        <v/>
      </c>
    </row>
    <row r="1668" spans="1:30" x14ac:dyDescent="0.35">
      <c r="A1668" s="1" t="str">
        <f t="shared" si="25"/>
        <v/>
      </c>
      <c r="B1668" s="30"/>
      <c r="C1668" s="29"/>
      <c r="D1668" s="29"/>
      <c r="E1668" s="29"/>
      <c r="F1668" s="29"/>
      <c r="G1668" s="30"/>
      <c r="H1668" s="31"/>
      <c r="I1668" s="31"/>
      <c r="J1668" s="32"/>
      <c r="K1668" s="33"/>
      <c r="L1668" s="31"/>
      <c r="M1668" s="32"/>
      <c r="N1668" s="31"/>
      <c r="O1668" s="36"/>
      <c r="P1668" s="34"/>
      <c r="Q1668" s="34"/>
      <c r="R1668" s="34"/>
      <c r="S1668" s="29"/>
      <c r="T1668" s="35"/>
      <c r="U1668" s="35"/>
      <c r="V1668" s="35"/>
      <c r="W1668" s="35"/>
      <c r="Y1668" s="31" t="str" cm="1">
        <f t="array" ref="Y1668">IF(LEFT(_xll.BDP($C1668, VOLUME_AVG_10D), 4) = "#N/A", "",  _xll.BDP($C1668, VOLUME_AVG_10D))</f>
        <v/>
      </c>
      <c r="Z1668" s="31" t="str" cm="1">
        <f t="array" ref="Z1668">IF(LEFT(_xll.BDP($C1668, VOLUME_AVG_30D), 4) = "#N/A", "",  _xll.BDP($C1668, VOLUME_AVG_30D))</f>
        <v/>
      </c>
      <c r="AA1668" s="31" t="str" cm="1">
        <f t="array" ref="AA1668">IF(LEFT(_xll.BDP($C1668, VOLUME_AVG_3M), 4) = "#N/A", "",  _xll.BDP($C1668, VOLUME_AVG_3M))</f>
        <v/>
      </c>
      <c r="AB1668" s="31" t="str" cm="1">
        <f t="array" ref="AB1668">IF(LEFT(_xll.BDP($C1668, VOLUME_AVG_6M), 4) = "#N/A", "",  _xll.BDP($C1668, VOLUME_AVG_6M))</f>
        <v/>
      </c>
      <c r="AC1668" s="31" t="str" cm="1">
        <f t="array" ref="AC1668">IF(LEFT(_xll.BDP($C1668, VOLUME_AVG_12M), 4) = "#N/A", "",  _xll.BDP($C1668, VOLUME_AVG_12M))</f>
        <v/>
      </c>
      <c r="AD1668" s="41" t="str" cm="1">
        <f t="array" ref="AD1668">IF(LEFT(_xll.BDP($C1668, LAST_PRICE), 4) = "#N/A", "",  _xll.BDP($C1668, LAST_PRICE))</f>
        <v/>
      </c>
    </row>
    <row r="1669" spans="1:30" x14ac:dyDescent="0.35">
      <c r="A1669" s="1" t="str">
        <f t="shared" si="25"/>
        <v/>
      </c>
      <c r="B1669" s="30"/>
      <c r="C1669" s="29"/>
      <c r="D1669" s="29"/>
      <c r="E1669" s="29"/>
      <c r="F1669" s="29"/>
      <c r="G1669" s="30"/>
      <c r="H1669" s="31"/>
      <c r="I1669" s="31"/>
      <c r="J1669" s="32"/>
      <c r="K1669" s="33"/>
      <c r="L1669" s="31"/>
      <c r="M1669" s="32"/>
      <c r="N1669" s="31"/>
      <c r="O1669" s="36"/>
      <c r="P1669" s="34"/>
      <c r="Q1669" s="34"/>
      <c r="R1669" s="34"/>
      <c r="S1669" s="29"/>
      <c r="T1669" s="35"/>
      <c r="U1669" s="35"/>
      <c r="V1669" s="35"/>
      <c r="W1669" s="35"/>
      <c r="Y1669" s="31" t="str" cm="1">
        <f t="array" ref="Y1669">IF(LEFT(_xll.BDP($C1669, VOLUME_AVG_10D), 4) = "#N/A", "",  _xll.BDP($C1669, VOLUME_AVG_10D))</f>
        <v/>
      </c>
      <c r="Z1669" s="31" t="str" cm="1">
        <f t="array" ref="Z1669">IF(LEFT(_xll.BDP($C1669, VOLUME_AVG_30D), 4) = "#N/A", "",  _xll.BDP($C1669, VOLUME_AVG_30D))</f>
        <v/>
      </c>
      <c r="AA1669" s="31" t="str" cm="1">
        <f t="array" ref="AA1669">IF(LEFT(_xll.BDP($C1669, VOLUME_AVG_3M), 4) = "#N/A", "",  _xll.BDP($C1669, VOLUME_AVG_3M))</f>
        <v/>
      </c>
      <c r="AB1669" s="31" t="str" cm="1">
        <f t="array" ref="AB1669">IF(LEFT(_xll.BDP($C1669, VOLUME_AVG_6M), 4) = "#N/A", "",  _xll.BDP($C1669, VOLUME_AVG_6M))</f>
        <v/>
      </c>
      <c r="AC1669" s="31" t="str" cm="1">
        <f t="array" ref="AC1669">IF(LEFT(_xll.BDP($C1669, VOLUME_AVG_12M), 4) = "#N/A", "",  _xll.BDP($C1669, VOLUME_AVG_12M))</f>
        <v/>
      </c>
      <c r="AD1669" s="41" t="str" cm="1">
        <f t="array" ref="AD1669">IF(LEFT(_xll.BDP($C1669, LAST_PRICE), 4) = "#N/A", "",  _xll.BDP($C1669, LAST_PRICE))</f>
        <v/>
      </c>
    </row>
    <row r="1670" spans="1:30" x14ac:dyDescent="0.35">
      <c r="A1670" s="1" t="str">
        <f t="shared" ref="A1670:A1733" si="26">IF(B1670="","", A1669+1)</f>
        <v/>
      </c>
      <c r="B1670" s="30"/>
      <c r="C1670" s="29"/>
      <c r="D1670" s="29"/>
      <c r="E1670" s="29"/>
      <c r="F1670" s="29"/>
      <c r="G1670" s="30"/>
      <c r="H1670" s="31"/>
      <c r="I1670" s="31"/>
      <c r="J1670" s="32"/>
      <c r="K1670" s="33"/>
      <c r="L1670" s="31"/>
      <c r="M1670" s="32"/>
      <c r="N1670" s="31"/>
      <c r="O1670" s="36"/>
      <c r="P1670" s="34"/>
      <c r="Q1670" s="34"/>
      <c r="R1670" s="34"/>
      <c r="S1670" s="29"/>
      <c r="T1670" s="35"/>
      <c r="U1670" s="35"/>
      <c r="V1670" s="35"/>
      <c r="W1670" s="35"/>
      <c r="Y1670" s="31" t="str" cm="1">
        <f t="array" ref="Y1670">IF(LEFT(_xll.BDP($C1670, VOLUME_AVG_10D), 4) = "#N/A", "",  _xll.BDP($C1670, VOLUME_AVG_10D))</f>
        <v/>
      </c>
      <c r="Z1670" s="31" t="str" cm="1">
        <f t="array" ref="Z1670">IF(LEFT(_xll.BDP($C1670, VOLUME_AVG_30D), 4) = "#N/A", "",  _xll.BDP($C1670, VOLUME_AVG_30D))</f>
        <v/>
      </c>
      <c r="AA1670" s="31" t="str" cm="1">
        <f t="array" ref="AA1670">IF(LEFT(_xll.BDP($C1670, VOLUME_AVG_3M), 4) = "#N/A", "",  _xll.BDP($C1670, VOLUME_AVG_3M))</f>
        <v/>
      </c>
      <c r="AB1670" s="31" t="str" cm="1">
        <f t="array" ref="AB1670">IF(LEFT(_xll.BDP($C1670, VOLUME_AVG_6M), 4) = "#N/A", "",  _xll.BDP($C1670, VOLUME_AVG_6M))</f>
        <v/>
      </c>
      <c r="AC1670" s="31" t="str" cm="1">
        <f t="array" ref="AC1670">IF(LEFT(_xll.BDP($C1670, VOLUME_AVG_12M), 4) = "#N/A", "",  _xll.BDP($C1670, VOLUME_AVG_12M))</f>
        <v/>
      </c>
      <c r="AD1670" s="41" t="str" cm="1">
        <f t="array" ref="AD1670">IF(LEFT(_xll.BDP($C1670, LAST_PRICE), 4) = "#N/A", "",  _xll.BDP($C1670, LAST_PRICE))</f>
        <v/>
      </c>
    </row>
    <row r="1671" spans="1:30" x14ac:dyDescent="0.35">
      <c r="A1671" s="1" t="str">
        <f t="shared" si="26"/>
        <v/>
      </c>
      <c r="B1671" s="30"/>
      <c r="C1671" s="29"/>
      <c r="D1671" s="29"/>
      <c r="E1671" s="29"/>
      <c r="F1671" s="29"/>
      <c r="G1671" s="30"/>
      <c r="H1671" s="31"/>
      <c r="I1671" s="31"/>
      <c r="J1671" s="32"/>
      <c r="K1671" s="33"/>
      <c r="L1671" s="31"/>
      <c r="M1671" s="32"/>
      <c r="N1671" s="31"/>
      <c r="O1671" s="36"/>
      <c r="P1671" s="34"/>
      <c r="Q1671" s="34"/>
      <c r="R1671" s="34"/>
      <c r="S1671" s="29"/>
      <c r="T1671" s="35"/>
      <c r="U1671" s="35"/>
      <c r="V1671" s="35"/>
      <c r="W1671" s="35"/>
      <c r="Y1671" s="31" t="str" cm="1">
        <f t="array" ref="Y1671">IF(LEFT(_xll.BDP($C1671, VOLUME_AVG_10D), 4) = "#N/A", "",  _xll.BDP($C1671, VOLUME_AVG_10D))</f>
        <v/>
      </c>
      <c r="Z1671" s="31" t="str" cm="1">
        <f t="array" ref="Z1671">IF(LEFT(_xll.BDP($C1671, VOLUME_AVG_30D), 4) = "#N/A", "",  _xll.BDP($C1671, VOLUME_AVG_30D))</f>
        <v/>
      </c>
      <c r="AA1671" s="31" t="str" cm="1">
        <f t="array" ref="AA1671">IF(LEFT(_xll.BDP($C1671, VOLUME_AVG_3M), 4) = "#N/A", "",  _xll.BDP($C1671, VOLUME_AVG_3M))</f>
        <v/>
      </c>
      <c r="AB1671" s="31" t="str" cm="1">
        <f t="array" ref="AB1671">IF(LEFT(_xll.BDP($C1671, VOLUME_AVG_6M), 4) = "#N/A", "",  _xll.BDP($C1671, VOLUME_AVG_6M))</f>
        <v/>
      </c>
      <c r="AC1671" s="31" t="str" cm="1">
        <f t="array" ref="AC1671">IF(LEFT(_xll.BDP($C1671, VOLUME_AVG_12M), 4) = "#N/A", "",  _xll.BDP($C1671, VOLUME_AVG_12M))</f>
        <v/>
      </c>
      <c r="AD1671" s="41" t="str" cm="1">
        <f t="array" ref="AD1671">IF(LEFT(_xll.BDP($C1671, LAST_PRICE), 4) = "#N/A", "",  _xll.BDP($C1671, LAST_PRICE))</f>
        <v/>
      </c>
    </row>
    <row r="1672" spans="1:30" x14ac:dyDescent="0.35">
      <c r="A1672" s="1" t="str">
        <f t="shared" si="26"/>
        <v/>
      </c>
      <c r="B1672" s="30"/>
      <c r="C1672" s="29"/>
      <c r="D1672" s="29"/>
      <c r="E1672" s="29"/>
      <c r="F1672" s="29"/>
      <c r="G1672" s="30"/>
      <c r="H1672" s="31"/>
      <c r="I1672" s="31"/>
      <c r="J1672" s="32"/>
      <c r="K1672" s="33"/>
      <c r="L1672" s="31"/>
      <c r="M1672" s="32"/>
      <c r="N1672" s="31"/>
      <c r="O1672" s="36"/>
      <c r="P1672" s="34"/>
      <c r="Q1672" s="34"/>
      <c r="R1672" s="34"/>
      <c r="S1672" s="29"/>
      <c r="T1672" s="35"/>
      <c r="U1672" s="35"/>
      <c r="V1672" s="35"/>
      <c r="W1672" s="35"/>
      <c r="Y1672" s="31" t="str" cm="1">
        <f t="array" ref="Y1672">IF(LEFT(_xll.BDP($C1672, VOLUME_AVG_10D), 4) = "#N/A", "",  _xll.BDP($C1672, VOLUME_AVG_10D))</f>
        <v/>
      </c>
      <c r="Z1672" s="31" t="str" cm="1">
        <f t="array" ref="Z1672">IF(LEFT(_xll.BDP($C1672, VOLUME_AVG_30D), 4) = "#N/A", "",  _xll.BDP($C1672, VOLUME_AVG_30D))</f>
        <v/>
      </c>
      <c r="AA1672" s="31" t="str" cm="1">
        <f t="array" ref="AA1672">IF(LEFT(_xll.BDP($C1672, VOLUME_AVG_3M), 4) = "#N/A", "",  _xll.BDP($C1672, VOLUME_AVG_3M))</f>
        <v/>
      </c>
      <c r="AB1672" s="31" t="str" cm="1">
        <f t="array" ref="AB1672">IF(LEFT(_xll.BDP($C1672, VOLUME_AVG_6M), 4) = "#N/A", "",  _xll.BDP($C1672, VOLUME_AVG_6M))</f>
        <v/>
      </c>
      <c r="AC1672" s="31" t="str" cm="1">
        <f t="array" ref="AC1672">IF(LEFT(_xll.BDP($C1672, VOLUME_AVG_12M), 4) = "#N/A", "",  _xll.BDP($C1672, VOLUME_AVG_12M))</f>
        <v/>
      </c>
      <c r="AD1672" s="41" t="str" cm="1">
        <f t="array" ref="AD1672">IF(LEFT(_xll.BDP($C1672, LAST_PRICE), 4) = "#N/A", "",  _xll.BDP($C1672, LAST_PRICE))</f>
        <v/>
      </c>
    </row>
    <row r="1673" spans="1:30" x14ac:dyDescent="0.35">
      <c r="A1673" s="1" t="str">
        <f t="shared" si="26"/>
        <v/>
      </c>
      <c r="B1673" s="30"/>
      <c r="C1673" s="29"/>
      <c r="D1673" s="29"/>
      <c r="E1673" s="29"/>
      <c r="F1673" s="29"/>
      <c r="G1673" s="30"/>
      <c r="H1673" s="31"/>
      <c r="I1673" s="31"/>
      <c r="J1673" s="32"/>
      <c r="K1673" s="33"/>
      <c r="L1673" s="31"/>
      <c r="M1673" s="32"/>
      <c r="N1673" s="31"/>
      <c r="O1673" s="36"/>
      <c r="P1673" s="34"/>
      <c r="Q1673" s="34"/>
      <c r="R1673" s="34"/>
      <c r="S1673" s="29"/>
      <c r="T1673" s="35"/>
      <c r="U1673" s="35"/>
      <c r="V1673" s="35"/>
      <c r="W1673" s="35"/>
      <c r="Y1673" s="31" t="str" cm="1">
        <f t="array" ref="Y1673">IF(LEFT(_xll.BDP($C1673, VOLUME_AVG_10D), 4) = "#N/A", "",  _xll.BDP($C1673, VOLUME_AVG_10D))</f>
        <v/>
      </c>
      <c r="Z1673" s="31" t="str" cm="1">
        <f t="array" ref="Z1673">IF(LEFT(_xll.BDP($C1673, VOLUME_AVG_30D), 4) = "#N/A", "",  _xll.BDP($C1673, VOLUME_AVG_30D))</f>
        <v/>
      </c>
      <c r="AA1673" s="31" t="str" cm="1">
        <f t="array" ref="AA1673">IF(LEFT(_xll.BDP($C1673, VOLUME_AVG_3M), 4) = "#N/A", "",  _xll.BDP($C1673, VOLUME_AVG_3M))</f>
        <v/>
      </c>
      <c r="AB1673" s="31" t="str" cm="1">
        <f t="array" ref="AB1673">IF(LEFT(_xll.BDP($C1673, VOLUME_AVG_6M), 4) = "#N/A", "",  _xll.BDP($C1673, VOLUME_AVG_6M))</f>
        <v/>
      </c>
      <c r="AC1673" s="31" t="str" cm="1">
        <f t="array" ref="AC1673">IF(LEFT(_xll.BDP($C1673, VOLUME_AVG_12M), 4) = "#N/A", "",  _xll.BDP($C1673, VOLUME_AVG_12M))</f>
        <v/>
      </c>
      <c r="AD1673" s="41" t="str" cm="1">
        <f t="array" ref="AD1673">IF(LEFT(_xll.BDP($C1673, LAST_PRICE), 4) = "#N/A", "",  _xll.BDP($C1673, LAST_PRICE))</f>
        <v/>
      </c>
    </row>
    <row r="1674" spans="1:30" x14ac:dyDescent="0.35">
      <c r="A1674" s="1" t="str">
        <f t="shared" si="26"/>
        <v/>
      </c>
      <c r="B1674" s="30"/>
      <c r="C1674" s="29"/>
      <c r="D1674" s="29"/>
      <c r="E1674" s="29"/>
      <c r="F1674" s="29"/>
      <c r="G1674" s="30"/>
      <c r="H1674" s="31"/>
      <c r="I1674" s="31"/>
      <c r="J1674" s="32"/>
      <c r="K1674" s="33"/>
      <c r="L1674" s="31"/>
      <c r="M1674" s="32"/>
      <c r="N1674" s="31"/>
      <c r="O1674" s="36"/>
      <c r="P1674" s="34"/>
      <c r="Q1674" s="34"/>
      <c r="R1674" s="34"/>
      <c r="S1674" s="29"/>
      <c r="T1674" s="35"/>
      <c r="U1674" s="35"/>
      <c r="V1674" s="35"/>
      <c r="W1674" s="35"/>
      <c r="Y1674" s="31" t="str" cm="1">
        <f t="array" ref="Y1674">IF(LEFT(_xll.BDP($C1674, VOLUME_AVG_10D), 4) = "#N/A", "",  _xll.BDP($C1674, VOLUME_AVG_10D))</f>
        <v/>
      </c>
      <c r="Z1674" s="31" t="str" cm="1">
        <f t="array" ref="Z1674">IF(LEFT(_xll.BDP($C1674, VOLUME_AVG_30D), 4) = "#N/A", "",  _xll.BDP($C1674, VOLUME_AVG_30D))</f>
        <v/>
      </c>
      <c r="AA1674" s="31" t="str" cm="1">
        <f t="array" ref="AA1674">IF(LEFT(_xll.BDP($C1674, VOLUME_AVG_3M), 4) = "#N/A", "",  _xll.BDP($C1674, VOLUME_AVG_3M))</f>
        <v/>
      </c>
      <c r="AB1674" s="31" t="str" cm="1">
        <f t="array" ref="AB1674">IF(LEFT(_xll.BDP($C1674, VOLUME_AVG_6M), 4) = "#N/A", "",  _xll.BDP($C1674, VOLUME_AVG_6M))</f>
        <v/>
      </c>
      <c r="AC1674" s="31" t="str" cm="1">
        <f t="array" ref="AC1674">IF(LEFT(_xll.BDP($C1674, VOLUME_AVG_12M), 4) = "#N/A", "",  _xll.BDP($C1674, VOLUME_AVG_12M))</f>
        <v/>
      </c>
      <c r="AD1674" s="41" t="str" cm="1">
        <f t="array" ref="AD1674">IF(LEFT(_xll.BDP($C1674, LAST_PRICE), 4) = "#N/A", "",  _xll.BDP($C1674, LAST_PRICE))</f>
        <v/>
      </c>
    </row>
    <row r="1675" spans="1:30" x14ac:dyDescent="0.35">
      <c r="A1675" s="1" t="str">
        <f t="shared" si="26"/>
        <v/>
      </c>
      <c r="B1675" s="30"/>
      <c r="C1675" s="29"/>
      <c r="D1675" s="29"/>
      <c r="E1675" s="29"/>
      <c r="F1675" s="29"/>
      <c r="G1675" s="30"/>
      <c r="H1675" s="31"/>
      <c r="I1675" s="31"/>
      <c r="J1675" s="32"/>
      <c r="K1675" s="33"/>
      <c r="L1675" s="31"/>
      <c r="M1675" s="32"/>
      <c r="N1675" s="31"/>
      <c r="O1675" s="36"/>
      <c r="P1675" s="34"/>
      <c r="Q1675" s="34"/>
      <c r="R1675" s="34"/>
      <c r="S1675" s="29"/>
      <c r="T1675" s="35"/>
      <c r="U1675" s="35"/>
      <c r="V1675" s="35"/>
      <c r="W1675" s="35"/>
      <c r="Y1675" s="31" t="str" cm="1">
        <f t="array" ref="Y1675">IF(LEFT(_xll.BDP($C1675, VOLUME_AVG_10D), 4) = "#N/A", "",  _xll.BDP($C1675, VOLUME_AVG_10D))</f>
        <v/>
      </c>
      <c r="Z1675" s="31" t="str" cm="1">
        <f t="array" ref="Z1675">IF(LEFT(_xll.BDP($C1675, VOLUME_AVG_30D), 4) = "#N/A", "",  _xll.BDP($C1675, VOLUME_AVG_30D))</f>
        <v/>
      </c>
      <c r="AA1675" s="31" t="str" cm="1">
        <f t="array" ref="AA1675">IF(LEFT(_xll.BDP($C1675, VOLUME_AVG_3M), 4) = "#N/A", "",  _xll.BDP($C1675, VOLUME_AVG_3M))</f>
        <v/>
      </c>
      <c r="AB1675" s="31" t="str" cm="1">
        <f t="array" ref="AB1675">IF(LEFT(_xll.BDP($C1675, VOLUME_AVG_6M), 4) = "#N/A", "",  _xll.BDP($C1675, VOLUME_AVG_6M))</f>
        <v/>
      </c>
      <c r="AC1675" s="31" t="str" cm="1">
        <f t="array" ref="AC1675">IF(LEFT(_xll.BDP($C1675, VOLUME_AVG_12M), 4) = "#N/A", "",  _xll.BDP($C1675, VOLUME_AVG_12M))</f>
        <v/>
      </c>
      <c r="AD1675" s="41" t="str" cm="1">
        <f t="array" ref="AD1675">IF(LEFT(_xll.BDP($C1675, LAST_PRICE), 4) = "#N/A", "",  _xll.BDP($C1675, LAST_PRICE))</f>
        <v/>
      </c>
    </row>
    <row r="1676" spans="1:30" x14ac:dyDescent="0.35">
      <c r="A1676" s="1" t="str">
        <f t="shared" si="26"/>
        <v/>
      </c>
      <c r="B1676" s="30"/>
      <c r="C1676" s="29"/>
      <c r="D1676" s="29"/>
      <c r="E1676" s="29"/>
      <c r="F1676" s="29"/>
      <c r="G1676" s="30"/>
      <c r="H1676" s="31"/>
      <c r="I1676" s="31"/>
      <c r="J1676" s="32"/>
      <c r="K1676" s="33"/>
      <c r="L1676" s="31"/>
      <c r="M1676" s="32"/>
      <c r="N1676" s="31"/>
      <c r="O1676" s="36"/>
      <c r="P1676" s="34"/>
      <c r="Q1676" s="34"/>
      <c r="R1676" s="34"/>
      <c r="S1676" s="29"/>
      <c r="T1676" s="35"/>
      <c r="U1676" s="35"/>
      <c r="V1676" s="35"/>
      <c r="W1676" s="35"/>
      <c r="Y1676" s="31" t="str" cm="1">
        <f t="array" ref="Y1676">IF(LEFT(_xll.BDP($C1676, VOLUME_AVG_10D), 4) = "#N/A", "",  _xll.BDP($C1676, VOLUME_AVG_10D))</f>
        <v/>
      </c>
      <c r="Z1676" s="31" t="str" cm="1">
        <f t="array" ref="Z1676">IF(LEFT(_xll.BDP($C1676, VOLUME_AVG_30D), 4) = "#N/A", "",  _xll.BDP($C1676, VOLUME_AVG_30D))</f>
        <v/>
      </c>
      <c r="AA1676" s="31" t="str" cm="1">
        <f t="array" ref="AA1676">IF(LEFT(_xll.BDP($C1676, VOLUME_AVG_3M), 4) = "#N/A", "",  _xll.BDP($C1676, VOLUME_AVG_3M))</f>
        <v/>
      </c>
      <c r="AB1676" s="31" t="str" cm="1">
        <f t="array" ref="AB1676">IF(LEFT(_xll.BDP($C1676, VOLUME_AVG_6M), 4) = "#N/A", "",  _xll.BDP($C1676, VOLUME_AVG_6M))</f>
        <v/>
      </c>
      <c r="AC1676" s="31" t="str" cm="1">
        <f t="array" ref="AC1676">IF(LEFT(_xll.BDP($C1676, VOLUME_AVG_12M), 4) = "#N/A", "",  _xll.BDP($C1676, VOLUME_AVG_12M))</f>
        <v/>
      </c>
      <c r="AD1676" s="41" t="str" cm="1">
        <f t="array" ref="AD1676">IF(LEFT(_xll.BDP($C1676, LAST_PRICE), 4) = "#N/A", "",  _xll.BDP($C1676, LAST_PRICE))</f>
        <v/>
      </c>
    </row>
    <row r="1677" spans="1:30" x14ac:dyDescent="0.35">
      <c r="A1677" s="1" t="str">
        <f t="shared" si="26"/>
        <v/>
      </c>
      <c r="B1677" s="30"/>
      <c r="C1677" s="29"/>
      <c r="D1677" s="29"/>
      <c r="E1677" s="29"/>
      <c r="F1677" s="29"/>
      <c r="G1677" s="30"/>
      <c r="H1677" s="31"/>
      <c r="I1677" s="31"/>
      <c r="J1677" s="32"/>
      <c r="K1677" s="33"/>
      <c r="L1677" s="31"/>
      <c r="M1677" s="32"/>
      <c r="N1677" s="31"/>
      <c r="O1677" s="36"/>
      <c r="P1677" s="34"/>
      <c r="Q1677" s="34"/>
      <c r="R1677" s="34"/>
      <c r="S1677" s="29"/>
      <c r="T1677" s="35"/>
      <c r="U1677" s="35"/>
      <c r="V1677" s="35"/>
      <c r="W1677" s="35"/>
      <c r="Y1677" s="31" t="str" cm="1">
        <f t="array" ref="Y1677">IF(LEFT(_xll.BDP($C1677, VOLUME_AVG_10D), 4) = "#N/A", "",  _xll.BDP($C1677, VOLUME_AVG_10D))</f>
        <v/>
      </c>
      <c r="Z1677" s="31" t="str" cm="1">
        <f t="array" ref="Z1677">IF(LEFT(_xll.BDP($C1677, VOLUME_AVG_30D), 4) = "#N/A", "",  _xll.BDP($C1677, VOLUME_AVG_30D))</f>
        <v/>
      </c>
      <c r="AA1677" s="31" t="str" cm="1">
        <f t="array" ref="AA1677">IF(LEFT(_xll.BDP($C1677, VOLUME_AVG_3M), 4) = "#N/A", "",  _xll.BDP($C1677, VOLUME_AVG_3M))</f>
        <v/>
      </c>
      <c r="AB1677" s="31" t="str" cm="1">
        <f t="array" ref="AB1677">IF(LEFT(_xll.BDP($C1677, VOLUME_AVG_6M), 4) = "#N/A", "",  _xll.BDP($C1677, VOLUME_AVG_6M))</f>
        <v/>
      </c>
      <c r="AC1677" s="31" t="str" cm="1">
        <f t="array" ref="AC1677">IF(LEFT(_xll.BDP($C1677, VOLUME_AVG_12M), 4) = "#N/A", "",  _xll.BDP($C1677, VOLUME_AVG_12M))</f>
        <v/>
      </c>
      <c r="AD1677" s="41" t="str" cm="1">
        <f t="array" ref="AD1677">IF(LEFT(_xll.BDP($C1677, LAST_PRICE), 4) = "#N/A", "",  _xll.BDP($C1677, LAST_PRICE))</f>
        <v/>
      </c>
    </row>
    <row r="1678" spans="1:30" x14ac:dyDescent="0.35">
      <c r="A1678" s="1" t="str">
        <f t="shared" si="26"/>
        <v/>
      </c>
      <c r="B1678" s="30"/>
      <c r="C1678" s="29"/>
      <c r="D1678" s="29"/>
      <c r="E1678" s="29"/>
      <c r="F1678" s="29"/>
      <c r="G1678" s="30"/>
      <c r="H1678" s="31"/>
      <c r="I1678" s="31"/>
      <c r="J1678" s="32"/>
      <c r="K1678" s="33"/>
      <c r="L1678" s="31"/>
      <c r="M1678" s="32"/>
      <c r="N1678" s="31"/>
      <c r="O1678" s="36"/>
      <c r="P1678" s="34"/>
      <c r="Q1678" s="34"/>
      <c r="R1678" s="34"/>
      <c r="S1678" s="29"/>
      <c r="T1678" s="35"/>
      <c r="U1678" s="35"/>
      <c r="V1678" s="35"/>
      <c r="W1678" s="35"/>
      <c r="Y1678" s="31" t="str" cm="1">
        <f t="array" ref="Y1678">IF(LEFT(_xll.BDP($C1678, VOLUME_AVG_10D), 4) = "#N/A", "",  _xll.BDP($C1678, VOLUME_AVG_10D))</f>
        <v/>
      </c>
      <c r="Z1678" s="31" t="str" cm="1">
        <f t="array" ref="Z1678">IF(LEFT(_xll.BDP($C1678, VOLUME_AVG_30D), 4) = "#N/A", "",  _xll.BDP($C1678, VOLUME_AVG_30D))</f>
        <v/>
      </c>
      <c r="AA1678" s="31" t="str" cm="1">
        <f t="array" ref="AA1678">IF(LEFT(_xll.BDP($C1678, VOLUME_AVG_3M), 4) = "#N/A", "",  _xll.BDP($C1678, VOLUME_AVG_3M))</f>
        <v/>
      </c>
      <c r="AB1678" s="31" t="str" cm="1">
        <f t="array" ref="AB1678">IF(LEFT(_xll.BDP($C1678, VOLUME_AVG_6M), 4) = "#N/A", "",  _xll.BDP($C1678, VOLUME_AVG_6M))</f>
        <v/>
      </c>
      <c r="AC1678" s="31" t="str" cm="1">
        <f t="array" ref="AC1678">IF(LEFT(_xll.BDP($C1678, VOLUME_AVG_12M), 4) = "#N/A", "",  _xll.BDP($C1678, VOLUME_AVG_12M))</f>
        <v/>
      </c>
      <c r="AD1678" s="41" t="str" cm="1">
        <f t="array" ref="AD1678">IF(LEFT(_xll.BDP($C1678, LAST_PRICE), 4) = "#N/A", "",  _xll.BDP($C1678, LAST_PRICE))</f>
        <v/>
      </c>
    </row>
    <row r="1679" spans="1:30" x14ac:dyDescent="0.35">
      <c r="A1679" s="1" t="str">
        <f t="shared" si="26"/>
        <v/>
      </c>
      <c r="B1679" s="30"/>
      <c r="C1679" s="29"/>
      <c r="D1679" s="29"/>
      <c r="E1679" s="29"/>
      <c r="F1679" s="29"/>
      <c r="G1679" s="30"/>
      <c r="H1679" s="31"/>
      <c r="I1679" s="31"/>
      <c r="J1679" s="32"/>
      <c r="K1679" s="33"/>
      <c r="L1679" s="31"/>
      <c r="M1679" s="32"/>
      <c r="N1679" s="31"/>
      <c r="O1679" s="36"/>
      <c r="P1679" s="34"/>
      <c r="Q1679" s="34"/>
      <c r="R1679" s="34"/>
      <c r="S1679" s="29"/>
      <c r="T1679" s="35"/>
      <c r="U1679" s="35"/>
      <c r="V1679" s="35"/>
      <c r="W1679" s="35"/>
      <c r="Y1679" s="31" t="str" cm="1">
        <f t="array" ref="Y1679">IF(LEFT(_xll.BDP($C1679, VOLUME_AVG_10D), 4) = "#N/A", "",  _xll.BDP($C1679, VOLUME_AVG_10D))</f>
        <v/>
      </c>
      <c r="Z1679" s="31" t="str" cm="1">
        <f t="array" ref="Z1679">IF(LEFT(_xll.BDP($C1679, VOLUME_AVG_30D), 4) = "#N/A", "",  _xll.BDP($C1679, VOLUME_AVG_30D))</f>
        <v/>
      </c>
      <c r="AA1679" s="31" t="str" cm="1">
        <f t="array" ref="AA1679">IF(LEFT(_xll.BDP($C1679, VOLUME_AVG_3M), 4) = "#N/A", "",  _xll.BDP($C1679, VOLUME_AVG_3M))</f>
        <v/>
      </c>
      <c r="AB1679" s="31" t="str" cm="1">
        <f t="array" ref="AB1679">IF(LEFT(_xll.BDP($C1679, VOLUME_AVG_6M), 4) = "#N/A", "",  _xll.BDP($C1679, VOLUME_AVG_6M))</f>
        <v/>
      </c>
      <c r="AC1679" s="31" t="str" cm="1">
        <f t="array" ref="AC1679">IF(LEFT(_xll.BDP($C1679, VOLUME_AVG_12M), 4) = "#N/A", "",  _xll.BDP($C1679, VOLUME_AVG_12M))</f>
        <v/>
      </c>
      <c r="AD1679" s="41" t="str" cm="1">
        <f t="array" ref="AD1679">IF(LEFT(_xll.BDP($C1679, LAST_PRICE), 4) = "#N/A", "",  _xll.BDP($C1679, LAST_PRICE))</f>
        <v/>
      </c>
    </row>
    <row r="1680" spans="1:30" x14ac:dyDescent="0.35">
      <c r="A1680" s="1" t="str">
        <f t="shared" si="26"/>
        <v/>
      </c>
      <c r="B1680" s="30"/>
      <c r="C1680" s="29"/>
      <c r="D1680" s="29"/>
      <c r="E1680" s="29"/>
      <c r="F1680" s="29"/>
      <c r="G1680" s="30"/>
      <c r="H1680" s="31"/>
      <c r="I1680" s="31"/>
      <c r="J1680" s="32"/>
      <c r="K1680" s="33"/>
      <c r="L1680" s="31"/>
      <c r="M1680" s="32"/>
      <c r="N1680" s="31"/>
      <c r="O1680" s="36"/>
      <c r="P1680" s="34"/>
      <c r="Q1680" s="34"/>
      <c r="R1680" s="34"/>
      <c r="S1680" s="29"/>
      <c r="T1680" s="35"/>
      <c r="U1680" s="35"/>
      <c r="V1680" s="35"/>
      <c r="W1680" s="35"/>
      <c r="Y1680" s="31" t="str" cm="1">
        <f t="array" ref="Y1680">IF(LEFT(_xll.BDP($C1680, VOLUME_AVG_10D), 4) = "#N/A", "",  _xll.BDP($C1680, VOLUME_AVG_10D))</f>
        <v/>
      </c>
      <c r="Z1680" s="31" t="str" cm="1">
        <f t="array" ref="Z1680">IF(LEFT(_xll.BDP($C1680, VOLUME_AVG_30D), 4) = "#N/A", "",  _xll.BDP($C1680, VOLUME_AVG_30D))</f>
        <v/>
      </c>
      <c r="AA1680" s="31" t="str" cm="1">
        <f t="array" ref="AA1680">IF(LEFT(_xll.BDP($C1680, VOLUME_AVG_3M), 4) = "#N/A", "",  _xll.BDP($C1680, VOLUME_AVG_3M))</f>
        <v/>
      </c>
      <c r="AB1680" s="31" t="str" cm="1">
        <f t="array" ref="AB1680">IF(LEFT(_xll.BDP($C1680, VOLUME_AVG_6M), 4) = "#N/A", "",  _xll.BDP($C1680, VOLUME_AVG_6M))</f>
        <v/>
      </c>
      <c r="AC1680" s="31" t="str" cm="1">
        <f t="array" ref="AC1680">IF(LEFT(_xll.BDP($C1680, VOLUME_AVG_12M), 4) = "#N/A", "",  _xll.BDP($C1680, VOLUME_AVG_12M))</f>
        <v/>
      </c>
      <c r="AD1680" s="41" t="str" cm="1">
        <f t="array" ref="AD1680">IF(LEFT(_xll.BDP($C1680, LAST_PRICE), 4) = "#N/A", "",  _xll.BDP($C1680, LAST_PRICE))</f>
        <v/>
      </c>
    </row>
    <row r="1681" spans="1:30" x14ac:dyDescent="0.35">
      <c r="A1681" s="1" t="str">
        <f t="shared" si="26"/>
        <v/>
      </c>
      <c r="B1681" s="30"/>
      <c r="C1681" s="29"/>
      <c r="D1681" s="29"/>
      <c r="E1681" s="29"/>
      <c r="F1681" s="29"/>
      <c r="G1681" s="30"/>
      <c r="H1681" s="31"/>
      <c r="I1681" s="31"/>
      <c r="J1681" s="32"/>
      <c r="K1681" s="33"/>
      <c r="L1681" s="31"/>
      <c r="M1681" s="32"/>
      <c r="N1681" s="31"/>
      <c r="O1681" s="36"/>
      <c r="P1681" s="34"/>
      <c r="Q1681" s="34"/>
      <c r="R1681" s="34"/>
      <c r="S1681" s="29"/>
      <c r="T1681" s="35"/>
      <c r="U1681" s="35"/>
      <c r="V1681" s="35"/>
      <c r="W1681" s="35"/>
      <c r="Y1681" s="31" t="str" cm="1">
        <f t="array" ref="Y1681">IF(LEFT(_xll.BDP($C1681, VOLUME_AVG_10D), 4) = "#N/A", "",  _xll.BDP($C1681, VOLUME_AVG_10D))</f>
        <v/>
      </c>
      <c r="Z1681" s="31" t="str" cm="1">
        <f t="array" ref="Z1681">IF(LEFT(_xll.BDP($C1681, VOLUME_AVG_30D), 4) = "#N/A", "",  _xll.BDP($C1681, VOLUME_AVG_30D))</f>
        <v/>
      </c>
      <c r="AA1681" s="31" t="str" cm="1">
        <f t="array" ref="AA1681">IF(LEFT(_xll.BDP($C1681, VOLUME_AVG_3M), 4) = "#N/A", "",  _xll.BDP($C1681, VOLUME_AVG_3M))</f>
        <v/>
      </c>
      <c r="AB1681" s="31" t="str" cm="1">
        <f t="array" ref="AB1681">IF(LEFT(_xll.BDP($C1681, VOLUME_AVG_6M), 4) = "#N/A", "",  _xll.BDP($C1681, VOLUME_AVG_6M))</f>
        <v/>
      </c>
      <c r="AC1681" s="31" t="str" cm="1">
        <f t="array" ref="AC1681">IF(LEFT(_xll.BDP($C1681, VOLUME_AVG_12M), 4) = "#N/A", "",  _xll.BDP($C1681, VOLUME_AVG_12M))</f>
        <v/>
      </c>
      <c r="AD1681" s="41" t="str" cm="1">
        <f t="array" ref="AD1681">IF(LEFT(_xll.BDP($C1681, LAST_PRICE), 4) = "#N/A", "",  _xll.BDP($C1681, LAST_PRICE))</f>
        <v/>
      </c>
    </row>
    <row r="1682" spans="1:30" x14ac:dyDescent="0.35">
      <c r="A1682" s="1" t="str">
        <f t="shared" si="26"/>
        <v/>
      </c>
      <c r="B1682" s="30"/>
      <c r="C1682" s="29"/>
      <c r="D1682" s="29"/>
      <c r="E1682" s="29"/>
      <c r="F1682" s="29"/>
      <c r="G1682" s="30"/>
      <c r="H1682" s="31"/>
      <c r="I1682" s="31"/>
      <c r="J1682" s="32"/>
      <c r="K1682" s="33"/>
      <c r="L1682" s="31"/>
      <c r="M1682" s="32"/>
      <c r="N1682" s="31"/>
      <c r="O1682" s="36"/>
      <c r="P1682" s="34"/>
      <c r="Q1682" s="34"/>
      <c r="R1682" s="34"/>
      <c r="S1682" s="29"/>
      <c r="T1682" s="35"/>
      <c r="U1682" s="35"/>
      <c r="V1682" s="35"/>
      <c r="W1682" s="35"/>
      <c r="Y1682" s="31" t="str" cm="1">
        <f t="array" ref="Y1682">IF(LEFT(_xll.BDP($C1682, VOLUME_AVG_10D), 4) = "#N/A", "",  _xll.BDP($C1682, VOLUME_AVG_10D))</f>
        <v/>
      </c>
      <c r="Z1682" s="31" t="str" cm="1">
        <f t="array" ref="Z1682">IF(LEFT(_xll.BDP($C1682, VOLUME_AVG_30D), 4) = "#N/A", "",  _xll.BDP($C1682, VOLUME_AVG_30D))</f>
        <v/>
      </c>
      <c r="AA1682" s="31" t="str" cm="1">
        <f t="array" ref="AA1682">IF(LEFT(_xll.BDP($C1682, VOLUME_AVG_3M), 4) = "#N/A", "",  _xll.BDP($C1682, VOLUME_AVG_3M))</f>
        <v/>
      </c>
      <c r="AB1682" s="31" t="str" cm="1">
        <f t="array" ref="AB1682">IF(LEFT(_xll.BDP($C1682, VOLUME_AVG_6M), 4) = "#N/A", "",  _xll.BDP($C1682, VOLUME_AVG_6M))</f>
        <v/>
      </c>
      <c r="AC1682" s="31" t="str" cm="1">
        <f t="array" ref="AC1682">IF(LEFT(_xll.BDP($C1682, VOLUME_AVG_12M), 4) = "#N/A", "",  _xll.BDP($C1682, VOLUME_AVG_12M))</f>
        <v/>
      </c>
      <c r="AD1682" s="41" t="str" cm="1">
        <f t="array" ref="AD1682">IF(LEFT(_xll.BDP($C1682, LAST_PRICE), 4) = "#N/A", "",  _xll.BDP($C1682, LAST_PRICE))</f>
        <v/>
      </c>
    </row>
    <row r="1683" spans="1:30" x14ac:dyDescent="0.35">
      <c r="A1683" s="1" t="str">
        <f t="shared" si="26"/>
        <v/>
      </c>
      <c r="B1683" s="30"/>
      <c r="C1683" s="29"/>
      <c r="D1683" s="29"/>
      <c r="E1683" s="29"/>
      <c r="F1683" s="29"/>
      <c r="G1683" s="30"/>
      <c r="H1683" s="31"/>
      <c r="I1683" s="31"/>
      <c r="J1683" s="32"/>
      <c r="K1683" s="33"/>
      <c r="L1683" s="31"/>
      <c r="M1683" s="32"/>
      <c r="N1683" s="31"/>
      <c r="O1683" s="36"/>
      <c r="P1683" s="34"/>
      <c r="Q1683" s="34"/>
      <c r="R1683" s="34"/>
      <c r="S1683" s="29"/>
      <c r="T1683" s="35"/>
      <c r="U1683" s="35"/>
      <c r="V1683" s="35"/>
      <c r="W1683" s="35"/>
      <c r="Y1683" s="31" t="str" cm="1">
        <f t="array" ref="Y1683">IF(LEFT(_xll.BDP($C1683, VOLUME_AVG_10D), 4) = "#N/A", "",  _xll.BDP($C1683, VOLUME_AVG_10D))</f>
        <v/>
      </c>
      <c r="Z1683" s="31" t="str" cm="1">
        <f t="array" ref="Z1683">IF(LEFT(_xll.BDP($C1683, VOLUME_AVG_30D), 4) = "#N/A", "",  _xll.BDP($C1683, VOLUME_AVG_30D))</f>
        <v/>
      </c>
      <c r="AA1683" s="31" t="str" cm="1">
        <f t="array" ref="AA1683">IF(LEFT(_xll.BDP($C1683, VOLUME_AVG_3M), 4) = "#N/A", "",  _xll.BDP($C1683, VOLUME_AVG_3M))</f>
        <v/>
      </c>
      <c r="AB1683" s="31" t="str" cm="1">
        <f t="array" ref="AB1683">IF(LEFT(_xll.BDP($C1683, VOLUME_AVG_6M), 4) = "#N/A", "",  _xll.BDP($C1683, VOLUME_AVG_6M))</f>
        <v/>
      </c>
      <c r="AC1683" s="31" t="str" cm="1">
        <f t="array" ref="AC1683">IF(LEFT(_xll.BDP($C1683, VOLUME_AVG_12M), 4) = "#N/A", "",  _xll.BDP($C1683, VOLUME_AVG_12M))</f>
        <v/>
      </c>
      <c r="AD1683" s="41" t="str" cm="1">
        <f t="array" ref="AD1683">IF(LEFT(_xll.BDP($C1683, LAST_PRICE), 4) = "#N/A", "",  _xll.BDP($C1683, LAST_PRICE))</f>
        <v/>
      </c>
    </row>
    <row r="1684" spans="1:30" x14ac:dyDescent="0.35">
      <c r="A1684" s="1" t="str">
        <f t="shared" si="26"/>
        <v/>
      </c>
      <c r="B1684" s="30"/>
      <c r="C1684" s="29"/>
      <c r="D1684" s="29"/>
      <c r="E1684" s="29"/>
      <c r="F1684" s="29"/>
      <c r="G1684" s="30"/>
      <c r="H1684" s="31"/>
      <c r="I1684" s="31"/>
      <c r="J1684" s="32"/>
      <c r="K1684" s="33"/>
      <c r="L1684" s="31"/>
      <c r="M1684" s="32"/>
      <c r="N1684" s="31"/>
      <c r="O1684" s="36"/>
      <c r="P1684" s="34"/>
      <c r="Q1684" s="34"/>
      <c r="R1684" s="34"/>
      <c r="S1684" s="29"/>
      <c r="T1684" s="35"/>
      <c r="U1684" s="35"/>
      <c r="V1684" s="35"/>
      <c r="W1684" s="35"/>
      <c r="Y1684" s="31" t="str" cm="1">
        <f t="array" ref="Y1684">IF(LEFT(_xll.BDP($C1684, VOLUME_AVG_10D), 4) = "#N/A", "",  _xll.BDP($C1684, VOLUME_AVG_10D))</f>
        <v/>
      </c>
      <c r="Z1684" s="31" t="str" cm="1">
        <f t="array" ref="Z1684">IF(LEFT(_xll.BDP($C1684, VOLUME_AVG_30D), 4) = "#N/A", "",  _xll.BDP($C1684, VOLUME_AVG_30D))</f>
        <v/>
      </c>
      <c r="AA1684" s="31" t="str" cm="1">
        <f t="array" ref="AA1684">IF(LEFT(_xll.BDP($C1684, VOLUME_AVG_3M), 4) = "#N/A", "",  _xll.BDP($C1684, VOLUME_AVG_3M))</f>
        <v/>
      </c>
      <c r="AB1684" s="31" t="str" cm="1">
        <f t="array" ref="AB1684">IF(LEFT(_xll.BDP($C1684, VOLUME_AVG_6M), 4) = "#N/A", "",  _xll.BDP($C1684, VOLUME_AVG_6M))</f>
        <v/>
      </c>
      <c r="AC1684" s="31" t="str" cm="1">
        <f t="array" ref="AC1684">IF(LEFT(_xll.BDP($C1684, VOLUME_AVG_12M), 4) = "#N/A", "",  _xll.BDP($C1684, VOLUME_AVG_12M))</f>
        <v/>
      </c>
      <c r="AD1684" s="41" t="str" cm="1">
        <f t="array" ref="AD1684">IF(LEFT(_xll.BDP($C1684, LAST_PRICE), 4) = "#N/A", "",  _xll.BDP($C1684, LAST_PRICE))</f>
        <v/>
      </c>
    </row>
    <row r="1685" spans="1:30" x14ac:dyDescent="0.35">
      <c r="A1685" s="1" t="str">
        <f t="shared" si="26"/>
        <v/>
      </c>
      <c r="B1685" s="30"/>
      <c r="C1685" s="29"/>
      <c r="D1685" s="29"/>
      <c r="E1685" s="29"/>
      <c r="F1685" s="29"/>
      <c r="G1685" s="30"/>
      <c r="H1685" s="31"/>
      <c r="I1685" s="31"/>
      <c r="J1685" s="32"/>
      <c r="K1685" s="33"/>
      <c r="L1685" s="31"/>
      <c r="M1685" s="32"/>
      <c r="N1685" s="31"/>
      <c r="O1685" s="36"/>
      <c r="P1685" s="34"/>
      <c r="Q1685" s="34"/>
      <c r="R1685" s="34"/>
      <c r="S1685" s="29"/>
      <c r="T1685" s="35"/>
      <c r="U1685" s="35"/>
      <c r="V1685" s="35"/>
      <c r="W1685" s="35"/>
      <c r="Y1685" s="31" t="str" cm="1">
        <f t="array" ref="Y1685">IF(LEFT(_xll.BDP($C1685, VOLUME_AVG_10D), 4) = "#N/A", "",  _xll.BDP($C1685, VOLUME_AVG_10D))</f>
        <v/>
      </c>
      <c r="Z1685" s="31" t="str" cm="1">
        <f t="array" ref="Z1685">IF(LEFT(_xll.BDP($C1685, VOLUME_AVG_30D), 4) = "#N/A", "",  _xll.BDP($C1685, VOLUME_AVG_30D))</f>
        <v/>
      </c>
      <c r="AA1685" s="31" t="str" cm="1">
        <f t="array" ref="AA1685">IF(LEFT(_xll.BDP($C1685, VOLUME_AVG_3M), 4) = "#N/A", "",  _xll.BDP($C1685, VOLUME_AVG_3M))</f>
        <v/>
      </c>
      <c r="AB1685" s="31" t="str" cm="1">
        <f t="array" ref="AB1685">IF(LEFT(_xll.BDP($C1685, VOLUME_AVG_6M), 4) = "#N/A", "",  _xll.BDP($C1685, VOLUME_AVG_6M))</f>
        <v/>
      </c>
      <c r="AC1685" s="31" t="str" cm="1">
        <f t="array" ref="AC1685">IF(LEFT(_xll.BDP($C1685, VOLUME_AVG_12M), 4) = "#N/A", "",  _xll.BDP($C1685, VOLUME_AVG_12M))</f>
        <v/>
      </c>
      <c r="AD1685" s="41" t="str" cm="1">
        <f t="array" ref="AD1685">IF(LEFT(_xll.BDP($C1685, LAST_PRICE), 4) = "#N/A", "",  _xll.BDP($C1685, LAST_PRICE))</f>
        <v/>
      </c>
    </row>
    <row r="1686" spans="1:30" x14ac:dyDescent="0.35">
      <c r="A1686" s="1" t="str">
        <f t="shared" si="26"/>
        <v/>
      </c>
      <c r="B1686" s="30"/>
      <c r="C1686" s="29"/>
      <c r="D1686" s="29"/>
      <c r="E1686" s="29"/>
      <c r="F1686" s="29"/>
      <c r="G1686" s="30"/>
      <c r="H1686" s="31"/>
      <c r="I1686" s="31"/>
      <c r="J1686" s="32"/>
      <c r="K1686" s="33"/>
      <c r="L1686" s="31"/>
      <c r="M1686" s="32"/>
      <c r="N1686" s="31"/>
      <c r="O1686" s="36"/>
      <c r="P1686" s="34"/>
      <c r="Q1686" s="34"/>
      <c r="R1686" s="34"/>
      <c r="S1686" s="29"/>
      <c r="T1686" s="35"/>
      <c r="U1686" s="35"/>
      <c r="V1686" s="35"/>
      <c r="W1686" s="35"/>
      <c r="Y1686" s="31" t="str" cm="1">
        <f t="array" ref="Y1686">IF(LEFT(_xll.BDP($C1686, VOLUME_AVG_10D), 4) = "#N/A", "",  _xll.BDP($C1686, VOLUME_AVG_10D))</f>
        <v/>
      </c>
      <c r="Z1686" s="31" t="str" cm="1">
        <f t="array" ref="Z1686">IF(LEFT(_xll.BDP($C1686, VOLUME_AVG_30D), 4) = "#N/A", "",  _xll.BDP($C1686, VOLUME_AVG_30D))</f>
        <v/>
      </c>
      <c r="AA1686" s="31" t="str" cm="1">
        <f t="array" ref="AA1686">IF(LEFT(_xll.BDP($C1686, VOLUME_AVG_3M), 4) = "#N/A", "",  _xll.BDP($C1686, VOLUME_AVG_3M))</f>
        <v/>
      </c>
      <c r="AB1686" s="31" t="str" cm="1">
        <f t="array" ref="AB1686">IF(LEFT(_xll.BDP($C1686, VOLUME_AVG_6M), 4) = "#N/A", "",  _xll.BDP($C1686, VOLUME_AVG_6M))</f>
        <v/>
      </c>
      <c r="AC1686" s="31" t="str" cm="1">
        <f t="array" ref="AC1686">IF(LEFT(_xll.BDP($C1686, VOLUME_AVG_12M), 4) = "#N/A", "",  _xll.BDP($C1686, VOLUME_AVG_12M))</f>
        <v/>
      </c>
      <c r="AD1686" s="41" t="str" cm="1">
        <f t="array" ref="AD1686">IF(LEFT(_xll.BDP($C1686, LAST_PRICE), 4) = "#N/A", "",  _xll.BDP($C1686, LAST_PRICE))</f>
        <v/>
      </c>
    </row>
    <row r="1687" spans="1:30" x14ac:dyDescent="0.35">
      <c r="A1687" s="1" t="str">
        <f t="shared" si="26"/>
        <v/>
      </c>
      <c r="B1687" s="30"/>
      <c r="C1687" s="29"/>
      <c r="D1687" s="29"/>
      <c r="E1687" s="29"/>
      <c r="F1687" s="29"/>
      <c r="G1687" s="30"/>
      <c r="H1687" s="31"/>
      <c r="I1687" s="31"/>
      <c r="J1687" s="32"/>
      <c r="K1687" s="33"/>
      <c r="L1687" s="31"/>
      <c r="M1687" s="32"/>
      <c r="N1687" s="31"/>
      <c r="O1687" s="36"/>
      <c r="P1687" s="34"/>
      <c r="Q1687" s="34"/>
      <c r="R1687" s="34"/>
      <c r="S1687" s="29"/>
      <c r="T1687" s="35"/>
      <c r="U1687" s="35"/>
      <c r="V1687" s="35"/>
      <c r="W1687" s="35"/>
      <c r="Y1687" s="31" t="str" cm="1">
        <f t="array" ref="Y1687">IF(LEFT(_xll.BDP($C1687, VOLUME_AVG_10D), 4) = "#N/A", "",  _xll.BDP($C1687, VOLUME_AVG_10D))</f>
        <v/>
      </c>
      <c r="Z1687" s="31" t="str" cm="1">
        <f t="array" ref="Z1687">IF(LEFT(_xll.BDP($C1687, VOLUME_AVG_30D), 4) = "#N/A", "",  _xll.BDP($C1687, VOLUME_AVG_30D))</f>
        <v/>
      </c>
      <c r="AA1687" s="31" t="str" cm="1">
        <f t="array" ref="AA1687">IF(LEFT(_xll.BDP($C1687, VOLUME_AVG_3M), 4) = "#N/A", "",  _xll.BDP($C1687, VOLUME_AVG_3M))</f>
        <v/>
      </c>
      <c r="AB1687" s="31" t="str" cm="1">
        <f t="array" ref="AB1687">IF(LEFT(_xll.BDP($C1687, VOLUME_AVG_6M), 4) = "#N/A", "",  _xll.BDP($C1687, VOLUME_AVG_6M))</f>
        <v/>
      </c>
      <c r="AC1687" s="31" t="str" cm="1">
        <f t="array" ref="AC1687">IF(LEFT(_xll.BDP($C1687, VOLUME_AVG_12M), 4) = "#N/A", "",  _xll.BDP($C1687, VOLUME_AVG_12M))</f>
        <v/>
      </c>
      <c r="AD1687" s="41" t="str" cm="1">
        <f t="array" ref="AD1687">IF(LEFT(_xll.BDP($C1687, LAST_PRICE), 4) = "#N/A", "",  _xll.BDP($C1687, LAST_PRICE))</f>
        <v/>
      </c>
    </row>
    <row r="1688" spans="1:30" x14ac:dyDescent="0.35">
      <c r="A1688" s="1" t="str">
        <f t="shared" si="26"/>
        <v/>
      </c>
      <c r="B1688" s="30"/>
      <c r="C1688" s="29"/>
      <c r="D1688" s="29"/>
      <c r="E1688" s="29"/>
      <c r="F1688" s="29"/>
      <c r="G1688" s="30"/>
      <c r="H1688" s="31"/>
      <c r="I1688" s="31"/>
      <c r="J1688" s="32"/>
      <c r="K1688" s="33"/>
      <c r="L1688" s="31"/>
      <c r="M1688" s="32"/>
      <c r="N1688" s="31"/>
      <c r="O1688" s="36"/>
      <c r="P1688" s="34"/>
      <c r="Q1688" s="34"/>
      <c r="R1688" s="34"/>
      <c r="S1688" s="29"/>
      <c r="T1688" s="35"/>
      <c r="U1688" s="35"/>
      <c r="V1688" s="35"/>
      <c r="W1688" s="35"/>
      <c r="Y1688" s="31" t="str" cm="1">
        <f t="array" ref="Y1688">IF(LEFT(_xll.BDP($C1688, VOLUME_AVG_10D), 4) = "#N/A", "",  _xll.BDP($C1688, VOLUME_AVG_10D))</f>
        <v/>
      </c>
      <c r="Z1688" s="31" t="str" cm="1">
        <f t="array" ref="Z1688">IF(LEFT(_xll.BDP($C1688, VOLUME_AVG_30D), 4) = "#N/A", "",  _xll.BDP($C1688, VOLUME_AVG_30D))</f>
        <v/>
      </c>
      <c r="AA1688" s="31" t="str" cm="1">
        <f t="array" ref="AA1688">IF(LEFT(_xll.BDP($C1688, VOLUME_AVG_3M), 4) = "#N/A", "",  _xll.BDP($C1688, VOLUME_AVG_3M))</f>
        <v/>
      </c>
      <c r="AB1688" s="31" t="str" cm="1">
        <f t="array" ref="AB1688">IF(LEFT(_xll.BDP($C1688, VOLUME_AVG_6M), 4) = "#N/A", "",  _xll.BDP($C1688, VOLUME_AVG_6M))</f>
        <v/>
      </c>
      <c r="AC1688" s="31" t="str" cm="1">
        <f t="array" ref="AC1688">IF(LEFT(_xll.BDP($C1688, VOLUME_AVG_12M), 4) = "#N/A", "",  _xll.BDP($C1688, VOLUME_AVG_12M))</f>
        <v/>
      </c>
      <c r="AD1688" s="41" t="str" cm="1">
        <f t="array" ref="AD1688">IF(LEFT(_xll.BDP($C1688, LAST_PRICE), 4) = "#N/A", "",  _xll.BDP($C1688, LAST_PRICE))</f>
        <v/>
      </c>
    </row>
    <row r="1689" spans="1:30" x14ac:dyDescent="0.35">
      <c r="A1689" s="1" t="str">
        <f t="shared" si="26"/>
        <v/>
      </c>
      <c r="B1689" s="30"/>
      <c r="C1689" s="29"/>
      <c r="D1689" s="29"/>
      <c r="E1689" s="29"/>
      <c r="F1689" s="29"/>
      <c r="G1689" s="30"/>
      <c r="H1689" s="31"/>
      <c r="I1689" s="31"/>
      <c r="J1689" s="32"/>
      <c r="K1689" s="33"/>
      <c r="L1689" s="31"/>
      <c r="M1689" s="32"/>
      <c r="N1689" s="31"/>
      <c r="O1689" s="36"/>
      <c r="P1689" s="34"/>
      <c r="Q1689" s="34"/>
      <c r="R1689" s="34"/>
      <c r="S1689" s="29"/>
      <c r="T1689" s="35"/>
      <c r="U1689" s="35"/>
      <c r="V1689" s="35"/>
      <c r="W1689" s="35"/>
      <c r="Y1689" s="31" t="str" cm="1">
        <f t="array" ref="Y1689">IF(LEFT(_xll.BDP($C1689, VOLUME_AVG_10D), 4) = "#N/A", "",  _xll.BDP($C1689, VOLUME_AVG_10D))</f>
        <v/>
      </c>
      <c r="Z1689" s="31" t="str" cm="1">
        <f t="array" ref="Z1689">IF(LEFT(_xll.BDP($C1689, VOLUME_AVG_30D), 4) = "#N/A", "",  _xll.BDP($C1689, VOLUME_AVG_30D))</f>
        <v/>
      </c>
      <c r="AA1689" s="31" t="str" cm="1">
        <f t="array" ref="AA1689">IF(LEFT(_xll.BDP($C1689, VOLUME_AVG_3M), 4) = "#N/A", "",  _xll.BDP($C1689, VOLUME_AVG_3M))</f>
        <v/>
      </c>
      <c r="AB1689" s="31" t="str" cm="1">
        <f t="array" ref="AB1689">IF(LEFT(_xll.BDP($C1689, VOLUME_AVG_6M), 4) = "#N/A", "",  _xll.BDP($C1689, VOLUME_AVG_6M))</f>
        <v/>
      </c>
      <c r="AC1689" s="31" t="str" cm="1">
        <f t="array" ref="AC1689">IF(LEFT(_xll.BDP($C1689, VOLUME_AVG_12M), 4) = "#N/A", "",  _xll.BDP($C1689, VOLUME_AVG_12M))</f>
        <v/>
      </c>
      <c r="AD1689" s="41" t="str" cm="1">
        <f t="array" ref="AD1689">IF(LEFT(_xll.BDP($C1689, LAST_PRICE), 4) = "#N/A", "",  _xll.BDP($C1689, LAST_PRICE))</f>
        <v/>
      </c>
    </row>
    <row r="1690" spans="1:30" x14ac:dyDescent="0.35">
      <c r="A1690" s="1" t="str">
        <f t="shared" si="26"/>
        <v/>
      </c>
      <c r="B1690" s="30"/>
      <c r="C1690" s="29"/>
      <c r="D1690" s="29"/>
      <c r="E1690" s="29"/>
      <c r="F1690" s="29"/>
      <c r="G1690" s="30"/>
      <c r="H1690" s="31"/>
      <c r="I1690" s="31"/>
      <c r="J1690" s="32"/>
      <c r="K1690" s="33"/>
      <c r="L1690" s="31"/>
      <c r="M1690" s="32"/>
      <c r="N1690" s="31"/>
      <c r="O1690" s="36"/>
      <c r="P1690" s="34"/>
      <c r="Q1690" s="34"/>
      <c r="R1690" s="34"/>
      <c r="S1690" s="29"/>
      <c r="T1690" s="35"/>
      <c r="U1690" s="35"/>
      <c r="V1690" s="35"/>
      <c r="W1690" s="35"/>
      <c r="Y1690" s="31" t="str" cm="1">
        <f t="array" ref="Y1690">IF(LEFT(_xll.BDP($C1690, VOLUME_AVG_10D), 4) = "#N/A", "",  _xll.BDP($C1690, VOLUME_AVG_10D))</f>
        <v/>
      </c>
      <c r="Z1690" s="31" t="str" cm="1">
        <f t="array" ref="Z1690">IF(LEFT(_xll.BDP($C1690, VOLUME_AVG_30D), 4) = "#N/A", "",  _xll.BDP($C1690, VOLUME_AVG_30D))</f>
        <v/>
      </c>
      <c r="AA1690" s="31" t="str" cm="1">
        <f t="array" ref="AA1690">IF(LEFT(_xll.BDP($C1690, VOLUME_AVG_3M), 4) = "#N/A", "",  _xll.BDP($C1690, VOLUME_AVG_3M))</f>
        <v/>
      </c>
      <c r="AB1690" s="31" t="str" cm="1">
        <f t="array" ref="AB1690">IF(LEFT(_xll.BDP($C1690, VOLUME_AVG_6M), 4) = "#N/A", "",  _xll.BDP($C1690, VOLUME_AVG_6M))</f>
        <v/>
      </c>
      <c r="AC1690" s="31" t="str" cm="1">
        <f t="array" ref="AC1690">IF(LEFT(_xll.BDP($C1690, VOLUME_AVG_12M), 4) = "#N/A", "",  _xll.BDP($C1690, VOLUME_AVG_12M))</f>
        <v/>
      </c>
      <c r="AD1690" s="41" t="str" cm="1">
        <f t="array" ref="AD1690">IF(LEFT(_xll.BDP($C1690, LAST_PRICE), 4) = "#N/A", "",  _xll.BDP($C1690, LAST_PRICE))</f>
        <v/>
      </c>
    </row>
    <row r="1691" spans="1:30" x14ac:dyDescent="0.35">
      <c r="A1691" s="1" t="str">
        <f t="shared" si="26"/>
        <v/>
      </c>
      <c r="B1691" s="30"/>
      <c r="C1691" s="29"/>
      <c r="D1691" s="29"/>
      <c r="E1691" s="29"/>
      <c r="F1691" s="29"/>
      <c r="G1691" s="30"/>
      <c r="H1691" s="31"/>
      <c r="I1691" s="31"/>
      <c r="J1691" s="32"/>
      <c r="K1691" s="33"/>
      <c r="L1691" s="31"/>
      <c r="M1691" s="32"/>
      <c r="N1691" s="31"/>
      <c r="O1691" s="36"/>
      <c r="P1691" s="34"/>
      <c r="Q1691" s="34"/>
      <c r="R1691" s="34"/>
      <c r="S1691" s="29"/>
      <c r="T1691" s="35"/>
      <c r="U1691" s="35"/>
      <c r="V1691" s="35"/>
      <c r="W1691" s="35"/>
      <c r="Y1691" s="31" t="str" cm="1">
        <f t="array" ref="Y1691">IF(LEFT(_xll.BDP($C1691, VOLUME_AVG_10D), 4) = "#N/A", "",  _xll.BDP($C1691, VOLUME_AVG_10D))</f>
        <v/>
      </c>
      <c r="Z1691" s="31" t="str" cm="1">
        <f t="array" ref="Z1691">IF(LEFT(_xll.BDP($C1691, VOLUME_AVG_30D), 4) = "#N/A", "",  _xll.BDP($C1691, VOLUME_AVG_30D))</f>
        <v/>
      </c>
      <c r="AA1691" s="31" t="str" cm="1">
        <f t="array" ref="AA1691">IF(LEFT(_xll.BDP($C1691, VOLUME_AVG_3M), 4) = "#N/A", "",  _xll.BDP($C1691, VOLUME_AVG_3M))</f>
        <v/>
      </c>
      <c r="AB1691" s="31" t="str" cm="1">
        <f t="array" ref="AB1691">IF(LEFT(_xll.BDP($C1691, VOLUME_AVG_6M), 4) = "#N/A", "",  _xll.BDP($C1691, VOLUME_AVG_6M))</f>
        <v/>
      </c>
      <c r="AC1691" s="31" t="str" cm="1">
        <f t="array" ref="AC1691">IF(LEFT(_xll.BDP($C1691, VOLUME_AVG_12M), 4) = "#N/A", "",  _xll.BDP($C1691, VOLUME_AVG_12M))</f>
        <v/>
      </c>
      <c r="AD1691" s="41" t="str" cm="1">
        <f t="array" ref="AD1691">IF(LEFT(_xll.BDP($C1691, LAST_PRICE), 4) = "#N/A", "",  _xll.BDP($C1691, LAST_PRICE))</f>
        <v/>
      </c>
    </row>
    <row r="1692" spans="1:30" x14ac:dyDescent="0.35">
      <c r="A1692" s="1" t="str">
        <f t="shared" si="26"/>
        <v/>
      </c>
      <c r="B1692" s="30"/>
      <c r="C1692" s="29"/>
      <c r="D1692" s="29"/>
      <c r="E1692" s="29"/>
      <c r="F1692" s="29"/>
      <c r="G1692" s="30"/>
      <c r="H1692" s="31"/>
      <c r="I1692" s="31"/>
      <c r="J1692" s="32"/>
      <c r="K1692" s="33"/>
      <c r="L1692" s="31"/>
      <c r="M1692" s="32"/>
      <c r="N1692" s="31"/>
      <c r="O1692" s="36"/>
      <c r="P1692" s="34"/>
      <c r="Q1692" s="34"/>
      <c r="R1692" s="34"/>
      <c r="S1692" s="29"/>
      <c r="T1692" s="35"/>
      <c r="U1692" s="35"/>
      <c r="V1692" s="35"/>
      <c r="W1692" s="35"/>
      <c r="Y1692" s="31" t="str" cm="1">
        <f t="array" ref="Y1692">IF(LEFT(_xll.BDP($C1692, VOLUME_AVG_10D), 4) = "#N/A", "",  _xll.BDP($C1692, VOLUME_AVG_10D))</f>
        <v/>
      </c>
      <c r="Z1692" s="31" t="str" cm="1">
        <f t="array" ref="Z1692">IF(LEFT(_xll.BDP($C1692, VOLUME_AVG_30D), 4) = "#N/A", "",  _xll.BDP($C1692, VOLUME_AVG_30D))</f>
        <v/>
      </c>
      <c r="AA1692" s="31" t="str" cm="1">
        <f t="array" ref="AA1692">IF(LEFT(_xll.BDP($C1692, VOLUME_AVG_3M), 4) = "#N/A", "",  _xll.BDP($C1692, VOLUME_AVG_3M))</f>
        <v/>
      </c>
      <c r="AB1692" s="31" t="str" cm="1">
        <f t="array" ref="AB1692">IF(LEFT(_xll.BDP($C1692, VOLUME_AVG_6M), 4) = "#N/A", "",  _xll.BDP($C1692, VOLUME_AVG_6M))</f>
        <v/>
      </c>
      <c r="AC1692" s="31" t="str" cm="1">
        <f t="array" ref="AC1692">IF(LEFT(_xll.BDP($C1692, VOLUME_AVG_12M), 4) = "#N/A", "",  _xll.BDP($C1692, VOLUME_AVG_12M))</f>
        <v/>
      </c>
      <c r="AD1692" s="41" t="str" cm="1">
        <f t="array" ref="AD1692">IF(LEFT(_xll.BDP($C1692, LAST_PRICE), 4) = "#N/A", "",  _xll.BDP($C1692, LAST_PRICE))</f>
        <v/>
      </c>
    </row>
    <row r="1693" spans="1:30" x14ac:dyDescent="0.35">
      <c r="A1693" s="1" t="str">
        <f t="shared" si="26"/>
        <v/>
      </c>
      <c r="B1693" s="30"/>
      <c r="C1693" s="29"/>
      <c r="D1693" s="29"/>
      <c r="E1693" s="29"/>
      <c r="F1693" s="29"/>
      <c r="G1693" s="30"/>
      <c r="H1693" s="31"/>
      <c r="I1693" s="31"/>
      <c r="J1693" s="32"/>
      <c r="K1693" s="33"/>
      <c r="L1693" s="31"/>
      <c r="M1693" s="32"/>
      <c r="N1693" s="31"/>
      <c r="O1693" s="36"/>
      <c r="P1693" s="34"/>
      <c r="Q1693" s="34"/>
      <c r="R1693" s="34"/>
      <c r="S1693" s="29"/>
      <c r="T1693" s="35"/>
      <c r="U1693" s="35"/>
      <c r="V1693" s="35"/>
      <c r="W1693" s="35"/>
      <c r="Y1693" s="31" t="str" cm="1">
        <f t="array" ref="Y1693">IF(LEFT(_xll.BDP($C1693, VOLUME_AVG_10D), 4) = "#N/A", "",  _xll.BDP($C1693, VOLUME_AVG_10D))</f>
        <v/>
      </c>
      <c r="Z1693" s="31" t="str" cm="1">
        <f t="array" ref="Z1693">IF(LEFT(_xll.BDP($C1693, VOLUME_AVG_30D), 4) = "#N/A", "",  _xll.BDP($C1693, VOLUME_AVG_30D))</f>
        <v/>
      </c>
      <c r="AA1693" s="31" t="str" cm="1">
        <f t="array" ref="AA1693">IF(LEFT(_xll.BDP($C1693, VOLUME_AVG_3M), 4) = "#N/A", "",  _xll.BDP($C1693, VOLUME_AVG_3M))</f>
        <v/>
      </c>
      <c r="AB1693" s="31" t="str" cm="1">
        <f t="array" ref="AB1693">IF(LEFT(_xll.BDP($C1693, VOLUME_AVG_6M), 4) = "#N/A", "",  _xll.BDP($C1693, VOLUME_AVG_6M))</f>
        <v/>
      </c>
      <c r="AC1693" s="31" t="str" cm="1">
        <f t="array" ref="AC1693">IF(LEFT(_xll.BDP($C1693, VOLUME_AVG_12M), 4) = "#N/A", "",  _xll.BDP($C1693, VOLUME_AVG_12M))</f>
        <v/>
      </c>
      <c r="AD1693" s="41" t="str" cm="1">
        <f t="array" ref="AD1693">IF(LEFT(_xll.BDP($C1693, LAST_PRICE), 4) = "#N/A", "",  _xll.BDP($C1693, LAST_PRICE))</f>
        <v/>
      </c>
    </row>
    <row r="1694" spans="1:30" x14ac:dyDescent="0.35">
      <c r="A1694" s="1" t="str">
        <f t="shared" si="26"/>
        <v/>
      </c>
      <c r="B1694" s="30"/>
      <c r="C1694" s="29"/>
      <c r="D1694" s="29"/>
      <c r="E1694" s="29"/>
      <c r="F1694" s="29"/>
      <c r="G1694" s="30"/>
      <c r="H1694" s="31"/>
      <c r="I1694" s="31"/>
      <c r="J1694" s="32"/>
      <c r="K1694" s="33"/>
      <c r="L1694" s="31"/>
      <c r="M1694" s="32"/>
      <c r="N1694" s="31"/>
      <c r="O1694" s="36"/>
      <c r="P1694" s="34"/>
      <c r="Q1694" s="34"/>
      <c r="R1694" s="34"/>
      <c r="S1694" s="29"/>
      <c r="T1694" s="35"/>
      <c r="U1694" s="35"/>
      <c r="V1694" s="35"/>
      <c r="W1694" s="35"/>
      <c r="Y1694" s="31" t="str" cm="1">
        <f t="array" ref="Y1694">IF(LEFT(_xll.BDP($C1694, VOLUME_AVG_10D), 4) = "#N/A", "",  _xll.BDP($C1694, VOLUME_AVG_10D))</f>
        <v/>
      </c>
      <c r="Z1694" s="31" t="str" cm="1">
        <f t="array" ref="Z1694">IF(LEFT(_xll.BDP($C1694, VOLUME_AVG_30D), 4) = "#N/A", "",  _xll.BDP($C1694, VOLUME_AVG_30D))</f>
        <v/>
      </c>
      <c r="AA1694" s="31" t="str" cm="1">
        <f t="array" ref="AA1694">IF(LEFT(_xll.BDP($C1694, VOLUME_AVG_3M), 4) = "#N/A", "",  _xll.BDP($C1694, VOLUME_AVG_3M))</f>
        <v/>
      </c>
      <c r="AB1694" s="31" t="str" cm="1">
        <f t="array" ref="AB1694">IF(LEFT(_xll.BDP($C1694, VOLUME_AVG_6M), 4) = "#N/A", "",  _xll.BDP($C1694, VOLUME_AVG_6M))</f>
        <v/>
      </c>
      <c r="AC1694" s="31" t="str" cm="1">
        <f t="array" ref="AC1694">IF(LEFT(_xll.BDP($C1694, VOLUME_AVG_12M), 4) = "#N/A", "",  _xll.BDP($C1694, VOLUME_AVG_12M))</f>
        <v/>
      </c>
      <c r="AD1694" s="41" t="str" cm="1">
        <f t="array" ref="AD1694">IF(LEFT(_xll.BDP($C1694, LAST_PRICE), 4) = "#N/A", "",  _xll.BDP($C1694, LAST_PRICE))</f>
        <v/>
      </c>
    </row>
    <row r="1695" spans="1:30" x14ac:dyDescent="0.35">
      <c r="A1695" s="1" t="str">
        <f t="shared" si="26"/>
        <v/>
      </c>
      <c r="B1695" s="30"/>
      <c r="C1695" s="29"/>
      <c r="D1695" s="29"/>
      <c r="E1695" s="29"/>
      <c r="F1695" s="29"/>
      <c r="G1695" s="30"/>
      <c r="H1695" s="31"/>
      <c r="I1695" s="31"/>
      <c r="J1695" s="32"/>
      <c r="K1695" s="33"/>
      <c r="L1695" s="31"/>
      <c r="M1695" s="32"/>
      <c r="N1695" s="31"/>
      <c r="O1695" s="36"/>
      <c r="P1695" s="34"/>
      <c r="Q1695" s="34"/>
      <c r="R1695" s="34"/>
      <c r="S1695" s="29"/>
      <c r="T1695" s="35"/>
      <c r="U1695" s="35"/>
      <c r="V1695" s="35"/>
      <c r="W1695" s="35"/>
      <c r="Y1695" s="31" t="str" cm="1">
        <f t="array" ref="Y1695">IF(LEFT(_xll.BDP($C1695, VOLUME_AVG_10D), 4) = "#N/A", "",  _xll.BDP($C1695, VOLUME_AVG_10D))</f>
        <v/>
      </c>
      <c r="Z1695" s="31" t="str" cm="1">
        <f t="array" ref="Z1695">IF(LEFT(_xll.BDP($C1695, VOLUME_AVG_30D), 4) = "#N/A", "",  _xll.BDP($C1695, VOLUME_AVG_30D))</f>
        <v/>
      </c>
      <c r="AA1695" s="31" t="str" cm="1">
        <f t="array" ref="AA1695">IF(LEFT(_xll.BDP($C1695, VOLUME_AVG_3M), 4) = "#N/A", "",  _xll.BDP($C1695, VOLUME_AVG_3M))</f>
        <v/>
      </c>
      <c r="AB1695" s="31" t="str" cm="1">
        <f t="array" ref="AB1695">IF(LEFT(_xll.BDP($C1695, VOLUME_AVG_6M), 4) = "#N/A", "",  _xll.BDP($C1695, VOLUME_AVG_6M))</f>
        <v/>
      </c>
      <c r="AC1695" s="31" t="str" cm="1">
        <f t="array" ref="AC1695">IF(LEFT(_xll.BDP($C1695, VOLUME_AVG_12M), 4) = "#N/A", "",  _xll.BDP($C1695, VOLUME_AVG_12M))</f>
        <v/>
      </c>
      <c r="AD1695" s="41" t="str" cm="1">
        <f t="array" ref="AD1695">IF(LEFT(_xll.BDP($C1695, LAST_PRICE), 4) = "#N/A", "",  _xll.BDP($C1695, LAST_PRICE))</f>
        <v/>
      </c>
    </row>
    <row r="1696" spans="1:30" x14ac:dyDescent="0.35">
      <c r="A1696" s="1" t="str">
        <f t="shared" si="26"/>
        <v/>
      </c>
      <c r="B1696" s="30"/>
      <c r="C1696" s="29"/>
      <c r="D1696" s="29"/>
      <c r="E1696" s="29"/>
      <c r="F1696" s="29"/>
      <c r="G1696" s="30"/>
      <c r="H1696" s="31"/>
      <c r="I1696" s="31"/>
      <c r="J1696" s="32"/>
      <c r="K1696" s="33"/>
      <c r="L1696" s="31"/>
      <c r="M1696" s="32"/>
      <c r="N1696" s="31"/>
      <c r="O1696" s="36"/>
      <c r="P1696" s="34"/>
      <c r="Q1696" s="34"/>
      <c r="R1696" s="34"/>
      <c r="S1696" s="29"/>
      <c r="T1696" s="35"/>
      <c r="U1696" s="35"/>
      <c r="V1696" s="35"/>
      <c r="W1696" s="35"/>
      <c r="Y1696" s="31" t="str" cm="1">
        <f t="array" ref="Y1696">IF(LEFT(_xll.BDP($C1696, VOLUME_AVG_10D), 4) = "#N/A", "",  _xll.BDP($C1696, VOLUME_AVG_10D))</f>
        <v/>
      </c>
      <c r="Z1696" s="31" t="str" cm="1">
        <f t="array" ref="Z1696">IF(LEFT(_xll.BDP($C1696, VOLUME_AVG_30D), 4) = "#N/A", "",  _xll.BDP($C1696, VOLUME_AVG_30D))</f>
        <v/>
      </c>
      <c r="AA1696" s="31" t="str" cm="1">
        <f t="array" ref="AA1696">IF(LEFT(_xll.BDP($C1696, VOLUME_AVG_3M), 4) = "#N/A", "",  _xll.BDP($C1696, VOLUME_AVG_3M))</f>
        <v/>
      </c>
      <c r="AB1696" s="31" t="str" cm="1">
        <f t="array" ref="AB1696">IF(LEFT(_xll.BDP($C1696, VOLUME_AVG_6M), 4) = "#N/A", "",  _xll.BDP($C1696, VOLUME_AVG_6M))</f>
        <v/>
      </c>
      <c r="AC1696" s="31" t="str" cm="1">
        <f t="array" ref="AC1696">IF(LEFT(_xll.BDP($C1696, VOLUME_AVG_12M), 4) = "#N/A", "",  _xll.BDP($C1696, VOLUME_AVG_12M))</f>
        <v/>
      </c>
      <c r="AD1696" s="41" t="str" cm="1">
        <f t="array" ref="AD1696">IF(LEFT(_xll.BDP($C1696, LAST_PRICE), 4) = "#N/A", "",  _xll.BDP($C1696, LAST_PRICE))</f>
        <v/>
      </c>
    </row>
    <row r="1697" spans="1:30" x14ac:dyDescent="0.35">
      <c r="A1697" s="1" t="str">
        <f t="shared" si="26"/>
        <v/>
      </c>
      <c r="B1697" s="30"/>
      <c r="C1697" s="29"/>
      <c r="D1697" s="29"/>
      <c r="E1697" s="29"/>
      <c r="F1697" s="29"/>
      <c r="G1697" s="30"/>
      <c r="H1697" s="31"/>
      <c r="I1697" s="31"/>
      <c r="J1697" s="32"/>
      <c r="K1697" s="33"/>
      <c r="L1697" s="31"/>
      <c r="M1697" s="32"/>
      <c r="N1697" s="31"/>
      <c r="O1697" s="36"/>
      <c r="P1697" s="34"/>
      <c r="Q1697" s="34"/>
      <c r="R1697" s="34"/>
      <c r="S1697" s="29"/>
      <c r="T1697" s="35"/>
      <c r="U1697" s="35"/>
      <c r="V1697" s="35"/>
      <c r="W1697" s="35"/>
      <c r="Y1697" s="31" t="str" cm="1">
        <f t="array" ref="Y1697">IF(LEFT(_xll.BDP($C1697, VOLUME_AVG_10D), 4) = "#N/A", "",  _xll.BDP($C1697, VOLUME_AVG_10D))</f>
        <v/>
      </c>
      <c r="Z1697" s="31" t="str" cm="1">
        <f t="array" ref="Z1697">IF(LEFT(_xll.BDP($C1697, VOLUME_AVG_30D), 4) = "#N/A", "",  _xll.BDP($C1697, VOLUME_AVG_30D))</f>
        <v/>
      </c>
      <c r="AA1697" s="31" t="str" cm="1">
        <f t="array" ref="AA1697">IF(LEFT(_xll.BDP($C1697, VOLUME_AVG_3M), 4) = "#N/A", "",  _xll.BDP($C1697, VOLUME_AVG_3M))</f>
        <v/>
      </c>
      <c r="AB1697" s="31" t="str" cm="1">
        <f t="array" ref="AB1697">IF(LEFT(_xll.BDP($C1697, VOLUME_AVG_6M), 4) = "#N/A", "",  _xll.BDP($C1697, VOLUME_AVG_6M))</f>
        <v/>
      </c>
      <c r="AC1697" s="31" t="str" cm="1">
        <f t="array" ref="AC1697">IF(LEFT(_xll.BDP($C1697, VOLUME_AVG_12M), 4) = "#N/A", "",  _xll.BDP($C1697, VOLUME_AVG_12M))</f>
        <v/>
      </c>
      <c r="AD1697" s="41" t="str" cm="1">
        <f t="array" ref="AD1697">IF(LEFT(_xll.BDP($C1697, LAST_PRICE), 4) = "#N/A", "",  _xll.BDP($C1697, LAST_PRICE))</f>
        <v/>
      </c>
    </row>
    <row r="1698" spans="1:30" x14ac:dyDescent="0.35">
      <c r="A1698" s="1" t="str">
        <f t="shared" si="26"/>
        <v/>
      </c>
      <c r="B1698" s="30"/>
      <c r="C1698" s="29"/>
      <c r="D1698" s="29"/>
      <c r="E1698" s="29"/>
      <c r="F1698" s="29"/>
      <c r="G1698" s="30"/>
      <c r="H1698" s="31"/>
      <c r="I1698" s="31"/>
      <c r="J1698" s="32"/>
      <c r="K1698" s="33"/>
      <c r="L1698" s="31"/>
      <c r="M1698" s="32"/>
      <c r="N1698" s="31"/>
      <c r="O1698" s="36"/>
      <c r="P1698" s="34"/>
      <c r="Q1698" s="34"/>
      <c r="R1698" s="34"/>
      <c r="S1698" s="29"/>
      <c r="T1698" s="35"/>
      <c r="U1698" s="35"/>
      <c r="V1698" s="35"/>
      <c r="W1698" s="35"/>
      <c r="Y1698" s="31" t="str" cm="1">
        <f t="array" ref="Y1698">IF(LEFT(_xll.BDP($C1698, VOLUME_AVG_10D), 4) = "#N/A", "",  _xll.BDP($C1698, VOLUME_AVG_10D))</f>
        <v/>
      </c>
      <c r="Z1698" s="31" t="str" cm="1">
        <f t="array" ref="Z1698">IF(LEFT(_xll.BDP($C1698, VOLUME_AVG_30D), 4) = "#N/A", "",  _xll.BDP($C1698, VOLUME_AVG_30D))</f>
        <v/>
      </c>
      <c r="AA1698" s="31" t="str" cm="1">
        <f t="array" ref="AA1698">IF(LEFT(_xll.BDP($C1698, VOLUME_AVG_3M), 4) = "#N/A", "",  _xll.BDP($C1698, VOLUME_AVG_3M))</f>
        <v/>
      </c>
      <c r="AB1698" s="31" t="str" cm="1">
        <f t="array" ref="AB1698">IF(LEFT(_xll.BDP($C1698, VOLUME_AVG_6M), 4) = "#N/A", "",  _xll.BDP($C1698, VOLUME_AVG_6M))</f>
        <v/>
      </c>
      <c r="AC1698" s="31" t="str" cm="1">
        <f t="array" ref="AC1698">IF(LEFT(_xll.BDP($C1698, VOLUME_AVG_12M), 4) = "#N/A", "",  _xll.BDP($C1698, VOLUME_AVG_12M))</f>
        <v/>
      </c>
      <c r="AD1698" s="41" t="str" cm="1">
        <f t="array" ref="AD1698">IF(LEFT(_xll.BDP($C1698, LAST_PRICE), 4) = "#N/A", "",  _xll.BDP($C1698, LAST_PRICE))</f>
        <v/>
      </c>
    </row>
    <row r="1699" spans="1:30" x14ac:dyDescent="0.35">
      <c r="A1699" s="1" t="str">
        <f t="shared" si="26"/>
        <v/>
      </c>
      <c r="B1699" s="30"/>
      <c r="C1699" s="29"/>
      <c r="D1699" s="29"/>
      <c r="E1699" s="29"/>
      <c r="F1699" s="29"/>
      <c r="G1699" s="30"/>
      <c r="H1699" s="31"/>
      <c r="I1699" s="31"/>
      <c r="J1699" s="32"/>
      <c r="K1699" s="33"/>
      <c r="L1699" s="31"/>
      <c r="M1699" s="32"/>
      <c r="N1699" s="31"/>
      <c r="O1699" s="36"/>
      <c r="P1699" s="34"/>
      <c r="Q1699" s="34"/>
      <c r="R1699" s="34"/>
      <c r="S1699" s="29"/>
      <c r="T1699" s="35"/>
      <c r="U1699" s="35"/>
      <c r="V1699" s="35"/>
      <c r="W1699" s="35"/>
      <c r="Y1699" s="31" t="str" cm="1">
        <f t="array" ref="Y1699">IF(LEFT(_xll.BDP($C1699, VOLUME_AVG_10D), 4) = "#N/A", "",  _xll.BDP($C1699, VOLUME_AVG_10D))</f>
        <v/>
      </c>
      <c r="Z1699" s="31" t="str" cm="1">
        <f t="array" ref="Z1699">IF(LEFT(_xll.BDP($C1699, VOLUME_AVG_30D), 4) = "#N/A", "",  _xll.BDP($C1699, VOLUME_AVG_30D))</f>
        <v/>
      </c>
      <c r="AA1699" s="31" t="str" cm="1">
        <f t="array" ref="AA1699">IF(LEFT(_xll.BDP($C1699, VOLUME_AVG_3M), 4) = "#N/A", "",  _xll.BDP($C1699, VOLUME_AVG_3M))</f>
        <v/>
      </c>
      <c r="AB1699" s="31" t="str" cm="1">
        <f t="array" ref="AB1699">IF(LEFT(_xll.BDP($C1699, VOLUME_AVG_6M), 4) = "#N/A", "",  _xll.BDP($C1699, VOLUME_AVG_6M))</f>
        <v/>
      </c>
      <c r="AC1699" s="31" t="str" cm="1">
        <f t="array" ref="AC1699">IF(LEFT(_xll.BDP($C1699, VOLUME_AVG_12M), 4) = "#N/A", "",  _xll.BDP($C1699, VOLUME_AVG_12M))</f>
        <v/>
      </c>
      <c r="AD1699" s="41" t="str" cm="1">
        <f t="array" ref="AD1699">IF(LEFT(_xll.BDP($C1699, LAST_PRICE), 4) = "#N/A", "",  _xll.BDP($C1699, LAST_PRICE))</f>
        <v/>
      </c>
    </row>
    <row r="1700" spans="1:30" x14ac:dyDescent="0.35">
      <c r="A1700" s="1" t="str">
        <f t="shared" si="26"/>
        <v/>
      </c>
      <c r="B1700" s="30"/>
      <c r="C1700" s="29"/>
      <c r="D1700" s="29"/>
      <c r="E1700" s="29"/>
      <c r="F1700" s="29"/>
      <c r="G1700" s="30"/>
      <c r="H1700" s="31"/>
      <c r="I1700" s="31"/>
      <c r="J1700" s="32"/>
      <c r="K1700" s="33"/>
      <c r="L1700" s="31"/>
      <c r="M1700" s="32"/>
      <c r="N1700" s="31"/>
      <c r="O1700" s="36"/>
      <c r="P1700" s="34"/>
      <c r="Q1700" s="34"/>
      <c r="R1700" s="34"/>
      <c r="S1700" s="29"/>
      <c r="T1700" s="35"/>
      <c r="U1700" s="35"/>
      <c r="V1700" s="35"/>
      <c r="W1700" s="35"/>
      <c r="Y1700" s="31" t="str" cm="1">
        <f t="array" ref="Y1700">IF(LEFT(_xll.BDP($C1700, VOLUME_AVG_10D), 4) = "#N/A", "",  _xll.BDP($C1700, VOLUME_AVG_10D))</f>
        <v/>
      </c>
      <c r="Z1700" s="31" t="str" cm="1">
        <f t="array" ref="Z1700">IF(LEFT(_xll.BDP($C1700, VOLUME_AVG_30D), 4) = "#N/A", "",  _xll.BDP($C1700, VOLUME_AVG_30D))</f>
        <v/>
      </c>
      <c r="AA1700" s="31" t="str" cm="1">
        <f t="array" ref="AA1700">IF(LEFT(_xll.BDP($C1700, VOLUME_AVG_3M), 4) = "#N/A", "",  _xll.BDP($C1700, VOLUME_AVG_3M))</f>
        <v/>
      </c>
      <c r="AB1700" s="31" t="str" cm="1">
        <f t="array" ref="AB1700">IF(LEFT(_xll.BDP($C1700, VOLUME_AVG_6M), 4) = "#N/A", "",  _xll.BDP($C1700, VOLUME_AVG_6M))</f>
        <v/>
      </c>
      <c r="AC1700" s="31" t="str" cm="1">
        <f t="array" ref="AC1700">IF(LEFT(_xll.BDP($C1700, VOLUME_AVG_12M), 4) = "#N/A", "",  _xll.BDP($C1700, VOLUME_AVG_12M))</f>
        <v/>
      </c>
      <c r="AD1700" s="41" t="str" cm="1">
        <f t="array" ref="AD1700">IF(LEFT(_xll.BDP($C1700, LAST_PRICE), 4) = "#N/A", "",  _xll.BDP($C1700, LAST_PRICE))</f>
        <v/>
      </c>
    </row>
    <row r="1701" spans="1:30" x14ac:dyDescent="0.35">
      <c r="A1701" s="1" t="str">
        <f t="shared" si="26"/>
        <v/>
      </c>
      <c r="B1701" s="30"/>
      <c r="C1701" s="29"/>
      <c r="D1701" s="29"/>
      <c r="E1701" s="29"/>
      <c r="F1701" s="29"/>
      <c r="G1701" s="30"/>
      <c r="H1701" s="31"/>
      <c r="I1701" s="31"/>
      <c r="J1701" s="32"/>
      <c r="K1701" s="33"/>
      <c r="L1701" s="31"/>
      <c r="M1701" s="32"/>
      <c r="N1701" s="31"/>
      <c r="O1701" s="36"/>
      <c r="P1701" s="34"/>
      <c r="Q1701" s="34"/>
      <c r="R1701" s="34"/>
      <c r="S1701" s="29"/>
      <c r="T1701" s="35"/>
      <c r="U1701" s="35"/>
      <c r="V1701" s="35"/>
      <c r="W1701" s="35"/>
      <c r="Y1701" s="31" t="str" cm="1">
        <f t="array" ref="Y1701">IF(LEFT(_xll.BDP($C1701, VOLUME_AVG_10D), 4) = "#N/A", "",  _xll.BDP($C1701, VOLUME_AVG_10D))</f>
        <v/>
      </c>
      <c r="Z1701" s="31" t="str" cm="1">
        <f t="array" ref="Z1701">IF(LEFT(_xll.BDP($C1701, VOLUME_AVG_30D), 4) = "#N/A", "",  _xll.BDP($C1701, VOLUME_AVG_30D))</f>
        <v/>
      </c>
      <c r="AA1701" s="31" t="str" cm="1">
        <f t="array" ref="AA1701">IF(LEFT(_xll.BDP($C1701, VOLUME_AVG_3M), 4) = "#N/A", "",  _xll.BDP($C1701, VOLUME_AVG_3M))</f>
        <v/>
      </c>
      <c r="AB1701" s="31" t="str" cm="1">
        <f t="array" ref="AB1701">IF(LEFT(_xll.BDP($C1701, VOLUME_AVG_6M), 4) = "#N/A", "",  _xll.BDP($C1701, VOLUME_AVG_6M))</f>
        <v/>
      </c>
      <c r="AC1701" s="31" t="str" cm="1">
        <f t="array" ref="AC1701">IF(LEFT(_xll.BDP($C1701, VOLUME_AVG_12M), 4) = "#N/A", "",  _xll.BDP($C1701, VOLUME_AVG_12M))</f>
        <v/>
      </c>
      <c r="AD1701" s="41" t="str" cm="1">
        <f t="array" ref="AD1701">IF(LEFT(_xll.BDP($C1701, LAST_PRICE), 4) = "#N/A", "",  _xll.BDP($C1701, LAST_PRICE))</f>
        <v/>
      </c>
    </row>
    <row r="1702" spans="1:30" x14ac:dyDescent="0.35">
      <c r="A1702" s="1" t="str">
        <f t="shared" si="26"/>
        <v/>
      </c>
      <c r="B1702" s="30"/>
      <c r="C1702" s="29"/>
      <c r="D1702" s="29"/>
      <c r="E1702" s="29"/>
      <c r="F1702" s="29"/>
      <c r="G1702" s="30"/>
      <c r="H1702" s="31"/>
      <c r="I1702" s="31"/>
      <c r="J1702" s="32"/>
      <c r="K1702" s="33"/>
      <c r="L1702" s="31"/>
      <c r="M1702" s="32"/>
      <c r="N1702" s="31"/>
      <c r="O1702" s="36"/>
      <c r="P1702" s="34"/>
      <c r="Q1702" s="34"/>
      <c r="R1702" s="34"/>
      <c r="S1702" s="29"/>
      <c r="T1702" s="35"/>
      <c r="U1702" s="35"/>
      <c r="V1702" s="35"/>
      <c r="W1702" s="35"/>
      <c r="Y1702" s="31" t="str" cm="1">
        <f t="array" ref="Y1702">IF(LEFT(_xll.BDP($C1702, VOLUME_AVG_10D), 4) = "#N/A", "",  _xll.BDP($C1702, VOLUME_AVG_10D))</f>
        <v/>
      </c>
      <c r="Z1702" s="31" t="str" cm="1">
        <f t="array" ref="Z1702">IF(LEFT(_xll.BDP($C1702, VOLUME_AVG_30D), 4) = "#N/A", "",  _xll.BDP($C1702, VOLUME_AVG_30D))</f>
        <v/>
      </c>
      <c r="AA1702" s="31" t="str" cm="1">
        <f t="array" ref="AA1702">IF(LEFT(_xll.BDP($C1702, VOLUME_AVG_3M), 4) = "#N/A", "",  _xll.BDP($C1702, VOLUME_AVG_3M))</f>
        <v/>
      </c>
      <c r="AB1702" s="31" t="str" cm="1">
        <f t="array" ref="AB1702">IF(LEFT(_xll.BDP($C1702, VOLUME_AVG_6M), 4) = "#N/A", "",  _xll.BDP($C1702, VOLUME_AVG_6M))</f>
        <v/>
      </c>
      <c r="AC1702" s="31" t="str" cm="1">
        <f t="array" ref="AC1702">IF(LEFT(_xll.BDP($C1702, VOLUME_AVG_12M), 4) = "#N/A", "",  _xll.BDP($C1702, VOLUME_AVG_12M))</f>
        <v/>
      </c>
      <c r="AD1702" s="41" t="str" cm="1">
        <f t="array" ref="AD1702">IF(LEFT(_xll.BDP($C1702, LAST_PRICE), 4) = "#N/A", "",  _xll.BDP($C1702, LAST_PRICE))</f>
        <v/>
      </c>
    </row>
    <row r="1703" spans="1:30" x14ac:dyDescent="0.35">
      <c r="A1703" s="1" t="str">
        <f t="shared" si="26"/>
        <v/>
      </c>
      <c r="B1703" s="30"/>
      <c r="C1703" s="29"/>
      <c r="D1703" s="29"/>
      <c r="E1703" s="29"/>
      <c r="F1703" s="29"/>
      <c r="G1703" s="30"/>
      <c r="H1703" s="31"/>
      <c r="I1703" s="31"/>
      <c r="J1703" s="32"/>
      <c r="K1703" s="33"/>
      <c r="L1703" s="31"/>
      <c r="M1703" s="32"/>
      <c r="N1703" s="31"/>
      <c r="O1703" s="36"/>
      <c r="P1703" s="34"/>
      <c r="Q1703" s="34"/>
      <c r="R1703" s="34"/>
      <c r="S1703" s="29"/>
      <c r="T1703" s="35"/>
      <c r="U1703" s="35"/>
      <c r="V1703" s="35"/>
      <c r="W1703" s="35"/>
      <c r="Y1703" s="31" t="str" cm="1">
        <f t="array" ref="Y1703">IF(LEFT(_xll.BDP($C1703, VOLUME_AVG_10D), 4) = "#N/A", "",  _xll.BDP($C1703, VOLUME_AVG_10D))</f>
        <v/>
      </c>
      <c r="Z1703" s="31" t="str" cm="1">
        <f t="array" ref="Z1703">IF(LEFT(_xll.BDP($C1703, VOLUME_AVG_30D), 4) = "#N/A", "",  _xll.BDP($C1703, VOLUME_AVG_30D))</f>
        <v/>
      </c>
      <c r="AA1703" s="31" t="str" cm="1">
        <f t="array" ref="AA1703">IF(LEFT(_xll.BDP($C1703, VOLUME_AVG_3M), 4) = "#N/A", "",  _xll.BDP($C1703, VOLUME_AVG_3M))</f>
        <v/>
      </c>
      <c r="AB1703" s="31" t="str" cm="1">
        <f t="array" ref="AB1703">IF(LEFT(_xll.BDP($C1703, VOLUME_AVG_6M), 4) = "#N/A", "",  _xll.BDP($C1703, VOLUME_AVG_6M))</f>
        <v/>
      </c>
      <c r="AC1703" s="31" t="str" cm="1">
        <f t="array" ref="AC1703">IF(LEFT(_xll.BDP($C1703, VOLUME_AVG_12M), 4) = "#N/A", "",  _xll.BDP($C1703, VOLUME_AVG_12M))</f>
        <v/>
      </c>
      <c r="AD1703" s="41" t="str" cm="1">
        <f t="array" ref="AD1703">IF(LEFT(_xll.BDP($C1703, LAST_PRICE), 4) = "#N/A", "",  _xll.BDP($C1703, LAST_PRICE))</f>
        <v/>
      </c>
    </row>
    <row r="1704" spans="1:30" x14ac:dyDescent="0.35">
      <c r="A1704" s="1" t="str">
        <f t="shared" si="26"/>
        <v/>
      </c>
      <c r="B1704" s="30"/>
      <c r="C1704" s="29"/>
      <c r="D1704" s="29"/>
      <c r="E1704" s="29"/>
      <c r="F1704" s="29"/>
      <c r="G1704" s="30"/>
      <c r="H1704" s="31"/>
      <c r="I1704" s="31"/>
      <c r="J1704" s="32"/>
      <c r="K1704" s="33"/>
      <c r="L1704" s="31"/>
      <c r="M1704" s="32"/>
      <c r="N1704" s="31"/>
      <c r="O1704" s="36"/>
      <c r="P1704" s="34"/>
      <c r="Q1704" s="34"/>
      <c r="R1704" s="34"/>
      <c r="S1704" s="29"/>
      <c r="T1704" s="35"/>
      <c r="U1704" s="35"/>
      <c r="V1704" s="35"/>
      <c r="W1704" s="35"/>
      <c r="Y1704" s="31" t="str" cm="1">
        <f t="array" ref="Y1704">IF(LEFT(_xll.BDP($C1704, VOLUME_AVG_10D), 4) = "#N/A", "",  _xll.BDP($C1704, VOLUME_AVG_10D))</f>
        <v/>
      </c>
      <c r="Z1704" s="31" t="str" cm="1">
        <f t="array" ref="Z1704">IF(LEFT(_xll.BDP($C1704, VOLUME_AVG_30D), 4) = "#N/A", "",  _xll.BDP($C1704, VOLUME_AVG_30D))</f>
        <v/>
      </c>
      <c r="AA1704" s="31" t="str" cm="1">
        <f t="array" ref="AA1704">IF(LEFT(_xll.BDP($C1704, VOLUME_AVG_3M), 4) = "#N/A", "",  _xll.BDP($C1704, VOLUME_AVG_3M))</f>
        <v/>
      </c>
      <c r="AB1704" s="31" t="str" cm="1">
        <f t="array" ref="AB1704">IF(LEFT(_xll.BDP($C1704, VOLUME_AVG_6M), 4) = "#N/A", "",  _xll.BDP($C1704, VOLUME_AVG_6M))</f>
        <v/>
      </c>
      <c r="AC1704" s="31" t="str" cm="1">
        <f t="array" ref="AC1704">IF(LEFT(_xll.BDP($C1704, VOLUME_AVG_12M), 4) = "#N/A", "",  _xll.BDP($C1704, VOLUME_AVG_12M))</f>
        <v/>
      </c>
      <c r="AD1704" s="41" t="str" cm="1">
        <f t="array" ref="AD1704">IF(LEFT(_xll.BDP($C1704, LAST_PRICE), 4) = "#N/A", "",  _xll.BDP($C1704, LAST_PRICE))</f>
        <v/>
      </c>
    </row>
    <row r="1705" spans="1:30" x14ac:dyDescent="0.35">
      <c r="A1705" s="1" t="str">
        <f t="shared" si="26"/>
        <v/>
      </c>
      <c r="B1705" s="30"/>
      <c r="C1705" s="29"/>
      <c r="D1705" s="29"/>
      <c r="E1705" s="29"/>
      <c r="F1705" s="29"/>
      <c r="G1705" s="30"/>
      <c r="H1705" s="31"/>
      <c r="I1705" s="31"/>
      <c r="J1705" s="32"/>
      <c r="K1705" s="33"/>
      <c r="L1705" s="31"/>
      <c r="M1705" s="32"/>
      <c r="N1705" s="31"/>
      <c r="O1705" s="36"/>
      <c r="P1705" s="34"/>
      <c r="Q1705" s="34"/>
      <c r="R1705" s="34"/>
      <c r="S1705" s="29"/>
      <c r="T1705" s="35"/>
      <c r="U1705" s="35"/>
      <c r="V1705" s="35"/>
      <c r="W1705" s="35"/>
      <c r="Y1705" s="31" t="str" cm="1">
        <f t="array" ref="Y1705">IF(LEFT(_xll.BDP($C1705, VOLUME_AVG_10D), 4) = "#N/A", "",  _xll.BDP($C1705, VOLUME_AVG_10D))</f>
        <v/>
      </c>
      <c r="Z1705" s="31" t="str" cm="1">
        <f t="array" ref="Z1705">IF(LEFT(_xll.BDP($C1705, VOLUME_AVG_30D), 4) = "#N/A", "",  _xll.BDP($C1705, VOLUME_AVG_30D))</f>
        <v/>
      </c>
      <c r="AA1705" s="31" t="str" cm="1">
        <f t="array" ref="AA1705">IF(LEFT(_xll.BDP($C1705, VOLUME_AVG_3M), 4) = "#N/A", "",  _xll.BDP($C1705, VOLUME_AVG_3M))</f>
        <v/>
      </c>
      <c r="AB1705" s="31" t="str" cm="1">
        <f t="array" ref="AB1705">IF(LEFT(_xll.BDP($C1705, VOLUME_AVG_6M), 4) = "#N/A", "",  _xll.BDP($C1705, VOLUME_AVG_6M))</f>
        <v/>
      </c>
      <c r="AC1705" s="31" t="str" cm="1">
        <f t="array" ref="AC1705">IF(LEFT(_xll.BDP($C1705, VOLUME_AVG_12M), 4) = "#N/A", "",  _xll.BDP($C1705, VOLUME_AVG_12M))</f>
        <v/>
      </c>
      <c r="AD1705" s="41" t="str" cm="1">
        <f t="array" ref="AD1705">IF(LEFT(_xll.BDP($C1705, LAST_PRICE), 4) = "#N/A", "",  _xll.BDP($C1705, LAST_PRICE))</f>
        <v/>
      </c>
    </row>
    <row r="1706" spans="1:30" x14ac:dyDescent="0.35">
      <c r="A1706" s="1" t="str">
        <f t="shared" si="26"/>
        <v/>
      </c>
      <c r="B1706" s="30"/>
      <c r="C1706" s="29"/>
      <c r="D1706" s="29"/>
      <c r="E1706" s="29"/>
      <c r="F1706" s="29"/>
      <c r="G1706" s="30"/>
      <c r="H1706" s="31"/>
      <c r="I1706" s="31"/>
      <c r="J1706" s="32"/>
      <c r="K1706" s="33"/>
      <c r="L1706" s="31"/>
      <c r="M1706" s="32"/>
      <c r="N1706" s="31"/>
      <c r="O1706" s="36"/>
      <c r="P1706" s="34"/>
      <c r="Q1706" s="34"/>
      <c r="R1706" s="34"/>
      <c r="S1706" s="29"/>
      <c r="T1706" s="35"/>
      <c r="U1706" s="35"/>
      <c r="V1706" s="35"/>
      <c r="W1706" s="35"/>
      <c r="Y1706" s="31" t="str" cm="1">
        <f t="array" ref="Y1706">IF(LEFT(_xll.BDP($C1706, VOLUME_AVG_10D), 4) = "#N/A", "",  _xll.BDP($C1706, VOLUME_AVG_10D))</f>
        <v/>
      </c>
      <c r="Z1706" s="31" t="str" cm="1">
        <f t="array" ref="Z1706">IF(LEFT(_xll.BDP($C1706, VOLUME_AVG_30D), 4) = "#N/A", "",  _xll.BDP($C1706, VOLUME_AVG_30D))</f>
        <v/>
      </c>
      <c r="AA1706" s="31" t="str" cm="1">
        <f t="array" ref="AA1706">IF(LEFT(_xll.BDP($C1706, VOLUME_AVG_3M), 4) = "#N/A", "",  _xll.BDP($C1706, VOLUME_AVG_3M))</f>
        <v/>
      </c>
      <c r="AB1706" s="31" t="str" cm="1">
        <f t="array" ref="AB1706">IF(LEFT(_xll.BDP($C1706, VOLUME_AVG_6M), 4) = "#N/A", "",  _xll.BDP($C1706, VOLUME_AVG_6M))</f>
        <v/>
      </c>
      <c r="AC1706" s="31" t="str" cm="1">
        <f t="array" ref="AC1706">IF(LEFT(_xll.BDP($C1706, VOLUME_AVG_12M), 4) = "#N/A", "",  _xll.BDP($C1706, VOLUME_AVG_12M))</f>
        <v/>
      </c>
      <c r="AD1706" s="41" t="str" cm="1">
        <f t="array" ref="AD1706">IF(LEFT(_xll.BDP($C1706, LAST_PRICE), 4) = "#N/A", "",  _xll.BDP($C1706, LAST_PRICE))</f>
        <v/>
      </c>
    </row>
    <row r="1707" spans="1:30" x14ac:dyDescent="0.35">
      <c r="A1707" s="1" t="str">
        <f t="shared" si="26"/>
        <v/>
      </c>
      <c r="B1707" s="30"/>
      <c r="C1707" s="29"/>
      <c r="D1707" s="29"/>
      <c r="E1707" s="29"/>
      <c r="F1707" s="29"/>
      <c r="G1707" s="30"/>
      <c r="H1707" s="31"/>
      <c r="I1707" s="31"/>
      <c r="J1707" s="32"/>
      <c r="K1707" s="33"/>
      <c r="L1707" s="31"/>
      <c r="M1707" s="32"/>
      <c r="N1707" s="31"/>
      <c r="O1707" s="36"/>
      <c r="P1707" s="34"/>
      <c r="Q1707" s="34"/>
      <c r="R1707" s="34"/>
      <c r="S1707" s="29"/>
      <c r="T1707" s="35"/>
      <c r="U1707" s="35"/>
      <c r="V1707" s="35"/>
      <c r="W1707" s="35"/>
      <c r="Y1707" s="31" t="str" cm="1">
        <f t="array" ref="Y1707">IF(LEFT(_xll.BDP($C1707, VOLUME_AVG_10D), 4) = "#N/A", "",  _xll.BDP($C1707, VOLUME_AVG_10D))</f>
        <v/>
      </c>
      <c r="Z1707" s="31" t="str" cm="1">
        <f t="array" ref="Z1707">IF(LEFT(_xll.BDP($C1707, VOLUME_AVG_30D), 4) = "#N/A", "",  _xll.BDP($C1707, VOLUME_AVG_30D))</f>
        <v/>
      </c>
      <c r="AA1707" s="31" t="str" cm="1">
        <f t="array" ref="AA1707">IF(LEFT(_xll.BDP($C1707, VOLUME_AVG_3M), 4) = "#N/A", "",  _xll.BDP($C1707, VOLUME_AVG_3M))</f>
        <v/>
      </c>
      <c r="AB1707" s="31" t="str" cm="1">
        <f t="array" ref="AB1707">IF(LEFT(_xll.BDP($C1707, VOLUME_AVG_6M), 4) = "#N/A", "",  _xll.BDP($C1707, VOLUME_AVG_6M))</f>
        <v/>
      </c>
      <c r="AC1707" s="31" t="str" cm="1">
        <f t="array" ref="AC1707">IF(LEFT(_xll.BDP($C1707, VOLUME_AVG_12M), 4) = "#N/A", "",  _xll.BDP($C1707, VOLUME_AVG_12M))</f>
        <v/>
      </c>
      <c r="AD1707" s="41" t="str" cm="1">
        <f t="array" ref="AD1707">IF(LEFT(_xll.BDP($C1707, LAST_PRICE), 4) = "#N/A", "",  _xll.BDP($C1707, LAST_PRICE))</f>
        <v/>
      </c>
    </row>
    <row r="1708" spans="1:30" x14ac:dyDescent="0.35">
      <c r="A1708" s="1" t="str">
        <f t="shared" si="26"/>
        <v/>
      </c>
      <c r="B1708" s="30"/>
      <c r="C1708" s="29"/>
      <c r="D1708" s="29"/>
      <c r="E1708" s="29"/>
      <c r="F1708" s="29"/>
      <c r="G1708" s="30"/>
      <c r="H1708" s="31"/>
      <c r="I1708" s="31"/>
      <c r="J1708" s="32"/>
      <c r="K1708" s="33"/>
      <c r="L1708" s="31"/>
      <c r="M1708" s="32"/>
      <c r="N1708" s="31"/>
      <c r="O1708" s="36"/>
      <c r="P1708" s="34"/>
      <c r="Q1708" s="34"/>
      <c r="R1708" s="34"/>
      <c r="S1708" s="29"/>
      <c r="T1708" s="35"/>
      <c r="U1708" s="35"/>
      <c r="V1708" s="35"/>
      <c r="W1708" s="35"/>
      <c r="Y1708" s="31" t="str" cm="1">
        <f t="array" ref="Y1708">IF(LEFT(_xll.BDP($C1708, VOLUME_AVG_10D), 4) = "#N/A", "",  _xll.BDP($C1708, VOLUME_AVG_10D))</f>
        <v/>
      </c>
      <c r="Z1708" s="31" t="str" cm="1">
        <f t="array" ref="Z1708">IF(LEFT(_xll.BDP($C1708, VOLUME_AVG_30D), 4) = "#N/A", "",  _xll.BDP($C1708, VOLUME_AVG_30D))</f>
        <v/>
      </c>
      <c r="AA1708" s="31" t="str" cm="1">
        <f t="array" ref="AA1708">IF(LEFT(_xll.BDP($C1708, VOLUME_AVG_3M), 4) = "#N/A", "",  _xll.BDP($C1708, VOLUME_AVG_3M))</f>
        <v/>
      </c>
      <c r="AB1708" s="31" t="str" cm="1">
        <f t="array" ref="AB1708">IF(LEFT(_xll.BDP($C1708, VOLUME_AVG_6M), 4) = "#N/A", "",  _xll.BDP($C1708, VOLUME_AVG_6M))</f>
        <v/>
      </c>
      <c r="AC1708" s="31" t="str" cm="1">
        <f t="array" ref="AC1708">IF(LEFT(_xll.BDP($C1708, VOLUME_AVG_12M), 4) = "#N/A", "",  _xll.BDP($C1708, VOLUME_AVG_12M))</f>
        <v/>
      </c>
      <c r="AD1708" s="41" t="str" cm="1">
        <f t="array" ref="AD1708">IF(LEFT(_xll.BDP($C1708, LAST_PRICE), 4) = "#N/A", "",  _xll.BDP($C1708, LAST_PRICE))</f>
        <v/>
      </c>
    </row>
    <row r="1709" spans="1:30" x14ac:dyDescent="0.35">
      <c r="A1709" s="1" t="str">
        <f t="shared" si="26"/>
        <v/>
      </c>
      <c r="B1709" s="30"/>
      <c r="C1709" s="29"/>
      <c r="D1709" s="29"/>
      <c r="E1709" s="29"/>
      <c r="F1709" s="29"/>
      <c r="G1709" s="30"/>
      <c r="H1709" s="31"/>
      <c r="I1709" s="31"/>
      <c r="J1709" s="32"/>
      <c r="K1709" s="33"/>
      <c r="L1709" s="31"/>
      <c r="M1709" s="32"/>
      <c r="N1709" s="31"/>
      <c r="O1709" s="36"/>
      <c r="P1709" s="34"/>
      <c r="Q1709" s="34"/>
      <c r="R1709" s="34"/>
      <c r="S1709" s="29"/>
      <c r="T1709" s="35"/>
      <c r="U1709" s="35"/>
      <c r="V1709" s="35"/>
      <c r="W1709" s="35"/>
      <c r="Y1709" s="31" t="str" cm="1">
        <f t="array" ref="Y1709">IF(LEFT(_xll.BDP($C1709, VOLUME_AVG_10D), 4) = "#N/A", "",  _xll.BDP($C1709, VOLUME_AVG_10D))</f>
        <v/>
      </c>
      <c r="Z1709" s="31" t="str" cm="1">
        <f t="array" ref="Z1709">IF(LEFT(_xll.BDP($C1709, VOLUME_AVG_30D), 4) = "#N/A", "",  _xll.BDP($C1709, VOLUME_AVG_30D))</f>
        <v/>
      </c>
      <c r="AA1709" s="31" t="str" cm="1">
        <f t="array" ref="AA1709">IF(LEFT(_xll.BDP($C1709, VOLUME_AVG_3M), 4) = "#N/A", "",  _xll.BDP($C1709, VOLUME_AVG_3M))</f>
        <v/>
      </c>
      <c r="AB1709" s="31" t="str" cm="1">
        <f t="array" ref="AB1709">IF(LEFT(_xll.BDP($C1709, VOLUME_AVG_6M), 4) = "#N/A", "",  _xll.BDP($C1709, VOLUME_AVG_6M))</f>
        <v/>
      </c>
      <c r="AC1709" s="31" t="str" cm="1">
        <f t="array" ref="AC1709">IF(LEFT(_xll.BDP($C1709, VOLUME_AVG_12M), 4) = "#N/A", "",  _xll.BDP($C1709, VOLUME_AVG_12M))</f>
        <v/>
      </c>
      <c r="AD1709" s="41" t="str" cm="1">
        <f t="array" ref="AD1709">IF(LEFT(_xll.BDP($C1709, LAST_PRICE), 4) = "#N/A", "",  _xll.BDP($C1709, LAST_PRICE))</f>
        <v/>
      </c>
    </row>
    <row r="1710" spans="1:30" x14ac:dyDescent="0.35">
      <c r="A1710" s="1" t="str">
        <f t="shared" si="26"/>
        <v/>
      </c>
      <c r="B1710" s="30"/>
      <c r="C1710" s="29"/>
      <c r="D1710" s="29"/>
      <c r="E1710" s="29"/>
      <c r="F1710" s="29"/>
      <c r="G1710" s="30"/>
      <c r="H1710" s="31"/>
      <c r="I1710" s="31"/>
      <c r="J1710" s="32"/>
      <c r="K1710" s="33"/>
      <c r="L1710" s="31"/>
      <c r="M1710" s="32"/>
      <c r="N1710" s="31"/>
      <c r="O1710" s="36"/>
      <c r="P1710" s="34"/>
      <c r="Q1710" s="34"/>
      <c r="R1710" s="34"/>
      <c r="S1710" s="29"/>
      <c r="T1710" s="35"/>
      <c r="U1710" s="35"/>
      <c r="V1710" s="35"/>
      <c r="W1710" s="35"/>
      <c r="Y1710" s="31" t="str" cm="1">
        <f t="array" ref="Y1710">IF(LEFT(_xll.BDP($C1710, VOLUME_AVG_10D), 4) = "#N/A", "",  _xll.BDP($C1710, VOLUME_AVG_10D))</f>
        <v/>
      </c>
      <c r="Z1710" s="31" t="str" cm="1">
        <f t="array" ref="Z1710">IF(LEFT(_xll.BDP($C1710, VOLUME_AVG_30D), 4) = "#N/A", "",  _xll.BDP($C1710, VOLUME_AVG_30D))</f>
        <v/>
      </c>
      <c r="AA1710" s="31" t="str" cm="1">
        <f t="array" ref="AA1710">IF(LEFT(_xll.BDP($C1710, VOLUME_AVG_3M), 4) = "#N/A", "",  _xll.BDP($C1710, VOLUME_AVG_3M))</f>
        <v/>
      </c>
      <c r="AB1710" s="31" t="str" cm="1">
        <f t="array" ref="AB1710">IF(LEFT(_xll.BDP($C1710, VOLUME_AVG_6M), 4) = "#N/A", "",  _xll.BDP($C1710, VOLUME_AVG_6M))</f>
        <v/>
      </c>
      <c r="AC1710" s="31" t="str" cm="1">
        <f t="array" ref="AC1710">IF(LEFT(_xll.BDP($C1710, VOLUME_AVG_12M), 4) = "#N/A", "",  _xll.BDP($C1710, VOLUME_AVG_12M))</f>
        <v/>
      </c>
      <c r="AD1710" s="41" t="str" cm="1">
        <f t="array" ref="AD1710">IF(LEFT(_xll.BDP($C1710, LAST_PRICE), 4) = "#N/A", "",  _xll.BDP($C1710, LAST_PRICE))</f>
        <v/>
      </c>
    </row>
    <row r="1711" spans="1:30" x14ac:dyDescent="0.35">
      <c r="A1711" s="1" t="str">
        <f t="shared" si="26"/>
        <v/>
      </c>
      <c r="B1711" s="30"/>
      <c r="C1711" s="29"/>
      <c r="D1711" s="29"/>
      <c r="E1711" s="29"/>
      <c r="F1711" s="29"/>
      <c r="G1711" s="30"/>
      <c r="H1711" s="31"/>
      <c r="I1711" s="31"/>
      <c r="J1711" s="32"/>
      <c r="K1711" s="33"/>
      <c r="L1711" s="31"/>
      <c r="M1711" s="32"/>
      <c r="N1711" s="31"/>
      <c r="O1711" s="36"/>
      <c r="P1711" s="34"/>
      <c r="Q1711" s="34"/>
      <c r="R1711" s="34"/>
      <c r="S1711" s="29"/>
      <c r="T1711" s="35"/>
      <c r="U1711" s="35"/>
      <c r="V1711" s="35"/>
      <c r="W1711" s="35"/>
      <c r="Y1711" s="31" t="str" cm="1">
        <f t="array" ref="Y1711">IF(LEFT(_xll.BDP($C1711, VOLUME_AVG_10D), 4) = "#N/A", "",  _xll.BDP($C1711, VOLUME_AVG_10D))</f>
        <v/>
      </c>
      <c r="Z1711" s="31" t="str" cm="1">
        <f t="array" ref="Z1711">IF(LEFT(_xll.BDP($C1711, VOLUME_AVG_30D), 4) = "#N/A", "",  _xll.BDP($C1711, VOLUME_AVG_30D))</f>
        <v/>
      </c>
      <c r="AA1711" s="31" t="str" cm="1">
        <f t="array" ref="AA1711">IF(LEFT(_xll.BDP($C1711, VOLUME_AVG_3M), 4) = "#N/A", "",  _xll.BDP($C1711, VOLUME_AVG_3M))</f>
        <v/>
      </c>
      <c r="AB1711" s="31" t="str" cm="1">
        <f t="array" ref="AB1711">IF(LEFT(_xll.BDP($C1711, VOLUME_AVG_6M), 4) = "#N/A", "",  _xll.BDP($C1711, VOLUME_AVG_6M))</f>
        <v/>
      </c>
      <c r="AC1711" s="31" t="str" cm="1">
        <f t="array" ref="AC1711">IF(LEFT(_xll.BDP($C1711, VOLUME_AVG_12M), 4) = "#N/A", "",  _xll.BDP($C1711, VOLUME_AVG_12M))</f>
        <v/>
      </c>
      <c r="AD1711" s="41" t="str" cm="1">
        <f t="array" ref="AD1711">IF(LEFT(_xll.BDP($C1711, LAST_PRICE), 4) = "#N/A", "",  _xll.BDP($C1711, LAST_PRICE))</f>
        <v/>
      </c>
    </row>
    <row r="1712" spans="1:30" x14ac:dyDescent="0.35">
      <c r="A1712" s="1" t="str">
        <f t="shared" si="26"/>
        <v/>
      </c>
      <c r="B1712" s="30"/>
      <c r="C1712" s="29"/>
      <c r="D1712" s="29"/>
      <c r="E1712" s="29"/>
      <c r="F1712" s="29"/>
      <c r="G1712" s="30"/>
      <c r="H1712" s="31"/>
      <c r="I1712" s="31"/>
      <c r="J1712" s="32"/>
      <c r="K1712" s="33"/>
      <c r="L1712" s="31"/>
      <c r="M1712" s="32"/>
      <c r="N1712" s="31"/>
      <c r="O1712" s="36"/>
      <c r="P1712" s="34"/>
      <c r="Q1712" s="34"/>
      <c r="R1712" s="34"/>
      <c r="S1712" s="29"/>
      <c r="T1712" s="35"/>
      <c r="U1712" s="35"/>
      <c r="V1712" s="35"/>
      <c r="W1712" s="35"/>
      <c r="Y1712" s="31" t="str" cm="1">
        <f t="array" ref="Y1712">IF(LEFT(_xll.BDP($C1712, VOLUME_AVG_10D), 4) = "#N/A", "",  _xll.BDP($C1712, VOLUME_AVG_10D))</f>
        <v/>
      </c>
      <c r="Z1712" s="31" t="str" cm="1">
        <f t="array" ref="Z1712">IF(LEFT(_xll.BDP($C1712, VOLUME_AVG_30D), 4) = "#N/A", "",  _xll.BDP($C1712, VOLUME_AVG_30D))</f>
        <v/>
      </c>
      <c r="AA1712" s="31" t="str" cm="1">
        <f t="array" ref="AA1712">IF(LEFT(_xll.BDP($C1712, VOLUME_AVG_3M), 4) = "#N/A", "",  _xll.BDP($C1712, VOLUME_AVG_3M))</f>
        <v/>
      </c>
      <c r="AB1712" s="31" t="str" cm="1">
        <f t="array" ref="AB1712">IF(LEFT(_xll.BDP($C1712, VOLUME_AVG_6M), 4) = "#N/A", "",  _xll.BDP($C1712, VOLUME_AVG_6M))</f>
        <v/>
      </c>
      <c r="AC1712" s="31" t="str" cm="1">
        <f t="array" ref="AC1712">IF(LEFT(_xll.BDP($C1712, VOLUME_AVG_12M), 4) = "#N/A", "",  _xll.BDP($C1712, VOLUME_AVG_12M))</f>
        <v/>
      </c>
      <c r="AD1712" s="41" t="str" cm="1">
        <f t="array" ref="AD1712">IF(LEFT(_xll.BDP($C1712, LAST_PRICE), 4) = "#N/A", "",  _xll.BDP($C1712, LAST_PRICE))</f>
        <v/>
      </c>
    </row>
    <row r="1713" spans="1:30" x14ac:dyDescent="0.35">
      <c r="A1713" s="1" t="str">
        <f t="shared" si="26"/>
        <v/>
      </c>
      <c r="B1713" s="30"/>
      <c r="C1713" s="29"/>
      <c r="D1713" s="29"/>
      <c r="E1713" s="29"/>
      <c r="F1713" s="29"/>
      <c r="G1713" s="30"/>
      <c r="H1713" s="31"/>
      <c r="I1713" s="31"/>
      <c r="J1713" s="32"/>
      <c r="K1713" s="33"/>
      <c r="L1713" s="31"/>
      <c r="M1713" s="32"/>
      <c r="N1713" s="31"/>
      <c r="O1713" s="36"/>
      <c r="P1713" s="34"/>
      <c r="Q1713" s="34"/>
      <c r="R1713" s="34"/>
      <c r="S1713" s="29"/>
      <c r="T1713" s="35"/>
      <c r="U1713" s="35"/>
      <c r="V1713" s="35"/>
      <c r="W1713" s="35"/>
      <c r="Y1713" s="31" t="str" cm="1">
        <f t="array" ref="Y1713">IF(LEFT(_xll.BDP($C1713, VOLUME_AVG_10D), 4) = "#N/A", "",  _xll.BDP($C1713, VOLUME_AVG_10D))</f>
        <v/>
      </c>
      <c r="Z1713" s="31" t="str" cm="1">
        <f t="array" ref="Z1713">IF(LEFT(_xll.BDP($C1713, VOLUME_AVG_30D), 4) = "#N/A", "",  _xll.BDP($C1713, VOLUME_AVG_30D))</f>
        <v/>
      </c>
      <c r="AA1713" s="31" t="str" cm="1">
        <f t="array" ref="AA1713">IF(LEFT(_xll.BDP($C1713, VOLUME_AVG_3M), 4) = "#N/A", "",  _xll.BDP($C1713, VOLUME_AVG_3M))</f>
        <v/>
      </c>
      <c r="AB1713" s="31" t="str" cm="1">
        <f t="array" ref="AB1713">IF(LEFT(_xll.BDP($C1713, VOLUME_AVG_6M), 4) = "#N/A", "",  _xll.BDP($C1713, VOLUME_AVG_6M))</f>
        <v/>
      </c>
      <c r="AC1713" s="31" t="str" cm="1">
        <f t="array" ref="AC1713">IF(LEFT(_xll.BDP($C1713, VOLUME_AVG_12M), 4) = "#N/A", "",  _xll.BDP($C1713, VOLUME_AVG_12M))</f>
        <v/>
      </c>
      <c r="AD1713" s="41" t="str" cm="1">
        <f t="array" ref="AD1713">IF(LEFT(_xll.BDP($C1713, LAST_PRICE), 4) = "#N/A", "",  _xll.BDP($C1713, LAST_PRICE))</f>
        <v/>
      </c>
    </row>
    <row r="1714" spans="1:30" x14ac:dyDescent="0.35">
      <c r="A1714" s="1" t="str">
        <f t="shared" si="26"/>
        <v/>
      </c>
      <c r="B1714" s="30"/>
      <c r="C1714" s="29"/>
      <c r="D1714" s="29"/>
      <c r="E1714" s="29"/>
      <c r="F1714" s="29"/>
      <c r="G1714" s="30"/>
      <c r="H1714" s="31"/>
      <c r="I1714" s="31"/>
      <c r="J1714" s="32"/>
      <c r="K1714" s="33"/>
      <c r="L1714" s="31"/>
      <c r="M1714" s="32"/>
      <c r="N1714" s="31"/>
      <c r="O1714" s="36"/>
      <c r="P1714" s="34"/>
      <c r="Q1714" s="34"/>
      <c r="R1714" s="34"/>
      <c r="S1714" s="29"/>
      <c r="T1714" s="35"/>
      <c r="U1714" s="35"/>
      <c r="V1714" s="35"/>
      <c r="W1714" s="35"/>
      <c r="Y1714" s="31" t="str" cm="1">
        <f t="array" ref="Y1714">IF(LEFT(_xll.BDP($C1714, VOLUME_AVG_10D), 4) = "#N/A", "",  _xll.BDP($C1714, VOLUME_AVG_10D))</f>
        <v/>
      </c>
      <c r="Z1714" s="31" t="str" cm="1">
        <f t="array" ref="Z1714">IF(LEFT(_xll.BDP($C1714, VOLUME_AVG_30D), 4) = "#N/A", "",  _xll.BDP($C1714, VOLUME_AVG_30D))</f>
        <v/>
      </c>
      <c r="AA1714" s="31" t="str" cm="1">
        <f t="array" ref="AA1714">IF(LEFT(_xll.BDP($C1714, VOLUME_AVG_3M), 4) = "#N/A", "",  _xll.BDP($C1714, VOLUME_AVG_3M))</f>
        <v/>
      </c>
      <c r="AB1714" s="31" t="str" cm="1">
        <f t="array" ref="AB1714">IF(LEFT(_xll.BDP($C1714, VOLUME_AVG_6M), 4) = "#N/A", "",  _xll.BDP($C1714, VOLUME_AVG_6M))</f>
        <v/>
      </c>
      <c r="AC1714" s="31" t="str" cm="1">
        <f t="array" ref="AC1714">IF(LEFT(_xll.BDP($C1714, VOLUME_AVG_12M), 4) = "#N/A", "",  _xll.BDP($C1714, VOLUME_AVG_12M))</f>
        <v/>
      </c>
      <c r="AD1714" s="41" t="str" cm="1">
        <f t="array" ref="AD1714">IF(LEFT(_xll.BDP($C1714, LAST_PRICE), 4) = "#N/A", "",  _xll.BDP($C1714, LAST_PRICE))</f>
        <v/>
      </c>
    </row>
    <row r="1715" spans="1:30" x14ac:dyDescent="0.35">
      <c r="A1715" s="1" t="str">
        <f t="shared" si="26"/>
        <v/>
      </c>
      <c r="B1715" s="30"/>
      <c r="C1715" s="29"/>
      <c r="D1715" s="29"/>
      <c r="E1715" s="29"/>
      <c r="F1715" s="29"/>
      <c r="G1715" s="30"/>
      <c r="H1715" s="31"/>
      <c r="I1715" s="31"/>
      <c r="J1715" s="32"/>
      <c r="K1715" s="33"/>
      <c r="L1715" s="31"/>
      <c r="M1715" s="32"/>
      <c r="N1715" s="31"/>
      <c r="O1715" s="36"/>
      <c r="P1715" s="34"/>
      <c r="Q1715" s="34"/>
      <c r="R1715" s="34"/>
      <c r="S1715" s="29"/>
      <c r="T1715" s="35"/>
      <c r="U1715" s="35"/>
      <c r="V1715" s="35"/>
      <c r="W1715" s="35"/>
      <c r="Y1715" s="31" t="str" cm="1">
        <f t="array" ref="Y1715">IF(LEFT(_xll.BDP($C1715, VOLUME_AVG_10D), 4) = "#N/A", "",  _xll.BDP($C1715, VOLUME_AVG_10D))</f>
        <v/>
      </c>
      <c r="Z1715" s="31" t="str" cm="1">
        <f t="array" ref="Z1715">IF(LEFT(_xll.BDP($C1715, VOLUME_AVG_30D), 4) = "#N/A", "",  _xll.BDP($C1715, VOLUME_AVG_30D))</f>
        <v/>
      </c>
      <c r="AA1715" s="31" t="str" cm="1">
        <f t="array" ref="AA1715">IF(LEFT(_xll.BDP($C1715, VOLUME_AVG_3M), 4) = "#N/A", "",  _xll.BDP($C1715, VOLUME_AVG_3M))</f>
        <v/>
      </c>
      <c r="AB1715" s="31" t="str" cm="1">
        <f t="array" ref="AB1715">IF(LEFT(_xll.BDP($C1715, VOLUME_AVG_6M), 4) = "#N/A", "",  _xll.BDP($C1715, VOLUME_AVG_6M))</f>
        <v/>
      </c>
      <c r="AC1715" s="31" t="str" cm="1">
        <f t="array" ref="AC1715">IF(LEFT(_xll.BDP($C1715, VOLUME_AVG_12M), 4) = "#N/A", "",  _xll.BDP($C1715, VOLUME_AVG_12M))</f>
        <v/>
      </c>
      <c r="AD1715" s="41" t="str" cm="1">
        <f t="array" ref="AD1715">IF(LEFT(_xll.BDP($C1715, LAST_PRICE), 4) = "#N/A", "",  _xll.BDP($C1715, LAST_PRICE))</f>
        <v/>
      </c>
    </row>
    <row r="1716" spans="1:30" x14ac:dyDescent="0.35">
      <c r="A1716" s="1" t="str">
        <f t="shared" si="26"/>
        <v/>
      </c>
      <c r="B1716" s="30"/>
      <c r="C1716" s="29"/>
      <c r="D1716" s="29"/>
      <c r="E1716" s="29"/>
      <c r="F1716" s="29"/>
      <c r="G1716" s="30"/>
      <c r="H1716" s="31"/>
      <c r="I1716" s="31"/>
      <c r="J1716" s="32"/>
      <c r="K1716" s="33"/>
      <c r="L1716" s="31"/>
      <c r="M1716" s="32"/>
      <c r="N1716" s="31"/>
      <c r="O1716" s="36"/>
      <c r="P1716" s="34"/>
      <c r="Q1716" s="34"/>
      <c r="R1716" s="34"/>
      <c r="S1716" s="29"/>
      <c r="T1716" s="35"/>
      <c r="U1716" s="35"/>
      <c r="V1716" s="35"/>
      <c r="W1716" s="35"/>
      <c r="Y1716" s="31" t="str" cm="1">
        <f t="array" ref="Y1716">IF(LEFT(_xll.BDP($C1716, VOLUME_AVG_10D), 4) = "#N/A", "",  _xll.BDP($C1716, VOLUME_AVG_10D))</f>
        <v/>
      </c>
      <c r="Z1716" s="31" t="str" cm="1">
        <f t="array" ref="Z1716">IF(LEFT(_xll.BDP($C1716, VOLUME_AVG_30D), 4) = "#N/A", "",  _xll.BDP($C1716, VOLUME_AVG_30D))</f>
        <v/>
      </c>
      <c r="AA1716" s="31" t="str" cm="1">
        <f t="array" ref="AA1716">IF(LEFT(_xll.BDP($C1716, VOLUME_AVG_3M), 4) = "#N/A", "",  _xll.BDP($C1716, VOLUME_AVG_3M))</f>
        <v/>
      </c>
      <c r="AB1716" s="31" t="str" cm="1">
        <f t="array" ref="AB1716">IF(LEFT(_xll.BDP($C1716, VOLUME_AVG_6M), 4) = "#N/A", "",  _xll.BDP($C1716, VOLUME_AVG_6M))</f>
        <v/>
      </c>
      <c r="AC1716" s="31" t="str" cm="1">
        <f t="array" ref="AC1716">IF(LEFT(_xll.BDP($C1716, VOLUME_AVG_12M), 4) = "#N/A", "",  _xll.BDP($C1716, VOLUME_AVG_12M))</f>
        <v/>
      </c>
      <c r="AD1716" s="41" t="str" cm="1">
        <f t="array" ref="AD1716">IF(LEFT(_xll.BDP($C1716, LAST_PRICE), 4) = "#N/A", "",  _xll.BDP($C1716, LAST_PRICE))</f>
        <v/>
      </c>
    </row>
    <row r="1717" spans="1:30" x14ac:dyDescent="0.35">
      <c r="A1717" s="1" t="str">
        <f t="shared" si="26"/>
        <v/>
      </c>
      <c r="B1717" s="30"/>
      <c r="C1717" s="29"/>
      <c r="D1717" s="29"/>
      <c r="E1717" s="29"/>
      <c r="F1717" s="29"/>
      <c r="G1717" s="30"/>
      <c r="H1717" s="31"/>
      <c r="I1717" s="31"/>
      <c r="J1717" s="32"/>
      <c r="K1717" s="33"/>
      <c r="L1717" s="31"/>
      <c r="M1717" s="32"/>
      <c r="N1717" s="31"/>
      <c r="O1717" s="36"/>
      <c r="P1717" s="34"/>
      <c r="Q1717" s="34"/>
      <c r="R1717" s="34"/>
      <c r="S1717" s="29"/>
      <c r="T1717" s="35"/>
      <c r="U1717" s="35"/>
      <c r="V1717" s="35"/>
      <c r="W1717" s="35"/>
      <c r="Y1717" s="31" t="str" cm="1">
        <f t="array" ref="Y1717">IF(LEFT(_xll.BDP($C1717, VOLUME_AVG_10D), 4) = "#N/A", "",  _xll.BDP($C1717, VOLUME_AVG_10D))</f>
        <v/>
      </c>
      <c r="Z1717" s="31" t="str" cm="1">
        <f t="array" ref="Z1717">IF(LEFT(_xll.BDP($C1717, VOLUME_AVG_30D), 4) = "#N/A", "",  _xll.BDP($C1717, VOLUME_AVG_30D))</f>
        <v/>
      </c>
      <c r="AA1717" s="31" t="str" cm="1">
        <f t="array" ref="AA1717">IF(LEFT(_xll.BDP($C1717, VOLUME_AVG_3M), 4) = "#N/A", "",  _xll.BDP($C1717, VOLUME_AVG_3M))</f>
        <v/>
      </c>
      <c r="AB1717" s="31" t="str" cm="1">
        <f t="array" ref="AB1717">IF(LEFT(_xll.BDP($C1717, VOLUME_AVG_6M), 4) = "#N/A", "",  _xll.BDP($C1717, VOLUME_AVG_6M))</f>
        <v/>
      </c>
      <c r="AC1717" s="31" t="str" cm="1">
        <f t="array" ref="AC1717">IF(LEFT(_xll.BDP($C1717, VOLUME_AVG_12M), 4) = "#N/A", "",  _xll.BDP($C1717, VOLUME_AVG_12M))</f>
        <v/>
      </c>
      <c r="AD1717" s="41" t="str" cm="1">
        <f t="array" ref="AD1717">IF(LEFT(_xll.BDP($C1717, LAST_PRICE), 4) = "#N/A", "",  _xll.BDP($C1717, LAST_PRICE))</f>
        <v/>
      </c>
    </row>
    <row r="1718" spans="1:30" x14ac:dyDescent="0.35">
      <c r="A1718" s="1" t="str">
        <f t="shared" si="26"/>
        <v/>
      </c>
      <c r="B1718" s="30"/>
      <c r="C1718" s="29"/>
      <c r="D1718" s="29"/>
      <c r="E1718" s="29"/>
      <c r="F1718" s="29"/>
      <c r="G1718" s="30"/>
      <c r="H1718" s="31"/>
      <c r="I1718" s="31"/>
      <c r="J1718" s="32"/>
      <c r="K1718" s="33"/>
      <c r="L1718" s="31"/>
      <c r="M1718" s="32"/>
      <c r="N1718" s="31"/>
      <c r="O1718" s="36"/>
      <c r="P1718" s="34"/>
      <c r="Q1718" s="34"/>
      <c r="R1718" s="34"/>
      <c r="S1718" s="29"/>
      <c r="T1718" s="35"/>
      <c r="U1718" s="35"/>
      <c r="V1718" s="35"/>
      <c r="W1718" s="35"/>
      <c r="Y1718" s="31" t="str" cm="1">
        <f t="array" ref="Y1718">IF(LEFT(_xll.BDP($C1718, VOLUME_AVG_10D), 4) = "#N/A", "",  _xll.BDP($C1718, VOLUME_AVG_10D))</f>
        <v/>
      </c>
      <c r="Z1718" s="31" t="str" cm="1">
        <f t="array" ref="Z1718">IF(LEFT(_xll.BDP($C1718, VOLUME_AVG_30D), 4) = "#N/A", "",  _xll.BDP($C1718, VOLUME_AVG_30D))</f>
        <v/>
      </c>
      <c r="AA1718" s="31" t="str" cm="1">
        <f t="array" ref="AA1718">IF(LEFT(_xll.BDP($C1718, VOLUME_AVG_3M), 4) = "#N/A", "",  _xll.BDP($C1718, VOLUME_AVG_3M))</f>
        <v/>
      </c>
      <c r="AB1718" s="31" t="str" cm="1">
        <f t="array" ref="AB1718">IF(LEFT(_xll.BDP($C1718, VOLUME_AVG_6M), 4) = "#N/A", "",  _xll.BDP($C1718, VOLUME_AVG_6M))</f>
        <v/>
      </c>
      <c r="AC1718" s="31" t="str" cm="1">
        <f t="array" ref="AC1718">IF(LEFT(_xll.BDP($C1718, VOLUME_AVG_12M), 4) = "#N/A", "",  _xll.BDP($C1718, VOLUME_AVG_12M))</f>
        <v/>
      </c>
      <c r="AD1718" s="41" t="str" cm="1">
        <f t="array" ref="AD1718">IF(LEFT(_xll.BDP($C1718, LAST_PRICE), 4) = "#N/A", "",  _xll.BDP($C1718, LAST_PRICE))</f>
        <v/>
      </c>
    </row>
    <row r="1719" spans="1:30" x14ac:dyDescent="0.35">
      <c r="A1719" s="1" t="str">
        <f t="shared" si="26"/>
        <v/>
      </c>
      <c r="B1719" s="30"/>
      <c r="C1719" s="29"/>
      <c r="D1719" s="29"/>
      <c r="E1719" s="29"/>
      <c r="F1719" s="29"/>
      <c r="G1719" s="30"/>
      <c r="H1719" s="31"/>
      <c r="I1719" s="31"/>
      <c r="J1719" s="32"/>
      <c r="K1719" s="33"/>
      <c r="L1719" s="31"/>
      <c r="M1719" s="32"/>
      <c r="N1719" s="31"/>
      <c r="O1719" s="36"/>
      <c r="P1719" s="34"/>
      <c r="Q1719" s="34"/>
      <c r="R1719" s="34"/>
      <c r="S1719" s="29"/>
      <c r="T1719" s="35"/>
      <c r="U1719" s="35"/>
      <c r="V1719" s="35"/>
      <c r="W1719" s="35"/>
      <c r="Y1719" s="31" t="str" cm="1">
        <f t="array" ref="Y1719">IF(LEFT(_xll.BDP($C1719, VOLUME_AVG_10D), 4) = "#N/A", "",  _xll.BDP($C1719, VOLUME_AVG_10D))</f>
        <v/>
      </c>
      <c r="Z1719" s="31" t="str" cm="1">
        <f t="array" ref="Z1719">IF(LEFT(_xll.BDP($C1719, VOLUME_AVG_30D), 4) = "#N/A", "",  _xll.BDP($C1719, VOLUME_AVG_30D))</f>
        <v/>
      </c>
      <c r="AA1719" s="31" t="str" cm="1">
        <f t="array" ref="AA1719">IF(LEFT(_xll.BDP($C1719, VOLUME_AVG_3M), 4) = "#N/A", "",  _xll.BDP($C1719, VOLUME_AVG_3M))</f>
        <v/>
      </c>
      <c r="AB1719" s="31" t="str" cm="1">
        <f t="array" ref="AB1719">IF(LEFT(_xll.BDP($C1719, VOLUME_AVG_6M), 4) = "#N/A", "",  _xll.BDP($C1719, VOLUME_AVG_6M))</f>
        <v/>
      </c>
      <c r="AC1719" s="31" t="str" cm="1">
        <f t="array" ref="AC1719">IF(LEFT(_xll.BDP($C1719, VOLUME_AVG_12M), 4) = "#N/A", "",  _xll.BDP($C1719, VOLUME_AVG_12M))</f>
        <v/>
      </c>
      <c r="AD1719" s="41" t="str" cm="1">
        <f t="array" ref="AD1719">IF(LEFT(_xll.BDP($C1719, LAST_PRICE), 4) = "#N/A", "",  _xll.BDP($C1719, LAST_PRICE))</f>
        <v/>
      </c>
    </row>
    <row r="1720" spans="1:30" x14ac:dyDescent="0.35">
      <c r="A1720" s="1" t="str">
        <f t="shared" si="26"/>
        <v/>
      </c>
      <c r="B1720" s="30"/>
      <c r="C1720" s="29"/>
      <c r="D1720" s="29"/>
      <c r="E1720" s="29"/>
      <c r="F1720" s="29"/>
      <c r="G1720" s="30"/>
      <c r="H1720" s="31"/>
      <c r="I1720" s="31"/>
      <c r="J1720" s="32"/>
      <c r="K1720" s="33"/>
      <c r="L1720" s="31"/>
      <c r="M1720" s="32"/>
      <c r="N1720" s="31"/>
      <c r="O1720" s="36"/>
      <c r="P1720" s="34"/>
      <c r="Q1720" s="34"/>
      <c r="R1720" s="34"/>
      <c r="S1720" s="29"/>
      <c r="T1720" s="35"/>
      <c r="U1720" s="35"/>
      <c r="V1720" s="35"/>
      <c r="W1720" s="35"/>
      <c r="Y1720" s="31" t="str" cm="1">
        <f t="array" ref="Y1720">IF(LEFT(_xll.BDP($C1720, VOLUME_AVG_10D), 4) = "#N/A", "",  _xll.BDP($C1720, VOLUME_AVG_10D))</f>
        <v/>
      </c>
      <c r="Z1720" s="31" t="str" cm="1">
        <f t="array" ref="Z1720">IF(LEFT(_xll.BDP($C1720, VOLUME_AVG_30D), 4) = "#N/A", "",  _xll.BDP($C1720, VOLUME_AVG_30D))</f>
        <v/>
      </c>
      <c r="AA1720" s="31" t="str" cm="1">
        <f t="array" ref="AA1720">IF(LEFT(_xll.BDP($C1720, VOLUME_AVG_3M), 4) = "#N/A", "",  _xll.BDP($C1720, VOLUME_AVG_3M))</f>
        <v/>
      </c>
      <c r="AB1720" s="31" t="str" cm="1">
        <f t="array" ref="AB1720">IF(LEFT(_xll.BDP($C1720, VOLUME_AVG_6M), 4) = "#N/A", "",  _xll.BDP($C1720, VOLUME_AVG_6M))</f>
        <v/>
      </c>
      <c r="AC1720" s="31" t="str" cm="1">
        <f t="array" ref="AC1720">IF(LEFT(_xll.BDP($C1720, VOLUME_AVG_12M), 4) = "#N/A", "",  _xll.BDP($C1720, VOLUME_AVG_12M))</f>
        <v/>
      </c>
      <c r="AD1720" s="41" t="str" cm="1">
        <f t="array" ref="AD1720">IF(LEFT(_xll.BDP($C1720, LAST_PRICE), 4) = "#N/A", "",  _xll.BDP($C1720, LAST_PRICE))</f>
        <v/>
      </c>
    </row>
    <row r="1721" spans="1:30" x14ac:dyDescent="0.35">
      <c r="A1721" s="1" t="str">
        <f t="shared" si="26"/>
        <v/>
      </c>
      <c r="B1721" s="30"/>
      <c r="C1721" s="29"/>
      <c r="D1721" s="29"/>
      <c r="E1721" s="29"/>
      <c r="F1721" s="29"/>
      <c r="G1721" s="30"/>
      <c r="H1721" s="31"/>
      <c r="I1721" s="31"/>
      <c r="J1721" s="32"/>
      <c r="K1721" s="33"/>
      <c r="L1721" s="31"/>
      <c r="M1721" s="32"/>
      <c r="N1721" s="31"/>
      <c r="O1721" s="36"/>
      <c r="P1721" s="34"/>
      <c r="Q1721" s="34"/>
      <c r="R1721" s="34"/>
      <c r="S1721" s="29"/>
      <c r="T1721" s="35"/>
      <c r="U1721" s="35"/>
      <c r="V1721" s="35"/>
      <c r="W1721" s="35"/>
      <c r="Y1721" s="31" t="str" cm="1">
        <f t="array" ref="Y1721">IF(LEFT(_xll.BDP($C1721, VOLUME_AVG_10D), 4) = "#N/A", "",  _xll.BDP($C1721, VOLUME_AVG_10D))</f>
        <v/>
      </c>
      <c r="Z1721" s="31" t="str" cm="1">
        <f t="array" ref="Z1721">IF(LEFT(_xll.BDP($C1721, VOLUME_AVG_30D), 4) = "#N/A", "",  _xll.BDP($C1721, VOLUME_AVG_30D))</f>
        <v/>
      </c>
      <c r="AA1721" s="31" t="str" cm="1">
        <f t="array" ref="AA1721">IF(LEFT(_xll.BDP($C1721, VOLUME_AVG_3M), 4) = "#N/A", "",  _xll.BDP($C1721, VOLUME_AVG_3M))</f>
        <v/>
      </c>
      <c r="AB1721" s="31" t="str" cm="1">
        <f t="array" ref="AB1721">IF(LEFT(_xll.BDP($C1721, VOLUME_AVG_6M), 4) = "#N/A", "",  _xll.BDP($C1721, VOLUME_AVG_6M))</f>
        <v/>
      </c>
      <c r="AC1721" s="31" t="str" cm="1">
        <f t="array" ref="AC1721">IF(LEFT(_xll.BDP($C1721, VOLUME_AVG_12M), 4) = "#N/A", "",  _xll.BDP($C1721, VOLUME_AVG_12M))</f>
        <v/>
      </c>
      <c r="AD1721" s="41" t="str" cm="1">
        <f t="array" ref="AD1721">IF(LEFT(_xll.BDP($C1721, LAST_PRICE), 4) = "#N/A", "",  _xll.BDP($C1721, LAST_PRICE))</f>
        <v/>
      </c>
    </row>
    <row r="1722" spans="1:30" x14ac:dyDescent="0.35">
      <c r="A1722" s="1" t="str">
        <f t="shared" si="26"/>
        <v/>
      </c>
      <c r="B1722" s="30"/>
      <c r="C1722" s="29"/>
      <c r="D1722" s="29"/>
      <c r="E1722" s="29"/>
      <c r="F1722" s="29"/>
      <c r="G1722" s="30"/>
      <c r="H1722" s="31"/>
      <c r="I1722" s="31"/>
      <c r="J1722" s="32"/>
      <c r="K1722" s="33"/>
      <c r="L1722" s="31"/>
      <c r="M1722" s="32"/>
      <c r="N1722" s="31"/>
      <c r="O1722" s="36"/>
      <c r="P1722" s="34"/>
      <c r="Q1722" s="34"/>
      <c r="R1722" s="34"/>
      <c r="S1722" s="29"/>
      <c r="T1722" s="35"/>
      <c r="U1722" s="35"/>
      <c r="V1722" s="35"/>
      <c r="W1722" s="35"/>
      <c r="Y1722" s="31" t="str" cm="1">
        <f t="array" ref="Y1722">IF(LEFT(_xll.BDP($C1722, VOLUME_AVG_10D), 4) = "#N/A", "",  _xll.BDP($C1722, VOLUME_AVG_10D))</f>
        <v/>
      </c>
      <c r="Z1722" s="31" t="str" cm="1">
        <f t="array" ref="Z1722">IF(LEFT(_xll.BDP($C1722, VOLUME_AVG_30D), 4) = "#N/A", "",  _xll.BDP($C1722, VOLUME_AVG_30D))</f>
        <v/>
      </c>
      <c r="AA1722" s="31" t="str" cm="1">
        <f t="array" ref="AA1722">IF(LEFT(_xll.BDP($C1722, VOLUME_AVG_3M), 4) = "#N/A", "",  _xll.BDP($C1722, VOLUME_AVG_3M))</f>
        <v/>
      </c>
      <c r="AB1722" s="31" t="str" cm="1">
        <f t="array" ref="AB1722">IF(LEFT(_xll.BDP($C1722, VOLUME_AVG_6M), 4) = "#N/A", "",  _xll.BDP($C1722, VOLUME_AVG_6M))</f>
        <v/>
      </c>
      <c r="AC1722" s="31" t="str" cm="1">
        <f t="array" ref="AC1722">IF(LEFT(_xll.BDP($C1722, VOLUME_AVG_12M), 4) = "#N/A", "",  _xll.BDP($C1722, VOLUME_AVG_12M))</f>
        <v/>
      </c>
      <c r="AD1722" s="41" t="str" cm="1">
        <f t="array" ref="AD1722">IF(LEFT(_xll.BDP($C1722, LAST_PRICE), 4) = "#N/A", "",  _xll.BDP($C1722, LAST_PRICE))</f>
        <v/>
      </c>
    </row>
    <row r="1723" spans="1:30" x14ac:dyDescent="0.35">
      <c r="A1723" s="1" t="str">
        <f t="shared" si="26"/>
        <v/>
      </c>
      <c r="B1723" s="30"/>
      <c r="C1723" s="29"/>
      <c r="D1723" s="29"/>
      <c r="E1723" s="29"/>
      <c r="F1723" s="29"/>
      <c r="G1723" s="30"/>
      <c r="H1723" s="31"/>
      <c r="I1723" s="31"/>
      <c r="J1723" s="32"/>
      <c r="K1723" s="33"/>
      <c r="L1723" s="31"/>
      <c r="M1723" s="32"/>
      <c r="N1723" s="31"/>
      <c r="O1723" s="36"/>
      <c r="P1723" s="34"/>
      <c r="Q1723" s="34"/>
      <c r="R1723" s="34"/>
      <c r="S1723" s="29"/>
      <c r="T1723" s="35"/>
      <c r="U1723" s="35"/>
      <c r="V1723" s="35"/>
      <c r="W1723" s="35"/>
      <c r="Y1723" s="31" t="str" cm="1">
        <f t="array" ref="Y1723">IF(LEFT(_xll.BDP($C1723, VOLUME_AVG_10D), 4) = "#N/A", "",  _xll.BDP($C1723, VOLUME_AVG_10D))</f>
        <v/>
      </c>
      <c r="Z1723" s="31" t="str" cm="1">
        <f t="array" ref="Z1723">IF(LEFT(_xll.BDP($C1723, VOLUME_AVG_30D), 4) = "#N/A", "",  _xll.BDP($C1723, VOLUME_AVG_30D))</f>
        <v/>
      </c>
      <c r="AA1723" s="31" t="str" cm="1">
        <f t="array" ref="AA1723">IF(LEFT(_xll.BDP($C1723, VOLUME_AVG_3M), 4) = "#N/A", "",  _xll.BDP($C1723, VOLUME_AVG_3M))</f>
        <v/>
      </c>
      <c r="AB1723" s="31" t="str" cm="1">
        <f t="array" ref="AB1723">IF(LEFT(_xll.BDP($C1723, VOLUME_AVG_6M), 4) = "#N/A", "",  _xll.BDP($C1723, VOLUME_AVG_6M))</f>
        <v/>
      </c>
      <c r="AC1723" s="31" t="str" cm="1">
        <f t="array" ref="AC1723">IF(LEFT(_xll.BDP($C1723, VOLUME_AVG_12M), 4) = "#N/A", "",  _xll.BDP($C1723, VOLUME_AVG_12M))</f>
        <v/>
      </c>
      <c r="AD1723" s="41" t="str" cm="1">
        <f t="array" ref="AD1723">IF(LEFT(_xll.BDP($C1723, LAST_PRICE), 4) = "#N/A", "",  _xll.BDP($C1723, LAST_PRICE))</f>
        <v/>
      </c>
    </row>
    <row r="1724" spans="1:30" x14ac:dyDescent="0.35">
      <c r="A1724" s="1" t="str">
        <f t="shared" si="26"/>
        <v/>
      </c>
      <c r="B1724" s="30"/>
      <c r="C1724" s="29"/>
      <c r="D1724" s="29"/>
      <c r="E1724" s="29"/>
      <c r="F1724" s="29"/>
      <c r="G1724" s="30"/>
      <c r="H1724" s="31"/>
      <c r="I1724" s="31"/>
      <c r="J1724" s="32"/>
      <c r="K1724" s="33"/>
      <c r="L1724" s="31"/>
      <c r="M1724" s="32"/>
      <c r="N1724" s="31"/>
      <c r="O1724" s="36"/>
      <c r="P1724" s="34"/>
      <c r="Q1724" s="34"/>
      <c r="R1724" s="34"/>
      <c r="S1724" s="29"/>
      <c r="T1724" s="35"/>
      <c r="U1724" s="35"/>
      <c r="V1724" s="35"/>
      <c r="W1724" s="35"/>
      <c r="Y1724" s="31" t="str" cm="1">
        <f t="array" ref="Y1724">IF(LEFT(_xll.BDP($C1724, VOLUME_AVG_10D), 4) = "#N/A", "",  _xll.BDP($C1724, VOLUME_AVG_10D))</f>
        <v/>
      </c>
      <c r="Z1724" s="31" t="str" cm="1">
        <f t="array" ref="Z1724">IF(LEFT(_xll.BDP($C1724, VOLUME_AVG_30D), 4) = "#N/A", "",  _xll.BDP($C1724, VOLUME_AVG_30D))</f>
        <v/>
      </c>
      <c r="AA1724" s="31" t="str" cm="1">
        <f t="array" ref="AA1724">IF(LEFT(_xll.BDP($C1724, VOLUME_AVG_3M), 4) = "#N/A", "",  _xll.BDP($C1724, VOLUME_AVG_3M))</f>
        <v/>
      </c>
      <c r="AB1724" s="31" t="str" cm="1">
        <f t="array" ref="AB1724">IF(LEFT(_xll.BDP($C1724, VOLUME_AVG_6M), 4) = "#N/A", "",  _xll.BDP($C1724, VOLUME_AVG_6M))</f>
        <v/>
      </c>
      <c r="AC1724" s="31" t="str" cm="1">
        <f t="array" ref="AC1724">IF(LEFT(_xll.BDP($C1724, VOLUME_AVG_12M), 4) = "#N/A", "",  _xll.BDP($C1724, VOLUME_AVG_12M))</f>
        <v/>
      </c>
      <c r="AD1724" s="41" t="str" cm="1">
        <f t="array" ref="AD1724">IF(LEFT(_xll.BDP($C1724, LAST_PRICE), 4) = "#N/A", "",  _xll.BDP($C1724, LAST_PRICE))</f>
        <v/>
      </c>
    </row>
    <row r="1725" spans="1:30" x14ac:dyDescent="0.35">
      <c r="A1725" s="1" t="str">
        <f t="shared" si="26"/>
        <v/>
      </c>
      <c r="B1725" s="30"/>
      <c r="C1725" s="29"/>
      <c r="D1725" s="29"/>
      <c r="E1725" s="29"/>
      <c r="F1725" s="29"/>
      <c r="G1725" s="30"/>
      <c r="H1725" s="31"/>
      <c r="I1725" s="31"/>
      <c r="J1725" s="32"/>
      <c r="K1725" s="33"/>
      <c r="L1725" s="31"/>
      <c r="M1725" s="32"/>
      <c r="N1725" s="31"/>
      <c r="O1725" s="36"/>
      <c r="P1725" s="34"/>
      <c r="Q1725" s="34"/>
      <c r="R1725" s="34"/>
      <c r="S1725" s="29"/>
      <c r="T1725" s="35"/>
      <c r="U1725" s="35"/>
      <c r="V1725" s="35"/>
      <c r="W1725" s="35"/>
      <c r="Y1725" s="31" t="str" cm="1">
        <f t="array" ref="Y1725">IF(LEFT(_xll.BDP($C1725, VOLUME_AVG_10D), 4) = "#N/A", "",  _xll.BDP($C1725, VOLUME_AVG_10D))</f>
        <v/>
      </c>
      <c r="Z1725" s="31" t="str" cm="1">
        <f t="array" ref="Z1725">IF(LEFT(_xll.BDP($C1725, VOLUME_AVG_30D), 4) = "#N/A", "",  _xll.BDP($C1725, VOLUME_AVG_30D))</f>
        <v/>
      </c>
      <c r="AA1725" s="31" t="str" cm="1">
        <f t="array" ref="AA1725">IF(LEFT(_xll.BDP($C1725, VOLUME_AVG_3M), 4) = "#N/A", "",  _xll.BDP($C1725, VOLUME_AVG_3M))</f>
        <v/>
      </c>
      <c r="AB1725" s="31" t="str" cm="1">
        <f t="array" ref="AB1725">IF(LEFT(_xll.BDP($C1725, VOLUME_AVG_6M), 4) = "#N/A", "",  _xll.BDP($C1725, VOLUME_AVG_6M))</f>
        <v/>
      </c>
      <c r="AC1725" s="31" t="str" cm="1">
        <f t="array" ref="AC1725">IF(LEFT(_xll.BDP($C1725, VOLUME_AVG_12M), 4) = "#N/A", "",  _xll.BDP($C1725, VOLUME_AVG_12M))</f>
        <v/>
      </c>
      <c r="AD1725" s="41" t="str" cm="1">
        <f t="array" ref="AD1725">IF(LEFT(_xll.BDP($C1725, LAST_PRICE), 4) = "#N/A", "",  _xll.BDP($C1725, LAST_PRICE))</f>
        <v/>
      </c>
    </row>
    <row r="1726" spans="1:30" x14ac:dyDescent="0.35">
      <c r="A1726" s="1" t="str">
        <f t="shared" si="26"/>
        <v/>
      </c>
      <c r="B1726" s="30"/>
      <c r="C1726" s="29"/>
      <c r="D1726" s="29"/>
      <c r="E1726" s="29"/>
      <c r="F1726" s="29"/>
      <c r="G1726" s="30"/>
      <c r="H1726" s="31"/>
      <c r="I1726" s="31"/>
      <c r="J1726" s="32"/>
      <c r="K1726" s="33"/>
      <c r="L1726" s="31"/>
      <c r="M1726" s="32"/>
      <c r="N1726" s="31"/>
      <c r="O1726" s="36"/>
      <c r="P1726" s="34"/>
      <c r="Q1726" s="34"/>
      <c r="R1726" s="34"/>
      <c r="S1726" s="29"/>
      <c r="T1726" s="35"/>
      <c r="U1726" s="35"/>
      <c r="V1726" s="35"/>
      <c r="W1726" s="35"/>
      <c r="Y1726" s="31" t="str" cm="1">
        <f t="array" ref="Y1726">IF(LEFT(_xll.BDP($C1726, VOLUME_AVG_10D), 4) = "#N/A", "",  _xll.BDP($C1726, VOLUME_AVG_10D))</f>
        <v/>
      </c>
      <c r="Z1726" s="31" t="str" cm="1">
        <f t="array" ref="Z1726">IF(LEFT(_xll.BDP($C1726, VOLUME_AVG_30D), 4) = "#N/A", "",  _xll.BDP($C1726, VOLUME_AVG_30D))</f>
        <v/>
      </c>
      <c r="AA1726" s="31" t="str" cm="1">
        <f t="array" ref="AA1726">IF(LEFT(_xll.BDP($C1726, VOLUME_AVG_3M), 4) = "#N/A", "",  _xll.BDP($C1726, VOLUME_AVG_3M))</f>
        <v/>
      </c>
      <c r="AB1726" s="31" t="str" cm="1">
        <f t="array" ref="AB1726">IF(LEFT(_xll.BDP($C1726, VOLUME_AVG_6M), 4) = "#N/A", "",  _xll.BDP($C1726, VOLUME_AVG_6M))</f>
        <v/>
      </c>
      <c r="AC1726" s="31" t="str" cm="1">
        <f t="array" ref="AC1726">IF(LEFT(_xll.BDP($C1726, VOLUME_AVG_12M), 4) = "#N/A", "",  _xll.BDP($C1726, VOLUME_AVG_12M))</f>
        <v/>
      </c>
      <c r="AD1726" s="41" t="str" cm="1">
        <f t="array" ref="AD1726">IF(LEFT(_xll.BDP($C1726, LAST_PRICE), 4) = "#N/A", "",  _xll.BDP($C1726, LAST_PRICE))</f>
        <v/>
      </c>
    </row>
    <row r="1727" spans="1:30" x14ac:dyDescent="0.35">
      <c r="A1727" s="1" t="str">
        <f t="shared" si="26"/>
        <v/>
      </c>
      <c r="B1727" s="30"/>
      <c r="C1727" s="29"/>
      <c r="D1727" s="29"/>
      <c r="E1727" s="29"/>
      <c r="F1727" s="29"/>
      <c r="G1727" s="30"/>
      <c r="H1727" s="31"/>
      <c r="I1727" s="31"/>
      <c r="J1727" s="32"/>
      <c r="K1727" s="33"/>
      <c r="L1727" s="31"/>
      <c r="M1727" s="32"/>
      <c r="N1727" s="31"/>
      <c r="O1727" s="36"/>
      <c r="P1727" s="34"/>
      <c r="Q1727" s="34"/>
      <c r="R1727" s="34"/>
      <c r="S1727" s="29"/>
      <c r="T1727" s="35"/>
      <c r="U1727" s="35"/>
      <c r="V1727" s="35"/>
      <c r="W1727" s="35"/>
      <c r="Y1727" s="31" t="str" cm="1">
        <f t="array" ref="Y1727">IF(LEFT(_xll.BDP($C1727, VOLUME_AVG_10D), 4) = "#N/A", "",  _xll.BDP($C1727, VOLUME_AVG_10D))</f>
        <v/>
      </c>
      <c r="Z1727" s="31" t="str" cm="1">
        <f t="array" ref="Z1727">IF(LEFT(_xll.BDP($C1727, VOLUME_AVG_30D), 4) = "#N/A", "",  _xll.BDP($C1727, VOLUME_AVG_30D))</f>
        <v/>
      </c>
      <c r="AA1727" s="31" t="str" cm="1">
        <f t="array" ref="AA1727">IF(LEFT(_xll.BDP($C1727, VOLUME_AVG_3M), 4) = "#N/A", "",  _xll.BDP($C1727, VOLUME_AVG_3M))</f>
        <v/>
      </c>
      <c r="AB1727" s="31" t="str" cm="1">
        <f t="array" ref="AB1727">IF(LEFT(_xll.BDP($C1727, VOLUME_AVG_6M), 4) = "#N/A", "",  _xll.BDP($C1727, VOLUME_AVG_6M))</f>
        <v/>
      </c>
      <c r="AC1727" s="31" t="str" cm="1">
        <f t="array" ref="AC1727">IF(LEFT(_xll.BDP($C1727, VOLUME_AVG_12M), 4) = "#N/A", "",  _xll.BDP($C1727, VOLUME_AVG_12M))</f>
        <v/>
      </c>
      <c r="AD1727" s="41" t="str" cm="1">
        <f t="array" ref="AD1727">IF(LEFT(_xll.BDP($C1727, LAST_PRICE), 4) = "#N/A", "",  _xll.BDP($C1727, LAST_PRICE))</f>
        <v/>
      </c>
    </row>
    <row r="1728" spans="1:30" x14ac:dyDescent="0.35">
      <c r="A1728" s="1" t="str">
        <f t="shared" si="26"/>
        <v/>
      </c>
      <c r="B1728" s="30"/>
      <c r="C1728" s="29"/>
      <c r="D1728" s="29"/>
      <c r="E1728" s="29"/>
      <c r="F1728" s="29"/>
      <c r="G1728" s="30"/>
      <c r="H1728" s="31"/>
      <c r="I1728" s="31"/>
      <c r="J1728" s="32"/>
      <c r="K1728" s="33"/>
      <c r="L1728" s="31"/>
      <c r="M1728" s="32"/>
      <c r="N1728" s="31"/>
      <c r="O1728" s="36"/>
      <c r="P1728" s="34"/>
      <c r="Q1728" s="34"/>
      <c r="R1728" s="34"/>
      <c r="S1728" s="29"/>
      <c r="T1728" s="35"/>
      <c r="U1728" s="35"/>
      <c r="V1728" s="35"/>
      <c r="W1728" s="35"/>
      <c r="Y1728" s="31" t="str" cm="1">
        <f t="array" ref="Y1728">IF(LEFT(_xll.BDP($C1728, VOLUME_AVG_10D), 4) = "#N/A", "",  _xll.BDP($C1728, VOLUME_AVG_10D))</f>
        <v/>
      </c>
      <c r="Z1728" s="31" t="str" cm="1">
        <f t="array" ref="Z1728">IF(LEFT(_xll.BDP($C1728, VOLUME_AVG_30D), 4) = "#N/A", "",  _xll.BDP($C1728, VOLUME_AVG_30D))</f>
        <v/>
      </c>
      <c r="AA1728" s="31" t="str" cm="1">
        <f t="array" ref="AA1728">IF(LEFT(_xll.BDP($C1728, VOLUME_AVG_3M), 4) = "#N/A", "",  _xll.BDP($C1728, VOLUME_AVG_3M))</f>
        <v/>
      </c>
      <c r="AB1728" s="31" t="str" cm="1">
        <f t="array" ref="AB1728">IF(LEFT(_xll.BDP($C1728, VOLUME_AVG_6M), 4) = "#N/A", "",  _xll.BDP($C1728, VOLUME_AVG_6M))</f>
        <v/>
      </c>
      <c r="AC1728" s="31" t="str" cm="1">
        <f t="array" ref="AC1728">IF(LEFT(_xll.BDP($C1728, VOLUME_AVG_12M), 4) = "#N/A", "",  _xll.BDP($C1728, VOLUME_AVG_12M))</f>
        <v/>
      </c>
      <c r="AD1728" s="41" t="str" cm="1">
        <f t="array" ref="AD1728">IF(LEFT(_xll.BDP($C1728, LAST_PRICE), 4) = "#N/A", "",  _xll.BDP($C1728, LAST_PRICE))</f>
        <v/>
      </c>
    </row>
    <row r="1729" spans="1:30" x14ac:dyDescent="0.35">
      <c r="A1729" s="1" t="str">
        <f t="shared" si="26"/>
        <v/>
      </c>
      <c r="B1729" s="30"/>
      <c r="C1729" s="29"/>
      <c r="D1729" s="29"/>
      <c r="E1729" s="29"/>
      <c r="F1729" s="29"/>
      <c r="G1729" s="30"/>
      <c r="H1729" s="31"/>
      <c r="I1729" s="31"/>
      <c r="J1729" s="32"/>
      <c r="K1729" s="33"/>
      <c r="L1729" s="31"/>
      <c r="M1729" s="32"/>
      <c r="N1729" s="31"/>
      <c r="O1729" s="36"/>
      <c r="P1729" s="34"/>
      <c r="Q1729" s="34"/>
      <c r="R1729" s="34"/>
      <c r="S1729" s="29"/>
      <c r="T1729" s="35"/>
      <c r="U1729" s="35"/>
      <c r="V1729" s="35"/>
      <c r="W1729" s="35"/>
      <c r="Y1729" s="31" t="str" cm="1">
        <f t="array" ref="Y1729">IF(LEFT(_xll.BDP($C1729, VOLUME_AVG_10D), 4) = "#N/A", "",  _xll.BDP($C1729, VOLUME_AVG_10D))</f>
        <v/>
      </c>
      <c r="Z1729" s="31" t="str" cm="1">
        <f t="array" ref="Z1729">IF(LEFT(_xll.BDP($C1729, VOLUME_AVG_30D), 4) = "#N/A", "",  _xll.BDP($C1729, VOLUME_AVG_30D))</f>
        <v/>
      </c>
      <c r="AA1729" s="31" t="str" cm="1">
        <f t="array" ref="AA1729">IF(LEFT(_xll.BDP($C1729, VOLUME_AVG_3M), 4) = "#N/A", "",  _xll.BDP($C1729, VOLUME_AVG_3M))</f>
        <v/>
      </c>
      <c r="AB1729" s="31" t="str" cm="1">
        <f t="array" ref="AB1729">IF(LEFT(_xll.BDP($C1729, VOLUME_AVG_6M), 4) = "#N/A", "",  _xll.BDP($C1729, VOLUME_AVG_6M))</f>
        <v/>
      </c>
      <c r="AC1729" s="31" t="str" cm="1">
        <f t="array" ref="AC1729">IF(LEFT(_xll.BDP($C1729, VOLUME_AVG_12M), 4) = "#N/A", "",  _xll.BDP($C1729, VOLUME_AVG_12M))</f>
        <v/>
      </c>
      <c r="AD1729" s="41" t="str" cm="1">
        <f t="array" ref="AD1729">IF(LEFT(_xll.BDP($C1729, LAST_PRICE), 4) = "#N/A", "",  _xll.BDP($C1729, LAST_PRICE))</f>
        <v/>
      </c>
    </row>
    <row r="1730" spans="1:30" x14ac:dyDescent="0.35">
      <c r="A1730" s="1" t="str">
        <f t="shared" si="26"/>
        <v/>
      </c>
      <c r="B1730" s="30"/>
      <c r="C1730" s="29"/>
      <c r="D1730" s="29"/>
      <c r="E1730" s="29"/>
      <c r="F1730" s="29"/>
      <c r="G1730" s="30"/>
      <c r="H1730" s="31"/>
      <c r="I1730" s="31"/>
      <c r="J1730" s="32"/>
      <c r="K1730" s="33"/>
      <c r="L1730" s="31"/>
      <c r="M1730" s="32"/>
      <c r="N1730" s="31"/>
      <c r="O1730" s="36"/>
      <c r="P1730" s="34"/>
      <c r="Q1730" s="34"/>
      <c r="R1730" s="34"/>
      <c r="S1730" s="29"/>
      <c r="T1730" s="35"/>
      <c r="U1730" s="35"/>
      <c r="V1730" s="35"/>
      <c r="W1730" s="35"/>
      <c r="Y1730" s="31" t="str" cm="1">
        <f t="array" ref="Y1730">IF(LEFT(_xll.BDP($C1730, VOLUME_AVG_10D), 4) = "#N/A", "",  _xll.BDP($C1730, VOLUME_AVG_10D))</f>
        <v/>
      </c>
      <c r="Z1730" s="31" t="str" cm="1">
        <f t="array" ref="Z1730">IF(LEFT(_xll.BDP($C1730, VOLUME_AVG_30D), 4) = "#N/A", "",  _xll.BDP($C1730, VOLUME_AVG_30D))</f>
        <v/>
      </c>
      <c r="AA1730" s="31" t="str" cm="1">
        <f t="array" ref="AA1730">IF(LEFT(_xll.BDP($C1730, VOLUME_AVG_3M), 4) = "#N/A", "",  _xll.BDP($C1730, VOLUME_AVG_3M))</f>
        <v/>
      </c>
      <c r="AB1730" s="31" t="str" cm="1">
        <f t="array" ref="AB1730">IF(LEFT(_xll.BDP($C1730, VOLUME_AVG_6M), 4) = "#N/A", "",  _xll.BDP($C1730, VOLUME_AVG_6M))</f>
        <v/>
      </c>
      <c r="AC1730" s="31" t="str" cm="1">
        <f t="array" ref="AC1730">IF(LEFT(_xll.BDP($C1730, VOLUME_AVG_12M), 4) = "#N/A", "",  _xll.BDP($C1730, VOLUME_AVG_12M))</f>
        <v/>
      </c>
      <c r="AD1730" s="41" t="str" cm="1">
        <f t="array" ref="AD1730">IF(LEFT(_xll.BDP($C1730, LAST_PRICE), 4) = "#N/A", "",  _xll.BDP($C1730, LAST_PRICE))</f>
        <v/>
      </c>
    </row>
    <row r="1731" spans="1:30" x14ac:dyDescent="0.35">
      <c r="A1731" s="1" t="str">
        <f t="shared" si="26"/>
        <v/>
      </c>
      <c r="B1731" s="30"/>
      <c r="C1731" s="29"/>
      <c r="D1731" s="29"/>
      <c r="E1731" s="29"/>
      <c r="F1731" s="29"/>
      <c r="G1731" s="30"/>
      <c r="H1731" s="31"/>
      <c r="I1731" s="31"/>
      <c r="J1731" s="32"/>
      <c r="K1731" s="33"/>
      <c r="L1731" s="31"/>
      <c r="M1731" s="32"/>
      <c r="N1731" s="31"/>
      <c r="O1731" s="36"/>
      <c r="P1731" s="34"/>
      <c r="Q1731" s="34"/>
      <c r="R1731" s="34"/>
      <c r="S1731" s="29"/>
      <c r="T1731" s="35"/>
      <c r="U1731" s="35"/>
      <c r="V1731" s="35"/>
      <c r="W1731" s="35"/>
      <c r="Y1731" s="31" t="str" cm="1">
        <f t="array" ref="Y1731">IF(LEFT(_xll.BDP($C1731, VOLUME_AVG_10D), 4) = "#N/A", "",  _xll.BDP($C1731, VOLUME_AVG_10D))</f>
        <v/>
      </c>
      <c r="Z1731" s="31" t="str" cm="1">
        <f t="array" ref="Z1731">IF(LEFT(_xll.BDP($C1731, VOLUME_AVG_30D), 4) = "#N/A", "",  _xll.BDP($C1731, VOLUME_AVG_30D))</f>
        <v/>
      </c>
      <c r="AA1731" s="31" t="str" cm="1">
        <f t="array" ref="AA1731">IF(LEFT(_xll.BDP($C1731, VOLUME_AVG_3M), 4) = "#N/A", "",  _xll.BDP($C1731, VOLUME_AVG_3M))</f>
        <v/>
      </c>
      <c r="AB1731" s="31" t="str" cm="1">
        <f t="array" ref="AB1731">IF(LEFT(_xll.BDP($C1731, VOLUME_AVG_6M), 4) = "#N/A", "",  _xll.BDP($C1731, VOLUME_AVG_6M))</f>
        <v/>
      </c>
      <c r="AC1731" s="31" t="str" cm="1">
        <f t="array" ref="AC1731">IF(LEFT(_xll.BDP($C1731, VOLUME_AVG_12M), 4) = "#N/A", "",  _xll.BDP($C1731, VOLUME_AVG_12M))</f>
        <v/>
      </c>
      <c r="AD1731" s="41" t="str" cm="1">
        <f t="array" ref="AD1731">IF(LEFT(_xll.BDP($C1731, LAST_PRICE), 4) = "#N/A", "",  _xll.BDP($C1731, LAST_PRICE))</f>
        <v/>
      </c>
    </row>
    <row r="1732" spans="1:30" x14ac:dyDescent="0.35">
      <c r="A1732" s="1" t="str">
        <f t="shared" si="26"/>
        <v/>
      </c>
      <c r="B1732" s="30"/>
      <c r="C1732" s="29"/>
      <c r="D1732" s="29"/>
      <c r="E1732" s="29"/>
      <c r="F1732" s="29"/>
      <c r="G1732" s="30"/>
      <c r="H1732" s="31"/>
      <c r="I1732" s="31"/>
      <c r="J1732" s="32"/>
      <c r="K1732" s="33"/>
      <c r="L1732" s="31"/>
      <c r="M1732" s="32"/>
      <c r="N1732" s="31"/>
      <c r="O1732" s="36"/>
      <c r="P1732" s="34"/>
      <c r="Q1732" s="34"/>
      <c r="R1732" s="34"/>
      <c r="S1732" s="29"/>
      <c r="T1732" s="35"/>
      <c r="U1732" s="35"/>
      <c r="V1732" s="35"/>
      <c r="W1732" s="35"/>
      <c r="Y1732" s="31" t="str" cm="1">
        <f t="array" ref="Y1732">IF(LEFT(_xll.BDP($C1732, VOLUME_AVG_10D), 4) = "#N/A", "",  _xll.BDP($C1732, VOLUME_AVG_10D))</f>
        <v/>
      </c>
      <c r="Z1732" s="31" t="str" cm="1">
        <f t="array" ref="Z1732">IF(LEFT(_xll.BDP($C1732, VOLUME_AVG_30D), 4) = "#N/A", "",  _xll.BDP($C1732, VOLUME_AVG_30D))</f>
        <v/>
      </c>
      <c r="AA1732" s="31" t="str" cm="1">
        <f t="array" ref="AA1732">IF(LEFT(_xll.BDP($C1732, VOLUME_AVG_3M), 4) = "#N/A", "",  _xll.BDP($C1732, VOLUME_AVG_3M))</f>
        <v/>
      </c>
      <c r="AB1732" s="31" t="str" cm="1">
        <f t="array" ref="AB1732">IF(LEFT(_xll.BDP($C1732, VOLUME_AVG_6M), 4) = "#N/A", "",  _xll.BDP($C1732, VOLUME_AVG_6M))</f>
        <v/>
      </c>
      <c r="AC1732" s="31" t="str" cm="1">
        <f t="array" ref="AC1732">IF(LEFT(_xll.BDP($C1732, VOLUME_AVG_12M), 4) = "#N/A", "",  _xll.BDP($C1732, VOLUME_AVG_12M))</f>
        <v/>
      </c>
      <c r="AD1732" s="41" t="str" cm="1">
        <f t="array" ref="AD1732">IF(LEFT(_xll.BDP($C1732, LAST_PRICE), 4) = "#N/A", "",  _xll.BDP($C1732, LAST_PRICE))</f>
        <v/>
      </c>
    </row>
    <row r="1733" spans="1:30" x14ac:dyDescent="0.35">
      <c r="A1733" s="1" t="str">
        <f t="shared" si="26"/>
        <v/>
      </c>
      <c r="B1733" s="30"/>
      <c r="C1733" s="29"/>
      <c r="D1733" s="29"/>
      <c r="E1733" s="29"/>
      <c r="F1733" s="29"/>
      <c r="G1733" s="30"/>
      <c r="H1733" s="31"/>
      <c r="I1733" s="31"/>
      <c r="J1733" s="32"/>
      <c r="K1733" s="33"/>
      <c r="L1733" s="31"/>
      <c r="M1733" s="32"/>
      <c r="N1733" s="31"/>
      <c r="O1733" s="36"/>
      <c r="P1733" s="34"/>
      <c r="Q1733" s="34"/>
      <c r="R1733" s="34"/>
      <c r="S1733" s="29"/>
      <c r="T1733" s="35"/>
      <c r="U1733" s="35"/>
      <c r="V1733" s="35"/>
      <c r="W1733" s="35"/>
      <c r="Y1733" s="31" t="str" cm="1">
        <f t="array" ref="Y1733">IF(LEFT(_xll.BDP($C1733, VOLUME_AVG_10D), 4) = "#N/A", "",  _xll.BDP($C1733, VOLUME_AVG_10D))</f>
        <v/>
      </c>
      <c r="Z1733" s="31" t="str" cm="1">
        <f t="array" ref="Z1733">IF(LEFT(_xll.BDP($C1733, VOLUME_AVG_30D), 4) = "#N/A", "",  _xll.BDP($C1733, VOLUME_AVG_30D))</f>
        <v/>
      </c>
      <c r="AA1733" s="31" t="str" cm="1">
        <f t="array" ref="AA1733">IF(LEFT(_xll.BDP($C1733, VOLUME_AVG_3M), 4) = "#N/A", "",  _xll.BDP($C1733, VOLUME_AVG_3M))</f>
        <v/>
      </c>
      <c r="AB1733" s="31" t="str" cm="1">
        <f t="array" ref="AB1733">IF(LEFT(_xll.BDP($C1733, VOLUME_AVG_6M), 4) = "#N/A", "",  _xll.BDP($C1733, VOLUME_AVG_6M))</f>
        <v/>
      </c>
      <c r="AC1733" s="31" t="str" cm="1">
        <f t="array" ref="AC1733">IF(LEFT(_xll.BDP($C1733, VOLUME_AVG_12M), 4) = "#N/A", "",  _xll.BDP($C1733, VOLUME_AVG_12M))</f>
        <v/>
      </c>
      <c r="AD1733" s="41" t="str" cm="1">
        <f t="array" ref="AD1733">IF(LEFT(_xll.BDP($C1733, LAST_PRICE), 4) = "#N/A", "",  _xll.BDP($C1733, LAST_PRICE))</f>
        <v/>
      </c>
    </row>
    <row r="1734" spans="1:30" x14ac:dyDescent="0.35">
      <c r="A1734" s="1" t="str">
        <f t="shared" ref="A1734:A1797" si="27">IF(B1734="","", A1733+1)</f>
        <v/>
      </c>
      <c r="B1734" s="30"/>
      <c r="C1734" s="29"/>
      <c r="D1734" s="29"/>
      <c r="E1734" s="29"/>
      <c r="F1734" s="29"/>
      <c r="G1734" s="30"/>
      <c r="H1734" s="31"/>
      <c r="I1734" s="31"/>
      <c r="J1734" s="32"/>
      <c r="K1734" s="33"/>
      <c r="L1734" s="31"/>
      <c r="M1734" s="32"/>
      <c r="N1734" s="31"/>
      <c r="O1734" s="36"/>
      <c r="P1734" s="34"/>
      <c r="Q1734" s="34"/>
      <c r="R1734" s="34"/>
      <c r="S1734" s="29"/>
      <c r="T1734" s="35"/>
      <c r="U1734" s="35"/>
      <c r="V1734" s="35"/>
      <c r="W1734" s="35"/>
      <c r="Y1734" s="31" t="str" cm="1">
        <f t="array" ref="Y1734">IF(LEFT(_xll.BDP($C1734, VOLUME_AVG_10D), 4) = "#N/A", "",  _xll.BDP($C1734, VOLUME_AVG_10D))</f>
        <v/>
      </c>
      <c r="Z1734" s="31" t="str" cm="1">
        <f t="array" ref="Z1734">IF(LEFT(_xll.BDP($C1734, VOLUME_AVG_30D), 4) = "#N/A", "",  _xll.BDP($C1734, VOLUME_AVG_30D))</f>
        <v/>
      </c>
      <c r="AA1734" s="31" t="str" cm="1">
        <f t="array" ref="AA1734">IF(LEFT(_xll.BDP($C1734, VOLUME_AVG_3M), 4) = "#N/A", "",  _xll.BDP($C1734, VOLUME_AVG_3M))</f>
        <v/>
      </c>
      <c r="AB1734" s="31" t="str" cm="1">
        <f t="array" ref="AB1734">IF(LEFT(_xll.BDP($C1734, VOLUME_AVG_6M), 4) = "#N/A", "",  _xll.BDP($C1734, VOLUME_AVG_6M))</f>
        <v/>
      </c>
      <c r="AC1734" s="31" t="str" cm="1">
        <f t="array" ref="AC1734">IF(LEFT(_xll.BDP($C1734, VOLUME_AVG_12M), 4) = "#N/A", "",  _xll.BDP($C1734, VOLUME_AVG_12M))</f>
        <v/>
      </c>
      <c r="AD1734" s="41" t="str" cm="1">
        <f t="array" ref="AD1734">IF(LEFT(_xll.BDP($C1734, LAST_PRICE), 4) = "#N/A", "",  _xll.BDP($C1734, LAST_PRICE))</f>
        <v/>
      </c>
    </row>
    <row r="1735" spans="1:30" x14ac:dyDescent="0.35">
      <c r="A1735" s="1" t="str">
        <f t="shared" si="27"/>
        <v/>
      </c>
      <c r="B1735" s="30"/>
      <c r="C1735" s="29"/>
      <c r="D1735" s="29"/>
      <c r="E1735" s="29"/>
      <c r="F1735" s="29"/>
      <c r="G1735" s="30"/>
      <c r="H1735" s="31"/>
      <c r="I1735" s="31"/>
      <c r="J1735" s="32"/>
      <c r="K1735" s="33"/>
      <c r="L1735" s="31"/>
      <c r="M1735" s="32"/>
      <c r="N1735" s="31"/>
      <c r="O1735" s="36"/>
      <c r="P1735" s="34"/>
      <c r="Q1735" s="34"/>
      <c r="R1735" s="34"/>
      <c r="S1735" s="29"/>
      <c r="T1735" s="35"/>
      <c r="U1735" s="35"/>
      <c r="V1735" s="35"/>
      <c r="W1735" s="35"/>
      <c r="Y1735" s="31" t="str" cm="1">
        <f t="array" ref="Y1735">IF(LEFT(_xll.BDP($C1735, VOLUME_AVG_10D), 4) = "#N/A", "",  _xll.BDP($C1735, VOLUME_AVG_10D))</f>
        <v/>
      </c>
      <c r="Z1735" s="31" t="str" cm="1">
        <f t="array" ref="Z1735">IF(LEFT(_xll.BDP($C1735, VOLUME_AVG_30D), 4) = "#N/A", "",  _xll.BDP($C1735, VOLUME_AVG_30D))</f>
        <v/>
      </c>
      <c r="AA1735" s="31" t="str" cm="1">
        <f t="array" ref="AA1735">IF(LEFT(_xll.BDP($C1735, VOLUME_AVG_3M), 4) = "#N/A", "",  _xll.BDP($C1735, VOLUME_AVG_3M))</f>
        <v/>
      </c>
      <c r="AB1735" s="31" t="str" cm="1">
        <f t="array" ref="AB1735">IF(LEFT(_xll.BDP($C1735, VOLUME_AVG_6M), 4) = "#N/A", "",  _xll.BDP($C1735, VOLUME_AVG_6M))</f>
        <v/>
      </c>
      <c r="AC1735" s="31" t="str" cm="1">
        <f t="array" ref="AC1735">IF(LEFT(_xll.BDP($C1735, VOLUME_AVG_12M), 4) = "#N/A", "",  _xll.BDP($C1735, VOLUME_AVG_12M))</f>
        <v/>
      </c>
      <c r="AD1735" s="41" t="str" cm="1">
        <f t="array" ref="AD1735">IF(LEFT(_xll.BDP($C1735, LAST_PRICE), 4) = "#N/A", "",  _xll.BDP($C1735, LAST_PRICE))</f>
        <v/>
      </c>
    </row>
    <row r="1736" spans="1:30" x14ac:dyDescent="0.35">
      <c r="A1736" s="1" t="str">
        <f t="shared" si="27"/>
        <v/>
      </c>
      <c r="B1736" s="30"/>
      <c r="C1736" s="29"/>
      <c r="D1736" s="29"/>
      <c r="E1736" s="29"/>
      <c r="F1736" s="29"/>
      <c r="G1736" s="30"/>
      <c r="H1736" s="31"/>
      <c r="I1736" s="31"/>
      <c r="J1736" s="32"/>
      <c r="K1736" s="33"/>
      <c r="L1736" s="31"/>
      <c r="M1736" s="32"/>
      <c r="N1736" s="31"/>
      <c r="O1736" s="36"/>
      <c r="P1736" s="34"/>
      <c r="Q1736" s="34"/>
      <c r="R1736" s="34"/>
      <c r="S1736" s="29"/>
      <c r="T1736" s="35"/>
      <c r="U1736" s="35"/>
      <c r="V1736" s="35"/>
      <c r="W1736" s="35"/>
      <c r="Y1736" s="31" t="str" cm="1">
        <f t="array" ref="Y1736">IF(LEFT(_xll.BDP($C1736, VOLUME_AVG_10D), 4) = "#N/A", "",  _xll.BDP($C1736, VOLUME_AVG_10D))</f>
        <v/>
      </c>
      <c r="Z1736" s="31" t="str" cm="1">
        <f t="array" ref="Z1736">IF(LEFT(_xll.BDP($C1736, VOLUME_AVG_30D), 4) = "#N/A", "",  _xll.BDP($C1736, VOLUME_AVG_30D))</f>
        <v/>
      </c>
      <c r="AA1736" s="31" t="str" cm="1">
        <f t="array" ref="AA1736">IF(LEFT(_xll.BDP($C1736, VOLUME_AVG_3M), 4) = "#N/A", "",  _xll.BDP($C1736, VOLUME_AVG_3M))</f>
        <v/>
      </c>
      <c r="AB1736" s="31" t="str" cm="1">
        <f t="array" ref="AB1736">IF(LEFT(_xll.BDP($C1736, VOLUME_AVG_6M), 4) = "#N/A", "",  _xll.BDP($C1736, VOLUME_AVG_6M))</f>
        <v/>
      </c>
      <c r="AC1736" s="31" t="str" cm="1">
        <f t="array" ref="AC1736">IF(LEFT(_xll.BDP($C1736, VOLUME_AVG_12M), 4) = "#N/A", "",  _xll.BDP($C1736, VOLUME_AVG_12M))</f>
        <v/>
      </c>
      <c r="AD1736" s="41" t="str" cm="1">
        <f t="array" ref="AD1736">IF(LEFT(_xll.BDP($C1736, LAST_PRICE), 4) = "#N/A", "",  _xll.BDP($C1736, LAST_PRICE))</f>
        <v/>
      </c>
    </row>
    <row r="1737" spans="1:30" x14ac:dyDescent="0.35">
      <c r="A1737" s="1" t="str">
        <f t="shared" si="27"/>
        <v/>
      </c>
      <c r="B1737" s="30"/>
      <c r="C1737" s="29"/>
      <c r="D1737" s="29"/>
      <c r="E1737" s="29"/>
      <c r="F1737" s="29"/>
      <c r="G1737" s="30"/>
      <c r="H1737" s="31"/>
      <c r="I1737" s="31"/>
      <c r="J1737" s="32"/>
      <c r="K1737" s="33"/>
      <c r="L1737" s="31"/>
      <c r="M1737" s="32"/>
      <c r="N1737" s="31"/>
      <c r="O1737" s="36"/>
      <c r="P1737" s="34"/>
      <c r="Q1737" s="34"/>
      <c r="R1737" s="34"/>
      <c r="S1737" s="29"/>
      <c r="T1737" s="35"/>
      <c r="U1737" s="35"/>
      <c r="V1737" s="35"/>
      <c r="W1737" s="35"/>
      <c r="Y1737" s="31" t="str" cm="1">
        <f t="array" ref="Y1737">IF(LEFT(_xll.BDP($C1737, VOLUME_AVG_10D), 4) = "#N/A", "",  _xll.BDP($C1737, VOLUME_AVG_10D))</f>
        <v/>
      </c>
      <c r="Z1737" s="31" t="str" cm="1">
        <f t="array" ref="Z1737">IF(LEFT(_xll.BDP($C1737, VOLUME_AVG_30D), 4) = "#N/A", "",  _xll.BDP($C1737, VOLUME_AVG_30D))</f>
        <v/>
      </c>
      <c r="AA1737" s="31" t="str" cm="1">
        <f t="array" ref="AA1737">IF(LEFT(_xll.BDP($C1737, VOLUME_AVG_3M), 4) = "#N/A", "",  _xll.BDP($C1737, VOLUME_AVG_3M))</f>
        <v/>
      </c>
      <c r="AB1737" s="31" t="str" cm="1">
        <f t="array" ref="AB1737">IF(LEFT(_xll.BDP($C1737, VOLUME_AVG_6M), 4) = "#N/A", "",  _xll.BDP($C1737, VOLUME_AVG_6M))</f>
        <v/>
      </c>
      <c r="AC1737" s="31" t="str" cm="1">
        <f t="array" ref="AC1737">IF(LEFT(_xll.BDP($C1737, VOLUME_AVG_12M), 4) = "#N/A", "",  _xll.BDP($C1737, VOLUME_AVG_12M))</f>
        <v/>
      </c>
      <c r="AD1737" s="41" t="str" cm="1">
        <f t="array" ref="AD1737">IF(LEFT(_xll.BDP($C1737, LAST_PRICE), 4) = "#N/A", "",  _xll.BDP($C1737, LAST_PRICE))</f>
        <v/>
      </c>
    </row>
    <row r="1738" spans="1:30" x14ac:dyDescent="0.35">
      <c r="A1738" s="1" t="str">
        <f t="shared" si="27"/>
        <v/>
      </c>
      <c r="B1738" s="30"/>
      <c r="C1738" s="29"/>
      <c r="D1738" s="29"/>
      <c r="E1738" s="29"/>
      <c r="F1738" s="29"/>
      <c r="G1738" s="30"/>
      <c r="H1738" s="31"/>
      <c r="I1738" s="31"/>
      <c r="J1738" s="32"/>
      <c r="K1738" s="33"/>
      <c r="L1738" s="31"/>
      <c r="M1738" s="32"/>
      <c r="N1738" s="31"/>
      <c r="O1738" s="36"/>
      <c r="P1738" s="34"/>
      <c r="Q1738" s="34"/>
      <c r="R1738" s="34"/>
      <c r="S1738" s="29"/>
      <c r="T1738" s="35"/>
      <c r="U1738" s="35"/>
      <c r="V1738" s="35"/>
      <c r="W1738" s="35"/>
      <c r="Y1738" s="31" t="str" cm="1">
        <f t="array" ref="Y1738">IF(LEFT(_xll.BDP($C1738, VOLUME_AVG_10D), 4) = "#N/A", "",  _xll.BDP($C1738, VOLUME_AVG_10D))</f>
        <v/>
      </c>
      <c r="Z1738" s="31" t="str" cm="1">
        <f t="array" ref="Z1738">IF(LEFT(_xll.BDP($C1738, VOLUME_AVG_30D), 4) = "#N/A", "",  _xll.BDP($C1738, VOLUME_AVG_30D))</f>
        <v/>
      </c>
      <c r="AA1738" s="31" t="str" cm="1">
        <f t="array" ref="AA1738">IF(LEFT(_xll.BDP($C1738, VOLUME_AVG_3M), 4) = "#N/A", "",  _xll.BDP($C1738, VOLUME_AVG_3M))</f>
        <v/>
      </c>
      <c r="AB1738" s="31" t="str" cm="1">
        <f t="array" ref="AB1738">IF(LEFT(_xll.BDP($C1738, VOLUME_AVG_6M), 4) = "#N/A", "",  _xll.BDP($C1738, VOLUME_AVG_6M))</f>
        <v/>
      </c>
      <c r="AC1738" s="31" t="str" cm="1">
        <f t="array" ref="AC1738">IF(LEFT(_xll.BDP($C1738, VOLUME_AVG_12M), 4) = "#N/A", "",  _xll.BDP($C1738, VOLUME_AVG_12M))</f>
        <v/>
      </c>
      <c r="AD1738" s="41" t="str" cm="1">
        <f t="array" ref="AD1738">IF(LEFT(_xll.BDP($C1738, LAST_PRICE), 4) = "#N/A", "",  _xll.BDP($C1738, LAST_PRICE))</f>
        <v/>
      </c>
    </row>
    <row r="1739" spans="1:30" x14ac:dyDescent="0.35">
      <c r="A1739" s="1" t="str">
        <f t="shared" si="27"/>
        <v/>
      </c>
      <c r="B1739" s="30"/>
      <c r="C1739" s="29"/>
      <c r="D1739" s="29"/>
      <c r="E1739" s="29"/>
      <c r="F1739" s="29"/>
      <c r="G1739" s="30"/>
      <c r="H1739" s="31"/>
      <c r="I1739" s="31"/>
      <c r="J1739" s="32"/>
      <c r="K1739" s="33"/>
      <c r="L1739" s="31"/>
      <c r="M1739" s="32"/>
      <c r="N1739" s="31"/>
      <c r="O1739" s="36"/>
      <c r="P1739" s="34"/>
      <c r="Q1739" s="34"/>
      <c r="R1739" s="34"/>
      <c r="S1739" s="29"/>
      <c r="T1739" s="35"/>
      <c r="U1739" s="35"/>
      <c r="V1739" s="35"/>
      <c r="W1739" s="35"/>
      <c r="Y1739" s="31" t="str" cm="1">
        <f t="array" ref="Y1739">IF(LEFT(_xll.BDP($C1739, VOLUME_AVG_10D), 4) = "#N/A", "",  _xll.BDP($C1739, VOLUME_AVG_10D))</f>
        <v/>
      </c>
      <c r="Z1739" s="31" t="str" cm="1">
        <f t="array" ref="Z1739">IF(LEFT(_xll.BDP($C1739, VOLUME_AVG_30D), 4) = "#N/A", "",  _xll.BDP($C1739, VOLUME_AVG_30D))</f>
        <v/>
      </c>
      <c r="AA1739" s="31" t="str" cm="1">
        <f t="array" ref="AA1739">IF(LEFT(_xll.BDP($C1739, VOLUME_AVG_3M), 4) = "#N/A", "",  _xll.BDP($C1739, VOLUME_AVG_3M))</f>
        <v/>
      </c>
      <c r="AB1739" s="31" t="str" cm="1">
        <f t="array" ref="AB1739">IF(LEFT(_xll.BDP($C1739, VOLUME_AVG_6M), 4) = "#N/A", "",  _xll.BDP($C1739, VOLUME_AVG_6M))</f>
        <v/>
      </c>
      <c r="AC1739" s="31" t="str" cm="1">
        <f t="array" ref="AC1739">IF(LEFT(_xll.BDP($C1739, VOLUME_AVG_12M), 4) = "#N/A", "",  _xll.BDP($C1739, VOLUME_AVG_12M))</f>
        <v/>
      </c>
      <c r="AD1739" s="41" t="str" cm="1">
        <f t="array" ref="AD1739">IF(LEFT(_xll.BDP($C1739, LAST_PRICE), 4) = "#N/A", "",  _xll.BDP($C1739, LAST_PRICE))</f>
        <v/>
      </c>
    </row>
    <row r="1740" spans="1:30" x14ac:dyDescent="0.35">
      <c r="A1740" s="1" t="str">
        <f t="shared" si="27"/>
        <v/>
      </c>
      <c r="B1740" s="30"/>
      <c r="C1740" s="29"/>
      <c r="D1740" s="29"/>
      <c r="E1740" s="29"/>
      <c r="F1740" s="29"/>
      <c r="G1740" s="30"/>
      <c r="H1740" s="31"/>
      <c r="I1740" s="31"/>
      <c r="J1740" s="32"/>
      <c r="K1740" s="33"/>
      <c r="L1740" s="31"/>
      <c r="M1740" s="32"/>
      <c r="N1740" s="31"/>
      <c r="O1740" s="36"/>
      <c r="P1740" s="34"/>
      <c r="Q1740" s="34"/>
      <c r="R1740" s="34"/>
      <c r="S1740" s="29"/>
      <c r="T1740" s="35"/>
      <c r="U1740" s="35"/>
      <c r="V1740" s="35"/>
      <c r="W1740" s="35"/>
      <c r="Y1740" s="31" t="str" cm="1">
        <f t="array" ref="Y1740">IF(LEFT(_xll.BDP($C1740, VOLUME_AVG_10D), 4) = "#N/A", "",  _xll.BDP($C1740, VOLUME_AVG_10D))</f>
        <v/>
      </c>
      <c r="Z1740" s="31" t="str" cm="1">
        <f t="array" ref="Z1740">IF(LEFT(_xll.BDP($C1740, VOLUME_AVG_30D), 4) = "#N/A", "",  _xll.BDP($C1740, VOLUME_AVG_30D))</f>
        <v/>
      </c>
      <c r="AA1740" s="31" t="str" cm="1">
        <f t="array" ref="AA1740">IF(LEFT(_xll.BDP($C1740, VOLUME_AVG_3M), 4) = "#N/A", "",  _xll.BDP($C1740, VOLUME_AVG_3M))</f>
        <v/>
      </c>
      <c r="AB1740" s="31" t="str" cm="1">
        <f t="array" ref="AB1740">IF(LEFT(_xll.BDP($C1740, VOLUME_AVG_6M), 4) = "#N/A", "",  _xll.BDP($C1740, VOLUME_AVG_6M))</f>
        <v/>
      </c>
      <c r="AC1740" s="31" t="str" cm="1">
        <f t="array" ref="AC1740">IF(LEFT(_xll.BDP($C1740, VOLUME_AVG_12M), 4) = "#N/A", "",  _xll.BDP($C1740, VOLUME_AVG_12M))</f>
        <v/>
      </c>
      <c r="AD1740" s="41" t="str" cm="1">
        <f t="array" ref="AD1740">IF(LEFT(_xll.BDP($C1740, LAST_PRICE), 4) = "#N/A", "",  _xll.BDP($C1740, LAST_PRICE))</f>
        <v/>
      </c>
    </row>
    <row r="1741" spans="1:30" x14ac:dyDescent="0.35">
      <c r="A1741" s="1" t="str">
        <f t="shared" si="27"/>
        <v/>
      </c>
      <c r="B1741" s="30"/>
      <c r="C1741" s="29"/>
      <c r="D1741" s="29"/>
      <c r="E1741" s="29"/>
      <c r="F1741" s="29"/>
      <c r="G1741" s="30"/>
      <c r="H1741" s="31"/>
      <c r="I1741" s="31"/>
      <c r="J1741" s="32"/>
      <c r="K1741" s="33"/>
      <c r="L1741" s="31"/>
      <c r="M1741" s="32"/>
      <c r="N1741" s="31"/>
      <c r="O1741" s="36"/>
      <c r="P1741" s="34"/>
      <c r="Q1741" s="34"/>
      <c r="R1741" s="34"/>
      <c r="S1741" s="29"/>
      <c r="T1741" s="35"/>
      <c r="U1741" s="35"/>
      <c r="V1741" s="35"/>
      <c r="W1741" s="35"/>
      <c r="Y1741" s="31" t="str" cm="1">
        <f t="array" ref="Y1741">IF(LEFT(_xll.BDP($C1741, VOLUME_AVG_10D), 4) = "#N/A", "",  _xll.BDP($C1741, VOLUME_AVG_10D))</f>
        <v/>
      </c>
      <c r="Z1741" s="31" t="str" cm="1">
        <f t="array" ref="Z1741">IF(LEFT(_xll.BDP($C1741, VOLUME_AVG_30D), 4) = "#N/A", "",  _xll.BDP($C1741, VOLUME_AVG_30D))</f>
        <v/>
      </c>
      <c r="AA1741" s="31" t="str" cm="1">
        <f t="array" ref="AA1741">IF(LEFT(_xll.BDP($C1741, VOLUME_AVG_3M), 4) = "#N/A", "",  _xll.BDP($C1741, VOLUME_AVG_3M))</f>
        <v/>
      </c>
      <c r="AB1741" s="31" t="str" cm="1">
        <f t="array" ref="AB1741">IF(LEFT(_xll.BDP($C1741, VOLUME_AVG_6M), 4) = "#N/A", "",  _xll.BDP($C1741, VOLUME_AVG_6M))</f>
        <v/>
      </c>
      <c r="AC1741" s="31" t="str" cm="1">
        <f t="array" ref="AC1741">IF(LEFT(_xll.BDP($C1741, VOLUME_AVG_12M), 4) = "#N/A", "",  _xll.BDP($C1741, VOLUME_AVG_12M))</f>
        <v/>
      </c>
      <c r="AD1741" s="41" t="str" cm="1">
        <f t="array" ref="AD1741">IF(LEFT(_xll.BDP($C1741, LAST_PRICE), 4) = "#N/A", "",  _xll.BDP($C1741, LAST_PRICE))</f>
        <v/>
      </c>
    </row>
    <row r="1742" spans="1:30" x14ac:dyDescent="0.35">
      <c r="A1742" s="1" t="str">
        <f t="shared" si="27"/>
        <v/>
      </c>
      <c r="B1742" s="30"/>
      <c r="C1742" s="29"/>
      <c r="D1742" s="29"/>
      <c r="E1742" s="29"/>
      <c r="F1742" s="29"/>
      <c r="G1742" s="30"/>
      <c r="H1742" s="31"/>
      <c r="I1742" s="31"/>
      <c r="J1742" s="32"/>
      <c r="K1742" s="33"/>
      <c r="L1742" s="31"/>
      <c r="M1742" s="32"/>
      <c r="N1742" s="31"/>
      <c r="O1742" s="36"/>
      <c r="P1742" s="34"/>
      <c r="Q1742" s="34"/>
      <c r="R1742" s="34"/>
      <c r="S1742" s="29"/>
      <c r="T1742" s="35"/>
      <c r="U1742" s="35"/>
      <c r="V1742" s="35"/>
      <c r="W1742" s="35"/>
      <c r="Y1742" s="31" t="str" cm="1">
        <f t="array" ref="Y1742">IF(LEFT(_xll.BDP($C1742, VOLUME_AVG_10D), 4) = "#N/A", "",  _xll.BDP($C1742, VOLUME_AVG_10D))</f>
        <v/>
      </c>
      <c r="Z1742" s="31" t="str" cm="1">
        <f t="array" ref="Z1742">IF(LEFT(_xll.BDP($C1742, VOLUME_AVG_30D), 4) = "#N/A", "",  _xll.BDP($C1742, VOLUME_AVG_30D))</f>
        <v/>
      </c>
      <c r="AA1742" s="31" t="str" cm="1">
        <f t="array" ref="AA1742">IF(LEFT(_xll.BDP($C1742, VOLUME_AVG_3M), 4) = "#N/A", "",  _xll.BDP($C1742, VOLUME_AVG_3M))</f>
        <v/>
      </c>
      <c r="AB1742" s="31" t="str" cm="1">
        <f t="array" ref="AB1742">IF(LEFT(_xll.BDP($C1742, VOLUME_AVG_6M), 4) = "#N/A", "",  _xll.BDP($C1742, VOLUME_AVG_6M))</f>
        <v/>
      </c>
      <c r="AC1742" s="31" t="str" cm="1">
        <f t="array" ref="AC1742">IF(LEFT(_xll.BDP($C1742, VOLUME_AVG_12M), 4) = "#N/A", "",  _xll.BDP($C1742, VOLUME_AVG_12M))</f>
        <v/>
      </c>
      <c r="AD1742" s="41" t="str" cm="1">
        <f t="array" ref="AD1742">IF(LEFT(_xll.BDP($C1742, LAST_PRICE), 4) = "#N/A", "",  _xll.BDP($C1742, LAST_PRICE))</f>
        <v/>
      </c>
    </row>
    <row r="1743" spans="1:30" x14ac:dyDescent="0.35">
      <c r="A1743" s="1" t="str">
        <f t="shared" si="27"/>
        <v/>
      </c>
      <c r="B1743" s="30"/>
      <c r="C1743" s="29"/>
      <c r="D1743" s="29"/>
      <c r="E1743" s="29"/>
      <c r="F1743" s="29"/>
      <c r="G1743" s="30"/>
      <c r="H1743" s="31"/>
      <c r="I1743" s="31"/>
      <c r="J1743" s="32"/>
      <c r="K1743" s="33"/>
      <c r="L1743" s="31"/>
      <c r="M1743" s="32"/>
      <c r="N1743" s="31"/>
      <c r="O1743" s="36"/>
      <c r="P1743" s="34"/>
      <c r="Q1743" s="34"/>
      <c r="R1743" s="34"/>
      <c r="S1743" s="29"/>
      <c r="T1743" s="35"/>
      <c r="U1743" s="35"/>
      <c r="V1743" s="35"/>
      <c r="W1743" s="35"/>
      <c r="Y1743" s="31" t="str" cm="1">
        <f t="array" ref="Y1743">IF(LEFT(_xll.BDP($C1743, VOLUME_AVG_10D), 4) = "#N/A", "",  _xll.BDP($C1743, VOLUME_AVG_10D))</f>
        <v/>
      </c>
      <c r="Z1743" s="31" t="str" cm="1">
        <f t="array" ref="Z1743">IF(LEFT(_xll.BDP($C1743, VOLUME_AVG_30D), 4) = "#N/A", "",  _xll.BDP($C1743, VOLUME_AVG_30D))</f>
        <v/>
      </c>
      <c r="AA1743" s="31" t="str" cm="1">
        <f t="array" ref="AA1743">IF(LEFT(_xll.BDP($C1743, VOLUME_AVG_3M), 4) = "#N/A", "",  _xll.BDP($C1743, VOLUME_AVG_3M))</f>
        <v/>
      </c>
      <c r="AB1743" s="31" t="str" cm="1">
        <f t="array" ref="AB1743">IF(LEFT(_xll.BDP($C1743, VOLUME_AVG_6M), 4) = "#N/A", "",  _xll.BDP($C1743, VOLUME_AVG_6M))</f>
        <v/>
      </c>
      <c r="AC1743" s="31" t="str" cm="1">
        <f t="array" ref="AC1743">IF(LEFT(_xll.BDP($C1743, VOLUME_AVG_12M), 4) = "#N/A", "",  _xll.BDP($C1743, VOLUME_AVG_12M))</f>
        <v/>
      </c>
      <c r="AD1743" s="41" t="str" cm="1">
        <f t="array" ref="AD1743">IF(LEFT(_xll.BDP($C1743, LAST_PRICE), 4) = "#N/A", "",  _xll.BDP($C1743, LAST_PRICE))</f>
        <v/>
      </c>
    </row>
    <row r="1744" spans="1:30" x14ac:dyDescent="0.35">
      <c r="A1744" s="1" t="str">
        <f t="shared" si="27"/>
        <v/>
      </c>
      <c r="B1744" s="30"/>
      <c r="C1744" s="29"/>
      <c r="D1744" s="29"/>
      <c r="E1744" s="29"/>
      <c r="F1744" s="29"/>
      <c r="G1744" s="30"/>
      <c r="H1744" s="31"/>
      <c r="I1744" s="31"/>
      <c r="J1744" s="32"/>
      <c r="K1744" s="33"/>
      <c r="L1744" s="31"/>
      <c r="M1744" s="32"/>
      <c r="N1744" s="31"/>
      <c r="O1744" s="36"/>
      <c r="P1744" s="34"/>
      <c r="Q1744" s="34"/>
      <c r="R1744" s="34"/>
      <c r="S1744" s="29"/>
      <c r="T1744" s="35"/>
      <c r="U1744" s="35"/>
      <c r="V1744" s="35"/>
      <c r="W1744" s="35"/>
      <c r="Y1744" s="31" t="str" cm="1">
        <f t="array" ref="Y1744">IF(LEFT(_xll.BDP($C1744, VOLUME_AVG_10D), 4) = "#N/A", "",  _xll.BDP($C1744, VOLUME_AVG_10D))</f>
        <v/>
      </c>
      <c r="Z1744" s="31" t="str" cm="1">
        <f t="array" ref="Z1744">IF(LEFT(_xll.BDP($C1744, VOLUME_AVG_30D), 4) = "#N/A", "",  _xll.BDP($C1744, VOLUME_AVG_30D))</f>
        <v/>
      </c>
      <c r="AA1744" s="31" t="str" cm="1">
        <f t="array" ref="AA1744">IF(LEFT(_xll.BDP($C1744, VOLUME_AVG_3M), 4) = "#N/A", "",  _xll.BDP($C1744, VOLUME_AVG_3M))</f>
        <v/>
      </c>
      <c r="AB1744" s="31" t="str" cm="1">
        <f t="array" ref="AB1744">IF(LEFT(_xll.BDP($C1744, VOLUME_AVG_6M), 4) = "#N/A", "",  _xll.BDP($C1744, VOLUME_AVG_6M))</f>
        <v/>
      </c>
      <c r="AC1744" s="31" t="str" cm="1">
        <f t="array" ref="AC1744">IF(LEFT(_xll.BDP($C1744, VOLUME_AVG_12M), 4) = "#N/A", "",  _xll.BDP($C1744, VOLUME_AVG_12M))</f>
        <v/>
      </c>
      <c r="AD1744" s="41" t="str" cm="1">
        <f t="array" ref="AD1744">IF(LEFT(_xll.BDP($C1744, LAST_PRICE), 4) = "#N/A", "",  _xll.BDP($C1744, LAST_PRICE))</f>
        <v/>
      </c>
    </row>
    <row r="1745" spans="1:30" x14ac:dyDescent="0.35">
      <c r="A1745" s="1" t="str">
        <f t="shared" si="27"/>
        <v/>
      </c>
      <c r="B1745" s="30"/>
      <c r="C1745" s="29"/>
      <c r="D1745" s="29"/>
      <c r="E1745" s="29"/>
      <c r="F1745" s="29"/>
      <c r="G1745" s="30"/>
      <c r="H1745" s="31"/>
      <c r="I1745" s="31"/>
      <c r="J1745" s="32"/>
      <c r="K1745" s="33"/>
      <c r="L1745" s="31"/>
      <c r="M1745" s="32"/>
      <c r="N1745" s="31"/>
      <c r="O1745" s="36"/>
      <c r="P1745" s="34"/>
      <c r="Q1745" s="34"/>
      <c r="R1745" s="34"/>
      <c r="S1745" s="29"/>
      <c r="T1745" s="35"/>
      <c r="U1745" s="35"/>
      <c r="V1745" s="35"/>
      <c r="W1745" s="35"/>
      <c r="Y1745" s="31" t="str" cm="1">
        <f t="array" ref="Y1745">IF(LEFT(_xll.BDP($C1745, VOLUME_AVG_10D), 4) = "#N/A", "",  _xll.BDP($C1745, VOLUME_AVG_10D))</f>
        <v/>
      </c>
      <c r="Z1745" s="31" t="str" cm="1">
        <f t="array" ref="Z1745">IF(LEFT(_xll.BDP($C1745, VOLUME_AVG_30D), 4) = "#N/A", "",  _xll.BDP($C1745, VOLUME_AVG_30D))</f>
        <v/>
      </c>
      <c r="AA1745" s="31" t="str" cm="1">
        <f t="array" ref="AA1745">IF(LEFT(_xll.BDP($C1745, VOLUME_AVG_3M), 4) = "#N/A", "",  _xll.BDP($C1745, VOLUME_AVG_3M))</f>
        <v/>
      </c>
      <c r="AB1745" s="31" t="str" cm="1">
        <f t="array" ref="AB1745">IF(LEFT(_xll.BDP($C1745, VOLUME_AVG_6M), 4) = "#N/A", "",  _xll.BDP($C1745, VOLUME_AVG_6M))</f>
        <v/>
      </c>
      <c r="AC1745" s="31" t="str" cm="1">
        <f t="array" ref="AC1745">IF(LEFT(_xll.BDP($C1745, VOLUME_AVG_12M), 4) = "#N/A", "",  _xll.BDP($C1745, VOLUME_AVG_12M))</f>
        <v/>
      </c>
      <c r="AD1745" s="41" t="str" cm="1">
        <f t="array" ref="AD1745">IF(LEFT(_xll.BDP($C1745, LAST_PRICE), 4) = "#N/A", "",  _xll.BDP($C1745, LAST_PRICE))</f>
        <v/>
      </c>
    </row>
    <row r="1746" spans="1:30" x14ac:dyDescent="0.35">
      <c r="A1746" s="1" t="str">
        <f t="shared" si="27"/>
        <v/>
      </c>
      <c r="B1746" s="30"/>
      <c r="C1746" s="29"/>
      <c r="D1746" s="29"/>
      <c r="E1746" s="29"/>
      <c r="F1746" s="29"/>
      <c r="G1746" s="30"/>
      <c r="H1746" s="31"/>
      <c r="I1746" s="31"/>
      <c r="J1746" s="32"/>
      <c r="K1746" s="33"/>
      <c r="L1746" s="31"/>
      <c r="M1746" s="32"/>
      <c r="N1746" s="31"/>
      <c r="O1746" s="36"/>
      <c r="P1746" s="34"/>
      <c r="Q1746" s="34"/>
      <c r="R1746" s="34"/>
      <c r="S1746" s="29"/>
      <c r="T1746" s="35"/>
      <c r="U1746" s="35"/>
      <c r="V1746" s="35"/>
      <c r="W1746" s="35"/>
      <c r="Y1746" s="31" t="str" cm="1">
        <f t="array" ref="Y1746">IF(LEFT(_xll.BDP($C1746, VOLUME_AVG_10D), 4) = "#N/A", "",  _xll.BDP($C1746, VOLUME_AVG_10D))</f>
        <v/>
      </c>
      <c r="Z1746" s="31" t="str" cm="1">
        <f t="array" ref="Z1746">IF(LEFT(_xll.BDP($C1746, VOLUME_AVG_30D), 4) = "#N/A", "",  _xll.BDP($C1746, VOLUME_AVG_30D))</f>
        <v/>
      </c>
      <c r="AA1746" s="31" t="str" cm="1">
        <f t="array" ref="AA1746">IF(LEFT(_xll.BDP($C1746, VOLUME_AVG_3M), 4) = "#N/A", "",  _xll.BDP($C1746, VOLUME_AVG_3M))</f>
        <v/>
      </c>
      <c r="AB1746" s="31" t="str" cm="1">
        <f t="array" ref="AB1746">IF(LEFT(_xll.BDP($C1746, VOLUME_AVG_6M), 4) = "#N/A", "",  _xll.BDP($C1746, VOLUME_AVG_6M))</f>
        <v/>
      </c>
      <c r="AC1746" s="31" t="str" cm="1">
        <f t="array" ref="AC1746">IF(LEFT(_xll.BDP($C1746, VOLUME_AVG_12M), 4) = "#N/A", "",  _xll.BDP($C1746, VOLUME_AVG_12M))</f>
        <v/>
      </c>
      <c r="AD1746" s="41" t="str" cm="1">
        <f t="array" ref="AD1746">IF(LEFT(_xll.BDP($C1746, LAST_PRICE), 4) = "#N/A", "",  _xll.BDP($C1746, LAST_PRICE))</f>
        <v/>
      </c>
    </row>
    <row r="1747" spans="1:30" x14ac:dyDescent="0.35">
      <c r="A1747" s="1" t="str">
        <f t="shared" si="27"/>
        <v/>
      </c>
      <c r="B1747" s="30"/>
      <c r="C1747" s="29"/>
      <c r="D1747" s="29"/>
      <c r="E1747" s="29"/>
      <c r="F1747" s="29"/>
      <c r="G1747" s="30"/>
      <c r="H1747" s="31"/>
      <c r="I1747" s="31"/>
      <c r="J1747" s="32"/>
      <c r="K1747" s="33"/>
      <c r="L1747" s="31"/>
      <c r="M1747" s="32"/>
      <c r="N1747" s="31"/>
      <c r="O1747" s="36"/>
      <c r="P1747" s="34"/>
      <c r="Q1747" s="34"/>
      <c r="R1747" s="34"/>
      <c r="S1747" s="29"/>
      <c r="T1747" s="35"/>
      <c r="U1747" s="35"/>
      <c r="V1747" s="35"/>
      <c r="W1747" s="35"/>
      <c r="Y1747" s="31" t="str" cm="1">
        <f t="array" ref="Y1747">IF(LEFT(_xll.BDP($C1747, VOLUME_AVG_10D), 4) = "#N/A", "",  _xll.BDP($C1747, VOLUME_AVG_10D))</f>
        <v/>
      </c>
      <c r="Z1747" s="31" t="str" cm="1">
        <f t="array" ref="Z1747">IF(LEFT(_xll.BDP($C1747, VOLUME_AVG_30D), 4) = "#N/A", "",  _xll.BDP($C1747, VOLUME_AVG_30D))</f>
        <v/>
      </c>
      <c r="AA1747" s="31" t="str" cm="1">
        <f t="array" ref="AA1747">IF(LEFT(_xll.BDP($C1747, VOLUME_AVG_3M), 4) = "#N/A", "",  _xll.BDP($C1747, VOLUME_AVG_3M))</f>
        <v/>
      </c>
      <c r="AB1747" s="31" t="str" cm="1">
        <f t="array" ref="AB1747">IF(LEFT(_xll.BDP($C1747, VOLUME_AVG_6M), 4) = "#N/A", "",  _xll.BDP($C1747, VOLUME_AVG_6M))</f>
        <v/>
      </c>
      <c r="AC1747" s="31" t="str" cm="1">
        <f t="array" ref="AC1747">IF(LEFT(_xll.BDP($C1747, VOLUME_AVG_12M), 4) = "#N/A", "",  _xll.BDP($C1747, VOLUME_AVG_12M))</f>
        <v/>
      </c>
      <c r="AD1747" s="41" t="str" cm="1">
        <f t="array" ref="AD1747">IF(LEFT(_xll.BDP($C1747, LAST_PRICE), 4) = "#N/A", "",  _xll.BDP($C1747, LAST_PRICE))</f>
        <v/>
      </c>
    </row>
    <row r="1748" spans="1:30" x14ac:dyDescent="0.35">
      <c r="A1748" s="1" t="str">
        <f t="shared" si="27"/>
        <v/>
      </c>
      <c r="B1748" s="30"/>
      <c r="C1748" s="29"/>
      <c r="D1748" s="29"/>
      <c r="E1748" s="29"/>
      <c r="F1748" s="29"/>
      <c r="G1748" s="30"/>
      <c r="H1748" s="31"/>
      <c r="I1748" s="31"/>
      <c r="J1748" s="32"/>
      <c r="K1748" s="33"/>
      <c r="L1748" s="31"/>
      <c r="M1748" s="32"/>
      <c r="N1748" s="31"/>
      <c r="O1748" s="36"/>
      <c r="P1748" s="34"/>
      <c r="Q1748" s="34"/>
      <c r="R1748" s="34"/>
      <c r="S1748" s="29"/>
      <c r="T1748" s="35"/>
      <c r="U1748" s="35"/>
      <c r="V1748" s="35"/>
      <c r="W1748" s="35"/>
      <c r="Y1748" s="31" t="str" cm="1">
        <f t="array" ref="Y1748">IF(LEFT(_xll.BDP($C1748, VOLUME_AVG_10D), 4) = "#N/A", "",  _xll.BDP($C1748, VOLUME_AVG_10D))</f>
        <v/>
      </c>
      <c r="Z1748" s="31" t="str" cm="1">
        <f t="array" ref="Z1748">IF(LEFT(_xll.BDP($C1748, VOLUME_AVG_30D), 4) = "#N/A", "",  _xll.BDP($C1748, VOLUME_AVG_30D))</f>
        <v/>
      </c>
      <c r="AA1748" s="31" t="str" cm="1">
        <f t="array" ref="AA1748">IF(LEFT(_xll.BDP($C1748, VOLUME_AVG_3M), 4) = "#N/A", "",  _xll.BDP($C1748, VOLUME_AVG_3M))</f>
        <v/>
      </c>
      <c r="AB1748" s="31" t="str" cm="1">
        <f t="array" ref="AB1748">IF(LEFT(_xll.BDP($C1748, VOLUME_AVG_6M), 4) = "#N/A", "",  _xll.BDP($C1748, VOLUME_AVG_6M))</f>
        <v/>
      </c>
      <c r="AC1748" s="31" t="str" cm="1">
        <f t="array" ref="AC1748">IF(LEFT(_xll.BDP($C1748, VOLUME_AVG_12M), 4) = "#N/A", "",  _xll.BDP($C1748, VOLUME_AVG_12M))</f>
        <v/>
      </c>
      <c r="AD1748" s="41" t="str" cm="1">
        <f t="array" ref="AD1748">IF(LEFT(_xll.BDP($C1748, LAST_PRICE), 4) = "#N/A", "",  _xll.BDP($C1748, LAST_PRICE))</f>
        <v/>
      </c>
    </row>
    <row r="1749" spans="1:30" x14ac:dyDescent="0.35">
      <c r="A1749" s="1" t="str">
        <f t="shared" si="27"/>
        <v/>
      </c>
      <c r="B1749" s="30"/>
      <c r="C1749" s="29"/>
      <c r="D1749" s="29"/>
      <c r="E1749" s="29"/>
      <c r="F1749" s="29"/>
      <c r="G1749" s="30"/>
      <c r="H1749" s="31"/>
      <c r="I1749" s="31"/>
      <c r="J1749" s="32"/>
      <c r="K1749" s="33"/>
      <c r="L1749" s="31"/>
      <c r="M1749" s="32"/>
      <c r="N1749" s="31"/>
      <c r="O1749" s="36"/>
      <c r="P1749" s="34"/>
      <c r="Q1749" s="34"/>
      <c r="R1749" s="34"/>
      <c r="S1749" s="29"/>
      <c r="T1749" s="35"/>
      <c r="U1749" s="35"/>
      <c r="V1749" s="35"/>
      <c r="W1749" s="35"/>
      <c r="Y1749" s="31" t="str" cm="1">
        <f t="array" ref="Y1749">IF(LEFT(_xll.BDP($C1749, VOLUME_AVG_10D), 4) = "#N/A", "",  _xll.BDP($C1749, VOLUME_AVG_10D))</f>
        <v/>
      </c>
      <c r="Z1749" s="31" t="str" cm="1">
        <f t="array" ref="Z1749">IF(LEFT(_xll.BDP($C1749, VOLUME_AVG_30D), 4) = "#N/A", "",  _xll.BDP($C1749, VOLUME_AVG_30D))</f>
        <v/>
      </c>
      <c r="AA1749" s="31" t="str" cm="1">
        <f t="array" ref="AA1749">IF(LEFT(_xll.BDP($C1749, VOLUME_AVG_3M), 4) = "#N/A", "",  _xll.BDP($C1749, VOLUME_AVG_3M))</f>
        <v/>
      </c>
      <c r="AB1749" s="31" t="str" cm="1">
        <f t="array" ref="AB1749">IF(LEFT(_xll.BDP($C1749, VOLUME_AVG_6M), 4) = "#N/A", "",  _xll.BDP($C1749, VOLUME_AVG_6M))</f>
        <v/>
      </c>
      <c r="AC1749" s="31" t="str" cm="1">
        <f t="array" ref="AC1749">IF(LEFT(_xll.BDP($C1749, VOLUME_AVG_12M), 4) = "#N/A", "",  _xll.BDP($C1749, VOLUME_AVG_12M))</f>
        <v/>
      </c>
      <c r="AD1749" s="41" t="str" cm="1">
        <f t="array" ref="AD1749">IF(LEFT(_xll.BDP($C1749, LAST_PRICE), 4) = "#N/A", "",  _xll.BDP($C1749, LAST_PRICE))</f>
        <v/>
      </c>
    </row>
    <row r="1750" spans="1:30" x14ac:dyDescent="0.35">
      <c r="A1750" s="1" t="str">
        <f t="shared" si="27"/>
        <v/>
      </c>
      <c r="B1750" s="30"/>
      <c r="C1750" s="29"/>
      <c r="D1750" s="29"/>
      <c r="E1750" s="29"/>
      <c r="F1750" s="29"/>
      <c r="G1750" s="30"/>
      <c r="H1750" s="31"/>
      <c r="I1750" s="31"/>
      <c r="J1750" s="32"/>
      <c r="K1750" s="33"/>
      <c r="L1750" s="31"/>
      <c r="M1750" s="32"/>
      <c r="N1750" s="31"/>
      <c r="O1750" s="36"/>
      <c r="P1750" s="34"/>
      <c r="Q1750" s="34"/>
      <c r="R1750" s="34"/>
      <c r="S1750" s="29"/>
      <c r="T1750" s="35"/>
      <c r="U1750" s="35"/>
      <c r="V1750" s="35"/>
      <c r="W1750" s="35"/>
      <c r="Y1750" s="31" t="str" cm="1">
        <f t="array" ref="Y1750">IF(LEFT(_xll.BDP($C1750, VOLUME_AVG_10D), 4) = "#N/A", "",  _xll.BDP($C1750, VOLUME_AVG_10D))</f>
        <v/>
      </c>
      <c r="Z1750" s="31" t="str" cm="1">
        <f t="array" ref="Z1750">IF(LEFT(_xll.BDP($C1750, VOLUME_AVG_30D), 4) = "#N/A", "",  _xll.BDP($C1750, VOLUME_AVG_30D))</f>
        <v/>
      </c>
      <c r="AA1750" s="31" t="str" cm="1">
        <f t="array" ref="AA1750">IF(LEFT(_xll.BDP($C1750, VOLUME_AVG_3M), 4) = "#N/A", "",  _xll.BDP($C1750, VOLUME_AVG_3M))</f>
        <v/>
      </c>
      <c r="AB1750" s="31" t="str" cm="1">
        <f t="array" ref="AB1750">IF(LEFT(_xll.BDP($C1750, VOLUME_AVG_6M), 4) = "#N/A", "",  _xll.BDP($C1750, VOLUME_AVG_6M))</f>
        <v/>
      </c>
      <c r="AC1750" s="31" t="str" cm="1">
        <f t="array" ref="AC1750">IF(LEFT(_xll.BDP($C1750, VOLUME_AVG_12M), 4) = "#N/A", "",  _xll.BDP($C1750, VOLUME_AVG_12M))</f>
        <v/>
      </c>
      <c r="AD1750" s="41" t="str" cm="1">
        <f t="array" ref="AD1750">IF(LEFT(_xll.BDP($C1750, LAST_PRICE), 4) = "#N/A", "",  _xll.BDP($C1750, LAST_PRICE))</f>
        <v/>
      </c>
    </row>
    <row r="1751" spans="1:30" x14ac:dyDescent="0.35">
      <c r="A1751" s="1" t="str">
        <f t="shared" si="27"/>
        <v/>
      </c>
      <c r="B1751" s="30"/>
      <c r="C1751" s="29"/>
      <c r="D1751" s="29"/>
      <c r="E1751" s="29"/>
      <c r="F1751" s="29"/>
      <c r="G1751" s="30"/>
      <c r="H1751" s="31"/>
      <c r="I1751" s="31"/>
      <c r="J1751" s="32"/>
      <c r="K1751" s="33"/>
      <c r="L1751" s="31"/>
      <c r="M1751" s="32"/>
      <c r="N1751" s="31"/>
      <c r="O1751" s="36"/>
      <c r="P1751" s="34"/>
      <c r="Q1751" s="34"/>
      <c r="R1751" s="34"/>
      <c r="S1751" s="29"/>
      <c r="T1751" s="35"/>
      <c r="U1751" s="35"/>
      <c r="V1751" s="35"/>
      <c r="W1751" s="35"/>
      <c r="Y1751" s="31" t="str" cm="1">
        <f t="array" ref="Y1751">IF(LEFT(_xll.BDP($C1751, VOLUME_AVG_10D), 4) = "#N/A", "",  _xll.BDP($C1751, VOLUME_AVG_10D))</f>
        <v/>
      </c>
      <c r="Z1751" s="31" t="str" cm="1">
        <f t="array" ref="Z1751">IF(LEFT(_xll.BDP($C1751, VOLUME_AVG_30D), 4) = "#N/A", "",  _xll.BDP($C1751, VOLUME_AVG_30D))</f>
        <v/>
      </c>
      <c r="AA1751" s="31" t="str" cm="1">
        <f t="array" ref="AA1751">IF(LEFT(_xll.BDP($C1751, VOLUME_AVG_3M), 4) = "#N/A", "",  _xll.BDP($C1751, VOLUME_AVG_3M))</f>
        <v/>
      </c>
      <c r="AB1751" s="31" t="str" cm="1">
        <f t="array" ref="AB1751">IF(LEFT(_xll.BDP($C1751, VOLUME_AVG_6M), 4) = "#N/A", "",  _xll.BDP($C1751, VOLUME_AVG_6M))</f>
        <v/>
      </c>
      <c r="AC1751" s="31" t="str" cm="1">
        <f t="array" ref="AC1751">IF(LEFT(_xll.BDP($C1751, VOLUME_AVG_12M), 4) = "#N/A", "",  _xll.BDP($C1751, VOLUME_AVG_12M))</f>
        <v/>
      </c>
      <c r="AD1751" s="41" t="str" cm="1">
        <f t="array" ref="AD1751">IF(LEFT(_xll.BDP($C1751, LAST_PRICE), 4) = "#N/A", "",  _xll.BDP($C1751, LAST_PRICE))</f>
        <v/>
      </c>
    </row>
    <row r="1752" spans="1:30" x14ac:dyDescent="0.35">
      <c r="A1752" s="1" t="str">
        <f t="shared" si="27"/>
        <v/>
      </c>
      <c r="B1752" s="30"/>
      <c r="C1752" s="29"/>
      <c r="D1752" s="29"/>
      <c r="E1752" s="29"/>
      <c r="F1752" s="29"/>
      <c r="G1752" s="30"/>
      <c r="H1752" s="31"/>
      <c r="I1752" s="31"/>
      <c r="J1752" s="32"/>
      <c r="K1752" s="33"/>
      <c r="L1752" s="31"/>
      <c r="M1752" s="32"/>
      <c r="N1752" s="31"/>
      <c r="O1752" s="36"/>
      <c r="P1752" s="34"/>
      <c r="Q1752" s="34"/>
      <c r="R1752" s="34"/>
      <c r="S1752" s="29"/>
      <c r="T1752" s="35"/>
      <c r="U1752" s="35"/>
      <c r="V1752" s="35"/>
      <c r="W1752" s="35"/>
      <c r="Y1752" s="31" t="str" cm="1">
        <f t="array" ref="Y1752">IF(LEFT(_xll.BDP($C1752, VOLUME_AVG_10D), 4) = "#N/A", "",  _xll.BDP($C1752, VOLUME_AVG_10D))</f>
        <v/>
      </c>
      <c r="Z1752" s="31" t="str" cm="1">
        <f t="array" ref="Z1752">IF(LEFT(_xll.BDP($C1752, VOLUME_AVG_30D), 4) = "#N/A", "",  _xll.BDP($C1752, VOLUME_AVG_30D))</f>
        <v/>
      </c>
      <c r="AA1752" s="31" t="str" cm="1">
        <f t="array" ref="AA1752">IF(LEFT(_xll.BDP($C1752, VOLUME_AVG_3M), 4) = "#N/A", "",  _xll.BDP($C1752, VOLUME_AVG_3M))</f>
        <v/>
      </c>
      <c r="AB1752" s="31" t="str" cm="1">
        <f t="array" ref="AB1752">IF(LEFT(_xll.BDP($C1752, VOLUME_AVG_6M), 4) = "#N/A", "",  _xll.BDP($C1752, VOLUME_AVG_6M))</f>
        <v/>
      </c>
      <c r="AC1752" s="31" t="str" cm="1">
        <f t="array" ref="AC1752">IF(LEFT(_xll.BDP($C1752, VOLUME_AVG_12M), 4) = "#N/A", "",  _xll.BDP($C1752, VOLUME_AVG_12M))</f>
        <v/>
      </c>
      <c r="AD1752" s="41" t="str" cm="1">
        <f t="array" ref="AD1752">IF(LEFT(_xll.BDP($C1752, LAST_PRICE), 4) = "#N/A", "",  _xll.BDP($C1752, LAST_PRICE))</f>
        <v/>
      </c>
    </row>
    <row r="1753" spans="1:30" x14ac:dyDescent="0.35">
      <c r="A1753" s="1" t="str">
        <f t="shared" si="27"/>
        <v/>
      </c>
      <c r="B1753" s="30"/>
      <c r="C1753" s="29"/>
      <c r="D1753" s="29"/>
      <c r="E1753" s="29"/>
      <c r="F1753" s="29"/>
      <c r="G1753" s="30"/>
      <c r="H1753" s="31"/>
      <c r="I1753" s="31"/>
      <c r="J1753" s="32"/>
      <c r="K1753" s="33"/>
      <c r="L1753" s="31"/>
      <c r="M1753" s="32"/>
      <c r="N1753" s="31"/>
      <c r="O1753" s="36"/>
      <c r="P1753" s="34"/>
      <c r="Q1753" s="34"/>
      <c r="R1753" s="34"/>
      <c r="S1753" s="29"/>
      <c r="T1753" s="35"/>
      <c r="U1753" s="35"/>
      <c r="V1753" s="35"/>
      <c r="W1753" s="35"/>
      <c r="Y1753" s="31" t="str" cm="1">
        <f t="array" ref="Y1753">IF(LEFT(_xll.BDP($C1753, VOLUME_AVG_10D), 4) = "#N/A", "",  _xll.BDP($C1753, VOLUME_AVG_10D))</f>
        <v/>
      </c>
      <c r="Z1753" s="31" t="str" cm="1">
        <f t="array" ref="Z1753">IF(LEFT(_xll.BDP($C1753, VOLUME_AVG_30D), 4) = "#N/A", "",  _xll.BDP($C1753, VOLUME_AVG_30D))</f>
        <v/>
      </c>
      <c r="AA1753" s="31" t="str" cm="1">
        <f t="array" ref="AA1753">IF(LEFT(_xll.BDP($C1753, VOLUME_AVG_3M), 4) = "#N/A", "",  _xll.BDP($C1753, VOLUME_AVG_3M))</f>
        <v/>
      </c>
      <c r="AB1753" s="31" t="str" cm="1">
        <f t="array" ref="AB1753">IF(LEFT(_xll.BDP($C1753, VOLUME_AVG_6M), 4) = "#N/A", "",  _xll.BDP($C1753, VOLUME_AVG_6M))</f>
        <v/>
      </c>
      <c r="AC1753" s="31" t="str" cm="1">
        <f t="array" ref="AC1753">IF(LEFT(_xll.BDP($C1753, VOLUME_AVG_12M), 4) = "#N/A", "",  _xll.BDP($C1753, VOLUME_AVG_12M))</f>
        <v/>
      </c>
      <c r="AD1753" s="41" t="str" cm="1">
        <f t="array" ref="AD1753">IF(LEFT(_xll.BDP($C1753, LAST_PRICE), 4) = "#N/A", "",  _xll.BDP($C1753, LAST_PRICE))</f>
        <v/>
      </c>
    </row>
    <row r="1754" spans="1:30" x14ac:dyDescent="0.35">
      <c r="A1754" s="1" t="str">
        <f t="shared" si="27"/>
        <v/>
      </c>
      <c r="B1754" s="30"/>
      <c r="C1754" s="29"/>
      <c r="D1754" s="29"/>
      <c r="E1754" s="29"/>
      <c r="F1754" s="29"/>
      <c r="G1754" s="30"/>
      <c r="H1754" s="31"/>
      <c r="I1754" s="31"/>
      <c r="J1754" s="32"/>
      <c r="K1754" s="33"/>
      <c r="L1754" s="31"/>
      <c r="M1754" s="32"/>
      <c r="N1754" s="31"/>
      <c r="O1754" s="36"/>
      <c r="P1754" s="34"/>
      <c r="Q1754" s="34"/>
      <c r="R1754" s="34"/>
      <c r="S1754" s="29"/>
      <c r="T1754" s="35"/>
      <c r="U1754" s="35"/>
      <c r="V1754" s="35"/>
      <c r="W1754" s="35"/>
      <c r="Y1754" s="31" t="str" cm="1">
        <f t="array" ref="Y1754">IF(LEFT(_xll.BDP($C1754, VOLUME_AVG_10D), 4) = "#N/A", "",  _xll.BDP($C1754, VOLUME_AVG_10D))</f>
        <v/>
      </c>
      <c r="Z1754" s="31" t="str" cm="1">
        <f t="array" ref="Z1754">IF(LEFT(_xll.BDP($C1754, VOLUME_AVG_30D), 4) = "#N/A", "",  _xll.BDP($C1754, VOLUME_AVG_30D))</f>
        <v/>
      </c>
      <c r="AA1754" s="31" t="str" cm="1">
        <f t="array" ref="AA1754">IF(LEFT(_xll.BDP($C1754, VOLUME_AVG_3M), 4) = "#N/A", "",  _xll.BDP($C1754, VOLUME_AVG_3M))</f>
        <v/>
      </c>
      <c r="AB1754" s="31" t="str" cm="1">
        <f t="array" ref="AB1754">IF(LEFT(_xll.BDP($C1754, VOLUME_AVG_6M), 4) = "#N/A", "",  _xll.BDP($C1754, VOLUME_AVG_6M))</f>
        <v/>
      </c>
      <c r="AC1754" s="31" t="str" cm="1">
        <f t="array" ref="AC1754">IF(LEFT(_xll.BDP($C1754, VOLUME_AVG_12M), 4) = "#N/A", "",  _xll.BDP($C1754, VOLUME_AVG_12M))</f>
        <v/>
      </c>
      <c r="AD1754" s="41" t="str" cm="1">
        <f t="array" ref="AD1754">IF(LEFT(_xll.BDP($C1754, LAST_PRICE), 4) = "#N/A", "",  _xll.BDP($C1754, LAST_PRICE))</f>
        <v/>
      </c>
    </row>
    <row r="1755" spans="1:30" x14ac:dyDescent="0.35">
      <c r="A1755" s="1" t="str">
        <f t="shared" si="27"/>
        <v/>
      </c>
      <c r="B1755" s="30"/>
      <c r="C1755" s="29"/>
      <c r="D1755" s="29"/>
      <c r="E1755" s="29"/>
      <c r="F1755" s="29"/>
      <c r="G1755" s="30"/>
      <c r="H1755" s="31"/>
      <c r="I1755" s="31"/>
      <c r="J1755" s="32"/>
      <c r="K1755" s="33"/>
      <c r="L1755" s="31"/>
      <c r="M1755" s="32"/>
      <c r="N1755" s="31"/>
      <c r="O1755" s="36"/>
      <c r="P1755" s="34"/>
      <c r="Q1755" s="34"/>
      <c r="R1755" s="34"/>
      <c r="S1755" s="29"/>
      <c r="T1755" s="35"/>
      <c r="U1755" s="35"/>
      <c r="V1755" s="35"/>
      <c r="W1755" s="35"/>
      <c r="Y1755" s="31" t="str" cm="1">
        <f t="array" ref="Y1755">IF(LEFT(_xll.BDP($C1755, VOLUME_AVG_10D), 4) = "#N/A", "",  _xll.BDP($C1755, VOLUME_AVG_10D))</f>
        <v/>
      </c>
      <c r="Z1755" s="31" t="str" cm="1">
        <f t="array" ref="Z1755">IF(LEFT(_xll.BDP($C1755, VOLUME_AVG_30D), 4) = "#N/A", "",  _xll.BDP($C1755, VOLUME_AVG_30D))</f>
        <v/>
      </c>
      <c r="AA1755" s="31" t="str" cm="1">
        <f t="array" ref="AA1755">IF(LEFT(_xll.BDP($C1755, VOLUME_AVG_3M), 4) = "#N/A", "",  _xll.BDP($C1755, VOLUME_AVG_3M))</f>
        <v/>
      </c>
      <c r="AB1755" s="31" t="str" cm="1">
        <f t="array" ref="AB1755">IF(LEFT(_xll.BDP($C1755, VOLUME_AVG_6M), 4) = "#N/A", "",  _xll.BDP($C1755, VOLUME_AVG_6M))</f>
        <v/>
      </c>
      <c r="AC1755" s="31" t="str" cm="1">
        <f t="array" ref="AC1755">IF(LEFT(_xll.BDP($C1755, VOLUME_AVG_12M), 4) = "#N/A", "",  _xll.BDP($C1755, VOLUME_AVG_12M))</f>
        <v/>
      </c>
      <c r="AD1755" s="41" t="str" cm="1">
        <f t="array" ref="AD1755">IF(LEFT(_xll.BDP($C1755, LAST_PRICE), 4) = "#N/A", "",  _xll.BDP($C1755, LAST_PRICE))</f>
        <v/>
      </c>
    </row>
    <row r="1756" spans="1:30" x14ac:dyDescent="0.35">
      <c r="A1756" s="1" t="str">
        <f t="shared" si="27"/>
        <v/>
      </c>
      <c r="B1756" s="30"/>
      <c r="C1756" s="29"/>
      <c r="D1756" s="29"/>
      <c r="E1756" s="29"/>
      <c r="F1756" s="29"/>
      <c r="G1756" s="30"/>
      <c r="H1756" s="31"/>
      <c r="I1756" s="31"/>
      <c r="J1756" s="32"/>
      <c r="K1756" s="33"/>
      <c r="L1756" s="31"/>
      <c r="M1756" s="32"/>
      <c r="N1756" s="31"/>
      <c r="O1756" s="36"/>
      <c r="P1756" s="34"/>
      <c r="Q1756" s="34"/>
      <c r="R1756" s="34"/>
      <c r="S1756" s="29"/>
      <c r="T1756" s="35"/>
      <c r="U1756" s="35"/>
      <c r="V1756" s="35"/>
      <c r="W1756" s="35"/>
      <c r="Y1756" s="31" t="str" cm="1">
        <f t="array" ref="Y1756">IF(LEFT(_xll.BDP($C1756, VOLUME_AVG_10D), 4) = "#N/A", "",  _xll.BDP($C1756, VOLUME_AVG_10D))</f>
        <v/>
      </c>
      <c r="Z1756" s="31" t="str" cm="1">
        <f t="array" ref="Z1756">IF(LEFT(_xll.BDP($C1756, VOLUME_AVG_30D), 4) = "#N/A", "",  _xll.BDP($C1756, VOLUME_AVG_30D))</f>
        <v/>
      </c>
      <c r="AA1756" s="31" t="str" cm="1">
        <f t="array" ref="AA1756">IF(LEFT(_xll.BDP($C1756, VOLUME_AVG_3M), 4) = "#N/A", "",  _xll.BDP($C1756, VOLUME_AVG_3M))</f>
        <v/>
      </c>
      <c r="AB1756" s="31" t="str" cm="1">
        <f t="array" ref="AB1756">IF(LEFT(_xll.BDP($C1756, VOLUME_AVG_6M), 4) = "#N/A", "",  _xll.BDP($C1756, VOLUME_AVG_6M))</f>
        <v/>
      </c>
      <c r="AC1756" s="31" t="str" cm="1">
        <f t="array" ref="AC1756">IF(LEFT(_xll.BDP($C1756, VOLUME_AVG_12M), 4) = "#N/A", "",  _xll.BDP($C1756, VOLUME_AVG_12M))</f>
        <v/>
      </c>
      <c r="AD1756" s="41" t="str" cm="1">
        <f t="array" ref="AD1756">IF(LEFT(_xll.BDP($C1756, LAST_PRICE), 4) = "#N/A", "",  _xll.BDP($C1756, LAST_PRICE))</f>
        <v/>
      </c>
    </row>
    <row r="1757" spans="1:30" x14ac:dyDescent="0.35">
      <c r="A1757" s="1" t="str">
        <f t="shared" si="27"/>
        <v/>
      </c>
      <c r="B1757" s="30"/>
      <c r="C1757" s="29"/>
      <c r="D1757" s="29"/>
      <c r="E1757" s="29"/>
      <c r="F1757" s="29"/>
      <c r="G1757" s="30"/>
      <c r="H1757" s="31"/>
      <c r="I1757" s="31"/>
      <c r="J1757" s="32"/>
      <c r="K1757" s="33"/>
      <c r="L1757" s="31"/>
      <c r="M1757" s="32"/>
      <c r="N1757" s="31"/>
      <c r="O1757" s="36"/>
      <c r="P1757" s="34"/>
      <c r="Q1757" s="34"/>
      <c r="R1757" s="34"/>
      <c r="S1757" s="29"/>
      <c r="T1757" s="35"/>
      <c r="U1757" s="35"/>
      <c r="V1757" s="35"/>
      <c r="W1757" s="35"/>
      <c r="Y1757" s="31" t="str" cm="1">
        <f t="array" ref="Y1757">IF(LEFT(_xll.BDP($C1757, VOLUME_AVG_10D), 4) = "#N/A", "",  _xll.BDP($C1757, VOLUME_AVG_10D))</f>
        <v/>
      </c>
      <c r="Z1757" s="31" t="str" cm="1">
        <f t="array" ref="Z1757">IF(LEFT(_xll.BDP($C1757, VOLUME_AVG_30D), 4) = "#N/A", "",  _xll.BDP($C1757, VOLUME_AVG_30D))</f>
        <v/>
      </c>
      <c r="AA1757" s="31" t="str" cm="1">
        <f t="array" ref="AA1757">IF(LEFT(_xll.BDP($C1757, VOLUME_AVG_3M), 4) = "#N/A", "",  _xll.BDP($C1757, VOLUME_AVG_3M))</f>
        <v/>
      </c>
      <c r="AB1757" s="31" t="str" cm="1">
        <f t="array" ref="AB1757">IF(LEFT(_xll.BDP($C1757, VOLUME_AVG_6M), 4) = "#N/A", "",  _xll.BDP($C1757, VOLUME_AVG_6M))</f>
        <v/>
      </c>
      <c r="AC1757" s="31" t="str" cm="1">
        <f t="array" ref="AC1757">IF(LEFT(_xll.BDP($C1757, VOLUME_AVG_12M), 4) = "#N/A", "",  _xll.BDP($C1757, VOLUME_AVG_12M))</f>
        <v/>
      </c>
      <c r="AD1757" s="41" t="str" cm="1">
        <f t="array" ref="AD1757">IF(LEFT(_xll.BDP($C1757, LAST_PRICE), 4) = "#N/A", "",  _xll.BDP($C1757, LAST_PRICE))</f>
        <v/>
      </c>
    </row>
    <row r="1758" spans="1:30" x14ac:dyDescent="0.35">
      <c r="A1758" s="1" t="str">
        <f t="shared" si="27"/>
        <v/>
      </c>
      <c r="B1758" s="30"/>
      <c r="C1758" s="29"/>
      <c r="D1758" s="29"/>
      <c r="E1758" s="29"/>
      <c r="F1758" s="29"/>
      <c r="G1758" s="30"/>
      <c r="H1758" s="31"/>
      <c r="I1758" s="31"/>
      <c r="J1758" s="32"/>
      <c r="K1758" s="33"/>
      <c r="L1758" s="31"/>
      <c r="M1758" s="32"/>
      <c r="N1758" s="31"/>
      <c r="O1758" s="36"/>
      <c r="P1758" s="34"/>
      <c r="Q1758" s="34"/>
      <c r="R1758" s="34"/>
      <c r="S1758" s="29"/>
      <c r="T1758" s="35"/>
      <c r="U1758" s="35"/>
      <c r="V1758" s="35"/>
      <c r="W1758" s="35"/>
      <c r="Y1758" s="31" t="str" cm="1">
        <f t="array" ref="Y1758">IF(LEFT(_xll.BDP($C1758, VOLUME_AVG_10D), 4) = "#N/A", "",  _xll.BDP($C1758, VOLUME_AVG_10D))</f>
        <v/>
      </c>
      <c r="Z1758" s="31" t="str" cm="1">
        <f t="array" ref="Z1758">IF(LEFT(_xll.BDP($C1758, VOLUME_AVG_30D), 4) = "#N/A", "",  _xll.BDP($C1758, VOLUME_AVG_30D))</f>
        <v/>
      </c>
      <c r="AA1758" s="31" t="str" cm="1">
        <f t="array" ref="AA1758">IF(LEFT(_xll.BDP($C1758, VOLUME_AVG_3M), 4) = "#N/A", "",  _xll.BDP($C1758, VOLUME_AVG_3M))</f>
        <v/>
      </c>
      <c r="AB1758" s="31" t="str" cm="1">
        <f t="array" ref="AB1758">IF(LEFT(_xll.BDP($C1758, VOLUME_AVG_6M), 4) = "#N/A", "",  _xll.BDP($C1758, VOLUME_AVG_6M))</f>
        <v/>
      </c>
      <c r="AC1758" s="31" t="str" cm="1">
        <f t="array" ref="AC1758">IF(LEFT(_xll.BDP($C1758, VOLUME_AVG_12M), 4) = "#N/A", "",  _xll.BDP($C1758, VOLUME_AVG_12M))</f>
        <v/>
      </c>
      <c r="AD1758" s="41" t="str" cm="1">
        <f t="array" ref="AD1758">IF(LEFT(_xll.BDP($C1758, LAST_PRICE), 4) = "#N/A", "",  _xll.BDP($C1758, LAST_PRICE))</f>
        <v/>
      </c>
    </row>
    <row r="1759" spans="1:30" x14ac:dyDescent="0.35">
      <c r="A1759" s="1" t="str">
        <f t="shared" si="27"/>
        <v/>
      </c>
      <c r="B1759" s="30"/>
      <c r="C1759" s="29"/>
      <c r="D1759" s="29"/>
      <c r="E1759" s="29"/>
      <c r="F1759" s="29"/>
      <c r="G1759" s="30"/>
      <c r="H1759" s="31"/>
      <c r="I1759" s="31"/>
      <c r="J1759" s="32"/>
      <c r="K1759" s="33"/>
      <c r="L1759" s="31"/>
      <c r="M1759" s="32"/>
      <c r="N1759" s="31"/>
      <c r="O1759" s="36"/>
      <c r="P1759" s="34"/>
      <c r="Q1759" s="34"/>
      <c r="R1759" s="34"/>
      <c r="S1759" s="29"/>
      <c r="T1759" s="35"/>
      <c r="U1759" s="35"/>
      <c r="V1759" s="35"/>
      <c r="W1759" s="35"/>
      <c r="Y1759" s="31" t="str" cm="1">
        <f t="array" ref="Y1759">IF(LEFT(_xll.BDP($C1759, VOLUME_AVG_10D), 4) = "#N/A", "",  _xll.BDP($C1759, VOLUME_AVG_10D))</f>
        <v/>
      </c>
      <c r="Z1759" s="31" t="str" cm="1">
        <f t="array" ref="Z1759">IF(LEFT(_xll.BDP($C1759, VOLUME_AVG_30D), 4) = "#N/A", "",  _xll.BDP($C1759, VOLUME_AVG_30D))</f>
        <v/>
      </c>
      <c r="AA1759" s="31" t="str" cm="1">
        <f t="array" ref="AA1759">IF(LEFT(_xll.BDP($C1759, VOLUME_AVG_3M), 4) = "#N/A", "",  _xll.BDP($C1759, VOLUME_AVG_3M))</f>
        <v/>
      </c>
      <c r="AB1759" s="31" t="str" cm="1">
        <f t="array" ref="AB1759">IF(LEFT(_xll.BDP($C1759, VOLUME_AVG_6M), 4) = "#N/A", "",  _xll.BDP($C1759, VOLUME_AVG_6M))</f>
        <v/>
      </c>
      <c r="AC1759" s="31" t="str" cm="1">
        <f t="array" ref="AC1759">IF(LEFT(_xll.BDP($C1759, VOLUME_AVG_12M), 4) = "#N/A", "",  _xll.BDP($C1759, VOLUME_AVG_12M))</f>
        <v/>
      </c>
      <c r="AD1759" s="41" t="str" cm="1">
        <f t="array" ref="AD1759">IF(LEFT(_xll.BDP($C1759, LAST_PRICE), 4) = "#N/A", "",  _xll.BDP($C1759, LAST_PRICE))</f>
        <v/>
      </c>
    </row>
    <row r="1760" spans="1:30" x14ac:dyDescent="0.35">
      <c r="A1760" s="1" t="str">
        <f t="shared" si="27"/>
        <v/>
      </c>
      <c r="B1760" s="30"/>
      <c r="C1760" s="29"/>
      <c r="D1760" s="29"/>
      <c r="E1760" s="29"/>
      <c r="F1760" s="29"/>
      <c r="G1760" s="30"/>
      <c r="H1760" s="31"/>
      <c r="I1760" s="31"/>
      <c r="J1760" s="32"/>
      <c r="K1760" s="33"/>
      <c r="L1760" s="31"/>
      <c r="M1760" s="32"/>
      <c r="N1760" s="31"/>
      <c r="O1760" s="36"/>
      <c r="P1760" s="34"/>
      <c r="Q1760" s="34"/>
      <c r="R1760" s="34"/>
      <c r="S1760" s="29"/>
      <c r="T1760" s="35"/>
      <c r="U1760" s="35"/>
      <c r="V1760" s="35"/>
      <c r="W1760" s="35"/>
      <c r="Y1760" s="31" t="str" cm="1">
        <f t="array" ref="Y1760">IF(LEFT(_xll.BDP($C1760, VOLUME_AVG_10D), 4) = "#N/A", "",  _xll.BDP($C1760, VOLUME_AVG_10D))</f>
        <v/>
      </c>
      <c r="Z1760" s="31" t="str" cm="1">
        <f t="array" ref="Z1760">IF(LEFT(_xll.BDP($C1760, VOLUME_AVG_30D), 4) = "#N/A", "",  _xll.BDP($C1760, VOLUME_AVG_30D))</f>
        <v/>
      </c>
      <c r="AA1760" s="31" t="str" cm="1">
        <f t="array" ref="AA1760">IF(LEFT(_xll.BDP($C1760, VOLUME_AVG_3M), 4) = "#N/A", "",  _xll.BDP($C1760, VOLUME_AVG_3M))</f>
        <v/>
      </c>
      <c r="AB1760" s="31" t="str" cm="1">
        <f t="array" ref="AB1760">IF(LEFT(_xll.BDP($C1760, VOLUME_AVG_6M), 4) = "#N/A", "",  _xll.BDP($C1760, VOLUME_AVG_6M))</f>
        <v/>
      </c>
      <c r="AC1760" s="31" t="str" cm="1">
        <f t="array" ref="AC1760">IF(LEFT(_xll.BDP($C1760, VOLUME_AVG_12M), 4) = "#N/A", "",  _xll.BDP($C1760, VOLUME_AVG_12M))</f>
        <v/>
      </c>
      <c r="AD1760" s="41" t="str" cm="1">
        <f t="array" ref="AD1760">IF(LEFT(_xll.BDP($C1760, LAST_PRICE), 4) = "#N/A", "",  _xll.BDP($C1760, LAST_PRICE))</f>
        <v/>
      </c>
    </row>
    <row r="1761" spans="1:30" x14ac:dyDescent="0.35">
      <c r="A1761" s="1" t="str">
        <f t="shared" si="27"/>
        <v/>
      </c>
      <c r="B1761" s="30"/>
      <c r="C1761" s="29"/>
      <c r="D1761" s="29"/>
      <c r="E1761" s="29"/>
      <c r="F1761" s="29"/>
      <c r="G1761" s="30"/>
      <c r="H1761" s="31"/>
      <c r="I1761" s="31"/>
      <c r="J1761" s="32"/>
      <c r="K1761" s="33"/>
      <c r="L1761" s="31"/>
      <c r="M1761" s="32"/>
      <c r="N1761" s="31"/>
      <c r="O1761" s="36"/>
      <c r="P1761" s="34"/>
      <c r="Q1761" s="34"/>
      <c r="R1761" s="34"/>
      <c r="S1761" s="29"/>
      <c r="T1761" s="35"/>
      <c r="U1761" s="35"/>
      <c r="V1761" s="35"/>
      <c r="W1761" s="35"/>
      <c r="Y1761" s="31" t="str" cm="1">
        <f t="array" ref="Y1761">IF(LEFT(_xll.BDP($C1761, VOLUME_AVG_10D), 4) = "#N/A", "",  _xll.BDP($C1761, VOLUME_AVG_10D))</f>
        <v/>
      </c>
      <c r="Z1761" s="31" t="str" cm="1">
        <f t="array" ref="Z1761">IF(LEFT(_xll.BDP($C1761, VOLUME_AVG_30D), 4) = "#N/A", "",  _xll.BDP($C1761, VOLUME_AVG_30D))</f>
        <v/>
      </c>
      <c r="AA1761" s="31" t="str" cm="1">
        <f t="array" ref="AA1761">IF(LEFT(_xll.BDP($C1761, VOLUME_AVG_3M), 4) = "#N/A", "",  _xll.BDP($C1761, VOLUME_AVG_3M))</f>
        <v/>
      </c>
      <c r="AB1761" s="31" t="str" cm="1">
        <f t="array" ref="AB1761">IF(LEFT(_xll.BDP($C1761, VOLUME_AVG_6M), 4) = "#N/A", "",  _xll.BDP($C1761, VOLUME_AVG_6M))</f>
        <v/>
      </c>
      <c r="AC1761" s="31" t="str" cm="1">
        <f t="array" ref="AC1761">IF(LEFT(_xll.BDP($C1761, VOLUME_AVG_12M), 4) = "#N/A", "",  _xll.BDP($C1761, VOLUME_AVG_12M))</f>
        <v/>
      </c>
      <c r="AD1761" s="41" t="str" cm="1">
        <f t="array" ref="AD1761">IF(LEFT(_xll.BDP($C1761, LAST_PRICE), 4) = "#N/A", "",  _xll.BDP($C1761, LAST_PRICE))</f>
        <v/>
      </c>
    </row>
    <row r="1762" spans="1:30" x14ac:dyDescent="0.35">
      <c r="A1762" s="1" t="str">
        <f t="shared" si="27"/>
        <v/>
      </c>
      <c r="B1762" s="30"/>
      <c r="C1762" s="29"/>
      <c r="D1762" s="29"/>
      <c r="E1762" s="29"/>
      <c r="F1762" s="29"/>
      <c r="G1762" s="30"/>
      <c r="H1762" s="31"/>
      <c r="I1762" s="31"/>
      <c r="J1762" s="32"/>
      <c r="K1762" s="33"/>
      <c r="L1762" s="31"/>
      <c r="M1762" s="32"/>
      <c r="N1762" s="31"/>
      <c r="O1762" s="36"/>
      <c r="P1762" s="34"/>
      <c r="Q1762" s="34"/>
      <c r="R1762" s="34"/>
      <c r="S1762" s="29"/>
      <c r="T1762" s="35"/>
      <c r="U1762" s="35"/>
      <c r="V1762" s="35"/>
      <c r="W1762" s="35"/>
      <c r="Y1762" s="31" t="str" cm="1">
        <f t="array" ref="Y1762">IF(LEFT(_xll.BDP($C1762, VOLUME_AVG_10D), 4) = "#N/A", "",  _xll.BDP($C1762, VOLUME_AVG_10D))</f>
        <v/>
      </c>
      <c r="Z1762" s="31" t="str" cm="1">
        <f t="array" ref="Z1762">IF(LEFT(_xll.BDP($C1762, VOLUME_AVG_30D), 4) = "#N/A", "",  _xll.BDP($C1762, VOLUME_AVG_30D))</f>
        <v/>
      </c>
      <c r="AA1762" s="31" t="str" cm="1">
        <f t="array" ref="AA1762">IF(LEFT(_xll.BDP($C1762, VOLUME_AVG_3M), 4) = "#N/A", "",  _xll.BDP($C1762, VOLUME_AVG_3M))</f>
        <v/>
      </c>
      <c r="AB1762" s="31" t="str" cm="1">
        <f t="array" ref="AB1762">IF(LEFT(_xll.BDP($C1762, VOLUME_AVG_6M), 4) = "#N/A", "",  _xll.BDP($C1762, VOLUME_AVG_6M))</f>
        <v/>
      </c>
      <c r="AC1762" s="31" t="str" cm="1">
        <f t="array" ref="AC1762">IF(LEFT(_xll.BDP($C1762, VOLUME_AVG_12M), 4) = "#N/A", "",  _xll.BDP($C1762, VOLUME_AVG_12M))</f>
        <v/>
      </c>
      <c r="AD1762" s="41" t="str" cm="1">
        <f t="array" ref="AD1762">IF(LEFT(_xll.BDP($C1762, LAST_PRICE), 4) = "#N/A", "",  _xll.BDP($C1762, LAST_PRICE))</f>
        <v/>
      </c>
    </row>
    <row r="1763" spans="1:30" x14ac:dyDescent="0.35">
      <c r="A1763" s="1" t="str">
        <f t="shared" si="27"/>
        <v/>
      </c>
      <c r="B1763" s="30"/>
      <c r="C1763" s="29"/>
      <c r="D1763" s="29"/>
      <c r="E1763" s="29"/>
      <c r="F1763" s="29"/>
      <c r="G1763" s="30"/>
      <c r="H1763" s="31"/>
      <c r="I1763" s="31"/>
      <c r="J1763" s="32"/>
      <c r="K1763" s="33"/>
      <c r="L1763" s="31"/>
      <c r="M1763" s="32"/>
      <c r="N1763" s="31"/>
      <c r="O1763" s="36"/>
      <c r="P1763" s="34"/>
      <c r="Q1763" s="34"/>
      <c r="R1763" s="34"/>
      <c r="S1763" s="29"/>
      <c r="T1763" s="35"/>
      <c r="U1763" s="35"/>
      <c r="V1763" s="35"/>
      <c r="W1763" s="35"/>
      <c r="Y1763" s="31" t="str" cm="1">
        <f t="array" ref="Y1763">IF(LEFT(_xll.BDP($C1763, VOLUME_AVG_10D), 4) = "#N/A", "",  _xll.BDP($C1763, VOLUME_AVG_10D))</f>
        <v/>
      </c>
      <c r="Z1763" s="31" t="str" cm="1">
        <f t="array" ref="Z1763">IF(LEFT(_xll.BDP($C1763, VOLUME_AVG_30D), 4) = "#N/A", "",  _xll.BDP($C1763, VOLUME_AVG_30D))</f>
        <v/>
      </c>
      <c r="AA1763" s="31" t="str" cm="1">
        <f t="array" ref="AA1763">IF(LEFT(_xll.BDP($C1763, VOLUME_AVG_3M), 4) = "#N/A", "",  _xll.BDP($C1763, VOLUME_AVG_3M))</f>
        <v/>
      </c>
      <c r="AB1763" s="31" t="str" cm="1">
        <f t="array" ref="AB1763">IF(LEFT(_xll.BDP($C1763, VOLUME_AVG_6M), 4) = "#N/A", "",  _xll.BDP($C1763, VOLUME_AVG_6M))</f>
        <v/>
      </c>
      <c r="AC1763" s="31" t="str" cm="1">
        <f t="array" ref="AC1763">IF(LEFT(_xll.BDP($C1763, VOLUME_AVG_12M), 4) = "#N/A", "",  _xll.BDP($C1763, VOLUME_AVG_12M))</f>
        <v/>
      </c>
      <c r="AD1763" s="41" t="str" cm="1">
        <f t="array" ref="AD1763">IF(LEFT(_xll.BDP($C1763, LAST_PRICE), 4) = "#N/A", "",  _xll.BDP($C1763, LAST_PRICE))</f>
        <v/>
      </c>
    </row>
    <row r="1764" spans="1:30" x14ac:dyDescent="0.35">
      <c r="A1764" s="1" t="str">
        <f t="shared" si="27"/>
        <v/>
      </c>
      <c r="B1764" s="30"/>
      <c r="C1764" s="29"/>
      <c r="D1764" s="29"/>
      <c r="E1764" s="29"/>
      <c r="F1764" s="29"/>
      <c r="G1764" s="30"/>
      <c r="H1764" s="31"/>
      <c r="I1764" s="31"/>
      <c r="J1764" s="32"/>
      <c r="K1764" s="33"/>
      <c r="L1764" s="31"/>
      <c r="M1764" s="32"/>
      <c r="N1764" s="31"/>
      <c r="O1764" s="36"/>
      <c r="P1764" s="34"/>
      <c r="Q1764" s="34"/>
      <c r="R1764" s="34"/>
      <c r="S1764" s="29"/>
      <c r="T1764" s="35"/>
      <c r="U1764" s="35"/>
      <c r="V1764" s="35"/>
      <c r="W1764" s="35"/>
      <c r="Y1764" s="31" t="str" cm="1">
        <f t="array" ref="Y1764">IF(LEFT(_xll.BDP($C1764, VOLUME_AVG_10D), 4) = "#N/A", "",  _xll.BDP($C1764, VOLUME_AVG_10D))</f>
        <v/>
      </c>
      <c r="Z1764" s="31" t="str" cm="1">
        <f t="array" ref="Z1764">IF(LEFT(_xll.BDP($C1764, VOLUME_AVG_30D), 4) = "#N/A", "",  _xll.BDP($C1764, VOLUME_AVG_30D))</f>
        <v/>
      </c>
      <c r="AA1764" s="31" t="str" cm="1">
        <f t="array" ref="AA1764">IF(LEFT(_xll.BDP($C1764, VOLUME_AVG_3M), 4) = "#N/A", "",  _xll.BDP($C1764, VOLUME_AVG_3M))</f>
        <v/>
      </c>
      <c r="AB1764" s="31" t="str" cm="1">
        <f t="array" ref="AB1764">IF(LEFT(_xll.BDP($C1764, VOLUME_AVG_6M), 4) = "#N/A", "",  _xll.BDP($C1764, VOLUME_AVG_6M))</f>
        <v/>
      </c>
      <c r="AC1764" s="31" t="str" cm="1">
        <f t="array" ref="AC1764">IF(LEFT(_xll.BDP($C1764, VOLUME_AVG_12M), 4) = "#N/A", "",  _xll.BDP($C1764, VOLUME_AVG_12M))</f>
        <v/>
      </c>
      <c r="AD1764" s="41" t="str" cm="1">
        <f t="array" ref="AD1764">IF(LEFT(_xll.BDP($C1764, LAST_PRICE), 4) = "#N/A", "",  _xll.BDP($C1764, LAST_PRICE))</f>
        <v/>
      </c>
    </row>
    <row r="1765" spans="1:30" x14ac:dyDescent="0.35">
      <c r="A1765" s="1" t="str">
        <f t="shared" si="27"/>
        <v/>
      </c>
      <c r="B1765" s="30"/>
      <c r="C1765" s="29"/>
      <c r="D1765" s="29"/>
      <c r="E1765" s="29"/>
      <c r="F1765" s="29"/>
      <c r="G1765" s="30"/>
      <c r="H1765" s="31"/>
      <c r="I1765" s="31"/>
      <c r="J1765" s="32"/>
      <c r="K1765" s="33"/>
      <c r="L1765" s="31"/>
      <c r="M1765" s="32"/>
      <c r="N1765" s="31"/>
      <c r="O1765" s="36"/>
      <c r="P1765" s="34"/>
      <c r="Q1765" s="34"/>
      <c r="R1765" s="34"/>
      <c r="S1765" s="29"/>
      <c r="T1765" s="35"/>
      <c r="U1765" s="35"/>
      <c r="V1765" s="35"/>
      <c r="W1765" s="35"/>
      <c r="Y1765" s="31" t="str" cm="1">
        <f t="array" ref="Y1765">IF(LEFT(_xll.BDP($C1765, VOLUME_AVG_10D), 4) = "#N/A", "",  _xll.BDP($C1765, VOLUME_AVG_10D))</f>
        <v/>
      </c>
      <c r="Z1765" s="31" t="str" cm="1">
        <f t="array" ref="Z1765">IF(LEFT(_xll.BDP($C1765, VOLUME_AVG_30D), 4) = "#N/A", "",  _xll.BDP($C1765, VOLUME_AVG_30D))</f>
        <v/>
      </c>
      <c r="AA1765" s="31" t="str" cm="1">
        <f t="array" ref="AA1765">IF(LEFT(_xll.BDP($C1765, VOLUME_AVG_3M), 4) = "#N/A", "",  _xll.BDP($C1765, VOLUME_AVG_3M))</f>
        <v/>
      </c>
      <c r="AB1765" s="31" t="str" cm="1">
        <f t="array" ref="AB1765">IF(LEFT(_xll.BDP($C1765, VOLUME_AVG_6M), 4) = "#N/A", "",  _xll.BDP($C1765, VOLUME_AVG_6M))</f>
        <v/>
      </c>
      <c r="AC1765" s="31" t="str" cm="1">
        <f t="array" ref="AC1765">IF(LEFT(_xll.BDP($C1765, VOLUME_AVG_12M), 4) = "#N/A", "",  _xll.BDP($C1765, VOLUME_AVG_12M))</f>
        <v/>
      </c>
      <c r="AD1765" s="41" t="str" cm="1">
        <f t="array" ref="AD1765">IF(LEFT(_xll.BDP($C1765, LAST_PRICE), 4) = "#N/A", "",  _xll.BDP($C1765, LAST_PRICE))</f>
        <v/>
      </c>
    </row>
    <row r="1766" spans="1:30" x14ac:dyDescent="0.35">
      <c r="A1766" s="1" t="str">
        <f t="shared" si="27"/>
        <v/>
      </c>
      <c r="B1766" s="30"/>
      <c r="C1766" s="29"/>
      <c r="D1766" s="29"/>
      <c r="E1766" s="29"/>
      <c r="F1766" s="29"/>
      <c r="G1766" s="30"/>
      <c r="H1766" s="31"/>
      <c r="I1766" s="31"/>
      <c r="J1766" s="32"/>
      <c r="K1766" s="33"/>
      <c r="L1766" s="31"/>
      <c r="M1766" s="32"/>
      <c r="N1766" s="31"/>
      <c r="O1766" s="36"/>
      <c r="P1766" s="34"/>
      <c r="Q1766" s="34"/>
      <c r="R1766" s="34"/>
      <c r="S1766" s="29"/>
      <c r="T1766" s="35"/>
      <c r="U1766" s="35"/>
      <c r="V1766" s="35"/>
      <c r="W1766" s="35"/>
      <c r="Y1766" s="31" t="str" cm="1">
        <f t="array" ref="Y1766">IF(LEFT(_xll.BDP($C1766, VOLUME_AVG_10D), 4) = "#N/A", "",  _xll.BDP($C1766, VOLUME_AVG_10D))</f>
        <v/>
      </c>
      <c r="Z1766" s="31" t="str" cm="1">
        <f t="array" ref="Z1766">IF(LEFT(_xll.BDP($C1766, VOLUME_AVG_30D), 4) = "#N/A", "",  _xll.BDP($C1766, VOLUME_AVG_30D))</f>
        <v/>
      </c>
      <c r="AA1766" s="31" t="str" cm="1">
        <f t="array" ref="AA1766">IF(LEFT(_xll.BDP($C1766, VOLUME_AVG_3M), 4) = "#N/A", "",  _xll.BDP($C1766, VOLUME_AVG_3M))</f>
        <v/>
      </c>
      <c r="AB1766" s="31" t="str" cm="1">
        <f t="array" ref="AB1766">IF(LEFT(_xll.BDP($C1766, VOLUME_AVG_6M), 4) = "#N/A", "",  _xll.BDP($C1766, VOLUME_AVG_6M))</f>
        <v/>
      </c>
      <c r="AC1766" s="31" t="str" cm="1">
        <f t="array" ref="AC1766">IF(LEFT(_xll.BDP($C1766, VOLUME_AVG_12M), 4) = "#N/A", "",  _xll.BDP($C1766, VOLUME_AVG_12M))</f>
        <v/>
      </c>
      <c r="AD1766" s="41" t="str" cm="1">
        <f t="array" ref="AD1766">IF(LEFT(_xll.BDP($C1766, LAST_PRICE), 4) = "#N/A", "",  _xll.BDP($C1766, LAST_PRICE))</f>
        <v/>
      </c>
    </row>
    <row r="1767" spans="1:30" x14ac:dyDescent="0.35">
      <c r="A1767" s="1" t="str">
        <f t="shared" si="27"/>
        <v/>
      </c>
      <c r="B1767" s="30"/>
      <c r="C1767" s="29"/>
      <c r="D1767" s="29"/>
      <c r="E1767" s="29"/>
      <c r="F1767" s="29"/>
      <c r="G1767" s="30"/>
      <c r="H1767" s="31"/>
      <c r="I1767" s="31"/>
      <c r="J1767" s="32"/>
      <c r="K1767" s="33"/>
      <c r="L1767" s="31"/>
      <c r="M1767" s="32"/>
      <c r="N1767" s="31"/>
      <c r="O1767" s="36"/>
      <c r="P1767" s="34"/>
      <c r="Q1767" s="34"/>
      <c r="R1767" s="34"/>
      <c r="S1767" s="29"/>
      <c r="T1767" s="35"/>
      <c r="U1767" s="35"/>
      <c r="V1767" s="35"/>
      <c r="W1767" s="35"/>
      <c r="Y1767" s="31" t="str" cm="1">
        <f t="array" ref="Y1767">IF(LEFT(_xll.BDP($C1767, VOLUME_AVG_10D), 4) = "#N/A", "",  _xll.BDP($C1767, VOLUME_AVG_10D))</f>
        <v/>
      </c>
      <c r="Z1767" s="31" t="str" cm="1">
        <f t="array" ref="Z1767">IF(LEFT(_xll.BDP($C1767, VOLUME_AVG_30D), 4) = "#N/A", "",  _xll.BDP($C1767, VOLUME_AVG_30D))</f>
        <v/>
      </c>
      <c r="AA1767" s="31" t="str" cm="1">
        <f t="array" ref="AA1767">IF(LEFT(_xll.BDP($C1767, VOLUME_AVG_3M), 4) = "#N/A", "",  _xll.BDP($C1767, VOLUME_AVG_3M))</f>
        <v/>
      </c>
      <c r="AB1767" s="31" t="str" cm="1">
        <f t="array" ref="AB1767">IF(LEFT(_xll.BDP($C1767, VOLUME_AVG_6M), 4) = "#N/A", "",  _xll.BDP($C1767, VOLUME_AVG_6M))</f>
        <v/>
      </c>
      <c r="AC1767" s="31" t="str" cm="1">
        <f t="array" ref="AC1767">IF(LEFT(_xll.BDP($C1767, VOLUME_AVG_12M), 4) = "#N/A", "",  _xll.BDP($C1767, VOLUME_AVG_12M))</f>
        <v/>
      </c>
      <c r="AD1767" s="41" t="str" cm="1">
        <f t="array" ref="AD1767">IF(LEFT(_xll.BDP($C1767, LAST_PRICE), 4) = "#N/A", "",  _xll.BDP($C1767, LAST_PRICE))</f>
        <v/>
      </c>
    </row>
    <row r="1768" spans="1:30" x14ac:dyDescent="0.35">
      <c r="A1768" s="1" t="str">
        <f t="shared" si="27"/>
        <v/>
      </c>
      <c r="B1768" s="30"/>
      <c r="C1768" s="29"/>
      <c r="D1768" s="29"/>
      <c r="E1768" s="29"/>
      <c r="F1768" s="29"/>
      <c r="G1768" s="30"/>
      <c r="H1768" s="31"/>
      <c r="I1768" s="31"/>
      <c r="J1768" s="32"/>
      <c r="K1768" s="33"/>
      <c r="L1768" s="31"/>
      <c r="M1768" s="32"/>
      <c r="N1768" s="31"/>
      <c r="O1768" s="36"/>
      <c r="P1768" s="34"/>
      <c r="Q1768" s="34"/>
      <c r="R1768" s="34"/>
      <c r="S1768" s="29"/>
      <c r="T1768" s="35"/>
      <c r="U1768" s="35"/>
      <c r="V1768" s="35"/>
      <c r="W1768" s="35"/>
      <c r="Y1768" s="31" t="str" cm="1">
        <f t="array" ref="Y1768">IF(LEFT(_xll.BDP($C1768, VOLUME_AVG_10D), 4) = "#N/A", "",  _xll.BDP($C1768, VOLUME_AVG_10D))</f>
        <v/>
      </c>
      <c r="Z1768" s="31" t="str" cm="1">
        <f t="array" ref="Z1768">IF(LEFT(_xll.BDP($C1768, VOLUME_AVG_30D), 4) = "#N/A", "",  _xll.BDP($C1768, VOLUME_AVG_30D))</f>
        <v/>
      </c>
      <c r="AA1768" s="31" t="str" cm="1">
        <f t="array" ref="AA1768">IF(LEFT(_xll.BDP($C1768, VOLUME_AVG_3M), 4) = "#N/A", "",  _xll.BDP($C1768, VOLUME_AVG_3M))</f>
        <v/>
      </c>
      <c r="AB1768" s="31" t="str" cm="1">
        <f t="array" ref="AB1768">IF(LEFT(_xll.BDP($C1768, VOLUME_AVG_6M), 4) = "#N/A", "",  _xll.BDP($C1768, VOLUME_AVG_6M))</f>
        <v/>
      </c>
      <c r="AC1768" s="31" t="str" cm="1">
        <f t="array" ref="AC1768">IF(LEFT(_xll.BDP($C1768, VOLUME_AVG_12M), 4) = "#N/A", "",  _xll.BDP($C1768, VOLUME_AVG_12M))</f>
        <v/>
      </c>
      <c r="AD1768" s="41" t="str" cm="1">
        <f t="array" ref="AD1768">IF(LEFT(_xll.BDP($C1768, LAST_PRICE), 4) = "#N/A", "",  _xll.BDP($C1768, LAST_PRICE))</f>
        <v/>
      </c>
    </row>
    <row r="1769" spans="1:30" x14ac:dyDescent="0.35">
      <c r="A1769" s="1" t="str">
        <f t="shared" si="27"/>
        <v/>
      </c>
      <c r="B1769" s="30"/>
      <c r="C1769" s="29"/>
      <c r="D1769" s="29"/>
      <c r="E1769" s="29"/>
      <c r="F1769" s="29"/>
      <c r="G1769" s="30"/>
      <c r="H1769" s="31"/>
      <c r="I1769" s="31"/>
      <c r="J1769" s="32"/>
      <c r="K1769" s="33"/>
      <c r="L1769" s="31"/>
      <c r="M1769" s="32"/>
      <c r="N1769" s="31"/>
      <c r="O1769" s="36"/>
      <c r="P1769" s="34"/>
      <c r="Q1769" s="34"/>
      <c r="R1769" s="34"/>
      <c r="S1769" s="29"/>
      <c r="T1769" s="35"/>
      <c r="U1769" s="35"/>
      <c r="V1769" s="35"/>
      <c r="W1769" s="35"/>
      <c r="Y1769" s="31" t="str" cm="1">
        <f t="array" ref="Y1769">IF(LEFT(_xll.BDP($C1769, VOLUME_AVG_10D), 4) = "#N/A", "",  _xll.BDP($C1769, VOLUME_AVG_10D))</f>
        <v/>
      </c>
      <c r="Z1769" s="31" t="str" cm="1">
        <f t="array" ref="Z1769">IF(LEFT(_xll.BDP($C1769, VOLUME_AVG_30D), 4) = "#N/A", "",  _xll.BDP($C1769, VOLUME_AVG_30D))</f>
        <v/>
      </c>
      <c r="AA1769" s="31" t="str" cm="1">
        <f t="array" ref="AA1769">IF(LEFT(_xll.BDP($C1769, VOLUME_AVG_3M), 4) = "#N/A", "",  _xll.BDP($C1769, VOLUME_AVG_3M))</f>
        <v/>
      </c>
      <c r="AB1769" s="31" t="str" cm="1">
        <f t="array" ref="AB1769">IF(LEFT(_xll.BDP($C1769, VOLUME_AVG_6M), 4) = "#N/A", "",  _xll.BDP($C1769, VOLUME_AVG_6M))</f>
        <v/>
      </c>
      <c r="AC1769" s="31" t="str" cm="1">
        <f t="array" ref="AC1769">IF(LEFT(_xll.BDP($C1769, VOLUME_AVG_12M), 4) = "#N/A", "",  _xll.BDP($C1769, VOLUME_AVG_12M))</f>
        <v/>
      </c>
      <c r="AD1769" s="41" t="str" cm="1">
        <f t="array" ref="AD1769">IF(LEFT(_xll.BDP($C1769, LAST_PRICE), 4) = "#N/A", "",  _xll.BDP($C1769, LAST_PRICE))</f>
        <v/>
      </c>
    </row>
    <row r="1770" spans="1:30" x14ac:dyDescent="0.35">
      <c r="A1770" s="1" t="str">
        <f t="shared" si="27"/>
        <v/>
      </c>
      <c r="B1770" s="30"/>
      <c r="C1770" s="29"/>
      <c r="D1770" s="29"/>
      <c r="E1770" s="29"/>
      <c r="F1770" s="29"/>
      <c r="G1770" s="30"/>
      <c r="H1770" s="31"/>
      <c r="I1770" s="31"/>
      <c r="J1770" s="32"/>
      <c r="K1770" s="33"/>
      <c r="L1770" s="31"/>
      <c r="M1770" s="32"/>
      <c r="N1770" s="31"/>
      <c r="O1770" s="36"/>
      <c r="P1770" s="34"/>
      <c r="Q1770" s="34"/>
      <c r="R1770" s="34"/>
      <c r="S1770" s="29"/>
      <c r="T1770" s="35"/>
      <c r="U1770" s="35"/>
      <c r="V1770" s="35"/>
      <c r="W1770" s="35"/>
      <c r="Y1770" s="31" t="str" cm="1">
        <f t="array" ref="Y1770">IF(LEFT(_xll.BDP($C1770, VOLUME_AVG_10D), 4) = "#N/A", "",  _xll.BDP($C1770, VOLUME_AVG_10D))</f>
        <v/>
      </c>
      <c r="Z1770" s="31" t="str" cm="1">
        <f t="array" ref="Z1770">IF(LEFT(_xll.BDP($C1770, VOLUME_AVG_30D), 4) = "#N/A", "",  _xll.BDP($C1770, VOLUME_AVG_30D))</f>
        <v/>
      </c>
      <c r="AA1770" s="31" t="str" cm="1">
        <f t="array" ref="AA1770">IF(LEFT(_xll.BDP($C1770, VOLUME_AVG_3M), 4) = "#N/A", "",  _xll.BDP($C1770, VOLUME_AVG_3M))</f>
        <v/>
      </c>
      <c r="AB1770" s="31" t="str" cm="1">
        <f t="array" ref="AB1770">IF(LEFT(_xll.BDP($C1770, VOLUME_AVG_6M), 4) = "#N/A", "",  _xll.BDP($C1770, VOLUME_AVG_6M))</f>
        <v/>
      </c>
      <c r="AC1770" s="31" t="str" cm="1">
        <f t="array" ref="AC1770">IF(LEFT(_xll.BDP($C1770, VOLUME_AVG_12M), 4) = "#N/A", "",  _xll.BDP($C1770, VOLUME_AVG_12M))</f>
        <v/>
      </c>
      <c r="AD1770" s="41" t="str" cm="1">
        <f t="array" ref="AD1770">IF(LEFT(_xll.BDP($C1770, LAST_PRICE), 4) = "#N/A", "",  _xll.BDP($C1770, LAST_PRICE))</f>
        <v/>
      </c>
    </row>
    <row r="1771" spans="1:30" x14ac:dyDescent="0.35">
      <c r="A1771" s="1" t="str">
        <f t="shared" si="27"/>
        <v/>
      </c>
      <c r="B1771" s="30"/>
      <c r="C1771" s="29"/>
      <c r="D1771" s="29"/>
      <c r="E1771" s="29"/>
      <c r="F1771" s="29"/>
      <c r="G1771" s="30"/>
      <c r="H1771" s="31"/>
      <c r="I1771" s="31"/>
      <c r="J1771" s="32"/>
      <c r="K1771" s="33"/>
      <c r="L1771" s="31"/>
      <c r="M1771" s="32"/>
      <c r="N1771" s="31"/>
      <c r="O1771" s="36"/>
      <c r="P1771" s="34"/>
      <c r="Q1771" s="34"/>
      <c r="R1771" s="34"/>
      <c r="S1771" s="29"/>
      <c r="T1771" s="35"/>
      <c r="U1771" s="35"/>
      <c r="V1771" s="35"/>
      <c r="W1771" s="35"/>
      <c r="Y1771" s="31" t="str" cm="1">
        <f t="array" ref="Y1771">IF(LEFT(_xll.BDP($C1771, VOLUME_AVG_10D), 4) = "#N/A", "",  _xll.BDP($C1771, VOLUME_AVG_10D))</f>
        <v/>
      </c>
      <c r="Z1771" s="31" t="str" cm="1">
        <f t="array" ref="Z1771">IF(LEFT(_xll.BDP($C1771, VOLUME_AVG_30D), 4) = "#N/A", "",  _xll.BDP($C1771, VOLUME_AVG_30D))</f>
        <v/>
      </c>
      <c r="AA1771" s="31" t="str" cm="1">
        <f t="array" ref="AA1771">IF(LEFT(_xll.BDP($C1771, VOLUME_AVG_3M), 4) = "#N/A", "",  _xll.BDP($C1771, VOLUME_AVG_3M))</f>
        <v/>
      </c>
      <c r="AB1771" s="31" t="str" cm="1">
        <f t="array" ref="AB1771">IF(LEFT(_xll.BDP($C1771, VOLUME_AVG_6M), 4) = "#N/A", "",  _xll.BDP($C1771, VOLUME_AVG_6M))</f>
        <v/>
      </c>
      <c r="AC1771" s="31" t="str" cm="1">
        <f t="array" ref="AC1771">IF(LEFT(_xll.BDP($C1771, VOLUME_AVG_12M), 4) = "#N/A", "",  _xll.BDP($C1771, VOLUME_AVG_12M))</f>
        <v/>
      </c>
      <c r="AD1771" s="41" t="str" cm="1">
        <f t="array" ref="AD1771">IF(LEFT(_xll.BDP($C1771, LAST_PRICE), 4) = "#N/A", "",  _xll.BDP($C1771, LAST_PRICE))</f>
        <v/>
      </c>
    </row>
    <row r="1772" spans="1:30" x14ac:dyDescent="0.35">
      <c r="A1772" s="1" t="str">
        <f t="shared" si="27"/>
        <v/>
      </c>
      <c r="B1772" s="30"/>
      <c r="C1772" s="29"/>
      <c r="D1772" s="29"/>
      <c r="E1772" s="29"/>
      <c r="F1772" s="29"/>
      <c r="G1772" s="30"/>
      <c r="H1772" s="31"/>
      <c r="I1772" s="31"/>
      <c r="J1772" s="32"/>
      <c r="K1772" s="33"/>
      <c r="L1772" s="31"/>
      <c r="M1772" s="32"/>
      <c r="N1772" s="31"/>
      <c r="O1772" s="36"/>
      <c r="P1772" s="34"/>
      <c r="Q1772" s="34"/>
      <c r="R1772" s="34"/>
      <c r="S1772" s="29"/>
      <c r="T1772" s="35"/>
      <c r="U1772" s="35"/>
      <c r="V1772" s="35"/>
      <c r="W1772" s="35"/>
      <c r="Y1772" s="31" t="str" cm="1">
        <f t="array" ref="Y1772">IF(LEFT(_xll.BDP($C1772, VOLUME_AVG_10D), 4) = "#N/A", "",  _xll.BDP($C1772, VOLUME_AVG_10D))</f>
        <v/>
      </c>
      <c r="Z1772" s="31" t="str" cm="1">
        <f t="array" ref="Z1772">IF(LEFT(_xll.BDP($C1772, VOLUME_AVG_30D), 4) = "#N/A", "",  _xll.BDP($C1772, VOLUME_AVG_30D))</f>
        <v/>
      </c>
      <c r="AA1772" s="31" t="str" cm="1">
        <f t="array" ref="AA1772">IF(LEFT(_xll.BDP($C1772, VOLUME_AVG_3M), 4) = "#N/A", "",  _xll.BDP($C1772, VOLUME_AVG_3M))</f>
        <v/>
      </c>
      <c r="AB1772" s="31" t="str" cm="1">
        <f t="array" ref="AB1772">IF(LEFT(_xll.BDP($C1772, VOLUME_AVG_6M), 4) = "#N/A", "",  _xll.BDP($C1772, VOLUME_AVG_6M))</f>
        <v/>
      </c>
      <c r="AC1772" s="31" t="str" cm="1">
        <f t="array" ref="AC1772">IF(LEFT(_xll.BDP($C1772, VOLUME_AVG_12M), 4) = "#N/A", "",  _xll.BDP($C1772, VOLUME_AVG_12M))</f>
        <v/>
      </c>
      <c r="AD1772" s="41" t="str" cm="1">
        <f t="array" ref="AD1772">IF(LEFT(_xll.BDP($C1772, LAST_PRICE), 4) = "#N/A", "",  _xll.BDP($C1772, LAST_PRICE))</f>
        <v/>
      </c>
    </row>
    <row r="1773" spans="1:30" x14ac:dyDescent="0.35">
      <c r="A1773" s="1" t="str">
        <f t="shared" si="27"/>
        <v/>
      </c>
      <c r="B1773" s="30"/>
      <c r="C1773" s="29"/>
      <c r="D1773" s="29"/>
      <c r="E1773" s="29"/>
      <c r="F1773" s="29"/>
      <c r="G1773" s="30"/>
      <c r="H1773" s="31"/>
      <c r="I1773" s="31"/>
      <c r="J1773" s="32"/>
      <c r="K1773" s="33"/>
      <c r="L1773" s="31"/>
      <c r="M1773" s="32"/>
      <c r="N1773" s="31"/>
      <c r="O1773" s="36"/>
      <c r="P1773" s="34"/>
      <c r="Q1773" s="34"/>
      <c r="R1773" s="34"/>
      <c r="S1773" s="29"/>
      <c r="T1773" s="35"/>
      <c r="U1773" s="35"/>
      <c r="V1773" s="35"/>
      <c r="W1773" s="35"/>
      <c r="Y1773" s="31" t="str" cm="1">
        <f t="array" ref="Y1773">IF(LEFT(_xll.BDP($C1773, VOLUME_AVG_10D), 4) = "#N/A", "",  _xll.BDP($C1773, VOLUME_AVG_10D))</f>
        <v/>
      </c>
      <c r="Z1773" s="31" t="str" cm="1">
        <f t="array" ref="Z1773">IF(LEFT(_xll.BDP($C1773, VOLUME_AVG_30D), 4) = "#N/A", "",  _xll.BDP($C1773, VOLUME_AVG_30D))</f>
        <v/>
      </c>
      <c r="AA1773" s="31" t="str" cm="1">
        <f t="array" ref="AA1773">IF(LEFT(_xll.BDP($C1773, VOLUME_AVG_3M), 4) = "#N/A", "",  _xll.BDP($C1773, VOLUME_AVG_3M))</f>
        <v/>
      </c>
      <c r="AB1773" s="31" t="str" cm="1">
        <f t="array" ref="AB1773">IF(LEFT(_xll.BDP($C1773, VOLUME_AVG_6M), 4) = "#N/A", "",  _xll.BDP($C1773, VOLUME_AVG_6M))</f>
        <v/>
      </c>
      <c r="AC1773" s="31" t="str" cm="1">
        <f t="array" ref="AC1773">IF(LEFT(_xll.BDP($C1773, VOLUME_AVG_12M), 4) = "#N/A", "",  _xll.BDP($C1773, VOLUME_AVG_12M))</f>
        <v/>
      </c>
      <c r="AD1773" s="41" t="str" cm="1">
        <f t="array" ref="AD1773">IF(LEFT(_xll.BDP($C1773, LAST_PRICE), 4) = "#N/A", "",  _xll.BDP($C1773, LAST_PRICE))</f>
        <v/>
      </c>
    </row>
    <row r="1774" spans="1:30" x14ac:dyDescent="0.35">
      <c r="A1774" s="1" t="str">
        <f t="shared" si="27"/>
        <v/>
      </c>
      <c r="B1774" s="30"/>
      <c r="C1774" s="29"/>
      <c r="D1774" s="29"/>
      <c r="E1774" s="29"/>
      <c r="F1774" s="29"/>
      <c r="G1774" s="30"/>
      <c r="H1774" s="31"/>
      <c r="I1774" s="31"/>
      <c r="J1774" s="32"/>
      <c r="K1774" s="33"/>
      <c r="L1774" s="31"/>
      <c r="M1774" s="32"/>
      <c r="N1774" s="31"/>
      <c r="O1774" s="36"/>
      <c r="P1774" s="34"/>
      <c r="Q1774" s="34"/>
      <c r="R1774" s="34"/>
      <c r="S1774" s="29"/>
      <c r="T1774" s="35"/>
      <c r="U1774" s="35"/>
      <c r="V1774" s="35"/>
      <c r="W1774" s="35"/>
      <c r="Y1774" s="31" t="str" cm="1">
        <f t="array" ref="Y1774">IF(LEFT(_xll.BDP($C1774, VOLUME_AVG_10D), 4) = "#N/A", "",  _xll.BDP($C1774, VOLUME_AVG_10D))</f>
        <v/>
      </c>
      <c r="Z1774" s="31" t="str" cm="1">
        <f t="array" ref="Z1774">IF(LEFT(_xll.BDP($C1774, VOLUME_AVG_30D), 4) = "#N/A", "",  _xll.BDP($C1774, VOLUME_AVG_30D))</f>
        <v/>
      </c>
      <c r="AA1774" s="31" t="str" cm="1">
        <f t="array" ref="AA1774">IF(LEFT(_xll.BDP($C1774, VOLUME_AVG_3M), 4) = "#N/A", "",  _xll.BDP($C1774, VOLUME_AVG_3M))</f>
        <v/>
      </c>
      <c r="AB1774" s="31" t="str" cm="1">
        <f t="array" ref="AB1774">IF(LEFT(_xll.BDP($C1774, VOLUME_AVG_6M), 4) = "#N/A", "",  _xll.BDP($C1774, VOLUME_AVG_6M))</f>
        <v/>
      </c>
      <c r="AC1774" s="31" t="str" cm="1">
        <f t="array" ref="AC1774">IF(LEFT(_xll.BDP($C1774, VOLUME_AVG_12M), 4) = "#N/A", "",  _xll.BDP($C1774, VOLUME_AVG_12M))</f>
        <v/>
      </c>
      <c r="AD1774" s="41" t="str" cm="1">
        <f t="array" ref="AD1774">IF(LEFT(_xll.BDP($C1774, LAST_PRICE), 4) = "#N/A", "",  _xll.BDP($C1774, LAST_PRICE))</f>
        <v/>
      </c>
    </row>
    <row r="1775" spans="1:30" x14ac:dyDescent="0.35">
      <c r="A1775" s="1" t="str">
        <f t="shared" si="27"/>
        <v/>
      </c>
      <c r="B1775" s="30"/>
      <c r="C1775" s="29"/>
      <c r="D1775" s="29"/>
      <c r="E1775" s="29"/>
      <c r="F1775" s="29"/>
      <c r="G1775" s="30"/>
      <c r="H1775" s="31"/>
      <c r="I1775" s="31"/>
      <c r="J1775" s="32"/>
      <c r="K1775" s="33"/>
      <c r="L1775" s="31"/>
      <c r="M1775" s="32"/>
      <c r="N1775" s="31"/>
      <c r="O1775" s="36"/>
      <c r="P1775" s="34"/>
      <c r="Q1775" s="34"/>
      <c r="R1775" s="34"/>
      <c r="S1775" s="29"/>
      <c r="T1775" s="35"/>
      <c r="U1775" s="35"/>
      <c r="V1775" s="35"/>
      <c r="W1775" s="35"/>
      <c r="Y1775" s="31" t="str" cm="1">
        <f t="array" ref="Y1775">IF(LEFT(_xll.BDP($C1775, VOLUME_AVG_10D), 4) = "#N/A", "",  _xll.BDP($C1775, VOLUME_AVG_10D))</f>
        <v/>
      </c>
      <c r="Z1775" s="31" t="str" cm="1">
        <f t="array" ref="Z1775">IF(LEFT(_xll.BDP($C1775, VOLUME_AVG_30D), 4) = "#N/A", "",  _xll.BDP($C1775, VOLUME_AVG_30D))</f>
        <v/>
      </c>
      <c r="AA1775" s="31" t="str" cm="1">
        <f t="array" ref="AA1775">IF(LEFT(_xll.BDP($C1775, VOLUME_AVG_3M), 4) = "#N/A", "",  _xll.BDP($C1775, VOLUME_AVG_3M))</f>
        <v/>
      </c>
      <c r="AB1775" s="31" t="str" cm="1">
        <f t="array" ref="AB1775">IF(LEFT(_xll.BDP($C1775, VOLUME_AVG_6M), 4) = "#N/A", "",  _xll.BDP($C1775, VOLUME_AVG_6M))</f>
        <v/>
      </c>
      <c r="AC1775" s="31" t="str" cm="1">
        <f t="array" ref="AC1775">IF(LEFT(_xll.BDP($C1775, VOLUME_AVG_12M), 4) = "#N/A", "",  _xll.BDP($C1775, VOLUME_AVG_12M))</f>
        <v/>
      </c>
      <c r="AD1775" s="41" t="str" cm="1">
        <f t="array" ref="AD1775">IF(LEFT(_xll.BDP($C1775, LAST_PRICE), 4) = "#N/A", "",  _xll.BDP($C1775, LAST_PRICE))</f>
        <v/>
      </c>
    </row>
    <row r="1776" spans="1:30" x14ac:dyDescent="0.35">
      <c r="A1776" s="1" t="str">
        <f t="shared" si="27"/>
        <v/>
      </c>
      <c r="B1776" s="30"/>
      <c r="C1776" s="29"/>
      <c r="D1776" s="29"/>
      <c r="E1776" s="29"/>
      <c r="F1776" s="29"/>
      <c r="G1776" s="30"/>
      <c r="H1776" s="31"/>
      <c r="I1776" s="31"/>
      <c r="J1776" s="32"/>
      <c r="K1776" s="33"/>
      <c r="L1776" s="31"/>
      <c r="M1776" s="32"/>
      <c r="N1776" s="31"/>
      <c r="O1776" s="36"/>
      <c r="P1776" s="34"/>
      <c r="Q1776" s="34"/>
      <c r="R1776" s="34"/>
      <c r="S1776" s="29"/>
      <c r="T1776" s="35"/>
      <c r="U1776" s="35"/>
      <c r="V1776" s="35"/>
      <c r="W1776" s="35"/>
      <c r="Y1776" s="31" t="str" cm="1">
        <f t="array" ref="Y1776">IF(LEFT(_xll.BDP($C1776, VOLUME_AVG_10D), 4) = "#N/A", "",  _xll.BDP($C1776, VOLUME_AVG_10D))</f>
        <v/>
      </c>
      <c r="Z1776" s="31" t="str" cm="1">
        <f t="array" ref="Z1776">IF(LEFT(_xll.BDP($C1776, VOLUME_AVG_30D), 4) = "#N/A", "",  _xll.BDP($C1776, VOLUME_AVG_30D))</f>
        <v/>
      </c>
      <c r="AA1776" s="31" t="str" cm="1">
        <f t="array" ref="AA1776">IF(LEFT(_xll.BDP($C1776, VOLUME_AVG_3M), 4) = "#N/A", "",  _xll.BDP($C1776, VOLUME_AVG_3M))</f>
        <v/>
      </c>
      <c r="AB1776" s="31" t="str" cm="1">
        <f t="array" ref="AB1776">IF(LEFT(_xll.BDP($C1776, VOLUME_AVG_6M), 4) = "#N/A", "",  _xll.BDP($C1776, VOLUME_AVG_6M))</f>
        <v/>
      </c>
      <c r="AC1776" s="31" t="str" cm="1">
        <f t="array" ref="AC1776">IF(LEFT(_xll.BDP($C1776, VOLUME_AVG_12M), 4) = "#N/A", "",  _xll.BDP($C1776, VOLUME_AVG_12M))</f>
        <v/>
      </c>
      <c r="AD1776" s="41" t="str" cm="1">
        <f t="array" ref="AD1776">IF(LEFT(_xll.BDP($C1776, LAST_PRICE), 4) = "#N/A", "",  _xll.BDP($C1776, LAST_PRICE))</f>
        <v/>
      </c>
    </row>
    <row r="1777" spans="1:30" x14ac:dyDescent="0.35">
      <c r="A1777" s="1" t="str">
        <f t="shared" si="27"/>
        <v/>
      </c>
      <c r="B1777" s="30"/>
      <c r="C1777" s="29"/>
      <c r="D1777" s="29"/>
      <c r="E1777" s="29"/>
      <c r="F1777" s="29"/>
      <c r="G1777" s="30"/>
      <c r="H1777" s="31"/>
      <c r="I1777" s="31"/>
      <c r="J1777" s="32"/>
      <c r="K1777" s="33"/>
      <c r="L1777" s="31"/>
      <c r="M1777" s="32"/>
      <c r="N1777" s="31"/>
      <c r="O1777" s="36"/>
      <c r="P1777" s="34"/>
      <c r="Q1777" s="34"/>
      <c r="R1777" s="34"/>
      <c r="S1777" s="29"/>
      <c r="T1777" s="35"/>
      <c r="U1777" s="35"/>
      <c r="V1777" s="35"/>
      <c r="W1777" s="35"/>
      <c r="Y1777" s="31" t="str" cm="1">
        <f t="array" ref="Y1777">IF(LEFT(_xll.BDP($C1777, VOLUME_AVG_10D), 4) = "#N/A", "",  _xll.BDP($C1777, VOLUME_AVG_10D))</f>
        <v/>
      </c>
      <c r="Z1777" s="31" t="str" cm="1">
        <f t="array" ref="Z1777">IF(LEFT(_xll.BDP($C1777, VOLUME_AVG_30D), 4) = "#N/A", "",  _xll.BDP($C1777, VOLUME_AVG_30D))</f>
        <v/>
      </c>
      <c r="AA1777" s="31" t="str" cm="1">
        <f t="array" ref="AA1777">IF(LEFT(_xll.BDP($C1777, VOLUME_AVG_3M), 4) = "#N/A", "",  _xll.BDP($C1777, VOLUME_AVG_3M))</f>
        <v/>
      </c>
      <c r="AB1777" s="31" t="str" cm="1">
        <f t="array" ref="AB1777">IF(LEFT(_xll.BDP($C1777, VOLUME_AVG_6M), 4) = "#N/A", "",  _xll.BDP($C1777, VOLUME_AVG_6M))</f>
        <v/>
      </c>
      <c r="AC1777" s="31" t="str" cm="1">
        <f t="array" ref="AC1777">IF(LEFT(_xll.BDP($C1777, VOLUME_AVG_12M), 4) = "#N/A", "",  _xll.BDP($C1777, VOLUME_AVG_12M))</f>
        <v/>
      </c>
      <c r="AD1777" s="41" t="str" cm="1">
        <f t="array" ref="AD1777">IF(LEFT(_xll.BDP($C1777, LAST_PRICE), 4) = "#N/A", "",  _xll.BDP($C1777, LAST_PRICE))</f>
        <v/>
      </c>
    </row>
    <row r="1778" spans="1:30" x14ac:dyDescent="0.35">
      <c r="A1778" s="1" t="str">
        <f t="shared" si="27"/>
        <v/>
      </c>
      <c r="B1778" s="30"/>
      <c r="C1778" s="29"/>
      <c r="D1778" s="29"/>
      <c r="E1778" s="29"/>
      <c r="F1778" s="29"/>
      <c r="G1778" s="30"/>
      <c r="H1778" s="31"/>
      <c r="I1778" s="31"/>
      <c r="J1778" s="32"/>
      <c r="K1778" s="33"/>
      <c r="L1778" s="31"/>
      <c r="M1778" s="32"/>
      <c r="N1778" s="31"/>
      <c r="O1778" s="36"/>
      <c r="P1778" s="34"/>
      <c r="Q1778" s="34"/>
      <c r="R1778" s="34"/>
      <c r="S1778" s="29"/>
      <c r="T1778" s="35"/>
      <c r="U1778" s="35"/>
      <c r="V1778" s="35"/>
      <c r="W1778" s="35"/>
      <c r="Y1778" s="31" t="str" cm="1">
        <f t="array" ref="Y1778">IF(LEFT(_xll.BDP($C1778, VOLUME_AVG_10D), 4) = "#N/A", "",  _xll.BDP($C1778, VOLUME_AVG_10D))</f>
        <v/>
      </c>
      <c r="Z1778" s="31" t="str" cm="1">
        <f t="array" ref="Z1778">IF(LEFT(_xll.BDP($C1778, VOLUME_AVG_30D), 4) = "#N/A", "",  _xll.BDP($C1778, VOLUME_AVG_30D))</f>
        <v/>
      </c>
      <c r="AA1778" s="31" t="str" cm="1">
        <f t="array" ref="AA1778">IF(LEFT(_xll.BDP($C1778, VOLUME_AVG_3M), 4) = "#N/A", "",  _xll.BDP($C1778, VOLUME_AVG_3M))</f>
        <v/>
      </c>
      <c r="AB1778" s="31" t="str" cm="1">
        <f t="array" ref="AB1778">IF(LEFT(_xll.BDP($C1778, VOLUME_AVG_6M), 4) = "#N/A", "",  _xll.BDP($C1778, VOLUME_AVG_6M))</f>
        <v/>
      </c>
      <c r="AC1778" s="31" t="str" cm="1">
        <f t="array" ref="AC1778">IF(LEFT(_xll.BDP($C1778, VOLUME_AVG_12M), 4) = "#N/A", "",  _xll.BDP($C1778, VOLUME_AVG_12M))</f>
        <v/>
      </c>
      <c r="AD1778" s="41" t="str" cm="1">
        <f t="array" ref="AD1778">IF(LEFT(_xll.BDP($C1778, LAST_PRICE), 4) = "#N/A", "",  _xll.BDP($C1778, LAST_PRICE))</f>
        <v/>
      </c>
    </row>
    <row r="1779" spans="1:30" x14ac:dyDescent="0.35">
      <c r="A1779" s="1" t="str">
        <f t="shared" si="27"/>
        <v/>
      </c>
      <c r="B1779" s="30"/>
      <c r="C1779" s="29"/>
      <c r="D1779" s="29"/>
      <c r="E1779" s="29"/>
      <c r="F1779" s="29"/>
      <c r="G1779" s="30"/>
      <c r="H1779" s="31"/>
      <c r="I1779" s="31"/>
      <c r="J1779" s="32"/>
      <c r="K1779" s="33"/>
      <c r="L1779" s="31"/>
      <c r="M1779" s="32"/>
      <c r="N1779" s="31"/>
      <c r="O1779" s="36"/>
      <c r="P1779" s="34"/>
      <c r="Q1779" s="34"/>
      <c r="R1779" s="34"/>
      <c r="S1779" s="29"/>
      <c r="T1779" s="35"/>
      <c r="U1779" s="35"/>
      <c r="V1779" s="35"/>
      <c r="W1779" s="35"/>
      <c r="Y1779" s="31" t="str" cm="1">
        <f t="array" ref="Y1779">IF(LEFT(_xll.BDP($C1779, VOLUME_AVG_10D), 4) = "#N/A", "",  _xll.BDP($C1779, VOLUME_AVG_10D))</f>
        <v/>
      </c>
      <c r="Z1779" s="31" t="str" cm="1">
        <f t="array" ref="Z1779">IF(LEFT(_xll.BDP($C1779, VOLUME_AVG_30D), 4) = "#N/A", "",  _xll.BDP($C1779, VOLUME_AVG_30D))</f>
        <v/>
      </c>
      <c r="AA1779" s="31" t="str" cm="1">
        <f t="array" ref="AA1779">IF(LEFT(_xll.BDP($C1779, VOLUME_AVG_3M), 4) = "#N/A", "",  _xll.BDP($C1779, VOLUME_AVG_3M))</f>
        <v/>
      </c>
      <c r="AB1779" s="31" t="str" cm="1">
        <f t="array" ref="AB1779">IF(LEFT(_xll.BDP($C1779, VOLUME_AVG_6M), 4) = "#N/A", "",  _xll.BDP($C1779, VOLUME_AVG_6M))</f>
        <v/>
      </c>
      <c r="AC1779" s="31" t="str" cm="1">
        <f t="array" ref="AC1779">IF(LEFT(_xll.BDP($C1779, VOLUME_AVG_12M), 4) = "#N/A", "",  _xll.BDP($C1779, VOLUME_AVG_12M))</f>
        <v/>
      </c>
      <c r="AD1779" s="41" t="str" cm="1">
        <f t="array" ref="AD1779">IF(LEFT(_xll.BDP($C1779, LAST_PRICE), 4) = "#N/A", "",  _xll.BDP($C1779, LAST_PRICE))</f>
        <v/>
      </c>
    </row>
    <row r="1780" spans="1:30" x14ac:dyDescent="0.35">
      <c r="A1780" s="1" t="str">
        <f t="shared" si="27"/>
        <v/>
      </c>
      <c r="B1780" s="30"/>
      <c r="C1780" s="29"/>
      <c r="D1780" s="29"/>
      <c r="E1780" s="29"/>
      <c r="F1780" s="29"/>
      <c r="G1780" s="30"/>
      <c r="H1780" s="31"/>
      <c r="I1780" s="31"/>
      <c r="J1780" s="32"/>
      <c r="K1780" s="33"/>
      <c r="L1780" s="31"/>
      <c r="M1780" s="32"/>
      <c r="N1780" s="31"/>
      <c r="O1780" s="36"/>
      <c r="P1780" s="34"/>
      <c r="Q1780" s="34"/>
      <c r="R1780" s="34"/>
      <c r="S1780" s="29"/>
      <c r="T1780" s="35"/>
      <c r="U1780" s="35"/>
      <c r="V1780" s="35"/>
      <c r="W1780" s="35"/>
      <c r="Y1780" s="31" t="str" cm="1">
        <f t="array" ref="Y1780">IF(LEFT(_xll.BDP($C1780, VOLUME_AVG_10D), 4) = "#N/A", "",  _xll.BDP($C1780, VOLUME_AVG_10D))</f>
        <v/>
      </c>
      <c r="Z1780" s="31" t="str" cm="1">
        <f t="array" ref="Z1780">IF(LEFT(_xll.BDP($C1780, VOLUME_AVG_30D), 4) = "#N/A", "",  _xll.BDP($C1780, VOLUME_AVG_30D))</f>
        <v/>
      </c>
      <c r="AA1780" s="31" t="str" cm="1">
        <f t="array" ref="AA1780">IF(LEFT(_xll.BDP($C1780, VOLUME_AVG_3M), 4) = "#N/A", "",  _xll.BDP($C1780, VOLUME_AVG_3M))</f>
        <v/>
      </c>
      <c r="AB1780" s="31" t="str" cm="1">
        <f t="array" ref="AB1780">IF(LEFT(_xll.BDP($C1780, VOLUME_AVG_6M), 4) = "#N/A", "",  _xll.BDP($C1780, VOLUME_AVG_6M))</f>
        <v/>
      </c>
      <c r="AC1780" s="31" t="str" cm="1">
        <f t="array" ref="AC1780">IF(LEFT(_xll.BDP($C1780, VOLUME_AVG_12M), 4) = "#N/A", "",  _xll.BDP($C1780, VOLUME_AVG_12M))</f>
        <v/>
      </c>
      <c r="AD1780" s="41" t="str" cm="1">
        <f t="array" ref="AD1780">IF(LEFT(_xll.BDP($C1780, LAST_PRICE), 4) = "#N/A", "",  _xll.BDP($C1780, LAST_PRICE))</f>
        <v/>
      </c>
    </row>
    <row r="1781" spans="1:30" x14ac:dyDescent="0.35">
      <c r="A1781" s="1" t="str">
        <f t="shared" si="27"/>
        <v/>
      </c>
      <c r="B1781" s="30"/>
      <c r="C1781" s="29"/>
      <c r="D1781" s="29"/>
      <c r="E1781" s="29"/>
      <c r="F1781" s="29"/>
      <c r="G1781" s="30"/>
      <c r="H1781" s="31"/>
      <c r="I1781" s="31"/>
      <c r="J1781" s="32"/>
      <c r="K1781" s="33"/>
      <c r="L1781" s="31"/>
      <c r="M1781" s="32"/>
      <c r="N1781" s="31"/>
      <c r="O1781" s="36"/>
      <c r="P1781" s="34"/>
      <c r="Q1781" s="34"/>
      <c r="R1781" s="34"/>
      <c r="S1781" s="29"/>
      <c r="T1781" s="35"/>
      <c r="U1781" s="35"/>
      <c r="V1781" s="35"/>
      <c r="W1781" s="35"/>
      <c r="Y1781" s="31" t="str" cm="1">
        <f t="array" ref="Y1781">IF(LEFT(_xll.BDP($C1781, VOLUME_AVG_10D), 4) = "#N/A", "",  _xll.BDP($C1781, VOLUME_AVG_10D))</f>
        <v/>
      </c>
      <c r="Z1781" s="31" t="str" cm="1">
        <f t="array" ref="Z1781">IF(LEFT(_xll.BDP($C1781, VOLUME_AVG_30D), 4) = "#N/A", "",  _xll.BDP($C1781, VOLUME_AVG_30D))</f>
        <v/>
      </c>
      <c r="AA1781" s="31" t="str" cm="1">
        <f t="array" ref="AA1781">IF(LEFT(_xll.BDP($C1781, VOLUME_AVG_3M), 4) = "#N/A", "",  _xll.BDP($C1781, VOLUME_AVG_3M))</f>
        <v/>
      </c>
      <c r="AB1781" s="31" t="str" cm="1">
        <f t="array" ref="AB1781">IF(LEFT(_xll.BDP($C1781, VOLUME_AVG_6M), 4) = "#N/A", "",  _xll.BDP($C1781, VOLUME_AVG_6M))</f>
        <v/>
      </c>
      <c r="AC1781" s="31" t="str" cm="1">
        <f t="array" ref="AC1781">IF(LEFT(_xll.BDP($C1781, VOLUME_AVG_12M), 4) = "#N/A", "",  _xll.BDP($C1781, VOLUME_AVG_12M))</f>
        <v/>
      </c>
      <c r="AD1781" s="41" t="str" cm="1">
        <f t="array" ref="AD1781">IF(LEFT(_xll.BDP($C1781, LAST_PRICE), 4) = "#N/A", "",  _xll.BDP($C1781, LAST_PRICE))</f>
        <v/>
      </c>
    </row>
    <row r="1782" spans="1:30" x14ac:dyDescent="0.35">
      <c r="A1782" s="1" t="str">
        <f t="shared" si="27"/>
        <v/>
      </c>
      <c r="B1782" s="30"/>
      <c r="C1782" s="29"/>
      <c r="D1782" s="29"/>
      <c r="E1782" s="29"/>
      <c r="F1782" s="29"/>
      <c r="G1782" s="30"/>
      <c r="H1782" s="31"/>
      <c r="I1782" s="31"/>
      <c r="J1782" s="32"/>
      <c r="K1782" s="33"/>
      <c r="L1782" s="31"/>
      <c r="M1782" s="32"/>
      <c r="N1782" s="31"/>
      <c r="O1782" s="36"/>
      <c r="P1782" s="34"/>
      <c r="Q1782" s="34"/>
      <c r="R1782" s="34"/>
      <c r="S1782" s="29"/>
      <c r="T1782" s="35"/>
      <c r="U1782" s="35"/>
      <c r="V1782" s="35"/>
      <c r="W1782" s="35"/>
      <c r="Y1782" s="31" t="str" cm="1">
        <f t="array" ref="Y1782">IF(LEFT(_xll.BDP($C1782, VOLUME_AVG_10D), 4) = "#N/A", "",  _xll.BDP($C1782, VOLUME_AVG_10D))</f>
        <v/>
      </c>
      <c r="Z1782" s="31" t="str" cm="1">
        <f t="array" ref="Z1782">IF(LEFT(_xll.BDP($C1782, VOLUME_AVG_30D), 4) = "#N/A", "",  _xll.BDP($C1782, VOLUME_AVG_30D))</f>
        <v/>
      </c>
      <c r="AA1782" s="31" t="str" cm="1">
        <f t="array" ref="AA1782">IF(LEFT(_xll.BDP($C1782, VOLUME_AVG_3M), 4) = "#N/A", "",  _xll.BDP($C1782, VOLUME_AVG_3M))</f>
        <v/>
      </c>
      <c r="AB1782" s="31" t="str" cm="1">
        <f t="array" ref="AB1782">IF(LEFT(_xll.BDP($C1782, VOLUME_AVG_6M), 4) = "#N/A", "",  _xll.BDP($C1782, VOLUME_AVG_6M))</f>
        <v/>
      </c>
      <c r="AC1782" s="31" t="str" cm="1">
        <f t="array" ref="AC1782">IF(LEFT(_xll.BDP($C1782, VOLUME_AVG_12M), 4) = "#N/A", "",  _xll.BDP($C1782, VOLUME_AVG_12M))</f>
        <v/>
      </c>
      <c r="AD1782" s="41" t="str" cm="1">
        <f t="array" ref="AD1782">IF(LEFT(_xll.BDP($C1782, LAST_PRICE), 4) = "#N/A", "",  _xll.BDP($C1782, LAST_PRICE))</f>
        <v/>
      </c>
    </row>
    <row r="1783" spans="1:30" x14ac:dyDescent="0.35">
      <c r="A1783" s="1" t="str">
        <f t="shared" si="27"/>
        <v/>
      </c>
      <c r="B1783" s="30"/>
      <c r="C1783" s="29"/>
      <c r="D1783" s="29"/>
      <c r="E1783" s="29"/>
      <c r="F1783" s="29"/>
      <c r="G1783" s="30"/>
      <c r="H1783" s="31"/>
      <c r="I1783" s="31"/>
      <c r="J1783" s="32"/>
      <c r="K1783" s="33"/>
      <c r="L1783" s="31"/>
      <c r="M1783" s="32"/>
      <c r="N1783" s="31"/>
      <c r="O1783" s="36"/>
      <c r="P1783" s="34"/>
      <c r="Q1783" s="34"/>
      <c r="R1783" s="34"/>
      <c r="S1783" s="29"/>
      <c r="T1783" s="35"/>
      <c r="U1783" s="35"/>
      <c r="V1783" s="35"/>
      <c r="W1783" s="35"/>
      <c r="Y1783" s="31" t="str" cm="1">
        <f t="array" ref="Y1783">IF(LEFT(_xll.BDP($C1783, VOLUME_AVG_10D), 4) = "#N/A", "",  _xll.BDP($C1783, VOLUME_AVG_10D))</f>
        <v/>
      </c>
      <c r="Z1783" s="31" t="str" cm="1">
        <f t="array" ref="Z1783">IF(LEFT(_xll.BDP($C1783, VOLUME_AVG_30D), 4) = "#N/A", "",  _xll.BDP($C1783, VOLUME_AVG_30D))</f>
        <v/>
      </c>
      <c r="AA1783" s="31" t="str" cm="1">
        <f t="array" ref="AA1783">IF(LEFT(_xll.BDP($C1783, VOLUME_AVG_3M), 4) = "#N/A", "",  _xll.BDP($C1783, VOLUME_AVG_3M))</f>
        <v/>
      </c>
      <c r="AB1783" s="31" t="str" cm="1">
        <f t="array" ref="AB1783">IF(LEFT(_xll.BDP($C1783, VOLUME_AVG_6M), 4) = "#N/A", "",  _xll.BDP($C1783, VOLUME_AVG_6M))</f>
        <v/>
      </c>
      <c r="AC1783" s="31" t="str" cm="1">
        <f t="array" ref="AC1783">IF(LEFT(_xll.BDP($C1783, VOLUME_AVG_12M), 4) = "#N/A", "",  _xll.BDP($C1783, VOLUME_AVG_12M))</f>
        <v/>
      </c>
      <c r="AD1783" s="41" t="str" cm="1">
        <f t="array" ref="AD1783">IF(LEFT(_xll.BDP($C1783, LAST_PRICE), 4) = "#N/A", "",  _xll.BDP($C1783, LAST_PRICE))</f>
        <v/>
      </c>
    </row>
    <row r="1784" spans="1:30" x14ac:dyDescent="0.35">
      <c r="A1784" s="1" t="str">
        <f t="shared" si="27"/>
        <v/>
      </c>
      <c r="B1784" s="30"/>
      <c r="C1784" s="29"/>
      <c r="D1784" s="29"/>
      <c r="E1784" s="29"/>
      <c r="F1784" s="29"/>
      <c r="G1784" s="30"/>
      <c r="H1784" s="31"/>
      <c r="I1784" s="31"/>
      <c r="J1784" s="32"/>
      <c r="K1784" s="33"/>
      <c r="L1784" s="31"/>
      <c r="M1784" s="32"/>
      <c r="N1784" s="31"/>
      <c r="O1784" s="36"/>
      <c r="P1784" s="34"/>
      <c r="Q1784" s="34"/>
      <c r="R1784" s="34"/>
      <c r="S1784" s="29"/>
      <c r="T1784" s="35"/>
      <c r="U1784" s="35"/>
      <c r="V1784" s="35"/>
      <c r="W1784" s="35"/>
      <c r="Y1784" s="31" t="str" cm="1">
        <f t="array" ref="Y1784">IF(LEFT(_xll.BDP($C1784, VOLUME_AVG_10D), 4) = "#N/A", "",  _xll.BDP($C1784, VOLUME_AVG_10D))</f>
        <v/>
      </c>
      <c r="Z1784" s="31" t="str" cm="1">
        <f t="array" ref="Z1784">IF(LEFT(_xll.BDP($C1784, VOLUME_AVG_30D), 4) = "#N/A", "",  _xll.BDP($C1784, VOLUME_AVG_30D))</f>
        <v/>
      </c>
      <c r="AA1784" s="31" t="str" cm="1">
        <f t="array" ref="AA1784">IF(LEFT(_xll.BDP($C1784, VOLUME_AVG_3M), 4) = "#N/A", "",  _xll.BDP($C1784, VOLUME_AVG_3M))</f>
        <v/>
      </c>
      <c r="AB1784" s="31" t="str" cm="1">
        <f t="array" ref="AB1784">IF(LEFT(_xll.BDP($C1784, VOLUME_AVG_6M), 4) = "#N/A", "",  _xll.BDP($C1784, VOLUME_AVG_6M))</f>
        <v/>
      </c>
      <c r="AC1784" s="31" t="str" cm="1">
        <f t="array" ref="AC1784">IF(LEFT(_xll.BDP($C1784, VOLUME_AVG_12M), 4) = "#N/A", "",  _xll.BDP($C1784, VOLUME_AVG_12M))</f>
        <v/>
      </c>
      <c r="AD1784" s="41" t="str" cm="1">
        <f t="array" ref="AD1784">IF(LEFT(_xll.BDP($C1784, LAST_PRICE), 4) = "#N/A", "",  _xll.BDP($C1784, LAST_PRICE))</f>
        <v/>
      </c>
    </row>
    <row r="1785" spans="1:30" x14ac:dyDescent="0.35">
      <c r="A1785" s="1" t="str">
        <f t="shared" si="27"/>
        <v/>
      </c>
      <c r="B1785" s="30"/>
      <c r="C1785" s="29"/>
      <c r="D1785" s="29"/>
      <c r="E1785" s="29"/>
      <c r="F1785" s="29"/>
      <c r="G1785" s="30"/>
      <c r="H1785" s="31"/>
      <c r="I1785" s="31"/>
      <c r="J1785" s="32"/>
      <c r="K1785" s="33"/>
      <c r="L1785" s="31"/>
      <c r="M1785" s="32"/>
      <c r="N1785" s="31"/>
      <c r="O1785" s="36"/>
      <c r="P1785" s="34"/>
      <c r="Q1785" s="34"/>
      <c r="R1785" s="34"/>
      <c r="S1785" s="29"/>
      <c r="T1785" s="35"/>
      <c r="U1785" s="35"/>
      <c r="V1785" s="35"/>
      <c r="W1785" s="35"/>
      <c r="Y1785" s="31" t="str" cm="1">
        <f t="array" ref="Y1785">IF(LEFT(_xll.BDP($C1785, VOLUME_AVG_10D), 4) = "#N/A", "",  _xll.BDP($C1785, VOLUME_AVG_10D))</f>
        <v/>
      </c>
      <c r="Z1785" s="31" t="str" cm="1">
        <f t="array" ref="Z1785">IF(LEFT(_xll.BDP($C1785, VOLUME_AVG_30D), 4) = "#N/A", "",  _xll.BDP($C1785, VOLUME_AVG_30D))</f>
        <v/>
      </c>
      <c r="AA1785" s="31" t="str" cm="1">
        <f t="array" ref="AA1785">IF(LEFT(_xll.BDP($C1785, VOLUME_AVG_3M), 4) = "#N/A", "",  _xll.BDP($C1785, VOLUME_AVG_3M))</f>
        <v/>
      </c>
      <c r="AB1785" s="31" t="str" cm="1">
        <f t="array" ref="AB1785">IF(LEFT(_xll.BDP($C1785, VOLUME_AVG_6M), 4) = "#N/A", "",  _xll.BDP($C1785, VOLUME_AVG_6M))</f>
        <v/>
      </c>
      <c r="AC1785" s="31" t="str" cm="1">
        <f t="array" ref="AC1785">IF(LEFT(_xll.BDP($C1785, VOLUME_AVG_12M), 4) = "#N/A", "",  _xll.BDP($C1785, VOLUME_AVG_12M))</f>
        <v/>
      </c>
      <c r="AD1785" s="41" t="str" cm="1">
        <f t="array" ref="AD1785">IF(LEFT(_xll.BDP($C1785, LAST_PRICE), 4) = "#N/A", "",  _xll.BDP($C1785, LAST_PRICE))</f>
        <v/>
      </c>
    </row>
    <row r="1786" spans="1:30" x14ac:dyDescent="0.35">
      <c r="A1786" s="1" t="str">
        <f t="shared" si="27"/>
        <v/>
      </c>
      <c r="B1786" s="30"/>
      <c r="C1786" s="29"/>
      <c r="D1786" s="29"/>
      <c r="E1786" s="29"/>
      <c r="F1786" s="29"/>
      <c r="G1786" s="30"/>
      <c r="H1786" s="31"/>
      <c r="I1786" s="31"/>
      <c r="J1786" s="32"/>
      <c r="K1786" s="33"/>
      <c r="L1786" s="31"/>
      <c r="M1786" s="32"/>
      <c r="N1786" s="31"/>
      <c r="O1786" s="36"/>
      <c r="P1786" s="34"/>
      <c r="Q1786" s="34"/>
      <c r="R1786" s="34"/>
      <c r="S1786" s="29"/>
      <c r="T1786" s="35"/>
      <c r="U1786" s="35"/>
      <c r="V1786" s="35"/>
      <c r="W1786" s="35"/>
      <c r="Y1786" s="31" t="str" cm="1">
        <f t="array" ref="Y1786">IF(LEFT(_xll.BDP($C1786, VOLUME_AVG_10D), 4) = "#N/A", "",  _xll.BDP($C1786, VOLUME_AVG_10D))</f>
        <v/>
      </c>
      <c r="Z1786" s="31" t="str" cm="1">
        <f t="array" ref="Z1786">IF(LEFT(_xll.BDP($C1786, VOLUME_AVG_30D), 4) = "#N/A", "",  _xll.BDP($C1786, VOLUME_AVG_30D))</f>
        <v/>
      </c>
      <c r="AA1786" s="31" t="str" cm="1">
        <f t="array" ref="AA1786">IF(LEFT(_xll.BDP($C1786, VOLUME_AVG_3M), 4) = "#N/A", "",  _xll.BDP($C1786, VOLUME_AVG_3M))</f>
        <v/>
      </c>
      <c r="AB1786" s="31" t="str" cm="1">
        <f t="array" ref="AB1786">IF(LEFT(_xll.BDP($C1786, VOLUME_AVG_6M), 4) = "#N/A", "",  _xll.BDP($C1786, VOLUME_AVG_6M))</f>
        <v/>
      </c>
      <c r="AC1786" s="31" t="str" cm="1">
        <f t="array" ref="AC1786">IF(LEFT(_xll.BDP($C1786, VOLUME_AVG_12M), 4) = "#N/A", "",  _xll.BDP($C1786, VOLUME_AVG_12M))</f>
        <v/>
      </c>
      <c r="AD1786" s="41" t="str" cm="1">
        <f t="array" ref="AD1786">IF(LEFT(_xll.BDP($C1786, LAST_PRICE), 4) = "#N/A", "",  _xll.BDP($C1786, LAST_PRICE))</f>
        <v/>
      </c>
    </row>
    <row r="1787" spans="1:30" x14ac:dyDescent="0.35">
      <c r="A1787" s="1" t="str">
        <f t="shared" si="27"/>
        <v/>
      </c>
      <c r="B1787" s="30"/>
      <c r="C1787" s="29"/>
      <c r="D1787" s="29"/>
      <c r="E1787" s="29"/>
      <c r="F1787" s="29"/>
      <c r="G1787" s="30"/>
      <c r="H1787" s="31"/>
      <c r="I1787" s="31"/>
      <c r="J1787" s="32"/>
      <c r="K1787" s="33"/>
      <c r="L1787" s="31"/>
      <c r="M1787" s="32"/>
      <c r="N1787" s="31"/>
      <c r="O1787" s="36"/>
      <c r="P1787" s="34"/>
      <c r="Q1787" s="34"/>
      <c r="R1787" s="34"/>
      <c r="S1787" s="29"/>
      <c r="T1787" s="35"/>
      <c r="U1787" s="35"/>
      <c r="V1787" s="35"/>
      <c r="W1787" s="35"/>
      <c r="Y1787" s="31" t="str" cm="1">
        <f t="array" ref="Y1787">IF(LEFT(_xll.BDP($C1787, VOLUME_AVG_10D), 4) = "#N/A", "",  _xll.BDP($C1787, VOLUME_AVG_10D))</f>
        <v/>
      </c>
      <c r="Z1787" s="31" t="str" cm="1">
        <f t="array" ref="Z1787">IF(LEFT(_xll.BDP($C1787, VOLUME_AVG_30D), 4) = "#N/A", "",  _xll.BDP($C1787, VOLUME_AVG_30D))</f>
        <v/>
      </c>
      <c r="AA1787" s="31" t="str" cm="1">
        <f t="array" ref="AA1787">IF(LEFT(_xll.BDP($C1787, VOLUME_AVG_3M), 4) = "#N/A", "",  _xll.BDP($C1787, VOLUME_AVG_3M))</f>
        <v/>
      </c>
      <c r="AB1787" s="31" t="str" cm="1">
        <f t="array" ref="AB1787">IF(LEFT(_xll.BDP($C1787, VOLUME_AVG_6M), 4) = "#N/A", "",  _xll.BDP($C1787, VOLUME_AVG_6M))</f>
        <v/>
      </c>
      <c r="AC1787" s="31" t="str" cm="1">
        <f t="array" ref="AC1787">IF(LEFT(_xll.BDP($C1787, VOLUME_AVG_12M), 4) = "#N/A", "",  _xll.BDP($C1787, VOLUME_AVG_12M))</f>
        <v/>
      </c>
      <c r="AD1787" s="41" t="str" cm="1">
        <f t="array" ref="AD1787">IF(LEFT(_xll.BDP($C1787, LAST_PRICE), 4) = "#N/A", "",  _xll.BDP($C1787, LAST_PRICE))</f>
        <v/>
      </c>
    </row>
    <row r="1788" spans="1:30" x14ac:dyDescent="0.35">
      <c r="A1788" s="1" t="str">
        <f t="shared" si="27"/>
        <v/>
      </c>
      <c r="B1788" s="30"/>
      <c r="C1788" s="29"/>
      <c r="D1788" s="29"/>
      <c r="E1788" s="29"/>
      <c r="F1788" s="29"/>
      <c r="G1788" s="30"/>
      <c r="H1788" s="31"/>
      <c r="I1788" s="31"/>
      <c r="J1788" s="32"/>
      <c r="K1788" s="33"/>
      <c r="L1788" s="31"/>
      <c r="M1788" s="32"/>
      <c r="N1788" s="31"/>
      <c r="O1788" s="36"/>
      <c r="P1788" s="34"/>
      <c r="Q1788" s="34"/>
      <c r="R1788" s="34"/>
      <c r="S1788" s="29"/>
      <c r="T1788" s="35"/>
      <c r="U1788" s="35"/>
      <c r="V1788" s="35"/>
      <c r="W1788" s="35"/>
      <c r="Y1788" s="31" t="str" cm="1">
        <f t="array" ref="Y1788">IF(LEFT(_xll.BDP($C1788, VOLUME_AVG_10D), 4) = "#N/A", "",  _xll.BDP($C1788, VOLUME_AVG_10D))</f>
        <v/>
      </c>
      <c r="Z1788" s="31" t="str" cm="1">
        <f t="array" ref="Z1788">IF(LEFT(_xll.BDP($C1788, VOLUME_AVG_30D), 4) = "#N/A", "",  _xll.BDP($C1788, VOLUME_AVG_30D))</f>
        <v/>
      </c>
      <c r="AA1788" s="31" t="str" cm="1">
        <f t="array" ref="AA1788">IF(LEFT(_xll.BDP($C1788, VOLUME_AVG_3M), 4) = "#N/A", "",  _xll.BDP($C1788, VOLUME_AVG_3M))</f>
        <v/>
      </c>
      <c r="AB1788" s="31" t="str" cm="1">
        <f t="array" ref="AB1788">IF(LEFT(_xll.BDP($C1788, VOLUME_AVG_6M), 4) = "#N/A", "",  _xll.BDP($C1788, VOLUME_AVG_6M))</f>
        <v/>
      </c>
      <c r="AC1788" s="31" t="str" cm="1">
        <f t="array" ref="AC1788">IF(LEFT(_xll.BDP($C1788, VOLUME_AVG_12M), 4) = "#N/A", "",  _xll.BDP($C1788, VOLUME_AVG_12M))</f>
        <v/>
      </c>
      <c r="AD1788" s="41" t="str" cm="1">
        <f t="array" ref="AD1788">IF(LEFT(_xll.BDP($C1788, LAST_PRICE), 4) = "#N/A", "",  _xll.BDP($C1788, LAST_PRICE))</f>
        <v/>
      </c>
    </row>
    <row r="1789" spans="1:30" x14ac:dyDescent="0.35">
      <c r="A1789" s="1" t="str">
        <f t="shared" si="27"/>
        <v/>
      </c>
      <c r="B1789" s="30"/>
      <c r="C1789" s="29"/>
      <c r="D1789" s="29"/>
      <c r="E1789" s="29"/>
      <c r="F1789" s="29"/>
      <c r="G1789" s="30"/>
      <c r="H1789" s="31"/>
      <c r="I1789" s="31"/>
      <c r="J1789" s="32"/>
      <c r="K1789" s="33"/>
      <c r="L1789" s="31"/>
      <c r="M1789" s="32"/>
      <c r="N1789" s="31"/>
      <c r="O1789" s="36"/>
      <c r="P1789" s="34"/>
      <c r="Q1789" s="34"/>
      <c r="R1789" s="34"/>
      <c r="S1789" s="29"/>
      <c r="T1789" s="35"/>
      <c r="U1789" s="35"/>
      <c r="V1789" s="35"/>
      <c r="W1789" s="35"/>
      <c r="Y1789" s="31" t="str" cm="1">
        <f t="array" ref="Y1789">IF(LEFT(_xll.BDP($C1789, VOLUME_AVG_10D), 4) = "#N/A", "",  _xll.BDP($C1789, VOLUME_AVG_10D))</f>
        <v/>
      </c>
      <c r="Z1789" s="31" t="str" cm="1">
        <f t="array" ref="Z1789">IF(LEFT(_xll.BDP($C1789, VOLUME_AVG_30D), 4) = "#N/A", "",  _xll.BDP($C1789, VOLUME_AVG_30D))</f>
        <v/>
      </c>
      <c r="AA1789" s="31" t="str" cm="1">
        <f t="array" ref="AA1789">IF(LEFT(_xll.BDP($C1789, VOLUME_AVG_3M), 4) = "#N/A", "",  _xll.BDP($C1789, VOLUME_AVG_3M))</f>
        <v/>
      </c>
      <c r="AB1789" s="31" t="str" cm="1">
        <f t="array" ref="AB1789">IF(LEFT(_xll.BDP($C1789, VOLUME_AVG_6M), 4) = "#N/A", "",  _xll.BDP($C1789, VOLUME_AVG_6M))</f>
        <v/>
      </c>
      <c r="AC1789" s="31" t="str" cm="1">
        <f t="array" ref="AC1789">IF(LEFT(_xll.BDP($C1789, VOLUME_AVG_12M), 4) = "#N/A", "",  _xll.BDP($C1789, VOLUME_AVG_12M))</f>
        <v/>
      </c>
      <c r="AD1789" s="41" t="str" cm="1">
        <f t="array" ref="AD1789">IF(LEFT(_xll.BDP($C1789, LAST_PRICE), 4) = "#N/A", "",  _xll.BDP($C1789, LAST_PRICE))</f>
        <v/>
      </c>
    </row>
    <row r="1790" spans="1:30" x14ac:dyDescent="0.35">
      <c r="A1790" s="1" t="str">
        <f t="shared" si="27"/>
        <v/>
      </c>
      <c r="B1790" s="30"/>
      <c r="C1790" s="29"/>
      <c r="D1790" s="29"/>
      <c r="E1790" s="29"/>
      <c r="F1790" s="29"/>
      <c r="G1790" s="30"/>
      <c r="H1790" s="31"/>
      <c r="I1790" s="31"/>
      <c r="J1790" s="32"/>
      <c r="K1790" s="33"/>
      <c r="L1790" s="31"/>
      <c r="M1790" s="32"/>
      <c r="N1790" s="31"/>
      <c r="O1790" s="36"/>
      <c r="P1790" s="34"/>
      <c r="Q1790" s="34"/>
      <c r="R1790" s="34"/>
      <c r="S1790" s="29"/>
      <c r="T1790" s="35"/>
      <c r="U1790" s="35"/>
      <c r="V1790" s="35"/>
      <c r="W1790" s="35"/>
      <c r="Y1790" s="31" t="str" cm="1">
        <f t="array" ref="Y1790">IF(LEFT(_xll.BDP($C1790, VOLUME_AVG_10D), 4) = "#N/A", "",  _xll.BDP($C1790, VOLUME_AVG_10D))</f>
        <v/>
      </c>
      <c r="Z1790" s="31" t="str" cm="1">
        <f t="array" ref="Z1790">IF(LEFT(_xll.BDP($C1790, VOLUME_AVG_30D), 4) = "#N/A", "",  _xll.BDP($C1790, VOLUME_AVG_30D))</f>
        <v/>
      </c>
      <c r="AA1790" s="31" t="str" cm="1">
        <f t="array" ref="AA1790">IF(LEFT(_xll.BDP($C1790, VOLUME_AVG_3M), 4) = "#N/A", "",  _xll.BDP($C1790, VOLUME_AVG_3M))</f>
        <v/>
      </c>
      <c r="AB1790" s="31" t="str" cm="1">
        <f t="array" ref="AB1790">IF(LEFT(_xll.BDP($C1790, VOLUME_AVG_6M), 4) = "#N/A", "",  _xll.BDP($C1790, VOLUME_AVG_6M))</f>
        <v/>
      </c>
      <c r="AC1790" s="31" t="str" cm="1">
        <f t="array" ref="AC1790">IF(LEFT(_xll.BDP($C1790, VOLUME_AVG_12M), 4) = "#N/A", "",  _xll.BDP($C1790, VOLUME_AVG_12M))</f>
        <v/>
      </c>
      <c r="AD1790" s="41" t="str" cm="1">
        <f t="array" ref="AD1790">IF(LEFT(_xll.BDP($C1790, LAST_PRICE), 4) = "#N/A", "",  _xll.BDP($C1790, LAST_PRICE))</f>
        <v/>
      </c>
    </row>
    <row r="1791" spans="1:30" x14ac:dyDescent="0.35">
      <c r="A1791" s="1" t="str">
        <f t="shared" si="27"/>
        <v/>
      </c>
      <c r="B1791" s="30"/>
      <c r="C1791" s="29"/>
      <c r="D1791" s="29"/>
      <c r="E1791" s="29"/>
      <c r="F1791" s="29"/>
      <c r="G1791" s="30"/>
      <c r="H1791" s="31"/>
      <c r="I1791" s="31"/>
      <c r="J1791" s="32"/>
      <c r="K1791" s="33"/>
      <c r="L1791" s="31"/>
      <c r="M1791" s="32"/>
      <c r="N1791" s="31"/>
      <c r="O1791" s="36"/>
      <c r="P1791" s="34"/>
      <c r="Q1791" s="34"/>
      <c r="R1791" s="34"/>
      <c r="S1791" s="29"/>
      <c r="T1791" s="35"/>
      <c r="U1791" s="35"/>
      <c r="V1791" s="35"/>
      <c r="W1791" s="35"/>
      <c r="Y1791" s="31" t="str" cm="1">
        <f t="array" ref="Y1791">IF(LEFT(_xll.BDP($C1791, VOLUME_AVG_10D), 4) = "#N/A", "",  _xll.BDP($C1791, VOLUME_AVG_10D))</f>
        <v/>
      </c>
      <c r="Z1791" s="31" t="str" cm="1">
        <f t="array" ref="Z1791">IF(LEFT(_xll.BDP($C1791, VOLUME_AVG_30D), 4) = "#N/A", "",  _xll.BDP($C1791, VOLUME_AVG_30D))</f>
        <v/>
      </c>
      <c r="AA1791" s="31" t="str" cm="1">
        <f t="array" ref="AA1791">IF(LEFT(_xll.BDP($C1791, VOLUME_AVG_3M), 4) = "#N/A", "",  _xll.BDP($C1791, VOLUME_AVG_3M))</f>
        <v/>
      </c>
      <c r="AB1791" s="31" t="str" cm="1">
        <f t="array" ref="AB1791">IF(LEFT(_xll.BDP($C1791, VOLUME_AVG_6M), 4) = "#N/A", "",  _xll.BDP($C1791, VOLUME_AVG_6M))</f>
        <v/>
      </c>
      <c r="AC1791" s="31" t="str" cm="1">
        <f t="array" ref="AC1791">IF(LEFT(_xll.BDP($C1791, VOLUME_AVG_12M), 4) = "#N/A", "",  _xll.BDP($C1791, VOLUME_AVG_12M))</f>
        <v/>
      </c>
      <c r="AD1791" s="41" t="str" cm="1">
        <f t="array" ref="AD1791">IF(LEFT(_xll.BDP($C1791, LAST_PRICE), 4) = "#N/A", "",  _xll.BDP($C1791, LAST_PRICE))</f>
        <v/>
      </c>
    </row>
    <row r="1792" spans="1:30" x14ac:dyDescent="0.35">
      <c r="A1792" s="1" t="str">
        <f t="shared" si="27"/>
        <v/>
      </c>
      <c r="B1792" s="30"/>
      <c r="C1792" s="29"/>
      <c r="D1792" s="29"/>
      <c r="E1792" s="29"/>
      <c r="F1792" s="29"/>
      <c r="G1792" s="30"/>
      <c r="H1792" s="31"/>
      <c r="I1792" s="31"/>
      <c r="J1792" s="32"/>
      <c r="K1792" s="33"/>
      <c r="L1792" s="31"/>
      <c r="M1792" s="32"/>
      <c r="N1792" s="31"/>
      <c r="O1792" s="36"/>
      <c r="P1792" s="34"/>
      <c r="Q1792" s="34"/>
      <c r="R1792" s="34"/>
      <c r="S1792" s="29"/>
      <c r="T1792" s="35"/>
      <c r="U1792" s="35"/>
      <c r="V1792" s="35"/>
      <c r="W1792" s="35"/>
      <c r="Y1792" s="31" t="str" cm="1">
        <f t="array" ref="Y1792">IF(LEFT(_xll.BDP($C1792, VOLUME_AVG_10D), 4) = "#N/A", "",  _xll.BDP($C1792, VOLUME_AVG_10D))</f>
        <v/>
      </c>
      <c r="Z1792" s="31" t="str" cm="1">
        <f t="array" ref="Z1792">IF(LEFT(_xll.BDP($C1792, VOLUME_AVG_30D), 4) = "#N/A", "",  _xll.BDP($C1792, VOLUME_AVG_30D))</f>
        <v/>
      </c>
      <c r="AA1792" s="31" t="str" cm="1">
        <f t="array" ref="AA1792">IF(LEFT(_xll.BDP($C1792, VOLUME_AVG_3M), 4) = "#N/A", "",  _xll.BDP($C1792, VOLUME_AVG_3M))</f>
        <v/>
      </c>
      <c r="AB1792" s="31" t="str" cm="1">
        <f t="array" ref="AB1792">IF(LEFT(_xll.BDP($C1792, VOLUME_AVG_6M), 4) = "#N/A", "",  _xll.BDP($C1792, VOLUME_AVG_6M))</f>
        <v/>
      </c>
      <c r="AC1792" s="31" t="str" cm="1">
        <f t="array" ref="AC1792">IF(LEFT(_xll.BDP($C1792, VOLUME_AVG_12M), 4) = "#N/A", "",  _xll.BDP($C1792, VOLUME_AVG_12M))</f>
        <v/>
      </c>
      <c r="AD1792" s="41" t="str" cm="1">
        <f t="array" ref="AD1792">IF(LEFT(_xll.BDP($C1792, LAST_PRICE), 4) = "#N/A", "",  _xll.BDP($C1792, LAST_PRICE))</f>
        <v/>
      </c>
    </row>
    <row r="1793" spans="1:30" x14ac:dyDescent="0.35">
      <c r="A1793" s="1" t="str">
        <f t="shared" si="27"/>
        <v/>
      </c>
      <c r="B1793" s="30"/>
      <c r="C1793" s="29"/>
      <c r="D1793" s="29"/>
      <c r="E1793" s="29"/>
      <c r="F1793" s="29"/>
      <c r="G1793" s="30"/>
      <c r="H1793" s="31"/>
      <c r="I1793" s="31"/>
      <c r="J1793" s="32"/>
      <c r="K1793" s="33"/>
      <c r="L1793" s="31"/>
      <c r="M1793" s="32"/>
      <c r="N1793" s="31"/>
      <c r="O1793" s="36"/>
      <c r="P1793" s="34"/>
      <c r="Q1793" s="34"/>
      <c r="R1793" s="34"/>
      <c r="S1793" s="29"/>
      <c r="T1793" s="35"/>
      <c r="U1793" s="35"/>
      <c r="V1793" s="35"/>
      <c r="W1793" s="35"/>
      <c r="Y1793" s="31" t="str" cm="1">
        <f t="array" ref="Y1793">IF(LEFT(_xll.BDP($C1793, VOLUME_AVG_10D), 4) = "#N/A", "",  _xll.BDP($C1793, VOLUME_AVG_10D))</f>
        <v/>
      </c>
      <c r="Z1793" s="31" t="str" cm="1">
        <f t="array" ref="Z1793">IF(LEFT(_xll.BDP($C1793, VOLUME_AVG_30D), 4) = "#N/A", "",  _xll.BDP($C1793, VOLUME_AVG_30D))</f>
        <v/>
      </c>
      <c r="AA1793" s="31" t="str" cm="1">
        <f t="array" ref="AA1793">IF(LEFT(_xll.BDP($C1793, VOLUME_AVG_3M), 4) = "#N/A", "",  _xll.BDP($C1793, VOLUME_AVG_3M))</f>
        <v/>
      </c>
      <c r="AB1793" s="31" t="str" cm="1">
        <f t="array" ref="AB1793">IF(LEFT(_xll.BDP($C1793, VOLUME_AVG_6M), 4) = "#N/A", "",  _xll.BDP($C1793, VOLUME_AVG_6M))</f>
        <v/>
      </c>
      <c r="AC1793" s="31" t="str" cm="1">
        <f t="array" ref="AC1793">IF(LEFT(_xll.BDP($C1793, VOLUME_AVG_12M), 4) = "#N/A", "",  _xll.BDP($C1793, VOLUME_AVG_12M))</f>
        <v/>
      </c>
      <c r="AD1793" s="41" t="str" cm="1">
        <f t="array" ref="AD1793">IF(LEFT(_xll.BDP($C1793, LAST_PRICE), 4) = "#N/A", "",  _xll.BDP($C1793, LAST_PRICE))</f>
        <v/>
      </c>
    </row>
    <row r="1794" spans="1:30" x14ac:dyDescent="0.35">
      <c r="A1794" s="1" t="str">
        <f t="shared" si="27"/>
        <v/>
      </c>
      <c r="B1794" s="30"/>
      <c r="C1794" s="29"/>
      <c r="D1794" s="29"/>
      <c r="E1794" s="29"/>
      <c r="F1794" s="29"/>
      <c r="G1794" s="30"/>
      <c r="H1794" s="31"/>
      <c r="I1794" s="31"/>
      <c r="J1794" s="32"/>
      <c r="K1794" s="33"/>
      <c r="L1794" s="31"/>
      <c r="M1794" s="32"/>
      <c r="N1794" s="31"/>
      <c r="O1794" s="36"/>
      <c r="P1794" s="34"/>
      <c r="Q1794" s="34"/>
      <c r="R1794" s="34"/>
      <c r="S1794" s="29"/>
      <c r="T1794" s="35"/>
      <c r="U1794" s="35"/>
      <c r="V1794" s="35"/>
      <c r="W1794" s="35"/>
      <c r="Y1794" s="31" t="str" cm="1">
        <f t="array" ref="Y1794">IF(LEFT(_xll.BDP($C1794, VOLUME_AVG_10D), 4) = "#N/A", "",  _xll.BDP($C1794, VOLUME_AVG_10D))</f>
        <v/>
      </c>
      <c r="Z1794" s="31" t="str" cm="1">
        <f t="array" ref="Z1794">IF(LEFT(_xll.BDP($C1794, VOLUME_AVG_30D), 4) = "#N/A", "",  _xll.BDP($C1794, VOLUME_AVG_30D))</f>
        <v/>
      </c>
      <c r="AA1794" s="31" t="str" cm="1">
        <f t="array" ref="AA1794">IF(LEFT(_xll.BDP($C1794, VOLUME_AVG_3M), 4) = "#N/A", "",  _xll.BDP($C1794, VOLUME_AVG_3M))</f>
        <v/>
      </c>
      <c r="AB1794" s="31" t="str" cm="1">
        <f t="array" ref="AB1794">IF(LEFT(_xll.BDP($C1794, VOLUME_AVG_6M), 4) = "#N/A", "",  _xll.BDP($C1794, VOLUME_AVG_6M))</f>
        <v/>
      </c>
      <c r="AC1794" s="31" t="str" cm="1">
        <f t="array" ref="AC1794">IF(LEFT(_xll.BDP($C1794, VOLUME_AVG_12M), 4) = "#N/A", "",  _xll.BDP($C1794, VOLUME_AVG_12M))</f>
        <v/>
      </c>
      <c r="AD1794" s="41" t="str" cm="1">
        <f t="array" ref="AD1794">IF(LEFT(_xll.BDP($C1794, LAST_PRICE), 4) = "#N/A", "",  _xll.BDP($C1794, LAST_PRICE))</f>
        <v/>
      </c>
    </row>
    <row r="1795" spans="1:30" x14ac:dyDescent="0.35">
      <c r="A1795" s="1" t="str">
        <f t="shared" si="27"/>
        <v/>
      </c>
      <c r="B1795" s="30"/>
      <c r="C1795" s="29"/>
      <c r="D1795" s="29"/>
      <c r="E1795" s="29"/>
      <c r="F1795" s="29"/>
      <c r="G1795" s="30"/>
      <c r="H1795" s="31"/>
      <c r="I1795" s="31"/>
      <c r="J1795" s="32"/>
      <c r="K1795" s="33"/>
      <c r="L1795" s="31"/>
      <c r="M1795" s="32"/>
      <c r="N1795" s="31"/>
      <c r="O1795" s="36"/>
      <c r="P1795" s="34"/>
      <c r="Q1795" s="34"/>
      <c r="R1795" s="34"/>
      <c r="S1795" s="29"/>
      <c r="T1795" s="35"/>
      <c r="U1795" s="35"/>
      <c r="V1795" s="35"/>
      <c r="W1795" s="35"/>
      <c r="Y1795" s="31" t="str" cm="1">
        <f t="array" ref="Y1795">IF(LEFT(_xll.BDP($C1795, VOLUME_AVG_10D), 4) = "#N/A", "",  _xll.BDP($C1795, VOLUME_AVG_10D))</f>
        <v/>
      </c>
      <c r="Z1795" s="31" t="str" cm="1">
        <f t="array" ref="Z1795">IF(LEFT(_xll.BDP($C1795, VOLUME_AVG_30D), 4) = "#N/A", "",  _xll.BDP($C1795, VOLUME_AVG_30D))</f>
        <v/>
      </c>
      <c r="AA1795" s="31" t="str" cm="1">
        <f t="array" ref="AA1795">IF(LEFT(_xll.BDP($C1795, VOLUME_AVG_3M), 4) = "#N/A", "",  _xll.BDP($C1795, VOLUME_AVG_3M))</f>
        <v/>
      </c>
      <c r="AB1795" s="31" t="str" cm="1">
        <f t="array" ref="AB1795">IF(LEFT(_xll.BDP($C1795, VOLUME_AVG_6M), 4) = "#N/A", "",  _xll.BDP($C1795, VOLUME_AVG_6M))</f>
        <v/>
      </c>
      <c r="AC1795" s="31" t="str" cm="1">
        <f t="array" ref="AC1795">IF(LEFT(_xll.BDP($C1795, VOLUME_AVG_12M), 4) = "#N/A", "",  _xll.BDP($C1795, VOLUME_AVG_12M))</f>
        <v/>
      </c>
      <c r="AD1795" s="41" t="str" cm="1">
        <f t="array" ref="AD1795">IF(LEFT(_xll.BDP($C1795, LAST_PRICE), 4) = "#N/A", "",  _xll.BDP($C1795, LAST_PRICE))</f>
        <v/>
      </c>
    </row>
    <row r="1796" spans="1:30" x14ac:dyDescent="0.35">
      <c r="A1796" s="1" t="str">
        <f t="shared" si="27"/>
        <v/>
      </c>
      <c r="B1796" s="30"/>
      <c r="C1796" s="29"/>
      <c r="D1796" s="29"/>
      <c r="E1796" s="29"/>
      <c r="F1796" s="29"/>
      <c r="G1796" s="30"/>
      <c r="H1796" s="31"/>
      <c r="I1796" s="31"/>
      <c r="J1796" s="32"/>
      <c r="K1796" s="33"/>
      <c r="L1796" s="31"/>
      <c r="M1796" s="32"/>
      <c r="N1796" s="31"/>
      <c r="O1796" s="36"/>
      <c r="P1796" s="34"/>
      <c r="Q1796" s="34"/>
      <c r="R1796" s="34"/>
      <c r="S1796" s="29"/>
      <c r="T1796" s="35"/>
      <c r="U1796" s="35"/>
      <c r="V1796" s="35"/>
      <c r="W1796" s="35"/>
      <c r="Y1796" s="31" t="str" cm="1">
        <f t="array" ref="Y1796">IF(LEFT(_xll.BDP($C1796, VOLUME_AVG_10D), 4) = "#N/A", "",  _xll.BDP($C1796, VOLUME_AVG_10D))</f>
        <v/>
      </c>
      <c r="Z1796" s="31" t="str" cm="1">
        <f t="array" ref="Z1796">IF(LEFT(_xll.BDP($C1796, VOLUME_AVG_30D), 4) = "#N/A", "",  _xll.BDP($C1796, VOLUME_AVG_30D))</f>
        <v/>
      </c>
      <c r="AA1796" s="31" t="str" cm="1">
        <f t="array" ref="AA1796">IF(LEFT(_xll.BDP($C1796, VOLUME_AVG_3M), 4) = "#N/A", "",  _xll.BDP($C1796, VOLUME_AVG_3M))</f>
        <v/>
      </c>
      <c r="AB1796" s="31" t="str" cm="1">
        <f t="array" ref="AB1796">IF(LEFT(_xll.BDP($C1796, VOLUME_AVG_6M), 4) = "#N/A", "",  _xll.BDP($C1796, VOLUME_AVG_6M))</f>
        <v/>
      </c>
      <c r="AC1796" s="31" t="str" cm="1">
        <f t="array" ref="AC1796">IF(LEFT(_xll.BDP($C1796, VOLUME_AVG_12M), 4) = "#N/A", "",  _xll.BDP($C1796, VOLUME_AVG_12M))</f>
        <v/>
      </c>
      <c r="AD1796" s="41" t="str" cm="1">
        <f t="array" ref="AD1796">IF(LEFT(_xll.BDP($C1796, LAST_PRICE), 4) = "#N/A", "",  _xll.BDP($C1796, LAST_PRICE))</f>
        <v/>
      </c>
    </row>
    <row r="1797" spans="1:30" x14ac:dyDescent="0.35">
      <c r="A1797" s="1" t="str">
        <f t="shared" si="27"/>
        <v/>
      </c>
      <c r="B1797" s="30"/>
      <c r="C1797" s="29"/>
      <c r="D1797" s="29"/>
      <c r="E1797" s="29"/>
      <c r="F1797" s="29"/>
      <c r="G1797" s="30"/>
      <c r="H1797" s="31"/>
      <c r="I1797" s="31"/>
      <c r="J1797" s="32"/>
      <c r="K1797" s="33"/>
      <c r="L1797" s="31"/>
      <c r="M1797" s="32"/>
      <c r="N1797" s="31"/>
      <c r="O1797" s="36"/>
      <c r="P1797" s="34"/>
      <c r="Q1797" s="34"/>
      <c r="R1797" s="34"/>
      <c r="S1797" s="29"/>
      <c r="T1797" s="35"/>
      <c r="U1797" s="35"/>
      <c r="V1797" s="35"/>
      <c r="W1797" s="35"/>
      <c r="Y1797" s="31" t="str" cm="1">
        <f t="array" ref="Y1797">IF(LEFT(_xll.BDP($C1797, VOLUME_AVG_10D), 4) = "#N/A", "",  _xll.BDP($C1797, VOLUME_AVG_10D))</f>
        <v/>
      </c>
      <c r="Z1797" s="31" t="str" cm="1">
        <f t="array" ref="Z1797">IF(LEFT(_xll.BDP($C1797, VOLUME_AVG_30D), 4) = "#N/A", "",  _xll.BDP($C1797, VOLUME_AVG_30D))</f>
        <v/>
      </c>
      <c r="AA1797" s="31" t="str" cm="1">
        <f t="array" ref="AA1797">IF(LEFT(_xll.BDP($C1797, VOLUME_AVG_3M), 4) = "#N/A", "",  _xll.BDP($C1797, VOLUME_AVG_3M))</f>
        <v/>
      </c>
      <c r="AB1797" s="31" t="str" cm="1">
        <f t="array" ref="AB1797">IF(LEFT(_xll.BDP($C1797, VOLUME_AVG_6M), 4) = "#N/A", "",  _xll.BDP($C1797, VOLUME_AVG_6M))</f>
        <v/>
      </c>
      <c r="AC1797" s="31" t="str" cm="1">
        <f t="array" ref="AC1797">IF(LEFT(_xll.BDP($C1797, VOLUME_AVG_12M), 4) = "#N/A", "",  _xll.BDP($C1797, VOLUME_AVG_12M))</f>
        <v/>
      </c>
      <c r="AD1797" s="41" t="str" cm="1">
        <f t="array" ref="AD1797">IF(LEFT(_xll.BDP($C1797, LAST_PRICE), 4) = "#N/A", "",  _xll.BDP($C1797, LAST_PRICE))</f>
        <v/>
      </c>
    </row>
    <row r="1798" spans="1:30" x14ac:dyDescent="0.35">
      <c r="A1798" s="1" t="str">
        <f t="shared" ref="A1798:A1861" si="28">IF(B1798="","", A1797+1)</f>
        <v/>
      </c>
      <c r="B1798" s="30"/>
      <c r="C1798" s="29"/>
      <c r="D1798" s="29"/>
      <c r="E1798" s="29"/>
      <c r="F1798" s="29"/>
      <c r="G1798" s="30"/>
      <c r="H1798" s="31"/>
      <c r="I1798" s="31"/>
      <c r="J1798" s="32"/>
      <c r="K1798" s="33"/>
      <c r="L1798" s="31"/>
      <c r="M1798" s="32"/>
      <c r="N1798" s="31"/>
      <c r="O1798" s="36"/>
      <c r="P1798" s="34"/>
      <c r="Q1798" s="34"/>
      <c r="R1798" s="34"/>
      <c r="S1798" s="29"/>
      <c r="T1798" s="35"/>
      <c r="U1798" s="35"/>
      <c r="V1798" s="35"/>
      <c r="W1798" s="35"/>
      <c r="Y1798" s="31" t="str" cm="1">
        <f t="array" ref="Y1798">IF(LEFT(_xll.BDP($C1798, VOLUME_AVG_10D), 4) = "#N/A", "",  _xll.BDP($C1798, VOLUME_AVG_10D))</f>
        <v/>
      </c>
      <c r="Z1798" s="31" t="str" cm="1">
        <f t="array" ref="Z1798">IF(LEFT(_xll.BDP($C1798, VOLUME_AVG_30D), 4) = "#N/A", "",  _xll.BDP($C1798, VOLUME_AVG_30D))</f>
        <v/>
      </c>
      <c r="AA1798" s="31" t="str" cm="1">
        <f t="array" ref="AA1798">IF(LEFT(_xll.BDP($C1798, VOLUME_AVG_3M), 4) = "#N/A", "",  _xll.BDP($C1798, VOLUME_AVG_3M))</f>
        <v/>
      </c>
      <c r="AB1798" s="31" t="str" cm="1">
        <f t="array" ref="AB1798">IF(LEFT(_xll.BDP($C1798, VOLUME_AVG_6M), 4) = "#N/A", "",  _xll.BDP($C1798, VOLUME_AVG_6M))</f>
        <v/>
      </c>
      <c r="AC1798" s="31" t="str" cm="1">
        <f t="array" ref="AC1798">IF(LEFT(_xll.BDP($C1798, VOLUME_AVG_12M), 4) = "#N/A", "",  _xll.BDP($C1798, VOLUME_AVG_12M))</f>
        <v/>
      </c>
      <c r="AD1798" s="41" t="str" cm="1">
        <f t="array" ref="AD1798">IF(LEFT(_xll.BDP($C1798, LAST_PRICE), 4) = "#N/A", "",  _xll.BDP($C1798, LAST_PRICE))</f>
        <v/>
      </c>
    </row>
    <row r="1799" spans="1:30" x14ac:dyDescent="0.35">
      <c r="A1799" s="1" t="str">
        <f t="shared" si="28"/>
        <v/>
      </c>
      <c r="B1799" s="30"/>
      <c r="C1799" s="29"/>
      <c r="D1799" s="29"/>
      <c r="E1799" s="29"/>
      <c r="F1799" s="29"/>
      <c r="G1799" s="30"/>
      <c r="H1799" s="31"/>
      <c r="I1799" s="31"/>
      <c r="J1799" s="32"/>
      <c r="K1799" s="33"/>
      <c r="L1799" s="31"/>
      <c r="M1799" s="32"/>
      <c r="N1799" s="31"/>
      <c r="O1799" s="36"/>
      <c r="P1799" s="34"/>
      <c r="Q1799" s="34"/>
      <c r="R1799" s="34"/>
      <c r="S1799" s="29"/>
      <c r="T1799" s="35"/>
      <c r="U1799" s="35"/>
      <c r="V1799" s="35"/>
      <c r="W1799" s="35"/>
      <c r="Y1799" s="31" t="str" cm="1">
        <f t="array" ref="Y1799">IF(LEFT(_xll.BDP($C1799, VOLUME_AVG_10D), 4) = "#N/A", "",  _xll.BDP($C1799, VOLUME_AVG_10D))</f>
        <v/>
      </c>
      <c r="Z1799" s="31" t="str" cm="1">
        <f t="array" ref="Z1799">IF(LEFT(_xll.BDP($C1799, VOLUME_AVG_30D), 4) = "#N/A", "",  _xll.BDP($C1799, VOLUME_AVG_30D))</f>
        <v/>
      </c>
      <c r="AA1799" s="31" t="str" cm="1">
        <f t="array" ref="AA1799">IF(LEFT(_xll.BDP($C1799, VOLUME_AVG_3M), 4) = "#N/A", "",  _xll.BDP($C1799, VOLUME_AVG_3M))</f>
        <v/>
      </c>
      <c r="AB1799" s="31" t="str" cm="1">
        <f t="array" ref="AB1799">IF(LEFT(_xll.BDP($C1799, VOLUME_AVG_6M), 4) = "#N/A", "",  _xll.BDP($C1799, VOLUME_AVG_6M))</f>
        <v/>
      </c>
      <c r="AC1799" s="31" t="str" cm="1">
        <f t="array" ref="AC1799">IF(LEFT(_xll.BDP($C1799, VOLUME_AVG_12M), 4) = "#N/A", "",  _xll.BDP($C1799, VOLUME_AVG_12M))</f>
        <v/>
      </c>
      <c r="AD1799" s="41" t="str" cm="1">
        <f t="array" ref="AD1799">IF(LEFT(_xll.BDP($C1799, LAST_PRICE), 4) = "#N/A", "",  _xll.BDP($C1799, LAST_PRICE))</f>
        <v/>
      </c>
    </row>
    <row r="1800" spans="1:30" x14ac:dyDescent="0.35">
      <c r="A1800" s="1" t="str">
        <f t="shared" si="28"/>
        <v/>
      </c>
      <c r="B1800" s="30"/>
      <c r="C1800" s="29"/>
      <c r="D1800" s="29"/>
      <c r="E1800" s="29"/>
      <c r="F1800" s="29"/>
      <c r="G1800" s="30"/>
      <c r="H1800" s="31"/>
      <c r="I1800" s="31"/>
      <c r="J1800" s="32"/>
      <c r="K1800" s="33"/>
      <c r="L1800" s="31"/>
      <c r="M1800" s="32"/>
      <c r="N1800" s="31"/>
      <c r="O1800" s="36"/>
      <c r="P1800" s="34"/>
      <c r="Q1800" s="34"/>
      <c r="R1800" s="34"/>
      <c r="S1800" s="29"/>
      <c r="T1800" s="35"/>
      <c r="U1800" s="35"/>
      <c r="V1800" s="35"/>
      <c r="W1800" s="35"/>
      <c r="Y1800" s="31" t="str" cm="1">
        <f t="array" ref="Y1800">IF(LEFT(_xll.BDP($C1800, VOLUME_AVG_10D), 4) = "#N/A", "",  _xll.BDP($C1800, VOLUME_AVG_10D))</f>
        <v/>
      </c>
      <c r="Z1800" s="31" t="str" cm="1">
        <f t="array" ref="Z1800">IF(LEFT(_xll.BDP($C1800, VOLUME_AVG_30D), 4) = "#N/A", "",  _xll.BDP($C1800, VOLUME_AVG_30D))</f>
        <v/>
      </c>
      <c r="AA1800" s="31" t="str" cm="1">
        <f t="array" ref="AA1800">IF(LEFT(_xll.BDP($C1800, VOLUME_AVG_3M), 4) = "#N/A", "",  _xll.BDP($C1800, VOLUME_AVG_3M))</f>
        <v/>
      </c>
      <c r="AB1800" s="31" t="str" cm="1">
        <f t="array" ref="AB1800">IF(LEFT(_xll.BDP($C1800, VOLUME_AVG_6M), 4) = "#N/A", "",  _xll.BDP($C1800, VOLUME_AVG_6M))</f>
        <v/>
      </c>
      <c r="AC1800" s="31" t="str" cm="1">
        <f t="array" ref="AC1800">IF(LEFT(_xll.BDP($C1800, VOLUME_AVG_12M), 4) = "#N/A", "",  _xll.BDP($C1800, VOLUME_AVG_12M))</f>
        <v/>
      </c>
      <c r="AD1800" s="41" t="str" cm="1">
        <f t="array" ref="AD1800">IF(LEFT(_xll.BDP($C1800, LAST_PRICE), 4) = "#N/A", "",  _xll.BDP($C1800, LAST_PRICE))</f>
        <v/>
      </c>
    </row>
    <row r="1801" spans="1:30" x14ac:dyDescent="0.35">
      <c r="A1801" s="1" t="str">
        <f t="shared" si="28"/>
        <v/>
      </c>
      <c r="B1801" s="30"/>
      <c r="C1801" s="29"/>
      <c r="D1801" s="29"/>
      <c r="E1801" s="29"/>
      <c r="F1801" s="29"/>
      <c r="G1801" s="30"/>
      <c r="H1801" s="31"/>
      <c r="I1801" s="31"/>
      <c r="J1801" s="32"/>
      <c r="K1801" s="33"/>
      <c r="L1801" s="31"/>
      <c r="M1801" s="32"/>
      <c r="N1801" s="31"/>
      <c r="O1801" s="36"/>
      <c r="P1801" s="34"/>
      <c r="Q1801" s="34"/>
      <c r="R1801" s="34"/>
      <c r="S1801" s="29"/>
      <c r="T1801" s="35"/>
      <c r="U1801" s="35"/>
      <c r="V1801" s="35"/>
      <c r="W1801" s="35"/>
      <c r="Y1801" s="31" t="str" cm="1">
        <f t="array" ref="Y1801">IF(LEFT(_xll.BDP($C1801, VOLUME_AVG_10D), 4) = "#N/A", "",  _xll.BDP($C1801, VOLUME_AVG_10D))</f>
        <v/>
      </c>
      <c r="Z1801" s="31" t="str" cm="1">
        <f t="array" ref="Z1801">IF(LEFT(_xll.BDP($C1801, VOLUME_AVG_30D), 4) = "#N/A", "",  _xll.BDP($C1801, VOLUME_AVG_30D))</f>
        <v/>
      </c>
      <c r="AA1801" s="31" t="str" cm="1">
        <f t="array" ref="AA1801">IF(LEFT(_xll.BDP($C1801, VOLUME_AVG_3M), 4) = "#N/A", "",  _xll.BDP($C1801, VOLUME_AVG_3M))</f>
        <v/>
      </c>
      <c r="AB1801" s="31" t="str" cm="1">
        <f t="array" ref="AB1801">IF(LEFT(_xll.BDP($C1801, VOLUME_AVG_6M), 4) = "#N/A", "",  _xll.BDP($C1801, VOLUME_AVG_6M))</f>
        <v/>
      </c>
      <c r="AC1801" s="31" t="str" cm="1">
        <f t="array" ref="AC1801">IF(LEFT(_xll.BDP($C1801, VOLUME_AVG_12M), 4) = "#N/A", "",  _xll.BDP($C1801, VOLUME_AVG_12M))</f>
        <v/>
      </c>
      <c r="AD1801" s="41" t="str" cm="1">
        <f t="array" ref="AD1801">IF(LEFT(_xll.BDP($C1801, LAST_PRICE), 4) = "#N/A", "",  _xll.BDP($C1801, LAST_PRICE))</f>
        <v/>
      </c>
    </row>
    <row r="1802" spans="1:30" x14ac:dyDescent="0.35">
      <c r="A1802" s="1" t="str">
        <f t="shared" si="28"/>
        <v/>
      </c>
      <c r="B1802" s="30"/>
      <c r="C1802" s="29"/>
      <c r="D1802" s="29"/>
      <c r="E1802" s="29"/>
      <c r="F1802" s="29"/>
      <c r="G1802" s="30"/>
      <c r="H1802" s="31"/>
      <c r="I1802" s="31"/>
      <c r="J1802" s="32"/>
      <c r="K1802" s="33"/>
      <c r="L1802" s="31"/>
      <c r="M1802" s="32"/>
      <c r="N1802" s="31"/>
      <c r="O1802" s="36"/>
      <c r="P1802" s="34"/>
      <c r="Q1802" s="34"/>
      <c r="R1802" s="34"/>
      <c r="S1802" s="29"/>
      <c r="T1802" s="35"/>
      <c r="U1802" s="35"/>
      <c r="V1802" s="35"/>
      <c r="W1802" s="35"/>
      <c r="Y1802" s="31" t="str" cm="1">
        <f t="array" ref="Y1802">IF(LEFT(_xll.BDP($C1802, VOLUME_AVG_10D), 4) = "#N/A", "",  _xll.BDP($C1802, VOLUME_AVG_10D))</f>
        <v/>
      </c>
      <c r="Z1802" s="31" t="str" cm="1">
        <f t="array" ref="Z1802">IF(LEFT(_xll.BDP($C1802, VOLUME_AVG_30D), 4) = "#N/A", "",  _xll.BDP($C1802, VOLUME_AVG_30D))</f>
        <v/>
      </c>
      <c r="AA1802" s="31" t="str" cm="1">
        <f t="array" ref="AA1802">IF(LEFT(_xll.BDP($C1802, VOLUME_AVG_3M), 4) = "#N/A", "",  _xll.BDP($C1802, VOLUME_AVG_3M))</f>
        <v/>
      </c>
      <c r="AB1802" s="31" t="str" cm="1">
        <f t="array" ref="AB1802">IF(LEFT(_xll.BDP($C1802, VOLUME_AVG_6M), 4) = "#N/A", "",  _xll.BDP($C1802, VOLUME_AVG_6M))</f>
        <v/>
      </c>
      <c r="AC1802" s="31" t="str" cm="1">
        <f t="array" ref="AC1802">IF(LEFT(_xll.BDP($C1802, VOLUME_AVG_12M), 4) = "#N/A", "",  _xll.BDP($C1802, VOLUME_AVG_12M))</f>
        <v/>
      </c>
      <c r="AD1802" s="41" t="str" cm="1">
        <f t="array" ref="AD1802">IF(LEFT(_xll.BDP($C1802, LAST_PRICE), 4) = "#N/A", "",  _xll.BDP($C1802, LAST_PRICE))</f>
        <v/>
      </c>
    </row>
    <row r="1803" spans="1:30" x14ac:dyDescent="0.35">
      <c r="A1803" s="1" t="str">
        <f t="shared" si="28"/>
        <v/>
      </c>
      <c r="B1803" s="30"/>
      <c r="C1803" s="29"/>
      <c r="D1803" s="29"/>
      <c r="E1803" s="29"/>
      <c r="F1803" s="29"/>
      <c r="G1803" s="30"/>
      <c r="H1803" s="31"/>
      <c r="I1803" s="31"/>
      <c r="J1803" s="32"/>
      <c r="K1803" s="33"/>
      <c r="L1803" s="31"/>
      <c r="M1803" s="32"/>
      <c r="N1803" s="31"/>
      <c r="O1803" s="36"/>
      <c r="P1803" s="34"/>
      <c r="Q1803" s="34"/>
      <c r="R1803" s="34"/>
      <c r="S1803" s="29"/>
      <c r="T1803" s="35"/>
      <c r="U1803" s="35"/>
      <c r="V1803" s="35"/>
      <c r="W1803" s="35"/>
      <c r="Y1803" s="31" t="str" cm="1">
        <f t="array" ref="Y1803">IF(LEFT(_xll.BDP($C1803, VOLUME_AVG_10D), 4) = "#N/A", "",  _xll.BDP($C1803, VOLUME_AVG_10D))</f>
        <v/>
      </c>
      <c r="Z1803" s="31" t="str" cm="1">
        <f t="array" ref="Z1803">IF(LEFT(_xll.BDP($C1803, VOLUME_AVG_30D), 4) = "#N/A", "",  _xll.BDP($C1803, VOLUME_AVG_30D))</f>
        <v/>
      </c>
      <c r="AA1803" s="31" t="str" cm="1">
        <f t="array" ref="AA1803">IF(LEFT(_xll.BDP($C1803, VOLUME_AVG_3M), 4) = "#N/A", "",  _xll.BDP($C1803, VOLUME_AVG_3M))</f>
        <v/>
      </c>
      <c r="AB1803" s="31" t="str" cm="1">
        <f t="array" ref="AB1803">IF(LEFT(_xll.BDP($C1803, VOLUME_AVG_6M), 4) = "#N/A", "",  _xll.BDP($C1803, VOLUME_AVG_6M))</f>
        <v/>
      </c>
      <c r="AC1803" s="31" t="str" cm="1">
        <f t="array" ref="AC1803">IF(LEFT(_xll.BDP($C1803, VOLUME_AVG_12M), 4) = "#N/A", "",  _xll.BDP($C1803, VOLUME_AVG_12M))</f>
        <v/>
      </c>
      <c r="AD1803" s="41" t="str" cm="1">
        <f t="array" ref="AD1803">IF(LEFT(_xll.BDP($C1803, LAST_PRICE), 4) = "#N/A", "",  _xll.BDP($C1803, LAST_PRICE))</f>
        <v/>
      </c>
    </row>
    <row r="1804" spans="1:30" x14ac:dyDescent="0.35">
      <c r="A1804" s="1" t="str">
        <f t="shared" si="28"/>
        <v/>
      </c>
      <c r="B1804" s="30"/>
      <c r="C1804" s="29"/>
      <c r="D1804" s="29"/>
      <c r="E1804" s="29"/>
      <c r="F1804" s="29"/>
      <c r="G1804" s="30"/>
      <c r="H1804" s="31"/>
      <c r="I1804" s="31"/>
      <c r="J1804" s="32"/>
      <c r="K1804" s="33"/>
      <c r="L1804" s="31"/>
      <c r="M1804" s="32"/>
      <c r="N1804" s="31"/>
      <c r="O1804" s="36"/>
      <c r="P1804" s="34"/>
      <c r="Q1804" s="34"/>
      <c r="R1804" s="34"/>
      <c r="S1804" s="29"/>
      <c r="T1804" s="35"/>
      <c r="U1804" s="35"/>
      <c r="V1804" s="35"/>
      <c r="W1804" s="35"/>
      <c r="Y1804" s="31" t="str" cm="1">
        <f t="array" ref="Y1804">IF(LEFT(_xll.BDP($C1804, VOLUME_AVG_10D), 4) = "#N/A", "",  _xll.BDP($C1804, VOLUME_AVG_10D))</f>
        <v/>
      </c>
      <c r="Z1804" s="31" t="str" cm="1">
        <f t="array" ref="Z1804">IF(LEFT(_xll.BDP($C1804, VOLUME_AVG_30D), 4) = "#N/A", "",  _xll.BDP($C1804, VOLUME_AVG_30D))</f>
        <v/>
      </c>
      <c r="AA1804" s="31" t="str" cm="1">
        <f t="array" ref="AA1804">IF(LEFT(_xll.BDP($C1804, VOLUME_AVG_3M), 4) = "#N/A", "",  _xll.BDP($C1804, VOLUME_AVG_3M))</f>
        <v/>
      </c>
      <c r="AB1804" s="31" t="str" cm="1">
        <f t="array" ref="AB1804">IF(LEFT(_xll.BDP($C1804, VOLUME_AVG_6M), 4) = "#N/A", "",  _xll.BDP($C1804, VOLUME_AVG_6M))</f>
        <v/>
      </c>
      <c r="AC1804" s="31" t="str" cm="1">
        <f t="array" ref="AC1804">IF(LEFT(_xll.BDP($C1804, VOLUME_AVG_12M), 4) = "#N/A", "",  _xll.BDP($C1804, VOLUME_AVG_12M))</f>
        <v/>
      </c>
      <c r="AD1804" s="41" t="str" cm="1">
        <f t="array" ref="AD1804">IF(LEFT(_xll.BDP($C1804, LAST_PRICE), 4) = "#N/A", "",  _xll.BDP($C1804, LAST_PRICE))</f>
        <v/>
      </c>
    </row>
    <row r="1805" spans="1:30" x14ac:dyDescent="0.35">
      <c r="A1805" s="1" t="str">
        <f t="shared" si="28"/>
        <v/>
      </c>
      <c r="B1805" s="30"/>
      <c r="C1805" s="29"/>
      <c r="D1805" s="29"/>
      <c r="E1805" s="29"/>
      <c r="F1805" s="29"/>
      <c r="G1805" s="30"/>
      <c r="H1805" s="31"/>
      <c r="I1805" s="31"/>
      <c r="J1805" s="32"/>
      <c r="K1805" s="33"/>
      <c r="L1805" s="31"/>
      <c r="M1805" s="32"/>
      <c r="N1805" s="31"/>
      <c r="O1805" s="36"/>
      <c r="P1805" s="34"/>
      <c r="Q1805" s="34"/>
      <c r="R1805" s="34"/>
      <c r="S1805" s="29"/>
      <c r="T1805" s="35"/>
      <c r="U1805" s="35"/>
      <c r="V1805" s="35"/>
      <c r="W1805" s="35"/>
      <c r="Y1805" s="31" t="str" cm="1">
        <f t="array" ref="Y1805">IF(LEFT(_xll.BDP($C1805, VOLUME_AVG_10D), 4) = "#N/A", "",  _xll.BDP($C1805, VOLUME_AVG_10D))</f>
        <v/>
      </c>
      <c r="Z1805" s="31" t="str" cm="1">
        <f t="array" ref="Z1805">IF(LEFT(_xll.BDP($C1805, VOLUME_AVG_30D), 4) = "#N/A", "",  _xll.BDP($C1805, VOLUME_AVG_30D))</f>
        <v/>
      </c>
      <c r="AA1805" s="31" t="str" cm="1">
        <f t="array" ref="AA1805">IF(LEFT(_xll.BDP($C1805, VOLUME_AVG_3M), 4) = "#N/A", "",  _xll.BDP($C1805, VOLUME_AVG_3M))</f>
        <v/>
      </c>
      <c r="AB1805" s="31" t="str" cm="1">
        <f t="array" ref="AB1805">IF(LEFT(_xll.BDP($C1805, VOLUME_AVG_6M), 4) = "#N/A", "",  _xll.BDP($C1805, VOLUME_AVG_6M))</f>
        <v/>
      </c>
      <c r="AC1805" s="31" t="str" cm="1">
        <f t="array" ref="AC1805">IF(LEFT(_xll.BDP($C1805, VOLUME_AVG_12M), 4) = "#N/A", "",  _xll.BDP($C1805, VOLUME_AVG_12M))</f>
        <v/>
      </c>
      <c r="AD1805" s="41" t="str" cm="1">
        <f t="array" ref="AD1805">IF(LEFT(_xll.BDP($C1805, LAST_PRICE), 4) = "#N/A", "",  _xll.BDP($C1805, LAST_PRICE))</f>
        <v/>
      </c>
    </row>
    <row r="1806" spans="1:30" x14ac:dyDescent="0.35">
      <c r="A1806" s="1" t="str">
        <f t="shared" si="28"/>
        <v/>
      </c>
      <c r="B1806" s="30"/>
      <c r="C1806" s="29"/>
      <c r="D1806" s="29"/>
      <c r="E1806" s="29"/>
      <c r="F1806" s="29"/>
      <c r="G1806" s="30"/>
      <c r="H1806" s="31"/>
      <c r="I1806" s="31"/>
      <c r="J1806" s="32"/>
      <c r="K1806" s="33"/>
      <c r="L1806" s="31"/>
      <c r="M1806" s="32"/>
      <c r="N1806" s="31"/>
      <c r="O1806" s="36"/>
      <c r="P1806" s="34"/>
      <c r="Q1806" s="34"/>
      <c r="R1806" s="34"/>
      <c r="S1806" s="29"/>
      <c r="T1806" s="35"/>
      <c r="U1806" s="35"/>
      <c r="V1806" s="35"/>
      <c r="W1806" s="35"/>
      <c r="Y1806" s="31" t="str" cm="1">
        <f t="array" ref="Y1806">IF(LEFT(_xll.BDP($C1806, VOLUME_AVG_10D), 4) = "#N/A", "",  _xll.BDP($C1806, VOLUME_AVG_10D))</f>
        <v/>
      </c>
      <c r="Z1806" s="31" t="str" cm="1">
        <f t="array" ref="Z1806">IF(LEFT(_xll.BDP($C1806, VOLUME_AVG_30D), 4) = "#N/A", "",  _xll.BDP($C1806, VOLUME_AVG_30D))</f>
        <v/>
      </c>
      <c r="AA1806" s="31" t="str" cm="1">
        <f t="array" ref="AA1806">IF(LEFT(_xll.BDP($C1806, VOLUME_AVG_3M), 4) = "#N/A", "",  _xll.BDP($C1806, VOLUME_AVG_3M))</f>
        <v/>
      </c>
      <c r="AB1806" s="31" t="str" cm="1">
        <f t="array" ref="AB1806">IF(LEFT(_xll.BDP($C1806, VOLUME_AVG_6M), 4) = "#N/A", "",  _xll.BDP($C1806, VOLUME_AVG_6M))</f>
        <v/>
      </c>
      <c r="AC1806" s="31" t="str" cm="1">
        <f t="array" ref="AC1806">IF(LEFT(_xll.BDP($C1806, VOLUME_AVG_12M), 4) = "#N/A", "",  _xll.BDP($C1806, VOLUME_AVG_12M))</f>
        <v/>
      </c>
      <c r="AD1806" s="41" t="str" cm="1">
        <f t="array" ref="AD1806">IF(LEFT(_xll.BDP($C1806, LAST_PRICE), 4) = "#N/A", "",  _xll.BDP($C1806, LAST_PRICE))</f>
        <v/>
      </c>
    </row>
    <row r="1807" spans="1:30" x14ac:dyDescent="0.35">
      <c r="A1807" s="1" t="str">
        <f t="shared" si="28"/>
        <v/>
      </c>
      <c r="B1807" s="30"/>
      <c r="C1807" s="29"/>
      <c r="D1807" s="29"/>
      <c r="E1807" s="29"/>
      <c r="F1807" s="29"/>
      <c r="G1807" s="30"/>
      <c r="H1807" s="31"/>
      <c r="I1807" s="31"/>
      <c r="J1807" s="32"/>
      <c r="K1807" s="33"/>
      <c r="L1807" s="31"/>
      <c r="M1807" s="32"/>
      <c r="N1807" s="31"/>
      <c r="O1807" s="36"/>
      <c r="P1807" s="34"/>
      <c r="Q1807" s="34"/>
      <c r="R1807" s="34"/>
      <c r="S1807" s="29"/>
      <c r="T1807" s="35"/>
      <c r="U1807" s="35"/>
      <c r="V1807" s="35"/>
      <c r="W1807" s="35"/>
      <c r="Y1807" s="31" t="str" cm="1">
        <f t="array" ref="Y1807">IF(LEFT(_xll.BDP($C1807, VOLUME_AVG_10D), 4) = "#N/A", "",  _xll.BDP($C1807, VOLUME_AVG_10D))</f>
        <v/>
      </c>
      <c r="Z1807" s="31" t="str" cm="1">
        <f t="array" ref="Z1807">IF(LEFT(_xll.BDP($C1807, VOLUME_AVG_30D), 4) = "#N/A", "",  _xll.BDP($C1807, VOLUME_AVG_30D))</f>
        <v/>
      </c>
      <c r="AA1807" s="31" t="str" cm="1">
        <f t="array" ref="AA1807">IF(LEFT(_xll.BDP($C1807, VOLUME_AVG_3M), 4) = "#N/A", "",  _xll.BDP($C1807, VOLUME_AVG_3M))</f>
        <v/>
      </c>
      <c r="AB1807" s="31" t="str" cm="1">
        <f t="array" ref="AB1807">IF(LEFT(_xll.BDP($C1807, VOLUME_AVG_6M), 4) = "#N/A", "",  _xll.BDP($C1807, VOLUME_AVG_6M))</f>
        <v/>
      </c>
      <c r="AC1807" s="31" t="str" cm="1">
        <f t="array" ref="AC1807">IF(LEFT(_xll.BDP($C1807, VOLUME_AVG_12M), 4) = "#N/A", "",  _xll.BDP($C1807, VOLUME_AVG_12M))</f>
        <v/>
      </c>
      <c r="AD1807" s="41" t="str" cm="1">
        <f t="array" ref="AD1807">IF(LEFT(_xll.BDP($C1807, LAST_PRICE), 4) = "#N/A", "",  _xll.BDP($C1807, LAST_PRICE))</f>
        <v/>
      </c>
    </row>
    <row r="1808" spans="1:30" x14ac:dyDescent="0.35">
      <c r="A1808" s="1" t="str">
        <f t="shared" si="28"/>
        <v/>
      </c>
      <c r="B1808" s="30"/>
      <c r="C1808" s="29"/>
      <c r="D1808" s="29"/>
      <c r="E1808" s="29"/>
      <c r="F1808" s="29"/>
      <c r="G1808" s="30"/>
      <c r="H1808" s="31"/>
      <c r="I1808" s="31"/>
      <c r="J1808" s="32"/>
      <c r="K1808" s="33"/>
      <c r="L1808" s="31"/>
      <c r="M1808" s="32"/>
      <c r="N1808" s="31"/>
      <c r="O1808" s="36"/>
      <c r="P1808" s="34"/>
      <c r="Q1808" s="34"/>
      <c r="R1808" s="34"/>
      <c r="S1808" s="29"/>
      <c r="T1808" s="35"/>
      <c r="U1808" s="35"/>
      <c r="V1808" s="35"/>
      <c r="W1808" s="35"/>
      <c r="Y1808" s="31" t="str" cm="1">
        <f t="array" ref="Y1808">IF(LEFT(_xll.BDP($C1808, VOLUME_AVG_10D), 4) = "#N/A", "",  _xll.BDP($C1808, VOLUME_AVG_10D))</f>
        <v/>
      </c>
      <c r="Z1808" s="31" t="str" cm="1">
        <f t="array" ref="Z1808">IF(LEFT(_xll.BDP($C1808, VOLUME_AVG_30D), 4) = "#N/A", "",  _xll.BDP($C1808, VOLUME_AVG_30D))</f>
        <v/>
      </c>
      <c r="AA1808" s="31" t="str" cm="1">
        <f t="array" ref="AA1808">IF(LEFT(_xll.BDP($C1808, VOLUME_AVG_3M), 4) = "#N/A", "",  _xll.BDP($C1808, VOLUME_AVG_3M))</f>
        <v/>
      </c>
      <c r="AB1808" s="31" t="str" cm="1">
        <f t="array" ref="AB1808">IF(LEFT(_xll.BDP($C1808, VOLUME_AVG_6M), 4) = "#N/A", "",  _xll.BDP($C1808, VOLUME_AVG_6M))</f>
        <v/>
      </c>
      <c r="AC1808" s="31" t="str" cm="1">
        <f t="array" ref="AC1808">IF(LEFT(_xll.BDP($C1808, VOLUME_AVG_12M), 4) = "#N/A", "",  _xll.BDP($C1808, VOLUME_AVG_12M))</f>
        <v/>
      </c>
      <c r="AD1808" s="41" t="str" cm="1">
        <f t="array" ref="AD1808">IF(LEFT(_xll.BDP($C1808, LAST_PRICE), 4) = "#N/A", "",  _xll.BDP($C1808, LAST_PRICE))</f>
        <v/>
      </c>
    </row>
    <row r="1809" spans="1:30" x14ac:dyDescent="0.35">
      <c r="A1809" s="1" t="str">
        <f t="shared" si="28"/>
        <v/>
      </c>
      <c r="B1809" s="30"/>
      <c r="C1809" s="29"/>
      <c r="D1809" s="29"/>
      <c r="E1809" s="29"/>
      <c r="F1809" s="29"/>
      <c r="G1809" s="30"/>
      <c r="H1809" s="31"/>
      <c r="I1809" s="31"/>
      <c r="J1809" s="32"/>
      <c r="K1809" s="33"/>
      <c r="L1809" s="31"/>
      <c r="M1809" s="32"/>
      <c r="N1809" s="31"/>
      <c r="O1809" s="36"/>
      <c r="P1809" s="34"/>
      <c r="Q1809" s="34"/>
      <c r="R1809" s="34"/>
      <c r="S1809" s="29"/>
      <c r="T1809" s="35"/>
      <c r="U1809" s="35"/>
      <c r="V1809" s="35"/>
      <c r="W1809" s="35"/>
      <c r="Y1809" s="31" t="str" cm="1">
        <f t="array" ref="Y1809">IF(LEFT(_xll.BDP($C1809, VOLUME_AVG_10D), 4) = "#N/A", "",  _xll.BDP($C1809, VOLUME_AVG_10D))</f>
        <v/>
      </c>
      <c r="Z1809" s="31" t="str" cm="1">
        <f t="array" ref="Z1809">IF(LEFT(_xll.BDP($C1809, VOLUME_AVG_30D), 4) = "#N/A", "",  _xll.BDP($C1809, VOLUME_AVG_30D))</f>
        <v/>
      </c>
      <c r="AA1809" s="31" t="str" cm="1">
        <f t="array" ref="AA1809">IF(LEFT(_xll.BDP($C1809, VOLUME_AVG_3M), 4) = "#N/A", "",  _xll.BDP($C1809, VOLUME_AVG_3M))</f>
        <v/>
      </c>
      <c r="AB1809" s="31" t="str" cm="1">
        <f t="array" ref="AB1809">IF(LEFT(_xll.BDP($C1809, VOLUME_AVG_6M), 4) = "#N/A", "",  _xll.BDP($C1809, VOLUME_AVG_6M))</f>
        <v/>
      </c>
      <c r="AC1809" s="31" t="str" cm="1">
        <f t="array" ref="AC1809">IF(LEFT(_xll.BDP($C1809, VOLUME_AVG_12M), 4) = "#N/A", "",  _xll.BDP($C1809, VOLUME_AVG_12M))</f>
        <v/>
      </c>
      <c r="AD1809" s="41" t="str" cm="1">
        <f t="array" ref="AD1809">IF(LEFT(_xll.BDP($C1809, LAST_PRICE), 4) = "#N/A", "",  _xll.BDP($C1809, LAST_PRICE))</f>
        <v/>
      </c>
    </row>
    <row r="1810" spans="1:30" x14ac:dyDescent="0.35">
      <c r="A1810" s="1" t="str">
        <f t="shared" si="28"/>
        <v/>
      </c>
      <c r="B1810" s="30"/>
      <c r="C1810" s="29"/>
      <c r="D1810" s="29"/>
      <c r="E1810" s="29"/>
      <c r="F1810" s="29"/>
      <c r="G1810" s="30"/>
      <c r="H1810" s="31"/>
      <c r="I1810" s="31"/>
      <c r="J1810" s="32"/>
      <c r="K1810" s="33"/>
      <c r="L1810" s="31"/>
      <c r="M1810" s="32"/>
      <c r="N1810" s="31"/>
      <c r="O1810" s="36"/>
      <c r="P1810" s="34"/>
      <c r="Q1810" s="34"/>
      <c r="R1810" s="34"/>
      <c r="S1810" s="29"/>
      <c r="T1810" s="35"/>
      <c r="U1810" s="35"/>
      <c r="V1810" s="35"/>
      <c r="W1810" s="35"/>
      <c r="Y1810" s="31" t="str" cm="1">
        <f t="array" ref="Y1810">IF(LEFT(_xll.BDP($C1810, VOLUME_AVG_10D), 4) = "#N/A", "",  _xll.BDP($C1810, VOLUME_AVG_10D))</f>
        <v/>
      </c>
      <c r="Z1810" s="31" t="str" cm="1">
        <f t="array" ref="Z1810">IF(LEFT(_xll.BDP($C1810, VOLUME_AVG_30D), 4) = "#N/A", "",  _xll.BDP($C1810, VOLUME_AVG_30D))</f>
        <v/>
      </c>
      <c r="AA1810" s="31" t="str" cm="1">
        <f t="array" ref="AA1810">IF(LEFT(_xll.BDP($C1810, VOLUME_AVG_3M), 4) = "#N/A", "",  _xll.BDP($C1810, VOLUME_AVG_3M))</f>
        <v/>
      </c>
      <c r="AB1810" s="31" t="str" cm="1">
        <f t="array" ref="AB1810">IF(LEFT(_xll.BDP($C1810, VOLUME_AVG_6M), 4) = "#N/A", "",  _xll.BDP($C1810, VOLUME_AVG_6M))</f>
        <v/>
      </c>
      <c r="AC1810" s="31" t="str" cm="1">
        <f t="array" ref="AC1810">IF(LEFT(_xll.BDP($C1810, VOLUME_AVG_12M), 4) = "#N/A", "",  _xll.BDP($C1810, VOLUME_AVG_12M))</f>
        <v/>
      </c>
      <c r="AD1810" s="41" t="str" cm="1">
        <f t="array" ref="AD1810">IF(LEFT(_xll.BDP($C1810, LAST_PRICE), 4) = "#N/A", "",  _xll.BDP($C1810, LAST_PRICE))</f>
        <v/>
      </c>
    </row>
    <row r="1811" spans="1:30" x14ac:dyDescent="0.35">
      <c r="A1811" s="1" t="str">
        <f t="shared" si="28"/>
        <v/>
      </c>
      <c r="B1811" s="30"/>
      <c r="C1811" s="29"/>
      <c r="D1811" s="29"/>
      <c r="E1811" s="29"/>
      <c r="F1811" s="29"/>
      <c r="G1811" s="30"/>
      <c r="H1811" s="31"/>
      <c r="I1811" s="31"/>
      <c r="J1811" s="32"/>
      <c r="K1811" s="33"/>
      <c r="L1811" s="31"/>
      <c r="M1811" s="32"/>
      <c r="N1811" s="31"/>
      <c r="O1811" s="36"/>
      <c r="P1811" s="34"/>
      <c r="Q1811" s="34"/>
      <c r="R1811" s="34"/>
      <c r="S1811" s="29"/>
      <c r="T1811" s="35"/>
      <c r="U1811" s="35"/>
      <c r="V1811" s="35"/>
      <c r="W1811" s="35"/>
      <c r="Y1811" s="31" t="str" cm="1">
        <f t="array" ref="Y1811">IF(LEFT(_xll.BDP($C1811, VOLUME_AVG_10D), 4) = "#N/A", "",  _xll.BDP($C1811, VOLUME_AVG_10D))</f>
        <v/>
      </c>
      <c r="Z1811" s="31" t="str" cm="1">
        <f t="array" ref="Z1811">IF(LEFT(_xll.BDP($C1811, VOLUME_AVG_30D), 4) = "#N/A", "",  _xll.BDP($C1811, VOLUME_AVG_30D))</f>
        <v/>
      </c>
      <c r="AA1811" s="31" t="str" cm="1">
        <f t="array" ref="AA1811">IF(LEFT(_xll.BDP($C1811, VOLUME_AVG_3M), 4) = "#N/A", "",  _xll.BDP($C1811, VOLUME_AVG_3M))</f>
        <v/>
      </c>
      <c r="AB1811" s="31" t="str" cm="1">
        <f t="array" ref="AB1811">IF(LEFT(_xll.BDP($C1811, VOLUME_AVG_6M), 4) = "#N/A", "",  _xll.BDP($C1811, VOLUME_AVG_6M))</f>
        <v/>
      </c>
      <c r="AC1811" s="31" t="str" cm="1">
        <f t="array" ref="AC1811">IF(LEFT(_xll.BDP($C1811, VOLUME_AVG_12M), 4) = "#N/A", "",  _xll.BDP($C1811, VOLUME_AVG_12M))</f>
        <v/>
      </c>
      <c r="AD1811" s="41" t="str" cm="1">
        <f t="array" ref="AD1811">IF(LEFT(_xll.BDP($C1811, LAST_PRICE), 4) = "#N/A", "",  _xll.BDP($C1811, LAST_PRICE))</f>
        <v/>
      </c>
    </row>
    <row r="1812" spans="1:30" x14ac:dyDescent="0.35">
      <c r="A1812" s="1" t="str">
        <f t="shared" si="28"/>
        <v/>
      </c>
      <c r="B1812" s="30"/>
      <c r="C1812" s="29"/>
      <c r="D1812" s="29"/>
      <c r="E1812" s="29"/>
      <c r="F1812" s="29"/>
      <c r="G1812" s="30"/>
      <c r="H1812" s="31"/>
      <c r="I1812" s="31"/>
      <c r="J1812" s="32"/>
      <c r="K1812" s="33"/>
      <c r="L1812" s="31"/>
      <c r="M1812" s="32"/>
      <c r="N1812" s="31"/>
      <c r="O1812" s="36"/>
      <c r="P1812" s="34"/>
      <c r="Q1812" s="34"/>
      <c r="R1812" s="34"/>
      <c r="S1812" s="29"/>
      <c r="T1812" s="35"/>
      <c r="U1812" s="35"/>
      <c r="V1812" s="35"/>
      <c r="W1812" s="35"/>
      <c r="Y1812" s="31" t="str" cm="1">
        <f t="array" ref="Y1812">IF(LEFT(_xll.BDP($C1812, VOLUME_AVG_10D), 4) = "#N/A", "",  _xll.BDP($C1812, VOLUME_AVG_10D))</f>
        <v/>
      </c>
      <c r="Z1812" s="31" t="str" cm="1">
        <f t="array" ref="Z1812">IF(LEFT(_xll.BDP($C1812, VOLUME_AVG_30D), 4) = "#N/A", "",  _xll.BDP($C1812, VOLUME_AVG_30D))</f>
        <v/>
      </c>
      <c r="AA1812" s="31" t="str" cm="1">
        <f t="array" ref="AA1812">IF(LEFT(_xll.BDP($C1812, VOLUME_AVG_3M), 4) = "#N/A", "",  _xll.BDP($C1812, VOLUME_AVG_3M))</f>
        <v/>
      </c>
      <c r="AB1812" s="31" t="str" cm="1">
        <f t="array" ref="AB1812">IF(LEFT(_xll.BDP($C1812, VOLUME_AVG_6M), 4) = "#N/A", "",  _xll.BDP($C1812, VOLUME_AVG_6M))</f>
        <v/>
      </c>
      <c r="AC1812" s="31" t="str" cm="1">
        <f t="array" ref="AC1812">IF(LEFT(_xll.BDP($C1812, VOLUME_AVG_12M), 4) = "#N/A", "",  _xll.BDP($C1812, VOLUME_AVG_12M))</f>
        <v/>
      </c>
      <c r="AD1812" s="41" t="str" cm="1">
        <f t="array" ref="AD1812">IF(LEFT(_xll.BDP($C1812, LAST_PRICE), 4) = "#N/A", "",  _xll.BDP($C1812, LAST_PRICE))</f>
        <v/>
      </c>
    </row>
    <row r="1813" spans="1:30" x14ac:dyDescent="0.35">
      <c r="A1813" s="1" t="str">
        <f t="shared" si="28"/>
        <v/>
      </c>
      <c r="B1813" s="30"/>
      <c r="C1813" s="29"/>
      <c r="D1813" s="29"/>
      <c r="E1813" s="29"/>
      <c r="F1813" s="29"/>
      <c r="G1813" s="30"/>
      <c r="H1813" s="31"/>
      <c r="I1813" s="31"/>
      <c r="J1813" s="32"/>
      <c r="K1813" s="33"/>
      <c r="L1813" s="31"/>
      <c r="M1813" s="32"/>
      <c r="N1813" s="31"/>
      <c r="O1813" s="36"/>
      <c r="P1813" s="34"/>
      <c r="Q1813" s="34"/>
      <c r="R1813" s="34"/>
      <c r="S1813" s="29"/>
      <c r="T1813" s="35"/>
      <c r="U1813" s="35"/>
      <c r="V1813" s="35"/>
      <c r="W1813" s="35"/>
      <c r="Y1813" s="31" t="str" cm="1">
        <f t="array" ref="Y1813">IF(LEFT(_xll.BDP($C1813, VOLUME_AVG_10D), 4) = "#N/A", "",  _xll.BDP($C1813, VOLUME_AVG_10D))</f>
        <v/>
      </c>
      <c r="Z1813" s="31" t="str" cm="1">
        <f t="array" ref="Z1813">IF(LEFT(_xll.BDP($C1813, VOLUME_AVG_30D), 4) = "#N/A", "",  _xll.BDP($C1813, VOLUME_AVG_30D))</f>
        <v/>
      </c>
      <c r="AA1813" s="31" t="str" cm="1">
        <f t="array" ref="AA1813">IF(LEFT(_xll.BDP($C1813, VOLUME_AVG_3M), 4) = "#N/A", "",  _xll.BDP($C1813, VOLUME_AVG_3M))</f>
        <v/>
      </c>
      <c r="AB1813" s="31" t="str" cm="1">
        <f t="array" ref="AB1813">IF(LEFT(_xll.BDP($C1813, VOLUME_AVG_6M), 4) = "#N/A", "",  _xll.BDP($C1813, VOLUME_AVG_6M))</f>
        <v/>
      </c>
      <c r="AC1813" s="31" t="str" cm="1">
        <f t="array" ref="AC1813">IF(LEFT(_xll.BDP($C1813, VOLUME_AVG_12M), 4) = "#N/A", "",  _xll.BDP($C1813, VOLUME_AVG_12M))</f>
        <v/>
      </c>
      <c r="AD1813" s="41" t="str" cm="1">
        <f t="array" ref="AD1813">IF(LEFT(_xll.BDP($C1813, LAST_PRICE), 4) = "#N/A", "",  _xll.BDP($C1813, LAST_PRICE))</f>
        <v/>
      </c>
    </row>
    <row r="1814" spans="1:30" x14ac:dyDescent="0.35">
      <c r="A1814" s="1" t="str">
        <f t="shared" si="28"/>
        <v/>
      </c>
      <c r="B1814" s="30"/>
      <c r="C1814" s="29"/>
      <c r="D1814" s="29"/>
      <c r="E1814" s="29"/>
      <c r="F1814" s="29"/>
      <c r="G1814" s="30"/>
      <c r="H1814" s="31"/>
      <c r="I1814" s="31"/>
      <c r="J1814" s="32"/>
      <c r="K1814" s="33"/>
      <c r="L1814" s="31"/>
      <c r="M1814" s="32"/>
      <c r="N1814" s="31"/>
      <c r="O1814" s="36"/>
      <c r="P1814" s="34"/>
      <c r="Q1814" s="34"/>
      <c r="R1814" s="34"/>
      <c r="S1814" s="29"/>
      <c r="T1814" s="35"/>
      <c r="U1814" s="35"/>
      <c r="V1814" s="35"/>
      <c r="W1814" s="35"/>
      <c r="Y1814" s="31" t="str" cm="1">
        <f t="array" ref="Y1814">IF(LEFT(_xll.BDP($C1814, VOLUME_AVG_10D), 4) = "#N/A", "",  _xll.BDP($C1814, VOLUME_AVG_10D))</f>
        <v/>
      </c>
      <c r="Z1814" s="31" t="str" cm="1">
        <f t="array" ref="Z1814">IF(LEFT(_xll.BDP($C1814, VOLUME_AVG_30D), 4) = "#N/A", "",  _xll.BDP($C1814, VOLUME_AVG_30D))</f>
        <v/>
      </c>
      <c r="AA1814" s="31" t="str" cm="1">
        <f t="array" ref="AA1814">IF(LEFT(_xll.BDP($C1814, VOLUME_AVG_3M), 4) = "#N/A", "",  _xll.BDP($C1814, VOLUME_AVG_3M))</f>
        <v/>
      </c>
      <c r="AB1814" s="31" t="str" cm="1">
        <f t="array" ref="AB1814">IF(LEFT(_xll.BDP($C1814, VOLUME_AVG_6M), 4) = "#N/A", "",  _xll.BDP($C1814, VOLUME_AVG_6M))</f>
        <v/>
      </c>
      <c r="AC1814" s="31" t="str" cm="1">
        <f t="array" ref="AC1814">IF(LEFT(_xll.BDP($C1814, VOLUME_AVG_12M), 4) = "#N/A", "",  _xll.BDP($C1814, VOLUME_AVG_12M))</f>
        <v/>
      </c>
      <c r="AD1814" s="41" t="str" cm="1">
        <f t="array" ref="AD1814">IF(LEFT(_xll.BDP($C1814, LAST_PRICE), 4) = "#N/A", "",  _xll.BDP($C1814, LAST_PRICE))</f>
        <v/>
      </c>
    </row>
    <row r="1815" spans="1:30" x14ac:dyDescent="0.35">
      <c r="A1815" s="1" t="str">
        <f t="shared" si="28"/>
        <v/>
      </c>
      <c r="B1815" s="30"/>
      <c r="C1815" s="29"/>
      <c r="D1815" s="29"/>
      <c r="E1815" s="29"/>
      <c r="F1815" s="29"/>
      <c r="G1815" s="30"/>
      <c r="H1815" s="31"/>
      <c r="I1815" s="31"/>
      <c r="J1815" s="32"/>
      <c r="K1815" s="33"/>
      <c r="L1815" s="31"/>
      <c r="M1815" s="32"/>
      <c r="N1815" s="31"/>
      <c r="O1815" s="36"/>
      <c r="P1815" s="34"/>
      <c r="Q1815" s="34"/>
      <c r="R1815" s="34"/>
      <c r="S1815" s="29"/>
      <c r="T1815" s="35"/>
      <c r="U1815" s="35"/>
      <c r="V1815" s="35"/>
      <c r="W1815" s="35"/>
      <c r="Y1815" s="31" t="str" cm="1">
        <f t="array" ref="Y1815">IF(LEFT(_xll.BDP($C1815, VOLUME_AVG_10D), 4) = "#N/A", "",  _xll.BDP($C1815, VOLUME_AVG_10D))</f>
        <v/>
      </c>
      <c r="Z1815" s="31" t="str" cm="1">
        <f t="array" ref="Z1815">IF(LEFT(_xll.BDP($C1815, VOLUME_AVG_30D), 4) = "#N/A", "",  _xll.BDP($C1815, VOLUME_AVG_30D))</f>
        <v/>
      </c>
      <c r="AA1815" s="31" t="str" cm="1">
        <f t="array" ref="AA1815">IF(LEFT(_xll.BDP($C1815, VOLUME_AVG_3M), 4) = "#N/A", "",  _xll.BDP($C1815, VOLUME_AVG_3M))</f>
        <v/>
      </c>
      <c r="AB1815" s="31" t="str" cm="1">
        <f t="array" ref="AB1815">IF(LEFT(_xll.BDP($C1815, VOLUME_AVG_6M), 4) = "#N/A", "",  _xll.BDP($C1815, VOLUME_AVG_6M))</f>
        <v/>
      </c>
      <c r="AC1815" s="31" t="str" cm="1">
        <f t="array" ref="AC1815">IF(LEFT(_xll.BDP($C1815, VOLUME_AVG_12M), 4) = "#N/A", "",  _xll.BDP($C1815, VOLUME_AVG_12M))</f>
        <v/>
      </c>
      <c r="AD1815" s="41" t="str" cm="1">
        <f t="array" ref="AD1815">IF(LEFT(_xll.BDP($C1815, LAST_PRICE), 4) = "#N/A", "",  _xll.BDP($C1815, LAST_PRICE))</f>
        <v/>
      </c>
    </row>
    <row r="1816" spans="1:30" x14ac:dyDescent="0.35">
      <c r="A1816" s="1" t="str">
        <f t="shared" si="28"/>
        <v/>
      </c>
      <c r="B1816" s="30"/>
      <c r="C1816" s="29"/>
      <c r="D1816" s="29"/>
      <c r="E1816" s="29"/>
      <c r="F1816" s="29"/>
      <c r="G1816" s="30"/>
      <c r="H1816" s="31"/>
      <c r="I1816" s="31"/>
      <c r="J1816" s="32"/>
      <c r="K1816" s="33"/>
      <c r="L1816" s="31"/>
      <c r="M1816" s="32"/>
      <c r="N1816" s="31"/>
      <c r="O1816" s="36"/>
      <c r="P1816" s="34"/>
      <c r="Q1816" s="34"/>
      <c r="R1816" s="34"/>
      <c r="S1816" s="29"/>
      <c r="T1816" s="35"/>
      <c r="U1816" s="35"/>
      <c r="V1816" s="35"/>
      <c r="W1816" s="35"/>
      <c r="Y1816" s="31" t="str" cm="1">
        <f t="array" ref="Y1816">IF(LEFT(_xll.BDP($C1816, VOLUME_AVG_10D), 4) = "#N/A", "",  _xll.BDP($C1816, VOLUME_AVG_10D))</f>
        <v/>
      </c>
      <c r="Z1816" s="31" t="str" cm="1">
        <f t="array" ref="Z1816">IF(LEFT(_xll.BDP($C1816, VOLUME_AVG_30D), 4) = "#N/A", "",  _xll.BDP($C1816, VOLUME_AVG_30D))</f>
        <v/>
      </c>
      <c r="AA1816" s="31" t="str" cm="1">
        <f t="array" ref="AA1816">IF(LEFT(_xll.BDP($C1816, VOLUME_AVG_3M), 4) = "#N/A", "",  _xll.BDP($C1816, VOLUME_AVG_3M))</f>
        <v/>
      </c>
      <c r="AB1816" s="31" t="str" cm="1">
        <f t="array" ref="AB1816">IF(LEFT(_xll.BDP($C1816, VOLUME_AVG_6M), 4) = "#N/A", "",  _xll.BDP($C1816, VOLUME_AVG_6M))</f>
        <v/>
      </c>
      <c r="AC1816" s="31" t="str" cm="1">
        <f t="array" ref="AC1816">IF(LEFT(_xll.BDP($C1816, VOLUME_AVG_12M), 4) = "#N/A", "",  _xll.BDP($C1816, VOLUME_AVG_12M))</f>
        <v/>
      </c>
      <c r="AD1816" s="41" t="str" cm="1">
        <f t="array" ref="AD1816">IF(LEFT(_xll.BDP($C1816, LAST_PRICE), 4) = "#N/A", "",  _xll.BDP($C1816, LAST_PRICE))</f>
        <v/>
      </c>
    </row>
    <row r="1817" spans="1:30" x14ac:dyDescent="0.35">
      <c r="A1817" s="1" t="str">
        <f t="shared" si="28"/>
        <v/>
      </c>
      <c r="B1817" s="30"/>
      <c r="C1817" s="29"/>
      <c r="D1817" s="29"/>
      <c r="E1817" s="29"/>
      <c r="F1817" s="29"/>
      <c r="G1817" s="30"/>
      <c r="H1817" s="31"/>
      <c r="I1817" s="31"/>
      <c r="J1817" s="32"/>
      <c r="K1817" s="33"/>
      <c r="L1817" s="31"/>
      <c r="M1817" s="32"/>
      <c r="N1817" s="31"/>
      <c r="O1817" s="36"/>
      <c r="P1817" s="34"/>
      <c r="Q1817" s="34"/>
      <c r="R1817" s="34"/>
      <c r="S1817" s="29"/>
      <c r="T1817" s="35"/>
      <c r="U1817" s="35"/>
      <c r="V1817" s="35"/>
      <c r="W1817" s="35"/>
      <c r="Y1817" s="31" t="str" cm="1">
        <f t="array" ref="Y1817">IF(LEFT(_xll.BDP($C1817, VOLUME_AVG_10D), 4) = "#N/A", "",  _xll.BDP($C1817, VOLUME_AVG_10D))</f>
        <v/>
      </c>
      <c r="Z1817" s="31" t="str" cm="1">
        <f t="array" ref="Z1817">IF(LEFT(_xll.BDP($C1817, VOLUME_AVG_30D), 4) = "#N/A", "",  _xll.BDP($C1817, VOLUME_AVG_30D))</f>
        <v/>
      </c>
      <c r="AA1817" s="31" t="str" cm="1">
        <f t="array" ref="AA1817">IF(LEFT(_xll.BDP($C1817, VOLUME_AVG_3M), 4) = "#N/A", "",  _xll.BDP($C1817, VOLUME_AVG_3M))</f>
        <v/>
      </c>
      <c r="AB1817" s="31" t="str" cm="1">
        <f t="array" ref="AB1817">IF(LEFT(_xll.BDP($C1817, VOLUME_AVG_6M), 4) = "#N/A", "",  _xll.BDP($C1817, VOLUME_AVG_6M))</f>
        <v/>
      </c>
      <c r="AC1817" s="31" t="str" cm="1">
        <f t="array" ref="AC1817">IF(LEFT(_xll.BDP($C1817, VOLUME_AVG_12M), 4) = "#N/A", "",  _xll.BDP($C1817, VOLUME_AVG_12M))</f>
        <v/>
      </c>
      <c r="AD1817" s="41" t="str" cm="1">
        <f t="array" ref="AD1817">IF(LEFT(_xll.BDP($C1817, LAST_PRICE), 4) = "#N/A", "",  _xll.BDP($C1817, LAST_PRICE))</f>
        <v/>
      </c>
    </row>
    <row r="1818" spans="1:30" x14ac:dyDescent="0.35">
      <c r="A1818" s="1" t="str">
        <f t="shared" si="28"/>
        <v/>
      </c>
      <c r="B1818" s="30"/>
      <c r="C1818" s="29"/>
      <c r="D1818" s="29"/>
      <c r="E1818" s="29"/>
      <c r="F1818" s="29"/>
      <c r="G1818" s="30"/>
      <c r="H1818" s="31"/>
      <c r="I1818" s="31"/>
      <c r="J1818" s="32"/>
      <c r="K1818" s="33"/>
      <c r="L1818" s="31"/>
      <c r="M1818" s="32"/>
      <c r="N1818" s="31"/>
      <c r="O1818" s="36"/>
      <c r="P1818" s="34"/>
      <c r="Q1818" s="34"/>
      <c r="R1818" s="34"/>
      <c r="S1818" s="29"/>
      <c r="T1818" s="35"/>
      <c r="U1818" s="35"/>
      <c r="V1818" s="35"/>
      <c r="W1818" s="35"/>
      <c r="Y1818" s="31" t="str" cm="1">
        <f t="array" ref="Y1818">IF(LEFT(_xll.BDP($C1818, VOLUME_AVG_10D), 4) = "#N/A", "",  _xll.BDP($C1818, VOLUME_AVG_10D))</f>
        <v/>
      </c>
      <c r="Z1818" s="31" t="str" cm="1">
        <f t="array" ref="Z1818">IF(LEFT(_xll.BDP($C1818, VOLUME_AVG_30D), 4) = "#N/A", "",  _xll.BDP($C1818, VOLUME_AVG_30D))</f>
        <v/>
      </c>
      <c r="AA1818" s="31" t="str" cm="1">
        <f t="array" ref="AA1818">IF(LEFT(_xll.BDP($C1818, VOLUME_AVG_3M), 4) = "#N/A", "",  _xll.BDP($C1818, VOLUME_AVG_3M))</f>
        <v/>
      </c>
      <c r="AB1818" s="31" t="str" cm="1">
        <f t="array" ref="AB1818">IF(LEFT(_xll.BDP($C1818, VOLUME_AVG_6M), 4) = "#N/A", "",  _xll.BDP($C1818, VOLUME_AVG_6M))</f>
        <v/>
      </c>
      <c r="AC1818" s="31" t="str" cm="1">
        <f t="array" ref="AC1818">IF(LEFT(_xll.BDP($C1818, VOLUME_AVG_12M), 4) = "#N/A", "",  _xll.BDP($C1818, VOLUME_AVG_12M))</f>
        <v/>
      </c>
      <c r="AD1818" s="41" t="str" cm="1">
        <f t="array" ref="AD1818">IF(LEFT(_xll.BDP($C1818, LAST_PRICE), 4) = "#N/A", "",  _xll.BDP($C1818, LAST_PRICE))</f>
        <v/>
      </c>
    </row>
    <row r="1819" spans="1:30" x14ac:dyDescent="0.35">
      <c r="A1819" s="1" t="str">
        <f t="shared" si="28"/>
        <v/>
      </c>
      <c r="B1819" s="30"/>
      <c r="C1819" s="29"/>
      <c r="D1819" s="29"/>
      <c r="E1819" s="29"/>
      <c r="F1819" s="29"/>
      <c r="G1819" s="30"/>
      <c r="H1819" s="31"/>
      <c r="I1819" s="31"/>
      <c r="J1819" s="32"/>
      <c r="K1819" s="33"/>
      <c r="L1819" s="31"/>
      <c r="M1819" s="32"/>
      <c r="N1819" s="31"/>
      <c r="O1819" s="36"/>
      <c r="P1819" s="34"/>
      <c r="Q1819" s="34"/>
      <c r="R1819" s="34"/>
      <c r="S1819" s="29"/>
      <c r="T1819" s="35"/>
      <c r="U1819" s="35"/>
      <c r="V1819" s="35"/>
      <c r="W1819" s="35"/>
      <c r="Y1819" s="31" t="str" cm="1">
        <f t="array" ref="Y1819">IF(LEFT(_xll.BDP($C1819, VOLUME_AVG_10D), 4) = "#N/A", "",  _xll.BDP($C1819, VOLUME_AVG_10D))</f>
        <v/>
      </c>
      <c r="Z1819" s="31" t="str" cm="1">
        <f t="array" ref="Z1819">IF(LEFT(_xll.BDP($C1819, VOLUME_AVG_30D), 4) = "#N/A", "",  _xll.BDP($C1819, VOLUME_AVG_30D))</f>
        <v/>
      </c>
      <c r="AA1819" s="31" t="str" cm="1">
        <f t="array" ref="AA1819">IF(LEFT(_xll.BDP($C1819, VOLUME_AVG_3M), 4) = "#N/A", "",  _xll.BDP($C1819, VOLUME_AVG_3M))</f>
        <v/>
      </c>
      <c r="AB1819" s="31" t="str" cm="1">
        <f t="array" ref="AB1819">IF(LEFT(_xll.BDP($C1819, VOLUME_AVG_6M), 4) = "#N/A", "",  _xll.BDP($C1819, VOLUME_AVG_6M))</f>
        <v/>
      </c>
      <c r="AC1819" s="31" t="str" cm="1">
        <f t="array" ref="AC1819">IF(LEFT(_xll.BDP($C1819, VOLUME_AVG_12M), 4) = "#N/A", "",  _xll.BDP($C1819, VOLUME_AVG_12M))</f>
        <v/>
      </c>
      <c r="AD1819" s="41" t="str" cm="1">
        <f t="array" ref="AD1819">IF(LEFT(_xll.BDP($C1819, LAST_PRICE), 4) = "#N/A", "",  _xll.BDP($C1819, LAST_PRICE))</f>
        <v/>
      </c>
    </row>
    <row r="1820" spans="1:30" x14ac:dyDescent="0.35">
      <c r="A1820" s="1" t="str">
        <f t="shared" si="28"/>
        <v/>
      </c>
      <c r="B1820" s="30"/>
      <c r="C1820" s="29"/>
      <c r="D1820" s="29"/>
      <c r="E1820" s="29"/>
      <c r="F1820" s="29"/>
      <c r="G1820" s="30"/>
      <c r="H1820" s="31"/>
      <c r="I1820" s="31"/>
      <c r="J1820" s="32"/>
      <c r="K1820" s="33"/>
      <c r="L1820" s="31"/>
      <c r="M1820" s="32"/>
      <c r="N1820" s="31"/>
      <c r="O1820" s="36"/>
      <c r="P1820" s="34"/>
      <c r="Q1820" s="34"/>
      <c r="R1820" s="34"/>
      <c r="S1820" s="29"/>
      <c r="T1820" s="35"/>
      <c r="U1820" s="35"/>
      <c r="V1820" s="35"/>
      <c r="W1820" s="35"/>
      <c r="Y1820" s="31" t="str" cm="1">
        <f t="array" ref="Y1820">IF(LEFT(_xll.BDP($C1820, VOLUME_AVG_10D), 4) = "#N/A", "",  _xll.BDP($C1820, VOLUME_AVG_10D))</f>
        <v/>
      </c>
      <c r="Z1820" s="31" t="str" cm="1">
        <f t="array" ref="Z1820">IF(LEFT(_xll.BDP($C1820, VOLUME_AVG_30D), 4) = "#N/A", "",  _xll.BDP($C1820, VOLUME_AVG_30D))</f>
        <v/>
      </c>
      <c r="AA1820" s="31" t="str" cm="1">
        <f t="array" ref="AA1820">IF(LEFT(_xll.BDP($C1820, VOLUME_AVG_3M), 4) = "#N/A", "",  _xll.BDP($C1820, VOLUME_AVG_3M))</f>
        <v/>
      </c>
      <c r="AB1820" s="31" t="str" cm="1">
        <f t="array" ref="AB1820">IF(LEFT(_xll.BDP($C1820, VOLUME_AVG_6M), 4) = "#N/A", "",  _xll.BDP($C1820, VOLUME_AVG_6M))</f>
        <v/>
      </c>
      <c r="AC1820" s="31" t="str" cm="1">
        <f t="array" ref="AC1820">IF(LEFT(_xll.BDP($C1820, VOLUME_AVG_12M), 4) = "#N/A", "",  _xll.BDP($C1820, VOLUME_AVG_12M))</f>
        <v/>
      </c>
      <c r="AD1820" s="41" t="str" cm="1">
        <f t="array" ref="AD1820">IF(LEFT(_xll.BDP($C1820, LAST_PRICE), 4) = "#N/A", "",  _xll.BDP($C1820, LAST_PRICE))</f>
        <v/>
      </c>
    </row>
    <row r="1821" spans="1:30" x14ac:dyDescent="0.35">
      <c r="A1821" s="1" t="str">
        <f t="shared" si="28"/>
        <v/>
      </c>
      <c r="B1821" s="30"/>
      <c r="C1821" s="29"/>
      <c r="D1821" s="29"/>
      <c r="E1821" s="29"/>
      <c r="F1821" s="29"/>
      <c r="G1821" s="30"/>
      <c r="H1821" s="31"/>
      <c r="I1821" s="31"/>
      <c r="J1821" s="32"/>
      <c r="K1821" s="33"/>
      <c r="L1821" s="31"/>
      <c r="M1821" s="32"/>
      <c r="N1821" s="31"/>
      <c r="O1821" s="36"/>
      <c r="P1821" s="34"/>
      <c r="Q1821" s="34"/>
      <c r="R1821" s="34"/>
      <c r="S1821" s="29"/>
      <c r="T1821" s="35"/>
      <c r="U1821" s="35"/>
      <c r="V1821" s="35"/>
      <c r="W1821" s="35"/>
      <c r="Y1821" s="31" t="str" cm="1">
        <f t="array" ref="Y1821">IF(LEFT(_xll.BDP($C1821, VOLUME_AVG_10D), 4) = "#N/A", "",  _xll.BDP($C1821, VOLUME_AVG_10D))</f>
        <v/>
      </c>
      <c r="Z1821" s="31" t="str" cm="1">
        <f t="array" ref="Z1821">IF(LEFT(_xll.BDP($C1821, VOLUME_AVG_30D), 4) = "#N/A", "",  _xll.BDP($C1821, VOLUME_AVG_30D))</f>
        <v/>
      </c>
      <c r="AA1821" s="31" t="str" cm="1">
        <f t="array" ref="AA1821">IF(LEFT(_xll.BDP($C1821, VOLUME_AVG_3M), 4) = "#N/A", "",  _xll.BDP($C1821, VOLUME_AVG_3M))</f>
        <v/>
      </c>
      <c r="AB1821" s="31" t="str" cm="1">
        <f t="array" ref="AB1821">IF(LEFT(_xll.BDP($C1821, VOLUME_AVG_6M), 4) = "#N/A", "",  _xll.BDP($C1821, VOLUME_AVG_6M))</f>
        <v/>
      </c>
      <c r="AC1821" s="31" t="str" cm="1">
        <f t="array" ref="AC1821">IF(LEFT(_xll.BDP($C1821, VOLUME_AVG_12M), 4) = "#N/A", "",  _xll.BDP($C1821, VOLUME_AVG_12M))</f>
        <v/>
      </c>
      <c r="AD1821" s="41" t="str" cm="1">
        <f t="array" ref="AD1821">IF(LEFT(_xll.BDP($C1821, LAST_PRICE), 4) = "#N/A", "",  _xll.BDP($C1821, LAST_PRICE))</f>
        <v/>
      </c>
    </row>
    <row r="1822" spans="1:30" x14ac:dyDescent="0.35">
      <c r="A1822" s="1" t="str">
        <f t="shared" si="28"/>
        <v/>
      </c>
      <c r="B1822" s="30"/>
      <c r="C1822" s="29"/>
      <c r="D1822" s="29"/>
      <c r="E1822" s="29"/>
      <c r="F1822" s="29"/>
      <c r="G1822" s="30"/>
      <c r="H1822" s="31"/>
      <c r="I1822" s="31"/>
      <c r="J1822" s="32"/>
      <c r="K1822" s="33"/>
      <c r="L1822" s="31"/>
      <c r="M1822" s="32"/>
      <c r="N1822" s="31"/>
      <c r="O1822" s="36"/>
      <c r="P1822" s="34"/>
      <c r="Q1822" s="34"/>
      <c r="R1822" s="34"/>
      <c r="S1822" s="29"/>
      <c r="T1822" s="35"/>
      <c r="U1822" s="35"/>
      <c r="V1822" s="35"/>
      <c r="W1822" s="35"/>
      <c r="Y1822" s="31" t="str" cm="1">
        <f t="array" ref="Y1822">IF(LEFT(_xll.BDP($C1822, VOLUME_AVG_10D), 4) = "#N/A", "",  _xll.BDP($C1822, VOLUME_AVG_10D))</f>
        <v/>
      </c>
      <c r="Z1822" s="31" t="str" cm="1">
        <f t="array" ref="Z1822">IF(LEFT(_xll.BDP($C1822, VOLUME_AVG_30D), 4) = "#N/A", "",  _xll.BDP($C1822, VOLUME_AVG_30D))</f>
        <v/>
      </c>
      <c r="AA1822" s="31" t="str" cm="1">
        <f t="array" ref="AA1822">IF(LEFT(_xll.BDP($C1822, VOLUME_AVG_3M), 4) = "#N/A", "",  _xll.BDP($C1822, VOLUME_AVG_3M))</f>
        <v/>
      </c>
      <c r="AB1822" s="31" t="str" cm="1">
        <f t="array" ref="AB1822">IF(LEFT(_xll.BDP($C1822, VOLUME_AVG_6M), 4) = "#N/A", "",  _xll.BDP($C1822, VOLUME_AVG_6M))</f>
        <v/>
      </c>
      <c r="AC1822" s="31" t="str" cm="1">
        <f t="array" ref="AC1822">IF(LEFT(_xll.BDP($C1822, VOLUME_AVG_12M), 4) = "#N/A", "",  _xll.BDP($C1822, VOLUME_AVG_12M))</f>
        <v/>
      </c>
      <c r="AD1822" s="41" t="str" cm="1">
        <f t="array" ref="AD1822">IF(LEFT(_xll.BDP($C1822, LAST_PRICE), 4) = "#N/A", "",  _xll.BDP($C1822, LAST_PRICE))</f>
        <v/>
      </c>
    </row>
    <row r="1823" spans="1:30" x14ac:dyDescent="0.35">
      <c r="A1823" s="1" t="str">
        <f t="shared" si="28"/>
        <v/>
      </c>
      <c r="B1823" s="30"/>
      <c r="C1823" s="29"/>
      <c r="D1823" s="29"/>
      <c r="E1823" s="29"/>
      <c r="F1823" s="29"/>
      <c r="G1823" s="30"/>
      <c r="H1823" s="31"/>
      <c r="I1823" s="31"/>
      <c r="J1823" s="32"/>
      <c r="K1823" s="33"/>
      <c r="L1823" s="31"/>
      <c r="M1823" s="32"/>
      <c r="N1823" s="31"/>
      <c r="O1823" s="36"/>
      <c r="P1823" s="34"/>
      <c r="Q1823" s="34"/>
      <c r="R1823" s="34"/>
      <c r="S1823" s="29"/>
      <c r="T1823" s="35"/>
      <c r="U1823" s="35"/>
      <c r="V1823" s="35"/>
      <c r="W1823" s="35"/>
      <c r="Y1823" s="31" t="str" cm="1">
        <f t="array" ref="Y1823">IF(LEFT(_xll.BDP($C1823, VOLUME_AVG_10D), 4) = "#N/A", "",  _xll.BDP($C1823, VOLUME_AVG_10D))</f>
        <v/>
      </c>
      <c r="Z1823" s="31" t="str" cm="1">
        <f t="array" ref="Z1823">IF(LEFT(_xll.BDP($C1823, VOLUME_AVG_30D), 4) = "#N/A", "",  _xll.BDP($C1823, VOLUME_AVG_30D))</f>
        <v/>
      </c>
      <c r="AA1823" s="31" t="str" cm="1">
        <f t="array" ref="AA1823">IF(LEFT(_xll.BDP($C1823, VOLUME_AVG_3M), 4) = "#N/A", "",  _xll.BDP($C1823, VOLUME_AVG_3M))</f>
        <v/>
      </c>
      <c r="AB1823" s="31" t="str" cm="1">
        <f t="array" ref="AB1823">IF(LEFT(_xll.BDP($C1823, VOLUME_AVG_6M), 4) = "#N/A", "",  _xll.BDP($C1823, VOLUME_AVG_6M))</f>
        <v/>
      </c>
      <c r="AC1823" s="31" t="str" cm="1">
        <f t="array" ref="AC1823">IF(LEFT(_xll.BDP($C1823, VOLUME_AVG_12M), 4) = "#N/A", "",  _xll.BDP($C1823, VOLUME_AVG_12M))</f>
        <v/>
      </c>
      <c r="AD1823" s="41" t="str" cm="1">
        <f t="array" ref="AD1823">IF(LEFT(_xll.BDP($C1823, LAST_PRICE), 4) = "#N/A", "",  _xll.BDP($C1823, LAST_PRICE))</f>
        <v/>
      </c>
    </row>
    <row r="1824" spans="1:30" x14ac:dyDescent="0.35">
      <c r="A1824" s="1" t="str">
        <f t="shared" si="28"/>
        <v/>
      </c>
      <c r="B1824" s="30"/>
      <c r="C1824" s="29"/>
      <c r="D1824" s="29"/>
      <c r="E1824" s="29"/>
      <c r="F1824" s="29"/>
      <c r="G1824" s="30"/>
      <c r="H1824" s="31"/>
      <c r="I1824" s="31"/>
      <c r="J1824" s="32"/>
      <c r="K1824" s="33"/>
      <c r="L1824" s="31"/>
      <c r="M1824" s="32"/>
      <c r="N1824" s="31"/>
      <c r="O1824" s="36"/>
      <c r="P1824" s="34"/>
      <c r="Q1824" s="34"/>
      <c r="R1824" s="34"/>
      <c r="S1824" s="29"/>
      <c r="T1824" s="35"/>
      <c r="U1824" s="35"/>
      <c r="V1824" s="35"/>
      <c r="W1824" s="35"/>
      <c r="Y1824" s="31" t="str" cm="1">
        <f t="array" ref="Y1824">IF(LEFT(_xll.BDP($C1824, VOLUME_AVG_10D), 4) = "#N/A", "",  _xll.BDP($C1824, VOLUME_AVG_10D))</f>
        <v/>
      </c>
      <c r="Z1824" s="31" t="str" cm="1">
        <f t="array" ref="Z1824">IF(LEFT(_xll.BDP($C1824, VOLUME_AVG_30D), 4) = "#N/A", "",  _xll.BDP($C1824, VOLUME_AVG_30D))</f>
        <v/>
      </c>
      <c r="AA1824" s="31" t="str" cm="1">
        <f t="array" ref="AA1824">IF(LEFT(_xll.BDP($C1824, VOLUME_AVG_3M), 4) = "#N/A", "",  _xll.BDP($C1824, VOLUME_AVG_3M))</f>
        <v/>
      </c>
      <c r="AB1824" s="31" t="str" cm="1">
        <f t="array" ref="AB1824">IF(LEFT(_xll.BDP($C1824, VOLUME_AVG_6M), 4) = "#N/A", "",  _xll.BDP($C1824, VOLUME_AVG_6M))</f>
        <v/>
      </c>
      <c r="AC1824" s="31" t="str" cm="1">
        <f t="array" ref="AC1824">IF(LEFT(_xll.BDP($C1824, VOLUME_AVG_12M), 4) = "#N/A", "",  _xll.BDP($C1824, VOLUME_AVG_12M))</f>
        <v/>
      </c>
      <c r="AD1824" s="41" t="str" cm="1">
        <f t="array" ref="AD1824">IF(LEFT(_xll.BDP($C1824, LAST_PRICE), 4) = "#N/A", "",  _xll.BDP($C1824, LAST_PRICE))</f>
        <v/>
      </c>
    </row>
    <row r="1825" spans="1:30" x14ac:dyDescent="0.35">
      <c r="A1825" s="1" t="str">
        <f t="shared" si="28"/>
        <v/>
      </c>
      <c r="B1825" s="30"/>
      <c r="C1825" s="29"/>
      <c r="D1825" s="29"/>
      <c r="E1825" s="29"/>
      <c r="F1825" s="29"/>
      <c r="G1825" s="30"/>
      <c r="H1825" s="31"/>
      <c r="I1825" s="31"/>
      <c r="J1825" s="32"/>
      <c r="K1825" s="33"/>
      <c r="L1825" s="31"/>
      <c r="M1825" s="32"/>
      <c r="N1825" s="31"/>
      <c r="O1825" s="36"/>
      <c r="P1825" s="34"/>
      <c r="Q1825" s="34"/>
      <c r="R1825" s="34"/>
      <c r="S1825" s="29"/>
      <c r="T1825" s="35"/>
      <c r="U1825" s="35"/>
      <c r="V1825" s="35"/>
      <c r="W1825" s="35"/>
      <c r="Y1825" s="31" t="str" cm="1">
        <f t="array" ref="Y1825">IF(LEFT(_xll.BDP($C1825, VOLUME_AVG_10D), 4) = "#N/A", "",  _xll.BDP($C1825, VOLUME_AVG_10D))</f>
        <v/>
      </c>
      <c r="Z1825" s="31" t="str" cm="1">
        <f t="array" ref="Z1825">IF(LEFT(_xll.BDP($C1825, VOLUME_AVG_30D), 4) = "#N/A", "",  _xll.BDP($C1825, VOLUME_AVG_30D))</f>
        <v/>
      </c>
      <c r="AA1825" s="31" t="str" cm="1">
        <f t="array" ref="AA1825">IF(LEFT(_xll.BDP($C1825, VOLUME_AVG_3M), 4) = "#N/A", "",  _xll.BDP($C1825, VOLUME_AVG_3M))</f>
        <v/>
      </c>
      <c r="AB1825" s="31" t="str" cm="1">
        <f t="array" ref="AB1825">IF(LEFT(_xll.BDP($C1825, VOLUME_AVG_6M), 4) = "#N/A", "",  _xll.BDP($C1825, VOLUME_AVG_6M))</f>
        <v/>
      </c>
      <c r="AC1825" s="31" t="str" cm="1">
        <f t="array" ref="AC1825">IF(LEFT(_xll.BDP($C1825, VOLUME_AVG_12M), 4) = "#N/A", "",  _xll.BDP($C1825, VOLUME_AVG_12M))</f>
        <v/>
      </c>
      <c r="AD1825" s="41" t="str" cm="1">
        <f t="array" ref="AD1825">IF(LEFT(_xll.BDP($C1825, LAST_PRICE), 4) = "#N/A", "",  _xll.BDP($C1825, LAST_PRICE))</f>
        <v/>
      </c>
    </row>
    <row r="1826" spans="1:30" x14ac:dyDescent="0.35">
      <c r="A1826" s="1" t="str">
        <f t="shared" si="28"/>
        <v/>
      </c>
      <c r="B1826" s="30"/>
      <c r="C1826" s="29"/>
      <c r="D1826" s="29"/>
      <c r="E1826" s="29"/>
      <c r="F1826" s="29"/>
      <c r="G1826" s="30"/>
      <c r="H1826" s="31"/>
      <c r="I1826" s="31"/>
      <c r="J1826" s="32"/>
      <c r="K1826" s="33"/>
      <c r="L1826" s="31"/>
      <c r="M1826" s="32"/>
      <c r="N1826" s="31"/>
      <c r="O1826" s="36"/>
      <c r="P1826" s="34"/>
      <c r="Q1826" s="34"/>
      <c r="R1826" s="34"/>
      <c r="S1826" s="29"/>
      <c r="T1826" s="35"/>
      <c r="U1826" s="35"/>
      <c r="V1826" s="35"/>
      <c r="W1826" s="35"/>
      <c r="Y1826" s="31" t="str" cm="1">
        <f t="array" ref="Y1826">IF(LEFT(_xll.BDP($C1826, VOLUME_AVG_10D), 4) = "#N/A", "",  _xll.BDP($C1826, VOLUME_AVG_10D))</f>
        <v/>
      </c>
      <c r="Z1826" s="31" t="str" cm="1">
        <f t="array" ref="Z1826">IF(LEFT(_xll.BDP($C1826, VOLUME_AVG_30D), 4) = "#N/A", "",  _xll.BDP($C1826, VOLUME_AVG_30D))</f>
        <v/>
      </c>
      <c r="AA1826" s="31" t="str" cm="1">
        <f t="array" ref="AA1826">IF(LEFT(_xll.BDP($C1826, VOLUME_AVG_3M), 4) = "#N/A", "",  _xll.BDP($C1826, VOLUME_AVG_3M))</f>
        <v/>
      </c>
      <c r="AB1826" s="31" t="str" cm="1">
        <f t="array" ref="AB1826">IF(LEFT(_xll.BDP($C1826, VOLUME_AVG_6M), 4) = "#N/A", "",  _xll.BDP($C1826, VOLUME_AVG_6M))</f>
        <v/>
      </c>
      <c r="AC1826" s="31" t="str" cm="1">
        <f t="array" ref="AC1826">IF(LEFT(_xll.BDP($C1826, VOLUME_AVG_12M), 4) = "#N/A", "",  _xll.BDP($C1826, VOLUME_AVG_12M))</f>
        <v/>
      </c>
      <c r="AD1826" s="41" t="str" cm="1">
        <f t="array" ref="AD1826">IF(LEFT(_xll.BDP($C1826, LAST_PRICE), 4) = "#N/A", "",  _xll.BDP($C1826, LAST_PRICE))</f>
        <v/>
      </c>
    </row>
    <row r="1827" spans="1:30" x14ac:dyDescent="0.35">
      <c r="A1827" s="1" t="str">
        <f t="shared" si="28"/>
        <v/>
      </c>
      <c r="B1827" s="30"/>
      <c r="C1827" s="29"/>
      <c r="D1827" s="29"/>
      <c r="E1827" s="29"/>
      <c r="F1827" s="29"/>
      <c r="G1827" s="30"/>
      <c r="H1827" s="31"/>
      <c r="I1827" s="31"/>
      <c r="J1827" s="32"/>
      <c r="K1827" s="33"/>
      <c r="L1827" s="31"/>
      <c r="M1827" s="32"/>
      <c r="N1827" s="31"/>
      <c r="O1827" s="36"/>
      <c r="P1827" s="34"/>
      <c r="Q1827" s="34"/>
      <c r="R1827" s="34"/>
      <c r="S1827" s="29"/>
      <c r="T1827" s="35"/>
      <c r="U1827" s="35"/>
      <c r="V1827" s="35"/>
      <c r="W1827" s="35"/>
      <c r="Y1827" s="31" t="str" cm="1">
        <f t="array" ref="Y1827">IF(LEFT(_xll.BDP($C1827, VOLUME_AVG_10D), 4) = "#N/A", "",  _xll.BDP($C1827, VOLUME_AVG_10D))</f>
        <v/>
      </c>
      <c r="Z1827" s="31" t="str" cm="1">
        <f t="array" ref="Z1827">IF(LEFT(_xll.BDP($C1827, VOLUME_AVG_30D), 4) = "#N/A", "",  _xll.BDP($C1827, VOLUME_AVG_30D))</f>
        <v/>
      </c>
      <c r="AA1827" s="31" t="str" cm="1">
        <f t="array" ref="AA1827">IF(LEFT(_xll.BDP($C1827, VOLUME_AVG_3M), 4) = "#N/A", "",  _xll.BDP($C1827, VOLUME_AVG_3M))</f>
        <v/>
      </c>
      <c r="AB1827" s="31" t="str" cm="1">
        <f t="array" ref="AB1827">IF(LEFT(_xll.BDP($C1827, VOLUME_AVG_6M), 4) = "#N/A", "",  _xll.BDP($C1827, VOLUME_AVG_6M))</f>
        <v/>
      </c>
      <c r="AC1827" s="31" t="str" cm="1">
        <f t="array" ref="AC1827">IF(LEFT(_xll.BDP($C1827, VOLUME_AVG_12M), 4) = "#N/A", "",  _xll.BDP($C1827, VOLUME_AVG_12M))</f>
        <v/>
      </c>
      <c r="AD1827" s="41" t="str" cm="1">
        <f t="array" ref="AD1827">IF(LEFT(_xll.BDP($C1827, LAST_PRICE), 4) = "#N/A", "",  _xll.BDP($C1827, LAST_PRICE))</f>
        <v/>
      </c>
    </row>
    <row r="1828" spans="1:30" x14ac:dyDescent="0.35">
      <c r="A1828" s="1" t="str">
        <f t="shared" si="28"/>
        <v/>
      </c>
      <c r="B1828" s="30"/>
      <c r="C1828" s="29"/>
      <c r="D1828" s="29"/>
      <c r="E1828" s="29"/>
      <c r="F1828" s="29"/>
      <c r="G1828" s="30"/>
      <c r="H1828" s="31"/>
      <c r="I1828" s="31"/>
      <c r="J1828" s="32"/>
      <c r="K1828" s="33"/>
      <c r="L1828" s="31"/>
      <c r="M1828" s="32"/>
      <c r="N1828" s="31"/>
      <c r="O1828" s="36"/>
      <c r="P1828" s="34"/>
      <c r="Q1828" s="34"/>
      <c r="R1828" s="34"/>
      <c r="S1828" s="29"/>
      <c r="T1828" s="35"/>
      <c r="U1828" s="35"/>
      <c r="V1828" s="35"/>
      <c r="W1828" s="35"/>
      <c r="Y1828" s="31" t="str" cm="1">
        <f t="array" ref="Y1828">IF(LEFT(_xll.BDP($C1828, VOLUME_AVG_10D), 4) = "#N/A", "",  _xll.BDP($C1828, VOLUME_AVG_10D))</f>
        <v/>
      </c>
      <c r="Z1828" s="31" t="str" cm="1">
        <f t="array" ref="Z1828">IF(LEFT(_xll.BDP($C1828, VOLUME_AVG_30D), 4) = "#N/A", "",  _xll.BDP($C1828, VOLUME_AVG_30D))</f>
        <v/>
      </c>
      <c r="AA1828" s="31" t="str" cm="1">
        <f t="array" ref="AA1828">IF(LEFT(_xll.BDP($C1828, VOLUME_AVG_3M), 4) = "#N/A", "",  _xll.BDP($C1828, VOLUME_AVG_3M))</f>
        <v/>
      </c>
      <c r="AB1828" s="31" t="str" cm="1">
        <f t="array" ref="AB1828">IF(LEFT(_xll.BDP($C1828, VOLUME_AVG_6M), 4) = "#N/A", "",  _xll.BDP($C1828, VOLUME_AVG_6M))</f>
        <v/>
      </c>
      <c r="AC1828" s="31" t="str" cm="1">
        <f t="array" ref="AC1828">IF(LEFT(_xll.BDP($C1828, VOLUME_AVG_12M), 4) = "#N/A", "",  _xll.BDP($C1828, VOLUME_AVG_12M))</f>
        <v/>
      </c>
      <c r="AD1828" s="41" t="str" cm="1">
        <f t="array" ref="AD1828">IF(LEFT(_xll.BDP($C1828, LAST_PRICE), 4) = "#N/A", "",  _xll.BDP($C1828, LAST_PRICE))</f>
        <v/>
      </c>
    </row>
    <row r="1829" spans="1:30" x14ac:dyDescent="0.35">
      <c r="A1829" s="1" t="str">
        <f t="shared" si="28"/>
        <v/>
      </c>
      <c r="B1829" s="30"/>
      <c r="C1829" s="29"/>
      <c r="D1829" s="29"/>
      <c r="E1829" s="29"/>
      <c r="F1829" s="29"/>
      <c r="G1829" s="30"/>
      <c r="H1829" s="31"/>
      <c r="I1829" s="31"/>
      <c r="J1829" s="32"/>
      <c r="K1829" s="33"/>
      <c r="L1829" s="31"/>
      <c r="M1829" s="32"/>
      <c r="N1829" s="31"/>
      <c r="O1829" s="36"/>
      <c r="P1829" s="34"/>
      <c r="Q1829" s="34"/>
      <c r="R1829" s="34"/>
      <c r="S1829" s="29"/>
      <c r="T1829" s="35"/>
      <c r="U1829" s="35"/>
      <c r="V1829" s="35"/>
      <c r="W1829" s="35"/>
      <c r="Y1829" s="31" t="str" cm="1">
        <f t="array" ref="Y1829">IF(LEFT(_xll.BDP($C1829, VOLUME_AVG_10D), 4) = "#N/A", "",  _xll.BDP($C1829, VOLUME_AVG_10D))</f>
        <v/>
      </c>
      <c r="Z1829" s="31" t="str" cm="1">
        <f t="array" ref="Z1829">IF(LEFT(_xll.BDP($C1829, VOLUME_AVG_30D), 4) = "#N/A", "",  _xll.BDP($C1829, VOLUME_AVG_30D))</f>
        <v/>
      </c>
      <c r="AA1829" s="31" t="str" cm="1">
        <f t="array" ref="AA1829">IF(LEFT(_xll.BDP($C1829, VOLUME_AVG_3M), 4) = "#N/A", "",  _xll.BDP($C1829, VOLUME_AVG_3M))</f>
        <v/>
      </c>
      <c r="AB1829" s="31" t="str" cm="1">
        <f t="array" ref="AB1829">IF(LEFT(_xll.BDP($C1829, VOLUME_AVG_6M), 4) = "#N/A", "",  _xll.BDP($C1829, VOLUME_AVG_6M))</f>
        <v/>
      </c>
      <c r="AC1829" s="31" t="str" cm="1">
        <f t="array" ref="AC1829">IF(LEFT(_xll.BDP($C1829, VOLUME_AVG_12M), 4) = "#N/A", "",  _xll.BDP($C1829, VOLUME_AVG_12M))</f>
        <v/>
      </c>
      <c r="AD1829" s="41" t="str" cm="1">
        <f t="array" ref="AD1829">IF(LEFT(_xll.BDP($C1829, LAST_PRICE), 4) = "#N/A", "",  _xll.BDP($C1829, LAST_PRICE))</f>
        <v/>
      </c>
    </row>
    <row r="1830" spans="1:30" x14ac:dyDescent="0.35">
      <c r="A1830" s="1" t="str">
        <f t="shared" si="28"/>
        <v/>
      </c>
      <c r="B1830" s="30"/>
      <c r="C1830" s="29"/>
      <c r="D1830" s="29"/>
      <c r="E1830" s="29"/>
      <c r="F1830" s="29"/>
      <c r="G1830" s="30"/>
      <c r="H1830" s="31"/>
      <c r="I1830" s="31"/>
      <c r="J1830" s="32"/>
      <c r="K1830" s="33"/>
      <c r="L1830" s="31"/>
      <c r="M1830" s="32"/>
      <c r="N1830" s="31"/>
      <c r="O1830" s="36"/>
      <c r="P1830" s="34"/>
      <c r="Q1830" s="34"/>
      <c r="R1830" s="34"/>
      <c r="S1830" s="29"/>
      <c r="T1830" s="35"/>
      <c r="U1830" s="35"/>
      <c r="V1830" s="35"/>
      <c r="W1830" s="35"/>
      <c r="Y1830" s="31" t="str" cm="1">
        <f t="array" ref="Y1830">IF(LEFT(_xll.BDP($C1830, VOLUME_AVG_10D), 4) = "#N/A", "",  _xll.BDP($C1830, VOLUME_AVG_10D))</f>
        <v/>
      </c>
      <c r="Z1830" s="31" t="str" cm="1">
        <f t="array" ref="Z1830">IF(LEFT(_xll.BDP($C1830, VOLUME_AVG_30D), 4) = "#N/A", "",  _xll.BDP($C1830, VOLUME_AVG_30D))</f>
        <v/>
      </c>
      <c r="AA1830" s="31" t="str" cm="1">
        <f t="array" ref="AA1830">IF(LEFT(_xll.BDP($C1830, VOLUME_AVG_3M), 4) = "#N/A", "",  _xll.BDP($C1830, VOLUME_AVG_3M))</f>
        <v/>
      </c>
      <c r="AB1830" s="31" t="str" cm="1">
        <f t="array" ref="AB1830">IF(LEFT(_xll.BDP($C1830, VOLUME_AVG_6M), 4) = "#N/A", "",  _xll.BDP($C1830, VOLUME_AVG_6M))</f>
        <v/>
      </c>
      <c r="AC1830" s="31" t="str" cm="1">
        <f t="array" ref="AC1830">IF(LEFT(_xll.BDP($C1830, VOLUME_AVG_12M), 4) = "#N/A", "",  _xll.BDP($C1830, VOLUME_AVG_12M))</f>
        <v/>
      </c>
      <c r="AD1830" s="41" t="str" cm="1">
        <f t="array" ref="AD1830">IF(LEFT(_xll.BDP($C1830, LAST_PRICE), 4) = "#N/A", "",  _xll.BDP($C1830, LAST_PRICE))</f>
        <v/>
      </c>
    </row>
    <row r="1831" spans="1:30" x14ac:dyDescent="0.35">
      <c r="A1831" s="1" t="str">
        <f t="shared" si="28"/>
        <v/>
      </c>
      <c r="B1831" s="30"/>
      <c r="C1831" s="29"/>
      <c r="D1831" s="29"/>
      <c r="E1831" s="29"/>
      <c r="F1831" s="29"/>
      <c r="G1831" s="30"/>
      <c r="H1831" s="31"/>
      <c r="I1831" s="31"/>
      <c r="J1831" s="32"/>
      <c r="K1831" s="33"/>
      <c r="L1831" s="31"/>
      <c r="M1831" s="32"/>
      <c r="N1831" s="31"/>
      <c r="O1831" s="36"/>
      <c r="P1831" s="34"/>
      <c r="Q1831" s="34"/>
      <c r="R1831" s="34"/>
      <c r="S1831" s="29"/>
      <c r="T1831" s="35"/>
      <c r="U1831" s="35"/>
      <c r="V1831" s="35"/>
      <c r="W1831" s="35"/>
      <c r="Y1831" s="31" t="str" cm="1">
        <f t="array" ref="Y1831">IF(LEFT(_xll.BDP($C1831, VOLUME_AVG_10D), 4) = "#N/A", "",  _xll.BDP($C1831, VOLUME_AVG_10D))</f>
        <v/>
      </c>
      <c r="Z1831" s="31" t="str" cm="1">
        <f t="array" ref="Z1831">IF(LEFT(_xll.BDP($C1831, VOLUME_AVG_30D), 4) = "#N/A", "",  _xll.BDP($C1831, VOLUME_AVG_30D))</f>
        <v/>
      </c>
      <c r="AA1831" s="31" t="str" cm="1">
        <f t="array" ref="AA1831">IF(LEFT(_xll.BDP($C1831, VOLUME_AVG_3M), 4) = "#N/A", "",  _xll.BDP($C1831, VOLUME_AVG_3M))</f>
        <v/>
      </c>
      <c r="AB1831" s="31" t="str" cm="1">
        <f t="array" ref="AB1831">IF(LEFT(_xll.BDP($C1831, VOLUME_AVG_6M), 4) = "#N/A", "",  _xll.BDP($C1831, VOLUME_AVG_6M))</f>
        <v/>
      </c>
      <c r="AC1831" s="31" t="str" cm="1">
        <f t="array" ref="AC1831">IF(LEFT(_xll.BDP($C1831, VOLUME_AVG_12M), 4) = "#N/A", "",  _xll.BDP($C1831, VOLUME_AVG_12M))</f>
        <v/>
      </c>
      <c r="AD1831" s="41" t="str" cm="1">
        <f t="array" ref="AD1831">IF(LEFT(_xll.BDP($C1831, LAST_PRICE), 4) = "#N/A", "",  _xll.BDP($C1831, LAST_PRICE))</f>
        <v/>
      </c>
    </row>
    <row r="1832" spans="1:30" x14ac:dyDescent="0.35">
      <c r="A1832" s="1" t="str">
        <f t="shared" si="28"/>
        <v/>
      </c>
      <c r="B1832" s="30"/>
      <c r="C1832" s="29"/>
      <c r="D1832" s="29"/>
      <c r="E1832" s="29"/>
      <c r="F1832" s="29"/>
      <c r="G1832" s="30"/>
      <c r="H1832" s="31"/>
      <c r="I1832" s="31"/>
      <c r="J1832" s="32"/>
      <c r="K1832" s="33"/>
      <c r="L1832" s="31"/>
      <c r="M1832" s="32"/>
      <c r="N1832" s="31"/>
      <c r="O1832" s="36"/>
      <c r="P1832" s="34"/>
      <c r="Q1832" s="34"/>
      <c r="R1832" s="34"/>
      <c r="S1832" s="29"/>
      <c r="T1832" s="35"/>
      <c r="U1832" s="35"/>
      <c r="V1832" s="35"/>
      <c r="W1832" s="35"/>
      <c r="Y1832" s="31" t="str" cm="1">
        <f t="array" ref="Y1832">IF(LEFT(_xll.BDP($C1832, VOLUME_AVG_10D), 4) = "#N/A", "",  _xll.BDP($C1832, VOLUME_AVG_10D))</f>
        <v/>
      </c>
      <c r="Z1832" s="31" t="str" cm="1">
        <f t="array" ref="Z1832">IF(LEFT(_xll.BDP($C1832, VOLUME_AVG_30D), 4) = "#N/A", "",  _xll.BDP($C1832, VOLUME_AVG_30D))</f>
        <v/>
      </c>
      <c r="AA1832" s="31" t="str" cm="1">
        <f t="array" ref="AA1832">IF(LEFT(_xll.BDP($C1832, VOLUME_AVG_3M), 4) = "#N/A", "",  _xll.BDP($C1832, VOLUME_AVG_3M))</f>
        <v/>
      </c>
      <c r="AB1832" s="31" t="str" cm="1">
        <f t="array" ref="AB1832">IF(LEFT(_xll.BDP($C1832, VOLUME_AVG_6M), 4) = "#N/A", "",  _xll.BDP($C1832, VOLUME_AVG_6M))</f>
        <v/>
      </c>
      <c r="AC1832" s="31" t="str" cm="1">
        <f t="array" ref="AC1832">IF(LEFT(_xll.BDP($C1832, VOLUME_AVG_12M), 4) = "#N/A", "",  _xll.BDP($C1832, VOLUME_AVG_12M))</f>
        <v/>
      </c>
      <c r="AD1832" s="41" t="str" cm="1">
        <f t="array" ref="AD1832">IF(LEFT(_xll.BDP($C1832, LAST_PRICE), 4) = "#N/A", "",  _xll.BDP($C1832, LAST_PRICE))</f>
        <v/>
      </c>
    </row>
    <row r="1833" spans="1:30" x14ac:dyDescent="0.35">
      <c r="A1833" s="1" t="str">
        <f t="shared" si="28"/>
        <v/>
      </c>
      <c r="B1833" s="30"/>
      <c r="C1833" s="29"/>
      <c r="D1833" s="29"/>
      <c r="E1833" s="29"/>
      <c r="F1833" s="29"/>
      <c r="G1833" s="30"/>
      <c r="H1833" s="31"/>
      <c r="I1833" s="31"/>
      <c r="J1833" s="32"/>
      <c r="K1833" s="33"/>
      <c r="L1833" s="31"/>
      <c r="M1833" s="32"/>
      <c r="N1833" s="31"/>
      <c r="O1833" s="36"/>
      <c r="P1833" s="34"/>
      <c r="Q1833" s="34"/>
      <c r="R1833" s="34"/>
      <c r="S1833" s="29"/>
      <c r="T1833" s="35"/>
      <c r="U1833" s="35"/>
      <c r="V1833" s="35"/>
      <c r="W1833" s="35"/>
      <c r="Y1833" s="31" t="str" cm="1">
        <f t="array" ref="Y1833">IF(LEFT(_xll.BDP($C1833, VOLUME_AVG_10D), 4) = "#N/A", "",  _xll.BDP($C1833, VOLUME_AVG_10D))</f>
        <v/>
      </c>
      <c r="Z1833" s="31" t="str" cm="1">
        <f t="array" ref="Z1833">IF(LEFT(_xll.BDP($C1833, VOLUME_AVG_30D), 4) = "#N/A", "",  _xll.BDP($C1833, VOLUME_AVG_30D))</f>
        <v/>
      </c>
      <c r="AA1833" s="31" t="str" cm="1">
        <f t="array" ref="AA1833">IF(LEFT(_xll.BDP($C1833, VOLUME_AVG_3M), 4) = "#N/A", "",  _xll.BDP($C1833, VOLUME_AVG_3M))</f>
        <v/>
      </c>
      <c r="AB1833" s="31" t="str" cm="1">
        <f t="array" ref="AB1833">IF(LEFT(_xll.BDP($C1833, VOLUME_AVG_6M), 4) = "#N/A", "",  _xll.BDP($C1833, VOLUME_AVG_6M))</f>
        <v/>
      </c>
      <c r="AC1833" s="31" t="str" cm="1">
        <f t="array" ref="AC1833">IF(LEFT(_xll.BDP($C1833, VOLUME_AVG_12M), 4) = "#N/A", "",  _xll.BDP($C1833, VOLUME_AVG_12M))</f>
        <v/>
      </c>
      <c r="AD1833" s="41" t="str" cm="1">
        <f t="array" ref="AD1833">IF(LEFT(_xll.BDP($C1833, LAST_PRICE), 4) = "#N/A", "",  _xll.BDP($C1833, LAST_PRICE))</f>
        <v/>
      </c>
    </row>
    <row r="1834" spans="1:30" x14ac:dyDescent="0.35">
      <c r="A1834" s="1" t="str">
        <f t="shared" si="28"/>
        <v/>
      </c>
      <c r="B1834" s="30"/>
      <c r="C1834" s="29"/>
      <c r="D1834" s="29"/>
      <c r="E1834" s="29"/>
      <c r="F1834" s="29"/>
      <c r="G1834" s="30"/>
      <c r="H1834" s="31"/>
      <c r="I1834" s="31"/>
      <c r="J1834" s="32"/>
      <c r="K1834" s="33"/>
      <c r="L1834" s="31"/>
      <c r="M1834" s="32"/>
      <c r="N1834" s="31"/>
      <c r="O1834" s="36"/>
      <c r="P1834" s="34"/>
      <c r="Q1834" s="34"/>
      <c r="R1834" s="34"/>
      <c r="S1834" s="29"/>
      <c r="T1834" s="35"/>
      <c r="U1834" s="35"/>
      <c r="V1834" s="35"/>
      <c r="W1834" s="35"/>
      <c r="Y1834" s="31" t="str" cm="1">
        <f t="array" ref="Y1834">IF(LEFT(_xll.BDP($C1834, VOLUME_AVG_10D), 4) = "#N/A", "",  _xll.BDP($C1834, VOLUME_AVG_10D))</f>
        <v/>
      </c>
      <c r="Z1834" s="31" t="str" cm="1">
        <f t="array" ref="Z1834">IF(LEFT(_xll.BDP($C1834, VOLUME_AVG_30D), 4) = "#N/A", "",  _xll.BDP($C1834, VOLUME_AVG_30D))</f>
        <v/>
      </c>
      <c r="AA1834" s="31" t="str" cm="1">
        <f t="array" ref="AA1834">IF(LEFT(_xll.BDP($C1834, VOLUME_AVG_3M), 4) = "#N/A", "",  _xll.BDP($C1834, VOLUME_AVG_3M))</f>
        <v/>
      </c>
      <c r="AB1834" s="31" t="str" cm="1">
        <f t="array" ref="AB1834">IF(LEFT(_xll.BDP($C1834, VOLUME_AVG_6M), 4) = "#N/A", "",  _xll.BDP($C1834, VOLUME_AVG_6M))</f>
        <v/>
      </c>
      <c r="AC1834" s="31" t="str" cm="1">
        <f t="array" ref="AC1834">IF(LEFT(_xll.BDP($C1834, VOLUME_AVG_12M), 4) = "#N/A", "",  _xll.BDP($C1834, VOLUME_AVG_12M))</f>
        <v/>
      </c>
      <c r="AD1834" s="41" t="str" cm="1">
        <f t="array" ref="AD1834">IF(LEFT(_xll.BDP($C1834, LAST_PRICE), 4) = "#N/A", "",  _xll.BDP($C1834, LAST_PRICE))</f>
        <v/>
      </c>
    </row>
    <row r="1835" spans="1:30" x14ac:dyDescent="0.35">
      <c r="A1835" s="1" t="str">
        <f t="shared" si="28"/>
        <v/>
      </c>
      <c r="B1835" s="30"/>
      <c r="C1835" s="29"/>
      <c r="D1835" s="29"/>
      <c r="E1835" s="29"/>
      <c r="F1835" s="29"/>
      <c r="G1835" s="30"/>
      <c r="H1835" s="31"/>
      <c r="I1835" s="31"/>
      <c r="J1835" s="32"/>
      <c r="K1835" s="33"/>
      <c r="L1835" s="31"/>
      <c r="M1835" s="32"/>
      <c r="N1835" s="31"/>
      <c r="O1835" s="36"/>
      <c r="P1835" s="34"/>
      <c r="Q1835" s="34"/>
      <c r="R1835" s="34"/>
      <c r="S1835" s="29"/>
      <c r="T1835" s="35"/>
      <c r="U1835" s="35"/>
      <c r="V1835" s="35"/>
      <c r="W1835" s="35"/>
      <c r="Y1835" s="31" t="str" cm="1">
        <f t="array" ref="Y1835">IF(LEFT(_xll.BDP($C1835, VOLUME_AVG_10D), 4) = "#N/A", "",  _xll.BDP($C1835, VOLUME_AVG_10D))</f>
        <v/>
      </c>
      <c r="Z1835" s="31" t="str" cm="1">
        <f t="array" ref="Z1835">IF(LEFT(_xll.BDP($C1835, VOLUME_AVG_30D), 4) = "#N/A", "",  _xll.BDP($C1835, VOLUME_AVG_30D))</f>
        <v/>
      </c>
      <c r="AA1835" s="31" t="str" cm="1">
        <f t="array" ref="AA1835">IF(LEFT(_xll.BDP($C1835, VOLUME_AVG_3M), 4) = "#N/A", "",  _xll.BDP($C1835, VOLUME_AVG_3M))</f>
        <v/>
      </c>
      <c r="AB1835" s="31" t="str" cm="1">
        <f t="array" ref="AB1835">IF(LEFT(_xll.BDP($C1835, VOLUME_AVG_6M), 4) = "#N/A", "",  _xll.BDP($C1835, VOLUME_AVG_6M))</f>
        <v/>
      </c>
      <c r="AC1835" s="31" t="str" cm="1">
        <f t="array" ref="AC1835">IF(LEFT(_xll.BDP($C1835, VOLUME_AVG_12M), 4) = "#N/A", "",  _xll.BDP($C1835, VOLUME_AVG_12M))</f>
        <v/>
      </c>
      <c r="AD1835" s="41" t="str" cm="1">
        <f t="array" ref="AD1835">IF(LEFT(_xll.BDP($C1835, LAST_PRICE), 4) = "#N/A", "",  _xll.BDP($C1835, LAST_PRICE))</f>
        <v/>
      </c>
    </row>
    <row r="1836" spans="1:30" x14ac:dyDescent="0.35">
      <c r="A1836" s="1" t="str">
        <f t="shared" si="28"/>
        <v/>
      </c>
      <c r="B1836" s="30"/>
      <c r="C1836" s="29"/>
      <c r="D1836" s="29"/>
      <c r="E1836" s="29"/>
      <c r="F1836" s="29"/>
      <c r="G1836" s="30"/>
      <c r="H1836" s="31"/>
      <c r="I1836" s="31"/>
      <c r="J1836" s="32"/>
      <c r="K1836" s="33"/>
      <c r="L1836" s="31"/>
      <c r="M1836" s="32"/>
      <c r="N1836" s="31"/>
      <c r="O1836" s="36"/>
      <c r="P1836" s="34"/>
      <c r="Q1836" s="34"/>
      <c r="R1836" s="34"/>
      <c r="S1836" s="29"/>
      <c r="T1836" s="35"/>
      <c r="U1836" s="35"/>
      <c r="V1836" s="35"/>
      <c r="W1836" s="35"/>
      <c r="Y1836" s="31" t="str" cm="1">
        <f t="array" ref="Y1836">IF(LEFT(_xll.BDP($C1836, VOLUME_AVG_10D), 4) = "#N/A", "",  _xll.BDP($C1836, VOLUME_AVG_10D))</f>
        <v/>
      </c>
      <c r="Z1836" s="31" t="str" cm="1">
        <f t="array" ref="Z1836">IF(LEFT(_xll.BDP($C1836, VOLUME_AVG_30D), 4) = "#N/A", "",  _xll.BDP($C1836, VOLUME_AVG_30D))</f>
        <v/>
      </c>
      <c r="AA1836" s="31" t="str" cm="1">
        <f t="array" ref="AA1836">IF(LEFT(_xll.BDP($C1836, VOLUME_AVG_3M), 4) = "#N/A", "",  _xll.BDP($C1836, VOLUME_AVG_3M))</f>
        <v/>
      </c>
      <c r="AB1836" s="31" t="str" cm="1">
        <f t="array" ref="AB1836">IF(LEFT(_xll.BDP($C1836, VOLUME_AVG_6M), 4) = "#N/A", "",  _xll.BDP($C1836, VOLUME_AVG_6M))</f>
        <v/>
      </c>
      <c r="AC1836" s="31" t="str" cm="1">
        <f t="array" ref="AC1836">IF(LEFT(_xll.BDP($C1836, VOLUME_AVG_12M), 4) = "#N/A", "",  _xll.BDP($C1836, VOLUME_AVG_12M))</f>
        <v/>
      </c>
      <c r="AD1836" s="41" t="str" cm="1">
        <f t="array" ref="AD1836">IF(LEFT(_xll.BDP($C1836, LAST_PRICE), 4) = "#N/A", "",  _xll.BDP($C1836, LAST_PRICE))</f>
        <v/>
      </c>
    </row>
    <row r="1837" spans="1:30" x14ac:dyDescent="0.35">
      <c r="A1837" s="1" t="str">
        <f t="shared" si="28"/>
        <v/>
      </c>
      <c r="B1837" s="30"/>
      <c r="C1837" s="29"/>
      <c r="D1837" s="29"/>
      <c r="E1837" s="29"/>
      <c r="F1837" s="29"/>
      <c r="G1837" s="30"/>
      <c r="H1837" s="31"/>
      <c r="I1837" s="31"/>
      <c r="J1837" s="32"/>
      <c r="K1837" s="33"/>
      <c r="L1837" s="31"/>
      <c r="M1837" s="32"/>
      <c r="N1837" s="31"/>
      <c r="O1837" s="36"/>
      <c r="P1837" s="34"/>
      <c r="Q1837" s="34"/>
      <c r="R1837" s="34"/>
      <c r="S1837" s="29"/>
      <c r="T1837" s="35"/>
      <c r="U1837" s="35"/>
      <c r="V1837" s="35"/>
      <c r="W1837" s="35"/>
      <c r="Y1837" s="31" t="str" cm="1">
        <f t="array" ref="Y1837">IF(LEFT(_xll.BDP($C1837, VOLUME_AVG_10D), 4) = "#N/A", "",  _xll.BDP($C1837, VOLUME_AVG_10D))</f>
        <v/>
      </c>
      <c r="Z1837" s="31" t="str" cm="1">
        <f t="array" ref="Z1837">IF(LEFT(_xll.BDP($C1837, VOLUME_AVG_30D), 4) = "#N/A", "",  _xll.BDP($C1837, VOLUME_AVG_30D))</f>
        <v/>
      </c>
      <c r="AA1837" s="31" t="str" cm="1">
        <f t="array" ref="AA1837">IF(LEFT(_xll.BDP($C1837, VOLUME_AVG_3M), 4) = "#N/A", "",  _xll.BDP($C1837, VOLUME_AVG_3M))</f>
        <v/>
      </c>
      <c r="AB1837" s="31" t="str" cm="1">
        <f t="array" ref="AB1837">IF(LEFT(_xll.BDP($C1837, VOLUME_AVG_6M), 4) = "#N/A", "",  _xll.BDP($C1837, VOLUME_AVG_6M))</f>
        <v/>
      </c>
      <c r="AC1837" s="31" t="str" cm="1">
        <f t="array" ref="AC1837">IF(LEFT(_xll.BDP($C1837, VOLUME_AVG_12M), 4) = "#N/A", "",  _xll.BDP($C1837, VOLUME_AVG_12M))</f>
        <v/>
      </c>
      <c r="AD1837" s="41" t="str" cm="1">
        <f t="array" ref="AD1837">IF(LEFT(_xll.BDP($C1837, LAST_PRICE), 4) = "#N/A", "",  _xll.BDP($C1837, LAST_PRICE))</f>
        <v/>
      </c>
    </row>
    <row r="1838" spans="1:30" x14ac:dyDescent="0.35">
      <c r="A1838" s="1" t="str">
        <f t="shared" si="28"/>
        <v/>
      </c>
      <c r="B1838" s="30"/>
      <c r="C1838" s="29"/>
      <c r="D1838" s="29"/>
      <c r="E1838" s="29"/>
      <c r="F1838" s="29"/>
      <c r="G1838" s="30"/>
      <c r="H1838" s="31"/>
      <c r="I1838" s="31"/>
      <c r="J1838" s="32"/>
      <c r="K1838" s="33"/>
      <c r="L1838" s="31"/>
      <c r="M1838" s="32"/>
      <c r="N1838" s="31"/>
      <c r="O1838" s="36"/>
      <c r="P1838" s="34"/>
      <c r="Q1838" s="34"/>
      <c r="R1838" s="34"/>
      <c r="S1838" s="29"/>
      <c r="T1838" s="35"/>
      <c r="U1838" s="35"/>
      <c r="V1838" s="35"/>
      <c r="W1838" s="35"/>
      <c r="Y1838" s="31" t="str" cm="1">
        <f t="array" ref="Y1838">IF(LEFT(_xll.BDP($C1838, VOLUME_AVG_10D), 4) = "#N/A", "",  _xll.BDP($C1838, VOLUME_AVG_10D))</f>
        <v/>
      </c>
      <c r="Z1838" s="31" t="str" cm="1">
        <f t="array" ref="Z1838">IF(LEFT(_xll.BDP($C1838, VOLUME_AVG_30D), 4) = "#N/A", "",  _xll.BDP($C1838, VOLUME_AVG_30D))</f>
        <v/>
      </c>
      <c r="AA1838" s="31" t="str" cm="1">
        <f t="array" ref="AA1838">IF(LEFT(_xll.BDP($C1838, VOLUME_AVG_3M), 4) = "#N/A", "",  _xll.BDP($C1838, VOLUME_AVG_3M))</f>
        <v/>
      </c>
      <c r="AB1838" s="31" t="str" cm="1">
        <f t="array" ref="AB1838">IF(LEFT(_xll.BDP($C1838, VOLUME_AVG_6M), 4) = "#N/A", "",  _xll.BDP($C1838, VOLUME_AVG_6M))</f>
        <v/>
      </c>
      <c r="AC1838" s="31" t="str" cm="1">
        <f t="array" ref="AC1838">IF(LEFT(_xll.BDP($C1838, VOLUME_AVG_12M), 4) = "#N/A", "",  _xll.BDP($C1838, VOLUME_AVG_12M))</f>
        <v/>
      </c>
      <c r="AD1838" s="41" t="str" cm="1">
        <f t="array" ref="AD1838">IF(LEFT(_xll.BDP($C1838, LAST_PRICE), 4) = "#N/A", "",  _xll.BDP($C1838, LAST_PRICE))</f>
        <v/>
      </c>
    </row>
    <row r="1839" spans="1:30" x14ac:dyDescent="0.35">
      <c r="A1839" s="1" t="str">
        <f t="shared" si="28"/>
        <v/>
      </c>
      <c r="B1839" s="30"/>
      <c r="C1839" s="29"/>
      <c r="D1839" s="29"/>
      <c r="E1839" s="29"/>
      <c r="F1839" s="29"/>
      <c r="G1839" s="30"/>
      <c r="H1839" s="31"/>
      <c r="I1839" s="31"/>
      <c r="J1839" s="32"/>
      <c r="K1839" s="33"/>
      <c r="L1839" s="31"/>
      <c r="M1839" s="32"/>
      <c r="N1839" s="31"/>
      <c r="O1839" s="36"/>
      <c r="P1839" s="34"/>
      <c r="Q1839" s="34"/>
      <c r="R1839" s="34"/>
      <c r="S1839" s="29"/>
      <c r="T1839" s="35"/>
      <c r="U1839" s="35"/>
      <c r="V1839" s="35"/>
      <c r="W1839" s="35"/>
      <c r="Y1839" s="31" t="str" cm="1">
        <f t="array" ref="Y1839">IF(LEFT(_xll.BDP($C1839, VOLUME_AVG_10D), 4) = "#N/A", "",  _xll.BDP($C1839, VOLUME_AVG_10D))</f>
        <v/>
      </c>
      <c r="Z1839" s="31" t="str" cm="1">
        <f t="array" ref="Z1839">IF(LEFT(_xll.BDP($C1839, VOLUME_AVG_30D), 4) = "#N/A", "",  _xll.BDP($C1839, VOLUME_AVG_30D))</f>
        <v/>
      </c>
      <c r="AA1839" s="31" t="str" cm="1">
        <f t="array" ref="AA1839">IF(LEFT(_xll.BDP($C1839, VOLUME_AVG_3M), 4) = "#N/A", "",  _xll.BDP($C1839, VOLUME_AVG_3M))</f>
        <v/>
      </c>
      <c r="AB1839" s="31" t="str" cm="1">
        <f t="array" ref="AB1839">IF(LEFT(_xll.BDP($C1839, VOLUME_AVG_6M), 4) = "#N/A", "",  _xll.BDP($C1839, VOLUME_AVG_6M))</f>
        <v/>
      </c>
      <c r="AC1839" s="31" t="str" cm="1">
        <f t="array" ref="AC1839">IF(LEFT(_xll.BDP($C1839, VOLUME_AVG_12M), 4) = "#N/A", "",  _xll.BDP($C1839, VOLUME_AVG_12M))</f>
        <v/>
      </c>
      <c r="AD1839" s="41" t="str" cm="1">
        <f t="array" ref="AD1839">IF(LEFT(_xll.BDP($C1839, LAST_PRICE), 4) = "#N/A", "",  _xll.BDP($C1839, LAST_PRICE))</f>
        <v/>
      </c>
    </row>
    <row r="1840" spans="1:30" x14ac:dyDescent="0.35">
      <c r="A1840" s="1" t="str">
        <f t="shared" si="28"/>
        <v/>
      </c>
      <c r="B1840" s="30"/>
      <c r="C1840" s="29"/>
      <c r="D1840" s="29"/>
      <c r="E1840" s="29"/>
      <c r="F1840" s="29"/>
      <c r="G1840" s="30"/>
      <c r="H1840" s="31"/>
      <c r="I1840" s="31"/>
      <c r="J1840" s="32"/>
      <c r="K1840" s="33"/>
      <c r="L1840" s="31"/>
      <c r="M1840" s="32"/>
      <c r="N1840" s="31"/>
      <c r="O1840" s="36"/>
      <c r="P1840" s="34"/>
      <c r="Q1840" s="34"/>
      <c r="R1840" s="34"/>
      <c r="S1840" s="29"/>
      <c r="T1840" s="35"/>
      <c r="U1840" s="35"/>
      <c r="V1840" s="35"/>
      <c r="W1840" s="35"/>
      <c r="Y1840" s="31" t="str" cm="1">
        <f t="array" ref="Y1840">IF(LEFT(_xll.BDP($C1840, VOLUME_AVG_10D), 4) = "#N/A", "",  _xll.BDP($C1840, VOLUME_AVG_10D))</f>
        <v/>
      </c>
      <c r="Z1840" s="31" t="str" cm="1">
        <f t="array" ref="Z1840">IF(LEFT(_xll.BDP($C1840, VOLUME_AVG_30D), 4) = "#N/A", "",  _xll.BDP($C1840, VOLUME_AVG_30D))</f>
        <v/>
      </c>
      <c r="AA1840" s="31" t="str" cm="1">
        <f t="array" ref="AA1840">IF(LEFT(_xll.BDP($C1840, VOLUME_AVG_3M), 4) = "#N/A", "",  _xll.BDP($C1840, VOLUME_AVG_3M))</f>
        <v/>
      </c>
      <c r="AB1840" s="31" t="str" cm="1">
        <f t="array" ref="AB1840">IF(LEFT(_xll.BDP($C1840, VOLUME_AVG_6M), 4) = "#N/A", "",  _xll.BDP($C1840, VOLUME_AVG_6M))</f>
        <v/>
      </c>
      <c r="AC1840" s="31" t="str" cm="1">
        <f t="array" ref="AC1840">IF(LEFT(_xll.BDP($C1840, VOLUME_AVG_12M), 4) = "#N/A", "",  _xll.BDP($C1840, VOLUME_AVG_12M))</f>
        <v/>
      </c>
      <c r="AD1840" s="41" t="str" cm="1">
        <f t="array" ref="AD1840">IF(LEFT(_xll.BDP($C1840, LAST_PRICE), 4) = "#N/A", "",  _xll.BDP($C1840, LAST_PRICE))</f>
        <v/>
      </c>
    </row>
    <row r="1841" spans="1:30" x14ac:dyDescent="0.35">
      <c r="A1841" s="1" t="str">
        <f t="shared" si="28"/>
        <v/>
      </c>
      <c r="B1841" s="30"/>
      <c r="C1841" s="29"/>
      <c r="D1841" s="29"/>
      <c r="E1841" s="29"/>
      <c r="F1841" s="29"/>
      <c r="G1841" s="30"/>
      <c r="H1841" s="31"/>
      <c r="I1841" s="31"/>
      <c r="J1841" s="32"/>
      <c r="K1841" s="33"/>
      <c r="L1841" s="31"/>
      <c r="M1841" s="32"/>
      <c r="N1841" s="31"/>
      <c r="O1841" s="36"/>
      <c r="P1841" s="34"/>
      <c r="Q1841" s="34"/>
      <c r="R1841" s="34"/>
      <c r="S1841" s="29"/>
      <c r="T1841" s="35"/>
      <c r="U1841" s="35"/>
      <c r="V1841" s="35"/>
      <c r="W1841" s="35"/>
      <c r="Y1841" s="31" t="str" cm="1">
        <f t="array" ref="Y1841">IF(LEFT(_xll.BDP($C1841, VOLUME_AVG_10D), 4) = "#N/A", "",  _xll.BDP($C1841, VOLUME_AVG_10D))</f>
        <v/>
      </c>
      <c r="Z1841" s="31" t="str" cm="1">
        <f t="array" ref="Z1841">IF(LEFT(_xll.BDP($C1841, VOLUME_AVG_30D), 4) = "#N/A", "",  _xll.BDP($C1841, VOLUME_AVG_30D))</f>
        <v/>
      </c>
      <c r="AA1841" s="31" t="str" cm="1">
        <f t="array" ref="AA1841">IF(LEFT(_xll.BDP($C1841, VOLUME_AVG_3M), 4) = "#N/A", "",  _xll.BDP($C1841, VOLUME_AVG_3M))</f>
        <v/>
      </c>
      <c r="AB1841" s="31" t="str" cm="1">
        <f t="array" ref="AB1841">IF(LEFT(_xll.BDP($C1841, VOLUME_AVG_6M), 4) = "#N/A", "",  _xll.BDP($C1841, VOLUME_AVG_6M))</f>
        <v/>
      </c>
      <c r="AC1841" s="31" t="str" cm="1">
        <f t="array" ref="AC1841">IF(LEFT(_xll.BDP($C1841, VOLUME_AVG_12M), 4) = "#N/A", "",  _xll.BDP($C1841, VOLUME_AVG_12M))</f>
        <v/>
      </c>
      <c r="AD1841" s="41" t="str" cm="1">
        <f t="array" ref="AD1841">IF(LEFT(_xll.BDP($C1841, LAST_PRICE), 4) = "#N/A", "",  _xll.BDP($C1841, LAST_PRICE))</f>
        <v/>
      </c>
    </row>
    <row r="1842" spans="1:30" x14ac:dyDescent="0.35">
      <c r="A1842" s="1" t="str">
        <f t="shared" si="28"/>
        <v/>
      </c>
      <c r="B1842" s="30"/>
      <c r="C1842" s="29"/>
      <c r="D1842" s="29"/>
      <c r="E1842" s="29"/>
      <c r="F1842" s="29"/>
      <c r="G1842" s="30"/>
      <c r="H1842" s="31"/>
      <c r="I1842" s="31"/>
      <c r="J1842" s="32"/>
      <c r="K1842" s="33"/>
      <c r="L1842" s="31"/>
      <c r="M1842" s="32"/>
      <c r="N1842" s="31"/>
      <c r="O1842" s="36"/>
      <c r="P1842" s="34"/>
      <c r="Q1842" s="34"/>
      <c r="R1842" s="34"/>
      <c r="S1842" s="29"/>
      <c r="T1842" s="35"/>
      <c r="U1842" s="35"/>
      <c r="V1842" s="35"/>
      <c r="W1842" s="35"/>
      <c r="Y1842" s="31" t="str" cm="1">
        <f t="array" ref="Y1842">IF(LEFT(_xll.BDP($C1842, VOLUME_AVG_10D), 4) = "#N/A", "",  _xll.BDP($C1842, VOLUME_AVG_10D))</f>
        <v/>
      </c>
      <c r="Z1842" s="31" t="str" cm="1">
        <f t="array" ref="Z1842">IF(LEFT(_xll.BDP($C1842, VOLUME_AVG_30D), 4) = "#N/A", "",  _xll.BDP($C1842, VOLUME_AVG_30D))</f>
        <v/>
      </c>
      <c r="AA1842" s="31" t="str" cm="1">
        <f t="array" ref="AA1842">IF(LEFT(_xll.BDP($C1842, VOLUME_AVG_3M), 4) = "#N/A", "",  _xll.BDP($C1842, VOLUME_AVG_3M))</f>
        <v/>
      </c>
      <c r="AB1842" s="31" t="str" cm="1">
        <f t="array" ref="AB1842">IF(LEFT(_xll.BDP($C1842, VOLUME_AVG_6M), 4) = "#N/A", "",  _xll.BDP($C1842, VOLUME_AVG_6M))</f>
        <v/>
      </c>
      <c r="AC1842" s="31" t="str" cm="1">
        <f t="array" ref="AC1842">IF(LEFT(_xll.BDP($C1842, VOLUME_AVG_12M), 4) = "#N/A", "",  _xll.BDP($C1842, VOLUME_AVG_12M))</f>
        <v/>
      </c>
      <c r="AD1842" s="41" t="str" cm="1">
        <f t="array" ref="AD1842">IF(LEFT(_xll.BDP($C1842, LAST_PRICE), 4) = "#N/A", "",  _xll.BDP($C1842, LAST_PRICE))</f>
        <v/>
      </c>
    </row>
    <row r="1843" spans="1:30" x14ac:dyDescent="0.35">
      <c r="A1843" s="1" t="str">
        <f t="shared" si="28"/>
        <v/>
      </c>
      <c r="B1843" s="30"/>
      <c r="C1843" s="29"/>
      <c r="D1843" s="29"/>
      <c r="E1843" s="29"/>
      <c r="F1843" s="29"/>
      <c r="G1843" s="30"/>
      <c r="H1843" s="31"/>
      <c r="I1843" s="31"/>
      <c r="J1843" s="32"/>
      <c r="K1843" s="33"/>
      <c r="L1843" s="31"/>
      <c r="M1843" s="32"/>
      <c r="N1843" s="31"/>
      <c r="O1843" s="36"/>
      <c r="P1843" s="34"/>
      <c r="Q1843" s="34"/>
      <c r="R1843" s="34"/>
      <c r="S1843" s="29"/>
      <c r="T1843" s="35"/>
      <c r="U1843" s="35"/>
      <c r="V1843" s="35"/>
      <c r="W1843" s="35"/>
      <c r="Y1843" s="31" t="str" cm="1">
        <f t="array" ref="Y1843">IF(LEFT(_xll.BDP($C1843, VOLUME_AVG_10D), 4) = "#N/A", "",  _xll.BDP($C1843, VOLUME_AVG_10D))</f>
        <v/>
      </c>
      <c r="Z1843" s="31" t="str" cm="1">
        <f t="array" ref="Z1843">IF(LEFT(_xll.BDP($C1843, VOLUME_AVG_30D), 4) = "#N/A", "",  _xll.BDP($C1843, VOLUME_AVG_30D))</f>
        <v/>
      </c>
      <c r="AA1843" s="31" t="str" cm="1">
        <f t="array" ref="AA1843">IF(LEFT(_xll.BDP($C1843, VOLUME_AVG_3M), 4) = "#N/A", "",  _xll.BDP($C1843, VOLUME_AVG_3M))</f>
        <v/>
      </c>
      <c r="AB1843" s="31" t="str" cm="1">
        <f t="array" ref="AB1843">IF(LEFT(_xll.BDP($C1843, VOLUME_AVG_6M), 4) = "#N/A", "",  _xll.BDP($C1843, VOLUME_AVG_6M))</f>
        <v/>
      </c>
      <c r="AC1843" s="31" t="str" cm="1">
        <f t="array" ref="AC1843">IF(LEFT(_xll.BDP($C1843, VOLUME_AVG_12M), 4) = "#N/A", "",  _xll.BDP($C1843, VOLUME_AVG_12M))</f>
        <v/>
      </c>
      <c r="AD1843" s="41" t="str" cm="1">
        <f t="array" ref="AD1843">IF(LEFT(_xll.BDP($C1843, LAST_PRICE), 4) = "#N/A", "",  _xll.BDP($C1843, LAST_PRICE))</f>
        <v/>
      </c>
    </row>
    <row r="1844" spans="1:30" x14ac:dyDescent="0.35">
      <c r="A1844" s="1" t="str">
        <f t="shared" si="28"/>
        <v/>
      </c>
      <c r="B1844" s="30"/>
      <c r="C1844" s="29"/>
      <c r="D1844" s="29"/>
      <c r="E1844" s="29"/>
      <c r="F1844" s="29"/>
      <c r="G1844" s="30"/>
      <c r="H1844" s="31"/>
      <c r="I1844" s="31"/>
      <c r="J1844" s="32"/>
      <c r="K1844" s="33"/>
      <c r="L1844" s="31"/>
      <c r="M1844" s="32"/>
      <c r="N1844" s="31"/>
      <c r="O1844" s="36"/>
      <c r="P1844" s="34"/>
      <c r="Q1844" s="34"/>
      <c r="R1844" s="34"/>
      <c r="S1844" s="29"/>
      <c r="T1844" s="35"/>
      <c r="U1844" s="35"/>
      <c r="V1844" s="35"/>
      <c r="W1844" s="35"/>
      <c r="Y1844" s="31" t="str" cm="1">
        <f t="array" ref="Y1844">IF(LEFT(_xll.BDP($C1844, VOLUME_AVG_10D), 4) = "#N/A", "",  _xll.BDP($C1844, VOLUME_AVG_10D))</f>
        <v/>
      </c>
      <c r="Z1844" s="31" t="str" cm="1">
        <f t="array" ref="Z1844">IF(LEFT(_xll.BDP($C1844, VOLUME_AVG_30D), 4) = "#N/A", "",  _xll.BDP($C1844, VOLUME_AVG_30D))</f>
        <v/>
      </c>
      <c r="AA1844" s="31" t="str" cm="1">
        <f t="array" ref="AA1844">IF(LEFT(_xll.BDP($C1844, VOLUME_AVG_3M), 4) = "#N/A", "",  _xll.BDP($C1844, VOLUME_AVG_3M))</f>
        <v/>
      </c>
      <c r="AB1844" s="31" t="str" cm="1">
        <f t="array" ref="AB1844">IF(LEFT(_xll.BDP($C1844, VOLUME_AVG_6M), 4) = "#N/A", "",  _xll.BDP($C1844, VOLUME_AVG_6M))</f>
        <v/>
      </c>
      <c r="AC1844" s="31" t="str" cm="1">
        <f t="array" ref="AC1844">IF(LEFT(_xll.BDP($C1844, VOLUME_AVG_12M), 4) = "#N/A", "",  _xll.BDP($C1844, VOLUME_AVG_12M))</f>
        <v/>
      </c>
      <c r="AD1844" s="41" t="str" cm="1">
        <f t="array" ref="AD1844">IF(LEFT(_xll.BDP($C1844, LAST_PRICE), 4) = "#N/A", "",  _xll.BDP($C1844, LAST_PRICE))</f>
        <v/>
      </c>
    </row>
    <row r="1845" spans="1:30" x14ac:dyDescent="0.35">
      <c r="A1845" s="1" t="str">
        <f t="shared" si="28"/>
        <v/>
      </c>
      <c r="B1845" s="30"/>
      <c r="C1845" s="29"/>
      <c r="D1845" s="29"/>
      <c r="E1845" s="29"/>
      <c r="F1845" s="29"/>
      <c r="G1845" s="30"/>
      <c r="H1845" s="31"/>
      <c r="I1845" s="31"/>
      <c r="J1845" s="32"/>
      <c r="K1845" s="33"/>
      <c r="L1845" s="31"/>
      <c r="M1845" s="32"/>
      <c r="N1845" s="31"/>
      <c r="O1845" s="36"/>
      <c r="P1845" s="34"/>
      <c r="Q1845" s="34"/>
      <c r="R1845" s="34"/>
      <c r="S1845" s="29"/>
      <c r="T1845" s="35"/>
      <c r="U1845" s="35"/>
      <c r="V1845" s="35"/>
      <c r="W1845" s="35"/>
      <c r="Y1845" s="31" t="str" cm="1">
        <f t="array" ref="Y1845">IF(LEFT(_xll.BDP($C1845, VOLUME_AVG_10D), 4) = "#N/A", "",  _xll.BDP($C1845, VOLUME_AVG_10D))</f>
        <v/>
      </c>
      <c r="Z1845" s="31" t="str" cm="1">
        <f t="array" ref="Z1845">IF(LEFT(_xll.BDP($C1845, VOLUME_AVG_30D), 4) = "#N/A", "",  _xll.BDP($C1845, VOLUME_AVG_30D))</f>
        <v/>
      </c>
      <c r="AA1845" s="31" t="str" cm="1">
        <f t="array" ref="AA1845">IF(LEFT(_xll.BDP($C1845, VOLUME_AVG_3M), 4) = "#N/A", "",  _xll.BDP($C1845, VOLUME_AVG_3M))</f>
        <v/>
      </c>
      <c r="AB1845" s="31" t="str" cm="1">
        <f t="array" ref="AB1845">IF(LEFT(_xll.BDP($C1845, VOLUME_AVG_6M), 4) = "#N/A", "",  _xll.BDP($C1845, VOLUME_AVG_6M))</f>
        <v/>
      </c>
      <c r="AC1845" s="31" t="str" cm="1">
        <f t="array" ref="AC1845">IF(LEFT(_xll.BDP($C1845, VOLUME_AVG_12M), 4) = "#N/A", "",  _xll.BDP($C1845, VOLUME_AVG_12M))</f>
        <v/>
      </c>
      <c r="AD1845" s="41" t="str" cm="1">
        <f t="array" ref="AD1845">IF(LEFT(_xll.BDP($C1845, LAST_PRICE), 4) = "#N/A", "",  _xll.BDP($C1845, LAST_PRICE))</f>
        <v/>
      </c>
    </row>
    <row r="1846" spans="1:30" x14ac:dyDescent="0.35">
      <c r="A1846" s="1" t="str">
        <f t="shared" si="28"/>
        <v/>
      </c>
      <c r="B1846" s="30"/>
      <c r="C1846" s="29"/>
      <c r="D1846" s="29"/>
      <c r="E1846" s="29"/>
      <c r="F1846" s="29"/>
      <c r="G1846" s="30"/>
      <c r="H1846" s="31"/>
      <c r="I1846" s="31"/>
      <c r="J1846" s="32"/>
      <c r="K1846" s="33"/>
      <c r="L1846" s="31"/>
      <c r="M1846" s="32"/>
      <c r="N1846" s="31"/>
      <c r="O1846" s="36"/>
      <c r="P1846" s="34"/>
      <c r="Q1846" s="34"/>
      <c r="R1846" s="34"/>
      <c r="S1846" s="29"/>
      <c r="T1846" s="35"/>
      <c r="U1846" s="35"/>
      <c r="V1846" s="35"/>
      <c r="W1846" s="35"/>
      <c r="Y1846" s="31" t="str" cm="1">
        <f t="array" ref="Y1846">IF(LEFT(_xll.BDP($C1846, VOLUME_AVG_10D), 4) = "#N/A", "",  _xll.BDP($C1846, VOLUME_AVG_10D))</f>
        <v/>
      </c>
      <c r="Z1846" s="31" t="str" cm="1">
        <f t="array" ref="Z1846">IF(LEFT(_xll.BDP($C1846, VOLUME_AVG_30D), 4) = "#N/A", "",  _xll.BDP($C1846, VOLUME_AVG_30D))</f>
        <v/>
      </c>
      <c r="AA1846" s="31" t="str" cm="1">
        <f t="array" ref="AA1846">IF(LEFT(_xll.BDP($C1846, VOLUME_AVG_3M), 4) = "#N/A", "",  _xll.BDP($C1846, VOLUME_AVG_3M))</f>
        <v/>
      </c>
      <c r="AB1846" s="31" t="str" cm="1">
        <f t="array" ref="AB1846">IF(LEFT(_xll.BDP($C1846, VOLUME_AVG_6M), 4) = "#N/A", "",  _xll.BDP($C1846, VOLUME_AVG_6M))</f>
        <v/>
      </c>
      <c r="AC1846" s="31" t="str" cm="1">
        <f t="array" ref="AC1846">IF(LEFT(_xll.BDP($C1846, VOLUME_AVG_12M), 4) = "#N/A", "",  _xll.BDP($C1846, VOLUME_AVG_12M))</f>
        <v/>
      </c>
      <c r="AD1846" s="41" t="str" cm="1">
        <f t="array" ref="AD1846">IF(LEFT(_xll.BDP($C1846, LAST_PRICE), 4) = "#N/A", "",  _xll.BDP($C1846, LAST_PRICE))</f>
        <v/>
      </c>
    </row>
    <row r="1847" spans="1:30" x14ac:dyDescent="0.35">
      <c r="A1847" s="1" t="str">
        <f t="shared" si="28"/>
        <v/>
      </c>
      <c r="B1847" s="30"/>
      <c r="C1847" s="29"/>
      <c r="D1847" s="29"/>
      <c r="E1847" s="29"/>
      <c r="F1847" s="29"/>
      <c r="G1847" s="30"/>
      <c r="H1847" s="31"/>
      <c r="I1847" s="31"/>
      <c r="J1847" s="32"/>
      <c r="K1847" s="33"/>
      <c r="L1847" s="31"/>
      <c r="M1847" s="32"/>
      <c r="N1847" s="31"/>
      <c r="O1847" s="36"/>
      <c r="P1847" s="34"/>
      <c r="Q1847" s="34"/>
      <c r="R1847" s="34"/>
      <c r="S1847" s="29"/>
      <c r="T1847" s="35"/>
      <c r="U1847" s="35"/>
      <c r="V1847" s="35"/>
      <c r="W1847" s="35"/>
      <c r="Y1847" s="31" t="str" cm="1">
        <f t="array" ref="Y1847">IF(LEFT(_xll.BDP($C1847, VOLUME_AVG_10D), 4) = "#N/A", "",  _xll.BDP($C1847, VOLUME_AVG_10D))</f>
        <v/>
      </c>
      <c r="Z1847" s="31" t="str" cm="1">
        <f t="array" ref="Z1847">IF(LEFT(_xll.BDP($C1847, VOLUME_AVG_30D), 4) = "#N/A", "",  _xll.BDP($C1847, VOLUME_AVG_30D))</f>
        <v/>
      </c>
      <c r="AA1847" s="31" t="str" cm="1">
        <f t="array" ref="AA1847">IF(LEFT(_xll.BDP($C1847, VOLUME_AVG_3M), 4) = "#N/A", "",  _xll.BDP($C1847, VOLUME_AVG_3M))</f>
        <v/>
      </c>
      <c r="AB1847" s="31" t="str" cm="1">
        <f t="array" ref="AB1847">IF(LEFT(_xll.BDP($C1847, VOLUME_AVG_6M), 4) = "#N/A", "",  _xll.BDP($C1847, VOLUME_AVG_6M))</f>
        <v/>
      </c>
      <c r="AC1847" s="31" t="str" cm="1">
        <f t="array" ref="AC1847">IF(LEFT(_xll.BDP($C1847, VOLUME_AVG_12M), 4) = "#N/A", "",  _xll.BDP($C1847, VOLUME_AVG_12M))</f>
        <v/>
      </c>
      <c r="AD1847" s="41" t="str" cm="1">
        <f t="array" ref="AD1847">IF(LEFT(_xll.BDP($C1847, LAST_PRICE), 4) = "#N/A", "",  _xll.BDP($C1847, LAST_PRICE))</f>
        <v/>
      </c>
    </row>
    <row r="1848" spans="1:30" x14ac:dyDescent="0.35">
      <c r="A1848" s="1" t="str">
        <f t="shared" si="28"/>
        <v/>
      </c>
      <c r="B1848" s="30"/>
      <c r="C1848" s="29"/>
      <c r="D1848" s="29"/>
      <c r="E1848" s="29"/>
      <c r="F1848" s="29"/>
      <c r="G1848" s="30"/>
      <c r="H1848" s="31"/>
      <c r="I1848" s="31"/>
      <c r="J1848" s="32"/>
      <c r="K1848" s="33"/>
      <c r="L1848" s="31"/>
      <c r="M1848" s="32"/>
      <c r="N1848" s="31"/>
      <c r="O1848" s="36"/>
      <c r="P1848" s="34"/>
      <c r="Q1848" s="34"/>
      <c r="R1848" s="34"/>
      <c r="S1848" s="29"/>
      <c r="T1848" s="35"/>
      <c r="U1848" s="35"/>
      <c r="V1848" s="35"/>
      <c r="W1848" s="35"/>
      <c r="Y1848" s="31" t="str" cm="1">
        <f t="array" ref="Y1848">IF(LEFT(_xll.BDP($C1848, VOLUME_AVG_10D), 4) = "#N/A", "",  _xll.BDP($C1848, VOLUME_AVG_10D))</f>
        <v/>
      </c>
      <c r="Z1848" s="31" t="str" cm="1">
        <f t="array" ref="Z1848">IF(LEFT(_xll.BDP($C1848, VOLUME_AVG_30D), 4) = "#N/A", "",  _xll.BDP($C1848, VOLUME_AVG_30D))</f>
        <v/>
      </c>
      <c r="AA1848" s="31" t="str" cm="1">
        <f t="array" ref="AA1848">IF(LEFT(_xll.BDP($C1848, VOLUME_AVG_3M), 4) = "#N/A", "",  _xll.BDP($C1848, VOLUME_AVG_3M))</f>
        <v/>
      </c>
      <c r="AB1848" s="31" t="str" cm="1">
        <f t="array" ref="AB1848">IF(LEFT(_xll.BDP($C1848, VOLUME_AVG_6M), 4) = "#N/A", "",  _xll.BDP($C1848, VOLUME_AVG_6M))</f>
        <v/>
      </c>
      <c r="AC1848" s="31" t="str" cm="1">
        <f t="array" ref="AC1848">IF(LEFT(_xll.BDP($C1848, VOLUME_AVG_12M), 4) = "#N/A", "",  _xll.BDP($C1848, VOLUME_AVG_12M))</f>
        <v/>
      </c>
      <c r="AD1848" s="41" t="str" cm="1">
        <f t="array" ref="AD1848">IF(LEFT(_xll.BDP($C1848, LAST_PRICE), 4) = "#N/A", "",  _xll.BDP($C1848, LAST_PRICE))</f>
        <v/>
      </c>
    </row>
    <row r="1849" spans="1:30" x14ac:dyDescent="0.35">
      <c r="A1849" s="1" t="str">
        <f t="shared" si="28"/>
        <v/>
      </c>
      <c r="B1849" s="30"/>
      <c r="C1849" s="29"/>
      <c r="D1849" s="29"/>
      <c r="E1849" s="29"/>
      <c r="F1849" s="29"/>
      <c r="G1849" s="30"/>
      <c r="H1849" s="31"/>
      <c r="I1849" s="31"/>
      <c r="J1849" s="32"/>
      <c r="K1849" s="33"/>
      <c r="L1849" s="31"/>
      <c r="M1849" s="32"/>
      <c r="N1849" s="31"/>
      <c r="O1849" s="36"/>
      <c r="P1849" s="34"/>
      <c r="Q1849" s="34"/>
      <c r="R1849" s="34"/>
      <c r="S1849" s="29"/>
      <c r="T1849" s="35"/>
      <c r="U1849" s="35"/>
      <c r="V1849" s="35"/>
      <c r="W1849" s="35"/>
      <c r="Y1849" s="31" t="str" cm="1">
        <f t="array" ref="Y1849">IF(LEFT(_xll.BDP($C1849, VOLUME_AVG_10D), 4) = "#N/A", "",  _xll.BDP($C1849, VOLUME_AVG_10D))</f>
        <v/>
      </c>
      <c r="Z1849" s="31" t="str" cm="1">
        <f t="array" ref="Z1849">IF(LEFT(_xll.BDP($C1849, VOLUME_AVG_30D), 4) = "#N/A", "",  _xll.BDP($C1849, VOLUME_AVG_30D))</f>
        <v/>
      </c>
      <c r="AA1849" s="31" t="str" cm="1">
        <f t="array" ref="AA1849">IF(LEFT(_xll.BDP($C1849, VOLUME_AVG_3M), 4) = "#N/A", "",  _xll.BDP($C1849, VOLUME_AVG_3M))</f>
        <v/>
      </c>
      <c r="AB1849" s="31" t="str" cm="1">
        <f t="array" ref="AB1849">IF(LEFT(_xll.BDP($C1849, VOLUME_AVG_6M), 4) = "#N/A", "",  _xll.BDP($C1849, VOLUME_AVG_6M))</f>
        <v/>
      </c>
      <c r="AC1849" s="31" t="str" cm="1">
        <f t="array" ref="AC1849">IF(LEFT(_xll.BDP($C1849, VOLUME_AVG_12M), 4) = "#N/A", "",  _xll.BDP($C1849, VOLUME_AVG_12M))</f>
        <v/>
      </c>
      <c r="AD1849" s="41" t="str" cm="1">
        <f t="array" ref="AD1849">IF(LEFT(_xll.BDP($C1849, LAST_PRICE), 4) = "#N/A", "",  _xll.BDP($C1849, LAST_PRICE))</f>
        <v/>
      </c>
    </row>
    <row r="1850" spans="1:30" x14ac:dyDescent="0.35">
      <c r="A1850" s="1" t="str">
        <f t="shared" si="28"/>
        <v/>
      </c>
      <c r="B1850" s="30"/>
      <c r="C1850" s="29"/>
      <c r="D1850" s="29"/>
      <c r="E1850" s="29"/>
      <c r="F1850" s="29"/>
      <c r="G1850" s="30"/>
      <c r="H1850" s="31"/>
      <c r="I1850" s="31"/>
      <c r="J1850" s="32"/>
      <c r="K1850" s="33"/>
      <c r="L1850" s="31"/>
      <c r="M1850" s="32"/>
      <c r="N1850" s="31"/>
      <c r="O1850" s="36"/>
      <c r="P1850" s="34"/>
      <c r="Q1850" s="34"/>
      <c r="R1850" s="34"/>
      <c r="S1850" s="29"/>
      <c r="T1850" s="35"/>
      <c r="U1850" s="35"/>
      <c r="V1850" s="35"/>
      <c r="W1850" s="35"/>
      <c r="Y1850" s="31" t="str" cm="1">
        <f t="array" ref="Y1850">IF(LEFT(_xll.BDP($C1850, VOLUME_AVG_10D), 4) = "#N/A", "",  _xll.BDP($C1850, VOLUME_AVG_10D))</f>
        <v/>
      </c>
      <c r="Z1850" s="31" t="str" cm="1">
        <f t="array" ref="Z1850">IF(LEFT(_xll.BDP($C1850, VOLUME_AVG_30D), 4) = "#N/A", "",  _xll.BDP($C1850, VOLUME_AVG_30D))</f>
        <v/>
      </c>
      <c r="AA1850" s="31" t="str" cm="1">
        <f t="array" ref="AA1850">IF(LEFT(_xll.BDP($C1850, VOLUME_AVG_3M), 4) = "#N/A", "",  _xll.BDP($C1850, VOLUME_AVG_3M))</f>
        <v/>
      </c>
      <c r="AB1850" s="31" t="str" cm="1">
        <f t="array" ref="AB1850">IF(LEFT(_xll.BDP($C1850, VOLUME_AVG_6M), 4) = "#N/A", "",  _xll.BDP($C1850, VOLUME_AVG_6M))</f>
        <v/>
      </c>
      <c r="AC1850" s="31" t="str" cm="1">
        <f t="array" ref="AC1850">IF(LEFT(_xll.BDP($C1850, VOLUME_AVG_12M), 4) = "#N/A", "",  _xll.BDP($C1850, VOLUME_AVG_12M))</f>
        <v/>
      </c>
      <c r="AD1850" s="41" t="str" cm="1">
        <f t="array" ref="AD1850">IF(LEFT(_xll.BDP($C1850, LAST_PRICE), 4) = "#N/A", "",  _xll.BDP($C1850, LAST_PRICE))</f>
        <v/>
      </c>
    </row>
    <row r="1851" spans="1:30" x14ac:dyDescent="0.35">
      <c r="A1851" s="1" t="str">
        <f t="shared" si="28"/>
        <v/>
      </c>
      <c r="B1851" s="30"/>
      <c r="C1851" s="29"/>
      <c r="D1851" s="29"/>
      <c r="E1851" s="29"/>
      <c r="F1851" s="29"/>
      <c r="G1851" s="30"/>
      <c r="H1851" s="31"/>
      <c r="I1851" s="31"/>
      <c r="J1851" s="32"/>
      <c r="K1851" s="33"/>
      <c r="L1851" s="31"/>
      <c r="M1851" s="32"/>
      <c r="N1851" s="31"/>
      <c r="O1851" s="36"/>
      <c r="P1851" s="34"/>
      <c r="Q1851" s="34"/>
      <c r="R1851" s="34"/>
      <c r="S1851" s="29"/>
      <c r="T1851" s="35"/>
      <c r="U1851" s="35"/>
      <c r="V1851" s="35"/>
      <c r="W1851" s="35"/>
      <c r="Y1851" s="31" t="str" cm="1">
        <f t="array" ref="Y1851">IF(LEFT(_xll.BDP($C1851, VOLUME_AVG_10D), 4) = "#N/A", "",  _xll.BDP($C1851, VOLUME_AVG_10D))</f>
        <v/>
      </c>
      <c r="Z1851" s="31" t="str" cm="1">
        <f t="array" ref="Z1851">IF(LEFT(_xll.BDP($C1851, VOLUME_AVG_30D), 4) = "#N/A", "",  _xll.BDP($C1851, VOLUME_AVG_30D))</f>
        <v/>
      </c>
      <c r="AA1851" s="31" t="str" cm="1">
        <f t="array" ref="AA1851">IF(LEFT(_xll.BDP($C1851, VOLUME_AVG_3M), 4) = "#N/A", "",  _xll.BDP($C1851, VOLUME_AVG_3M))</f>
        <v/>
      </c>
      <c r="AB1851" s="31" t="str" cm="1">
        <f t="array" ref="AB1851">IF(LEFT(_xll.BDP($C1851, VOLUME_AVG_6M), 4) = "#N/A", "",  _xll.BDP($C1851, VOLUME_AVG_6M))</f>
        <v/>
      </c>
      <c r="AC1851" s="31" t="str" cm="1">
        <f t="array" ref="AC1851">IF(LEFT(_xll.BDP($C1851, VOLUME_AVG_12M), 4) = "#N/A", "",  _xll.BDP($C1851, VOLUME_AVG_12M))</f>
        <v/>
      </c>
      <c r="AD1851" s="41" t="str" cm="1">
        <f t="array" ref="AD1851">IF(LEFT(_xll.BDP($C1851, LAST_PRICE), 4) = "#N/A", "",  _xll.BDP($C1851, LAST_PRICE))</f>
        <v/>
      </c>
    </row>
    <row r="1852" spans="1:30" x14ac:dyDescent="0.35">
      <c r="A1852" s="1" t="str">
        <f t="shared" si="28"/>
        <v/>
      </c>
      <c r="B1852" s="30"/>
      <c r="C1852" s="29"/>
      <c r="D1852" s="29"/>
      <c r="E1852" s="29"/>
      <c r="F1852" s="29"/>
      <c r="G1852" s="30"/>
      <c r="H1852" s="31"/>
      <c r="I1852" s="31"/>
      <c r="J1852" s="32"/>
      <c r="K1852" s="33"/>
      <c r="L1852" s="31"/>
      <c r="M1852" s="32"/>
      <c r="N1852" s="31"/>
      <c r="O1852" s="36"/>
      <c r="P1852" s="34"/>
      <c r="Q1852" s="34"/>
      <c r="R1852" s="34"/>
      <c r="S1852" s="29"/>
      <c r="T1852" s="35"/>
      <c r="U1852" s="35"/>
      <c r="V1852" s="35"/>
      <c r="W1852" s="35"/>
      <c r="Y1852" s="31" t="str" cm="1">
        <f t="array" ref="Y1852">IF(LEFT(_xll.BDP($C1852, VOLUME_AVG_10D), 4) = "#N/A", "",  _xll.BDP($C1852, VOLUME_AVG_10D))</f>
        <v/>
      </c>
      <c r="Z1852" s="31" t="str" cm="1">
        <f t="array" ref="Z1852">IF(LEFT(_xll.BDP($C1852, VOLUME_AVG_30D), 4) = "#N/A", "",  _xll.BDP($C1852, VOLUME_AVG_30D))</f>
        <v/>
      </c>
      <c r="AA1852" s="31" t="str" cm="1">
        <f t="array" ref="AA1852">IF(LEFT(_xll.BDP($C1852, VOLUME_AVG_3M), 4) = "#N/A", "",  _xll.BDP($C1852, VOLUME_AVG_3M))</f>
        <v/>
      </c>
      <c r="AB1852" s="31" t="str" cm="1">
        <f t="array" ref="AB1852">IF(LEFT(_xll.BDP($C1852, VOLUME_AVG_6M), 4) = "#N/A", "",  _xll.BDP($C1852, VOLUME_AVG_6M))</f>
        <v/>
      </c>
      <c r="AC1852" s="31" t="str" cm="1">
        <f t="array" ref="AC1852">IF(LEFT(_xll.BDP($C1852, VOLUME_AVG_12M), 4) = "#N/A", "",  _xll.BDP($C1852, VOLUME_AVG_12M))</f>
        <v/>
      </c>
      <c r="AD1852" s="41" t="str" cm="1">
        <f t="array" ref="AD1852">IF(LEFT(_xll.BDP($C1852, LAST_PRICE), 4) = "#N/A", "",  _xll.BDP($C1852, LAST_PRICE))</f>
        <v/>
      </c>
    </row>
    <row r="1853" spans="1:30" x14ac:dyDescent="0.35">
      <c r="A1853" s="1" t="str">
        <f t="shared" si="28"/>
        <v/>
      </c>
      <c r="B1853" s="30"/>
      <c r="C1853" s="29"/>
      <c r="D1853" s="29"/>
      <c r="E1853" s="29"/>
      <c r="F1853" s="29"/>
      <c r="G1853" s="30"/>
      <c r="H1853" s="31"/>
      <c r="I1853" s="31"/>
      <c r="J1853" s="32"/>
      <c r="K1853" s="33"/>
      <c r="L1853" s="31"/>
      <c r="M1853" s="32"/>
      <c r="N1853" s="31"/>
      <c r="O1853" s="36"/>
      <c r="P1853" s="34"/>
      <c r="Q1853" s="34"/>
      <c r="R1853" s="34"/>
      <c r="S1853" s="29"/>
      <c r="T1853" s="35"/>
      <c r="U1853" s="35"/>
      <c r="V1853" s="35"/>
      <c r="W1853" s="35"/>
      <c r="Y1853" s="31" t="str" cm="1">
        <f t="array" ref="Y1853">IF(LEFT(_xll.BDP($C1853, VOLUME_AVG_10D), 4) = "#N/A", "",  _xll.BDP($C1853, VOLUME_AVG_10D))</f>
        <v/>
      </c>
      <c r="Z1853" s="31" t="str" cm="1">
        <f t="array" ref="Z1853">IF(LEFT(_xll.BDP($C1853, VOLUME_AVG_30D), 4) = "#N/A", "",  _xll.BDP($C1853, VOLUME_AVG_30D))</f>
        <v/>
      </c>
      <c r="AA1853" s="31" t="str" cm="1">
        <f t="array" ref="AA1853">IF(LEFT(_xll.BDP($C1853, VOLUME_AVG_3M), 4) = "#N/A", "",  _xll.BDP($C1853, VOLUME_AVG_3M))</f>
        <v/>
      </c>
      <c r="AB1853" s="31" t="str" cm="1">
        <f t="array" ref="AB1853">IF(LEFT(_xll.BDP($C1853, VOLUME_AVG_6M), 4) = "#N/A", "",  _xll.BDP($C1853, VOLUME_AVG_6M))</f>
        <v/>
      </c>
      <c r="AC1853" s="31" t="str" cm="1">
        <f t="array" ref="AC1853">IF(LEFT(_xll.BDP($C1853, VOLUME_AVG_12M), 4) = "#N/A", "",  _xll.BDP($C1853, VOLUME_AVG_12M))</f>
        <v/>
      </c>
      <c r="AD1853" s="41" t="str" cm="1">
        <f t="array" ref="AD1853">IF(LEFT(_xll.BDP($C1853, LAST_PRICE), 4) = "#N/A", "",  _xll.BDP($C1853, LAST_PRICE))</f>
        <v/>
      </c>
    </row>
    <row r="1854" spans="1:30" x14ac:dyDescent="0.35">
      <c r="A1854" s="1" t="str">
        <f t="shared" si="28"/>
        <v/>
      </c>
      <c r="B1854" s="30"/>
      <c r="C1854" s="29"/>
      <c r="D1854" s="29"/>
      <c r="E1854" s="29"/>
      <c r="F1854" s="29"/>
      <c r="G1854" s="30"/>
      <c r="H1854" s="31"/>
      <c r="I1854" s="31"/>
      <c r="J1854" s="32"/>
      <c r="K1854" s="33"/>
      <c r="L1854" s="31"/>
      <c r="M1854" s="32"/>
      <c r="N1854" s="31"/>
      <c r="O1854" s="36"/>
      <c r="P1854" s="34"/>
      <c r="Q1854" s="34"/>
      <c r="R1854" s="34"/>
      <c r="S1854" s="29"/>
      <c r="T1854" s="35"/>
      <c r="U1854" s="35"/>
      <c r="V1854" s="35"/>
      <c r="W1854" s="35"/>
      <c r="Y1854" s="31" t="str" cm="1">
        <f t="array" ref="Y1854">IF(LEFT(_xll.BDP($C1854, VOLUME_AVG_10D), 4) = "#N/A", "",  _xll.BDP($C1854, VOLUME_AVG_10D))</f>
        <v/>
      </c>
      <c r="Z1854" s="31" t="str" cm="1">
        <f t="array" ref="Z1854">IF(LEFT(_xll.BDP($C1854, VOLUME_AVG_30D), 4) = "#N/A", "",  _xll.BDP($C1854, VOLUME_AVG_30D))</f>
        <v/>
      </c>
      <c r="AA1854" s="31" t="str" cm="1">
        <f t="array" ref="AA1854">IF(LEFT(_xll.BDP($C1854, VOLUME_AVG_3M), 4) = "#N/A", "",  _xll.BDP($C1854, VOLUME_AVG_3M))</f>
        <v/>
      </c>
      <c r="AB1854" s="31" t="str" cm="1">
        <f t="array" ref="AB1854">IF(LEFT(_xll.BDP($C1854, VOLUME_AVG_6M), 4) = "#N/A", "",  _xll.BDP($C1854, VOLUME_AVG_6M))</f>
        <v/>
      </c>
      <c r="AC1854" s="31" t="str" cm="1">
        <f t="array" ref="AC1854">IF(LEFT(_xll.BDP($C1854, VOLUME_AVG_12M), 4) = "#N/A", "",  _xll.BDP($C1854, VOLUME_AVG_12M))</f>
        <v/>
      </c>
      <c r="AD1854" s="41" t="str" cm="1">
        <f t="array" ref="AD1854">IF(LEFT(_xll.BDP($C1854, LAST_PRICE), 4) = "#N/A", "",  _xll.BDP($C1854, LAST_PRICE))</f>
        <v/>
      </c>
    </row>
    <row r="1855" spans="1:30" x14ac:dyDescent="0.35">
      <c r="A1855" s="1" t="str">
        <f t="shared" si="28"/>
        <v/>
      </c>
      <c r="B1855" s="30"/>
      <c r="C1855" s="29"/>
      <c r="D1855" s="29"/>
      <c r="E1855" s="29"/>
      <c r="F1855" s="29"/>
      <c r="G1855" s="30"/>
      <c r="H1855" s="31"/>
      <c r="I1855" s="31"/>
      <c r="J1855" s="32"/>
      <c r="K1855" s="33"/>
      <c r="L1855" s="31"/>
      <c r="M1855" s="32"/>
      <c r="N1855" s="31"/>
      <c r="O1855" s="36"/>
      <c r="P1855" s="34"/>
      <c r="Q1855" s="34"/>
      <c r="R1855" s="34"/>
      <c r="S1855" s="29"/>
      <c r="T1855" s="35"/>
      <c r="U1855" s="35"/>
      <c r="V1855" s="35"/>
      <c r="W1855" s="35"/>
      <c r="Y1855" s="31" t="str" cm="1">
        <f t="array" ref="Y1855">IF(LEFT(_xll.BDP($C1855, VOLUME_AVG_10D), 4) = "#N/A", "",  _xll.BDP($C1855, VOLUME_AVG_10D))</f>
        <v/>
      </c>
      <c r="Z1855" s="31" t="str" cm="1">
        <f t="array" ref="Z1855">IF(LEFT(_xll.BDP($C1855, VOLUME_AVG_30D), 4) = "#N/A", "",  _xll.BDP($C1855, VOLUME_AVG_30D))</f>
        <v/>
      </c>
      <c r="AA1855" s="31" t="str" cm="1">
        <f t="array" ref="AA1855">IF(LEFT(_xll.BDP($C1855, VOLUME_AVG_3M), 4) = "#N/A", "",  _xll.BDP($C1855, VOLUME_AVG_3M))</f>
        <v/>
      </c>
      <c r="AB1855" s="31" t="str" cm="1">
        <f t="array" ref="AB1855">IF(LEFT(_xll.BDP($C1855, VOLUME_AVG_6M), 4) = "#N/A", "",  _xll.BDP($C1855, VOLUME_AVG_6M))</f>
        <v/>
      </c>
      <c r="AC1855" s="31" t="str" cm="1">
        <f t="array" ref="AC1855">IF(LEFT(_xll.BDP($C1855, VOLUME_AVG_12M), 4) = "#N/A", "",  _xll.BDP($C1855, VOLUME_AVG_12M))</f>
        <v/>
      </c>
      <c r="AD1855" s="41" t="str" cm="1">
        <f t="array" ref="AD1855">IF(LEFT(_xll.BDP($C1855, LAST_PRICE), 4) = "#N/A", "",  _xll.BDP($C1855, LAST_PRICE))</f>
        <v/>
      </c>
    </row>
    <row r="1856" spans="1:30" x14ac:dyDescent="0.35">
      <c r="A1856" s="1" t="str">
        <f t="shared" si="28"/>
        <v/>
      </c>
      <c r="B1856" s="30"/>
      <c r="C1856" s="29"/>
      <c r="D1856" s="29"/>
      <c r="E1856" s="29"/>
      <c r="F1856" s="29"/>
      <c r="G1856" s="30"/>
      <c r="H1856" s="31"/>
      <c r="I1856" s="31"/>
      <c r="J1856" s="32"/>
      <c r="K1856" s="33"/>
      <c r="L1856" s="31"/>
      <c r="M1856" s="32"/>
      <c r="N1856" s="31"/>
      <c r="O1856" s="36"/>
      <c r="P1856" s="34"/>
      <c r="Q1856" s="34"/>
      <c r="R1856" s="34"/>
      <c r="S1856" s="29"/>
      <c r="T1856" s="35"/>
      <c r="U1856" s="35"/>
      <c r="V1856" s="35"/>
      <c r="W1856" s="35"/>
      <c r="Y1856" s="31" t="str" cm="1">
        <f t="array" ref="Y1856">IF(LEFT(_xll.BDP($C1856, VOLUME_AVG_10D), 4) = "#N/A", "",  _xll.BDP($C1856, VOLUME_AVG_10D))</f>
        <v/>
      </c>
      <c r="Z1856" s="31" t="str" cm="1">
        <f t="array" ref="Z1856">IF(LEFT(_xll.BDP($C1856, VOLUME_AVG_30D), 4) = "#N/A", "",  _xll.BDP($C1856, VOLUME_AVG_30D))</f>
        <v/>
      </c>
      <c r="AA1856" s="31" t="str" cm="1">
        <f t="array" ref="AA1856">IF(LEFT(_xll.BDP($C1856, VOLUME_AVG_3M), 4) = "#N/A", "",  _xll.BDP($C1856, VOLUME_AVG_3M))</f>
        <v/>
      </c>
      <c r="AB1856" s="31" t="str" cm="1">
        <f t="array" ref="AB1856">IF(LEFT(_xll.BDP($C1856, VOLUME_AVG_6M), 4) = "#N/A", "",  _xll.BDP($C1856, VOLUME_AVG_6M))</f>
        <v/>
      </c>
      <c r="AC1856" s="31" t="str" cm="1">
        <f t="array" ref="AC1856">IF(LEFT(_xll.BDP($C1856, VOLUME_AVG_12M), 4) = "#N/A", "",  _xll.BDP($C1856, VOLUME_AVG_12M))</f>
        <v/>
      </c>
      <c r="AD1856" s="41" t="str" cm="1">
        <f t="array" ref="AD1856">IF(LEFT(_xll.BDP($C1856, LAST_PRICE), 4) = "#N/A", "",  _xll.BDP($C1856, LAST_PRICE))</f>
        <v/>
      </c>
    </row>
    <row r="1857" spans="1:30" x14ac:dyDescent="0.35">
      <c r="A1857" s="1" t="str">
        <f t="shared" si="28"/>
        <v/>
      </c>
      <c r="B1857" s="30"/>
      <c r="C1857" s="29"/>
      <c r="D1857" s="29"/>
      <c r="E1857" s="29"/>
      <c r="F1857" s="29"/>
      <c r="G1857" s="30"/>
      <c r="H1857" s="31"/>
      <c r="I1857" s="31"/>
      <c r="J1857" s="32"/>
      <c r="K1857" s="33"/>
      <c r="L1857" s="31"/>
      <c r="M1857" s="32"/>
      <c r="N1857" s="31"/>
      <c r="O1857" s="36"/>
      <c r="P1857" s="34"/>
      <c r="Q1857" s="34"/>
      <c r="R1857" s="34"/>
      <c r="S1857" s="29"/>
      <c r="T1857" s="35"/>
      <c r="U1857" s="35"/>
      <c r="V1857" s="35"/>
      <c r="W1857" s="35"/>
      <c r="Y1857" s="31" t="str" cm="1">
        <f t="array" ref="Y1857">IF(LEFT(_xll.BDP($C1857, VOLUME_AVG_10D), 4) = "#N/A", "",  _xll.BDP($C1857, VOLUME_AVG_10D))</f>
        <v/>
      </c>
      <c r="Z1857" s="31" t="str" cm="1">
        <f t="array" ref="Z1857">IF(LEFT(_xll.BDP($C1857, VOLUME_AVG_30D), 4) = "#N/A", "",  _xll.BDP($C1857, VOLUME_AVG_30D))</f>
        <v/>
      </c>
      <c r="AA1857" s="31" t="str" cm="1">
        <f t="array" ref="AA1857">IF(LEFT(_xll.BDP($C1857, VOLUME_AVG_3M), 4) = "#N/A", "",  _xll.BDP($C1857, VOLUME_AVG_3M))</f>
        <v/>
      </c>
      <c r="AB1857" s="31" t="str" cm="1">
        <f t="array" ref="AB1857">IF(LEFT(_xll.BDP($C1857, VOLUME_AVG_6M), 4) = "#N/A", "",  _xll.BDP($C1857, VOLUME_AVG_6M))</f>
        <v/>
      </c>
      <c r="AC1857" s="31" t="str" cm="1">
        <f t="array" ref="AC1857">IF(LEFT(_xll.BDP($C1857, VOLUME_AVG_12M), 4) = "#N/A", "",  _xll.BDP($C1857, VOLUME_AVG_12M))</f>
        <v/>
      </c>
      <c r="AD1857" s="41" t="str" cm="1">
        <f t="array" ref="AD1857">IF(LEFT(_xll.BDP($C1857, LAST_PRICE), 4) = "#N/A", "",  _xll.BDP($C1857, LAST_PRICE))</f>
        <v/>
      </c>
    </row>
    <row r="1858" spans="1:30" x14ac:dyDescent="0.35">
      <c r="A1858" s="1" t="str">
        <f t="shared" si="28"/>
        <v/>
      </c>
      <c r="B1858" s="30"/>
      <c r="C1858" s="29"/>
      <c r="D1858" s="29"/>
      <c r="E1858" s="29"/>
      <c r="F1858" s="29"/>
      <c r="G1858" s="30"/>
      <c r="H1858" s="31"/>
      <c r="I1858" s="31"/>
      <c r="J1858" s="32"/>
      <c r="K1858" s="33"/>
      <c r="L1858" s="31"/>
      <c r="M1858" s="32"/>
      <c r="N1858" s="31"/>
      <c r="O1858" s="36"/>
      <c r="P1858" s="34"/>
      <c r="Q1858" s="34"/>
      <c r="R1858" s="34"/>
      <c r="S1858" s="29"/>
      <c r="T1858" s="35"/>
      <c r="U1858" s="35"/>
      <c r="V1858" s="35"/>
      <c r="W1858" s="35"/>
      <c r="Y1858" s="31" t="str" cm="1">
        <f t="array" ref="Y1858">IF(LEFT(_xll.BDP($C1858, VOLUME_AVG_10D), 4) = "#N/A", "",  _xll.BDP($C1858, VOLUME_AVG_10D))</f>
        <v/>
      </c>
      <c r="Z1858" s="31" t="str" cm="1">
        <f t="array" ref="Z1858">IF(LEFT(_xll.BDP($C1858, VOLUME_AVG_30D), 4) = "#N/A", "",  _xll.BDP($C1858, VOLUME_AVG_30D))</f>
        <v/>
      </c>
      <c r="AA1858" s="31" t="str" cm="1">
        <f t="array" ref="AA1858">IF(LEFT(_xll.BDP($C1858, VOLUME_AVG_3M), 4) = "#N/A", "",  _xll.BDP($C1858, VOLUME_AVG_3M))</f>
        <v/>
      </c>
      <c r="AB1858" s="31" t="str" cm="1">
        <f t="array" ref="AB1858">IF(LEFT(_xll.BDP($C1858, VOLUME_AVG_6M), 4) = "#N/A", "",  _xll.BDP($C1858, VOLUME_AVG_6M))</f>
        <v/>
      </c>
      <c r="AC1858" s="31" t="str" cm="1">
        <f t="array" ref="AC1858">IF(LEFT(_xll.BDP($C1858, VOLUME_AVG_12M), 4) = "#N/A", "",  _xll.BDP($C1858, VOLUME_AVG_12M))</f>
        <v/>
      </c>
      <c r="AD1858" s="41" t="str" cm="1">
        <f t="array" ref="AD1858">IF(LEFT(_xll.BDP($C1858, LAST_PRICE), 4) = "#N/A", "",  _xll.BDP($C1858, LAST_PRICE))</f>
        <v/>
      </c>
    </row>
    <row r="1859" spans="1:30" x14ac:dyDescent="0.35">
      <c r="A1859" s="1" t="str">
        <f t="shared" si="28"/>
        <v/>
      </c>
      <c r="B1859" s="30"/>
      <c r="C1859" s="29"/>
      <c r="D1859" s="29"/>
      <c r="E1859" s="29"/>
      <c r="F1859" s="29"/>
      <c r="G1859" s="30"/>
      <c r="H1859" s="31"/>
      <c r="I1859" s="31"/>
      <c r="J1859" s="32"/>
      <c r="K1859" s="33"/>
      <c r="L1859" s="31"/>
      <c r="M1859" s="32"/>
      <c r="N1859" s="31"/>
      <c r="O1859" s="36"/>
      <c r="P1859" s="34"/>
      <c r="Q1859" s="34"/>
      <c r="R1859" s="34"/>
      <c r="S1859" s="29"/>
      <c r="T1859" s="35"/>
      <c r="U1859" s="35"/>
      <c r="V1859" s="35"/>
      <c r="W1859" s="35"/>
      <c r="Y1859" s="31" t="str" cm="1">
        <f t="array" ref="Y1859">IF(LEFT(_xll.BDP($C1859, VOLUME_AVG_10D), 4) = "#N/A", "",  _xll.BDP($C1859, VOLUME_AVG_10D))</f>
        <v/>
      </c>
      <c r="Z1859" s="31" t="str" cm="1">
        <f t="array" ref="Z1859">IF(LEFT(_xll.BDP($C1859, VOLUME_AVG_30D), 4) = "#N/A", "",  _xll.BDP($C1859, VOLUME_AVG_30D))</f>
        <v/>
      </c>
      <c r="AA1859" s="31" t="str" cm="1">
        <f t="array" ref="AA1859">IF(LEFT(_xll.BDP($C1859, VOLUME_AVG_3M), 4) = "#N/A", "",  _xll.BDP($C1859, VOLUME_AVG_3M))</f>
        <v/>
      </c>
      <c r="AB1859" s="31" t="str" cm="1">
        <f t="array" ref="AB1859">IF(LEFT(_xll.BDP($C1859, VOLUME_AVG_6M), 4) = "#N/A", "",  _xll.BDP($C1859, VOLUME_AVG_6M))</f>
        <v/>
      </c>
      <c r="AC1859" s="31" t="str" cm="1">
        <f t="array" ref="AC1859">IF(LEFT(_xll.BDP($C1859, VOLUME_AVG_12M), 4) = "#N/A", "",  _xll.BDP($C1859, VOLUME_AVG_12M))</f>
        <v/>
      </c>
      <c r="AD1859" s="41" t="str" cm="1">
        <f t="array" ref="AD1859">IF(LEFT(_xll.BDP($C1859, LAST_PRICE), 4) = "#N/A", "",  _xll.BDP($C1859, LAST_PRICE))</f>
        <v/>
      </c>
    </row>
    <row r="1860" spans="1:30" x14ac:dyDescent="0.35">
      <c r="A1860" s="1" t="str">
        <f t="shared" si="28"/>
        <v/>
      </c>
      <c r="B1860" s="30"/>
      <c r="C1860" s="29"/>
      <c r="D1860" s="29"/>
      <c r="E1860" s="29"/>
      <c r="F1860" s="29"/>
      <c r="G1860" s="30"/>
      <c r="H1860" s="31"/>
      <c r="I1860" s="31"/>
      <c r="J1860" s="32"/>
      <c r="K1860" s="33"/>
      <c r="L1860" s="31"/>
      <c r="M1860" s="32"/>
      <c r="N1860" s="31"/>
      <c r="O1860" s="36"/>
      <c r="P1860" s="34"/>
      <c r="Q1860" s="34"/>
      <c r="R1860" s="34"/>
      <c r="S1860" s="29"/>
      <c r="T1860" s="35"/>
      <c r="U1860" s="35"/>
      <c r="V1860" s="35"/>
      <c r="W1860" s="35"/>
      <c r="Y1860" s="31" t="str" cm="1">
        <f t="array" ref="Y1860">IF(LEFT(_xll.BDP($C1860, VOLUME_AVG_10D), 4) = "#N/A", "",  _xll.BDP($C1860, VOLUME_AVG_10D))</f>
        <v/>
      </c>
      <c r="Z1860" s="31" t="str" cm="1">
        <f t="array" ref="Z1860">IF(LEFT(_xll.BDP($C1860, VOLUME_AVG_30D), 4) = "#N/A", "",  _xll.BDP($C1860, VOLUME_AVG_30D))</f>
        <v/>
      </c>
      <c r="AA1860" s="31" t="str" cm="1">
        <f t="array" ref="AA1860">IF(LEFT(_xll.BDP($C1860, VOLUME_AVG_3M), 4) = "#N/A", "",  _xll.BDP($C1860, VOLUME_AVG_3M))</f>
        <v/>
      </c>
      <c r="AB1860" s="31" t="str" cm="1">
        <f t="array" ref="AB1860">IF(LEFT(_xll.BDP($C1860, VOLUME_AVG_6M), 4) = "#N/A", "",  _xll.BDP($C1860, VOLUME_AVG_6M))</f>
        <v/>
      </c>
      <c r="AC1860" s="31" t="str" cm="1">
        <f t="array" ref="AC1860">IF(LEFT(_xll.BDP($C1860, VOLUME_AVG_12M), 4) = "#N/A", "",  _xll.BDP($C1860, VOLUME_AVG_12M))</f>
        <v/>
      </c>
      <c r="AD1860" s="41" t="str" cm="1">
        <f t="array" ref="AD1860">IF(LEFT(_xll.BDP($C1860, LAST_PRICE), 4) = "#N/A", "",  _xll.BDP($C1860, LAST_PRICE))</f>
        <v/>
      </c>
    </row>
    <row r="1861" spans="1:30" x14ac:dyDescent="0.35">
      <c r="A1861" s="1" t="str">
        <f t="shared" si="28"/>
        <v/>
      </c>
      <c r="B1861" s="30"/>
      <c r="C1861" s="29"/>
      <c r="D1861" s="29"/>
      <c r="E1861" s="29"/>
      <c r="F1861" s="29"/>
      <c r="G1861" s="30"/>
      <c r="H1861" s="31"/>
      <c r="I1861" s="31"/>
      <c r="J1861" s="32"/>
      <c r="K1861" s="33"/>
      <c r="L1861" s="31"/>
      <c r="M1861" s="32"/>
      <c r="N1861" s="31"/>
      <c r="O1861" s="36"/>
      <c r="P1861" s="34"/>
      <c r="Q1861" s="34"/>
      <c r="R1861" s="34"/>
      <c r="S1861" s="29"/>
      <c r="T1861" s="35"/>
      <c r="U1861" s="35"/>
      <c r="V1861" s="35"/>
      <c r="W1861" s="35"/>
      <c r="Y1861" s="31" t="str" cm="1">
        <f t="array" ref="Y1861">IF(LEFT(_xll.BDP($C1861, VOLUME_AVG_10D), 4) = "#N/A", "",  _xll.BDP($C1861, VOLUME_AVG_10D))</f>
        <v/>
      </c>
      <c r="Z1861" s="31" t="str" cm="1">
        <f t="array" ref="Z1861">IF(LEFT(_xll.BDP($C1861, VOLUME_AVG_30D), 4) = "#N/A", "",  _xll.BDP($C1861, VOLUME_AVG_30D))</f>
        <v/>
      </c>
      <c r="AA1861" s="31" t="str" cm="1">
        <f t="array" ref="AA1861">IF(LEFT(_xll.BDP($C1861, VOLUME_AVG_3M), 4) = "#N/A", "",  _xll.BDP($C1861, VOLUME_AVG_3M))</f>
        <v/>
      </c>
      <c r="AB1861" s="31" t="str" cm="1">
        <f t="array" ref="AB1861">IF(LEFT(_xll.BDP($C1861, VOLUME_AVG_6M), 4) = "#N/A", "",  _xll.BDP($C1861, VOLUME_AVG_6M))</f>
        <v/>
      </c>
      <c r="AC1861" s="31" t="str" cm="1">
        <f t="array" ref="AC1861">IF(LEFT(_xll.BDP($C1861, VOLUME_AVG_12M), 4) = "#N/A", "",  _xll.BDP($C1861, VOLUME_AVG_12M))</f>
        <v/>
      </c>
      <c r="AD1861" s="41" t="str" cm="1">
        <f t="array" ref="AD1861">IF(LEFT(_xll.BDP($C1861, LAST_PRICE), 4) = "#N/A", "",  _xll.BDP($C1861, LAST_PRICE))</f>
        <v/>
      </c>
    </row>
    <row r="1862" spans="1:30" x14ac:dyDescent="0.35">
      <c r="A1862" s="1" t="str">
        <f t="shared" ref="A1862:A1925" si="29">IF(B1862="","", A1861+1)</f>
        <v/>
      </c>
      <c r="B1862" s="30"/>
      <c r="C1862" s="29"/>
      <c r="D1862" s="29"/>
      <c r="E1862" s="29"/>
      <c r="F1862" s="29"/>
      <c r="G1862" s="30"/>
      <c r="H1862" s="31"/>
      <c r="I1862" s="31"/>
      <c r="J1862" s="32"/>
      <c r="K1862" s="33"/>
      <c r="L1862" s="31"/>
      <c r="M1862" s="32"/>
      <c r="N1862" s="31"/>
      <c r="O1862" s="36"/>
      <c r="P1862" s="34"/>
      <c r="Q1862" s="34"/>
      <c r="R1862" s="34"/>
      <c r="S1862" s="29"/>
      <c r="T1862" s="35"/>
      <c r="U1862" s="35"/>
      <c r="V1862" s="35"/>
      <c r="W1862" s="35"/>
      <c r="Y1862" s="31" t="str" cm="1">
        <f t="array" ref="Y1862">IF(LEFT(_xll.BDP($C1862, VOLUME_AVG_10D), 4) = "#N/A", "",  _xll.BDP($C1862, VOLUME_AVG_10D))</f>
        <v/>
      </c>
      <c r="Z1862" s="31" t="str" cm="1">
        <f t="array" ref="Z1862">IF(LEFT(_xll.BDP($C1862, VOLUME_AVG_30D), 4) = "#N/A", "",  _xll.BDP($C1862, VOLUME_AVG_30D))</f>
        <v/>
      </c>
      <c r="AA1862" s="31" t="str" cm="1">
        <f t="array" ref="AA1862">IF(LEFT(_xll.BDP($C1862, VOLUME_AVG_3M), 4) = "#N/A", "",  _xll.BDP($C1862, VOLUME_AVG_3M))</f>
        <v/>
      </c>
      <c r="AB1862" s="31" t="str" cm="1">
        <f t="array" ref="AB1862">IF(LEFT(_xll.BDP($C1862, VOLUME_AVG_6M), 4) = "#N/A", "",  _xll.BDP($C1862, VOLUME_AVG_6M))</f>
        <v/>
      </c>
      <c r="AC1862" s="31" t="str" cm="1">
        <f t="array" ref="AC1862">IF(LEFT(_xll.BDP($C1862, VOLUME_AVG_12M), 4) = "#N/A", "",  _xll.BDP($C1862, VOLUME_AVG_12M))</f>
        <v/>
      </c>
      <c r="AD1862" s="41" t="str" cm="1">
        <f t="array" ref="AD1862">IF(LEFT(_xll.BDP($C1862, LAST_PRICE), 4) = "#N/A", "",  _xll.BDP($C1862, LAST_PRICE))</f>
        <v/>
      </c>
    </row>
    <row r="1863" spans="1:30" x14ac:dyDescent="0.35">
      <c r="A1863" s="1" t="str">
        <f t="shared" si="29"/>
        <v/>
      </c>
      <c r="B1863" s="30"/>
      <c r="C1863" s="29"/>
      <c r="D1863" s="29"/>
      <c r="E1863" s="29"/>
      <c r="F1863" s="29"/>
      <c r="G1863" s="30"/>
      <c r="H1863" s="31"/>
      <c r="I1863" s="31"/>
      <c r="J1863" s="32"/>
      <c r="K1863" s="33"/>
      <c r="L1863" s="31"/>
      <c r="M1863" s="32"/>
      <c r="N1863" s="31"/>
      <c r="O1863" s="36"/>
      <c r="P1863" s="34"/>
      <c r="Q1863" s="34"/>
      <c r="R1863" s="34"/>
      <c r="S1863" s="29"/>
      <c r="T1863" s="35"/>
      <c r="U1863" s="35"/>
      <c r="V1863" s="35"/>
      <c r="W1863" s="35"/>
      <c r="Y1863" s="31" t="str" cm="1">
        <f t="array" ref="Y1863">IF(LEFT(_xll.BDP($C1863, VOLUME_AVG_10D), 4) = "#N/A", "",  _xll.BDP($C1863, VOLUME_AVG_10D))</f>
        <v/>
      </c>
      <c r="Z1863" s="31" t="str" cm="1">
        <f t="array" ref="Z1863">IF(LEFT(_xll.BDP($C1863, VOLUME_AVG_30D), 4) = "#N/A", "",  _xll.BDP($C1863, VOLUME_AVG_30D))</f>
        <v/>
      </c>
      <c r="AA1863" s="31" t="str" cm="1">
        <f t="array" ref="AA1863">IF(LEFT(_xll.BDP($C1863, VOLUME_AVG_3M), 4) = "#N/A", "",  _xll.BDP($C1863, VOLUME_AVG_3M))</f>
        <v/>
      </c>
      <c r="AB1863" s="31" t="str" cm="1">
        <f t="array" ref="AB1863">IF(LEFT(_xll.BDP($C1863, VOLUME_AVG_6M), 4) = "#N/A", "",  _xll.BDP($C1863, VOLUME_AVG_6M))</f>
        <v/>
      </c>
      <c r="AC1863" s="31" t="str" cm="1">
        <f t="array" ref="AC1863">IF(LEFT(_xll.BDP($C1863, VOLUME_AVG_12M), 4) = "#N/A", "",  _xll.BDP($C1863, VOLUME_AVG_12M))</f>
        <v/>
      </c>
      <c r="AD1863" s="41" t="str" cm="1">
        <f t="array" ref="AD1863">IF(LEFT(_xll.BDP($C1863, LAST_PRICE), 4) = "#N/A", "",  _xll.BDP($C1863, LAST_PRICE))</f>
        <v/>
      </c>
    </row>
    <row r="1864" spans="1:30" x14ac:dyDescent="0.35">
      <c r="A1864" s="1" t="str">
        <f t="shared" si="29"/>
        <v/>
      </c>
      <c r="B1864" s="30"/>
      <c r="C1864" s="29"/>
      <c r="D1864" s="29"/>
      <c r="E1864" s="29"/>
      <c r="F1864" s="29"/>
      <c r="G1864" s="30"/>
      <c r="H1864" s="31"/>
      <c r="I1864" s="31"/>
      <c r="J1864" s="32"/>
      <c r="K1864" s="33"/>
      <c r="L1864" s="31"/>
      <c r="M1864" s="32"/>
      <c r="N1864" s="31"/>
      <c r="O1864" s="36"/>
      <c r="P1864" s="34"/>
      <c r="Q1864" s="34"/>
      <c r="R1864" s="34"/>
      <c r="S1864" s="29"/>
      <c r="T1864" s="35"/>
      <c r="U1864" s="35"/>
      <c r="V1864" s="35"/>
      <c r="W1864" s="35"/>
      <c r="Y1864" s="31" t="str" cm="1">
        <f t="array" ref="Y1864">IF(LEFT(_xll.BDP($C1864, VOLUME_AVG_10D), 4) = "#N/A", "",  _xll.BDP($C1864, VOLUME_AVG_10D))</f>
        <v/>
      </c>
      <c r="Z1864" s="31" t="str" cm="1">
        <f t="array" ref="Z1864">IF(LEFT(_xll.BDP($C1864, VOLUME_AVG_30D), 4) = "#N/A", "",  _xll.BDP($C1864, VOLUME_AVG_30D))</f>
        <v/>
      </c>
      <c r="AA1864" s="31" t="str" cm="1">
        <f t="array" ref="AA1864">IF(LEFT(_xll.BDP($C1864, VOLUME_AVG_3M), 4) = "#N/A", "",  _xll.BDP($C1864, VOLUME_AVG_3M))</f>
        <v/>
      </c>
      <c r="AB1864" s="31" t="str" cm="1">
        <f t="array" ref="AB1864">IF(LEFT(_xll.BDP($C1864, VOLUME_AVG_6M), 4) = "#N/A", "",  _xll.BDP($C1864, VOLUME_AVG_6M))</f>
        <v/>
      </c>
      <c r="AC1864" s="31" t="str" cm="1">
        <f t="array" ref="AC1864">IF(LEFT(_xll.BDP($C1864, VOLUME_AVG_12M), 4) = "#N/A", "",  _xll.BDP($C1864, VOLUME_AVG_12M))</f>
        <v/>
      </c>
      <c r="AD1864" s="41" t="str" cm="1">
        <f t="array" ref="AD1864">IF(LEFT(_xll.BDP($C1864, LAST_PRICE), 4) = "#N/A", "",  _xll.BDP($C1864, LAST_PRICE))</f>
        <v/>
      </c>
    </row>
    <row r="1865" spans="1:30" x14ac:dyDescent="0.35">
      <c r="A1865" s="1" t="str">
        <f t="shared" si="29"/>
        <v/>
      </c>
      <c r="B1865" s="30"/>
      <c r="C1865" s="29"/>
      <c r="D1865" s="29"/>
      <c r="E1865" s="29"/>
      <c r="F1865" s="29"/>
      <c r="G1865" s="30"/>
      <c r="H1865" s="31"/>
      <c r="I1865" s="31"/>
      <c r="J1865" s="32"/>
      <c r="K1865" s="33"/>
      <c r="L1865" s="31"/>
      <c r="M1865" s="32"/>
      <c r="N1865" s="31"/>
      <c r="O1865" s="36"/>
      <c r="P1865" s="34"/>
      <c r="Q1865" s="34"/>
      <c r="R1865" s="34"/>
      <c r="S1865" s="29"/>
      <c r="T1865" s="35"/>
      <c r="U1865" s="35"/>
      <c r="V1865" s="35"/>
      <c r="W1865" s="35"/>
      <c r="Y1865" s="31" t="str" cm="1">
        <f t="array" ref="Y1865">IF(LEFT(_xll.BDP($C1865, VOLUME_AVG_10D), 4) = "#N/A", "",  _xll.BDP($C1865, VOLUME_AVG_10D))</f>
        <v/>
      </c>
      <c r="Z1865" s="31" t="str" cm="1">
        <f t="array" ref="Z1865">IF(LEFT(_xll.BDP($C1865, VOLUME_AVG_30D), 4) = "#N/A", "",  _xll.BDP($C1865, VOLUME_AVG_30D))</f>
        <v/>
      </c>
      <c r="AA1865" s="31" t="str" cm="1">
        <f t="array" ref="AA1865">IF(LEFT(_xll.BDP($C1865, VOLUME_AVG_3M), 4) = "#N/A", "",  _xll.BDP($C1865, VOLUME_AVG_3M))</f>
        <v/>
      </c>
      <c r="AB1865" s="31" t="str" cm="1">
        <f t="array" ref="AB1865">IF(LEFT(_xll.BDP($C1865, VOLUME_AVG_6M), 4) = "#N/A", "",  _xll.BDP($C1865, VOLUME_AVG_6M))</f>
        <v/>
      </c>
      <c r="AC1865" s="31" t="str" cm="1">
        <f t="array" ref="AC1865">IF(LEFT(_xll.BDP($C1865, VOLUME_AVG_12M), 4) = "#N/A", "",  _xll.BDP($C1865, VOLUME_AVG_12M))</f>
        <v/>
      </c>
      <c r="AD1865" s="41" t="str" cm="1">
        <f t="array" ref="AD1865">IF(LEFT(_xll.BDP($C1865, LAST_PRICE), 4) = "#N/A", "",  _xll.BDP($C1865, LAST_PRICE))</f>
        <v/>
      </c>
    </row>
    <row r="1866" spans="1:30" x14ac:dyDescent="0.35">
      <c r="A1866" s="1" t="str">
        <f t="shared" si="29"/>
        <v/>
      </c>
      <c r="B1866" s="30"/>
      <c r="C1866" s="29"/>
      <c r="D1866" s="29"/>
      <c r="E1866" s="29"/>
      <c r="F1866" s="29"/>
      <c r="G1866" s="30"/>
      <c r="H1866" s="31"/>
      <c r="I1866" s="31"/>
      <c r="J1866" s="32"/>
      <c r="K1866" s="33"/>
      <c r="L1866" s="31"/>
      <c r="M1866" s="32"/>
      <c r="N1866" s="31"/>
      <c r="O1866" s="36"/>
      <c r="P1866" s="34"/>
      <c r="Q1866" s="34"/>
      <c r="R1866" s="34"/>
      <c r="S1866" s="29"/>
      <c r="T1866" s="35"/>
      <c r="U1866" s="35"/>
      <c r="V1866" s="35"/>
      <c r="W1866" s="35"/>
      <c r="Y1866" s="31" t="str" cm="1">
        <f t="array" ref="Y1866">IF(LEFT(_xll.BDP($C1866, VOLUME_AVG_10D), 4) = "#N/A", "",  _xll.BDP($C1866, VOLUME_AVG_10D))</f>
        <v/>
      </c>
      <c r="Z1866" s="31" t="str" cm="1">
        <f t="array" ref="Z1866">IF(LEFT(_xll.BDP($C1866, VOLUME_AVG_30D), 4) = "#N/A", "",  _xll.BDP($C1866, VOLUME_AVG_30D))</f>
        <v/>
      </c>
      <c r="AA1866" s="31" t="str" cm="1">
        <f t="array" ref="AA1866">IF(LEFT(_xll.BDP($C1866, VOLUME_AVG_3M), 4) = "#N/A", "",  _xll.BDP($C1866, VOLUME_AVG_3M))</f>
        <v/>
      </c>
      <c r="AB1866" s="31" t="str" cm="1">
        <f t="array" ref="AB1866">IF(LEFT(_xll.BDP($C1866, VOLUME_AVG_6M), 4) = "#N/A", "",  _xll.BDP($C1866, VOLUME_AVG_6M))</f>
        <v/>
      </c>
      <c r="AC1866" s="31" t="str" cm="1">
        <f t="array" ref="AC1866">IF(LEFT(_xll.BDP($C1866, VOLUME_AVG_12M), 4) = "#N/A", "",  _xll.BDP($C1866, VOLUME_AVG_12M))</f>
        <v/>
      </c>
      <c r="AD1866" s="41" t="str" cm="1">
        <f t="array" ref="AD1866">IF(LEFT(_xll.BDP($C1866, LAST_PRICE), 4) = "#N/A", "",  _xll.BDP($C1866, LAST_PRICE))</f>
        <v/>
      </c>
    </row>
    <row r="1867" spans="1:30" x14ac:dyDescent="0.35">
      <c r="A1867" s="1" t="str">
        <f t="shared" si="29"/>
        <v/>
      </c>
      <c r="B1867" s="30"/>
      <c r="C1867" s="29"/>
      <c r="D1867" s="29"/>
      <c r="E1867" s="29"/>
      <c r="F1867" s="29"/>
      <c r="G1867" s="30"/>
      <c r="H1867" s="31"/>
      <c r="I1867" s="31"/>
      <c r="J1867" s="32"/>
      <c r="K1867" s="33"/>
      <c r="L1867" s="31"/>
      <c r="M1867" s="32"/>
      <c r="N1867" s="31"/>
      <c r="O1867" s="36"/>
      <c r="P1867" s="34"/>
      <c r="Q1867" s="34"/>
      <c r="R1867" s="34"/>
      <c r="S1867" s="29"/>
      <c r="T1867" s="35"/>
      <c r="U1867" s="35"/>
      <c r="V1867" s="35"/>
      <c r="W1867" s="35"/>
      <c r="Y1867" s="31" t="str" cm="1">
        <f t="array" ref="Y1867">IF(LEFT(_xll.BDP($C1867, VOLUME_AVG_10D), 4) = "#N/A", "",  _xll.BDP($C1867, VOLUME_AVG_10D))</f>
        <v/>
      </c>
      <c r="Z1867" s="31" t="str" cm="1">
        <f t="array" ref="Z1867">IF(LEFT(_xll.BDP($C1867, VOLUME_AVG_30D), 4) = "#N/A", "",  _xll.BDP($C1867, VOLUME_AVG_30D))</f>
        <v/>
      </c>
      <c r="AA1867" s="31" t="str" cm="1">
        <f t="array" ref="AA1867">IF(LEFT(_xll.BDP($C1867, VOLUME_AVG_3M), 4) = "#N/A", "",  _xll.BDP($C1867, VOLUME_AVG_3M))</f>
        <v/>
      </c>
      <c r="AB1867" s="31" t="str" cm="1">
        <f t="array" ref="AB1867">IF(LEFT(_xll.BDP($C1867, VOLUME_AVG_6M), 4) = "#N/A", "",  _xll.BDP($C1867, VOLUME_AVG_6M))</f>
        <v/>
      </c>
      <c r="AC1867" s="31" t="str" cm="1">
        <f t="array" ref="AC1867">IF(LEFT(_xll.BDP($C1867, VOLUME_AVG_12M), 4) = "#N/A", "",  _xll.BDP($C1867, VOLUME_AVG_12M))</f>
        <v/>
      </c>
      <c r="AD1867" s="41" t="str" cm="1">
        <f t="array" ref="AD1867">IF(LEFT(_xll.BDP($C1867, LAST_PRICE), 4) = "#N/A", "",  _xll.BDP($C1867, LAST_PRICE))</f>
        <v/>
      </c>
    </row>
    <row r="1868" spans="1:30" x14ac:dyDescent="0.35">
      <c r="A1868" s="1" t="str">
        <f t="shared" si="29"/>
        <v/>
      </c>
      <c r="B1868" s="30"/>
      <c r="C1868" s="29"/>
      <c r="D1868" s="29"/>
      <c r="E1868" s="29"/>
      <c r="F1868" s="29"/>
      <c r="G1868" s="30"/>
      <c r="H1868" s="31"/>
      <c r="I1868" s="31"/>
      <c r="J1868" s="32"/>
      <c r="K1868" s="33"/>
      <c r="L1868" s="31"/>
      <c r="M1868" s="32"/>
      <c r="N1868" s="31"/>
      <c r="O1868" s="36"/>
      <c r="P1868" s="34"/>
      <c r="Q1868" s="34"/>
      <c r="R1868" s="34"/>
      <c r="S1868" s="29"/>
      <c r="T1868" s="35"/>
      <c r="U1868" s="35"/>
      <c r="V1868" s="35"/>
      <c r="W1868" s="35"/>
      <c r="Y1868" s="31" t="str" cm="1">
        <f t="array" ref="Y1868">IF(LEFT(_xll.BDP($C1868, VOLUME_AVG_10D), 4) = "#N/A", "",  _xll.BDP($C1868, VOLUME_AVG_10D))</f>
        <v/>
      </c>
      <c r="Z1868" s="31" t="str" cm="1">
        <f t="array" ref="Z1868">IF(LEFT(_xll.BDP($C1868, VOLUME_AVG_30D), 4) = "#N/A", "",  _xll.BDP($C1868, VOLUME_AVG_30D))</f>
        <v/>
      </c>
      <c r="AA1868" s="31" t="str" cm="1">
        <f t="array" ref="AA1868">IF(LEFT(_xll.BDP($C1868, VOLUME_AVG_3M), 4) = "#N/A", "",  _xll.BDP($C1868, VOLUME_AVG_3M))</f>
        <v/>
      </c>
      <c r="AB1868" s="31" t="str" cm="1">
        <f t="array" ref="AB1868">IF(LEFT(_xll.BDP($C1868, VOLUME_AVG_6M), 4) = "#N/A", "",  _xll.BDP($C1868, VOLUME_AVG_6M))</f>
        <v/>
      </c>
      <c r="AC1868" s="31" t="str" cm="1">
        <f t="array" ref="AC1868">IF(LEFT(_xll.BDP($C1868, VOLUME_AVG_12M), 4) = "#N/A", "",  _xll.BDP($C1868, VOLUME_AVG_12M))</f>
        <v/>
      </c>
      <c r="AD1868" s="41" t="str" cm="1">
        <f t="array" ref="AD1868">IF(LEFT(_xll.BDP($C1868, LAST_PRICE), 4) = "#N/A", "",  _xll.BDP($C1868, LAST_PRICE))</f>
        <v/>
      </c>
    </row>
    <row r="1869" spans="1:30" x14ac:dyDescent="0.35">
      <c r="A1869" s="1" t="str">
        <f t="shared" si="29"/>
        <v/>
      </c>
      <c r="B1869" s="30"/>
      <c r="C1869" s="29"/>
      <c r="D1869" s="29"/>
      <c r="E1869" s="29"/>
      <c r="F1869" s="29"/>
      <c r="G1869" s="30"/>
      <c r="H1869" s="31"/>
      <c r="I1869" s="31"/>
      <c r="J1869" s="32"/>
      <c r="K1869" s="33"/>
      <c r="L1869" s="31"/>
      <c r="M1869" s="32"/>
      <c r="N1869" s="31"/>
      <c r="O1869" s="36"/>
      <c r="P1869" s="34"/>
      <c r="Q1869" s="34"/>
      <c r="R1869" s="34"/>
      <c r="S1869" s="29"/>
      <c r="T1869" s="35"/>
      <c r="U1869" s="35"/>
      <c r="V1869" s="35"/>
      <c r="W1869" s="35"/>
      <c r="Y1869" s="31" t="str" cm="1">
        <f t="array" ref="Y1869">IF(LEFT(_xll.BDP($C1869, VOLUME_AVG_10D), 4) = "#N/A", "",  _xll.BDP($C1869, VOLUME_AVG_10D))</f>
        <v/>
      </c>
      <c r="Z1869" s="31" t="str" cm="1">
        <f t="array" ref="Z1869">IF(LEFT(_xll.BDP($C1869, VOLUME_AVG_30D), 4) = "#N/A", "",  _xll.BDP($C1869, VOLUME_AVG_30D))</f>
        <v/>
      </c>
      <c r="AA1869" s="31" t="str" cm="1">
        <f t="array" ref="AA1869">IF(LEFT(_xll.BDP($C1869, VOLUME_AVG_3M), 4) = "#N/A", "",  _xll.BDP($C1869, VOLUME_AVG_3M))</f>
        <v/>
      </c>
      <c r="AB1869" s="31" t="str" cm="1">
        <f t="array" ref="AB1869">IF(LEFT(_xll.BDP($C1869, VOLUME_AVG_6M), 4) = "#N/A", "",  _xll.BDP($C1869, VOLUME_AVG_6M))</f>
        <v/>
      </c>
      <c r="AC1869" s="31" t="str" cm="1">
        <f t="array" ref="AC1869">IF(LEFT(_xll.BDP($C1869, VOLUME_AVG_12M), 4) = "#N/A", "",  _xll.BDP($C1869, VOLUME_AVG_12M))</f>
        <v/>
      </c>
      <c r="AD1869" s="41" t="str" cm="1">
        <f t="array" ref="AD1869">IF(LEFT(_xll.BDP($C1869, LAST_PRICE), 4) = "#N/A", "",  _xll.BDP($C1869, LAST_PRICE))</f>
        <v/>
      </c>
    </row>
    <row r="1870" spans="1:30" x14ac:dyDescent="0.35">
      <c r="A1870" s="1" t="str">
        <f t="shared" si="29"/>
        <v/>
      </c>
      <c r="B1870" s="30"/>
      <c r="C1870" s="29"/>
      <c r="D1870" s="29"/>
      <c r="E1870" s="29"/>
      <c r="F1870" s="29"/>
      <c r="G1870" s="30"/>
      <c r="H1870" s="31"/>
      <c r="I1870" s="31"/>
      <c r="J1870" s="32"/>
      <c r="K1870" s="33"/>
      <c r="L1870" s="31"/>
      <c r="M1870" s="32"/>
      <c r="N1870" s="31"/>
      <c r="O1870" s="36"/>
      <c r="P1870" s="34"/>
      <c r="Q1870" s="34"/>
      <c r="R1870" s="34"/>
      <c r="S1870" s="29"/>
      <c r="T1870" s="35"/>
      <c r="U1870" s="35"/>
      <c r="V1870" s="35"/>
      <c r="W1870" s="35"/>
      <c r="Y1870" s="31" t="str" cm="1">
        <f t="array" ref="Y1870">IF(LEFT(_xll.BDP($C1870, VOLUME_AVG_10D), 4) = "#N/A", "",  _xll.BDP($C1870, VOLUME_AVG_10D))</f>
        <v/>
      </c>
      <c r="Z1870" s="31" t="str" cm="1">
        <f t="array" ref="Z1870">IF(LEFT(_xll.BDP($C1870, VOLUME_AVG_30D), 4) = "#N/A", "",  _xll.BDP($C1870, VOLUME_AVG_30D))</f>
        <v/>
      </c>
      <c r="AA1870" s="31" t="str" cm="1">
        <f t="array" ref="AA1870">IF(LEFT(_xll.BDP($C1870, VOLUME_AVG_3M), 4) = "#N/A", "",  _xll.BDP($C1870, VOLUME_AVG_3M))</f>
        <v/>
      </c>
      <c r="AB1870" s="31" t="str" cm="1">
        <f t="array" ref="AB1870">IF(LEFT(_xll.BDP($C1870, VOLUME_AVG_6M), 4) = "#N/A", "",  _xll.BDP($C1870, VOLUME_AVG_6M))</f>
        <v/>
      </c>
      <c r="AC1870" s="31" t="str" cm="1">
        <f t="array" ref="AC1870">IF(LEFT(_xll.BDP($C1870, VOLUME_AVG_12M), 4) = "#N/A", "",  _xll.BDP($C1870, VOLUME_AVG_12M))</f>
        <v/>
      </c>
      <c r="AD1870" s="41" t="str" cm="1">
        <f t="array" ref="AD1870">IF(LEFT(_xll.BDP($C1870, LAST_PRICE), 4) = "#N/A", "",  _xll.BDP($C1870, LAST_PRICE))</f>
        <v/>
      </c>
    </row>
    <row r="1871" spans="1:30" x14ac:dyDescent="0.35">
      <c r="A1871" s="1" t="str">
        <f t="shared" si="29"/>
        <v/>
      </c>
      <c r="B1871" s="30"/>
      <c r="C1871" s="29"/>
      <c r="D1871" s="29"/>
      <c r="E1871" s="29"/>
      <c r="F1871" s="29"/>
      <c r="G1871" s="30"/>
      <c r="H1871" s="31"/>
      <c r="I1871" s="31"/>
      <c r="J1871" s="32"/>
      <c r="K1871" s="33"/>
      <c r="L1871" s="31"/>
      <c r="M1871" s="32"/>
      <c r="N1871" s="31"/>
      <c r="O1871" s="36"/>
      <c r="P1871" s="34"/>
      <c r="Q1871" s="34"/>
      <c r="R1871" s="34"/>
      <c r="S1871" s="29"/>
      <c r="T1871" s="35"/>
      <c r="U1871" s="35"/>
      <c r="V1871" s="35"/>
      <c r="W1871" s="35"/>
      <c r="Y1871" s="31" t="str" cm="1">
        <f t="array" ref="Y1871">IF(LEFT(_xll.BDP($C1871, VOLUME_AVG_10D), 4) = "#N/A", "",  _xll.BDP($C1871, VOLUME_AVG_10D))</f>
        <v/>
      </c>
      <c r="Z1871" s="31" t="str" cm="1">
        <f t="array" ref="Z1871">IF(LEFT(_xll.BDP($C1871, VOLUME_AVG_30D), 4) = "#N/A", "",  _xll.BDP($C1871, VOLUME_AVG_30D))</f>
        <v/>
      </c>
      <c r="AA1871" s="31" t="str" cm="1">
        <f t="array" ref="AA1871">IF(LEFT(_xll.BDP($C1871, VOLUME_AVG_3M), 4) = "#N/A", "",  _xll.BDP($C1871, VOLUME_AVG_3M))</f>
        <v/>
      </c>
      <c r="AB1871" s="31" t="str" cm="1">
        <f t="array" ref="AB1871">IF(LEFT(_xll.BDP($C1871, VOLUME_AVG_6M), 4) = "#N/A", "",  _xll.BDP($C1871, VOLUME_AVG_6M))</f>
        <v/>
      </c>
      <c r="AC1871" s="31" t="str" cm="1">
        <f t="array" ref="AC1871">IF(LEFT(_xll.BDP($C1871, VOLUME_AVG_12M), 4) = "#N/A", "",  _xll.BDP($C1871, VOLUME_AVG_12M))</f>
        <v/>
      </c>
      <c r="AD1871" s="41" t="str" cm="1">
        <f t="array" ref="AD1871">IF(LEFT(_xll.BDP($C1871, LAST_PRICE), 4) = "#N/A", "",  _xll.BDP($C1871, LAST_PRICE))</f>
        <v/>
      </c>
    </row>
    <row r="1872" spans="1:30" x14ac:dyDescent="0.35">
      <c r="A1872" s="1" t="str">
        <f t="shared" si="29"/>
        <v/>
      </c>
      <c r="B1872" s="30"/>
      <c r="C1872" s="29"/>
      <c r="D1872" s="29"/>
      <c r="E1872" s="29"/>
      <c r="F1872" s="29"/>
      <c r="G1872" s="30"/>
      <c r="H1872" s="31"/>
      <c r="I1872" s="31"/>
      <c r="J1872" s="32"/>
      <c r="K1872" s="33"/>
      <c r="L1872" s="31"/>
      <c r="M1872" s="32"/>
      <c r="N1872" s="31"/>
      <c r="O1872" s="36"/>
      <c r="P1872" s="34"/>
      <c r="Q1872" s="34"/>
      <c r="R1872" s="34"/>
      <c r="S1872" s="29"/>
      <c r="T1872" s="35"/>
      <c r="U1872" s="35"/>
      <c r="V1872" s="35"/>
      <c r="W1872" s="35"/>
      <c r="Y1872" s="31" t="str" cm="1">
        <f t="array" ref="Y1872">IF(LEFT(_xll.BDP($C1872, VOLUME_AVG_10D), 4) = "#N/A", "",  _xll.BDP($C1872, VOLUME_AVG_10D))</f>
        <v/>
      </c>
      <c r="Z1872" s="31" t="str" cm="1">
        <f t="array" ref="Z1872">IF(LEFT(_xll.BDP($C1872, VOLUME_AVG_30D), 4) = "#N/A", "",  _xll.BDP($C1872, VOLUME_AVG_30D))</f>
        <v/>
      </c>
      <c r="AA1872" s="31" t="str" cm="1">
        <f t="array" ref="AA1872">IF(LEFT(_xll.BDP($C1872, VOLUME_AVG_3M), 4) = "#N/A", "",  _xll.BDP($C1872, VOLUME_AVG_3M))</f>
        <v/>
      </c>
      <c r="AB1872" s="31" t="str" cm="1">
        <f t="array" ref="AB1872">IF(LEFT(_xll.BDP($C1872, VOLUME_AVG_6M), 4) = "#N/A", "",  _xll.BDP($C1872, VOLUME_AVG_6M))</f>
        <v/>
      </c>
      <c r="AC1872" s="31" t="str" cm="1">
        <f t="array" ref="AC1872">IF(LEFT(_xll.BDP($C1872, VOLUME_AVG_12M), 4) = "#N/A", "",  _xll.BDP($C1872, VOLUME_AVG_12M))</f>
        <v/>
      </c>
      <c r="AD1872" s="41" t="str" cm="1">
        <f t="array" ref="AD1872">IF(LEFT(_xll.BDP($C1872, LAST_PRICE), 4) = "#N/A", "",  _xll.BDP($C1872, LAST_PRICE))</f>
        <v/>
      </c>
    </row>
    <row r="1873" spans="1:30" x14ac:dyDescent="0.35">
      <c r="A1873" s="1" t="str">
        <f t="shared" si="29"/>
        <v/>
      </c>
      <c r="B1873" s="30"/>
      <c r="C1873" s="29"/>
      <c r="D1873" s="29"/>
      <c r="E1873" s="29"/>
      <c r="F1873" s="29"/>
      <c r="G1873" s="30"/>
      <c r="H1873" s="31"/>
      <c r="I1873" s="31"/>
      <c r="J1873" s="32"/>
      <c r="K1873" s="33"/>
      <c r="L1873" s="31"/>
      <c r="M1873" s="32"/>
      <c r="N1873" s="31"/>
      <c r="O1873" s="36"/>
      <c r="P1873" s="34"/>
      <c r="Q1873" s="34"/>
      <c r="R1873" s="34"/>
      <c r="S1873" s="29"/>
      <c r="T1873" s="35"/>
      <c r="U1873" s="35"/>
      <c r="V1873" s="35"/>
      <c r="W1873" s="35"/>
      <c r="Y1873" s="31" t="str" cm="1">
        <f t="array" ref="Y1873">IF(LEFT(_xll.BDP($C1873, VOLUME_AVG_10D), 4) = "#N/A", "",  _xll.BDP($C1873, VOLUME_AVG_10D))</f>
        <v/>
      </c>
      <c r="Z1873" s="31" t="str" cm="1">
        <f t="array" ref="Z1873">IF(LEFT(_xll.BDP($C1873, VOLUME_AVG_30D), 4) = "#N/A", "",  _xll.BDP($C1873, VOLUME_AVG_30D))</f>
        <v/>
      </c>
      <c r="AA1873" s="31" t="str" cm="1">
        <f t="array" ref="AA1873">IF(LEFT(_xll.BDP($C1873, VOLUME_AVG_3M), 4) = "#N/A", "",  _xll.BDP($C1873, VOLUME_AVG_3M))</f>
        <v/>
      </c>
      <c r="AB1873" s="31" t="str" cm="1">
        <f t="array" ref="AB1873">IF(LEFT(_xll.BDP($C1873, VOLUME_AVG_6M), 4) = "#N/A", "",  _xll.BDP($C1873, VOLUME_AVG_6M))</f>
        <v/>
      </c>
      <c r="AC1873" s="31" t="str" cm="1">
        <f t="array" ref="AC1873">IF(LEFT(_xll.BDP($C1873, VOLUME_AVG_12M), 4) = "#N/A", "",  _xll.BDP($C1873, VOLUME_AVG_12M))</f>
        <v/>
      </c>
      <c r="AD1873" s="41" t="str" cm="1">
        <f t="array" ref="AD1873">IF(LEFT(_xll.BDP($C1873, LAST_PRICE), 4) = "#N/A", "",  _xll.BDP($C1873, LAST_PRICE))</f>
        <v/>
      </c>
    </row>
    <row r="1874" spans="1:30" x14ac:dyDescent="0.35">
      <c r="A1874" s="1" t="str">
        <f t="shared" si="29"/>
        <v/>
      </c>
      <c r="B1874" s="30"/>
      <c r="C1874" s="29"/>
      <c r="D1874" s="29"/>
      <c r="E1874" s="29"/>
      <c r="F1874" s="29"/>
      <c r="G1874" s="30"/>
      <c r="H1874" s="31"/>
      <c r="I1874" s="31"/>
      <c r="J1874" s="32"/>
      <c r="K1874" s="33"/>
      <c r="L1874" s="31"/>
      <c r="M1874" s="32"/>
      <c r="N1874" s="31"/>
      <c r="O1874" s="36"/>
      <c r="P1874" s="34"/>
      <c r="Q1874" s="34"/>
      <c r="R1874" s="34"/>
      <c r="S1874" s="29"/>
      <c r="T1874" s="35"/>
      <c r="U1874" s="35"/>
      <c r="V1874" s="35"/>
      <c r="W1874" s="35"/>
      <c r="Y1874" s="31" t="str" cm="1">
        <f t="array" ref="Y1874">IF(LEFT(_xll.BDP($C1874, VOLUME_AVG_10D), 4) = "#N/A", "",  _xll.BDP($C1874, VOLUME_AVG_10D))</f>
        <v/>
      </c>
      <c r="Z1874" s="31" t="str" cm="1">
        <f t="array" ref="Z1874">IF(LEFT(_xll.BDP($C1874, VOLUME_AVG_30D), 4) = "#N/A", "",  _xll.BDP($C1874, VOLUME_AVG_30D))</f>
        <v/>
      </c>
      <c r="AA1874" s="31" t="str" cm="1">
        <f t="array" ref="AA1874">IF(LEFT(_xll.BDP($C1874, VOLUME_AVG_3M), 4) = "#N/A", "",  _xll.BDP($C1874, VOLUME_AVG_3M))</f>
        <v/>
      </c>
      <c r="AB1874" s="31" t="str" cm="1">
        <f t="array" ref="AB1874">IF(LEFT(_xll.BDP($C1874, VOLUME_AVG_6M), 4) = "#N/A", "",  _xll.BDP($C1874, VOLUME_AVG_6M))</f>
        <v/>
      </c>
      <c r="AC1874" s="31" t="str" cm="1">
        <f t="array" ref="AC1874">IF(LEFT(_xll.BDP($C1874, VOLUME_AVG_12M), 4) = "#N/A", "",  _xll.BDP($C1874, VOLUME_AVG_12M))</f>
        <v/>
      </c>
      <c r="AD1874" s="41" t="str" cm="1">
        <f t="array" ref="AD1874">IF(LEFT(_xll.BDP($C1874, LAST_PRICE), 4) = "#N/A", "",  _xll.BDP($C1874, LAST_PRICE))</f>
        <v/>
      </c>
    </row>
    <row r="1875" spans="1:30" x14ac:dyDescent="0.35">
      <c r="A1875" s="1" t="str">
        <f t="shared" si="29"/>
        <v/>
      </c>
      <c r="B1875" s="30"/>
      <c r="C1875" s="29"/>
      <c r="D1875" s="29"/>
      <c r="E1875" s="29"/>
      <c r="F1875" s="29"/>
      <c r="G1875" s="30"/>
      <c r="H1875" s="31"/>
      <c r="I1875" s="31"/>
      <c r="J1875" s="32"/>
      <c r="K1875" s="33"/>
      <c r="L1875" s="31"/>
      <c r="M1875" s="32"/>
      <c r="N1875" s="31"/>
      <c r="O1875" s="36"/>
      <c r="P1875" s="34"/>
      <c r="Q1875" s="34"/>
      <c r="R1875" s="34"/>
      <c r="S1875" s="29"/>
      <c r="T1875" s="35"/>
      <c r="U1875" s="35"/>
      <c r="V1875" s="35"/>
      <c r="W1875" s="35"/>
      <c r="Y1875" s="31" t="str" cm="1">
        <f t="array" ref="Y1875">IF(LEFT(_xll.BDP($C1875, VOLUME_AVG_10D), 4) = "#N/A", "",  _xll.BDP($C1875, VOLUME_AVG_10D))</f>
        <v/>
      </c>
      <c r="Z1875" s="31" t="str" cm="1">
        <f t="array" ref="Z1875">IF(LEFT(_xll.BDP($C1875, VOLUME_AVG_30D), 4) = "#N/A", "",  _xll.BDP($C1875, VOLUME_AVG_30D))</f>
        <v/>
      </c>
      <c r="AA1875" s="31" t="str" cm="1">
        <f t="array" ref="AA1875">IF(LEFT(_xll.BDP($C1875, VOLUME_AVG_3M), 4) = "#N/A", "",  _xll.BDP($C1875, VOLUME_AVG_3M))</f>
        <v/>
      </c>
      <c r="AB1875" s="31" t="str" cm="1">
        <f t="array" ref="AB1875">IF(LEFT(_xll.BDP($C1875, VOLUME_AVG_6M), 4) = "#N/A", "",  _xll.BDP($C1875, VOLUME_AVG_6M))</f>
        <v/>
      </c>
      <c r="AC1875" s="31" t="str" cm="1">
        <f t="array" ref="AC1875">IF(LEFT(_xll.BDP($C1875, VOLUME_AVG_12M), 4) = "#N/A", "",  _xll.BDP($C1875, VOLUME_AVG_12M))</f>
        <v/>
      </c>
      <c r="AD1875" s="41" t="str" cm="1">
        <f t="array" ref="AD1875">IF(LEFT(_xll.BDP($C1875, LAST_PRICE), 4) = "#N/A", "",  _xll.BDP($C1875, LAST_PRICE))</f>
        <v/>
      </c>
    </row>
    <row r="1876" spans="1:30" x14ac:dyDescent="0.35">
      <c r="A1876" s="1" t="str">
        <f t="shared" si="29"/>
        <v/>
      </c>
      <c r="B1876" s="30"/>
      <c r="C1876" s="29"/>
      <c r="D1876" s="29"/>
      <c r="E1876" s="29"/>
      <c r="F1876" s="29"/>
      <c r="G1876" s="30"/>
      <c r="H1876" s="31"/>
      <c r="I1876" s="31"/>
      <c r="J1876" s="32"/>
      <c r="K1876" s="33"/>
      <c r="L1876" s="31"/>
      <c r="M1876" s="32"/>
      <c r="N1876" s="31"/>
      <c r="O1876" s="36"/>
      <c r="P1876" s="34"/>
      <c r="Q1876" s="34"/>
      <c r="R1876" s="34"/>
      <c r="S1876" s="29"/>
      <c r="T1876" s="35"/>
      <c r="U1876" s="35"/>
      <c r="V1876" s="35"/>
      <c r="W1876" s="35"/>
      <c r="Y1876" s="31" t="str" cm="1">
        <f t="array" ref="Y1876">IF(LEFT(_xll.BDP($C1876, VOLUME_AVG_10D), 4) = "#N/A", "",  _xll.BDP($C1876, VOLUME_AVG_10D))</f>
        <v/>
      </c>
      <c r="Z1876" s="31" t="str" cm="1">
        <f t="array" ref="Z1876">IF(LEFT(_xll.BDP($C1876, VOLUME_AVG_30D), 4) = "#N/A", "",  _xll.BDP($C1876, VOLUME_AVG_30D))</f>
        <v/>
      </c>
      <c r="AA1876" s="31" t="str" cm="1">
        <f t="array" ref="AA1876">IF(LEFT(_xll.BDP($C1876, VOLUME_AVG_3M), 4) = "#N/A", "",  _xll.BDP($C1876, VOLUME_AVG_3M))</f>
        <v/>
      </c>
      <c r="AB1876" s="31" t="str" cm="1">
        <f t="array" ref="AB1876">IF(LEFT(_xll.BDP($C1876, VOLUME_AVG_6M), 4) = "#N/A", "",  _xll.BDP($C1876, VOLUME_AVG_6M))</f>
        <v/>
      </c>
      <c r="AC1876" s="31" t="str" cm="1">
        <f t="array" ref="AC1876">IF(LEFT(_xll.BDP($C1876, VOLUME_AVG_12M), 4) = "#N/A", "",  _xll.BDP($C1876, VOLUME_AVG_12M))</f>
        <v/>
      </c>
      <c r="AD1876" s="41" t="str" cm="1">
        <f t="array" ref="AD1876">IF(LEFT(_xll.BDP($C1876, LAST_PRICE), 4) = "#N/A", "",  _xll.BDP($C1876, LAST_PRICE))</f>
        <v/>
      </c>
    </row>
    <row r="1877" spans="1:30" x14ac:dyDescent="0.35">
      <c r="A1877" s="1" t="str">
        <f t="shared" si="29"/>
        <v/>
      </c>
      <c r="B1877" s="30"/>
      <c r="C1877" s="29"/>
      <c r="D1877" s="29"/>
      <c r="E1877" s="29"/>
      <c r="F1877" s="29"/>
      <c r="G1877" s="30"/>
      <c r="H1877" s="31"/>
      <c r="I1877" s="31"/>
      <c r="J1877" s="32"/>
      <c r="K1877" s="33"/>
      <c r="L1877" s="31"/>
      <c r="M1877" s="32"/>
      <c r="N1877" s="31"/>
      <c r="O1877" s="36"/>
      <c r="P1877" s="34"/>
      <c r="Q1877" s="34"/>
      <c r="R1877" s="34"/>
      <c r="S1877" s="29"/>
      <c r="T1877" s="35"/>
      <c r="U1877" s="35"/>
      <c r="V1877" s="35"/>
      <c r="W1877" s="35"/>
      <c r="Y1877" s="31" t="str" cm="1">
        <f t="array" ref="Y1877">IF(LEFT(_xll.BDP($C1877, VOLUME_AVG_10D), 4) = "#N/A", "",  _xll.BDP($C1877, VOLUME_AVG_10D))</f>
        <v/>
      </c>
      <c r="Z1877" s="31" t="str" cm="1">
        <f t="array" ref="Z1877">IF(LEFT(_xll.BDP($C1877, VOLUME_AVG_30D), 4) = "#N/A", "",  _xll.BDP($C1877, VOLUME_AVG_30D))</f>
        <v/>
      </c>
      <c r="AA1877" s="31" t="str" cm="1">
        <f t="array" ref="AA1877">IF(LEFT(_xll.BDP($C1877, VOLUME_AVG_3M), 4) = "#N/A", "",  _xll.BDP($C1877, VOLUME_AVG_3M))</f>
        <v/>
      </c>
      <c r="AB1877" s="31" t="str" cm="1">
        <f t="array" ref="AB1877">IF(LEFT(_xll.BDP($C1877, VOLUME_AVG_6M), 4) = "#N/A", "",  _xll.BDP($C1877, VOLUME_AVG_6M))</f>
        <v/>
      </c>
      <c r="AC1877" s="31" t="str" cm="1">
        <f t="array" ref="AC1877">IF(LEFT(_xll.BDP($C1877, VOLUME_AVG_12M), 4) = "#N/A", "",  _xll.BDP($C1877, VOLUME_AVG_12M))</f>
        <v/>
      </c>
      <c r="AD1877" s="41" t="str" cm="1">
        <f t="array" ref="AD1877">IF(LEFT(_xll.BDP($C1877, LAST_PRICE), 4) = "#N/A", "",  _xll.BDP($C1877, LAST_PRICE))</f>
        <v/>
      </c>
    </row>
    <row r="1878" spans="1:30" x14ac:dyDescent="0.35">
      <c r="A1878" s="1" t="str">
        <f t="shared" si="29"/>
        <v/>
      </c>
      <c r="B1878" s="30"/>
      <c r="C1878" s="29"/>
      <c r="D1878" s="29"/>
      <c r="E1878" s="29"/>
      <c r="F1878" s="29"/>
      <c r="G1878" s="30"/>
      <c r="H1878" s="31"/>
      <c r="I1878" s="31"/>
      <c r="J1878" s="32"/>
      <c r="K1878" s="33"/>
      <c r="L1878" s="31"/>
      <c r="M1878" s="32"/>
      <c r="N1878" s="31"/>
      <c r="O1878" s="36"/>
      <c r="P1878" s="34"/>
      <c r="Q1878" s="34"/>
      <c r="R1878" s="34"/>
      <c r="S1878" s="29"/>
      <c r="T1878" s="35"/>
      <c r="U1878" s="35"/>
      <c r="V1878" s="35"/>
      <c r="W1878" s="35"/>
      <c r="Y1878" s="31" t="str" cm="1">
        <f t="array" ref="Y1878">IF(LEFT(_xll.BDP($C1878, VOLUME_AVG_10D), 4) = "#N/A", "",  _xll.BDP($C1878, VOLUME_AVG_10D))</f>
        <v/>
      </c>
      <c r="Z1878" s="31" t="str" cm="1">
        <f t="array" ref="Z1878">IF(LEFT(_xll.BDP($C1878, VOLUME_AVG_30D), 4) = "#N/A", "",  _xll.BDP($C1878, VOLUME_AVG_30D))</f>
        <v/>
      </c>
      <c r="AA1878" s="31" t="str" cm="1">
        <f t="array" ref="AA1878">IF(LEFT(_xll.BDP($C1878, VOLUME_AVG_3M), 4) = "#N/A", "",  _xll.BDP($C1878, VOLUME_AVG_3M))</f>
        <v/>
      </c>
      <c r="AB1878" s="31" t="str" cm="1">
        <f t="array" ref="AB1878">IF(LEFT(_xll.BDP($C1878, VOLUME_AVG_6M), 4) = "#N/A", "",  _xll.BDP($C1878, VOLUME_AVG_6M))</f>
        <v/>
      </c>
      <c r="AC1878" s="31" t="str" cm="1">
        <f t="array" ref="AC1878">IF(LEFT(_xll.BDP($C1878, VOLUME_AVG_12M), 4) = "#N/A", "",  _xll.BDP($C1878, VOLUME_AVG_12M))</f>
        <v/>
      </c>
      <c r="AD1878" s="41" t="str" cm="1">
        <f t="array" ref="AD1878">IF(LEFT(_xll.BDP($C1878, LAST_PRICE), 4) = "#N/A", "",  _xll.BDP($C1878, LAST_PRICE))</f>
        <v/>
      </c>
    </row>
    <row r="1879" spans="1:30" x14ac:dyDescent="0.35">
      <c r="A1879" s="1" t="str">
        <f t="shared" si="29"/>
        <v/>
      </c>
      <c r="B1879" s="30"/>
      <c r="C1879" s="29"/>
      <c r="D1879" s="29"/>
      <c r="E1879" s="29"/>
      <c r="F1879" s="29"/>
      <c r="G1879" s="30"/>
      <c r="H1879" s="31"/>
      <c r="I1879" s="31"/>
      <c r="J1879" s="32"/>
      <c r="K1879" s="33"/>
      <c r="L1879" s="31"/>
      <c r="M1879" s="32"/>
      <c r="N1879" s="31"/>
      <c r="O1879" s="36"/>
      <c r="P1879" s="34"/>
      <c r="Q1879" s="34"/>
      <c r="R1879" s="34"/>
      <c r="S1879" s="29"/>
      <c r="T1879" s="35"/>
      <c r="U1879" s="35"/>
      <c r="V1879" s="35"/>
      <c r="W1879" s="35"/>
      <c r="Y1879" s="31" t="str" cm="1">
        <f t="array" ref="Y1879">IF(LEFT(_xll.BDP($C1879, VOLUME_AVG_10D), 4) = "#N/A", "",  _xll.BDP($C1879, VOLUME_AVG_10D))</f>
        <v/>
      </c>
      <c r="Z1879" s="31" t="str" cm="1">
        <f t="array" ref="Z1879">IF(LEFT(_xll.BDP($C1879, VOLUME_AVG_30D), 4) = "#N/A", "",  _xll.BDP($C1879, VOLUME_AVG_30D))</f>
        <v/>
      </c>
      <c r="AA1879" s="31" t="str" cm="1">
        <f t="array" ref="AA1879">IF(LEFT(_xll.BDP($C1879, VOLUME_AVG_3M), 4) = "#N/A", "",  _xll.BDP($C1879, VOLUME_AVG_3M))</f>
        <v/>
      </c>
      <c r="AB1879" s="31" t="str" cm="1">
        <f t="array" ref="AB1879">IF(LEFT(_xll.BDP($C1879, VOLUME_AVG_6M), 4) = "#N/A", "",  _xll.BDP($C1879, VOLUME_AVG_6M))</f>
        <v/>
      </c>
      <c r="AC1879" s="31" t="str" cm="1">
        <f t="array" ref="AC1879">IF(LEFT(_xll.BDP($C1879, VOLUME_AVG_12M), 4) = "#N/A", "",  _xll.BDP($C1879, VOLUME_AVG_12M))</f>
        <v/>
      </c>
      <c r="AD1879" s="41" t="str" cm="1">
        <f t="array" ref="AD1879">IF(LEFT(_xll.BDP($C1879, LAST_PRICE), 4) = "#N/A", "",  _xll.BDP($C1879, LAST_PRICE))</f>
        <v/>
      </c>
    </row>
    <row r="1880" spans="1:30" x14ac:dyDescent="0.35">
      <c r="A1880" s="1" t="str">
        <f t="shared" si="29"/>
        <v/>
      </c>
      <c r="B1880" s="30"/>
      <c r="C1880" s="29"/>
      <c r="D1880" s="29"/>
      <c r="E1880" s="29"/>
      <c r="F1880" s="29"/>
      <c r="G1880" s="30"/>
      <c r="H1880" s="31"/>
      <c r="I1880" s="31"/>
      <c r="J1880" s="32"/>
      <c r="K1880" s="33"/>
      <c r="L1880" s="31"/>
      <c r="M1880" s="32"/>
      <c r="N1880" s="31"/>
      <c r="O1880" s="36"/>
      <c r="P1880" s="34"/>
      <c r="Q1880" s="34"/>
      <c r="R1880" s="34"/>
      <c r="S1880" s="29"/>
      <c r="T1880" s="35"/>
      <c r="U1880" s="35"/>
      <c r="V1880" s="35"/>
      <c r="W1880" s="35"/>
      <c r="Y1880" s="31" t="str" cm="1">
        <f t="array" ref="Y1880">IF(LEFT(_xll.BDP($C1880, VOLUME_AVG_10D), 4) = "#N/A", "",  _xll.BDP($C1880, VOLUME_AVG_10D))</f>
        <v/>
      </c>
      <c r="Z1880" s="31" t="str" cm="1">
        <f t="array" ref="Z1880">IF(LEFT(_xll.BDP($C1880, VOLUME_AVG_30D), 4) = "#N/A", "",  _xll.BDP($C1880, VOLUME_AVG_30D))</f>
        <v/>
      </c>
      <c r="AA1880" s="31" t="str" cm="1">
        <f t="array" ref="AA1880">IF(LEFT(_xll.BDP($C1880, VOLUME_AVG_3M), 4) = "#N/A", "",  _xll.BDP($C1880, VOLUME_AVG_3M))</f>
        <v/>
      </c>
      <c r="AB1880" s="31" t="str" cm="1">
        <f t="array" ref="AB1880">IF(LEFT(_xll.BDP($C1880, VOLUME_AVG_6M), 4) = "#N/A", "",  _xll.BDP($C1880, VOLUME_AVG_6M))</f>
        <v/>
      </c>
      <c r="AC1880" s="31" t="str" cm="1">
        <f t="array" ref="AC1880">IF(LEFT(_xll.BDP($C1880, VOLUME_AVG_12M), 4) = "#N/A", "",  _xll.BDP($C1880, VOLUME_AVG_12M))</f>
        <v/>
      </c>
      <c r="AD1880" s="41" t="str" cm="1">
        <f t="array" ref="AD1880">IF(LEFT(_xll.BDP($C1880, LAST_PRICE), 4) = "#N/A", "",  _xll.BDP($C1880, LAST_PRICE))</f>
        <v/>
      </c>
    </row>
    <row r="1881" spans="1:30" x14ac:dyDescent="0.35">
      <c r="A1881" s="1" t="str">
        <f t="shared" si="29"/>
        <v/>
      </c>
      <c r="B1881" s="30"/>
      <c r="C1881" s="29"/>
      <c r="D1881" s="29"/>
      <c r="E1881" s="29"/>
      <c r="F1881" s="29"/>
      <c r="G1881" s="30"/>
      <c r="H1881" s="31"/>
      <c r="I1881" s="31"/>
      <c r="J1881" s="32"/>
      <c r="K1881" s="33"/>
      <c r="L1881" s="31"/>
      <c r="M1881" s="32"/>
      <c r="N1881" s="31"/>
      <c r="O1881" s="36"/>
      <c r="P1881" s="34"/>
      <c r="Q1881" s="34"/>
      <c r="R1881" s="34"/>
      <c r="S1881" s="29"/>
      <c r="T1881" s="35"/>
      <c r="U1881" s="35"/>
      <c r="V1881" s="35"/>
      <c r="W1881" s="35"/>
      <c r="Y1881" s="31" t="str" cm="1">
        <f t="array" ref="Y1881">IF(LEFT(_xll.BDP($C1881, VOLUME_AVG_10D), 4) = "#N/A", "",  _xll.BDP($C1881, VOLUME_AVG_10D))</f>
        <v/>
      </c>
      <c r="Z1881" s="31" t="str" cm="1">
        <f t="array" ref="Z1881">IF(LEFT(_xll.BDP($C1881, VOLUME_AVG_30D), 4) = "#N/A", "",  _xll.BDP($C1881, VOLUME_AVG_30D))</f>
        <v/>
      </c>
      <c r="AA1881" s="31" t="str" cm="1">
        <f t="array" ref="AA1881">IF(LEFT(_xll.BDP($C1881, VOLUME_AVG_3M), 4) = "#N/A", "",  _xll.BDP($C1881, VOLUME_AVG_3M))</f>
        <v/>
      </c>
      <c r="AB1881" s="31" t="str" cm="1">
        <f t="array" ref="AB1881">IF(LEFT(_xll.BDP($C1881, VOLUME_AVG_6M), 4) = "#N/A", "",  _xll.BDP($C1881, VOLUME_AVG_6M))</f>
        <v/>
      </c>
      <c r="AC1881" s="31" t="str" cm="1">
        <f t="array" ref="AC1881">IF(LEFT(_xll.BDP($C1881, VOLUME_AVG_12M), 4) = "#N/A", "",  _xll.BDP($C1881, VOLUME_AVG_12M))</f>
        <v/>
      </c>
      <c r="AD1881" s="41" t="str" cm="1">
        <f t="array" ref="AD1881">IF(LEFT(_xll.BDP($C1881, LAST_PRICE), 4) = "#N/A", "",  _xll.BDP($C1881, LAST_PRICE))</f>
        <v/>
      </c>
    </row>
    <row r="1882" spans="1:30" x14ac:dyDescent="0.35">
      <c r="A1882" s="1" t="str">
        <f t="shared" si="29"/>
        <v/>
      </c>
      <c r="B1882" s="30"/>
      <c r="C1882" s="29"/>
      <c r="D1882" s="29"/>
      <c r="E1882" s="29"/>
      <c r="F1882" s="29"/>
      <c r="G1882" s="30"/>
      <c r="H1882" s="31"/>
      <c r="I1882" s="31"/>
      <c r="J1882" s="32"/>
      <c r="K1882" s="33"/>
      <c r="L1882" s="31"/>
      <c r="M1882" s="32"/>
      <c r="N1882" s="31"/>
      <c r="O1882" s="36"/>
      <c r="P1882" s="34"/>
      <c r="Q1882" s="34"/>
      <c r="R1882" s="34"/>
      <c r="S1882" s="29"/>
      <c r="T1882" s="35"/>
      <c r="U1882" s="35"/>
      <c r="V1882" s="35"/>
      <c r="W1882" s="35"/>
      <c r="Y1882" s="31" t="str" cm="1">
        <f t="array" ref="Y1882">IF(LEFT(_xll.BDP($C1882, VOLUME_AVG_10D), 4) = "#N/A", "",  _xll.BDP($C1882, VOLUME_AVG_10D))</f>
        <v/>
      </c>
      <c r="Z1882" s="31" t="str" cm="1">
        <f t="array" ref="Z1882">IF(LEFT(_xll.BDP($C1882, VOLUME_AVG_30D), 4) = "#N/A", "",  _xll.BDP($C1882, VOLUME_AVG_30D))</f>
        <v/>
      </c>
      <c r="AA1882" s="31" t="str" cm="1">
        <f t="array" ref="AA1882">IF(LEFT(_xll.BDP($C1882, VOLUME_AVG_3M), 4) = "#N/A", "",  _xll.BDP($C1882, VOLUME_AVG_3M))</f>
        <v/>
      </c>
      <c r="AB1882" s="31" t="str" cm="1">
        <f t="array" ref="AB1882">IF(LEFT(_xll.BDP($C1882, VOLUME_AVG_6M), 4) = "#N/A", "",  _xll.BDP($C1882, VOLUME_AVG_6M))</f>
        <v/>
      </c>
      <c r="AC1882" s="31" t="str" cm="1">
        <f t="array" ref="AC1882">IF(LEFT(_xll.BDP($C1882, VOLUME_AVG_12M), 4) = "#N/A", "",  _xll.BDP($C1882, VOLUME_AVG_12M))</f>
        <v/>
      </c>
      <c r="AD1882" s="41" t="str" cm="1">
        <f t="array" ref="AD1882">IF(LEFT(_xll.BDP($C1882, LAST_PRICE), 4) = "#N/A", "",  _xll.BDP($C1882, LAST_PRICE))</f>
        <v/>
      </c>
    </row>
    <row r="1883" spans="1:30" x14ac:dyDescent="0.35">
      <c r="A1883" s="1" t="str">
        <f t="shared" si="29"/>
        <v/>
      </c>
      <c r="B1883" s="30"/>
      <c r="C1883" s="29"/>
      <c r="D1883" s="29"/>
      <c r="E1883" s="29"/>
      <c r="F1883" s="29"/>
      <c r="G1883" s="30"/>
      <c r="H1883" s="31"/>
      <c r="I1883" s="31"/>
      <c r="J1883" s="32"/>
      <c r="K1883" s="33"/>
      <c r="L1883" s="31"/>
      <c r="M1883" s="32"/>
      <c r="N1883" s="31"/>
      <c r="O1883" s="36"/>
      <c r="P1883" s="34"/>
      <c r="Q1883" s="34"/>
      <c r="R1883" s="34"/>
      <c r="S1883" s="29"/>
      <c r="T1883" s="35"/>
      <c r="U1883" s="35"/>
      <c r="V1883" s="35"/>
      <c r="W1883" s="35"/>
      <c r="Y1883" s="31" t="str" cm="1">
        <f t="array" ref="Y1883">IF(LEFT(_xll.BDP($C1883, VOLUME_AVG_10D), 4) = "#N/A", "",  _xll.BDP($C1883, VOLUME_AVG_10D))</f>
        <v/>
      </c>
      <c r="Z1883" s="31" t="str" cm="1">
        <f t="array" ref="Z1883">IF(LEFT(_xll.BDP($C1883, VOLUME_AVG_30D), 4) = "#N/A", "",  _xll.BDP($C1883, VOLUME_AVG_30D))</f>
        <v/>
      </c>
      <c r="AA1883" s="31" t="str" cm="1">
        <f t="array" ref="AA1883">IF(LEFT(_xll.BDP($C1883, VOLUME_AVG_3M), 4) = "#N/A", "",  _xll.BDP($C1883, VOLUME_AVG_3M))</f>
        <v/>
      </c>
      <c r="AB1883" s="31" t="str" cm="1">
        <f t="array" ref="AB1883">IF(LEFT(_xll.BDP($C1883, VOLUME_AVG_6M), 4) = "#N/A", "",  _xll.BDP($C1883, VOLUME_AVG_6M))</f>
        <v/>
      </c>
      <c r="AC1883" s="31" t="str" cm="1">
        <f t="array" ref="AC1883">IF(LEFT(_xll.BDP($C1883, VOLUME_AVG_12M), 4) = "#N/A", "",  _xll.BDP($C1883, VOLUME_AVG_12M))</f>
        <v/>
      </c>
      <c r="AD1883" s="41" t="str" cm="1">
        <f t="array" ref="AD1883">IF(LEFT(_xll.BDP($C1883, LAST_PRICE), 4) = "#N/A", "",  _xll.BDP($C1883, LAST_PRICE))</f>
        <v/>
      </c>
    </row>
    <row r="1884" spans="1:30" x14ac:dyDescent="0.35">
      <c r="A1884" s="1" t="str">
        <f t="shared" si="29"/>
        <v/>
      </c>
      <c r="B1884" s="30"/>
      <c r="C1884" s="29"/>
      <c r="D1884" s="29"/>
      <c r="E1884" s="29"/>
      <c r="F1884" s="29"/>
      <c r="G1884" s="30"/>
      <c r="H1884" s="31"/>
      <c r="I1884" s="31"/>
      <c r="J1884" s="32"/>
      <c r="K1884" s="33"/>
      <c r="L1884" s="31"/>
      <c r="M1884" s="32"/>
      <c r="N1884" s="31"/>
      <c r="O1884" s="36"/>
      <c r="P1884" s="34"/>
      <c r="Q1884" s="34"/>
      <c r="R1884" s="34"/>
      <c r="S1884" s="29"/>
      <c r="T1884" s="35"/>
      <c r="U1884" s="35"/>
      <c r="V1884" s="35"/>
      <c r="W1884" s="35"/>
      <c r="Y1884" s="31" t="str" cm="1">
        <f t="array" ref="Y1884">IF(LEFT(_xll.BDP($C1884, VOLUME_AVG_10D), 4) = "#N/A", "",  _xll.BDP($C1884, VOLUME_AVG_10D))</f>
        <v/>
      </c>
      <c r="Z1884" s="31" t="str" cm="1">
        <f t="array" ref="Z1884">IF(LEFT(_xll.BDP($C1884, VOLUME_AVG_30D), 4) = "#N/A", "",  _xll.BDP($C1884, VOLUME_AVG_30D))</f>
        <v/>
      </c>
      <c r="AA1884" s="31" t="str" cm="1">
        <f t="array" ref="AA1884">IF(LEFT(_xll.BDP($C1884, VOLUME_AVG_3M), 4) = "#N/A", "",  _xll.BDP($C1884, VOLUME_AVG_3M))</f>
        <v/>
      </c>
      <c r="AB1884" s="31" t="str" cm="1">
        <f t="array" ref="AB1884">IF(LEFT(_xll.BDP($C1884, VOLUME_AVG_6M), 4) = "#N/A", "",  _xll.BDP($C1884, VOLUME_AVG_6M))</f>
        <v/>
      </c>
      <c r="AC1884" s="31" t="str" cm="1">
        <f t="array" ref="AC1884">IF(LEFT(_xll.BDP($C1884, VOLUME_AVG_12M), 4) = "#N/A", "",  _xll.BDP($C1884, VOLUME_AVG_12M))</f>
        <v/>
      </c>
      <c r="AD1884" s="41" t="str" cm="1">
        <f t="array" ref="AD1884">IF(LEFT(_xll.BDP($C1884, LAST_PRICE), 4) = "#N/A", "",  _xll.BDP($C1884, LAST_PRICE))</f>
        <v/>
      </c>
    </row>
    <row r="1885" spans="1:30" x14ac:dyDescent="0.35">
      <c r="A1885" s="1" t="str">
        <f t="shared" si="29"/>
        <v/>
      </c>
      <c r="B1885" s="30"/>
      <c r="C1885" s="29"/>
      <c r="D1885" s="29"/>
      <c r="E1885" s="29"/>
      <c r="F1885" s="29"/>
      <c r="G1885" s="30"/>
      <c r="H1885" s="31"/>
      <c r="I1885" s="31"/>
      <c r="J1885" s="32"/>
      <c r="K1885" s="33"/>
      <c r="L1885" s="31"/>
      <c r="M1885" s="32"/>
      <c r="N1885" s="31"/>
      <c r="O1885" s="36"/>
      <c r="P1885" s="34"/>
      <c r="Q1885" s="34"/>
      <c r="R1885" s="34"/>
      <c r="S1885" s="29"/>
      <c r="T1885" s="35"/>
      <c r="U1885" s="35"/>
      <c r="V1885" s="35"/>
      <c r="W1885" s="35"/>
      <c r="Y1885" s="31" t="str" cm="1">
        <f t="array" ref="Y1885">IF(LEFT(_xll.BDP($C1885, VOLUME_AVG_10D), 4) = "#N/A", "",  _xll.BDP($C1885, VOLUME_AVG_10D))</f>
        <v/>
      </c>
      <c r="Z1885" s="31" t="str" cm="1">
        <f t="array" ref="Z1885">IF(LEFT(_xll.BDP($C1885, VOLUME_AVG_30D), 4) = "#N/A", "",  _xll.BDP($C1885, VOLUME_AVG_30D))</f>
        <v/>
      </c>
      <c r="AA1885" s="31" t="str" cm="1">
        <f t="array" ref="AA1885">IF(LEFT(_xll.BDP($C1885, VOLUME_AVG_3M), 4) = "#N/A", "",  _xll.BDP($C1885, VOLUME_AVG_3M))</f>
        <v/>
      </c>
      <c r="AB1885" s="31" t="str" cm="1">
        <f t="array" ref="AB1885">IF(LEFT(_xll.BDP($C1885, VOLUME_AVG_6M), 4) = "#N/A", "",  _xll.BDP($C1885, VOLUME_AVG_6M))</f>
        <v/>
      </c>
      <c r="AC1885" s="31" t="str" cm="1">
        <f t="array" ref="AC1885">IF(LEFT(_xll.BDP($C1885, VOLUME_AVG_12M), 4) = "#N/A", "",  _xll.BDP($C1885, VOLUME_AVG_12M))</f>
        <v/>
      </c>
      <c r="AD1885" s="41" t="str" cm="1">
        <f t="array" ref="AD1885">IF(LEFT(_xll.BDP($C1885, LAST_PRICE), 4) = "#N/A", "",  _xll.BDP($C1885, LAST_PRICE))</f>
        <v/>
      </c>
    </row>
    <row r="1886" spans="1:30" x14ac:dyDescent="0.35">
      <c r="A1886" s="1" t="str">
        <f t="shared" si="29"/>
        <v/>
      </c>
      <c r="B1886" s="30"/>
      <c r="C1886" s="29"/>
      <c r="D1886" s="29"/>
      <c r="E1886" s="29"/>
      <c r="F1886" s="29"/>
      <c r="G1886" s="30"/>
      <c r="H1886" s="31"/>
      <c r="I1886" s="31"/>
      <c r="J1886" s="32"/>
      <c r="K1886" s="33"/>
      <c r="L1886" s="31"/>
      <c r="M1886" s="32"/>
      <c r="N1886" s="31"/>
      <c r="O1886" s="36"/>
      <c r="P1886" s="34"/>
      <c r="Q1886" s="34"/>
      <c r="R1886" s="34"/>
      <c r="S1886" s="29"/>
      <c r="T1886" s="35"/>
      <c r="U1886" s="35"/>
      <c r="V1886" s="35"/>
      <c r="W1886" s="35"/>
      <c r="Y1886" s="31" t="str" cm="1">
        <f t="array" ref="Y1886">IF(LEFT(_xll.BDP($C1886, VOLUME_AVG_10D), 4) = "#N/A", "",  _xll.BDP($C1886, VOLUME_AVG_10D))</f>
        <v/>
      </c>
      <c r="Z1886" s="31" t="str" cm="1">
        <f t="array" ref="Z1886">IF(LEFT(_xll.BDP($C1886, VOLUME_AVG_30D), 4) = "#N/A", "",  _xll.BDP($C1886, VOLUME_AVG_30D))</f>
        <v/>
      </c>
      <c r="AA1886" s="31" t="str" cm="1">
        <f t="array" ref="AA1886">IF(LEFT(_xll.BDP($C1886, VOLUME_AVG_3M), 4) = "#N/A", "",  _xll.BDP($C1886, VOLUME_AVG_3M))</f>
        <v/>
      </c>
      <c r="AB1886" s="31" t="str" cm="1">
        <f t="array" ref="AB1886">IF(LEFT(_xll.BDP($C1886, VOLUME_AVG_6M), 4) = "#N/A", "",  _xll.BDP($C1886, VOLUME_AVG_6M))</f>
        <v/>
      </c>
      <c r="AC1886" s="31" t="str" cm="1">
        <f t="array" ref="AC1886">IF(LEFT(_xll.BDP($C1886, VOLUME_AVG_12M), 4) = "#N/A", "",  _xll.BDP($C1886, VOLUME_AVG_12M))</f>
        <v/>
      </c>
      <c r="AD1886" s="41" t="str" cm="1">
        <f t="array" ref="AD1886">IF(LEFT(_xll.BDP($C1886, LAST_PRICE), 4) = "#N/A", "",  _xll.BDP($C1886, LAST_PRICE))</f>
        <v/>
      </c>
    </row>
    <row r="1887" spans="1:30" x14ac:dyDescent="0.35">
      <c r="A1887" s="1" t="str">
        <f t="shared" si="29"/>
        <v/>
      </c>
      <c r="B1887" s="30"/>
      <c r="C1887" s="29"/>
      <c r="D1887" s="29"/>
      <c r="E1887" s="29"/>
      <c r="F1887" s="29"/>
      <c r="G1887" s="30"/>
      <c r="H1887" s="31"/>
      <c r="I1887" s="31"/>
      <c r="J1887" s="32"/>
      <c r="K1887" s="33"/>
      <c r="L1887" s="31"/>
      <c r="M1887" s="32"/>
      <c r="N1887" s="31"/>
      <c r="O1887" s="36"/>
      <c r="P1887" s="34"/>
      <c r="Q1887" s="34"/>
      <c r="R1887" s="34"/>
      <c r="S1887" s="29"/>
      <c r="T1887" s="35"/>
      <c r="U1887" s="35"/>
      <c r="V1887" s="35"/>
      <c r="W1887" s="35"/>
      <c r="Y1887" s="31" t="str" cm="1">
        <f t="array" ref="Y1887">IF(LEFT(_xll.BDP($C1887, VOLUME_AVG_10D), 4) = "#N/A", "",  _xll.BDP($C1887, VOLUME_AVG_10D))</f>
        <v/>
      </c>
      <c r="Z1887" s="31" t="str" cm="1">
        <f t="array" ref="Z1887">IF(LEFT(_xll.BDP($C1887, VOLUME_AVG_30D), 4) = "#N/A", "",  _xll.BDP($C1887, VOLUME_AVG_30D))</f>
        <v/>
      </c>
      <c r="AA1887" s="31" t="str" cm="1">
        <f t="array" ref="AA1887">IF(LEFT(_xll.BDP($C1887, VOLUME_AVG_3M), 4) = "#N/A", "",  _xll.BDP($C1887, VOLUME_AVG_3M))</f>
        <v/>
      </c>
      <c r="AB1887" s="31" t="str" cm="1">
        <f t="array" ref="AB1887">IF(LEFT(_xll.BDP($C1887, VOLUME_AVG_6M), 4) = "#N/A", "",  _xll.BDP($C1887, VOLUME_AVG_6M))</f>
        <v/>
      </c>
      <c r="AC1887" s="31" t="str" cm="1">
        <f t="array" ref="AC1887">IF(LEFT(_xll.BDP($C1887, VOLUME_AVG_12M), 4) = "#N/A", "",  _xll.BDP($C1887, VOLUME_AVG_12M))</f>
        <v/>
      </c>
      <c r="AD1887" s="41" t="str" cm="1">
        <f t="array" ref="AD1887">IF(LEFT(_xll.BDP($C1887, LAST_PRICE), 4) = "#N/A", "",  _xll.BDP($C1887, LAST_PRICE))</f>
        <v/>
      </c>
    </row>
    <row r="1888" spans="1:30" x14ac:dyDescent="0.35">
      <c r="A1888" s="1" t="str">
        <f t="shared" si="29"/>
        <v/>
      </c>
      <c r="B1888" s="30"/>
      <c r="C1888" s="29"/>
      <c r="D1888" s="29"/>
      <c r="E1888" s="29"/>
      <c r="F1888" s="29"/>
      <c r="G1888" s="30"/>
      <c r="H1888" s="31"/>
      <c r="I1888" s="31"/>
      <c r="J1888" s="32"/>
      <c r="K1888" s="33"/>
      <c r="L1888" s="31"/>
      <c r="M1888" s="32"/>
      <c r="N1888" s="31"/>
      <c r="O1888" s="36"/>
      <c r="P1888" s="34"/>
      <c r="Q1888" s="34"/>
      <c r="R1888" s="34"/>
      <c r="S1888" s="29"/>
      <c r="T1888" s="35"/>
      <c r="U1888" s="35"/>
      <c r="V1888" s="35"/>
      <c r="W1888" s="35"/>
      <c r="Y1888" s="31" t="str" cm="1">
        <f t="array" ref="Y1888">IF(LEFT(_xll.BDP($C1888, VOLUME_AVG_10D), 4) = "#N/A", "",  _xll.BDP($C1888, VOLUME_AVG_10D))</f>
        <v/>
      </c>
      <c r="Z1888" s="31" t="str" cm="1">
        <f t="array" ref="Z1888">IF(LEFT(_xll.BDP($C1888, VOLUME_AVG_30D), 4) = "#N/A", "",  _xll.BDP($C1888, VOLUME_AVG_30D))</f>
        <v/>
      </c>
      <c r="AA1888" s="31" t="str" cm="1">
        <f t="array" ref="AA1888">IF(LEFT(_xll.BDP($C1888, VOLUME_AVG_3M), 4) = "#N/A", "",  _xll.BDP($C1888, VOLUME_AVG_3M))</f>
        <v/>
      </c>
      <c r="AB1888" s="31" t="str" cm="1">
        <f t="array" ref="AB1888">IF(LEFT(_xll.BDP($C1888, VOLUME_AVG_6M), 4) = "#N/A", "",  _xll.BDP($C1888, VOLUME_AVG_6M))</f>
        <v/>
      </c>
      <c r="AC1888" s="31" t="str" cm="1">
        <f t="array" ref="AC1888">IF(LEFT(_xll.BDP($C1888, VOLUME_AVG_12M), 4) = "#N/A", "",  _xll.BDP($C1888, VOLUME_AVG_12M))</f>
        <v/>
      </c>
      <c r="AD1888" s="41" t="str" cm="1">
        <f t="array" ref="AD1888">IF(LEFT(_xll.BDP($C1888, LAST_PRICE), 4) = "#N/A", "",  _xll.BDP($C1888, LAST_PRICE))</f>
        <v/>
      </c>
    </row>
    <row r="1889" spans="1:30" x14ac:dyDescent="0.35">
      <c r="A1889" s="1" t="str">
        <f t="shared" si="29"/>
        <v/>
      </c>
      <c r="B1889" s="30"/>
      <c r="C1889" s="29"/>
      <c r="D1889" s="29"/>
      <c r="E1889" s="29"/>
      <c r="F1889" s="29"/>
      <c r="G1889" s="30"/>
      <c r="H1889" s="31"/>
      <c r="I1889" s="31"/>
      <c r="J1889" s="32"/>
      <c r="K1889" s="33"/>
      <c r="L1889" s="31"/>
      <c r="M1889" s="32"/>
      <c r="N1889" s="31"/>
      <c r="O1889" s="36"/>
      <c r="P1889" s="34"/>
      <c r="Q1889" s="34"/>
      <c r="R1889" s="34"/>
      <c r="S1889" s="29"/>
      <c r="T1889" s="35"/>
      <c r="U1889" s="35"/>
      <c r="V1889" s="35"/>
      <c r="W1889" s="35"/>
      <c r="Y1889" s="31" t="str" cm="1">
        <f t="array" ref="Y1889">IF(LEFT(_xll.BDP($C1889, VOLUME_AVG_10D), 4) = "#N/A", "",  _xll.BDP($C1889, VOLUME_AVG_10D))</f>
        <v/>
      </c>
      <c r="Z1889" s="31" t="str" cm="1">
        <f t="array" ref="Z1889">IF(LEFT(_xll.BDP($C1889, VOLUME_AVG_30D), 4) = "#N/A", "",  _xll.BDP($C1889, VOLUME_AVG_30D))</f>
        <v/>
      </c>
      <c r="AA1889" s="31" t="str" cm="1">
        <f t="array" ref="AA1889">IF(LEFT(_xll.BDP($C1889, VOLUME_AVG_3M), 4) = "#N/A", "",  _xll.BDP($C1889, VOLUME_AVG_3M))</f>
        <v/>
      </c>
      <c r="AB1889" s="31" t="str" cm="1">
        <f t="array" ref="AB1889">IF(LEFT(_xll.BDP($C1889, VOLUME_AVG_6M), 4) = "#N/A", "",  _xll.BDP($C1889, VOLUME_AVG_6M))</f>
        <v/>
      </c>
      <c r="AC1889" s="31" t="str" cm="1">
        <f t="array" ref="AC1889">IF(LEFT(_xll.BDP($C1889, VOLUME_AVG_12M), 4) = "#N/A", "",  _xll.BDP($C1889, VOLUME_AVG_12M))</f>
        <v/>
      </c>
      <c r="AD1889" s="41" t="str" cm="1">
        <f t="array" ref="AD1889">IF(LEFT(_xll.BDP($C1889, LAST_PRICE), 4) = "#N/A", "",  _xll.BDP($C1889, LAST_PRICE))</f>
        <v/>
      </c>
    </row>
    <row r="1890" spans="1:30" x14ac:dyDescent="0.35">
      <c r="A1890" s="1" t="str">
        <f t="shared" si="29"/>
        <v/>
      </c>
      <c r="B1890" s="30"/>
      <c r="C1890" s="29"/>
      <c r="D1890" s="29"/>
      <c r="E1890" s="29"/>
      <c r="F1890" s="29"/>
      <c r="G1890" s="30"/>
      <c r="H1890" s="31"/>
      <c r="I1890" s="31"/>
      <c r="J1890" s="32"/>
      <c r="K1890" s="33"/>
      <c r="L1890" s="31"/>
      <c r="M1890" s="32"/>
      <c r="N1890" s="31"/>
      <c r="O1890" s="36"/>
      <c r="P1890" s="34"/>
      <c r="Q1890" s="34"/>
      <c r="R1890" s="34"/>
      <c r="S1890" s="29"/>
      <c r="T1890" s="35"/>
      <c r="U1890" s="35"/>
      <c r="V1890" s="35"/>
      <c r="W1890" s="35"/>
      <c r="Y1890" s="31" t="str" cm="1">
        <f t="array" ref="Y1890">IF(LEFT(_xll.BDP($C1890, VOLUME_AVG_10D), 4) = "#N/A", "",  _xll.BDP($C1890, VOLUME_AVG_10D))</f>
        <v/>
      </c>
      <c r="Z1890" s="31" t="str" cm="1">
        <f t="array" ref="Z1890">IF(LEFT(_xll.BDP($C1890, VOLUME_AVG_30D), 4) = "#N/A", "",  _xll.BDP($C1890, VOLUME_AVG_30D))</f>
        <v/>
      </c>
      <c r="AA1890" s="31" t="str" cm="1">
        <f t="array" ref="AA1890">IF(LEFT(_xll.BDP($C1890, VOLUME_AVG_3M), 4) = "#N/A", "",  _xll.BDP($C1890, VOLUME_AVG_3M))</f>
        <v/>
      </c>
      <c r="AB1890" s="31" t="str" cm="1">
        <f t="array" ref="AB1890">IF(LEFT(_xll.BDP($C1890, VOLUME_AVG_6M), 4) = "#N/A", "",  _xll.BDP($C1890, VOLUME_AVG_6M))</f>
        <v/>
      </c>
      <c r="AC1890" s="31" t="str" cm="1">
        <f t="array" ref="AC1890">IF(LEFT(_xll.BDP($C1890, VOLUME_AVG_12M), 4) = "#N/A", "",  _xll.BDP($C1890, VOLUME_AVG_12M))</f>
        <v/>
      </c>
      <c r="AD1890" s="41" t="str" cm="1">
        <f t="array" ref="AD1890">IF(LEFT(_xll.BDP($C1890, LAST_PRICE), 4) = "#N/A", "",  _xll.BDP($C1890, LAST_PRICE))</f>
        <v/>
      </c>
    </row>
    <row r="1891" spans="1:30" x14ac:dyDescent="0.35">
      <c r="A1891" s="1" t="str">
        <f t="shared" si="29"/>
        <v/>
      </c>
      <c r="B1891" s="30"/>
      <c r="C1891" s="29"/>
      <c r="D1891" s="29"/>
      <c r="E1891" s="29"/>
      <c r="F1891" s="29"/>
      <c r="G1891" s="30"/>
      <c r="H1891" s="31"/>
      <c r="I1891" s="31"/>
      <c r="J1891" s="32"/>
      <c r="K1891" s="33"/>
      <c r="L1891" s="31"/>
      <c r="M1891" s="32"/>
      <c r="N1891" s="31"/>
      <c r="O1891" s="36"/>
      <c r="P1891" s="34"/>
      <c r="Q1891" s="34"/>
      <c r="R1891" s="34"/>
      <c r="S1891" s="29"/>
      <c r="T1891" s="35"/>
      <c r="U1891" s="35"/>
      <c r="V1891" s="35"/>
      <c r="W1891" s="35"/>
      <c r="Y1891" s="31" t="str" cm="1">
        <f t="array" ref="Y1891">IF(LEFT(_xll.BDP($C1891, VOLUME_AVG_10D), 4) = "#N/A", "",  _xll.BDP($C1891, VOLUME_AVG_10D))</f>
        <v/>
      </c>
      <c r="Z1891" s="31" t="str" cm="1">
        <f t="array" ref="Z1891">IF(LEFT(_xll.BDP($C1891, VOLUME_AVG_30D), 4) = "#N/A", "",  _xll.BDP($C1891, VOLUME_AVG_30D))</f>
        <v/>
      </c>
      <c r="AA1891" s="31" t="str" cm="1">
        <f t="array" ref="AA1891">IF(LEFT(_xll.BDP($C1891, VOLUME_AVG_3M), 4) = "#N/A", "",  _xll.BDP($C1891, VOLUME_AVG_3M))</f>
        <v/>
      </c>
      <c r="AB1891" s="31" t="str" cm="1">
        <f t="array" ref="AB1891">IF(LEFT(_xll.BDP($C1891, VOLUME_AVG_6M), 4) = "#N/A", "",  _xll.BDP($C1891, VOLUME_AVG_6M))</f>
        <v/>
      </c>
      <c r="AC1891" s="31" t="str" cm="1">
        <f t="array" ref="AC1891">IF(LEFT(_xll.BDP($C1891, VOLUME_AVG_12M), 4) = "#N/A", "",  _xll.BDP($C1891, VOLUME_AVG_12M))</f>
        <v/>
      </c>
      <c r="AD1891" s="41" t="str" cm="1">
        <f t="array" ref="AD1891">IF(LEFT(_xll.BDP($C1891, LAST_PRICE), 4) = "#N/A", "",  _xll.BDP($C1891, LAST_PRICE))</f>
        <v/>
      </c>
    </row>
    <row r="1892" spans="1:30" x14ac:dyDescent="0.35">
      <c r="A1892" s="1" t="str">
        <f t="shared" si="29"/>
        <v/>
      </c>
      <c r="B1892" s="30"/>
      <c r="C1892" s="29"/>
      <c r="D1892" s="29"/>
      <c r="E1892" s="29"/>
      <c r="F1892" s="29"/>
      <c r="G1892" s="30"/>
      <c r="H1892" s="31"/>
      <c r="I1892" s="31"/>
      <c r="J1892" s="32"/>
      <c r="K1892" s="33"/>
      <c r="L1892" s="31"/>
      <c r="M1892" s="32"/>
      <c r="N1892" s="31"/>
      <c r="O1892" s="36"/>
      <c r="P1892" s="34"/>
      <c r="Q1892" s="34"/>
      <c r="R1892" s="34"/>
      <c r="S1892" s="29"/>
      <c r="T1892" s="35"/>
      <c r="U1892" s="35"/>
      <c r="V1892" s="35"/>
      <c r="W1892" s="35"/>
      <c r="Y1892" s="31" t="str" cm="1">
        <f t="array" ref="Y1892">IF(LEFT(_xll.BDP($C1892, VOLUME_AVG_10D), 4) = "#N/A", "",  _xll.BDP($C1892, VOLUME_AVG_10D))</f>
        <v/>
      </c>
      <c r="Z1892" s="31" t="str" cm="1">
        <f t="array" ref="Z1892">IF(LEFT(_xll.BDP($C1892, VOLUME_AVG_30D), 4) = "#N/A", "",  _xll.BDP($C1892, VOLUME_AVG_30D))</f>
        <v/>
      </c>
      <c r="AA1892" s="31" t="str" cm="1">
        <f t="array" ref="AA1892">IF(LEFT(_xll.BDP($C1892, VOLUME_AVG_3M), 4) = "#N/A", "",  _xll.BDP($C1892, VOLUME_AVG_3M))</f>
        <v/>
      </c>
      <c r="AB1892" s="31" t="str" cm="1">
        <f t="array" ref="AB1892">IF(LEFT(_xll.BDP($C1892, VOLUME_AVG_6M), 4) = "#N/A", "",  _xll.BDP($C1892, VOLUME_AVG_6M))</f>
        <v/>
      </c>
      <c r="AC1892" s="31" t="str" cm="1">
        <f t="array" ref="AC1892">IF(LEFT(_xll.BDP($C1892, VOLUME_AVG_12M), 4) = "#N/A", "",  _xll.BDP($C1892, VOLUME_AVG_12M))</f>
        <v/>
      </c>
      <c r="AD1892" s="41" t="str" cm="1">
        <f t="array" ref="AD1892">IF(LEFT(_xll.BDP($C1892, LAST_PRICE), 4) = "#N/A", "",  _xll.BDP($C1892, LAST_PRICE))</f>
        <v/>
      </c>
    </row>
    <row r="1893" spans="1:30" x14ac:dyDescent="0.35">
      <c r="A1893" s="1" t="str">
        <f t="shared" si="29"/>
        <v/>
      </c>
      <c r="B1893" s="30"/>
      <c r="C1893" s="29"/>
      <c r="D1893" s="29"/>
      <c r="E1893" s="29"/>
      <c r="F1893" s="29"/>
      <c r="G1893" s="30"/>
      <c r="H1893" s="31"/>
      <c r="I1893" s="31"/>
      <c r="J1893" s="32"/>
      <c r="K1893" s="33"/>
      <c r="L1893" s="31"/>
      <c r="M1893" s="32"/>
      <c r="N1893" s="31"/>
      <c r="O1893" s="36"/>
      <c r="P1893" s="34"/>
      <c r="Q1893" s="34"/>
      <c r="R1893" s="34"/>
      <c r="S1893" s="29"/>
      <c r="T1893" s="35"/>
      <c r="U1893" s="35"/>
      <c r="V1893" s="35"/>
      <c r="W1893" s="35"/>
      <c r="Y1893" s="31" t="str" cm="1">
        <f t="array" ref="Y1893">IF(LEFT(_xll.BDP($C1893, VOLUME_AVG_10D), 4) = "#N/A", "",  _xll.BDP($C1893, VOLUME_AVG_10D))</f>
        <v/>
      </c>
      <c r="Z1893" s="31" t="str" cm="1">
        <f t="array" ref="Z1893">IF(LEFT(_xll.BDP($C1893, VOLUME_AVG_30D), 4) = "#N/A", "",  _xll.BDP($C1893, VOLUME_AVG_30D))</f>
        <v/>
      </c>
      <c r="AA1893" s="31" t="str" cm="1">
        <f t="array" ref="AA1893">IF(LEFT(_xll.BDP($C1893, VOLUME_AVG_3M), 4) = "#N/A", "",  _xll.BDP($C1893, VOLUME_AVG_3M))</f>
        <v/>
      </c>
      <c r="AB1893" s="31" t="str" cm="1">
        <f t="array" ref="AB1893">IF(LEFT(_xll.BDP($C1893, VOLUME_AVG_6M), 4) = "#N/A", "",  _xll.BDP($C1893, VOLUME_AVG_6M))</f>
        <v/>
      </c>
      <c r="AC1893" s="31" t="str" cm="1">
        <f t="array" ref="AC1893">IF(LEFT(_xll.BDP($C1893, VOLUME_AVG_12M), 4) = "#N/A", "",  _xll.BDP($C1893, VOLUME_AVG_12M))</f>
        <v/>
      </c>
      <c r="AD1893" s="41" t="str" cm="1">
        <f t="array" ref="AD1893">IF(LEFT(_xll.BDP($C1893, LAST_PRICE), 4) = "#N/A", "",  _xll.BDP($C1893, LAST_PRICE))</f>
        <v/>
      </c>
    </row>
    <row r="1894" spans="1:30" x14ac:dyDescent="0.35">
      <c r="A1894" s="1" t="str">
        <f t="shared" si="29"/>
        <v/>
      </c>
      <c r="B1894" s="30"/>
      <c r="C1894" s="29"/>
      <c r="D1894" s="29"/>
      <c r="E1894" s="29"/>
      <c r="F1894" s="29"/>
      <c r="G1894" s="30"/>
      <c r="H1894" s="31"/>
      <c r="I1894" s="31"/>
      <c r="J1894" s="32"/>
      <c r="K1894" s="33"/>
      <c r="L1894" s="31"/>
      <c r="M1894" s="32"/>
      <c r="N1894" s="31"/>
      <c r="O1894" s="36"/>
      <c r="P1894" s="34"/>
      <c r="Q1894" s="34"/>
      <c r="R1894" s="34"/>
      <c r="S1894" s="29"/>
      <c r="T1894" s="35"/>
      <c r="U1894" s="35"/>
      <c r="V1894" s="35"/>
      <c r="W1894" s="35"/>
      <c r="Y1894" s="31" t="str" cm="1">
        <f t="array" ref="Y1894">IF(LEFT(_xll.BDP($C1894, VOLUME_AVG_10D), 4) = "#N/A", "",  _xll.BDP($C1894, VOLUME_AVG_10D))</f>
        <v/>
      </c>
      <c r="Z1894" s="31" t="str" cm="1">
        <f t="array" ref="Z1894">IF(LEFT(_xll.BDP($C1894, VOLUME_AVG_30D), 4) = "#N/A", "",  _xll.BDP($C1894, VOLUME_AVG_30D))</f>
        <v/>
      </c>
      <c r="AA1894" s="31" t="str" cm="1">
        <f t="array" ref="AA1894">IF(LEFT(_xll.BDP($C1894, VOLUME_AVG_3M), 4) = "#N/A", "",  _xll.BDP($C1894, VOLUME_AVG_3M))</f>
        <v/>
      </c>
      <c r="AB1894" s="31" t="str" cm="1">
        <f t="array" ref="AB1894">IF(LEFT(_xll.BDP($C1894, VOLUME_AVG_6M), 4) = "#N/A", "",  _xll.BDP($C1894, VOLUME_AVG_6M))</f>
        <v/>
      </c>
      <c r="AC1894" s="31" t="str" cm="1">
        <f t="array" ref="AC1894">IF(LEFT(_xll.BDP($C1894, VOLUME_AVG_12M), 4) = "#N/A", "",  _xll.BDP($C1894, VOLUME_AVG_12M))</f>
        <v/>
      </c>
      <c r="AD1894" s="41" t="str" cm="1">
        <f t="array" ref="AD1894">IF(LEFT(_xll.BDP($C1894, LAST_PRICE), 4) = "#N/A", "",  _xll.BDP($C1894, LAST_PRICE))</f>
        <v/>
      </c>
    </row>
    <row r="1895" spans="1:30" x14ac:dyDescent="0.35">
      <c r="A1895" s="1" t="str">
        <f t="shared" si="29"/>
        <v/>
      </c>
      <c r="B1895" s="30"/>
      <c r="C1895" s="29"/>
      <c r="D1895" s="29"/>
      <c r="E1895" s="29"/>
      <c r="F1895" s="29"/>
      <c r="G1895" s="30"/>
      <c r="H1895" s="31"/>
      <c r="I1895" s="31"/>
      <c r="J1895" s="32"/>
      <c r="K1895" s="33"/>
      <c r="L1895" s="31"/>
      <c r="M1895" s="32"/>
      <c r="N1895" s="31"/>
      <c r="O1895" s="36"/>
      <c r="P1895" s="34"/>
      <c r="Q1895" s="34"/>
      <c r="R1895" s="34"/>
      <c r="S1895" s="29"/>
      <c r="T1895" s="35"/>
      <c r="U1895" s="35"/>
      <c r="V1895" s="35"/>
      <c r="W1895" s="35"/>
      <c r="Y1895" s="31" t="str" cm="1">
        <f t="array" ref="Y1895">IF(LEFT(_xll.BDP($C1895, VOLUME_AVG_10D), 4) = "#N/A", "",  _xll.BDP($C1895, VOLUME_AVG_10D))</f>
        <v/>
      </c>
      <c r="Z1895" s="31" t="str" cm="1">
        <f t="array" ref="Z1895">IF(LEFT(_xll.BDP($C1895, VOLUME_AVG_30D), 4) = "#N/A", "",  _xll.BDP($C1895, VOLUME_AVG_30D))</f>
        <v/>
      </c>
      <c r="AA1895" s="31" t="str" cm="1">
        <f t="array" ref="AA1895">IF(LEFT(_xll.BDP($C1895, VOLUME_AVG_3M), 4) = "#N/A", "",  _xll.BDP($C1895, VOLUME_AVG_3M))</f>
        <v/>
      </c>
      <c r="AB1895" s="31" t="str" cm="1">
        <f t="array" ref="AB1895">IF(LEFT(_xll.BDP($C1895, VOLUME_AVG_6M), 4) = "#N/A", "",  _xll.BDP($C1895, VOLUME_AVG_6M))</f>
        <v/>
      </c>
      <c r="AC1895" s="31" t="str" cm="1">
        <f t="array" ref="AC1895">IF(LEFT(_xll.BDP($C1895, VOLUME_AVG_12M), 4) = "#N/A", "",  _xll.BDP($C1895, VOLUME_AVG_12M))</f>
        <v/>
      </c>
      <c r="AD1895" s="41" t="str" cm="1">
        <f t="array" ref="AD1895">IF(LEFT(_xll.BDP($C1895, LAST_PRICE), 4) = "#N/A", "",  _xll.BDP($C1895, LAST_PRICE))</f>
        <v/>
      </c>
    </row>
    <row r="1896" spans="1:30" x14ac:dyDescent="0.35">
      <c r="A1896" s="1" t="str">
        <f t="shared" si="29"/>
        <v/>
      </c>
      <c r="B1896" s="30"/>
      <c r="C1896" s="29"/>
      <c r="D1896" s="29"/>
      <c r="E1896" s="29"/>
      <c r="F1896" s="29"/>
      <c r="G1896" s="30"/>
      <c r="H1896" s="31"/>
      <c r="I1896" s="31"/>
      <c r="J1896" s="32"/>
      <c r="K1896" s="33"/>
      <c r="L1896" s="31"/>
      <c r="M1896" s="32"/>
      <c r="N1896" s="31"/>
      <c r="O1896" s="36"/>
      <c r="P1896" s="34"/>
      <c r="Q1896" s="34"/>
      <c r="R1896" s="34"/>
      <c r="S1896" s="29"/>
      <c r="T1896" s="35"/>
      <c r="U1896" s="35"/>
      <c r="V1896" s="35"/>
      <c r="W1896" s="35"/>
      <c r="Y1896" s="31" t="str" cm="1">
        <f t="array" ref="Y1896">IF(LEFT(_xll.BDP($C1896, VOLUME_AVG_10D), 4) = "#N/A", "",  _xll.BDP($C1896, VOLUME_AVG_10D))</f>
        <v/>
      </c>
      <c r="Z1896" s="31" t="str" cm="1">
        <f t="array" ref="Z1896">IF(LEFT(_xll.BDP($C1896, VOLUME_AVG_30D), 4) = "#N/A", "",  _xll.BDP($C1896, VOLUME_AVG_30D))</f>
        <v/>
      </c>
      <c r="AA1896" s="31" t="str" cm="1">
        <f t="array" ref="AA1896">IF(LEFT(_xll.BDP($C1896, VOLUME_AVG_3M), 4) = "#N/A", "",  _xll.BDP($C1896, VOLUME_AVG_3M))</f>
        <v/>
      </c>
      <c r="AB1896" s="31" t="str" cm="1">
        <f t="array" ref="AB1896">IF(LEFT(_xll.BDP($C1896, VOLUME_AVG_6M), 4) = "#N/A", "",  _xll.BDP($C1896, VOLUME_AVG_6M))</f>
        <v/>
      </c>
      <c r="AC1896" s="31" t="str" cm="1">
        <f t="array" ref="AC1896">IF(LEFT(_xll.BDP($C1896, VOLUME_AVG_12M), 4) = "#N/A", "",  _xll.BDP($C1896, VOLUME_AVG_12M))</f>
        <v/>
      </c>
      <c r="AD1896" s="41" t="str" cm="1">
        <f t="array" ref="AD1896">IF(LEFT(_xll.BDP($C1896, LAST_PRICE), 4) = "#N/A", "",  _xll.BDP($C1896, LAST_PRICE))</f>
        <v/>
      </c>
    </row>
    <row r="1897" spans="1:30" x14ac:dyDescent="0.35">
      <c r="A1897" s="1" t="str">
        <f t="shared" si="29"/>
        <v/>
      </c>
      <c r="B1897" s="30"/>
      <c r="C1897" s="29"/>
      <c r="D1897" s="29"/>
      <c r="E1897" s="29"/>
      <c r="F1897" s="29"/>
      <c r="G1897" s="30"/>
      <c r="H1897" s="31"/>
      <c r="I1897" s="31"/>
      <c r="J1897" s="32"/>
      <c r="K1897" s="33"/>
      <c r="L1897" s="31"/>
      <c r="M1897" s="32"/>
      <c r="N1897" s="31"/>
      <c r="O1897" s="36"/>
      <c r="P1897" s="34"/>
      <c r="Q1897" s="34"/>
      <c r="R1897" s="34"/>
      <c r="S1897" s="29"/>
      <c r="T1897" s="35"/>
      <c r="U1897" s="35"/>
      <c r="V1897" s="35"/>
      <c r="W1897" s="35"/>
      <c r="Y1897" s="31" t="str" cm="1">
        <f t="array" ref="Y1897">IF(LEFT(_xll.BDP($C1897, VOLUME_AVG_10D), 4) = "#N/A", "",  _xll.BDP($C1897, VOLUME_AVG_10D))</f>
        <v/>
      </c>
      <c r="Z1897" s="31" t="str" cm="1">
        <f t="array" ref="Z1897">IF(LEFT(_xll.BDP($C1897, VOLUME_AVG_30D), 4) = "#N/A", "",  _xll.BDP($C1897, VOLUME_AVG_30D))</f>
        <v/>
      </c>
      <c r="AA1897" s="31" t="str" cm="1">
        <f t="array" ref="AA1897">IF(LEFT(_xll.BDP($C1897, VOLUME_AVG_3M), 4) = "#N/A", "",  _xll.BDP($C1897, VOLUME_AVG_3M))</f>
        <v/>
      </c>
      <c r="AB1897" s="31" t="str" cm="1">
        <f t="array" ref="AB1897">IF(LEFT(_xll.BDP($C1897, VOLUME_AVG_6M), 4) = "#N/A", "",  _xll.BDP($C1897, VOLUME_AVG_6M))</f>
        <v/>
      </c>
      <c r="AC1897" s="31" t="str" cm="1">
        <f t="array" ref="AC1897">IF(LEFT(_xll.BDP($C1897, VOLUME_AVG_12M), 4) = "#N/A", "",  _xll.BDP($C1897, VOLUME_AVG_12M))</f>
        <v/>
      </c>
      <c r="AD1897" s="41" t="str" cm="1">
        <f t="array" ref="AD1897">IF(LEFT(_xll.BDP($C1897, LAST_PRICE), 4) = "#N/A", "",  _xll.BDP($C1897, LAST_PRICE))</f>
        <v/>
      </c>
    </row>
    <row r="1898" spans="1:30" x14ac:dyDescent="0.35">
      <c r="A1898" s="1" t="str">
        <f t="shared" si="29"/>
        <v/>
      </c>
      <c r="B1898" s="30"/>
      <c r="C1898" s="29"/>
      <c r="D1898" s="29"/>
      <c r="E1898" s="29"/>
      <c r="F1898" s="29"/>
      <c r="G1898" s="30"/>
      <c r="H1898" s="31"/>
      <c r="I1898" s="31"/>
      <c r="J1898" s="32"/>
      <c r="K1898" s="33"/>
      <c r="L1898" s="31"/>
      <c r="M1898" s="32"/>
      <c r="N1898" s="31"/>
      <c r="O1898" s="36"/>
      <c r="P1898" s="34"/>
      <c r="Q1898" s="34"/>
      <c r="R1898" s="34"/>
      <c r="S1898" s="29"/>
      <c r="T1898" s="35"/>
      <c r="U1898" s="35"/>
      <c r="V1898" s="35"/>
      <c r="W1898" s="35"/>
      <c r="Y1898" s="31" t="str" cm="1">
        <f t="array" ref="Y1898">IF(LEFT(_xll.BDP($C1898, VOLUME_AVG_10D), 4) = "#N/A", "",  _xll.BDP($C1898, VOLUME_AVG_10D))</f>
        <v/>
      </c>
      <c r="Z1898" s="31" t="str" cm="1">
        <f t="array" ref="Z1898">IF(LEFT(_xll.BDP($C1898, VOLUME_AVG_30D), 4) = "#N/A", "",  _xll.BDP($C1898, VOLUME_AVG_30D))</f>
        <v/>
      </c>
      <c r="AA1898" s="31" t="str" cm="1">
        <f t="array" ref="AA1898">IF(LEFT(_xll.BDP($C1898, VOLUME_AVG_3M), 4) = "#N/A", "",  _xll.BDP($C1898, VOLUME_AVG_3M))</f>
        <v/>
      </c>
      <c r="AB1898" s="31" t="str" cm="1">
        <f t="array" ref="AB1898">IF(LEFT(_xll.BDP($C1898, VOLUME_AVG_6M), 4) = "#N/A", "",  _xll.BDP($C1898, VOLUME_AVG_6M))</f>
        <v/>
      </c>
      <c r="AC1898" s="31" t="str" cm="1">
        <f t="array" ref="AC1898">IF(LEFT(_xll.BDP($C1898, VOLUME_AVG_12M), 4) = "#N/A", "",  _xll.BDP($C1898, VOLUME_AVG_12M))</f>
        <v/>
      </c>
      <c r="AD1898" s="41" t="str" cm="1">
        <f t="array" ref="AD1898">IF(LEFT(_xll.BDP($C1898, LAST_PRICE), 4) = "#N/A", "",  _xll.BDP($C1898, LAST_PRICE))</f>
        <v/>
      </c>
    </row>
    <row r="1899" spans="1:30" x14ac:dyDescent="0.35">
      <c r="A1899" s="1" t="str">
        <f t="shared" si="29"/>
        <v/>
      </c>
      <c r="B1899" s="30"/>
      <c r="C1899" s="29"/>
      <c r="D1899" s="29"/>
      <c r="E1899" s="29"/>
      <c r="F1899" s="29"/>
      <c r="G1899" s="30"/>
      <c r="H1899" s="31"/>
      <c r="I1899" s="31"/>
      <c r="J1899" s="32"/>
      <c r="K1899" s="33"/>
      <c r="L1899" s="31"/>
      <c r="M1899" s="32"/>
      <c r="N1899" s="31"/>
      <c r="O1899" s="36"/>
      <c r="P1899" s="34"/>
      <c r="Q1899" s="34"/>
      <c r="R1899" s="34"/>
      <c r="S1899" s="29"/>
      <c r="T1899" s="35"/>
      <c r="U1899" s="35"/>
      <c r="V1899" s="35"/>
      <c r="W1899" s="35"/>
      <c r="Y1899" s="31" t="str" cm="1">
        <f t="array" ref="Y1899">IF(LEFT(_xll.BDP($C1899, VOLUME_AVG_10D), 4) = "#N/A", "",  _xll.BDP($C1899, VOLUME_AVG_10D))</f>
        <v/>
      </c>
      <c r="Z1899" s="31" t="str" cm="1">
        <f t="array" ref="Z1899">IF(LEFT(_xll.BDP($C1899, VOLUME_AVG_30D), 4) = "#N/A", "",  _xll.BDP($C1899, VOLUME_AVG_30D))</f>
        <v/>
      </c>
      <c r="AA1899" s="31" t="str" cm="1">
        <f t="array" ref="AA1899">IF(LEFT(_xll.BDP($C1899, VOLUME_AVG_3M), 4) = "#N/A", "",  _xll.BDP($C1899, VOLUME_AVG_3M))</f>
        <v/>
      </c>
      <c r="AB1899" s="31" t="str" cm="1">
        <f t="array" ref="AB1899">IF(LEFT(_xll.BDP($C1899, VOLUME_AVG_6M), 4) = "#N/A", "",  _xll.BDP($C1899, VOLUME_AVG_6M))</f>
        <v/>
      </c>
      <c r="AC1899" s="31" t="str" cm="1">
        <f t="array" ref="AC1899">IF(LEFT(_xll.BDP($C1899, VOLUME_AVG_12M), 4) = "#N/A", "",  _xll.BDP($C1899, VOLUME_AVG_12M))</f>
        <v/>
      </c>
      <c r="AD1899" s="41" t="str" cm="1">
        <f t="array" ref="AD1899">IF(LEFT(_xll.BDP($C1899, LAST_PRICE), 4) = "#N/A", "",  _xll.BDP($C1899, LAST_PRICE))</f>
        <v/>
      </c>
    </row>
    <row r="1900" spans="1:30" x14ac:dyDescent="0.35">
      <c r="A1900" s="1" t="str">
        <f t="shared" si="29"/>
        <v/>
      </c>
      <c r="B1900" s="30"/>
      <c r="C1900" s="29"/>
      <c r="D1900" s="29"/>
      <c r="E1900" s="29"/>
      <c r="F1900" s="29"/>
      <c r="G1900" s="30"/>
      <c r="H1900" s="31"/>
      <c r="I1900" s="31"/>
      <c r="J1900" s="32"/>
      <c r="K1900" s="33"/>
      <c r="L1900" s="31"/>
      <c r="M1900" s="32"/>
      <c r="N1900" s="31"/>
      <c r="O1900" s="36"/>
      <c r="P1900" s="34"/>
      <c r="Q1900" s="34"/>
      <c r="R1900" s="34"/>
      <c r="S1900" s="29"/>
      <c r="T1900" s="35"/>
      <c r="U1900" s="35"/>
      <c r="V1900" s="35"/>
      <c r="W1900" s="35"/>
      <c r="Y1900" s="31" t="str" cm="1">
        <f t="array" ref="Y1900">IF(LEFT(_xll.BDP($C1900, VOLUME_AVG_10D), 4) = "#N/A", "",  _xll.BDP($C1900, VOLUME_AVG_10D))</f>
        <v/>
      </c>
      <c r="Z1900" s="31" t="str" cm="1">
        <f t="array" ref="Z1900">IF(LEFT(_xll.BDP($C1900, VOLUME_AVG_30D), 4) = "#N/A", "",  _xll.BDP($C1900, VOLUME_AVG_30D))</f>
        <v/>
      </c>
      <c r="AA1900" s="31" t="str" cm="1">
        <f t="array" ref="AA1900">IF(LEFT(_xll.BDP($C1900, VOLUME_AVG_3M), 4) = "#N/A", "",  _xll.BDP($C1900, VOLUME_AVG_3M))</f>
        <v/>
      </c>
      <c r="AB1900" s="31" t="str" cm="1">
        <f t="array" ref="AB1900">IF(LEFT(_xll.BDP($C1900, VOLUME_AVG_6M), 4) = "#N/A", "",  _xll.BDP($C1900, VOLUME_AVG_6M))</f>
        <v/>
      </c>
      <c r="AC1900" s="31" t="str" cm="1">
        <f t="array" ref="AC1900">IF(LEFT(_xll.BDP($C1900, VOLUME_AVG_12M), 4) = "#N/A", "",  _xll.BDP($C1900, VOLUME_AVG_12M))</f>
        <v/>
      </c>
      <c r="AD1900" s="41" t="str" cm="1">
        <f t="array" ref="AD1900">IF(LEFT(_xll.BDP($C1900, LAST_PRICE), 4) = "#N/A", "",  _xll.BDP($C1900, LAST_PRICE))</f>
        <v/>
      </c>
    </row>
    <row r="1901" spans="1:30" x14ac:dyDescent="0.35">
      <c r="A1901" s="1" t="str">
        <f t="shared" si="29"/>
        <v/>
      </c>
      <c r="B1901" s="30"/>
      <c r="C1901" s="29"/>
      <c r="D1901" s="29"/>
      <c r="E1901" s="29"/>
      <c r="F1901" s="29"/>
      <c r="G1901" s="30"/>
      <c r="H1901" s="31"/>
      <c r="I1901" s="31"/>
      <c r="J1901" s="32"/>
      <c r="K1901" s="33"/>
      <c r="L1901" s="31"/>
      <c r="M1901" s="32"/>
      <c r="N1901" s="31"/>
      <c r="O1901" s="36"/>
      <c r="P1901" s="34"/>
      <c r="Q1901" s="34"/>
      <c r="R1901" s="34"/>
      <c r="S1901" s="29"/>
      <c r="T1901" s="35"/>
      <c r="U1901" s="35"/>
      <c r="V1901" s="35"/>
      <c r="W1901" s="35"/>
      <c r="Y1901" s="31" t="str" cm="1">
        <f t="array" ref="Y1901">IF(LEFT(_xll.BDP($C1901, VOLUME_AVG_10D), 4) = "#N/A", "",  _xll.BDP($C1901, VOLUME_AVG_10D))</f>
        <v/>
      </c>
      <c r="Z1901" s="31" t="str" cm="1">
        <f t="array" ref="Z1901">IF(LEFT(_xll.BDP($C1901, VOLUME_AVG_30D), 4) = "#N/A", "",  _xll.BDP($C1901, VOLUME_AVG_30D))</f>
        <v/>
      </c>
      <c r="AA1901" s="31" t="str" cm="1">
        <f t="array" ref="AA1901">IF(LEFT(_xll.BDP($C1901, VOLUME_AVG_3M), 4) = "#N/A", "",  _xll.BDP($C1901, VOLUME_AVG_3M))</f>
        <v/>
      </c>
      <c r="AB1901" s="31" t="str" cm="1">
        <f t="array" ref="AB1901">IF(LEFT(_xll.BDP($C1901, VOLUME_AVG_6M), 4) = "#N/A", "",  _xll.BDP($C1901, VOLUME_AVG_6M))</f>
        <v/>
      </c>
      <c r="AC1901" s="31" t="str" cm="1">
        <f t="array" ref="AC1901">IF(LEFT(_xll.BDP($C1901, VOLUME_AVG_12M), 4) = "#N/A", "",  _xll.BDP($C1901, VOLUME_AVG_12M))</f>
        <v/>
      </c>
      <c r="AD1901" s="41" t="str" cm="1">
        <f t="array" ref="AD1901">IF(LEFT(_xll.BDP($C1901, LAST_PRICE), 4) = "#N/A", "",  _xll.BDP($C1901, LAST_PRICE))</f>
        <v/>
      </c>
    </row>
    <row r="1902" spans="1:30" x14ac:dyDescent="0.35">
      <c r="A1902" s="1" t="str">
        <f t="shared" si="29"/>
        <v/>
      </c>
      <c r="B1902" s="30"/>
      <c r="C1902" s="29"/>
      <c r="D1902" s="29"/>
      <c r="E1902" s="29"/>
      <c r="F1902" s="29"/>
      <c r="G1902" s="30"/>
      <c r="H1902" s="31"/>
      <c r="I1902" s="31"/>
      <c r="J1902" s="32"/>
      <c r="K1902" s="33"/>
      <c r="L1902" s="31"/>
      <c r="M1902" s="32"/>
      <c r="N1902" s="31"/>
      <c r="O1902" s="36"/>
      <c r="P1902" s="34"/>
      <c r="Q1902" s="34"/>
      <c r="R1902" s="34"/>
      <c r="S1902" s="29"/>
      <c r="T1902" s="35"/>
      <c r="U1902" s="35"/>
      <c r="V1902" s="35"/>
      <c r="W1902" s="35"/>
      <c r="Y1902" s="31" t="str" cm="1">
        <f t="array" ref="Y1902">IF(LEFT(_xll.BDP($C1902, VOLUME_AVG_10D), 4) = "#N/A", "",  _xll.BDP($C1902, VOLUME_AVG_10D))</f>
        <v/>
      </c>
      <c r="Z1902" s="31" t="str" cm="1">
        <f t="array" ref="Z1902">IF(LEFT(_xll.BDP($C1902, VOLUME_AVG_30D), 4) = "#N/A", "",  _xll.BDP($C1902, VOLUME_AVG_30D))</f>
        <v/>
      </c>
      <c r="AA1902" s="31" t="str" cm="1">
        <f t="array" ref="AA1902">IF(LEFT(_xll.BDP($C1902, VOLUME_AVG_3M), 4) = "#N/A", "",  _xll.BDP($C1902, VOLUME_AVG_3M))</f>
        <v/>
      </c>
      <c r="AB1902" s="31" t="str" cm="1">
        <f t="array" ref="AB1902">IF(LEFT(_xll.BDP($C1902, VOLUME_AVG_6M), 4) = "#N/A", "",  _xll.BDP($C1902, VOLUME_AVG_6M))</f>
        <v/>
      </c>
      <c r="AC1902" s="31" t="str" cm="1">
        <f t="array" ref="AC1902">IF(LEFT(_xll.BDP($C1902, VOLUME_AVG_12M), 4) = "#N/A", "",  _xll.BDP($C1902, VOLUME_AVG_12M))</f>
        <v/>
      </c>
      <c r="AD1902" s="41" t="str" cm="1">
        <f t="array" ref="AD1902">IF(LEFT(_xll.BDP($C1902, LAST_PRICE), 4) = "#N/A", "",  _xll.BDP($C1902, LAST_PRICE))</f>
        <v/>
      </c>
    </row>
    <row r="1903" spans="1:30" x14ac:dyDescent="0.35">
      <c r="A1903" s="1" t="str">
        <f t="shared" si="29"/>
        <v/>
      </c>
      <c r="B1903" s="30"/>
      <c r="C1903" s="29"/>
      <c r="D1903" s="29"/>
      <c r="E1903" s="29"/>
      <c r="F1903" s="29"/>
      <c r="G1903" s="30"/>
      <c r="H1903" s="31"/>
      <c r="I1903" s="31"/>
      <c r="J1903" s="32"/>
      <c r="K1903" s="33"/>
      <c r="L1903" s="31"/>
      <c r="M1903" s="32"/>
      <c r="N1903" s="31"/>
      <c r="O1903" s="36"/>
      <c r="P1903" s="34"/>
      <c r="Q1903" s="34"/>
      <c r="R1903" s="34"/>
      <c r="S1903" s="29"/>
      <c r="T1903" s="35"/>
      <c r="U1903" s="35"/>
      <c r="V1903" s="35"/>
      <c r="W1903" s="35"/>
      <c r="Y1903" s="31" t="str" cm="1">
        <f t="array" ref="Y1903">IF(LEFT(_xll.BDP($C1903, VOLUME_AVG_10D), 4) = "#N/A", "",  _xll.BDP($C1903, VOLUME_AVG_10D))</f>
        <v/>
      </c>
      <c r="Z1903" s="31" t="str" cm="1">
        <f t="array" ref="Z1903">IF(LEFT(_xll.BDP($C1903, VOLUME_AVG_30D), 4) = "#N/A", "",  _xll.BDP($C1903, VOLUME_AVG_30D))</f>
        <v/>
      </c>
      <c r="AA1903" s="31" t="str" cm="1">
        <f t="array" ref="AA1903">IF(LEFT(_xll.BDP($C1903, VOLUME_AVG_3M), 4) = "#N/A", "",  _xll.BDP($C1903, VOLUME_AVG_3M))</f>
        <v/>
      </c>
      <c r="AB1903" s="31" t="str" cm="1">
        <f t="array" ref="AB1903">IF(LEFT(_xll.BDP($C1903, VOLUME_AVG_6M), 4) = "#N/A", "",  _xll.BDP($C1903, VOLUME_AVG_6M))</f>
        <v/>
      </c>
      <c r="AC1903" s="31" t="str" cm="1">
        <f t="array" ref="AC1903">IF(LEFT(_xll.BDP($C1903, VOLUME_AVG_12M), 4) = "#N/A", "",  _xll.BDP($C1903, VOLUME_AVG_12M))</f>
        <v/>
      </c>
      <c r="AD1903" s="41" t="str" cm="1">
        <f t="array" ref="AD1903">IF(LEFT(_xll.BDP($C1903, LAST_PRICE), 4) = "#N/A", "",  _xll.BDP($C1903, LAST_PRICE))</f>
        <v/>
      </c>
    </row>
    <row r="1904" spans="1:30" x14ac:dyDescent="0.35">
      <c r="A1904" s="1" t="str">
        <f t="shared" si="29"/>
        <v/>
      </c>
      <c r="B1904" s="30"/>
      <c r="C1904" s="29"/>
      <c r="D1904" s="29"/>
      <c r="E1904" s="29"/>
      <c r="F1904" s="29"/>
      <c r="G1904" s="30"/>
      <c r="H1904" s="31"/>
      <c r="I1904" s="31"/>
      <c r="J1904" s="32"/>
      <c r="K1904" s="33"/>
      <c r="L1904" s="31"/>
      <c r="M1904" s="32"/>
      <c r="N1904" s="31"/>
      <c r="O1904" s="36"/>
      <c r="P1904" s="34"/>
      <c r="Q1904" s="34"/>
      <c r="R1904" s="34"/>
      <c r="S1904" s="29"/>
      <c r="T1904" s="35"/>
      <c r="U1904" s="35"/>
      <c r="V1904" s="35"/>
      <c r="W1904" s="35"/>
      <c r="Y1904" s="31" t="str" cm="1">
        <f t="array" ref="Y1904">IF(LEFT(_xll.BDP($C1904, VOLUME_AVG_10D), 4) = "#N/A", "",  _xll.BDP($C1904, VOLUME_AVG_10D))</f>
        <v/>
      </c>
      <c r="Z1904" s="31" t="str" cm="1">
        <f t="array" ref="Z1904">IF(LEFT(_xll.BDP($C1904, VOLUME_AVG_30D), 4) = "#N/A", "",  _xll.BDP($C1904, VOLUME_AVG_30D))</f>
        <v/>
      </c>
      <c r="AA1904" s="31" t="str" cm="1">
        <f t="array" ref="AA1904">IF(LEFT(_xll.BDP($C1904, VOLUME_AVG_3M), 4) = "#N/A", "",  _xll.BDP($C1904, VOLUME_AVG_3M))</f>
        <v/>
      </c>
      <c r="AB1904" s="31" t="str" cm="1">
        <f t="array" ref="AB1904">IF(LEFT(_xll.BDP($C1904, VOLUME_AVG_6M), 4) = "#N/A", "",  _xll.BDP($C1904, VOLUME_AVG_6M))</f>
        <v/>
      </c>
      <c r="AC1904" s="31" t="str" cm="1">
        <f t="array" ref="AC1904">IF(LEFT(_xll.BDP($C1904, VOLUME_AVG_12M), 4) = "#N/A", "",  _xll.BDP($C1904, VOLUME_AVG_12M))</f>
        <v/>
      </c>
      <c r="AD1904" s="41" t="str" cm="1">
        <f t="array" ref="AD1904">IF(LEFT(_xll.BDP($C1904, LAST_PRICE), 4) = "#N/A", "",  _xll.BDP($C1904, LAST_PRICE))</f>
        <v/>
      </c>
    </row>
    <row r="1905" spans="1:30" x14ac:dyDescent="0.35">
      <c r="A1905" s="1" t="str">
        <f t="shared" si="29"/>
        <v/>
      </c>
      <c r="B1905" s="30"/>
      <c r="C1905" s="29"/>
      <c r="D1905" s="29"/>
      <c r="E1905" s="29"/>
      <c r="F1905" s="29"/>
      <c r="G1905" s="30"/>
      <c r="H1905" s="31"/>
      <c r="I1905" s="31"/>
      <c r="J1905" s="32"/>
      <c r="K1905" s="33"/>
      <c r="L1905" s="31"/>
      <c r="M1905" s="32"/>
      <c r="N1905" s="31"/>
      <c r="O1905" s="36"/>
      <c r="P1905" s="34"/>
      <c r="Q1905" s="34"/>
      <c r="R1905" s="34"/>
      <c r="S1905" s="29"/>
      <c r="T1905" s="35"/>
      <c r="U1905" s="35"/>
      <c r="V1905" s="35"/>
      <c r="W1905" s="35"/>
      <c r="Y1905" s="31" t="str" cm="1">
        <f t="array" ref="Y1905">IF(LEFT(_xll.BDP($C1905, VOLUME_AVG_10D), 4) = "#N/A", "",  _xll.BDP($C1905, VOLUME_AVG_10D))</f>
        <v/>
      </c>
      <c r="Z1905" s="31" t="str" cm="1">
        <f t="array" ref="Z1905">IF(LEFT(_xll.BDP($C1905, VOLUME_AVG_30D), 4) = "#N/A", "",  _xll.BDP($C1905, VOLUME_AVG_30D))</f>
        <v/>
      </c>
      <c r="AA1905" s="31" t="str" cm="1">
        <f t="array" ref="AA1905">IF(LEFT(_xll.BDP($C1905, VOLUME_AVG_3M), 4) = "#N/A", "",  _xll.BDP($C1905, VOLUME_AVG_3M))</f>
        <v/>
      </c>
      <c r="AB1905" s="31" t="str" cm="1">
        <f t="array" ref="AB1905">IF(LEFT(_xll.BDP($C1905, VOLUME_AVG_6M), 4) = "#N/A", "",  _xll.BDP($C1905, VOLUME_AVG_6M))</f>
        <v/>
      </c>
      <c r="AC1905" s="31" t="str" cm="1">
        <f t="array" ref="AC1905">IF(LEFT(_xll.BDP($C1905, VOLUME_AVG_12M), 4) = "#N/A", "",  _xll.BDP($C1905, VOLUME_AVG_12M))</f>
        <v/>
      </c>
      <c r="AD1905" s="41" t="str" cm="1">
        <f t="array" ref="AD1905">IF(LEFT(_xll.BDP($C1905, LAST_PRICE), 4) = "#N/A", "",  _xll.BDP($C1905, LAST_PRICE))</f>
        <v/>
      </c>
    </row>
    <row r="1906" spans="1:30" x14ac:dyDescent="0.35">
      <c r="A1906" s="1" t="str">
        <f t="shared" si="29"/>
        <v/>
      </c>
      <c r="B1906" s="30"/>
      <c r="C1906" s="29"/>
      <c r="D1906" s="29"/>
      <c r="E1906" s="29"/>
      <c r="F1906" s="29"/>
      <c r="G1906" s="30"/>
      <c r="H1906" s="31"/>
      <c r="I1906" s="31"/>
      <c r="J1906" s="32"/>
      <c r="K1906" s="33"/>
      <c r="L1906" s="31"/>
      <c r="M1906" s="32"/>
      <c r="N1906" s="31"/>
      <c r="O1906" s="36"/>
      <c r="P1906" s="34"/>
      <c r="Q1906" s="34"/>
      <c r="R1906" s="34"/>
      <c r="S1906" s="29"/>
      <c r="T1906" s="35"/>
      <c r="U1906" s="35"/>
      <c r="V1906" s="35"/>
      <c r="W1906" s="35"/>
      <c r="Y1906" s="31" t="str" cm="1">
        <f t="array" ref="Y1906">IF(LEFT(_xll.BDP($C1906, VOLUME_AVG_10D), 4) = "#N/A", "",  _xll.BDP($C1906, VOLUME_AVG_10D))</f>
        <v/>
      </c>
      <c r="Z1906" s="31" t="str" cm="1">
        <f t="array" ref="Z1906">IF(LEFT(_xll.BDP($C1906, VOLUME_AVG_30D), 4) = "#N/A", "",  _xll.BDP($C1906, VOLUME_AVG_30D))</f>
        <v/>
      </c>
      <c r="AA1906" s="31" t="str" cm="1">
        <f t="array" ref="AA1906">IF(LEFT(_xll.BDP($C1906, VOLUME_AVG_3M), 4) = "#N/A", "",  _xll.BDP($C1906, VOLUME_AVG_3M))</f>
        <v/>
      </c>
      <c r="AB1906" s="31" t="str" cm="1">
        <f t="array" ref="AB1906">IF(LEFT(_xll.BDP($C1906, VOLUME_AVG_6M), 4) = "#N/A", "",  _xll.BDP($C1906, VOLUME_AVG_6M))</f>
        <v/>
      </c>
      <c r="AC1906" s="31" t="str" cm="1">
        <f t="array" ref="AC1906">IF(LEFT(_xll.BDP($C1906, VOLUME_AVG_12M), 4) = "#N/A", "",  _xll.BDP($C1906, VOLUME_AVG_12M))</f>
        <v/>
      </c>
      <c r="AD1906" s="41" t="str" cm="1">
        <f t="array" ref="AD1906">IF(LEFT(_xll.BDP($C1906, LAST_PRICE), 4) = "#N/A", "",  _xll.BDP($C1906, LAST_PRICE))</f>
        <v/>
      </c>
    </row>
    <row r="1907" spans="1:30" x14ac:dyDescent="0.35">
      <c r="A1907" s="1" t="str">
        <f t="shared" si="29"/>
        <v/>
      </c>
      <c r="B1907" s="30"/>
      <c r="C1907" s="29"/>
      <c r="D1907" s="29"/>
      <c r="E1907" s="29"/>
      <c r="F1907" s="29"/>
      <c r="G1907" s="30"/>
      <c r="H1907" s="31"/>
      <c r="I1907" s="31"/>
      <c r="J1907" s="32"/>
      <c r="K1907" s="33"/>
      <c r="L1907" s="31"/>
      <c r="M1907" s="32"/>
      <c r="N1907" s="31"/>
      <c r="O1907" s="36"/>
      <c r="P1907" s="34"/>
      <c r="Q1907" s="34"/>
      <c r="R1907" s="34"/>
      <c r="S1907" s="29"/>
      <c r="T1907" s="35"/>
      <c r="U1907" s="35"/>
      <c r="V1907" s="35"/>
      <c r="W1907" s="35"/>
      <c r="Y1907" s="31" t="str" cm="1">
        <f t="array" ref="Y1907">IF(LEFT(_xll.BDP($C1907, VOLUME_AVG_10D), 4) = "#N/A", "",  _xll.BDP($C1907, VOLUME_AVG_10D))</f>
        <v/>
      </c>
      <c r="Z1907" s="31" t="str" cm="1">
        <f t="array" ref="Z1907">IF(LEFT(_xll.BDP($C1907, VOLUME_AVG_30D), 4) = "#N/A", "",  _xll.BDP($C1907, VOLUME_AVG_30D))</f>
        <v/>
      </c>
      <c r="AA1907" s="31" t="str" cm="1">
        <f t="array" ref="AA1907">IF(LEFT(_xll.BDP($C1907, VOLUME_AVG_3M), 4) = "#N/A", "",  _xll.BDP($C1907, VOLUME_AVG_3M))</f>
        <v/>
      </c>
      <c r="AB1907" s="31" t="str" cm="1">
        <f t="array" ref="AB1907">IF(LEFT(_xll.BDP($C1907, VOLUME_AVG_6M), 4) = "#N/A", "",  _xll.BDP($C1907, VOLUME_AVG_6M))</f>
        <v/>
      </c>
      <c r="AC1907" s="31" t="str" cm="1">
        <f t="array" ref="AC1907">IF(LEFT(_xll.BDP($C1907, VOLUME_AVG_12M), 4) = "#N/A", "",  _xll.BDP($C1907, VOLUME_AVG_12M))</f>
        <v/>
      </c>
      <c r="AD1907" s="41" t="str" cm="1">
        <f t="array" ref="AD1907">IF(LEFT(_xll.BDP($C1907, LAST_PRICE), 4) = "#N/A", "",  _xll.BDP($C1907, LAST_PRICE))</f>
        <v/>
      </c>
    </row>
    <row r="1908" spans="1:30" x14ac:dyDescent="0.35">
      <c r="A1908" s="1" t="str">
        <f t="shared" si="29"/>
        <v/>
      </c>
      <c r="B1908" s="30"/>
      <c r="C1908" s="29"/>
      <c r="D1908" s="29"/>
      <c r="E1908" s="29"/>
      <c r="F1908" s="29"/>
      <c r="G1908" s="30"/>
      <c r="H1908" s="31"/>
      <c r="I1908" s="31"/>
      <c r="J1908" s="32"/>
      <c r="K1908" s="33"/>
      <c r="L1908" s="31"/>
      <c r="M1908" s="32"/>
      <c r="N1908" s="31"/>
      <c r="O1908" s="36"/>
      <c r="P1908" s="34"/>
      <c r="Q1908" s="34"/>
      <c r="R1908" s="34"/>
      <c r="S1908" s="29"/>
      <c r="T1908" s="35"/>
      <c r="U1908" s="35"/>
      <c r="V1908" s="35"/>
      <c r="W1908" s="35"/>
      <c r="Y1908" s="31" t="str" cm="1">
        <f t="array" ref="Y1908">IF(LEFT(_xll.BDP($C1908, VOLUME_AVG_10D), 4) = "#N/A", "",  _xll.BDP($C1908, VOLUME_AVG_10D))</f>
        <v/>
      </c>
      <c r="Z1908" s="31" t="str" cm="1">
        <f t="array" ref="Z1908">IF(LEFT(_xll.BDP($C1908, VOLUME_AVG_30D), 4) = "#N/A", "",  _xll.BDP($C1908, VOLUME_AVG_30D))</f>
        <v/>
      </c>
      <c r="AA1908" s="31" t="str" cm="1">
        <f t="array" ref="AA1908">IF(LEFT(_xll.BDP($C1908, VOLUME_AVG_3M), 4) = "#N/A", "",  _xll.BDP($C1908, VOLUME_AVG_3M))</f>
        <v/>
      </c>
      <c r="AB1908" s="31" t="str" cm="1">
        <f t="array" ref="AB1908">IF(LEFT(_xll.BDP($C1908, VOLUME_AVG_6M), 4) = "#N/A", "",  _xll.BDP($C1908, VOLUME_AVG_6M))</f>
        <v/>
      </c>
      <c r="AC1908" s="31" t="str" cm="1">
        <f t="array" ref="AC1908">IF(LEFT(_xll.BDP($C1908, VOLUME_AVG_12M), 4) = "#N/A", "",  _xll.BDP($C1908, VOLUME_AVG_12M))</f>
        <v/>
      </c>
      <c r="AD1908" s="41" t="str" cm="1">
        <f t="array" ref="AD1908">IF(LEFT(_xll.BDP($C1908, LAST_PRICE), 4) = "#N/A", "",  _xll.BDP($C1908, LAST_PRICE))</f>
        <v/>
      </c>
    </row>
    <row r="1909" spans="1:30" x14ac:dyDescent="0.35">
      <c r="A1909" s="1" t="str">
        <f t="shared" si="29"/>
        <v/>
      </c>
      <c r="B1909" s="30"/>
      <c r="C1909" s="29"/>
      <c r="D1909" s="29"/>
      <c r="E1909" s="29"/>
      <c r="F1909" s="29"/>
      <c r="G1909" s="30"/>
      <c r="H1909" s="31"/>
      <c r="I1909" s="31"/>
      <c r="J1909" s="32"/>
      <c r="K1909" s="33"/>
      <c r="L1909" s="31"/>
      <c r="M1909" s="32"/>
      <c r="N1909" s="31"/>
      <c r="O1909" s="36"/>
      <c r="P1909" s="34"/>
      <c r="Q1909" s="34"/>
      <c r="R1909" s="34"/>
      <c r="S1909" s="29"/>
      <c r="T1909" s="35"/>
      <c r="U1909" s="35"/>
      <c r="V1909" s="35"/>
      <c r="W1909" s="35"/>
      <c r="Y1909" s="31" t="str" cm="1">
        <f t="array" ref="Y1909">IF(LEFT(_xll.BDP($C1909, VOLUME_AVG_10D), 4) = "#N/A", "",  _xll.BDP($C1909, VOLUME_AVG_10D))</f>
        <v/>
      </c>
      <c r="Z1909" s="31" t="str" cm="1">
        <f t="array" ref="Z1909">IF(LEFT(_xll.BDP($C1909, VOLUME_AVG_30D), 4) = "#N/A", "",  _xll.BDP($C1909, VOLUME_AVG_30D))</f>
        <v/>
      </c>
      <c r="AA1909" s="31" t="str" cm="1">
        <f t="array" ref="AA1909">IF(LEFT(_xll.BDP($C1909, VOLUME_AVG_3M), 4) = "#N/A", "",  _xll.BDP($C1909, VOLUME_AVG_3M))</f>
        <v/>
      </c>
      <c r="AB1909" s="31" t="str" cm="1">
        <f t="array" ref="AB1909">IF(LEFT(_xll.BDP($C1909, VOLUME_AVG_6M), 4) = "#N/A", "",  _xll.BDP($C1909, VOLUME_AVG_6M))</f>
        <v/>
      </c>
      <c r="AC1909" s="31" t="str" cm="1">
        <f t="array" ref="AC1909">IF(LEFT(_xll.BDP($C1909, VOLUME_AVG_12M), 4) = "#N/A", "",  _xll.BDP($C1909, VOLUME_AVG_12M))</f>
        <v/>
      </c>
      <c r="AD1909" s="41" t="str" cm="1">
        <f t="array" ref="AD1909">IF(LEFT(_xll.BDP($C1909, LAST_PRICE), 4) = "#N/A", "",  _xll.BDP($C1909, LAST_PRICE))</f>
        <v/>
      </c>
    </row>
    <row r="1910" spans="1:30" x14ac:dyDescent="0.35">
      <c r="A1910" s="1" t="str">
        <f t="shared" si="29"/>
        <v/>
      </c>
      <c r="B1910" s="30"/>
      <c r="C1910" s="29"/>
      <c r="D1910" s="29"/>
      <c r="E1910" s="29"/>
      <c r="F1910" s="29"/>
      <c r="G1910" s="30"/>
      <c r="H1910" s="31"/>
      <c r="I1910" s="31"/>
      <c r="J1910" s="32"/>
      <c r="K1910" s="33"/>
      <c r="L1910" s="31"/>
      <c r="M1910" s="32"/>
      <c r="N1910" s="31"/>
      <c r="O1910" s="36"/>
      <c r="P1910" s="34"/>
      <c r="Q1910" s="34"/>
      <c r="R1910" s="34"/>
      <c r="S1910" s="29"/>
      <c r="T1910" s="35"/>
      <c r="U1910" s="35"/>
      <c r="V1910" s="35"/>
      <c r="W1910" s="35"/>
      <c r="Y1910" s="31" t="str" cm="1">
        <f t="array" ref="Y1910">IF(LEFT(_xll.BDP($C1910, VOLUME_AVG_10D), 4) = "#N/A", "",  _xll.BDP($C1910, VOLUME_AVG_10D))</f>
        <v/>
      </c>
      <c r="Z1910" s="31" t="str" cm="1">
        <f t="array" ref="Z1910">IF(LEFT(_xll.BDP($C1910, VOLUME_AVG_30D), 4) = "#N/A", "",  _xll.BDP($C1910, VOLUME_AVG_30D))</f>
        <v/>
      </c>
      <c r="AA1910" s="31" t="str" cm="1">
        <f t="array" ref="AA1910">IF(LEFT(_xll.BDP($C1910, VOLUME_AVG_3M), 4) = "#N/A", "",  _xll.BDP($C1910, VOLUME_AVG_3M))</f>
        <v/>
      </c>
      <c r="AB1910" s="31" t="str" cm="1">
        <f t="array" ref="AB1910">IF(LEFT(_xll.BDP($C1910, VOLUME_AVG_6M), 4) = "#N/A", "",  _xll.BDP($C1910, VOLUME_AVG_6M))</f>
        <v/>
      </c>
      <c r="AC1910" s="31" t="str" cm="1">
        <f t="array" ref="AC1910">IF(LEFT(_xll.BDP($C1910, VOLUME_AVG_12M), 4) = "#N/A", "",  _xll.BDP($C1910, VOLUME_AVG_12M))</f>
        <v/>
      </c>
      <c r="AD1910" s="41" t="str" cm="1">
        <f t="array" ref="AD1910">IF(LEFT(_xll.BDP($C1910, LAST_PRICE), 4) = "#N/A", "",  _xll.BDP($C1910, LAST_PRICE))</f>
        <v/>
      </c>
    </row>
    <row r="1911" spans="1:30" x14ac:dyDescent="0.35">
      <c r="A1911" s="1" t="str">
        <f t="shared" si="29"/>
        <v/>
      </c>
      <c r="B1911" s="30"/>
      <c r="C1911" s="29"/>
      <c r="D1911" s="29"/>
      <c r="E1911" s="29"/>
      <c r="F1911" s="29"/>
      <c r="G1911" s="30"/>
      <c r="H1911" s="31"/>
      <c r="I1911" s="31"/>
      <c r="J1911" s="32"/>
      <c r="K1911" s="33"/>
      <c r="L1911" s="31"/>
      <c r="M1911" s="32"/>
      <c r="N1911" s="31"/>
      <c r="O1911" s="36"/>
      <c r="P1911" s="34"/>
      <c r="Q1911" s="34"/>
      <c r="R1911" s="34"/>
      <c r="S1911" s="29"/>
      <c r="T1911" s="35"/>
      <c r="U1911" s="35"/>
      <c r="V1911" s="35"/>
      <c r="W1911" s="35"/>
      <c r="Y1911" s="31" t="str" cm="1">
        <f t="array" ref="Y1911">IF(LEFT(_xll.BDP($C1911, VOLUME_AVG_10D), 4) = "#N/A", "",  _xll.BDP($C1911, VOLUME_AVG_10D))</f>
        <v/>
      </c>
      <c r="Z1911" s="31" t="str" cm="1">
        <f t="array" ref="Z1911">IF(LEFT(_xll.BDP($C1911, VOLUME_AVG_30D), 4) = "#N/A", "",  _xll.BDP($C1911, VOLUME_AVG_30D))</f>
        <v/>
      </c>
      <c r="AA1911" s="31" t="str" cm="1">
        <f t="array" ref="AA1911">IF(LEFT(_xll.BDP($C1911, VOLUME_AVG_3M), 4) = "#N/A", "",  _xll.BDP($C1911, VOLUME_AVG_3M))</f>
        <v/>
      </c>
      <c r="AB1911" s="31" t="str" cm="1">
        <f t="array" ref="AB1911">IF(LEFT(_xll.BDP($C1911, VOLUME_AVG_6M), 4) = "#N/A", "",  _xll.BDP($C1911, VOLUME_AVG_6M))</f>
        <v/>
      </c>
      <c r="AC1911" s="31" t="str" cm="1">
        <f t="array" ref="AC1911">IF(LEFT(_xll.BDP($C1911, VOLUME_AVG_12M), 4) = "#N/A", "",  _xll.BDP($C1911, VOLUME_AVG_12M))</f>
        <v/>
      </c>
      <c r="AD1911" s="41" t="str" cm="1">
        <f t="array" ref="AD1911">IF(LEFT(_xll.BDP($C1911, LAST_PRICE), 4) = "#N/A", "",  _xll.BDP($C1911, LAST_PRICE))</f>
        <v/>
      </c>
    </row>
    <row r="1912" spans="1:30" x14ac:dyDescent="0.35">
      <c r="A1912" s="1" t="str">
        <f t="shared" si="29"/>
        <v/>
      </c>
      <c r="B1912" s="30"/>
      <c r="C1912" s="29"/>
      <c r="D1912" s="29"/>
      <c r="E1912" s="29"/>
      <c r="F1912" s="29"/>
      <c r="G1912" s="30"/>
      <c r="H1912" s="31"/>
      <c r="I1912" s="31"/>
      <c r="J1912" s="32"/>
      <c r="K1912" s="33"/>
      <c r="L1912" s="31"/>
      <c r="M1912" s="32"/>
      <c r="N1912" s="31"/>
      <c r="O1912" s="36"/>
      <c r="P1912" s="34"/>
      <c r="Q1912" s="34"/>
      <c r="R1912" s="34"/>
      <c r="S1912" s="29"/>
      <c r="T1912" s="35"/>
      <c r="U1912" s="35"/>
      <c r="V1912" s="35"/>
      <c r="W1912" s="35"/>
      <c r="Y1912" s="31" t="str" cm="1">
        <f t="array" ref="Y1912">IF(LEFT(_xll.BDP($C1912, VOLUME_AVG_10D), 4) = "#N/A", "",  _xll.BDP($C1912, VOLUME_AVG_10D))</f>
        <v/>
      </c>
      <c r="Z1912" s="31" t="str" cm="1">
        <f t="array" ref="Z1912">IF(LEFT(_xll.BDP($C1912, VOLUME_AVG_30D), 4) = "#N/A", "",  _xll.BDP($C1912, VOLUME_AVG_30D))</f>
        <v/>
      </c>
      <c r="AA1912" s="31" t="str" cm="1">
        <f t="array" ref="AA1912">IF(LEFT(_xll.BDP($C1912, VOLUME_AVG_3M), 4) = "#N/A", "",  _xll.BDP($C1912, VOLUME_AVG_3M))</f>
        <v/>
      </c>
      <c r="AB1912" s="31" t="str" cm="1">
        <f t="array" ref="AB1912">IF(LEFT(_xll.BDP($C1912, VOLUME_AVG_6M), 4) = "#N/A", "",  _xll.BDP($C1912, VOLUME_AVG_6M))</f>
        <v/>
      </c>
      <c r="AC1912" s="31" t="str" cm="1">
        <f t="array" ref="AC1912">IF(LEFT(_xll.BDP($C1912, VOLUME_AVG_12M), 4) = "#N/A", "",  _xll.BDP($C1912, VOLUME_AVG_12M))</f>
        <v/>
      </c>
      <c r="AD1912" s="41" t="str" cm="1">
        <f t="array" ref="AD1912">IF(LEFT(_xll.BDP($C1912, LAST_PRICE), 4) = "#N/A", "",  _xll.BDP($C1912, LAST_PRICE))</f>
        <v/>
      </c>
    </row>
    <row r="1913" spans="1:30" x14ac:dyDescent="0.35">
      <c r="A1913" s="1" t="str">
        <f t="shared" si="29"/>
        <v/>
      </c>
      <c r="B1913" s="30"/>
      <c r="C1913" s="29"/>
      <c r="D1913" s="29"/>
      <c r="E1913" s="29"/>
      <c r="F1913" s="29"/>
      <c r="G1913" s="30"/>
      <c r="H1913" s="31"/>
      <c r="I1913" s="31"/>
      <c r="J1913" s="32"/>
      <c r="K1913" s="33"/>
      <c r="L1913" s="31"/>
      <c r="M1913" s="32"/>
      <c r="N1913" s="31"/>
      <c r="O1913" s="36"/>
      <c r="P1913" s="34"/>
      <c r="Q1913" s="34"/>
      <c r="R1913" s="34"/>
      <c r="S1913" s="29"/>
      <c r="T1913" s="35"/>
      <c r="U1913" s="35"/>
      <c r="V1913" s="35"/>
      <c r="W1913" s="35"/>
      <c r="Y1913" s="31" t="str" cm="1">
        <f t="array" ref="Y1913">IF(LEFT(_xll.BDP($C1913, VOLUME_AVG_10D), 4) = "#N/A", "",  _xll.BDP($C1913, VOLUME_AVG_10D))</f>
        <v/>
      </c>
      <c r="Z1913" s="31" t="str" cm="1">
        <f t="array" ref="Z1913">IF(LEFT(_xll.BDP($C1913, VOLUME_AVG_30D), 4) = "#N/A", "",  _xll.BDP($C1913, VOLUME_AVG_30D))</f>
        <v/>
      </c>
      <c r="AA1913" s="31" t="str" cm="1">
        <f t="array" ref="AA1913">IF(LEFT(_xll.BDP($C1913, VOLUME_AVG_3M), 4) = "#N/A", "",  _xll.BDP($C1913, VOLUME_AVG_3M))</f>
        <v/>
      </c>
      <c r="AB1913" s="31" t="str" cm="1">
        <f t="array" ref="AB1913">IF(LEFT(_xll.BDP($C1913, VOLUME_AVG_6M), 4) = "#N/A", "",  _xll.BDP($C1913, VOLUME_AVG_6M))</f>
        <v/>
      </c>
      <c r="AC1913" s="31" t="str" cm="1">
        <f t="array" ref="AC1913">IF(LEFT(_xll.BDP($C1913, VOLUME_AVG_12M), 4) = "#N/A", "",  _xll.BDP($C1913, VOLUME_AVG_12M))</f>
        <v/>
      </c>
      <c r="AD1913" s="41" t="str" cm="1">
        <f t="array" ref="AD1913">IF(LEFT(_xll.BDP($C1913, LAST_PRICE), 4) = "#N/A", "",  _xll.BDP($C1913, LAST_PRICE))</f>
        <v/>
      </c>
    </row>
    <row r="1914" spans="1:30" x14ac:dyDescent="0.35">
      <c r="A1914" s="1" t="str">
        <f t="shared" si="29"/>
        <v/>
      </c>
      <c r="B1914" s="30"/>
      <c r="C1914" s="29"/>
      <c r="D1914" s="29"/>
      <c r="E1914" s="29"/>
      <c r="F1914" s="29"/>
      <c r="G1914" s="30"/>
      <c r="H1914" s="31"/>
      <c r="I1914" s="31"/>
      <c r="J1914" s="32"/>
      <c r="K1914" s="33"/>
      <c r="L1914" s="31"/>
      <c r="M1914" s="32"/>
      <c r="N1914" s="31"/>
      <c r="O1914" s="36"/>
      <c r="P1914" s="34"/>
      <c r="Q1914" s="34"/>
      <c r="R1914" s="34"/>
      <c r="S1914" s="29"/>
      <c r="T1914" s="35"/>
      <c r="U1914" s="35"/>
      <c r="V1914" s="35"/>
      <c r="W1914" s="35"/>
      <c r="Y1914" s="31" t="str" cm="1">
        <f t="array" ref="Y1914">IF(LEFT(_xll.BDP($C1914, VOLUME_AVG_10D), 4) = "#N/A", "",  _xll.BDP($C1914, VOLUME_AVG_10D))</f>
        <v/>
      </c>
      <c r="Z1914" s="31" t="str" cm="1">
        <f t="array" ref="Z1914">IF(LEFT(_xll.BDP($C1914, VOLUME_AVG_30D), 4) = "#N/A", "",  _xll.BDP($C1914, VOLUME_AVG_30D))</f>
        <v/>
      </c>
      <c r="AA1914" s="31" t="str" cm="1">
        <f t="array" ref="AA1914">IF(LEFT(_xll.BDP($C1914, VOLUME_AVG_3M), 4) = "#N/A", "",  _xll.BDP($C1914, VOLUME_AVG_3M))</f>
        <v/>
      </c>
      <c r="AB1914" s="31" t="str" cm="1">
        <f t="array" ref="AB1914">IF(LEFT(_xll.BDP($C1914, VOLUME_AVG_6M), 4) = "#N/A", "",  _xll.BDP($C1914, VOLUME_AVG_6M))</f>
        <v/>
      </c>
      <c r="AC1914" s="31" t="str" cm="1">
        <f t="array" ref="AC1914">IF(LEFT(_xll.BDP($C1914, VOLUME_AVG_12M), 4) = "#N/A", "",  _xll.BDP($C1914, VOLUME_AVG_12M))</f>
        <v/>
      </c>
      <c r="AD1914" s="41" t="str" cm="1">
        <f t="array" ref="AD1914">IF(LEFT(_xll.BDP($C1914, LAST_PRICE), 4) = "#N/A", "",  _xll.BDP($C1914, LAST_PRICE))</f>
        <v/>
      </c>
    </row>
    <row r="1915" spans="1:30" x14ac:dyDescent="0.35">
      <c r="A1915" s="1" t="str">
        <f t="shared" si="29"/>
        <v/>
      </c>
      <c r="B1915" s="30"/>
      <c r="C1915" s="29"/>
      <c r="D1915" s="29"/>
      <c r="E1915" s="29"/>
      <c r="F1915" s="29"/>
      <c r="G1915" s="30"/>
      <c r="H1915" s="31"/>
      <c r="I1915" s="31"/>
      <c r="J1915" s="32"/>
      <c r="K1915" s="33"/>
      <c r="L1915" s="31"/>
      <c r="M1915" s="32"/>
      <c r="N1915" s="31"/>
      <c r="O1915" s="36"/>
      <c r="P1915" s="34"/>
      <c r="Q1915" s="34"/>
      <c r="R1915" s="34"/>
      <c r="S1915" s="29"/>
      <c r="T1915" s="35"/>
      <c r="U1915" s="35"/>
      <c r="V1915" s="35"/>
      <c r="W1915" s="35"/>
      <c r="Y1915" s="31" t="str" cm="1">
        <f t="array" ref="Y1915">IF(LEFT(_xll.BDP($C1915, VOLUME_AVG_10D), 4) = "#N/A", "",  _xll.BDP($C1915, VOLUME_AVG_10D))</f>
        <v/>
      </c>
      <c r="Z1915" s="31" t="str" cm="1">
        <f t="array" ref="Z1915">IF(LEFT(_xll.BDP($C1915, VOLUME_AVG_30D), 4) = "#N/A", "",  _xll.BDP($C1915, VOLUME_AVG_30D))</f>
        <v/>
      </c>
      <c r="AA1915" s="31" t="str" cm="1">
        <f t="array" ref="AA1915">IF(LEFT(_xll.BDP($C1915, VOLUME_AVG_3M), 4) = "#N/A", "",  _xll.BDP($C1915, VOLUME_AVG_3M))</f>
        <v/>
      </c>
      <c r="AB1915" s="31" t="str" cm="1">
        <f t="array" ref="AB1915">IF(LEFT(_xll.BDP($C1915, VOLUME_AVG_6M), 4) = "#N/A", "",  _xll.BDP($C1915, VOLUME_AVG_6M))</f>
        <v/>
      </c>
      <c r="AC1915" s="31" t="str" cm="1">
        <f t="array" ref="AC1915">IF(LEFT(_xll.BDP($C1915, VOLUME_AVG_12M), 4) = "#N/A", "",  _xll.BDP($C1915, VOLUME_AVG_12M))</f>
        <v/>
      </c>
      <c r="AD1915" s="41" t="str" cm="1">
        <f t="array" ref="AD1915">IF(LEFT(_xll.BDP($C1915, LAST_PRICE), 4) = "#N/A", "",  _xll.BDP($C1915, LAST_PRICE))</f>
        <v/>
      </c>
    </row>
    <row r="1916" spans="1:30" x14ac:dyDescent="0.35">
      <c r="A1916" s="1" t="str">
        <f t="shared" si="29"/>
        <v/>
      </c>
      <c r="B1916" s="30"/>
      <c r="C1916" s="29"/>
      <c r="D1916" s="29"/>
      <c r="E1916" s="29"/>
      <c r="F1916" s="29"/>
      <c r="G1916" s="30"/>
      <c r="H1916" s="31"/>
      <c r="I1916" s="31"/>
      <c r="J1916" s="32"/>
      <c r="K1916" s="33"/>
      <c r="L1916" s="31"/>
      <c r="M1916" s="32"/>
      <c r="N1916" s="31"/>
      <c r="O1916" s="36"/>
      <c r="P1916" s="34"/>
      <c r="Q1916" s="34"/>
      <c r="R1916" s="34"/>
      <c r="S1916" s="29"/>
      <c r="T1916" s="35"/>
      <c r="U1916" s="35"/>
      <c r="V1916" s="35"/>
      <c r="W1916" s="35"/>
      <c r="Y1916" s="31" t="str" cm="1">
        <f t="array" ref="Y1916">IF(LEFT(_xll.BDP($C1916, VOLUME_AVG_10D), 4) = "#N/A", "",  _xll.BDP($C1916, VOLUME_AVG_10D))</f>
        <v/>
      </c>
      <c r="Z1916" s="31" t="str" cm="1">
        <f t="array" ref="Z1916">IF(LEFT(_xll.BDP($C1916, VOLUME_AVG_30D), 4) = "#N/A", "",  _xll.BDP($C1916, VOLUME_AVG_30D))</f>
        <v/>
      </c>
      <c r="AA1916" s="31" t="str" cm="1">
        <f t="array" ref="AA1916">IF(LEFT(_xll.BDP($C1916, VOLUME_AVG_3M), 4) = "#N/A", "",  _xll.BDP($C1916, VOLUME_AVG_3M))</f>
        <v/>
      </c>
      <c r="AB1916" s="31" t="str" cm="1">
        <f t="array" ref="AB1916">IF(LEFT(_xll.BDP($C1916, VOLUME_AVG_6M), 4) = "#N/A", "",  _xll.BDP($C1916, VOLUME_AVG_6M))</f>
        <v/>
      </c>
      <c r="AC1916" s="31" t="str" cm="1">
        <f t="array" ref="AC1916">IF(LEFT(_xll.BDP($C1916, VOLUME_AVG_12M), 4) = "#N/A", "",  _xll.BDP($C1916, VOLUME_AVG_12M))</f>
        <v/>
      </c>
      <c r="AD1916" s="41" t="str" cm="1">
        <f t="array" ref="AD1916">IF(LEFT(_xll.BDP($C1916, LAST_PRICE), 4) = "#N/A", "",  _xll.BDP($C1916, LAST_PRICE))</f>
        <v/>
      </c>
    </row>
    <row r="1917" spans="1:30" x14ac:dyDescent="0.35">
      <c r="A1917" s="1" t="str">
        <f t="shared" si="29"/>
        <v/>
      </c>
      <c r="B1917" s="30"/>
      <c r="C1917" s="29"/>
      <c r="D1917" s="29"/>
      <c r="E1917" s="29"/>
      <c r="F1917" s="29"/>
      <c r="G1917" s="30"/>
      <c r="H1917" s="31"/>
      <c r="I1917" s="31"/>
      <c r="J1917" s="32"/>
      <c r="K1917" s="33"/>
      <c r="L1917" s="31"/>
      <c r="M1917" s="32"/>
      <c r="N1917" s="31"/>
      <c r="O1917" s="36"/>
      <c r="P1917" s="34"/>
      <c r="Q1917" s="34"/>
      <c r="R1917" s="34"/>
      <c r="S1917" s="29"/>
      <c r="T1917" s="35"/>
      <c r="U1917" s="35"/>
      <c r="V1917" s="35"/>
      <c r="W1917" s="35"/>
      <c r="Y1917" s="31" t="str" cm="1">
        <f t="array" ref="Y1917">IF(LEFT(_xll.BDP($C1917, VOLUME_AVG_10D), 4) = "#N/A", "",  _xll.BDP($C1917, VOLUME_AVG_10D))</f>
        <v/>
      </c>
      <c r="Z1917" s="31" t="str" cm="1">
        <f t="array" ref="Z1917">IF(LEFT(_xll.BDP($C1917, VOLUME_AVG_30D), 4) = "#N/A", "",  _xll.BDP($C1917, VOLUME_AVG_30D))</f>
        <v/>
      </c>
      <c r="AA1917" s="31" t="str" cm="1">
        <f t="array" ref="AA1917">IF(LEFT(_xll.BDP($C1917, VOLUME_AVG_3M), 4) = "#N/A", "",  _xll.BDP($C1917, VOLUME_AVG_3M))</f>
        <v/>
      </c>
      <c r="AB1917" s="31" t="str" cm="1">
        <f t="array" ref="AB1917">IF(LEFT(_xll.BDP($C1917, VOLUME_AVG_6M), 4) = "#N/A", "",  _xll.BDP($C1917, VOLUME_AVG_6M))</f>
        <v/>
      </c>
      <c r="AC1917" s="31" t="str" cm="1">
        <f t="array" ref="AC1917">IF(LEFT(_xll.BDP($C1917, VOLUME_AVG_12M), 4) = "#N/A", "",  _xll.BDP($C1917, VOLUME_AVG_12M))</f>
        <v/>
      </c>
      <c r="AD1917" s="41" t="str" cm="1">
        <f t="array" ref="AD1917">IF(LEFT(_xll.BDP($C1917, LAST_PRICE), 4) = "#N/A", "",  _xll.BDP($C1917, LAST_PRICE))</f>
        <v/>
      </c>
    </row>
    <row r="1918" spans="1:30" x14ac:dyDescent="0.35">
      <c r="A1918" s="1" t="str">
        <f t="shared" si="29"/>
        <v/>
      </c>
      <c r="B1918" s="30"/>
      <c r="C1918" s="29"/>
      <c r="D1918" s="29"/>
      <c r="E1918" s="29"/>
      <c r="F1918" s="29"/>
      <c r="G1918" s="30"/>
      <c r="H1918" s="31"/>
      <c r="I1918" s="31"/>
      <c r="J1918" s="32"/>
      <c r="K1918" s="33"/>
      <c r="L1918" s="31"/>
      <c r="M1918" s="32"/>
      <c r="N1918" s="31"/>
      <c r="O1918" s="36"/>
      <c r="P1918" s="34"/>
      <c r="Q1918" s="34"/>
      <c r="R1918" s="34"/>
      <c r="S1918" s="29"/>
      <c r="T1918" s="35"/>
      <c r="U1918" s="35"/>
      <c r="V1918" s="35"/>
      <c r="W1918" s="35"/>
      <c r="Y1918" s="31" t="str" cm="1">
        <f t="array" ref="Y1918">IF(LEFT(_xll.BDP($C1918, VOLUME_AVG_10D), 4) = "#N/A", "",  _xll.BDP($C1918, VOLUME_AVG_10D))</f>
        <v/>
      </c>
      <c r="Z1918" s="31" t="str" cm="1">
        <f t="array" ref="Z1918">IF(LEFT(_xll.BDP($C1918, VOLUME_AVG_30D), 4) = "#N/A", "",  _xll.BDP($C1918, VOLUME_AVG_30D))</f>
        <v/>
      </c>
      <c r="AA1918" s="31" t="str" cm="1">
        <f t="array" ref="AA1918">IF(LEFT(_xll.BDP($C1918, VOLUME_AVG_3M), 4) = "#N/A", "",  _xll.BDP($C1918, VOLUME_AVG_3M))</f>
        <v/>
      </c>
      <c r="AB1918" s="31" t="str" cm="1">
        <f t="array" ref="AB1918">IF(LEFT(_xll.BDP($C1918, VOLUME_AVG_6M), 4) = "#N/A", "",  _xll.BDP($C1918, VOLUME_AVG_6M))</f>
        <v/>
      </c>
      <c r="AC1918" s="31" t="str" cm="1">
        <f t="array" ref="AC1918">IF(LEFT(_xll.BDP($C1918, VOLUME_AVG_12M), 4) = "#N/A", "",  _xll.BDP($C1918, VOLUME_AVG_12M))</f>
        <v/>
      </c>
      <c r="AD1918" s="41" t="str" cm="1">
        <f t="array" ref="AD1918">IF(LEFT(_xll.BDP($C1918, LAST_PRICE), 4) = "#N/A", "",  _xll.BDP($C1918, LAST_PRICE))</f>
        <v/>
      </c>
    </row>
    <row r="1919" spans="1:30" x14ac:dyDescent="0.35">
      <c r="A1919" s="1" t="str">
        <f t="shared" si="29"/>
        <v/>
      </c>
      <c r="B1919" s="30"/>
      <c r="C1919" s="29"/>
      <c r="D1919" s="29"/>
      <c r="E1919" s="29"/>
      <c r="F1919" s="29"/>
      <c r="G1919" s="30"/>
      <c r="H1919" s="31"/>
      <c r="I1919" s="31"/>
      <c r="J1919" s="32"/>
      <c r="K1919" s="33"/>
      <c r="L1919" s="31"/>
      <c r="M1919" s="32"/>
      <c r="N1919" s="31"/>
      <c r="O1919" s="36"/>
      <c r="P1919" s="34"/>
      <c r="Q1919" s="34"/>
      <c r="R1919" s="34"/>
      <c r="S1919" s="29"/>
      <c r="T1919" s="35"/>
      <c r="U1919" s="35"/>
      <c r="V1919" s="35"/>
      <c r="W1919" s="35"/>
      <c r="Y1919" s="31" t="str" cm="1">
        <f t="array" ref="Y1919">IF(LEFT(_xll.BDP($C1919, VOLUME_AVG_10D), 4) = "#N/A", "",  _xll.BDP($C1919, VOLUME_AVG_10D))</f>
        <v/>
      </c>
      <c r="Z1919" s="31" t="str" cm="1">
        <f t="array" ref="Z1919">IF(LEFT(_xll.BDP($C1919, VOLUME_AVG_30D), 4) = "#N/A", "",  _xll.BDP($C1919, VOLUME_AVG_30D))</f>
        <v/>
      </c>
      <c r="AA1919" s="31" t="str" cm="1">
        <f t="array" ref="AA1919">IF(LEFT(_xll.BDP($C1919, VOLUME_AVG_3M), 4) = "#N/A", "",  _xll.BDP($C1919, VOLUME_AVG_3M))</f>
        <v/>
      </c>
      <c r="AB1919" s="31" t="str" cm="1">
        <f t="array" ref="AB1919">IF(LEFT(_xll.BDP($C1919, VOLUME_AVG_6M), 4) = "#N/A", "",  _xll.BDP($C1919, VOLUME_AVG_6M))</f>
        <v/>
      </c>
      <c r="AC1919" s="31" t="str" cm="1">
        <f t="array" ref="AC1919">IF(LEFT(_xll.BDP($C1919, VOLUME_AVG_12M), 4) = "#N/A", "",  _xll.BDP($C1919, VOLUME_AVG_12M))</f>
        <v/>
      </c>
      <c r="AD1919" s="41" t="str" cm="1">
        <f t="array" ref="AD1919">IF(LEFT(_xll.BDP($C1919, LAST_PRICE), 4) = "#N/A", "",  _xll.BDP($C1919, LAST_PRICE))</f>
        <v/>
      </c>
    </row>
    <row r="1920" spans="1:30" x14ac:dyDescent="0.35">
      <c r="A1920" s="1" t="str">
        <f t="shared" si="29"/>
        <v/>
      </c>
      <c r="B1920" s="30"/>
      <c r="C1920" s="29"/>
      <c r="D1920" s="29"/>
      <c r="E1920" s="29"/>
      <c r="F1920" s="29"/>
      <c r="G1920" s="30"/>
      <c r="H1920" s="31"/>
      <c r="I1920" s="31"/>
      <c r="J1920" s="32"/>
      <c r="K1920" s="33"/>
      <c r="L1920" s="31"/>
      <c r="M1920" s="32"/>
      <c r="N1920" s="31"/>
      <c r="O1920" s="36"/>
      <c r="P1920" s="34"/>
      <c r="Q1920" s="34"/>
      <c r="R1920" s="34"/>
      <c r="S1920" s="29"/>
      <c r="T1920" s="35"/>
      <c r="U1920" s="35"/>
      <c r="V1920" s="35"/>
      <c r="W1920" s="35"/>
      <c r="Y1920" s="31" t="str" cm="1">
        <f t="array" ref="Y1920">IF(LEFT(_xll.BDP($C1920, VOLUME_AVG_10D), 4) = "#N/A", "",  _xll.BDP($C1920, VOLUME_AVG_10D))</f>
        <v/>
      </c>
      <c r="Z1920" s="31" t="str" cm="1">
        <f t="array" ref="Z1920">IF(LEFT(_xll.BDP($C1920, VOLUME_AVG_30D), 4) = "#N/A", "",  _xll.BDP($C1920, VOLUME_AVG_30D))</f>
        <v/>
      </c>
      <c r="AA1920" s="31" t="str" cm="1">
        <f t="array" ref="AA1920">IF(LEFT(_xll.BDP($C1920, VOLUME_AVG_3M), 4) = "#N/A", "",  _xll.BDP($C1920, VOLUME_AVG_3M))</f>
        <v/>
      </c>
      <c r="AB1920" s="31" t="str" cm="1">
        <f t="array" ref="AB1920">IF(LEFT(_xll.BDP($C1920, VOLUME_AVG_6M), 4) = "#N/A", "",  _xll.BDP($C1920, VOLUME_AVG_6M))</f>
        <v/>
      </c>
      <c r="AC1920" s="31" t="str" cm="1">
        <f t="array" ref="AC1920">IF(LEFT(_xll.BDP($C1920, VOLUME_AVG_12M), 4) = "#N/A", "",  _xll.BDP($C1920, VOLUME_AVG_12M))</f>
        <v/>
      </c>
      <c r="AD1920" s="41" t="str" cm="1">
        <f t="array" ref="AD1920">IF(LEFT(_xll.BDP($C1920, LAST_PRICE), 4) = "#N/A", "",  _xll.BDP($C1920, LAST_PRICE))</f>
        <v/>
      </c>
    </row>
    <row r="1921" spans="1:30" x14ac:dyDescent="0.35">
      <c r="A1921" s="1" t="str">
        <f t="shared" si="29"/>
        <v/>
      </c>
      <c r="B1921" s="30"/>
      <c r="C1921" s="29"/>
      <c r="D1921" s="29"/>
      <c r="E1921" s="29"/>
      <c r="F1921" s="29"/>
      <c r="G1921" s="30"/>
      <c r="H1921" s="31"/>
      <c r="I1921" s="31"/>
      <c r="J1921" s="32"/>
      <c r="K1921" s="33"/>
      <c r="L1921" s="31"/>
      <c r="M1921" s="32"/>
      <c r="N1921" s="31"/>
      <c r="O1921" s="36"/>
      <c r="P1921" s="34"/>
      <c r="Q1921" s="34"/>
      <c r="R1921" s="34"/>
      <c r="S1921" s="29"/>
      <c r="T1921" s="35"/>
      <c r="U1921" s="35"/>
      <c r="V1921" s="35"/>
      <c r="W1921" s="35"/>
      <c r="Y1921" s="31" t="str" cm="1">
        <f t="array" ref="Y1921">IF(LEFT(_xll.BDP($C1921, VOLUME_AVG_10D), 4) = "#N/A", "",  _xll.BDP($C1921, VOLUME_AVG_10D))</f>
        <v/>
      </c>
      <c r="Z1921" s="31" t="str" cm="1">
        <f t="array" ref="Z1921">IF(LEFT(_xll.BDP($C1921, VOLUME_AVG_30D), 4) = "#N/A", "",  _xll.BDP($C1921, VOLUME_AVG_30D))</f>
        <v/>
      </c>
      <c r="AA1921" s="31" t="str" cm="1">
        <f t="array" ref="AA1921">IF(LEFT(_xll.BDP($C1921, VOLUME_AVG_3M), 4) = "#N/A", "",  _xll.BDP($C1921, VOLUME_AVG_3M))</f>
        <v/>
      </c>
      <c r="AB1921" s="31" t="str" cm="1">
        <f t="array" ref="AB1921">IF(LEFT(_xll.BDP($C1921, VOLUME_AVG_6M), 4) = "#N/A", "",  _xll.BDP($C1921, VOLUME_AVG_6M))</f>
        <v/>
      </c>
      <c r="AC1921" s="31" t="str" cm="1">
        <f t="array" ref="AC1921">IF(LEFT(_xll.BDP($C1921, VOLUME_AVG_12M), 4) = "#N/A", "",  _xll.BDP($C1921, VOLUME_AVG_12M))</f>
        <v/>
      </c>
      <c r="AD1921" s="41" t="str" cm="1">
        <f t="array" ref="AD1921">IF(LEFT(_xll.BDP($C1921, LAST_PRICE), 4) = "#N/A", "",  _xll.BDP($C1921, LAST_PRICE))</f>
        <v/>
      </c>
    </row>
    <row r="1922" spans="1:30" x14ac:dyDescent="0.35">
      <c r="A1922" s="1" t="str">
        <f t="shared" si="29"/>
        <v/>
      </c>
      <c r="B1922" s="30"/>
      <c r="C1922" s="29"/>
      <c r="D1922" s="29"/>
      <c r="E1922" s="29"/>
      <c r="F1922" s="29"/>
      <c r="G1922" s="30"/>
      <c r="H1922" s="31"/>
      <c r="I1922" s="31"/>
      <c r="J1922" s="32"/>
      <c r="K1922" s="33"/>
      <c r="L1922" s="31"/>
      <c r="M1922" s="32"/>
      <c r="N1922" s="31"/>
      <c r="O1922" s="36"/>
      <c r="P1922" s="34"/>
      <c r="Q1922" s="34"/>
      <c r="R1922" s="34"/>
      <c r="S1922" s="29"/>
      <c r="T1922" s="35"/>
      <c r="U1922" s="35"/>
      <c r="V1922" s="35"/>
      <c r="W1922" s="35"/>
      <c r="Y1922" s="31" t="str" cm="1">
        <f t="array" ref="Y1922">IF(LEFT(_xll.BDP($C1922, VOLUME_AVG_10D), 4) = "#N/A", "",  _xll.BDP($C1922, VOLUME_AVG_10D))</f>
        <v/>
      </c>
      <c r="Z1922" s="31" t="str" cm="1">
        <f t="array" ref="Z1922">IF(LEFT(_xll.BDP($C1922, VOLUME_AVG_30D), 4) = "#N/A", "",  _xll.BDP($C1922, VOLUME_AVG_30D))</f>
        <v/>
      </c>
      <c r="AA1922" s="31" t="str" cm="1">
        <f t="array" ref="AA1922">IF(LEFT(_xll.BDP($C1922, VOLUME_AVG_3M), 4) = "#N/A", "",  _xll.BDP($C1922, VOLUME_AVG_3M))</f>
        <v/>
      </c>
      <c r="AB1922" s="31" t="str" cm="1">
        <f t="array" ref="AB1922">IF(LEFT(_xll.BDP($C1922, VOLUME_AVG_6M), 4) = "#N/A", "",  _xll.BDP($C1922, VOLUME_AVG_6M))</f>
        <v/>
      </c>
      <c r="AC1922" s="31" t="str" cm="1">
        <f t="array" ref="AC1922">IF(LEFT(_xll.BDP($C1922, VOLUME_AVG_12M), 4) = "#N/A", "",  _xll.BDP($C1922, VOLUME_AVG_12M))</f>
        <v/>
      </c>
      <c r="AD1922" s="41" t="str" cm="1">
        <f t="array" ref="AD1922">IF(LEFT(_xll.BDP($C1922, LAST_PRICE), 4) = "#N/A", "",  _xll.BDP($C1922, LAST_PRICE))</f>
        <v/>
      </c>
    </row>
    <row r="1923" spans="1:30" x14ac:dyDescent="0.35">
      <c r="A1923" s="1" t="str">
        <f t="shared" si="29"/>
        <v/>
      </c>
      <c r="B1923" s="30"/>
      <c r="C1923" s="29"/>
      <c r="D1923" s="29"/>
      <c r="E1923" s="29"/>
      <c r="F1923" s="29"/>
      <c r="G1923" s="30"/>
      <c r="H1923" s="31"/>
      <c r="I1923" s="31"/>
      <c r="J1923" s="32"/>
      <c r="K1923" s="33"/>
      <c r="L1923" s="31"/>
      <c r="M1923" s="32"/>
      <c r="N1923" s="31"/>
      <c r="O1923" s="36"/>
      <c r="P1923" s="34"/>
      <c r="Q1923" s="34"/>
      <c r="R1923" s="34"/>
      <c r="S1923" s="29"/>
      <c r="T1923" s="35"/>
      <c r="U1923" s="35"/>
      <c r="V1923" s="35"/>
      <c r="W1923" s="35"/>
      <c r="Y1923" s="31" t="str" cm="1">
        <f t="array" ref="Y1923">IF(LEFT(_xll.BDP($C1923, VOLUME_AVG_10D), 4) = "#N/A", "",  _xll.BDP($C1923, VOLUME_AVG_10D))</f>
        <v/>
      </c>
      <c r="Z1923" s="31" t="str" cm="1">
        <f t="array" ref="Z1923">IF(LEFT(_xll.BDP($C1923, VOLUME_AVG_30D), 4) = "#N/A", "",  _xll.BDP($C1923, VOLUME_AVG_30D))</f>
        <v/>
      </c>
      <c r="AA1923" s="31" t="str" cm="1">
        <f t="array" ref="AA1923">IF(LEFT(_xll.BDP($C1923, VOLUME_AVG_3M), 4) = "#N/A", "",  _xll.BDP($C1923, VOLUME_AVG_3M))</f>
        <v/>
      </c>
      <c r="AB1923" s="31" t="str" cm="1">
        <f t="array" ref="AB1923">IF(LEFT(_xll.BDP($C1923, VOLUME_AVG_6M), 4) = "#N/A", "",  _xll.BDP($C1923, VOLUME_AVG_6M))</f>
        <v/>
      </c>
      <c r="AC1923" s="31" t="str" cm="1">
        <f t="array" ref="AC1923">IF(LEFT(_xll.BDP($C1923, VOLUME_AVG_12M), 4) = "#N/A", "",  _xll.BDP($C1923, VOLUME_AVG_12M))</f>
        <v/>
      </c>
      <c r="AD1923" s="41" t="str" cm="1">
        <f t="array" ref="AD1923">IF(LEFT(_xll.BDP($C1923, LAST_PRICE), 4) = "#N/A", "",  _xll.BDP($C1923, LAST_PRICE))</f>
        <v/>
      </c>
    </row>
    <row r="1924" spans="1:30" x14ac:dyDescent="0.35">
      <c r="A1924" s="1" t="str">
        <f t="shared" si="29"/>
        <v/>
      </c>
      <c r="B1924" s="30"/>
      <c r="C1924" s="29"/>
      <c r="D1924" s="29"/>
      <c r="E1924" s="29"/>
      <c r="F1924" s="29"/>
      <c r="G1924" s="30"/>
      <c r="H1924" s="31"/>
      <c r="I1924" s="31"/>
      <c r="J1924" s="32"/>
      <c r="K1924" s="33"/>
      <c r="L1924" s="31"/>
      <c r="M1924" s="32"/>
      <c r="N1924" s="31"/>
      <c r="O1924" s="36"/>
      <c r="P1924" s="34"/>
      <c r="Q1924" s="34"/>
      <c r="R1924" s="34"/>
      <c r="S1924" s="29"/>
      <c r="T1924" s="35"/>
      <c r="U1924" s="35"/>
      <c r="V1924" s="35"/>
      <c r="W1924" s="35"/>
      <c r="Y1924" s="31" t="str" cm="1">
        <f t="array" ref="Y1924">IF(LEFT(_xll.BDP($C1924, VOLUME_AVG_10D), 4) = "#N/A", "",  _xll.BDP($C1924, VOLUME_AVG_10D))</f>
        <v/>
      </c>
      <c r="Z1924" s="31" t="str" cm="1">
        <f t="array" ref="Z1924">IF(LEFT(_xll.BDP($C1924, VOLUME_AVG_30D), 4) = "#N/A", "",  _xll.BDP($C1924, VOLUME_AVG_30D))</f>
        <v/>
      </c>
      <c r="AA1924" s="31" t="str" cm="1">
        <f t="array" ref="AA1924">IF(LEFT(_xll.BDP($C1924, VOLUME_AVG_3M), 4) = "#N/A", "",  _xll.BDP($C1924, VOLUME_AVG_3M))</f>
        <v/>
      </c>
      <c r="AB1924" s="31" t="str" cm="1">
        <f t="array" ref="AB1924">IF(LEFT(_xll.BDP($C1924, VOLUME_AVG_6M), 4) = "#N/A", "",  _xll.BDP($C1924, VOLUME_AVG_6M))</f>
        <v/>
      </c>
      <c r="AC1924" s="31" t="str" cm="1">
        <f t="array" ref="AC1924">IF(LEFT(_xll.BDP($C1924, VOLUME_AVG_12M), 4) = "#N/A", "",  _xll.BDP($C1924, VOLUME_AVG_12M))</f>
        <v/>
      </c>
      <c r="AD1924" s="41" t="str" cm="1">
        <f t="array" ref="AD1924">IF(LEFT(_xll.BDP($C1924, LAST_PRICE), 4) = "#N/A", "",  _xll.BDP($C1924, LAST_PRICE))</f>
        <v/>
      </c>
    </row>
    <row r="1925" spans="1:30" x14ac:dyDescent="0.35">
      <c r="A1925" s="1" t="str">
        <f t="shared" si="29"/>
        <v/>
      </c>
      <c r="B1925" s="30"/>
      <c r="C1925" s="29"/>
      <c r="D1925" s="29"/>
      <c r="E1925" s="29"/>
      <c r="F1925" s="29"/>
      <c r="G1925" s="30"/>
      <c r="H1925" s="31"/>
      <c r="I1925" s="31"/>
      <c r="J1925" s="32"/>
      <c r="K1925" s="33"/>
      <c r="L1925" s="31"/>
      <c r="M1925" s="32"/>
      <c r="N1925" s="31"/>
      <c r="O1925" s="36"/>
      <c r="P1925" s="34"/>
      <c r="Q1925" s="34"/>
      <c r="R1925" s="34"/>
      <c r="S1925" s="29"/>
      <c r="T1925" s="35"/>
      <c r="U1925" s="35"/>
      <c r="V1925" s="35"/>
      <c r="W1925" s="35"/>
      <c r="Y1925" s="31" t="str" cm="1">
        <f t="array" ref="Y1925">IF(LEFT(_xll.BDP($C1925, VOLUME_AVG_10D), 4) = "#N/A", "",  _xll.BDP($C1925, VOLUME_AVG_10D))</f>
        <v/>
      </c>
      <c r="Z1925" s="31" t="str" cm="1">
        <f t="array" ref="Z1925">IF(LEFT(_xll.BDP($C1925, VOLUME_AVG_30D), 4) = "#N/A", "",  _xll.BDP($C1925, VOLUME_AVG_30D))</f>
        <v/>
      </c>
      <c r="AA1925" s="31" t="str" cm="1">
        <f t="array" ref="AA1925">IF(LEFT(_xll.BDP($C1925, VOLUME_AVG_3M), 4) = "#N/A", "",  _xll.BDP($C1925, VOLUME_AVG_3M))</f>
        <v/>
      </c>
      <c r="AB1925" s="31" t="str" cm="1">
        <f t="array" ref="AB1925">IF(LEFT(_xll.BDP($C1925, VOLUME_AVG_6M), 4) = "#N/A", "",  _xll.BDP($C1925, VOLUME_AVG_6M))</f>
        <v/>
      </c>
      <c r="AC1925" s="31" t="str" cm="1">
        <f t="array" ref="AC1925">IF(LEFT(_xll.BDP($C1925, VOLUME_AVG_12M), 4) = "#N/A", "",  _xll.BDP($C1925, VOLUME_AVG_12M))</f>
        <v/>
      </c>
      <c r="AD1925" s="41" t="str" cm="1">
        <f t="array" ref="AD1925">IF(LEFT(_xll.BDP($C1925, LAST_PRICE), 4) = "#N/A", "",  _xll.BDP($C1925, LAST_PRICE))</f>
        <v/>
      </c>
    </row>
    <row r="1926" spans="1:30" x14ac:dyDescent="0.35">
      <c r="A1926" s="1" t="str">
        <f t="shared" ref="A1926:A1989" si="30">IF(B1926="","", A1925+1)</f>
        <v/>
      </c>
      <c r="B1926" s="30"/>
      <c r="C1926" s="29"/>
      <c r="D1926" s="29"/>
      <c r="E1926" s="29"/>
      <c r="F1926" s="29"/>
      <c r="G1926" s="30"/>
      <c r="H1926" s="31"/>
      <c r="I1926" s="31"/>
      <c r="J1926" s="32"/>
      <c r="K1926" s="33"/>
      <c r="L1926" s="31"/>
      <c r="M1926" s="32"/>
      <c r="N1926" s="31"/>
      <c r="O1926" s="36"/>
      <c r="P1926" s="34"/>
      <c r="Q1926" s="34"/>
      <c r="R1926" s="34"/>
      <c r="S1926" s="29"/>
      <c r="T1926" s="35"/>
      <c r="U1926" s="35"/>
      <c r="V1926" s="35"/>
      <c r="W1926" s="35"/>
      <c r="Y1926" s="31" t="str" cm="1">
        <f t="array" ref="Y1926">IF(LEFT(_xll.BDP($C1926, VOLUME_AVG_10D), 4) = "#N/A", "",  _xll.BDP($C1926, VOLUME_AVG_10D))</f>
        <v/>
      </c>
      <c r="Z1926" s="31" t="str" cm="1">
        <f t="array" ref="Z1926">IF(LEFT(_xll.BDP($C1926, VOLUME_AVG_30D), 4) = "#N/A", "",  _xll.BDP($C1926, VOLUME_AVG_30D))</f>
        <v/>
      </c>
      <c r="AA1926" s="31" t="str" cm="1">
        <f t="array" ref="AA1926">IF(LEFT(_xll.BDP($C1926, VOLUME_AVG_3M), 4) = "#N/A", "",  _xll.BDP($C1926, VOLUME_AVG_3M))</f>
        <v/>
      </c>
      <c r="AB1926" s="31" t="str" cm="1">
        <f t="array" ref="AB1926">IF(LEFT(_xll.BDP($C1926, VOLUME_AVG_6M), 4) = "#N/A", "",  _xll.BDP($C1926, VOLUME_AVG_6M))</f>
        <v/>
      </c>
      <c r="AC1926" s="31" t="str" cm="1">
        <f t="array" ref="AC1926">IF(LEFT(_xll.BDP($C1926, VOLUME_AVG_12M), 4) = "#N/A", "",  _xll.BDP($C1926, VOLUME_AVG_12M))</f>
        <v/>
      </c>
      <c r="AD1926" s="41" t="str" cm="1">
        <f t="array" ref="AD1926">IF(LEFT(_xll.BDP($C1926, LAST_PRICE), 4) = "#N/A", "",  _xll.BDP($C1926, LAST_PRICE))</f>
        <v/>
      </c>
    </row>
    <row r="1927" spans="1:30" x14ac:dyDescent="0.35">
      <c r="A1927" s="1" t="str">
        <f t="shared" si="30"/>
        <v/>
      </c>
      <c r="B1927" s="30"/>
      <c r="C1927" s="29"/>
      <c r="D1927" s="29"/>
      <c r="E1927" s="29"/>
      <c r="F1927" s="29"/>
      <c r="G1927" s="30"/>
      <c r="H1927" s="31"/>
      <c r="I1927" s="31"/>
      <c r="J1927" s="32"/>
      <c r="K1927" s="33"/>
      <c r="L1927" s="31"/>
      <c r="M1927" s="32"/>
      <c r="N1927" s="31"/>
      <c r="O1927" s="36"/>
      <c r="P1927" s="34"/>
      <c r="Q1927" s="34"/>
      <c r="R1927" s="34"/>
      <c r="S1927" s="29"/>
      <c r="T1927" s="35"/>
      <c r="U1927" s="35"/>
      <c r="V1927" s="35"/>
      <c r="W1927" s="35"/>
      <c r="Y1927" s="31" t="str" cm="1">
        <f t="array" ref="Y1927">IF(LEFT(_xll.BDP($C1927, VOLUME_AVG_10D), 4) = "#N/A", "",  _xll.BDP($C1927, VOLUME_AVG_10D))</f>
        <v/>
      </c>
      <c r="Z1927" s="31" t="str" cm="1">
        <f t="array" ref="Z1927">IF(LEFT(_xll.BDP($C1927, VOLUME_AVG_30D), 4) = "#N/A", "",  _xll.BDP($C1927, VOLUME_AVG_30D))</f>
        <v/>
      </c>
      <c r="AA1927" s="31" t="str" cm="1">
        <f t="array" ref="AA1927">IF(LEFT(_xll.BDP($C1927, VOLUME_AVG_3M), 4) = "#N/A", "",  _xll.BDP($C1927, VOLUME_AVG_3M))</f>
        <v/>
      </c>
      <c r="AB1927" s="31" t="str" cm="1">
        <f t="array" ref="AB1927">IF(LEFT(_xll.BDP($C1927, VOLUME_AVG_6M), 4) = "#N/A", "",  _xll.BDP($C1927, VOLUME_AVG_6M))</f>
        <v/>
      </c>
      <c r="AC1927" s="31" t="str" cm="1">
        <f t="array" ref="AC1927">IF(LEFT(_xll.BDP($C1927, VOLUME_AVG_12M), 4) = "#N/A", "",  _xll.BDP($C1927, VOLUME_AVG_12M))</f>
        <v/>
      </c>
      <c r="AD1927" s="41" t="str" cm="1">
        <f t="array" ref="AD1927">IF(LEFT(_xll.BDP($C1927, LAST_PRICE), 4) = "#N/A", "",  _xll.BDP($C1927, LAST_PRICE))</f>
        <v/>
      </c>
    </row>
    <row r="1928" spans="1:30" x14ac:dyDescent="0.35">
      <c r="A1928" s="1" t="str">
        <f t="shared" si="30"/>
        <v/>
      </c>
      <c r="B1928" s="30"/>
      <c r="C1928" s="29"/>
      <c r="D1928" s="29"/>
      <c r="E1928" s="29"/>
      <c r="F1928" s="29"/>
      <c r="G1928" s="30"/>
      <c r="H1928" s="31"/>
      <c r="I1928" s="31"/>
      <c r="J1928" s="32"/>
      <c r="K1928" s="33"/>
      <c r="L1928" s="31"/>
      <c r="M1928" s="32"/>
      <c r="N1928" s="31"/>
      <c r="O1928" s="36"/>
      <c r="P1928" s="34"/>
      <c r="Q1928" s="34"/>
      <c r="R1928" s="34"/>
      <c r="S1928" s="29"/>
      <c r="T1928" s="35"/>
      <c r="U1928" s="35"/>
      <c r="V1928" s="35"/>
      <c r="W1928" s="35"/>
      <c r="Y1928" s="31" t="str" cm="1">
        <f t="array" ref="Y1928">IF(LEFT(_xll.BDP($C1928, VOLUME_AVG_10D), 4) = "#N/A", "",  _xll.BDP($C1928, VOLUME_AVG_10D))</f>
        <v/>
      </c>
      <c r="Z1928" s="31" t="str" cm="1">
        <f t="array" ref="Z1928">IF(LEFT(_xll.BDP($C1928, VOLUME_AVG_30D), 4) = "#N/A", "",  _xll.BDP($C1928, VOLUME_AVG_30D))</f>
        <v/>
      </c>
      <c r="AA1928" s="31" t="str" cm="1">
        <f t="array" ref="AA1928">IF(LEFT(_xll.BDP($C1928, VOLUME_AVG_3M), 4) = "#N/A", "",  _xll.BDP($C1928, VOLUME_AVG_3M))</f>
        <v/>
      </c>
      <c r="AB1928" s="31" t="str" cm="1">
        <f t="array" ref="AB1928">IF(LEFT(_xll.BDP($C1928, VOLUME_AVG_6M), 4) = "#N/A", "",  _xll.BDP($C1928, VOLUME_AVG_6M))</f>
        <v/>
      </c>
      <c r="AC1928" s="31" t="str" cm="1">
        <f t="array" ref="AC1928">IF(LEFT(_xll.BDP($C1928, VOLUME_AVG_12M), 4) = "#N/A", "",  _xll.BDP($C1928, VOLUME_AVG_12M))</f>
        <v/>
      </c>
      <c r="AD1928" s="41" t="str" cm="1">
        <f t="array" ref="AD1928">IF(LEFT(_xll.BDP($C1928, LAST_PRICE), 4) = "#N/A", "",  _xll.BDP($C1928, LAST_PRICE))</f>
        <v/>
      </c>
    </row>
    <row r="1929" spans="1:30" x14ac:dyDescent="0.35">
      <c r="A1929" s="1" t="str">
        <f t="shared" si="30"/>
        <v/>
      </c>
      <c r="B1929" s="30"/>
      <c r="C1929" s="29"/>
      <c r="D1929" s="29"/>
      <c r="E1929" s="29"/>
      <c r="F1929" s="29"/>
      <c r="G1929" s="30"/>
      <c r="H1929" s="31"/>
      <c r="I1929" s="31"/>
      <c r="J1929" s="32"/>
      <c r="K1929" s="33"/>
      <c r="L1929" s="31"/>
      <c r="M1929" s="32"/>
      <c r="N1929" s="31"/>
      <c r="O1929" s="36"/>
      <c r="P1929" s="34"/>
      <c r="Q1929" s="34"/>
      <c r="R1929" s="34"/>
      <c r="S1929" s="29"/>
      <c r="T1929" s="35"/>
      <c r="U1929" s="35"/>
      <c r="V1929" s="35"/>
      <c r="W1929" s="35"/>
      <c r="Y1929" s="31" t="str" cm="1">
        <f t="array" ref="Y1929">IF(LEFT(_xll.BDP($C1929, VOLUME_AVG_10D), 4) = "#N/A", "",  _xll.BDP($C1929, VOLUME_AVG_10D))</f>
        <v/>
      </c>
      <c r="Z1929" s="31" t="str" cm="1">
        <f t="array" ref="Z1929">IF(LEFT(_xll.BDP($C1929, VOLUME_AVG_30D), 4) = "#N/A", "",  _xll.BDP($C1929, VOLUME_AVG_30D))</f>
        <v/>
      </c>
      <c r="AA1929" s="31" t="str" cm="1">
        <f t="array" ref="AA1929">IF(LEFT(_xll.BDP($C1929, VOLUME_AVG_3M), 4) = "#N/A", "",  _xll.BDP($C1929, VOLUME_AVG_3M))</f>
        <v/>
      </c>
      <c r="AB1929" s="31" t="str" cm="1">
        <f t="array" ref="AB1929">IF(LEFT(_xll.BDP($C1929, VOLUME_AVG_6M), 4) = "#N/A", "",  _xll.BDP($C1929, VOLUME_AVG_6M))</f>
        <v/>
      </c>
      <c r="AC1929" s="31" t="str" cm="1">
        <f t="array" ref="AC1929">IF(LEFT(_xll.BDP($C1929, VOLUME_AVG_12M), 4) = "#N/A", "",  _xll.BDP($C1929, VOLUME_AVG_12M))</f>
        <v/>
      </c>
      <c r="AD1929" s="41" t="str" cm="1">
        <f t="array" ref="AD1929">IF(LEFT(_xll.BDP($C1929, LAST_PRICE), 4) = "#N/A", "",  _xll.BDP($C1929, LAST_PRICE))</f>
        <v/>
      </c>
    </row>
    <row r="1930" spans="1:30" x14ac:dyDescent="0.35">
      <c r="A1930" s="1" t="str">
        <f t="shared" si="30"/>
        <v/>
      </c>
      <c r="B1930" s="30"/>
      <c r="C1930" s="29"/>
      <c r="D1930" s="29"/>
      <c r="E1930" s="29"/>
      <c r="F1930" s="29"/>
      <c r="G1930" s="30"/>
      <c r="H1930" s="31"/>
      <c r="I1930" s="31"/>
      <c r="J1930" s="32"/>
      <c r="K1930" s="33"/>
      <c r="L1930" s="31"/>
      <c r="M1930" s="32"/>
      <c r="N1930" s="31"/>
      <c r="O1930" s="36"/>
      <c r="P1930" s="34"/>
      <c r="Q1930" s="34"/>
      <c r="R1930" s="34"/>
      <c r="S1930" s="29"/>
      <c r="T1930" s="35"/>
      <c r="U1930" s="35"/>
      <c r="V1930" s="35"/>
      <c r="W1930" s="35"/>
      <c r="Y1930" s="31" t="str" cm="1">
        <f t="array" ref="Y1930">IF(LEFT(_xll.BDP($C1930, VOLUME_AVG_10D), 4) = "#N/A", "",  _xll.BDP($C1930, VOLUME_AVG_10D))</f>
        <v/>
      </c>
      <c r="Z1930" s="31" t="str" cm="1">
        <f t="array" ref="Z1930">IF(LEFT(_xll.BDP($C1930, VOLUME_AVG_30D), 4) = "#N/A", "",  _xll.BDP($C1930, VOLUME_AVG_30D))</f>
        <v/>
      </c>
      <c r="AA1930" s="31" t="str" cm="1">
        <f t="array" ref="AA1930">IF(LEFT(_xll.BDP($C1930, VOLUME_AVG_3M), 4) = "#N/A", "",  _xll.BDP($C1930, VOLUME_AVG_3M))</f>
        <v/>
      </c>
      <c r="AB1930" s="31" t="str" cm="1">
        <f t="array" ref="AB1930">IF(LEFT(_xll.BDP($C1930, VOLUME_AVG_6M), 4) = "#N/A", "",  _xll.BDP($C1930, VOLUME_AVG_6M))</f>
        <v/>
      </c>
      <c r="AC1930" s="31" t="str" cm="1">
        <f t="array" ref="AC1930">IF(LEFT(_xll.BDP($C1930, VOLUME_AVG_12M), 4) = "#N/A", "",  _xll.BDP($C1930, VOLUME_AVG_12M))</f>
        <v/>
      </c>
      <c r="AD1930" s="41" t="str" cm="1">
        <f t="array" ref="AD1930">IF(LEFT(_xll.BDP($C1930, LAST_PRICE), 4) = "#N/A", "",  _xll.BDP($C1930, LAST_PRICE))</f>
        <v/>
      </c>
    </row>
    <row r="1931" spans="1:30" x14ac:dyDescent="0.35">
      <c r="A1931" s="1" t="str">
        <f t="shared" si="30"/>
        <v/>
      </c>
      <c r="B1931" s="30"/>
      <c r="C1931" s="29"/>
      <c r="D1931" s="29"/>
      <c r="E1931" s="29"/>
      <c r="F1931" s="29"/>
      <c r="G1931" s="30"/>
      <c r="H1931" s="31"/>
      <c r="I1931" s="31"/>
      <c r="J1931" s="32"/>
      <c r="K1931" s="33"/>
      <c r="L1931" s="31"/>
      <c r="M1931" s="32"/>
      <c r="N1931" s="31"/>
      <c r="O1931" s="36"/>
      <c r="P1931" s="34"/>
      <c r="Q1931" s="34"/>
      <c r="R1931" s="34"/>
      <c r="S1931" s="29"/>
      <c r="T1931" s="35"/>
      <c r="U1931" s="35"/>
      <c r="V1931" s="35"/>
      <c r="W1931" s="35"/>
      <c r="Y1931" s="31" t="str" cm="1">
        <f t="array" ref="Y1931">IF(LEFT(_xll.BDP($C1931, VOLUME_AVG_10D), 4) = "#N/A", "",  _xll.BDP($C1931, VOLUME_AVG_10D))</f>
        <v/>
      </c>
      <c r="Z1931" s="31" t="str" cm="1">
        <f t="array" ref="Z1931">IF(LEFT(_xll.BDP($C1931, VOLUME_AVG_30D), 4) = "#N/A", "",  _xll.BDP($C1931, VOLUME_AVG_30D))</f>
        <v/>
      </c>
      <c r="AA1931" s="31" t="str" cm="1">
        <f t="array" ref="AA1931">IF(LEFT(_xll.BDP($C1931, VOLUME_AVG_3M), 4) = "#N/A", "",  _xll.BDP($C1931, VOLUME_AVG_3M))</f>
        <v/>
      </c>
      <c r="AB1931" s="31" t="str" cm="1">
        <f t="array" ref="AB1931">IF(LEFT(_xll.BDP($C1931, VOLUME_AVG_6M), 4) = "#N/A", "",  _xll.BDP($C1931, VOLUME_AVG_6M))</f>
        <v/>
      </c>
      <c r="AC1931" s="31" t="str" cm="1">
        <f t="array" ref="AC1931">IF(LEFT(_xll.BDP($C1931, VOLUME_AVG_12M), 4) = "#N/A", "",  _xll.BDP($C1931, VOLUME_AVG_12M))</f>
        <v/>
      </c>
      <c r="AD1931" s="41" t="str" cm="1">
        <f t="array" ref="AD1931">IF(LEFT(_xll.BDP($C1931, LAST_PRICE), 4) = "#N/A", "",  _xll.BDP($C1931, LAST_PRICE))</f>
        <v/>
      </c>
    </row>
    <row r="1932" spans="1:30" x14ac:dyDescent="0.35">
      <c r="A1932" s="1" t="str">
        <f t="shared" si="30"/>
        <v/>
      </c>
      <c r="B1932" s="30"/>
      <c r="C1932" s="29"/>
      <c r="D1932" s="29"/>
      <c r="E1932" s="29"/>
      <c r="F1932" s="29"/>
      <c r="G1932" s="30"/>
      <c r="H1932" s="31"/>
      <c r="I1932" s="31"/>
      <c r="J1932" s="32"/>
      <c r="K1932" s="33"/>
      <c r="L1932" s="31"/>
      <c r="M1932" s="32"/>
      <c r="N1932" s="31"/>
      <c r="O1932" s="36"/>
      <c r="P1932" s="34"/>
      <c r="Q1932" s="34"/>
      <c r="R1932" s="34"/>
      <c r="S1932" s="29"/>
      <c r="T1932" s="35"/>
      <c r="U1932" s="35"/>
      <c r="V1932" s="35"/>
      <c r="W1932" s="35"/>
      <c r="Y1932" s="31" t="str" cm="1">
        <f t="array" ref="Y1932">IF(LEFT(_xll.BDP($C1932, VOLUME_AVG_10D), 4) = "#N/A", "",  _xll.BDP($C1932, VOLUME_AVG_10D))</f>
        <v/>
      </c>
      <c r="Z1932" s="31" t="str" cm="1">
        <f t="array" ref="Z1932">IF(LEFT(_xll.BDP($C1932, VOLUME_AVG_30D), 4) = "#N/A", "",  _xll.BDP($C1932, VOLUME_AVG_30D))</f>
        <v/>
      </c>
      <c r="AA1932" s="31" t="str" cm="1">
        <f t="array" ref="AA1932">IF(LEFT(_xll.BDP($C1932, VOLUME_AVG_3M), 4) = "#N/A", "",  _xll.BDP($C1932, VOLUME_AVG_3M))</f>
        <v/>
      </c>
      <c r="AB1932" s="31" t="str" cm="1">
        <f t="array" ref="AB1932">IF(LEFT(_xll.BDP($C1932, VOLUME_AVG_6M), 4) = "#N/A", "",  _xll.BDP($C1932, VOLUME_AVG_6M))</f>
        <v/>
      </c>
      <c r="AC1932" s="31" t="str" cm="1">
        <f t="array" ref="AC1932">IF(LEFT(_xll.BDP($C1932, VOLUME_AVG_12M), 4) = "#N/A", "",  _xll.BDP($C1932, VOLUME_AVG_12M))</f>
        <v/>
      </c>
      <c r="AD1932" s="41" t="str" cm="1">
        <f t="array" ref="AD1932">IF(LEFT(_xll.BDP($C1932, LAST_PRICE), 4) = "#N/A", "",  _xll.BDP($C1932, LAST_PRICE))</f>
        <v/>
      </c>
    </row>
    <row r="1933" spans="1:30" x14ac:dyDescent="0.35">
      <c r="A1933" s="1" t="str">
        <f t="shared" si="30"/>
        <v/>
      </c>
      <c r="B1933" s="30"/>
      <c r="C1933" s="29"/>
      <c r="D1933" s="29"/>
      <c r="E1933" s="29"/>
      <c r="F1933" s="29"/>
      <c r="G1933" s="30"/>
      <c r="H1933" s="31"/>
      <c r="I1933" s="31"/>
      <c r="J1933" s="32"/>
      <c r="K1933" s="33"/>
      <c r="L1933" s="31"/>
      <c r="M1933" s="32"/>
      <c r="N1933" s="31"/>
      <c r="O1933" s="36"/>
      <c r="P1933" s="34"/>
      <c r="Q1933" s="34"/>
      <c r="R1933" s="34"/>
      <c r="S1933" s="29"/>
      <c r="T1933" s="35"/>
      <c r="U1933" s="35"/>
      <c r="V1933" s="35"/>
      <c r="W1933" s="35"/>
      <c r="Y1933" s="31" t="str" cm="1">
        <f t="array" ref="Y1933">IF(LEFT(_xll.BDP($C1933, VOLUME_AVG_10D), 4) = "#N/A", "",  _xll.BDP($C1933, VOLUME_AVG_10D))</f>
        <v/>
      </c>
      <c r="Z1933" s="31" t="str" cm="1">
        <f t="array" ref="Z1933">IF(LEFT(_xll.BDP($C1933, VOLUME_AVG_30D), 4) = "#N/A", "",  _xll.BDP($C1933, VOLUME_AVG_30D))</f>
        <v/>
      </c>
      <c r="AA1933" s="31" t="str" cm="1">
        <f t="array" ref="AA1933">IF(LEFT(_xll.BDP($C1933, VOLUME_AVG_3M), 4) = "#N/A", "",  _xll.BDP($C1933, VOLUME_AVG_3M))</f>
        <v/>
      </c>
      <c r="AB1933" s="31" t="str" cm="1">
        <f t="array" ref="AB1933">IF(LEFT(_xll.BDP($C1933, VOLUME_AVG_6M), 4) = "#N/A", "",  _xll.BDP($C1933, VOLUME_AVG_6M))</f>
        <v/>
      </c>
      <c r="AC1933" s="31" t="str" cm="1">
        <f t="array" ref="AC1933">IF(LEFT(_xll.BDP($C1933, VOLUME_AVG_12M), 4) = "#N/A", "",  _xll.BDP($C1933, VOLUME_AVG_12M))</f>
        <v/>
      </c>
      <c r="AD1933" s="41" t="str" cm="1">
        <f t="array" ref="AD1933">IF(LEFT(_xll.BDP($C1933, LAST_PRICE), 4) = "#N/A", "",  _xll.BDP($C1933, LAST_PRICE))</f>
        <v/>
      </c>
    </row>
    <row r="1934" spans="1:30" x14ac:dyDescent="0.35">
      <c r="A1934" s="1" t="str">
        <f t="shared" si="30"/>
        <v/>
      </c>
      <c r="B1934" s="30"/>
      <c r="C1934" s="29"/>
      <c r="D1934" s="29"/>
      <c r="E1934" s="29"/>
      <c r="F1934" s="29"/>
      <c r="G1934" s="30"/>
      <c r="H1934" s="31"/>
      <c r="I1934" s="31"/>
      <c r="J1934" s="32"/>
      <c r="K1934" s="33"/>
      <c r="L1934" s="31"/>
      <c r="M1934" s="32"/>
      <c r="N1934" s="31"/>
      <c r="O1934" s="36"/>
      <c r="P1934" s="34"/>
      <c r="Q1934" s="34"/>
      <c r="R1934" s="34"/>
      <c r="S1934" s="29"/>
      <c r="T1934" s="35"/>
      <c r="U1934" s="35"/>
      <c r="V1934" s="35"/>
      <c r="W1934" s="35"/>
      <c r="Y1934" s="31" t="str" cm="1">
        <f t="array" ref="Y1934">IF(LEFT(_xll.BDP($C1934, VOLUME_AVG_10D), 4) = "#N/A", "",  _xll.BDP($C1934, VOLUME_AVG_10D))</f>
        <v/>
      </c>
      <c r="Z1934" s="31" t="str" cm="1">
        <f t="array" ref="Z1934">IF(LEFT(_xll.BDP($C1934, VOLUME_AVG_30D), 4) = "#N/A", "",  _xll.BDP($C1934, VOLUME_AVG_30D))</f>
        <v/>
      </c>
      <c r="AA1934" s="31" t="str" cm="1">
        <f t="array" ref="AA1934">IF(LEFT(_xll.BDP($C1934, VOLUME_AVG_3M), 4) = "#N/A", "",  _xll.BDP($C1934, VOLUME_AVG_3M))</f>
        <v/>
      </c>
      <c r="AB1934" s="31" t="str" cm="1">
        <f t="array" ref="AB1934">IF(LEFT(_xll.BDP($C1934, VOLUME_AVG_6M), 4) = "#N/A", "",  _xll.BDP($C1934, VOLUME_AVG_6M))</f>
        <v/>
      </c>
      <c r="AC1934" s="31" t="str" cm="1">
        <f t="array" ref="AC1934">IF(LEFT(_xll.BDP($C1934, VOLUME_AVG_12M), 4) = "#N/A", "",  _xll.BDP($C1934, VOLUME_AVG_12M))</f>
        <v/>
      </c>
      <c r="AD1934" s="41" t="str" cm="1">
        <f t="array" ref="AD1934">IF(LEFT(_xll.BDP($C1934, LAST_PRICE), 4) = "#N/A", "",  _xll.BDP($C1934, LAST_PRICE))</f>
        <v/>
      </c>
    </row>
    <row r="1935" spans="1:30" x14ac:dyDescent="0.35">
      <c r="A1935" s="1" t="str">
        <f t="shared" si="30"/>
        <v/>
      </c>
      <c r="B1935" s="30"/>
      <c r="C1935" s="29"/>
      <c r="D1935" s="29"/>
      <c r="E1935" s="29"/>
      <c r="F1935" s="29"/>
      <c r="G1935" s="30"/>
      <c r="H1935" s="31"/>
      <c r="I1935" s="31"/>
      <c r="J1935" s="32"/>
      <c r="K1935" s="33"/>
      <c r="L1935" s="31"/>
      <c r="M1935" s="32"/>
      <c r="N1935" s="31"/>
      <c r="O1935" s="36"/>
      <c r="P1935" s="34"/>
      <c r="Q1935" s="34"/>
      <c r="R1935" s="34"/>
      <c r="S1935" s="29"/>
      <c r="T1935" s="35"/>
      <c r="U1935" s="35"/>
      <c r="V1935" s="35"/>
      <c r="W1935" s="35"/>
      <c r="Y1935" s="31" t="str" cm="1">
        <f t="array" ref="Y1935">IF(LEFT(_xll.BDP($C1935, VOLUME_AVG_10D), 4) = "#N/A", "",  _xll.BDP($C1935, VOLUME_AVG_10D))</f>
        <v/>
      </c>
      <c r="Z1935" s="31" t="str" cm="1">
        <f t="array" ref="Z1935">IF(LEFT(_xll.BDP($C1935, VOLUME_AVG_30D), 4) = "#N/A", "",  _xll.BDP($C1935, VOLUME_AVG_30D))</f>
        <v/>
      </c>
      <c r="AA1935" s="31" t="str" cm="1">
        <f t="array" ref="AA1935">IF(LEFT(_xll.BDP($C1935, VOLUME_AVG_3M), 4) = "#N/A", "",  _xll.BDP($C1935, VOLUME_AVG_3M))</f>
        <v/>
      </c>
      <c r="AB1935" s="31" t="str" cm="1">
        <f t="array" ref="AB1935">IF(LEFT(_xll.BDP($C1935, VOLUME_AVG_6M), 4) = "#N/A", "",  _xll.BDP($C1935, VOLUME_AVG_6M))</f>
        <v/>
      </c>
      <c r="AC1935" s="31" t="str" cm="1">
        <f t="array" ref="AC1935">IF(LEFT(_xll.BDP($C1935, VOLUME_AVG_12M), 4) = "#N/A", "",  _xll.BDP($C1935, VOLUME_AVG_12M))</f>
        <v/>
      </c>
      <c r="AD1935" s="41" t="str" cm="1">
        <f t="array" ref="AD1935">IF(LEFT(_xll.BDP($C1935, LAST_PRICE), 4) = "#N/A", "",  _xll.BDP($C1935, LAST_PRICE))</f>
        <v/>
      </c>
    </row>
    <row r="1936" spans="1:30" x14ac:dyDescent="0.35">
      <c r="A1936" s="1" t="str">
        <f t="shared" si="30"/>
        <v/>
      </c>
      <c r="B1936" s="30"/>
      <c r="C1936" s="29"/>
      <c r="D1936" s="29"/>
      <c r="E1936" s="29"/>
      <c r="F1936" s="29"/>
      <c r="G1936" s="30"/>
      <c r="H1936" s="31"/>
      <c r="I1936" s="31"/>
      <c r="J1936" s="32"/>
      <c r="K1936" s="33"/>
      <c r="L1936" s="31"/>
      <c r="M1936" s="32"/>
      <c r="N1936" s="31"/>
      <c r="O1936" s="36"/>
      <c r="P1936" s="34"/>
      <c r="Q1936" s="34"/>
      <c r="R1936" s="34"/>
      <c r="S1936" s="29"/>
      <c r="T1936" s="35"/>
      <c r="U1936" s="35"/>
      <c r="V1936" s="35"/>
      <c r="W1936" s="35"/>
      <c r="Y1936" s="31" t="str" cm="1">
        <f t="array" ref="Y1936">IF(LEFT(_xll.BDP($C1936, VOLUME_AVG_10D), 4) = "#N/A", "",  _xll.BDP($C1936, VOLUME_AVG_10D))</f>
        <v/>
      </c>
      <c r="Z1936" s="31" t="str" cm="1">
        <f t="array" ref="Z1936">IF(LEFT(_xll.BDP($C1936, VOLUME_AVG_30D), 4) = "#N/A", "",  _xll.BDP($C1936, VOLUME_AVG_30D))</f>
        <v/>
      </c>
      <c r="AA1936" s="31" t="str" cm="1">
        <f t="array" ref="AA1936">IF(LEFT(_xll.BDP($C1936, VOLUME_AVG_3M), 4) = "#N/A", "",  _xll.BDP($C1936, VOLUME_AVG_3M))</f>
        <v/>
      </c>
      <c r="AB1936" s="31" t="str" cm="1">
        <f t="array" ref="AB1936">IF(LEFT(_xll.BDP($C1936, VOLUME_AVG_6M), 4) = "#N/A", "",  _xll.BDP($C1936, VOLUME_AVG_6M))</f>
        <v/>
      </c>
      <c r="AC1936" s="31" t="str" cm="1">
        <f t="array" ref="AC1936">IF(LEFT(_xll.BDP($C1936, VOLUME_AVG_12M), 4) = "#N/A", "",  _xll.BDP($C1936, VOLUME_AVG_12M))</f>
        <v/>
      </c>
      <c r="AD1936" s="41" t="str" cm="1">
        <f t="array" ref="AD1936">IF(LEFT(_xll.BDP($C1936, LAST_PRICE), 4) = "#N/A", "",  _xll.BDP($C1936, LAST_PRICE))</f>
        <v/>
      </c>
    </row>
    <row r="1937" spans="1:30" x14ac:dyDescent="0.35">
      <c r="A1937" s="1" t="str">
        <f t="shared" si="30"/>
        <v/>
      </c>
      <c r="B1937" s="30"/>
      <c r="C1937" s="29"/>
      <c r="D1937" s="29"/>
      <c r="E1937" s="29"/>
      <c r="F1937" s="29"/>
      <c r="G1937" s="30"/>
      <c r="H1937" s="31"/>
      <c r="I1937" s="31"/>
      <c r="J1937" s="32"/>
      <c r="K1937" s="33"/>
      <c r="L1937" s="31"/>
      <c r="M1937" s="32"/>
      <c r="N1937" s="31"/>
      <c r="O1937" s="36"/>
      <c r="P1937" s="34"/>
      <c r="Q1937" s="34"/>
      <c r="R1937" s="34"/>
      <c r="S1937" s="29"/>
      <c r="T1937" s="35"/>
      <c r="U1937" s="35"/>
      <c r="V1937" s="35"/>
      <c r="W1937" s="35"/>
      <c r="Y1937" s="31" t="str" cm="1">
        <f t="array" ref="Y1937">IF(LEFT(_xll.BDP($C1937, VOLUME_AVG_10D), 4) = "#N/A", "",  _xll.BDP($C1937, VOLUME_AVG_10D))</f>
        <v/>
      </c>
      <c r="Z1937" s="31" t="str" cm="1">
        <f t="array" ref="Z1937">IF(LEFT(_xll.BDP($C1937, VOLUME_AVG_30D), 4) = "#N/A", "",  _xll.BDP($C1937, VOLUME_AVG_30D))</f>
        <v/>
      </c>
      <c r="AA1937" s="31" t="str" cm="1">
        <f t="array" ref="AA1937">IF(LEFT(_xll.BDP($C1937, VOLUME_AVG_3M), 4) = "#N/A", "",  _xll.BDP($C1937, VOLUME_AVG_3M))</f>
        <v/>
      </c>
      <c r="AB1937" s="31" t="str" cm="1">
        <f t="array" ref="AB1937">IF(LEFT(_xll.BDP($C1937, VOLUME_AVG_6M), 4) = "#N/A", "",  _xll.BDP($C1937, VOLUME_AVG_6M))</f>
        <v/>
      </c>
      <c r="AC1937" s="31" t="str" cm="1">
        <f t="array" ref="AC1937">IF(LEFT(_xll.BDP($C1937, VOLUME_AVG_12M), 4) = "#N/A", "",  _xll.BDP($C1937, VOLUME_AVG_12M))</f>
        <v/>
      </c>
      <c r="AD1937" s="41" t="str" cm="1">
        <f t="array" ref="AD1937">IF(LEFT(_xll.BDP($C1937, LAST_PRICE), 4) = "#N/A", "",  _xll.BDP($C1937, LAST_PRICE))</f>
        <v/>
      </c>
    </row>
    <row r="1938" spans="1:30" x14ac:dyDescent="0.35">
      <c r="A1938" s="1" t="str">
        <f t="shared" si="30"/>
        <v/>
      </c>
      <c r="B1938" s="30"/>
      <c r="C1938" s="29"/>
      <c r="D1938" s="29"/>
      <c r="E1938" s="29"/>
      <c r="F1938" s="29"/>
      <c r="G1938" s="30"/>
      <c r="H1938" s="31"/>
      <c r="I1938" s="31"/>
      <c r="J1938" s="32"/>
      <c r="K1938" s="33"/>
      <c r="L1938" s="31"/>
      <c r="M1938" s="32"/>
      <c r="N1938" s="31"/>
      <c r="O1938" s="36"/>
      <c r="P1938" s="34"/>
      <c r="Q1938" s="34"/>
      <c r="R1938" s="34"/>
      <c r="S1938" s="29"/>
      <c r="T1938" s="35"/>
      <c r="U1938" s="35"/>
      <c r="V1938" s="35"/>
      <c r="W1938" s="35"/>
      <c r="Y1938" s="31" t="str" cm="1">
        <f t="array" ref="Y1938">IF(LEFT(_xll.BDP($C1938, VOLUME_AVG_10D), 4) = "#N/A", "",  _xll.BDP($C1938, VOLUME_AVG_10D))</f>
        <v/>
      </c>
      <c r="Z1938" s="31" t="str" cm="1">
        <f t="array" ref="Z1938">IF(LEFT(_xll.BDP($C1938, VOLUME_AVG_30D), 4) = "#N/A", "",  _xll.BDP($C1938, VOLUME_AVG_30D))</f>
        <v/>
      </c>
      <c r="AA1938" s="31" t="str" cm="1">
        <f t="array" ref="AA1938">IF(LEFT(_xll.BDP($C1938, VOLUME_AVG_3M), 4) = "#N/A", "",  _xll.BDP($C1938, VOLUME_AVG_3M))</f>
        <v/>
      </c>
      <c r="AB1938" s="31" t="str" cm="1">
        <f t="array" ref="AB1938">IF(LEFT(_xll.BDP($C1938, VOLUME_AVG_6M), 4) = "#N/A", "",  _xll.BDP($C1938, VOLUME_AVG_6M))</f>
        <v/>
      </c>
      <c r="AC1938" s="31" t="str" cm="1">
        <f t="array" ref="AC1938">IF(LEFT(_xll.BDP($C1938, VOLUME_AVG_12M), 4) = "#N/A", "",  _xll.BDP($C1938, VOLUME_AVG_12M))</f>
        <v/>
      </c>
      <c r="AD1938" s="41" t="str" cm="1">
        <f t="array" ref="AD1938">IF(LEFT(_xll.BDP($C1938, LAST_PRICE), 4) = "#N/A", "",  _xll.BDP($C1938, LAST_PRICE))</f>
        <v/>
      </c>
    </row>
    <row r="1939" spans="1:30" x14ac:dyDescent="0.35">
      <c r="A1939" s="1" t="str">
        <f t="shared" si="30"/>
        <v/>
      </c>
      <c r="B1939" s="30"/>
      <c r="C1939" s="29"/>
      <c r="D1939" s="29"/>
      <c r="E1939" s="29"/>
      <c r="F1939" s="29"/>
      <c r="G1939" s="30"/>
      <c r="H1939" s="31"/>
      <c r="I1939" s="31"/>
      <c r="J1939" s="32"/>
      <c r="K1939" s="33"/>
      <c r="L1939" s="31"/>
      <c r="M1939" s="32"/>
      <c r="N1939" s="31"/>
      <c r="O1939" s="36"/>
      <c r="P1939" s="34"/>
      <c r="Q1939" s="34"/>
      <c r="R1939" s="34"/>
      <c r="S1939" s="29"/>
      <c r="T1939" s="35"/>
      <c r="U1939" s="35"/>
      <c r="V1939" s="35"/>
      <c r="W1939" s="35"/>
      <c r="Y1939" s="31" t="str" cm="1">
        <f t="array" ref="Y1939">IF(LEFT(_xll.BDP($C1939, VOLUME_AVG_10D), 4) = "#N/A", "",  _xll.BDP($C1939, VOLUME_AVG_10D))</f>
        <v/>
      </c>
      <c r="Z1939" s="31" t="str" cm="1">
        <f t="array" ref="Z1939">IF(LEFT(_xll.BDP($C1939, VOLUME_AVG_30D), 4) = "#N/A", "",  _xll.BDP($C1939, VOLUME_AVG_30D))</f>
        <v/>
      </c>
      <c r="AA1939" s="31" t="str" cm="1">
        <f t="array" ref="AA1939">IF(LEFT(_xll.BDP($C1939, VOLUME_AVG_3M), 4) = "#N/A", "",  _xll.BDP($C1939, VOLUME_AVG_3M))</f>
        <v/>
      </c>
      <c r="AB1939" s="31" t="str" cm="1">
        <f t="array" ref="AB1939">IF(LEFT(_xll.BDP($C1939, VOLUME_AVG_6M), 4) = "#N/A", "",  _xll.BDP($C1939, VOLUME_AVG_6M))</f>
        <v/>
      </c>
      <c r="AC1939" s="31" t="str" cm="1">
        <f t="array" ref="AC1939">IF(LEFT(_xll.BDP($C1939, VOLUME_AVG_12M), 4) = "#N/A", "",  _xll.BDP($C1939, VOLUME_AVG_12M))</f>
        <v/>
      </c>
      <c r="AD1939" s="41" t="str" cm="1">
        <f t="array" ref="AD1939">IF(LEFT(_xll.BDP($C1939, LAST_PRICE), 4) = "#N/A", "",  _xll.BDP($C1939, LAST_PRICE))</f>
        <v/>
      </c>
    </row>
    <row r="1940" spans="1:30" x14ac:dyDescent="0.35">
      <c r="A1940" s="1" t="str">
        <f t="shared" si="30"/>
        <v/>
      </c>
      <c r="B1940" s="30"/>
      <c r="C1940" s="29"/>
      <c r="D1940" s="29"/>
      <c r="E1940" s="29"/>
      <c r="F1940" s="29"/>
      <c r="G1940" s="30"/>
      <c r="H1940" s="31"/>
      <c r="I1940" s="31"/>
      <c r="J1940" s="32"/>
      <c r="K1940" s="33"/>
      <c r="L1940" s="31"/>
      <c r="M1940" s="32"/>
      <c r="N1940" s="31"/>
      <c r="O1940" s="36"/>
      <c r="P1940" s="34"/>
      <c r="Q1940" s="34"/>
      <c r="R1940" s="34"/>
      <c r="S1940" s="29"/>
      <c r="T1940" s="35"/>
      <c r="U1940" s="35"/>
      <c r="V1940" s="35"/>
      <c r="W1940" s="35"/>
      <c r="Y1940" s="31" t="str" cm="1">
        <f t="array" ref="Y1940">IF(LEFT(_xll.BDP($C1940, VOLUME_AVG_10D), 4) = "#N/A", "",  _xll.BDP($C1940, VOLUME_AVG_10D))</f>
        <v/>
      </c>
      <c r="Z1940" s="31" t="str" cm="1">
        <f t="array" ref="Z1940">IF(LEFT(_xll.BDP($C1940, VOLUME_AVG_30D), 4) = "#N/A", "",  _xll.BDP($C1940, VOLUME_AVG_30D))</f>
        <v/>
      </c>
      <c r="AA1940" s="31" t="str" cm="1">
        <f t="array" ref="AA1940">IF(LEFT(_xll.BDP($C1940, VOLUME_AVG_3M), 4) = "#N/A", "",  _xll.BDP($C1940, VOLUME_AVG_3M))</f>
        <v/>
      </c>
      <c r="AB1940" s="31" t="str" cm="1">
        <f t="array" ref="AB1940">IF(LEFT(_xll.BDP($C1940, VOLUME_AVG_6M), 4) = "#N/A", "",  _xll.BDP($C1940, VOLUME_AVG_6M))</f>
        <v/>
      </c>
      <c r="AC1940" s="31" t="str" cm="1">
        <f t="array" ref="AC1940">IF(LEFT(_xll.BDP($C1940, VOLUME_AVG_12M), 4) = "#N/A", "",  _xll.BDP($C1940, VOLUME_AVG_12M))</f>
        <v/>
      </c>
      <c r="AD1940" s="41" t="str" cm="1">
        <f t="array" ref="AD1940">IF(LEFT(_xll.BDP($C1940, LAST_PRICE), 4) = "#N/A", "",  _xll.BDP($C1940, LAST_PRICE))</f>
        <v/>
      </c>
    </row>
    <row r="1941" spans="1:30" x14ac:dyDescent="0.35">
      <c r="A1941" s="1" t="str">
        <f t="shared" si="30"/>
        <v/>
      </c>
      <c r="B1941" s="30"/>
      <c r="C1941" s="29"/>
      <c r="D1941" s="29"/>
      <c r="E1941" s="29"/>
      <c r="F1941" s="29"/>
      <c r="G1941" s="30"/>
      <c r="H1941" s="31"/>
      <c r="I1941" s="31"/>
      <c r="J1941" s="32"/>
      <c r="K1941" s="33"/>
      <c r="L1941" s="31"/>
      <c r="M1941" s="32"/>
      <c r="N1941" s="31"/>
      <c r="O1941" s="36"/>
      <c r="P1941" s="34"/>
      <c r="Q1941" s="34"/>
      <c r="R1941" s="34"/>
      <c r="S1941" s="29"/>
      <c r="T1941" s="35"/>
      <c r="U1941" s="35"/>
      <c r="V1941" s="35"/>
      <c r="W1941" s="35"/>
      <c r="Y1941" s="31" t="str" cm="1">
        <f t="array" ref="Y1941">IF(LEFT(_xll.BDP($C1941, VOLUME_AVG_10D), 4) = "#N/A", "",  _xll.BDP($C1941, VOLUME_AVG_10D))</f>
        <v/>
      </c>
      <c r="Z1941" s="31" t="str" cm="1">
        <f t="array" ref="Z1941">IF(LEFT(_xll.BDP($C1941, VOLUME_AVG_30D), 4) = "#N/A", "",  _xll.BDP($C1941, VOLUME_AVG_30D))</f>
        <v/>
      </c>
      <c r="AA1941" s="31" t="str" cm="1">
        <f t="array" ref="AA1941">IF(LEFT(_xll.BDP($C1941, VOLUME_AVG_3M), 4) = "#N/A", "",  _xll.BDP($C1941, VOLUME_AVG_3M))</f>
        <v/>
      </c>
      <c r="AB1941" s="31" t="str" cm="1">
        <f t="array" ref="AB1941">IF(LEFT(_xll.BDP($C1941, VOLUME_AVG_6M), 4) = "#N/A", "",  _xll.BDP($C1941, VOLUME_AVG_6M))</f>
        <v/>
      </c>
      <c r="AC1941" s="31" t="str" cm="1">
        <f t="array" ref="AC1941">IF(LEFT(_xll.BDP($C1941, VOLUME_AVG_12M), 4) = "#N/A", "",  _xll.BDP($C1941, VOLUME_AVG_12M))</f>
        <v/>
      </c>
      <c r="AD1941" s="41" t="str" cm="1">
        <f t="array" ref="AD1941">IF(LEFT(_xll.BDP($C1941, LAST_PRICE), 4) = "#N/A", "",  _xll.BDP($C1941, LAST_PRICE))</f>
        <v/>
      </c>
    </row>
    <row r="1942" spans="1:30" x14ac:dyDescent="0.35">
      <c r="A1942" s="1" t="str">
        <f t="shared" si="30"/>
        <v/>
      </c>
      <c r="B1942" s="30"/>
      <c r="C1942" s="29"/>
      <c r="D1942" s="29"/>
      <c r="E1942" s="29"/>
      <c r="F1942" s="29"/>
      <c r="G1942" s="30"/>
      <c r="H1942" s="31"/>
      <c r="I1942" s="31"/>
      <c r="J1942" s="32"/>
      <c r="K1942" s="33"/>
      <c r="L1942" s="31"/>
      <c r="M1942" s="32"/>
      <c r="N1942" s="31"/>
      <c r="O1942" s="36"/>
      <c r="P1942" s="34"/>
      <c r="Q1942" s="34"/>
      <c r="R1942" s="34"/>
      <c r="S1942" s="29"/>
      <c r="T1942" s="35"/>
      <c r="U1942" s="35"/>
      <c r="V1942" s="35"/>
      <c r="W1942" s="35"/>
      <c r="Y1942" s="31" t="str" cm="1">
        <f t="array" ref="Y1942">IF(LEFT(_xll.BDP($C1942, VOLUME_AVG_10D), 4) = "#N/A", "",  _xll.BDP($C1942, VOLUME_AVG_10D))</f>
        <v/>
      </c>
      <c r="Z1942" s="31" t="str" cm="1">
        <f t="array" ref="Z1942">IF(LEFT(_xll.BDP($C1942, VOLUME_AVG_30D), 4) = "#N/A", "",  _xll.BDP($C1942, VOLUME_AVG_30D))</f>
        <v/>
      </c>
      <c r="AA1942" s="31" t="str" cm="1">
        <f t="array" ref="AA1942">IF(LEFT(_xll.BDP($C1942, VOLUME_AVG_3M), 4) = "#N/A", "",  _xll.BDP($C1942, VOLUME_AVG_3M))</f>
        <v/>
      </c>
      <c r="AB1942" s="31" t="str" cm="1">
        <f t="array" ref="AB1942">IF(LEFT(_xll.BDP($C1942, VOLUME_AVG_6M), 4) = "#N/A", "",  _xll.BDP($C1942, VOLUME_AVG_6M))</f>
        <v/>
      </c>
      <c r="AC1942" s="31" t="str" cm="1">
        <f t="array" ref="AC1942">IF(LEFT(_xll.BDP($C1942, VOLUME_AVG_12M), 4) = "#N/A", "",  _xll.BDP($C1942, VOLUME_AVG_12M))</f>
        <v/>
      </c>
      <c r="AD1942" s="41" t="str" cm="1">
        <f t="array" ref="AD1942">IF(LEFT(_xll.BDP($C1942, LAST_PRICE), 4) = "#N/A", "",  _xll.BDP($C1942, LAST_PRICE))</f>
        <v/>
      </c>
    </row>
    <row r="1943" spans="1:30" x14ac:dyDescent="0.35">
      <c r="A1943" s="1" t="str">
        <f t="shared" si="30"/>
        <v/>
      </c>
      <c r="B1943" s="30"/>
      <c r="C1943" s="29"/>
      <c r="D1943" s="29"/>
      <c r="E1943" s="29"/>
      <c r="F1943" s="29"/>
      <c r="G1943" s="30"/>
      <c r="H1943" s="31"/>
      <c r="I1943" s="31"/>
      <c r="J1943" s="32"/>
      <c r="K1943" s="33"/>
      <c r="L1943" s="31"/>
      <c r="M1943" s="32"/>
      <c r="N1943" s="31"/>
      <c r="O1943" s="36"/>
      <c r="P1943" s="34"/>
      <c r="Q1943" s="34"/>
      <c r="R1943" s="34"/>
      <c r="S1943" s="29"/>
      <c r="T1943" s="35"/>
      <c r="U1943" s="35"/>
      <c r="V1943" s="35"/>
      <c r="W1943" s="35"/>
      <c r="Y1943" s="31" t="str" cm="1">
        <f t="array" ref="Y1943">IF(LEFT(_xll.BDP($C1943, VOLUME_AVG_10D), 4) = "#N/A", "",  _xll.BDP($C1943, VOLUME_AVG_10D))</f>
        <v/>
      </c>
      <c r="Z1943" s="31" t="str" cm="1">
        <f t="array" ref="Z1943">IF(LEFT(_xll.BDP($C1943, VOLUME_AVG_30D), 4) = "#N/A", "",  _xll.BDP($C1943, VOLUME_AVG_30D))</f>
        <v/>
      </c>
      <c r="AA1943" s="31" t="str" cm="1">
        <f t="array" ref="AA1943">IF(LEFT(_xll.BDP($C1943, VOLUME_AVG_3M), 4) = "#N/A", "",  _xll.BDP($C1943, VOLUME_AVG_3M))</f>
        <v/>
      </c>
      <c r="AB1943" s="31" t="str" cm="1">
        <f t="array" ref="AB1943">IF(LEFT(_xll.BDP($C1943, VOLUME_AVG_6M), 4) = "#N/A", "",  _xll.BDP($C1943, VOLUME_AVG_6M))</f>
        <v/>
      </c>
      <c r="AC1943" s="31" t="str" cm="1">
        <f t="array" ref="AC1943">IF(LEFT(_xll.BDP($C1943, VOLUME_AVG_12M), 4) = "#N/A", "",  _xll.BDP($C1943, VOLUME_AVG_12M))</f>
        <v/>
      </c>
      <c r="AD1943" s="41" t="str" cm="1">
        <f t="array" ref="AD1943">IF(LEFT(_xll.BDP($C1943, LAST_PRICE), 4) = "#N/A", "",  _xll.BDP($C1943, LAST_PRICE))</f>
        <v/>
      </c>
    </row>
    <row r="1944" spans="1:30" x14ac:dyDescent="0.35">
      <c r="A1944" s="1" t="str">
        <f t="shared" si="30"/>
        <v/>
      </c>
      <c r="B1944" s="30"/>
      <c r="C1944" s="29"/>
      <c r="D1944" s="29"/>
      <c r="E1944" s="29"/>
      <c r="F1944" s="29"/>
      <c r="G1944" s="30"/>
      <c r="H1944" s="31"/>
      <c r="I1944" s="31"/>
      <c r="J1944" s="32"/>
      <c r="K1944" s="33"/>
      <c r="L1944" s="31"/>
      <c r="M1944" s="32"/>
      <c r="N1944" s="31"/>
      <c r="O1944" s="36"/>
      <c r="P1944" s="34"/>
      <c r="Q1944" s="34"/>
      <c r="R1944" s="34"/>
      <c r="S1944" s="29"/>
      <c r="T1944" s="35"/>
      <c r="U1944" s="35"/>
      <c r="V1944" s="35"/>
      <c r="W1944" s="35"/>
      <c r="Y1944" s="31" t="str" cm="1">
        <f t="array" ref="Y1944">IF(LEFT(_xll.BDP($C1944, VOLUME_AVG_10D), 4) = "#N/A", "",  _xll.BDP($C1944, VOLUME_AVG_10D))</f>
        <v/>
      </c>
      <c r="Z1944" s="31" t="str" cm="1">
        <f t="array" ref="Z1944">IF(LEFT(_xll.BDP($C1944, VOLUME_AVG_30D), 4) = "#N/A", "",  _xll.BDP($C1944, VOLUME_AVG_30D))</f>
        <v/>
      </c>
      <c r="AA1944" s="31" t="str" cm="1">
        <f t="array" ref="AA1944">IF(LEFT(_xll.BDP($C1944, VOLUME_AVG_3M), 4) = "#N/A", "",  _xll.BDP($C1944, VOLUME_AVG_3M))</f>
        <v/>
      </c>
      <c r="AB1944" s="31" t="str" cm="1">
        <f t="array" ref="AB1944">IF(LEFT(_xll.BDP($C1944, VOLUME_AVG_6M), 4) = "#N/A", "",  _xll.BDP($C1944, VOLUME_AVG_6M))</f>
        <v/>
      </c>
      <c r="AC1944" s="31" t="str" cm="1">
        <f t="array" ref="AC1944">IF(LEFT(_xll.BDP($C1944, VOLUME_AVG_12M), 4) = "#N/A", "",  _xll.BDP($C1944, VOLUME_AVG_12M))</f>
        <v/>
      </c>
      <c r="AD1944" s="41" t="str" cm="1">
        <f t="array" ref="AD1944">IF(LEFT(_xll.BDP($C1944, LAST_PRICE), 4) = "#N/A", "",  _xll.BDP($C1944, LAST_PRICE))</f>
        <v/>
      </c>
    </row>
    <row r="1945" spans="1:30" x14ac:dyDescent="0.35">
      <c r="A1945" s="1" t="str">
        <f t="shared" si="30"/>
        <v/>
      </c>
      <c r="B1945" s="30"/>
      <c r="C1945" s="29"/>
      <c r="D1945" s="29"/>
      <c r="E1945" s="29"/>
      <c r="F1945" s="29"/>
      <c r="G1945" s="30"/>
      <c r="H1945" s="31"/>
      <c r="I1945" s="31"/>
      <c r="J1945" s="32"/>
      <c r="K1945" s="33"/>
      <c r="L1945" s="31"/>
      <c r="M1945" s="32"/>
      <c r="N1945" s="31"/>
      <c r="O1945" s="36"/>
      <c r="P1945" s="34"/>
      <c r="Q1945" s="34"/>
      <c r="R1945" s="34"/>
      <c r="S1945" s="29"/>
      <c r="T1945" s="35"/>
      <c r="U1945" s="35"/>
      <c r="V1945" s="35"/>
      <c r="W1945" s="35"/>
      <c r="Y1945" s="31" t="str" cm="1">
        <f t="array" ref="Y1945">IF(LEFT(_xll.BDP($C1945, VOLUME_AVG_10D), 4) = "#N/A", "",  _xll.BDP($C1945, VOLUME_AVG_10D))</f>
        <v/>
      </c>
      <c r="Z1945" s="31" t="str" cm="1">
        <f t="array" ref="Z1945">IF(LEFT(_xll.BDP($C1945, VOLUME_AVG_30D), 4) = "#N/A", "",  _xll.BDP($C1945, VOLUME_AVG_30D))</f>
        <v/>
      </c>
      <c r="AA1945" s="31" t="str" cm="1">
        <f t="array" ref="AA1945">IF(LEFT(_xll.BDP($C1945, VOLUME_AVG_3M), 4) = "#N/A", "",  _xll.BDP($C1945, VOLUME_AVG_3M))</f>
        <v/>
      </c>
      <c r="AB1945" s="31" t="str" cm="1">
        <f t="array" ref="AB1945">IF(LEFT(_xll.BDP($C1945, VOLUME_AVG_6M), 4) = "#N/A", "",  _xll.BDP($C1945, VOLUME_AVG_6M))</f>
        <v/>
      </c>
      <c r="AC1945" s="31" t="str" cm="1">
        <f t="array" ref="AC1945">IF(LEFT(_xll.BDP($C1945, VOLUME_AVG_12M), 4) = "#N/A", "",  _xll.BDP($C1945, VOLUME_AVG_12M))</f>
        <v/>
      </c>
      <c r="AD1945" s="41" t="str" cm="1">
        <f t="array" ref="AD1945">IF(LEFT(_xll.BDP($C1945, LAST_PRICE), 4) = "#N/A", "",  _xll.BDP($C1945, LAST_PRICE))</f>
        <v/>
      </c>
    </row>
    <row r="1946" spans="1:30" x14ac:dyDescent="0.35">
      <c r="A1946" s="1" t="str">
        <f t="shared" si="30"/>
        <v/>
      </c>
      <c r="B1946" s="30"/>
      <c r="C1946" s="29"/>
      <c r="D1946" s="29"/>
      <c r="E1946" s="29"/>
      <c r="F1946" s="29"/>
      <c r="G1946" s="30"/>
      <c r="H1946" s="31"/>
      <c r="I1946" s="31"/>
      <c r="J1946" s="32"/>
      <c r="K1946" s="33"/>
      <c r="L1946" s="31"/>
      <c r="M1946" s="32"/>
      <c r="N1946" s="31"/>
      <c r="O1946" s="36"/>
      <c r="P1946" s="34"/>
      <c r="Q1946" s="34"/>
      <c r="R1946" s="34"/>
      <c r="S1946" s="29"/>
      <c r="T1946" s="35"/>
      <c r="U1946" s="35"/>
      <c r="V1946" s="35"/>
      <c r="W1946" s="35"/>
      <c r="Y1946" s="31" t="str" cm="1">
        <f t="array" ref="Y1946">IF(LEFT(_xll.BDP($C1946, VOLUME_AVG_10D), 4) = "#N/A", "",  _xll.BDP($C1946, VOLUME_AVG_10D))</f>
        <v/>
      </c>
      <c r="Z1946" s="31" t="str" cm="1">
        <f t="array" ref="Z1946">IF(LEFT(_xll.BDP($C1946, VOLUME_AVG_30D), 4) = "#N/A", "",  _xll.BDP($C1946, VOLUME_AVG_30D))</f>
        <v/>
      </c>
      <c r="AA1946" s="31" t="str" cm="1">
        <f t="array" ref="AA1946">IF(LEFT(_xll.BDP($C1946, VOLUME_AVG_3M), 4) = "#N/A", "",  _xll.BDP($C1946, VOLUME_AVG_3M))</f>
        <v/>
      </c>
      <c r="AB1946" s="31" t="str" cm="1">
        <f t="array" ref="AB1946">IF(LEFT(_xll.BDP($C1946, VOLUME_AVG_6M), 4) = "#N/A", "",  _xll.BDP($C1946, VOLUME_AVG_6M))</f>
        <v/>
      </c>
      <c r="AC1946" s="31" t="str" cm="1">
        <f t="array" ref="AC1946">IF(LEFT(_xll.BDP($C1946, VOLUME_AVG_12M), 4) = "#N/A", "",  _xll.BDP($C1946, VOLUME_AVG_12M))</f>
        <v/>
      </c>
      <c r="AD1946" s="41" t="str" cm="1">
        <f t="array" ref="AD1946">IF(LEFT(_xll.BDP($C1946, LAST_PRICE), 4) = "#N/A", "",  _xll.BDP($C1946, LAST_PRICE))</f>
        <v/>
      </c>
    </row>
    <row r="1947" spans="1:30" x14ac:dyDescent="0.35">
      <c r="A1947" s="1" t="str">
        <f t="shared" si="30"/>
        <v/>
      </c>
      <c r="B1947" s="30"/>
      <c r="C1947" s="29"/>
      <c r="D1947" s="29"/>
      <c r="E1947" s="29"/>
      <c r="F1947" s="29"/>
      <c r="G1947" s="30"/>
      <c r="H1947" s="31"/>
      <c r="I1947" s="31"/>
      <c r="J1947" s="32"/>
      <c r="K1947" s="33"/>
      <c r="L1947" s="31"/>
      <c r="M1947" s="32"/>
      <c r="N1947" s="31"/>
      <c r="O1947" s="36"/>
      <c r="P1947" s="34"/>
      <c r="Q1947" s="34"/>
      <c r="R1947" s="34"/>
      <c r="S1947" s="29"/>
      <c r="T1947" s="35"/>
      <c r="U1947" s="35"/>
      <c r="V1947" s="35"/>
      <c r="W1947" s="35"/>
      <c r="Y1947" s="31" t="str" cm="1">
        <f t="array" ref="Y1947">IF(LEFT(_xll.BDP($C1947, VOLUME_AVG_10D), 4) = "#N/A", "",  _xll.BDP($C1947, VOLUME_AVG_10D))</f>
        <v/>
      </c>
      <c r="Z1947" s="31" t="str" cm="1">
        <f t="array" ref="Z1947">IF(LEFT(_xll.BDP($C1947, VOLUME_AVG_30D), 4) = "#N/A", "",  _xll.BDP($C1947, VOLUME_AVG_30D))</f>
        <v/>
      </c>
      <c r="AA1947" s="31" t="str" cm="1">
        <f t="array" ref="AA1947">IF(LEFT(_xll.BDP($C1947, VOLUME_AVG_3M), 4) = "#N/A", "",  _xll.BDP($C1947, VOLUME_AVG_3M))</f>
        <v/>
      </c>
      <c r="AB1947" s="31" t="str" cm="1">
        <f t="array" ref="AB1947">IF(LEFT(_xll.BDP($C1947, VOLUME_AVG_6M), 4) = "#N/A", "",  _xll.BDP($C1947, VOLUME_AVG_6M))</f>
        <v/>
      </c>
      <c r="AC1947" s="31" t="str" cm="1">
        <f t="array" ref="AC1947">IF(LEFT(_xll.BDP($C1947, VOLUME_AVG_12M), 4) = "#N/A", "",  _xll.BDP($C1947, VOLUME_AVG_12M))</f>
        <v/>
      </c>
      <c r="AD1947" s="41" t="str" cm="1">
        <f t="array" ref="AD1947">IF(LEFT(_xll.BDP($C1947, LAST_PRICE), 4) = "#N/A", "",  _xll.BDP($C1947, LAST_PRICE))</f>
        <v/>
      </c>
    </row>
    <row r="1948" spans="1:30" x14ac:dyDescent="0.35">
      <c r="A1948" s="1" t="str">
        <f t="shared" si="30"/>
        <v/>
      </c>
      <c r="B1948" s="30"/>
      <c r="C1948" s="29"/>
      <c r="D1948" s="29"/>
      <c r="E1948" s="29"/>
      <c r="F1948" s="29"/>
      <c r="G1948" s="30"/>
      <c r="H1948" s="31"/>
      <c r="I1948" s="31"/>
      <c r="J1948" s="32"/>
      <c r="K1948" s="33"/>
      <c r="L1948" s="31"/>
      <c r="M1948" s="32"/>
      <c r="N1948" s="31"/>
      <c r="O1948" s="36"/>
      <c r="P1948" s="34"/>
      <c r="Q1948" s="34"/>
      <c r="R1948" s="34"/>
      <c r="S1948" s="29"/>
      <c r="T1948" s="35"/>
      <c r="U1948" s="35"/>
      <c r="V1948" s="35"/>
      <c r="W1948" s="35"/>
      <c r="Y1948" s="31" t="str" cm="1">
        <f t="array" ref="Y1948">IF(LEFT(_xll.BDP($C1948, VOLUME_AVG_10D), 4) = "#N/A", "",  _xll.BDP($C1948, VOLUME_AVG_10D))</f>
        <v/>
      </c>
      <c r="Z1948" s="31" t="str" cm="1">
        <f t="array" ref="Z1948">IF(LEFT(_xll.BDP($C1948, VOLUME_AVG_30D), 4) = "#N/A", "",  _xll.BDP($C1948, VOLUME_AVG_30D))</f>
        <v/>
      </c>
      <c r="AA1948" s="31" t="str" cm="1">
        <f t="array" ref="AA1948">IF(LEFT(_xll.BDP($C1948, VOLUME_AVG_3M), 4) = "#N/A", "",  _xll.BDP($C1948, VOLUME_AVG_3M))</f>
        <v/>
      </c>
      <c r="AB1948" s="31" t="str" cm="1">
        <f t="array" ref="AB1948">IF(LEFT(_xll.BDP($C1948, VOLUME_AVG_6M), 4) = "#N/A", "",  _xll.BDP($C1948, VOLUME_AVG_6M))</f>
        <v/>
      </c>
      <c r="AC1948" s="31" t="str" cm="1">
        <f t="array" ref="AC1948">IF(LEFT(_xll.BDP($C1948, VOLUME_AVG_12M), 4) = "#N/A", "",  _xll.BDP($C1948, VOLUME_AVG_12M))</f>
        <v/>
      </c>
      <c r="AD1948" s="41" t="str" cm="1">
        <f t="array" ref="AD1948">IF(LEFT(_xll.BDP($C1948, LAST_PRICE), 4) = "#N/A", "",  _xll.BDP($C1948, LAST_PRICE))</f>
        <v/>
      </c>
    </row>
    <row r="1949" spans="1:30" x14ac:dyDescent="0.35">
      <c r="A1949" s="1" t="str">
        <f t="shared" si="30"/>
        <v/>
      </c>
      <c r="B1949" s="30"/>
      <c r="C1949" s="29"/>
      <c r="D1949" s="29"/>
      <c r="E1949" s="29"/>
      <c r="F1949" s="29"/>
      <c r="G1949" s="30"/>
      <c r="H1949" s="31"/>
      <c r="I1949" s="31"/>
      <c r="J1949" s="32"/>
      <c r="K1949" s="33"/>
      <c r="L1949" s="31"/>
      <c r="M1949" s="32"/>
      <c r="N1949" s="31"/>
      <c r="O1949" s="36"/>
      <c r="P1949" s="34"/>
      <c r="Q1949" s="34"/>
      <c r="R1949" s="34"/>
      <c r="S1949" s="29"/>
      <c r="T1949" s="35"/>
      <c r="U1949" s="35"/>
      <c r="V1949" s="35"/>
      <c r="W1949" s="35"/>
      <c r="Y1949" s="31" t="str" cm="1">
        <f t="array" ref="Y1949">IF(LEFT(_xll.BDP($C1949, VOLUME_AVG_10D), 4) = "#N/A", "",  _xll.BDP($C1949, VOLUME_AVG_10D))</f>
        <v/>
      </c>
      <c r="Z1949" s="31" t="str" cm="1">
        <f t="array" ref="Z1949">IF(LEFT(_xll.BDP($C1949, VOLUME_AVG_30D), 4) = "#N/A", "",  _xll.BDP($C1949, VOLUME_AVG_30D))</f>
        <v/>
      </c>
      <c r="AA1949" s="31" t="str" cm="1">
        <f t="array" ref="AA1949">IF(LEFT(_xll.BDP($C1949, VOLUME_AVG_3M), 4) = "#N/A", "",  _xll.BDP($C1949, VOLUME_AVG_3M))</f>
        <v/>
      </c>
      <c r="AB1949" s="31" t="str" cm="1">
        <f t="array" ref="AB1949">IF(LEFT(_xll.BDP($C1949, VOLUME_AVG_6M), 4) = "#N/A", "",  _xll.BDP($C1949, VOLUME_AVG_6M))</f>
        <v/>
      </c>
      <c r="AC1949" s="31" t="str" cm="1">
        <f t="array" ref="AC1949">IF(LEFT(_xll.BDP($C1949, VOLUME_AVG_12M), 4) = "#N/A", "",  _xll.BDP($C1949, VOLUME_AVG_12M))</f>
        <v/>
      </c>
      <c r="AD1949" s="41" t="str" cm="1">
        <f t="array" ref="AD1949">IF(LEFT(_xll.BDP($C1949, LAST_PRICE), 4) = "#N/A", "",  _xll.BDP($C1949, LAST_PRICE))</f>
        <v/>
      </c>
    </row>
    <row r="1950" spans="1:30" x14ac:dyDescent="0.35">
      <c r="A1950" s="1" t="str">
        <f t="shared" si="30"/>
        <v/>
      </c>
      <c r="B1950" s="30"/>
      <c r="C1950" s="29"/>
      <c r="D1950" s="29"/>
      <c r="E1950" s="29"/>
      <c r="F1950" s="29"/>
      <c r="G1950" s="30"/>
      <c r="H1950" s="31"/>
      <c r="I1950" s="31"/>
      <c r="J1950" s="32"/>
      <c r="K1950" s="33"/>
      <c r="L1950" s="31"/>
      <c r="M1950" s="32"/>
      <c r="N1950" s="31"/>
      <c r="O1950" s="36"/>
      <c r="P1950" s="34"/>
      <c r="Q1950" s="34"/>
      <c r="R1950" s="34"/>
      <c r="S1950" s="29"/>
      <c r="T1950" s="35"/>
      <c r="U1950" s="35"/>
      <c r="V1950" s="35"/>
      <c r="W1950" s="35"/>
      <c r="Y1950" s="31" t="str" cm="1">
        <f t="array" ref="Y1950">IF(LEFT(_xll.BDP($C1950, VOLUME_AVG_10D), 4) = "#N/A", "",  _xll.BDP($C1950, VOLUME_AVG_10D))</f>
        <v/>
      </c>
      <c r="Z1950" s="31" t="str" cm="1">
        <f t="array" ref="Z1950">IF(LEFT(_xll.BDP($C1950, VOLUME_AVG_30D), 4) = "#N/A", "",  _xll.BDP($C1950, VOLUME_AVG_30D))</f>
        <v/>
      </c>
      <c r="AA1950" s="31" t="str" cm="1">
        <f t="array" ref="AA1950">IF(LEFT(_xll.BDP($C1950, VOLUME_AVG_3M), 4) = "#N/A", "",  _xll.BDP($C1950, VOLUME_AVG_3M))</f>
        <v/>
      </c>
      <c r="AB1950" s="31" t="str" cm="1">
        <f t="array" ref="AB1950">IF(LEFT(_xll.BDP($C1950, VOLUME_AVG_6M), 4) = "#N/A", "",  _xll.BDP($C1950, VOLUME_AVG_6M))</f>
        <v/>
      </c>
      <c r="AC1950" s="31" t="str" cm="1">
        <f t="array" ref="AC1950">IF(LEFT(_xll.BDP($C1950, VOLUME_AVG_12M), 4) = "#N/A", "",  _xll.BDP($C1950, VOLUME_AVG_12M))</f>
        <v/>
      </c>
      <c r="AD1950" s="41" t="str" cm="1">
        <f t="array" ref="AD1950">IF(LEFT(_xll.BDP($C1950, LAST_PRICE), 4) = "#N/A", "",  _xll.BDP($C1950, LAST_PRICE))</f>
        <v/>
      </c>
    </row>
    <row r="1951" spans="1:30" x14ac:dyDescent="0.35">
      <c r="A1951" s="1" t="str">
        <f t="shared" si="30"/>
        <v/>
      </c>
      <c r="B1951" s="30"/>
      <c r="C1951" s="29"/>
      <c r="D1951" s="29"/>
      <c r="E1951" s="29"/>
      <c r="F1951" s="29"/>
      <c r="G1951" s="30"/>
      <c r="H1951" s="31"/>
      <c r="I1951" s="31"/>
      <c r="J1951" s="32"/>
      <c r="K1951" s="33"/>
      <c r="L1951" s="31"/>
      <c r="M1951" s="32"/>
      <c r="N1951" s="31"/>
      <c r="O1951" s="36"/>
      <c r="P1951" s="34"/>
      <c r="Q1951" s="34"/>
      <c r="R1951" s="34"/>
      <c r="S1951" s="29"/>
      <c r="T1951" s="35"/>
      <c r="U1951" s="35"/>
      <c r="V1951" s="35"/>
      <c r="W1951" s="35"/>
      <c r="Y1951" s="31" t="str" cm="1">
        <f t="array" ref="Y1951">IF(LEFT(_xll.BDP($C1951, VOLUME_AVG_10D), 4) = "#N/A", "",  _xll.BDP($C1951, VOLUME_AVG_10D))</f>
        <v/>
      </c>
      <c r="Z1951" s="31" t="str" cm="1">
        <f t="array" ref="Z1951">IF(LEFT(_xll.BDP($C1951, VOLUME_AVG_30D), 4) = "#N/A", "",  _xll.BDP($C1951, VOLUME_AVG_30D))</f>
        <v/>
      </c>
      <c r="AA1951" s="31" t="str" cm="1">
        <f t="array" ref="AA1951">IF(LEFT(_xll.BDP($C1951, VOLUME_AVG_3M), 4) = "#N/A", "",  _xll.BDP($C1951, VOLUME_AVG_3M))</f>
        <v/>
      </c>
      <c r="AB1951" s="31" t="str" cm="1">
        <f t="array" ref="AB1951">IF(LEFT(_xll.BDP($C1951, VOLUME_AVG_6M), 4) = "#N/A", "",  _xll.BDP($C1951, VOLUME_AVG_6M))</f>
        <v/>
      </c>
      <c r="AC1951" s="31" t="str" cm="1">
        <f t="array" ref="AC1951">IF(LEFT(_xll.BDP($C1951, VOLUME_AVG_12M), 4) = "#N/A", "",  _xll.BDP($C1951, VOLUME_AVG_12M))</f>
        <v/>
      </c>
      <c r="AD1951" s="41" t="str" cm="1">
        <f t="array" ref="AD1951">IF(LEFT(_xll.BDP($C1951, LAST_PRICE), 4) = "#N/A", "",  _xll.BDP($C1951, LAST_PRICE))</f>
        <v/>
      </c>
    </row>
    <row r="1952" spans="1:30" x14ac:dyDescent="0.35">
      <c r="A1952" s="1" t="str">
        <f t="shared" si="30"/>
        <v/>
      </c>
      <c r="B1952" s="30"/>
      <c r="C1952" s="29"/>
      <c r="D1952" s="29"/>
      <c r="E1952" s="29"/>
      <c r="F1952" s="29"/>
      <c r="G1952" s="30"/>
      <c r="H1952" s="31"/>
      <c r="I1952" s="31"/>
      <c r="J1952" s="32"/>
      <c r="K1952" s="33"/>
      <c r="L1952" s="31"/>
      <c r="M1952" s="32"/>
      <c r="N1952" s="31"/>
      <c r="O1952" s="36"/>
      <c r="P1952" s="34"/>
      <c r="Q1952" s="34"/>
      <c r="R1952" s="34"/>
      <c r="S1952" s="29"/>
      <c r="T1952" s="35"/>
      <c r="U1952" s="35"/>
      <c r="V1952" s="35"/>
      <c r="W1952" s="35"/>
      <c r="Y1952" s="31" t="str" cm="1">
        <f t="array" ref="Y1952">IF(LEFT(_xll.BDP($C1952, VOLUME_AVG_10D), 4) = "#N/A", "",  _xll.BDP($C1952, VOLUME_AVG_10D))</f>
        <v/>
      </c>
      <c r="Z1952" s="31" t="str" cm="1">
        <f t="array" ref="Z1952">IF(LEFT(_xll.BDP($C1952, VOLUME_AVG_30D), 4) = "#N/A", "",  _xll.BDP($C1952, VOLUME_AVG_30D))</f>
        <v/>
      </c>
      <c r="AA1952" s="31" t="str" cm="1">
        <f t="array" ref="AA1952">IF(LEFT(_xll.BDP($C1952, VOLUME_AVG_3M), 4) = "#N/A", "",  _xll.BDP($C1952, VOLUME_AVG_3M))</f>
        <v/>
      </c>
      <c r="AB1952" s="31" t="str" cm="1">
        <f t="array" ref="AB1952">IF(LEFT(_xll.BDP($C1952, VOLUME_AVG_6M), 4) = "#N/A", "",  _xll.BDP($C1952, VOLUME_AVG_6M))</f>
        <v/>
      </c>
      <c r="AC1952" s="31" t="str" cm="1">
        <f t="array" ref="AC1952">IF(LEFT(_xll.BDP($C1952, VOLUME_AVG_12M), 4) = "#N/A", "",  _xll.BDP($C1952, VOLUME_AVG_12M))</f>
        <v/>
      </c>
      <c r="AD1952" s="41" t="str" cm="1">
        <f t="array" ref="AD1952">IF(LEFT(_xll.BDP($C1952, LAST_PRICE), 4) = "#N/A", "",  _xll.BDP($C1952, LAST_PRICE))</f>
        <v/>
      </c>
    </row>
    <row r="1953" spans="1:30" x14ac:dyDescent="0.35">
      <c r="A1953" s="1" t="str">
        <f t="shared" si="30"/>
        <v/>
      </c>
      <c r="B1953" s="30"/>
      <c r="C1953" s="29"/>
      <c r="D1953" s="29"/>
      <c r="E1953" s="29"/>
      <c r="F1953" s="29"/>
      <c r="G1953" s="30"/>
      <c r="H1953" s="31"/>
      <c r="I1953" s="31"/>
      <c r="J1953" s="32"/>
      <c r="K1953" s="33"/>
      <c r="L1953" s="31"/>
      <c r="M1953" s="32"/>
      <c r="N1953" s="31"/>
      <c r="O1953" s="36"/>
      <c r="P1953" s="34"/>
      <c r="Q1953" s="34"/>
      <c r="R1953" s="34"/>
      <c r="S1953" s="29"/>
      <c r="T1953" s="35"/>
      <c r="U1953" s="35"/>
      <c r="V1953" s="35"/>
      <c r="W1953" s="35"/>
      <c r="Y1953" s="31" t="str" cm="1">
        <f t="array" ref="Y1953">IF(LEFT(_xll.BDP($C1953, VOLUME_AVG_10D), 4) = "#N/A", "",  _xll.BDP($C1953, VOLUME_AVG_10D))</f>
        <v/>
      </c>
      <c r="Z1953" s="31" t="str" cm="1">
        <f t="array" ref="Z1953">IF(LEFT(_xll.BDP($C1953, VOLUME_AVG_30D), 4) = "#N/A", "",  _xll.BDP($C1953, VOLUME_AVG_30D))</f>
        <v/>
      </c>
      <c r="AA1953" s="31" t="str" cm="1">
        <f t="array" ref="AA1953">IF(LEFT(_xll.BDP($C1953, VOLUME_AVG_3M), 4) = "#N/A", "",  _xll.BDP($C1953, VOLUME_AVG_3M))</f>
        <v/>
      </c>
      <c r="AB1953" s="31" t="str" cm="1">
        <f t="array" ref="AB1953">IF(LEFT(_xll.BDP($C1953, VOLUME_AVG_6M), 4) = "#N/A", "",  _xll.BDP($C1953, VOLUME_AVG_6M))</f>
        <v/>
      </c>
      <c r="AC1953" s="31" t="str" cm="1">
        <f t="array" ref="AC1953">IF(LEFT(_xll.BDP($C1953, VOLUME_AVG_12M), 4) = "#N/A", "",  _xll.BDP($C1953, VOLUME_AVG_12M))</f>
        <v/>
      </c>
      <c r="AD1953" s="41" t="str" cm="1">
        <f t="array" ref="AD1953">IF(LEFT(_xll.BDP($C1953, LAST_PRICE), 4) = "#N/A", "",  _xll.BDP($C1953, LAST_PRICE))</f>
        <v/>
      </c>
    </row>
    <row r="1954" spans="1:30" x14ac:dyDescent="0.35">
      <c r="A1954" s="1" t="str">
        <f t="shared" si="30"/>
        <v/>
      </c>
      <c r="B1954" s="30"/>
      <c r="C1954" s="29"/>
      <c r="D1954" s="29"/>
      <c r="E1954" s="29"/>
      <c r="F1954" s="29"/>
      <c r="G1954" s="30"/>
      <c r="H1954" s="31"/>
      <c r="I1954" s="31"/>
      <c r="J1954" s="32"/>
      <c r="K1954" s="33"/>
      <c r="L1954" s="31"/>
      <c r="M1954" s="32"/>
      <c r="N1954" s="31"/>
      <c r="O1954" s="36"/>
      <c r="P1954" s="34"/>
      <c r="Q1954" s="34"/>
      <c r="R1954" s="34"/>
      <c r="S1954" s="29"/>
      <c r="T1954" s="35"/>
      <c r="U1954" s="35"/>
      <c r="V1954" s="35"/>
      <c r="W1954" s="35"/>
      <c r="Y1954" s="31" t="str" cm="1">
        <f t="array" ref="Y1954">IF(LEFT(_xll.BDP($C1954, VOLUME_AVG_10D), 4) = "#N/A", "",  _xll.BDP($C1954, VOLUME_AVG_10D))</f>
        <v/>
      </c>
      <c r="Z1954" s="31" t="str" cm="1">
        <f t="array" ref="Z1954">IF(LEFT(_xll.BDP($C1954, VOLUME_AVG_30D), 4) = "#N/A", "",  _xll.BDP($C1954, VOLUME_AVG_30D))</f>
        <v/>
      </c>
      <c r="AA1954" s="31" t="str" cm="1">
        <f t="array" ref="AA1954">IF(LEFT(_xll.BDP($C1954, VOLUME_AVG_3M), 4) = "#N/A", "",  _xll.BDP($C1954, VOLUME_AVG_3M))</f>
        <v/>
      </c>
      <c r="AB1954" s="31" t="str" cm="1">
        <f t="array" ref="AB1954">IF(LEFT(_xll.BDP($C1954, VOLUME_AVG_6M), 4) = "#N/A", "",  _xll.BDP($C1954, VOLUME_AVG_6M))</f>
        <v/>
      </c>
      <c r="AC1954" s="31" t="str" cm="1">
        <f t="array" ref="AC1954">IF(LEFT(_xll.BDP($C1954, VOLUME_AVG_12M), 4) = "#N/A", "",  _xll.BDP($C1954, VOLUME_AVG_12M))</f>
        <v/>
      </c>
      <c r="AD1954" s="41" t="str" cm="1">
        <f t="array" ref="AD1954">IF(LEFT(_xll.BDP($C1954, LAST_PRICE), 4) = "#N/A", "",  _xll.BDP($C1954, LAST_PRICE))</f>
        <v/>
      </c>
    </row>
    <row r="1955" spans="1:30" x14ac:dyDescent="0.35">
      <c r="A1955" s="1" t="str">
        <f t="shared" si="30"/>
        <v/>
      </c>
      <c r="B1955" s="30"/>
      <c r="C1955" s="29"/>
      <c r="D1955" s="29"/>
      <c r="E1955" s="29"/>
      <c r="F1955" s="29"/>
      <c r="G1955" s="30"/>
      <c r="H1955" s="31"/>
      <c r="I1955" s="31"/>
      <c r="J1955" s="32"/>
      <c r="K1955" s="33"/>
      <c r="L1955" s="31"/>
      <c r="M1955" s="32"/>
      <c r="N1955" s="31"/>
      <c r="O1955" s="36"/>
      <c r="P1955" s="34"/>
      <c r="Q1955" s="34"/>
      <c r="R1955" s="34"/>
      <c r="S1955" s="29"/>
      <c r="T1955" s="35"/>
      <c r="U1955" s="35"/>
      <c r="V1955" s="35"/>
      <c r="W1955" s="35"/>
      <c r="Y1955" s="31" t="str" cm="1">
        <f t="array" ref="Y1955">IF(LEFT(_xll.BDP($C1955, VOLUME_AVG_10D), 4) = "#N/A", "",  _xll.BDP($C1955, VOLUME_AVG_10D))</f>
        <v/>
      </c>
      <c r="Z1955" s="31" t="str" cm="1">
        <f t="array" ref="Z1955">IF(LEFT(_xll.BDP($C1955, VOLUME_AVG_30D), 4) = "#N/A", "",  _xll.BDP($C1955, VOLUME_AVG_30D))</f>
        <v/>
      </c>
      <c r="AA1955" s="31" t="str" cm="1">
        <f t="array" ref="AA1955">IF(LEFT(_xll.BDP($C1955, VOLUME_AVG_3M), 4) = "#N/A", "",  _xll.BDP($C1955, VOLUME_AVG_3M))</f>
        <v/>
      </c>
      <c r="AB1955" s="31" t="str" cm="1">
        <f t="array" ref="AB1955">IF(LEFT(_xll.BDP($C1955, VOLUME_AVG_6M), 4) = "#N/A", "",  _xll.BDP($C1955, VOLUME_AVG_6M))</f>
        <v/>
      </c>
      <c r="AC1955" s="31" t="str" cm="1">
        <f t="array" ref="AC1955">IF(LEFT(_xll.BDP($C1955, VOLUME_AVG_12M), 4) = "#N/A", "",  _xll.BDP($C1955, VOLUME_AVG_12M))</f>
        <v/>
      </c>
      <c r="AD1955" s="41" t="str" cm="1">
        <f t="array" ref="AD1955">IF(LEFT(_xll.BDP($C1955, LAST_PRICE), 4) = "#N/A", "",  _xll.BDP($C1955, LAST_PRICE))</f>
        <v/>
      </c>
    </row>
    <row r="1956" spans="1:30" x14ac:dyDescent="0.35">
      <c r="A1956" s="1" t="str">
        <f t="shared" si="30"/>
        <v/>
      </c>
      <c r="B1956" s="30"/>
      <c r="C1956" s="29"/>
      <c r="D1956" s="29"/>
      <c r="E1956" s="29"/>
      <c r="F1956" s="29"/>
      <c r="G1956" s="30"/>
      <c r="H1956" s="31"/>
      <c r="I1956" s="31"/>
      <c r="J1956" s="32"/>
      <c r="K1956" s="33"/>
      <c r="L1956" s="31"/>
      <c r="M1956" s="32"/>
      <c r="N1956" s="31"/>
      <c r="O1956" s="36"/>
      <c r="P1956" s="34"/>
      <c r="Q1956" s="34"/>
      <c r="R1956" s="34"/>
      <c r="S1956" s="29"/>
      <c r="T1956" s="35"/>
      <c r="U1956" s="35"/>
      <c r="V1956" s="35"/>
      <c r="W1956" s="35"/>
      <c r="Y1956" s="31" t="str" cm="1">
        <f t="array" ref="Y1956">IF(LEFT(_xll.BDP($C1956, VOLUME_AVG_10D), 4) = "#N/A", "",  _xll.BDP($C1956, VOLUME_AVG_10D))</f>
        <v/>
      </c>
      <c r="Z1956" s="31" t="str" cm="1">
        <f t="array" ref="Z1956">IF(LEFT(_xll.BDP($C1956, VOLUME_AVG_30D), 4) = "#N/A", "",  _xll.BDP($C1956, VOLUME_AVG_30D))</f>
        <v/>
      </c>
      <c r="AA1956" s="31" t="str" cm="1">
        <f t="array" ref="AA1956">IF(LEFT(_xll.BDP($C1956, VOLUME_AVG_3M), 4) = "#N/A", "",  _xll.BDP($C1956, VOLUME_AVG_3M))</f>
        <v/>
      </c>
      <c r="AB1956" s="31" t="str" cm="1">
        <f t="array" ref="AB1956">IF(LEFT(_xll.BDP($C1956, VOLUME_AVG_6M), 4) = "#N/A", "",  _xll.BDP($C1956, VOLUME_AVG_6M))</f>
        <v/>
      </c>
      <c r="AC1956" s="31" t="str" cm="1">
        <f t="array" ref="AC1956">IF(LEFT(_xll.BDP($C1956, VOLUME_AVG_12M), 4) = "#N/A", "",  _xll.BDP($C1956, VOLUME_AVG_12M))</f>
        <v/>
      </c>
      <c r="AD1956" s="41" t="str" cm="1">
        <f t="array" ref="AD1956">IF(LEFT(_xll.BDP($C1956, LAST_PRICE), 4) = "#N/A", "",  _xll.BDP($C1956, LAST_PRICE))</f>
        <v/>
      </c>
    </row>
    <row r="1957" spans="1:30" x14ac:dyDescent="0.35">
      <c r="A1957" s="1" t="str">
        <f t="shared" si="30"/>
        <v/>
      </c>
      <c r="B1957" s="30"/>
      <c r="C1957" s="29"/>
      <c r="D1957" s="29"/>
      <c r="E1957" s="29"/>
      <c r="F1957" s="29"/>
      <c r="G1957" s="30"/>
      <c r="H1957" s="31"/>
      <c r="I1957" s="31"/>
      <c r="J1957" s="32"/>
      <c r="K1957" s="33"/>
      <c r="L1957" s="31"/>
      <c r="M1957" s="32"/>
      <c r="N1957" s="31"/>
      <c r="O1957" s="36"/>
      <c r="P1957" s="34"/>
      <c r="Q1957" s="34"/>
      <c r="R1957" s="34"/>
      <c r="S1957" s="29"/>
      <c r="T1957" s="35"/>
      <c r="U1957" s="35"/>
      <c r="V1957" s="35"/>
      <c r="W1957" s="35"/>
      <c r="Y1957" s="31" t="str" cm="1">
        <f t="array" ref="Y1957">IF(LEFT(_xll.BDP($C1957, VOLUME_AVG_10D), 4) = "#N/A", "",  _xll.BDP($C1957, VOLUME_AVG_10D))</f>
        <v/>
      </c>
      <c r="Z1957" s="31" t="str" cm="1">
        <f t="array" ref="Z1957">IF(LEFT(_xll.BDP($C1957, VOLUME_AVG_30D), 4) = "#N/A", "",  _xll.BDP($C1957, VOLUME_AVG_30D))</f>
        <v/>
      </c>
      <c r="AA1957" s="31" t="str" cm="1">
        <f t="array" ref="AA1957">IF(LEFT(_xll.BDP($C1957, VOLUME_AVG_3M), 4) = "#N/A", "",  _xll.BDP($C1957, VOLUME_AVG_3M))</f>
        <v/>
      </c>
      <c r="AB1957" s="31" t="str" cm="1">
        <f t="array" ref="AB1957">IF(LEFT(_xll.BDP($C1957, VOLUME_AVG_6M), 4) = "#N/A", "",  _xll.BDP($C1957, VOLUME_AVG_6M))</f>
        <v/>
      </c>
      <c r="AC1957" s="31" t="str" cm="1">
        <f t="array" ref="AC1957">IF(LEFT(_xll.BDP($C1957, VOLUME_AVG_12M), 4) = "#N/A", "",  _xll.BDP($C1957, VOLUME_AVG_12M))</f>
        <v/>
      </c>
      <c r="AD1957" s="41" t="str" cm="1">
        <f t="array" ref="AD1957">IF(LEFT(_xll.BDP($C1957, LAST_PRICE), 4) = "#N/A", "",  _xll.BDP($C1957, LAST_PRICE))</f>
        <v/>
      </c>
    </row>
    <row r="1958" spans="1:30" x14ac:dyDescent="0.35">
      <c r="A1958" s="1" t="str">
        <f t="shared" si="30"/>
        <v/>
      </c>
      <c r="B1958" s="30"/>
      <c r="C1958" s="29"/>
      <c r="D1958" s="29"/>
      <c r="E1958" s="29"/>
      <c r="F1958" s="29"/>
      <c r="G1958" s="30"/>
      <c r="H1958" s="31"/>
      <c r="I1958" s="31"/>
      <c r="J1958" s="32"/>
      <c r="K1958" s="33"/>
      <c r="L1958" s="31"/>
      <c r="M1958" s="32"/>
      <c r="N1958" s="31"/>
      <c r="O1958" s="36"/>
      <c r="P1958" s="34"/>
      <c r="Q1958" s="34"/>
      <c r="R1958" s="34"/>
      <c r="S1958" s="29"/>
      <c r="T1958" s="35"/>
      <c r="U1958" s="35"/>
      <c r="V1958" s="35"/>
      <c r="W1958" s="35"/>
      <c r="Y1958" s="31" t="str" cm="1">
        <f t="array" ref="Y1958">IF(LEFT(_xll.BDP($C1958, VOLUME_AVG_10D), 4) = "#N/A", "",  _xll.BDP($C1958, VOLUME_AVG_10D))</f>
        <v/>
      </c>
      <c r="Z1958" s="31" t="str" cm="1">
        <f t="array" ref="Z1958">IF(LEFT(_xll.BDP($C1958, VOLUME_AVG_30D), 4) = "#N/A", "",  _xll.BDP($C1958, VOLUME_AVG_30D))</f>
        <v/>
      </c>
      <c r="AA1958" s="31" t="str" cm="1">
        <f t="array" ref="AA1958">IF(LEFT(_xll.BDP($C1958, VOLUME_AVG_3M), 4) = "#N/A", "",  _xll.BDP($C1958, VOLUME_AVG_3M))</f>
        <v/>
      </c>
      <c r="AB1958" s="31" t="str" cm="1">
        <f t="array" ref="AB1958">IF(LEFT(_xll.BDP($C1958, VOLUME_AVG_6M), 4) = "#N/A", "",  _xll.BDP($C1958, VOLUME_AVG_6M))</f>
        <v/>
      </c>
      <c r="AC1958" s="31" t="str" cm="1">
        <f t="array" ref="AC1958">IF(LEFT(_xll.BDP($C1958, VOLUME_AVG_12M), 4) = "#N/A", "",  _xll.BDP($C1958, VOLUME_AVG_12M))</f>
        <v/>
      </c>
      <c r="AD1958" s="41" t="str" cm="1">
        <f t="array" ref="AD1958">IF(LEFT(_xll.BDP($C1958, LAST_PRICE), 4) = "#N/A", "",  _xll.BDP($C1958, LAST_PRICE))</f>
        <v/>
      </c>
    </row>
    <row r="1959" spans="1:30" x14ac:dyDescent="0.35">
      <c r="A1959" s="1" t="str">
        <f t="shared" si="30"/>
        <v/>
      </c>
      <c r="B1959" s="30"/>
      <c r="C1959" s="29"/>
      <c r="D1959" s="29"/>
      <c r="E1959" s="29"/>
      <c r="F1959" s="29"/>
      <c r="G1959" s="30"/>
      <c r="H1959" s="31"/>
      <c r="I1959" s="31"/>
      <c r="J1959" s="32"/>
      <c r="K1959" s="33"/>
      <c r="L1959" s="31"/>
      <c r="M1959" s="32"/>
      <c r="N1959" s="31"/>
      <c r="O1959" s="36"/>
      <c r="P1959" s="34"/>
      <c r="Q1959" s="34"/>
      <c r="R1959" s="34"/>
      <c r="S1959" s="29"/>
      <c r="T1959" s="35"/>
      <c r="U1959" s="35"/>
      <c r="V1959" s="35"/>
      <c r="W1959" s="35"/>
      <c r="Y1959" s="31" t="str" cm="1">
        <f t="array" ref="Y1959">IF(LEFT(_xll.BDP($C1959, VOLUME_AVG_10D), 4) = "#N/A", "",  _xll.BDP($C1959, VOLUME_AVG_10D))</f>
        <v/>
      </c>
      <c r="Z1959" s="31" t="str" cm="1">
        <f t="array" ref="Z1959">IF(LEFT(_xll.BDP($C1959, VOLUME_AVG_30D), 4) = "#N/A", "",  _xll.BDP($C1959, VOLUME_AVG_30D))</f>
        <v/>
      </c>
      <c r="AA1959" s="31" t="str" cm="1">
        <f t="array" ref="AA1959">IF(LEFT(_xll.BDP($C1959, VOLUME_AVG_3M), 4) = "#N/A", "",  _xll.BDP($C1959, VOLUME_AVG_3M))</f>
        <v/>
      </c>
      <c r="AB1959" s="31" t="str" cm="1">
        <f t="array" ref="AB1959">IF(LEFT(_xll.BDP($C1959, VOLUME_AVG_6M), 4) = "#N/A", "",  _xll.BDP($C1959, VOLUME_AVG_6M))</f>
        <v/>
      </c>
      <c r="AC1959" s="31" t="str" cm="1">
        <f t="array" ref="AC1959">IF(LEFT(_xll.BDP($C1959, VOLUME_AVG_12M), 4) = "#N/A", "",  _xll.BDP($C1959, VOLUME_AVG_12M))</f>
        <v/>
      </c>
      <c r="AD1959" s="41" t="str" cm="1">
        <f t="array" ref="AD1959">IF(LEFT(_xll.BDP($C1959, LAST_PRICE), 4) = "#N/A", "",  _xll.BDP($C1959, LAST_PRICE))</f>
        <v/>
      </c>
    </row>
    <row r="1960" spans="1:30" x14ac:dyDescent="0.35">
      <c r="A1960" s="1" t="str">
        <f t="shared" si="30"/>
        <v/>
      </c>
      <c r="B1960" s="30"/>
      <c r="C1960" s="29"/>
      <c r="D1960" s="29"/>
      <c r="E1960" s="29"/>
      <c r="F1960" s="29"/>
      <c r="G1960" s="30"/>
      <c r="H1960" s="31"/>
      <c r="I1960" s="31"/>
      <c r="J1960" s="32"/>
      <c r="K1960" s="33"/>
      <c r="L1960" s="31"/>
      <c r="M1960" s="32"/>
      <c r="N1960" s="31"/>
      <c r="O1960" s="36"/>
      <c r="P1960" s="34"/>
      <c r="Q1960" s="34"/>
      <c r="R1960" s="34"/>
      <c r="S1960" s="29"/>
      <c r="T1960" s="35"/>
      <c r="U1960" s="35"/>
      <c r="V1960" s="35"/>
      <c r="W1960" s="35"/>
      <c r="Y1960" s="31" t="str" cm="1">
        <f t="array" ref="Y1960">IF(LEFT(_xll.BDP($C1960, VOLUME_AVG_10D), 4) = "#N/A", "",  _xll.BDP($C1960, VOLUME_AVG_10D))</f>
        <v/>
      </c>
      <c r="Z1960" s="31" t="str" cm="1">
        <f t="array" ref="Z1960">IF(LEFT(_xll.BDP($C1960, VOLUME_AVG_30D), 4) = "#N/A", "",  _xll.BDP($C1960, VOLUME_AVG_30D))</f>
        <v/>
      </c>
      <c r="AA1960" s="31" t="str" cm="1">
        <f t="array" ref="AA1960">IF(LEFT(_xll.BDP($C1960, VOLUME_AVG_3M), 4) = "#N/A", "",  _xll.BDP($C1960, VOLUME_AVG_3M))</f>
        <v/>
      </c>
      <c r="AB1960" s="31" t="str" cm="1">
        <f t="array" ref="AB1960">IF(LEFT(_xll.BDP($C1960, VOLUME_AVG_6M), 4) = "#N/A", "",  _xll.BDP($C1960, VOLUME_AVG_6M))</f>
        <v/>
      </c>
      <c r="AC1960" s="31" t="str" cm="1">
        <f t="array" ref="AC1960">IF(LEFT(_xll.BDP($C1960, VOLUME_AVG_12M), 4) = "#N/A", "",  _xll.BDP($C1960, VOLUME_AVG_12M))</f>
        <v/>
      </c>
      <c r="AD1960" s="41" t="str" cm="1">
        <f t="array" ref="AD1960">IF(LEFT(_xll.BDP($C1960, LAST_PRICE), 4) = "#N/A", "",  _xll.BDP($C1960, LAST_PRICE))</f>
        <v/>
      </c>
    </row>
    <row r="1961" spans="1:30" x14ac:dyDescent="0.35">
      <c r="A1961" s="1" t="str">
        <f t="shared" si="30"/>
        <v/>
      </c>
      <c r="B1961" s="30"/>
      <c r="C1961" s="29"/>
      <c r="D1961" s="29"/>
      <c r="E1961" s="29"/>
      <c r="F1961" s="29"/>
      <c r="G1961" s="30"/>
      <c r="H1961" s="31"/>
      <c r="I1961" s="31"/>
      <c r="J1961" s="32"/>
      <c r="K1961" s="33"/>
      <c r="L1961" s="31"/>
      <c r="M1961" s="32"/>
      <c r="N1961" s="31"/>
      <c r="O1961" s="36"/>
      <c r="P1961" s="34"/>
      <c r="Q1961" s="34"/>
      <c r="R1961" s="34"/>
      <c r="S1961" s="29"/>
      <c r="T1961" s="35"/>
      <c r="U1961" s="35"/>
      <c r="V1961" s="35"/>
      <c r="W1961" s="35"/>
      <c r="Y1961" s="31" t="str" cm="1">
        <f t="array" ref="Y1961">IF(LEFT(_xll.BDP($C1961, VOLUME_AVG_10D), 4) = "#N/A", "",  _xll.BDP($C1961, VOLUME_AVG_10D))</f>
        <v/>
      </c>
      <c r="Z1961" s="31" t="str" cm="1">
        <f t="array" ref="Z1961">IF(LEFT(_xll.BDP($C1961, VOLUME_AVG_30D), 4) = "#N/A", "",  _xll.BDP($C1961, VOLUME_AVG_30D))</f>
        <v/>
      </c>
      <c r="AA1961" s="31" t="str" cm="1">
        <f t="array" ref="AA1961">IF(LEFT(_xll.BDP($C1961, VOLUME_AVG_3M), 4) = "#N/A", "",  _xll.BDP($C1961, VOLUME_AVG_3M))</f>
        <v/>
      </c>
      <c r="AB1961" s="31" t="str" cm="1">
        <f t="array" ref="AB1961">IF(LEFT(_xll.BDP($C1961, VOLUME_AVG_6M), 4) = "#N/A", "",  _xll.BDP($C1961, VOLUME_AVG_6M))</f>
        <v/>
      </c>
      <c r="AC1961" s="31" t="str" cm="1">
        <f t="array" ref="AC1961">IF(LEFT(_xll.BDP($C1961, VOLUME_AVG_12M), 4) = "#N/A", "",  _xll.BDP($C1961, VOLUME_AVG_12M))</f>
        <v/>
      </c>
      <c r="AD1961" s="41" t="str" cm="1">
        <f t="array" ref="AD1961">IF(LEFT(_xll.BDP($C1961, LAST_PRICE), 4) = "#N/A", "",  _xll.BDP($C1961, LAST_PRICE))</f>
        <v/>
      </c>
    </row>
    <row r="1962" spans="1:30" x14ac:dyDescent="0.35">
      <c r="A1962" s="1" t="str">
        <f t="shared" si="30"/>
        <v/>
      </c>
      <c r="B1962" s="30"/>
      <c r="C1962" s="29"/>
      <c r="D1962" s="29"/>
      <c r="E1962" s="29"/>
      <c r="F1962" s="29"/>
      <c r="G1962" s="30"/>
      <c r="H1962" s="31"/>
      <c r="I1962" s="31"/>
      <c r="J1962" s="32"/>
      <c r="K1962" s="33"/>
      <c r="L1962" s="31"/>
      <c r="M1962" s="32"/>
      <c r="N1962" s="31"/>
      <c r="O1962" s="36"/>
      <c r="P1962" s="34"/>
      <c r="Q1962" s="34"/>
      <c r="R1962" s="34"/>
      <c r="S1962" s="29"/>
      <c r="T1962" s="35"/>
      <c r="U1962" s="35"/>
      <c r="V1962" s="35"/>
      <c r="W1962" s="35"/>
      <c r="Y1962" s="31" t="str" cm="1">
        <f t="array" ref="Y1962">IF(LEFT(_xll.BDP($C1962, VOLUME_AVG_10D), 4) = "#N/A", "",  _xll.BDP($C1962, VOLUME_AVG_10D))</f>
        <v/>
      </c>
      <c r="Z1962" s="31" t="str" cm="1">
        <f t="array" ref="Z1962">IF(LEFT(_xll.BDP($C1962, VOLUME_AVG_30D), 4) = "#N/A", "",  _xll.BDP($C1962, VOLUME_AVG_30D))</f>
        <v/>
      </c>
      <c r="AA1962" s="31" t="str" cm="1">
        <f t="array" ref="AA1962">IF(LEFT(_xll.BDP($C1962, VOLUME_AVG_3M), 4) = "#N/A", "",  _xll.BDP($C1962, VOLUME_AVG_3M))</f>
        <v/>
      </c>
      <c r="AB1962" s="31" t="str" cm="1">
        <f t="array" ref="AB1962">IF(LEFT(_xll.BDP($C1962, VOLUME_AVG_6M), 4) = "#N/A", "",  _xll.BDP($C1962, VOLUME_AVG_6M))</f>
        <v/>
      </c>
      <c r="AC1962" s="31" t="str" cm="1">
        <f t="array" ref="AC1962">IF(LEFT(_xll.BDP($C1962, VOLUME_AVG_12M), 4) = "#N/A", "",  _xll.BDP($C1962, VOLUME_AVG_12M))</f>
        <v/>
      </c>
      <c r="AD1962" s="41" t="str" cm="1">
        <f t="array" ref="AD1962">IF(LEFT(_xll.BDP($C1962, LAST_PRICE), 4) = "#N/A", "",  _xll.BDP($C1962, LAST_PRICE))</f>
        <v/>
      </c>
    </row>
    <row r="1963" spans="1:30" x14ac:dyDescent="0.35">
      <c r="A1963" s="1" t="str">
        <f t="shared" si="30"/>
        <v/>
      </c>
      <c r="B1963" s="30"/>
      <c r="C1963" s="29"/>
      <c r="D1963" s="29"/>
      <c r="E1963" s="29"/>
      <c r="F1963" s="29"/>
      <c r="G1963" s="30"/>
      <c r="H1963" s="31"/>
      <c r="I1963" s="31"/>
      <c r="J1963" s="32"/>
      <c r="K1963" s="33"/>
      <c r="L1963" s="31"/>
      <c r="M1963" s="32"/>
      <c r="N1963" s="31"/>
      <c r="O1963" s="36"/>
      <c r="P1963" s="34"/>
      <c r="Q1963" s="34"/>
      <c r="R1963" s="34"/>
      <c r="S1963" s="29"/>
      <c r="T1963" s="35"/>
      <c r="U1963" s="35"/>
      <c r="V1963" s="35"/>
      <c r="W1963" s="35"/>
      <c r="Y1963" s="31" t="str" cm="1">
        <f t="array" ref="Y1963">IF(LEFT(_xll.BDP($C1963, VOLUME_AVG_10D), 4) = "#N/A", "",  _xll.BDP($C1963, VOLUME_AVG_10D))</f>
        <v/>
      </c>
      <c r="Z1963" s="31" t="str" cm="1">
        <f t="array" ref="Z1963">IF(LEFT(_xll.BDP($C1963, VOLUME_AVG_30D), 4) = "#N/A", "",  _xll.BDP($C1963, VOLUME_AVG_30D))</f>
        <v/>
      </c>
      <c r="AA1963" s="31" t="str" cm="1">
        <f t="array" ref="AA1963">IF(LEFT(_xll.BDP($C1963, VOLUME_AVG_3M), 4) = "#N/A", "",  _xll.BDP($C1963, VOLUME_AVG_3M))</f>
        <v/>
      </c>
      <c r="AB1963" s="31" t="str" cm="1">
        <f t="array" ref="AB1963">IF(LEFT(_xll.BDP($C1963, VOLUME_AVG_6M), 4) = "#N/A", "",  _xll.BDP($C1963, VOLUME_AVG_6M))</f>
        <v/>
      </c>
      <c r="AC1963" s="31" t="str" cm="1">
        <f t="array" ref="AC1963">IF(LEFT(_xll.BDP($C1963, VOLUME_AVG_12M), 4) = "#N/A", "",  _xll.BDP($C1963, VOLUME_AVG_12M))</f>
        <v/>
      </c>
      <c r="AD1963" s="41" t="str" cm="1">
        <f t="array" ref="AD1963">IF(LEFT(_xll.BDP($C1963, LAST_PRICE), 4) = "#N/A", "",  _xll.BDP($C1963, LAST_PRICE))</f>
        <v/>
      </c>
    </row>
    <row r="1964" spans="1:30" x14ac:dyDescent="0.35">
      <c r="A1964" s="1" t="str">
        <f t="shared" si="30"/>
        <v/>
      </c>
      <c r="B1964" s="30"/>
      <c r="C1964" s="29"/>
      <c r="D1964" s="29"/>
      <c r="E1964" s="29"/>
      <c r="F1964" s="29"/>
      <c r="G1964" s="30"/>
      <c r="H1964" s="31"/>
      <c r="I1964" s="31"/>
      <c r="J1964" s="32"/>
      <c r="K1964" s="33"/>
      <c r="L1964" s="31"/>
      <c r="M1964" s="32"/>
      <c r="N1964" s="31"/>
      <c r="O1964" s="36"/>
      <c r="P1964" s="34"/>
      <c r="Q1964" s="34"/>
      <c r="R1964" s="34"/>
      <c r="S1964" s="29"/>
      <c r="T1964" s="35"/>
      <c r="U1964" s="35"/>
      <c r="V1964" s="35"/>
      <c r="W1964" s="35"/>
      <c r="Y1964" s="31" t="str" cm="1">
        <f t="array" ref="Y1964">IF(LEFT(_xll.BDP($C1964, VOLUME_AVG_10D), 4) = "#N/A", "",  _xll.BDP($C1964, VOLUME_AVG_10D))</f>
        <v/>
      </c>
      <c r="Z1964" s="31" t="str" cm="1">
        <f t="array" ref="Z1964">IF(LEFT(_xll.BDP($C1964, VOLUME_AVG_30D), 4) = "#N/A", "",  _xll.BDP($C1964, VOLUME_AVG_30D))</f>
        <v/>
      </c>
      <c r="AA1964" s="31" t="str" cm="1">
        <f t="array" ref="AA1964">IF(LEFT(_xll.BDP($C1964, VOLUME_AVG_3M), 4) = "#N/A", "",  _xll.BDP($C1964, VOLUME_AVG_3M))</f>
        <v/>
      </c>
      <c r="AB1964" s="31" t="str" cm="1">
        <f t="array" ref="AB1964">IF(LEFT(_xll.BDP($C1964, VOLUME_AVG_6M), 4) = "#N/A", "",  _xll.BDP($C1964, VOLUME_AVG_6M))</f>
        <v/>
      </c>
      <c r="AC1964" s="31" t="str" cm="1">
        <f t="array" ref="AC1964">IF(LEFT(_xll.BDP($C1964, VOLUME_AVG_12M), 4) = "#N/A", "",  _xll.BDP($C1964, VOLUME_AVG_12M))</f>
        <v/>
      </c>
      <c r="AD1964" s="41" t="str" cm="1">
        <f t="array" ref="AD1964">IF(LEFT(_xll.BDP($C1964, LAST_PRICE), 4) = "#N/A", "",  _xll.BDP($C1964, LAST_PRICE))</f>
        <v/>
      </c>
    </row>
    <row r="1965" spans="1:30" x14ac:dyDescent="0.35">
      <c r="A1965" s="1" t="str">
        <f t="shared" si="30"/>
        <v/>
      </c>
      <c r="B1965" s="30"/>
      <c r="C1965" s="29"/>
      <c r="D1965" s="29"/>
      <c r="E1965" s="29"/>
      <c r="F1965" s="29"/>
      <c r="G1965" s="30"/>
      <c r="H1965" s="31"/>
      <c r="I1965" s="31"/>
      <c r="J1965" s="32"/>
      <c r="K1965" s="33"/>
      <c r="L1965" s="31"/>
      <c r="M1965" s="32"/>
      <c r="N1965" s="31"/>
      <c r="O1965" s="36"/>
      <c r="P1965" s="34"/>
      <c r="Q1965" s="34"/>
      <c r="R1965" s="34"/>
      <c r="S1965" s="29"/>
      <c r="T1965" s="35"/>
      <c r="U1965" s="35"/>
      <c r="V1965" s="35"/>
      <c r="W1965" s="35"/>
      <c r="Y1965" s="31" t="str" cm="1">
        <f t="array" ref="Y1965">IF(LEFT(_xll.BDP($C1965, VOLUME_AVG_10D), 4) = "#N/A", "",  _xll.BDP($C1965, VOLUME_AVG_10D))</f>
        <v/>
      </c>
      <c r="Z1965" s="31" t="str" cm="1">
        <f t="array" ref="Z1965">IF(LEFT(_xll.BDP($C1965, VOLUME_AVG_30D), 4) = "#N/A", "",  _xll.BDP($C1965, VOLUME_AVG_30D))</f>
        <v/>
      </c>
      <c r="AA1965" s="31" t="str" cm="1">
        <f t="array" ref="AA1965">IF(LEFT(_xll.BDP($C1965, VOLUME_AVG_3M), 4) = "#N/A", "",  _xll.BDP($C1965, VOLUME_AVG_3M))</f>
        <v/>
      </c>
      <c r="AB1965" s="31" t="str" cm="1">
        <f t="array" ref="AB1965">IF(LEFT(_xll.BDP($C1965, VOLUME_AVG_6M), 4) = "#N/A", "",  _xll.BDP($C1965, VOLUME_AVG_6M))</f>
        <v/>
      </c>
      <c r="AC1965" s="31" t="str" cm="1">
        <f t="array" ref="AC1965">IF(LEFT(_xll.BDP($C1965, VOLUME_AVG_12M), 4) = "#N/A", "",  _xll.BDP($C1965, VOLUME_AVG_12M))</f>
        <v/>
      </c>
      <c r="AD1965" s="41" t="str" cm="1">
        <f t="array" ref="AD1965">IF(LEFT(_xll.BDP($C1965, LAST_PRICE), 4) = "#N/A", "",  _xll.BDP($C1965, LAST_PRICE))</f>
        <v/>
      </c>
    </row>
    <row r="1966" spans="1:30" x14ac:dyDescent="0.35">
      <c r="A1966" s="1" t="str">
        <f t="shared" si="30"/>
        <v/>
      </c>
      <c r="B1966" s="30"/>
      <c r="C1966" s="29"/>
      <c r="D1966" s="29"/>
      <c r="E1966" s="29"/>
      <c r="F1966" s="29"/>
      <c r="G1966" s="30"/>
      <c r="H1966" s="31"/>
      <c r="I1966" s="31"/>
      <c r="J1966" s="32"/>
      <c r="K1966" s="33"/>
      <c r="L1966" s="31"/>
      <c r="M1966" s="32"/>
      <c r="N1966" s="31"/>
      <c r="O1966" s="36"/>
      <c r="P1966" s="34"/>
      <c r="Q1966" s="34"/>
      <c r="R1966" s="34"/>
      <c r="S1966" s="29"/>
      <c r="T1966" s="35"/>
      <c r="U1966" s="35"/>
      <c r="V1966" s="35"/>
      <c r="W1966" s="35"/>
      <c r="Y1966" s="31" t="str" cm="1">
        <f t="array" ref="Y1966">IF(LEFT(_xll.BDP($C1966, VOLUME_AVG_10D), 4) = "#N/A", "",  _xll.BDP($C1966, VOLUME_AVG_10D))</f>
        <v/>
      </c>
      <c r="Z1966" s="31" t="str" cm="1">
        <f t="array" ref="Z1966">IF(LEFT(_xll.BDP($C1966, VOLUME_AVG_30D), 4) = "#N/A", "",  _xll.BDP($C1966, VOLUME_AVG_30D))</f>
        <v/>
      </c>
      <c r="AA1966" s="31" t="str" cm="1">
        <f t="array" ref="AA1966">IF(LEFT(_xll.BDP($C1966, VOLUME_AVG_3M), 4) = "#N/A", "",  _xll.BDP($C1966, VOLUME_AVG_3M))</f>
        <v/>
      </c>
      <c r="AB1966" s="31" t="str" cm="1">
        <f t="array" ref="AB1966">IF(LEFT(_xll.BDP($C1966, VOLUME_AVG_6M), 4) = "#N/A", "",  _xll.BDP($C1966, VOLUME_AVG_6M))</f>
        <v/>
      </c>
      <c r="AC1966" s="31" t="str" cm="1">
        <f t="array" ref="AC1966">IF(LEFT(_xll.BDP($C1966, VOLUME_AVG_12M), 4) = "#N/A", "",  _xll.BDP($C1966, VOLUME_AVG_12M))</f>
        <v/>
      </c>
      <c r="AD1966" s="41" t="str" cm="1">
        <f t="array" ref="AD1966">IF(LEFT(_xll.BDP($C1966, LAST_PRICE), 4) = "#N/A", "",  _xll.BDP($C1966, LAST_PRICE))</f>
        <v/>
      </c>
    </row>
    <row r="1967" spans="1:30" x14ac:dyDescent="0.35">
      <c r="A1967" s="1" t="str">
        <f t="shared" si="30"/>
        <v/>
      </c>
      <c r="B1967" s="30"/>
      <c r="C1967" s="29"/>
      <c r="D1967" s="29"/>
      <c r="E1967" s="29"/>
      <c r="F1967" s="29"/>
      <c r="G1967" s="30"/>
      <c r="H1967" s="31"/>
      <c r="I1967" s="31"/>
      <c r="J1967" s="32"/>
      <c r="K1967" s="33"/>
      <c r="L1967" s="31"/>
      <c r="M1967" s="32"/>
      <c r="N1967" s="31"/>
      <c r="O1967" s="36"/>
      <c r="P1967" s="34"/>
      <c r="Q1967" s="34"/>
      <c r="R1967" s="34"/>
      <c r="S1967" s="29"/>
      <c r="T1967" s="35"/>
      <c r="U1967" s="35"/>
      <c r="V1967" s="35"/>
      <c r="W1967" s="35"/>
      <c r="Y1967" s="31" t="str" cm="1">
        <f t="array" ref="Y1967">IF(LEFT(_xll.BDP($C1967, VOLUME_AVG_10D), 4) = "#N/A", "",  _xll.BDP($C1967, VOLUME_AVG_10D))</f>
        <v/>
      </c>
      <c r="Z1967" s="31" t="str" cm="1">
        <f t="array" ref="Z1967">IF(LEFT(_xll.BDP($C1967, VOLUME_AVG_30D), 4) = "#N/A", "",  _xll.BDP($C1967, VOLUME_AVG_30D))</f>
        <v/>
      </c>
      <c r="AA1967" s="31" t="str" cm="1">
        <f t="array" ref="AA1967">IF(LEFT(_xll.BDP($C1967, VOLUME_AVG_3M), 4) = "#N/A", "",  _xll.BDP($C1967, VOLUME_AVG_3M))</f>
        <v/>
      </c>
      <c r="AB1967" s="31" t="str" cm="1">
        <f t="array" ref="AB1967">IF(LEFT(_xll.BDP($C1967, VOLUME_AVG_6M), 4) = "#N/A", "",  _xll.BDP($C1967, VOLUME_AVG_6M))</f>
        <v/>
      </c>
      <c r="AC1967" s="31" t="str" cm="1">
        <f t="array" ref="AC1967">IF(LEFT(_xll.BDP($C1967, VOLUME_AVG_12M), 4) = "#N/A", "",  _xll.BDP($C1967, VOLUME_AVG_12M))</f>
        <v/>
      </c>
      <c r="AD1967" s="41" t="str" cm="1">
        <f t="array" ref="AD1967">IF(LEFT(_xll.BDP($C1967, LAST_PRICE), 4) = "#N/A", "",  _xll.BDP($C1967, LAST_PRICE))</f>
        <v/>
      </c>
    </row>
    <row r="1968" spans="1:30" x14ac:dyDescent="0.35">
      <c r="A1968" s="1" t="str">
        <f t="shared" si="30"/>
        <v/>
      </c>
      <c r="B1968" s="30"/>
      <c r="C1968" s="29"/>
      <c r="D1968" s="29"/>
      <c r="E1968" s="29"/>
      <c r="F1968" s="29"/>
      <c r="G1968" s="30"/>
      <c r="H1968" s="31"/>
      <c r="I1968" s="31"/>
      <c r="J1968" s="32"/>
      <c r="K1968" s="33"/>
      <c r="L1968" s="31"/>
      <c r="M1968" s="32"/>
      <c r="N1968" s="31"/>
      <c r="O1968" s="36"/>
      <c r="P1968" s="34"/>
      <c r="Q1968" s="34"/>
      <c r="R1968" s="34"/>
      <c r="S1968" s="29"/>
      <c r="T1968" s="35"/>
      <c r="U1968" s="35"/>
      <c r="V1968" s="35"/>
      <c r="W1968" s="35"/>
      <c r="Y1968" s="31" t="str" cm="1">
        <f t="array" ref="Y1968">IF(LEFT(_xll.BDP($C1968, VOLUME_AVG_10D), 4) = "#N/A", "",  _xll.BDP($C1968, VOLUME_AVG_10D))</f>
        <v/>
      </c>
      <c r="Z1968" s="31" t="str" cm="1">
        <f t="array" ref="Z1968">IF(LEFT(_xll.BDP($C1968, VOLUME_AVG_30D), 4) = "#N/A", "",  _xll.BDP($C1968, VOLUME_AVG_30D))</f>
        <v/>
      </c>
      <c r="AA1968" s="31" t="str" cm="1">
        <f t="array" ref="AA1968">IF(LEFT(_xll.BDP($C1968, VOLUME_AVG_3M), 4) = "#N/A", "",  _xll.BDP($C1968, VOLUME_AVG_3M))</f>
        <v/>
      </c>
      <c r="AB1968" s="31" t="str" cm="1">
        <f t="array" ref="AB1968">IF(LEFT(_xll.BDP($C1968, VOLUME_AVG_6M), 4) = "#N/A", "",  _xll.BDP($C1968, VOLUME_AVG_6M))</f>
        <v/>
      </c>
      <c r="AC1968" s="31" t="str" cm="1">
        <f t="array" ref="AC1968">IF(LEFT(_xll.BDP($C1968, VOLUME_AVG_12M), 4) = "#N/A", "",  _xll.BDP($C1968, VOLUME_AVG_12M))</f>
        <v/>
      </c>
      <c r="AD1968" s="41" t="str" cm="1">
        <f t="array" ref="AD1968">IF(LEFT(_xll.BDP($C1968, LAST_PRICE), 4) = "#N/A", "",  _xll.BDP($C1968, LAST_PRICE))</f>
        <v/>
      </c>
    </row>
    <row r="1969" spans="1:30" x14ac:dyDescent="0.35">
      <c r="A1969" s="1" t="str">
        <f t="shared" si="30"/>
        <v/>
      </c>
      <c r="B1969" s="30"/>
      <c r="C1969" s="29"/>
      <c r="D1969" s="29"/>
      <c r="E1969" s="29"/>
      <c r="F1969" s="29"/>
      <c r="G1969" s="30"/>
      <c r="H1969" s="31"/>
      <c r="I1969" s="31"/>
      <c r="J1969" s="32"/>
      <c r="K1969" s="33"/>
      <c r="L1969" s="31"/>
      <c r="M1969" s="32"/>
      <c r="N1969" s="31"/>
      <c r="O1969" s="36"/>
      <c r="P1969" s="34"/>
      <c r="Q1969" s="34"/>
      <c r="R1969" s="34"/>
      <c r="S1969" s="29"/>
      <c r="T1969" s="35"/>
      <c r="U1969" s="35"/>
      <c r="V1969" s="35"/>
      <c r="W1969" s="35"/>
      <c r="Y1969" s="31" t="str" cm="1">
        <f t="array" ref="Y1969">IF(LEFT(_xll.BDP($C1969, VOLUME_AVG_10D), 4) = "#N/A", "",  _xll.BDP($C1969, VOLUME_AVG_10D))</f>
        <v/>
      </c>
      <c r="Z1969" s="31" t="str" cm="1">
        <f t="array" ref="Z1969">IF(LEFT(_xll.BDP($C1969, VOLUME_AVG_30D), 4) = "#N/A", "",  _xll.BDP($C1969, VOLUME_AVG_30D))</f>
        <v/>
      </c>
      <c r="AA1969" s="31" t="str" cm="1">
        <f t="array" ref="AA1969">IF(LEFT(_xll.BDP($C1969, VOLUME_AVG_3M), 4) = "#N/A", "",  _xll.BDP($C1969, VOLUME_AVG_3M))</f>
        <v/>
      </c>
      <c r="AB1969" s="31" t="str" cm="1">
        <f t="array" ref="AB1969">IF(LEFT(_xll.BDP($C1969, VOLUME_AVG_6M), 4) = "#N/A", "",  _xll.BDP($C1969, VOLUME_AVG_6M))</f>
        <v/>
      </c>
      <c r="AC1969" s="31" t="str" cm="1">
        <f t="array" ref="AC1969">IF(LEFT(_xll.BDP($C1969, VOLUME_AVG_12M), 4) = "#N/A", "",  _xll.BDP($C1969, VOLUME_AVG_12M))</f>
        <v/>
      </c>
      <c r="AD1969" s="41" t="str" cm="1">
        <f t="array" ref="AD1969">IF(LEFT(_xll.BDP($C1969, LAST_PRICE), 4) = "#N/A", "",  _xll.BDP($C1969, LAST_PRICE))</f>
        <v/>
      </c>
    </row>
    <row r="1970" spans="1:30" x14ac:dyDescent="0.35">
      <c r="A1970" s="1" t="str">
        <f t="shared" si="30"/>
        <v/>
      </c>
      <c r="B1970" s="30"/>
      <c r="C1970" s="29"/>
      <c r="D1970" s="29"/>
      <c r="E1970" s="29"/>
      <c r="F1970" s="29"/>
      <c r="G1970" s="30"/>
      <c r="H1970" s="31"/>
      <c r="I1970" s="31"/>
      <c r="J1970" s="32"/>
      <c r="K1970" s="33"/>
      <c r="L1970" s="31"/>
      <c r="M1970" s="32"/>
      <c r="N1970" s="31"/>
      <c r="O1970" s="36"/>
      <c r="P1970" s="34"/>
      <c r="Q1970" s="34"/>
      <c r="R1970" s="34"/>
      <c r="S1970" s="29"/>
      <c r="T1970" s="35"/>
      <c r="U1970" s="35"/>
      <c r="V1970" s="35"/>
      <c r="W1970" s="35"/>
      <c r="Y1970" s="31" t="str" cm="1">
        <f t="array" ref="Y1970">IF(LEFT(_xll.BDP($C1970, VOLUME_AVG_10D), 4) = "#N/A", "",  _xll.BDP($C1970, VOLUME_AVG_10D))</f>
        <v/>
      </c>
      <c r="Z1970" s="31" t="str" cm="1">
        <f t="array" ref="Z1970">IF(LEFT(_xll.BDP($C1970, VOLUME_AVG_30D), 4) = "#N/A", "",  _xll.BDP($C1970, VOLUME_AVG_30D))</f>
        <v/>
      </c>
      <c r="AA1970" s="31" t="str" cm="1">
        <f t="array" ref="AA1970">IF(LEFT(_xll.BDP($C1970, VOLUME_AVG_3M), 4) = "#N/A", "",  _xll.BDP($C1970, VOLUME_AVG_3M))</f>
        <v/>
      </c>
      <c r="AB1970" s="31" t="str" cm="1">
        <f t="array" ref="AB1970">IF(LEFT(_xll.BDP($C1970, VOLUME_AVG_6M), 4) = "#N/A", "",  _xll.BDP($C1970, VOLUME_AVG_6M))</f>
        <v/>
      </c>
      <c r="AC1970" s="31" t="str" cm="1">
        <f t="array" ref="AC1970">IF(LEFT(_xll.BDP($C1970, VOLUME_AVG_12M), 4) = "#N/A", "",  _xll.BDP($C1970, VOLUME_AVG_12M))</f>
        <v/>
      </c>
      <c r="AD1970" s="41" t="str" cm="1">
        <f t="array" ref="AD1970">IF(LEFT(_xll.BDP($C1970, LAST_PRICE), 4) = "#N/A", "",  _xll.BDP($C1970, LAST_PRICE))</f>
        <v/>
      </c>
    </row>
    <row r="1971" spans="1:30" x14ac:dyDescent="0.35">
      <c r="A1971" s="1" t="str">
        <f t="shared" si="30"/>
        <v/>
      </c>
      <c r="B1971" s="30"/>
      <c r="C1971" s="29"/>
      <c r="D1971" s="29"/>
      <c r="E1971" s="29"/>
      <c r="F1971" s="29"/>
      <c r="G1971" s="30"/>
      <c r="H1971" s="31"/>
      <c r="I1971" s="31"/>
      <c r="J1971" s="32"/>
      <c r="K1971" s="33"/>
      <c r="L1971" s="31"/>
      <c r="M1971" s="32"/>
      <c r="N1971" s="31"/>
      <c r="O1971" s="36"/>
      <c r="P1971" s="34"/>
      <c r="Q1971" s="34"/>
      <c r="R1971" s="34"/>
      <c r="S1971" s="29"/>
      <c r="T1971" s="35"/>
      <c r="U1971" s="35"/>
      <c r="V1971" s="35"/>
      <c r="W1971" s="35"/>
      <c r="Y1971" s="31" t="str" cm="1">
        <f t="array" ref="Y1971">IF(LEFT(_xll.BDP($C1971, VOLUME_AVG_10D), 4) = "#N/A", "",  _xll.BDP($C1971, VOLUME_AVG_10D))</f>
        <v/>
      </c>
      <c r="Z1971" s="31" t="str" cm="1">
        <f t="array" ref="Z1971">IF(LEFT(_xll.BDP($C1971, VOLUME_AVG_30D), 4) = "#N/A", "",  _xll.BDP($C1971, VOLUME_AVG_30D))</f>
        <v/>
      </c>
      <c r="AA1971" s="31" t="str" cm="1">
        <f t="array" ref="AA1971">IF(LEFT(_xll.BDP($C1971, VOLUME_AVG_3M), 4) = "#N/A", "",  _xll.BDP($C1971, VOLUME_AVG_3M))</f>
        <v/>
      </c>
      <c r="AB1971" s="31" t="str" cm="1">
        <f t="array" ref="AB1971">IF(LEFT(_xll.BDP($C1971, VOLUME_AVG_6M), 4) = "#N/A", "",  _xll.BDP($C1971, VOLUME_AVG_6M))</f>
        <v/>
      </c>
      <c r="AC1971" s="31" t="str" cm="1">
        <f t="array" ref="AC1971">IF(LEFT(_xll.BDP($C1971, VOLUME_AVG_12M), 4) = "#N/A", "",  _xll.BDP($C1971, VOLUME_AVG_12M))</f>
        <v/>
      </c>
      <c r="AD1971" s="41" t="str" cm="1">
        <f t="array" ref="AD1971">IF(LEFT(_xll.BDP($C1971, LAST_PRICE), 4) = "#N/A", "",  _xll.BDP($C1971, LAST_PRICE))</f>
        <v/>
      </c>
    </row>
    <row r="1972" spans="1:30" x14ac:dyDescent="0.35">
      <c r="A1972" s="1" t="str">
        <f t="shared" si="30"/>
        <v/>
      </c>
      <c r="B1972" s="30"/>
      <c r="C1972" s="29"/>
      <c r="D1972" s="29"/>
      <c r="E1972" s="29"/>
      <c r="F1972" s="29"/>
      <c r="G1972" s="30"/>
      <c r="H1972" s="31"/>
      <c r="I1972" s="31"/>
      <c r="J1972" s="32"/>
      <c r="K1972" s="33"/>
      <c r="L1972" s="31"/>
      <c r="M1972" s="32"/>
      <c r="N1972" s="31"/>
      <c r="O1972" s="36"/>
      <c r="P1972" s="34"/>
      <c r="Q1972" s="34"/>
      <c r="R1972" s="34"/>
      <c r="S1972" s="29"/>
      <c r="T1972" s="35"/>
      <c r="U1972" s="35"/>
      <c r="V1972" s="35"/>
      <c r="W1972" s="35"/>
      <c r="Y1972" s="31" t="str" cm="1">
        <f t="array" ref="Y1972">IF(LEFT(_xll.BDP($C1972, VOLUME_AVG_10D), 4) = "#N/A", "",  _xll.BDP($C1972, VOLUME_AVG_10D))</f>
        <v/>
      </c>
      <c r="Z1972" s="31" t="str" cm="1">
        <f t="array" ref="Z1972">IF(LEFT(_xll.BDP($C1972, VOLUME_AVG_30D), 4) = "#N/A", "",  _xll.BDP($C1972, VOLUME_AVG_30D))</f>
        <v/>
      </c>
      <c r="AA1972" s="31" t="str" cm="1">
        <f t="array" ref="AA1972">IF(LEFT(_xll.BDP($C1972, VOLUME_AVG_3M), 4) = "#N/A", "",  _xll.BDP($C1972, VOLUME_AVG_3M))</f>
        <v/>
      </c>
      <c r="AB1972" s="31" t="str" cm="1">
        <f t="array" ref="AB1972">IF(LEFT(_xll.BDP($C1972, VOLUME_AVG_6M), 4) = "#N/A", "",  _xll.BDP($C1972, VOLUME_AVG_6M))</f>
        <v/>
      </c>
      <c r="AC1972" s="31" t="str" cm="1">
        <f t="array" ref="AC1972">IF(LEFT(_xll.BDP($C1972, VOLUME_AVG_12M), 4) = "#N/A", "",  _xll.BDP($C1972, VOLUME_AVG_12M))</f>
        <v/>
      </c>
      <c r="AD1972" s="41" t="str" cm="1">
        <f t="array" ref="AD1972">IF(LEFT(_xll.BDP($C1972, LAST_PRICE), 4) = "#N/A", "",  _xll.BDP($C1972, LAST_PRICE))</f>
        <v/>
      </c>
    </row>
    <row r="1973" spans="1:30" x14ac:dyDescent="0.35">
      <c r="A1973" s="1" t="str">
        <f t="shared" si="30"/>
        <v/>
      </c>
      <c r="B1973" s="30"/>
      <c r="C1973" s="29"/>
      <c r="D1973" s="29"/>
      <c r="E1973" s="29"/>
      <c r="F1973" s="29"/>
      <c r="G1973" s="30"/>
      <c r="H1973" s="31"/>
      <c r="I1973" s="31"/>
      <c r="J1973" s="32"/>
      <c r="K1973" s="33"/>
      <c r="L1973" s="31"/>
      <c r="M1973" s="32"/>
      <c r="N1973" s="31"/>
      <c r="O1973" s="36"/>
      <c r="P1973" s="34"/>
      <c r="Q1973" s="34"/>
      <c r="R1973" s="34"/>
      <c r="S1973" s="29"/>
      <c r="T1973" s="35"/>
      <c r="U1973" s="35"/>
      <c r="V1973" s="35"/>
      <c r="W1973" s="35"/>
      <c r="Y1973" s="31" t="str" cm="1">
        <f t="array" ref="Y1973">IF(LEFT(_xll.BDP($C1973, VOLUME_AVG_10D), 4) = "#N/A", "",  _xll.BDP($C1973, VOLUME_AVG_10D))</f>
        <v/>
      </c>
      <c r="Z1973" s="31" t="str" cm="1">
        <f t="array" ref="Z1973">IF(LEFT(_xll.BDP($C1973, VOLUME_AVG_30D), 4) = "#N/A", "",  _xll.BDP($C1973, VOLUME_AVG_30D))</f>
        <v/>
      </c>
      <c r="AA1973" s="31" t="str" cm="1">
        <f t="array" ref="AA1973">IF(LEFT(_xll.BDP($C1973, VOLUME_AVG_3M), 4) = "#N/A", "",  _xll.BDP($C1973, VOLUME_AVG_3M))</f>
        <v/>
      </c>
      <c r="AB1973" s="31" t="str" cm="1">
        <f t="array" ref="AB1973">IF(LEFT(_xll.BDP($C1973, VOLUME_AVG_6M), 4) = "#N/A", "",  _xll.BDP($C1973, VOLUME_AVG_6M))</f>
        <v/>
      </c>
      <c r="AC1973" s="31" t="str" cm="1">
        <f t="array" ref="AC1973">IF(LEFT(_xll.BDP($C1973, VOLUME_AVG_12M), 4) = "#N/A", "",  _xll.BDP($C1973, VOLUME_AVG_12M))</f>
        <v/>
      </c>
      <c r="AD1973" s="41" t="str" cm="1">
        <f t="array" ref="AD1973">IF(LEFT(_xll.BDP($C1973, LAST_PRICE), 4) = "#N/A", "",  _xll.BDP($C1973, LAST_PRICE))</f>
        <v/>
      </c>
    </row>
    <row r="1974" spans="1:30" x14ac:dyDescent="0.35">
      <c r="A1974" s="1" t="str">
        <f t="shared" si="30"/>
        <v/>
      </c>
      <c r="B1974" s="30"/>
      <c r="C1974" s="29"/>
      <c r="D1974" s="29"/>
      <c r="E1974" s="29"/>
      <c r="F1974" s="29"/>
      <c r="G1974" s="30"/>
      <c r="H1974" s="31"/>
      <c r="I1974" s="31"/>
      <c r="J1974" s="32"/>
      <c r="K1974" s="33"/>
      <c r="L1974" s="31"/>
      <c r="M1974" s="32"/>
      <c r="N1974" s="31"/>
      <c r="O1974" s="36"/>
      <c r="P1974" s="34"/>
      <c r="Q1974" s="34"/>
      <c r="R1974" s="34"/>
      <c r="S1974" s="29"/>
      <c r="T1974" s="35"/>
      <c r="U1974" s="35"/>
      <c r="V1974" s="35"/>
      <c r="W1974" s="35"/>
      <c r="Y1974" s="31" t="str" cm="1">
        <f t="array" ref="Y1974">IF(LEFT(_xll.BDP($C1974, VOLUME_AVG_10D), 4) = "#N/A", "",  _xll.BDP($C1974, VOLUME_AVG_10D))</f>
        <v/>
      </c>
      <c r="Z1974" s="31" t="str" cm="1">
        <f t="array" ref="Z1974">IF(LEFT(_xll.BDP($C1974, VOLUME_AVG_30D), 4) = "#N/A", "",  _xll.BDP($C1974, VOLUME_AVG_30D))</f>
        <v/>
      </c>
      <c r="AA1974" s="31" t="str" cm="1">
        <f t="array" ref="AA1974">IF(LEFT(_xll.BDP($C1974, VOLUME_AVG_3M), 4) = "#N/A", "",  _xll.BDP($C1974, VOLUME_AVG_3M))</f>
        <v/>
      </c>
      <c r="AB1974" s="31" t="str" cm="1">
        <f t="array" ref="AB1974">IF(LEFT(_xll.BDP($C1974, VOLUME_AVG_6M), 4) = "#N/A", "",  _xll.BDP($C1974, VOLUME_AVG_6M))</f>
        <v/>
      </c>
      <c r="AC1974" s="31" t="str" cm="1">
        <f t="array" ref="AC1974">IF(LEFT(_xll.BDP($C1974, VOLUME_AVG_12M), 4) = "#N/A", "",  _xll.BDP($C1974, VOLUME_AVG_12M))</f>
        <v/>
      </c>
      <c r="AD1974" s="41" t="str" cm="1">
        <f t="array" ref="AD1974">IF(LEFT(_xll.BDP($C1974, LAST_PRICE), 4) = "#N/A", "",  _xll.BDP($C1974, LAST_PRICE))</f>
        <v/>
      </c>
    </row>
    <row r="1975" spans="1:30" x14ac:dyDescent="0.35">
      <c r="A1975" s="1" t="str">
        <f t="shared" si="30"/>
        <v/>
      </c>
      <c r="B1975" s="30"/>
      <c r="C1975" s="29"/>
      <c r="D1975" s="29"/>
      <c r="E1975" s="29"/>
      <c r="F1975" s="29"/>
      <c r="G1975" s="30"/>
      <c r="H1975" s="31"/>
      <c r="I1975" s="31"/>
      <c r="J1975" s="32"/>
      <c r="K1975" s="33"/>
      <c r="L1975" s="31"/>
      <c r="M1975" s="32"/>
      <c r="N1975" s="31"/>
      <c r="O1975" s="36"/>
      <c r="P1975" s="34"/>
      <c r="Q1975" s="34"/>
      <c r="R1975" s="34"/>
      <c r="S1975" s="29"/>
      <c r="T1975" s="35"/>
      <c r="U1975" s="35"/>
      <c r="V1975" s="35"/>
      <c r="W1975" s="35"/>
      <c r="Y1975" s="31" t="str" cm="1">
        <f t="array" ref="Y1975">IF(LEFT(_xll.BDP($C1975, VOLUME_AVG_10D), 4) = "#N/A", "",  _xll.BDP($C1975, VOLUME_AVG_10D))</f>
        <v/>
      </c>
      <c r="Z1975" s="31" t="str" cm="1">
        <f t="array" ref="Z1975">IF(LEFT(_xll.BDP($C1975, VOLUME_AVG_30D), 4) = "#N/A", "",  _xll.BDP($C1975, VOLUME_AVG_30D))</f>
        <v/>
      </c>
      <c r="AA1975" s="31" t="str" cm="1">
        <f t="array" ref="AA1975">IF(LEFT(_xll.BDP($C1975, VOLUME_AVG_3M), 4) = "#N/A", "",  _xll.BDP($C1975, VOLUME_AVG_3M))</f>
        <v/>
      </c>
      <c r="AB1975" s="31" t="str" cm="1">
        <f t="array" ref="AB1975">IF(LEFT(_xll.BDP($C1975, VOLUME_AVG_6M), 4) = "#N/A", "",  _xll.BDP($C1975, VOLUME_AVG_6M))</f>
        <v/>
      </c>
      <c r="AC1975" s="31" t="str" cm="1">
        <f t="array" ref="AC1975">IF(LEFT(_xll.BDP($C1975, VOLUME_AVG_12M), 4) = "#N/A", "",  _xll.BDP($C1975, VOLUME_AVG_12M))</f>
        <v/>
      </c>
      <c r="AD1975" s="41" t="str" cm="1">
        <f t="array" ref="AD1975">IF(LEFT(_xll.BDP($C1975, LAST_PRICE), 4) = "#N/A", "",  _xll.BDP($C1975, LAST_PRICE))</f>
        <v/>
      </c>
    </row>
    <row r="1976" spans="1:30" x14ac:dyDescent="0.35">
      <c r="A1976" s="1" t="str">
        <f t="shared" si="30"/>
        <v/>
      </c>
      <c r="B1976" s="30"/>
      <c r="C1976" s="29"/>
      <c r="D1976" s="29"/>
      <c r="E1976" s="29"/>
      <c r="F1976" s="29"/>
      <c r="G1976" s="30"/>
      <c r="H1976" s="31"/>
      <c r="I1976" s="31"/>
      <c r="J1976" s="32"/>
      <c r="K1976" s="33"/>
      <c r="L1976" s="31"/>
      <c r="M1976" s="32"/>
      <c r="N1976" s="31"/>
      <c r="O1976" s="36"/>
      <c r="P1976" s="34"/>
      <c r="Q1976" s="34"/>
      <c r="R1976" s="34"/>
      <c r="S1976" s="29"/>
      <c r="T1976" s="35"/>
      <c r="U1976" s="35"/>
      <c r="V1976" s="35"/>
      <c r="W1976" s="35"/>
      <c r="Y1976" s="31" t="str" cm="1">
        <f t="array" ref="Y1976">IF(LEFT(_xll.BDP($C1976, VOLUME_AVG_10D), 4) = "#N/A", "",  _xll.BDP($C1976, VOLUME_AVG_10D))</f>
        <v/>
      </c>
      <c r="Z1976" s="31" t="str" cm="1">
        <f t="array" ref="Z1976">IF(LEFT(_xll.BDP($C1976, VOLUME_AVG_30D), 4) = "#N/A", "",  _xll.BDP($C1976, VOLUME_AVG_30D))</f>
        <v/>
      </c>
      <c r="AA1976" s="31" t="str" cm="1">
        <f t="array" ref="AA1976">IF(LEFT(_xll.BDP($C1976, VOLUME_AVG_3M), 4) = "#N/A", "",  _xll.BDP($C1976, VOLUME_AVG_3M))</f>
        <v/>
      </c>
      <c r="AB1976" s="31" t="str" cm="1">
        <f t="array" ref="AB1976">IF(LEFT(_xll.BDP($C1976, VOLUME_AVG_6M), 4) = "#N/A", "",  _xll.BDP($C1976, VOLUME_AVG_6M))</f>
        <v/>
      </c>
      <c r="AC1976" s="31" t="str" cm="1">
        <f t="array" ref="AC1976">IF(LEFT(_xll.BDP($C1976, VOLUME_AVG_12M), 4) = "#N/A", "",  _xll.BDP($C1976, VOLUME_AVG_12M))</f>
        <v/>
      </c>
      <c r="AD1976" s="41" t="str" cm="1">
        <f t="array" ref="AD1976">IF(LEFT(_xll.BDP($C1976, LAST_PRICE), 4) = "#N/A", "",  _xll.BDP($C1976, LAST_PRICE))</f>
        <v/>
      </c>
    </row>
    <row r="1977" spans="1:30" x14ac:dyDescent="0.35">
      <c r="A1977" s="1" t="str">
        <f t="shared" si="30"/>
        <v/>
      </c>
      <c r="B1977" s="30"/>
      <c r="C1977" s="29"/>
      <c r="D1977" s="29"/>
      <c r="E1977" s="29"/>
      <c r="F1977" s="29"/>
      <c r="G1977" s="30"/>
      <c r="H1977" s="31"/>
      <c r="I1977" s="31"/>
      <c r="J1977" s="32"/>
      <c r="K1977" s="33"/>
      <c r="L1977" s="31"/>
      <c r="M1977" s="32"/>
      <c r="N1977" s="31"/>
      <c r="O1977" s="36"/>
      <c r="P1977" s="34"/>
      <c r="Q1977" s="34"/>
      <c r="R1977" s="34"/>
      <c r="S1977" s="29"/>
      <c r="T1977" s="35"/>
      <c r="U1977" s="35"/>
      <c r="V1977" s="35"/>
      <c r="W1977" s="35"/>
      <c r="Y1977" s="31" t="str" cm="1">
        <f t="array" ref="Y1977">IF(LEFT(_xll.BDP($C1977, VOLUME_AVG_10D), 4) = "#N/A", "",  _xll.BDP($C1977, VOLUME_AVG_10D))</f>
        <v/>
      </c>
      <c r="Z1977" s="31" t="str" cm="1">
        <f t="array" ref="Z1977">IF(LEFT(_xll.BDP($C1977, VOLUME_AVG_30D), 4) = "#N/A", "",  _xll.BDP($C1977, VOLUME_AVG_30D))</f>
        <v/>
      </c>
      <c r="AA1977" s="31" t="str" cm="1">
        <f t="array" ref="AA1977">IF(LEFT(_xll.BDP($C1977, VOLUME_AVG_3M), 4) = "#N/A", "",  _xll.BDP($C1977, VOLUME_AVG_3M))</f>
        <v/>
      </c>
      <c r="AB1977" s="31" t="str" cm="1">
        <f t="array" ref="AB1977">IF(LEFT(_xll.BDP($C1977, VOLUME_AVG_6M), 4) = "#N/A", "",  _xll.BDP($C1977, VOLUME_AVG_6M))</f>
        <v/>
      </c>
      <c r="AC1977" s="31" t="str" cm="1">
        <f t="array" ref="AC1977">IF(LEFT(_xll.BDP($C1977, VOLUME_AVG_12M), 4) = "#N/A", "",  _xll.BDP($C1977, VOLUME_AVG_12M))</f>
        <v/>
      </c>
      <c r="AD1977" s="41" t="str" cm="1">
        <f t="array" ref="AD1977">IF(LEFT(_xll.BDP($C1977, LAST_PRICE), 4) = "#N/A", "",  _xll.BDP($C1977, LAST_PRICE))</f>
        <v/>
      </c>
    </row>
    <row r="1978" spans="1:30" x14ac:dyDescent="0.35">
      <c r="A1978" s="1" t="str">
        <f t="shared" si="30"/>
        <v/>
      </c>
      <c r="B1978" s="30"/>
      <c r="C1978" s="29"/>
      <c r="D1978" s="29"/>
      <c r="E1978" s="29"/>
      <c r="F1978" s="29"/>
      <c r="G1978" s="30"/>
      <c r="H1978" s="31"/>
      <c r="I1978" s="31"/>
      <c r="J1978" s="32"/>
      <c r="K1978" s="33"/>
      <c r="L1978" s="31"/>
      <c r="M1978" s="32"/>
      <c r="N1978" s="31"/>
      <c r="O1978" s="36"/>
      <c r="P1978" s="34"/>
      <c r="Q1978" s="34"/>
      <c r="R1978" s="34"/>
      <c r="S1978" s="29"/>
      <c r="T1978" s="35"/>
      <c r="U1978" s="35"/>
      <c r="V1978" s="35"/>
      <c r="W1978" s="35"/>
      <c r="Y1978" s="31" t="str" cm="1">
        <f t="array" ref="Y1978">IF(LEFT(_xll.BDP($C1978, VOLUME_AVG_10D), 4) = "#N/A", "",  _xll.BDP($C1978, VOLUME_AVG_10D))</f>
        <v/>
      </c>
      <c r="Z1978" s="31" t="str" cm="1">
        <f t="array" ref="Z1978">IF(LEFT(_xll.BDP($C1978, VOLUME_AVG_30D), 4) = "#N/A", "",  _xll.BDP($C1978, VOLUME_AVG_30D))</f>
        <v/>
      </c>
      <c r="AA1978" s="31" t="str" cm="1">
        <f t="array" ref="AA1978">IF(LEFT(_xll.BDP($C1978, VOLUME_AVG_3M), 4) = "#N/A", "",  _xll.BDP($C1978, VOLUME_AVG_3M))</f>
        <v/>
      </c>
      <c r="AB1978" s="31" t="str" cm="1">
        <f t="array" ref="AB1978">IF(LEFT(_xll.BDP($C1978, VOLUME_AVG_6M), 4) = "#N/A", "",  _xll.BDP($C1978, VOLUME_AVG_6M))</f>
        <v/>
      </c>
      <c r="AC1978" s="31" t="str" cm="1">
        <f t="array" ref="AC1978">IF(LEFT(_xll.BDP($C1978, VOLUME_AVG_12M), 4) = "#N/A", "",  _xll.BDP($C1978, VOLUME_AVG_12M))</f>
        <v/>
      </c>
      <c r="AD1978" s="41" t="str" cm="1">
        <f t="array" ref="AD1978">IF(LEFT(_xll.BDP($C1978, LAST_PRICE), 4) = "#N/A", "",  _xll.BDP($C1978, LAST_PRICE))</f>
        <v/>
      </c>
    </row>
    <row r="1979" spans="1:30" x14ac:dyDescent="0.35">
      <c r="A1979" s="1" t="str">
        <f t="shared" si="30"/>
        <v/>
      </c>
      <c r="B1979" s="30"/>
      <c r="C1979" s="29"/>
      <c r="D1979" s="29"/>
      <c r="E1979" s="29"/>
      <c r="F1979" s="29"/>
      <c r="G1979" s="30"/>
      <c r="H1979" s="31"/>
      <c r="I1979" s="31"/>
      <c r="J1979" s="32"/>
      <c r="K1979" s="33"/>
      <c r="L1979" s="31"/>
      <c r="M1979" s="32"/>
      <c r="N1979" s="31"/>
      <c r="O1979" s="36"/>
      <c r="P1979" s="34"/>
      <c r="Q1979" s="34"/>
      <c r="R1979" s="34"/>
      <c r="S1979" s="29"/>
      <c r="T1979" s="35"/>
      <c r="U1979" s="35"/>
      <c r="V1979" s="35"/>
      <c r="W1979" s="35"/>
      <c r="Y1979" s="31" t="str" cm="1">
        <f t="array" ref="Y1979">IF(LEFT(_xll.BDP($C1979, VOLUME_AVG_10D), 4) = "#N/A", "",  _xll.BDP($C1979, VOLUME_AVG_10D))</f>
        <v/>
      </c>
      <c r="Z1979" s="31" t="str" cm="1">
        <f t="array" ref="Z1979">IF(LEFT(_xll.BDP($C1979, VOLUME_AVG_30D), 4) = "#N/A", "",  _xll.BDP($C1979, VOLUME_AVG_30D))</f>
        <v/>
      </c>
      <c r="AA1979" s="31" t="str" cm="1">
        <f t="array" ref="AA1979">IF(LEFT(_xll.BDP($C1979, VOLUME_AVG_3M), 4) = "#N/A", "",  _xll.BDP($C1979, VOLUME_AVG_3M))</f>
        <v/>
      </c>
      <c r="AB1979" s="31" t="str" cm="1">
        <f t="array" ref="AB1979">IF(LEFT(_xll.BDP($C1979, VOLUME_AVG_6M), 4) = "#N/A", "",  _xll.BDP($C1979, VOLUME_AVG_6M))</f>
        <v/>
      </c>
      <c r="AC1979" s="31" t="str" cm="1">
        <f t="array" ref="AC1979">IF(LEFT(_xll.BDP($C1979, VOLUME_AVG_12M), 4) = "#N/A", "",  _xll.BDP($C1979, VOLUME_AVG_12M))</f>
        <v/>
      </c>
      <c r="AD1979" s="41" t="str" cm="1">
        <f t="array" ref="AD1979">IF(LEFT(_xll.BDP($C1979, LAST_PRICE), 4) = "#N/A", "",  _xll.BDP($C1979, LAST_PRICE))</f>
        <v/>
      </c>
    </row>
    <row r="1980" spans="1:30" x14ac:dyDescent="0.35">
      <c r="A1980" s="1" t="str">
        <f t="shared" si="30"/>
        <v/>
      </c>
      <c r="B1980" s="30"/>
      <c r="C1980" s="29"/>
      <c r="D1980" s="29"/>
      <c r="E1980" s="29"/>
      <c r="F1980" s="29"/>
      <c r="G1980" s="30"/>
      <c r="H1980" s="31"/>
      <c r="I1980" s="31"/>
      <c r="J1980" s="32"/>
      <c r="K1980" s="33"/>
      <c r="L1980" s="31"/>
      <c r="M1980" s="32"/>
      <c r="N1980" s="31"/>
      <c r="O1980" s="36"/>
      <c r="P1980" s="34"/>
      <c r="Q1980" s="34"/>
      <c r="R1980" s="34"/>
      <c r="S1980" s="29"/>
      <c r="T1980" s="35"/>
      <c r="U1980" s="35"/>
      <c r="V1980" s="35"/>
      <c r="W1980" s="35"/>
      <c r="Y1980" s="31" t="str" cm="1">
        <f t="array" ref="Y1980">IF(LEFT(_xll.BDP($C1980, VOLUME_AVG_10D), 4) = "#N/A", "",  _xll.BDP($C1980, VOLUME_AVG_10D))</f>
        <v/>
      </c>
      <c r="Z1980" s="31" t="str" cm="1">
        <f t="array" ref="Z1980">IF(LEFT(_xll.BDP($C1980, VOLUME_AVG_30D), 4) = "#N/A", "",  _xll.BDP($C1980, VOLUME_AVG_30D))</f>
        <v/>
      </c>
      <c r="AA1980" s="31" t="str" cm="1">
        <f t="array" ref="AA1980">IF(LEFT(_xll.BDP($C1980, VOLUME_AVG_3M), 4) = "#N/A", "",  _xll.BDP($C1980, VOLUME_AVG_3M))</f>
        <v/>
      </c>
      <c r="AB1980" s="31" t="str" cm="1">
        <f t="array" ref="AB1980">IF(LEFT(_xll.BDP($C1980, VOLUME_AVG_6M), 4) = "#N/A", "",  _xll.BDP($C1980, VOLUME_AVG_6M))</f>
        <v/>
      </c>
      <c r="AC1980" s="31" t="str" cm="1">
        <f t="array" ref="AC1980">IF(LEFT(_xll.BDP($C1980, VOLUME_AVG_12M), 4) = "#N/A", "",  _xll.BDP($C1980, VOLUME_AVG_12M))</f>
        <v/>
      </c>
      <c r="AD1980" s="41" t="str" cm="1">
        <f t="array" ref="AD1980">IF(LEFT(_xll.BDP($C1980, LAST_PRICE), 4) = "#N/A", "",  _xll.BDP($C1980, LAST_PRICE))</f>
        <v/>
      </c>
    </row>
    <row r="1981" spans="1:30" x14ac:dyDescent="0.35">
      <c r="A1981" s="1" t="str">
        <f t="shared" si="30"/>
        <v/>
      </c>
      <c r="B1981" s="30"/>
      <c r="C1981" s="29"/>
      <c r="D1981" s="29"/>
      <c r="E1981" s="29"/>
      <c r="F1981" s="29"/>
      <c r="G1981" s="30"/>
      <c r="H1981" s="31"/>
      <c r="I1981" s="31"/>
      <c r="J1981" s="32"/>
      <c r="K1981" s="33"/>
      <c r="L1981" s="31"/>
      <c r="M1981" s="32"/>
      <c r="N1981" s="31"/>
      <c r="O1981" s="36"/>
      <c r="P1981" s="34"/>
      <c r="Q1981" s="34"/>
      <c r="R1981" s="34"/>
      <c r="S1981" s="29"/>
      <c r="T1981" s="35"/>
      <c r="U1981" s="35"/>
      <c r="V1981" s="35"/>
      <c r="W1981" s="35"/>
      <c r="Y1981" s="31" t="str" cm="1">
        <f t="array" ref="Y1981">IF(LEFT(_xll.BDP($C1981, VOLUME_AVG_10D), 4) = "#N/A", "",  _xll.BDP($C1981, VOLUME_AVG_10D))</f>
        <v/>
      </c>
      <c r="Z1981" s="31" t="str" cm="1">
        <f t="array" ref="Z1981">IF(LEFT(_xll.BDP($C1981, VOLUME_AVG_30D), 4) = "#N/A", "",  _xll.BDP($C1981, VOLUME_AVG_30D))</f>
        <v/>
      </c>
      <c r="AA1981" s="31" t="str" cm="1">
        <f t="array" ref="AA1981">IF(LEFT(_xll.BDP($C1981, VOLUME_AVG_3M), 4) = "#N/A", "",  _xll.BDP($C1981, VOLUME_AVG_3M))</f>
        <v/>
      </c>
      <c r="AB1981" s="31" t="str" cm="1">
        <f t="array" ref="AB1981">IF(LEFT(_xll.BDP($C1981, VOLUME_AVG_6M), 4) = "#N/A", "",  _xll.BDP($C1981, VOLUME_AVG_6M))</f>
        <v/>
      </c>
      <c r="AC1981" s="31" t="str" cm="1">
        <f t="array" ref="AC1981">IF(LEFT(_xll.BDP($C1981, VOLUME_AVG_12M), 4) = "#N/A", "",  _xll.BDP($C1981, VOLUME_AVG_12M))</f>
        <v/>
      </c>
      <c r="AD1981" s="41" t="str" cm="1">
        <f t="array" ref="AD1981">IF(LEFT(_xll.BDP($C1981, LAST_PRICE), 4) = "#N/A", "",  _xll.BDP($C1981, LAST_PRICE))</f>
        <v/>
      </c>
    </row>
    <row r="1982" spans="1:30" x14ac:dyDescent="0.35">
      <c r="A1982" s="1" t="str">
        <f t="shared" si="30"/>
        <v/>
      </c>
      <c r="B1982" s="30"/>
      <c r="C1982" s="29"/>
      <c r="D1982" s="29"/>
      <c r="E1982" s="29"/>
      <c r="F1982" s="29"/>
      <c r="G1982" s="30"/>
      <c r="H1982" s="31"/>
      <c r="I1982" s="31"/>
      <c r="J1982" s="32"/>
      <c r="K1982" s="33"/>
      <c r="L1982" s="31"/>
      <c r="M1982" s="32"/>
      <c r="N1982" s="31"/>
      <c r="O1982" s="36"/>
      <c r="P1982" s="34"/>
      <c r="Q1982" s="34"/>
      <c r="R1982" s="34"/>
      <c r="S1982" s="29"/>
      <c r="T1982" s="35"/>
      <c r="U1982" s="35"/>
      <c r="V1982" s="35"/>
      <c r="W1982" s="35"/>
      <c r="Y1982" s="31" t="str" cm="1">
        <f t="array" ref="Y1982">IF(LEFT(_xll.BDP($C1982, VOLUME_AVG_10D), 4) = "#N/A", "",  _xll.BDP($C1982, VOLUME_AVG_10D))</f>
        <v/>
      </c>
      <c r="Z1982" s="31" t="str" cm="1">
        <f t="array" ref="Z1982">IF(LEFT(_xll.BDP($C1982, VOLUME_AVG_30D), 4) = "#N/A", "",  _xll.BDP($C1982, VOLUME_AVG_30D))</f>
        <v/>
      </c>
      <c r="AA1982" s="31" t="str" cm="1">
        <f t="array" ref="AA1982">IF(LEFT(_xll.BDP($C1982, VOLUME_AVG_3M), 4) = "#N/A", "",  _xll.BDP($C1982, VOLUME_AVG_3M))</f>
        <v/>
      </c>
      <c r="AB1982" s="31" t="str" cm="1">
        <f t="array" ref="AB1982">IF(LEFT(_xll.BDP($C1982, VOLUME_AVG_6M), 4) = "#N/A", "",  _xll.BDP($C1982, VOLUME_AVG_6M))</f>
        <v/>
      </c>
      <c r="AC1982" s="31" t="str" cm="1">
        <f t="array" ref="AC1982">IF(LEFT(_xll.BDP($C1982, VOLUME_AVG_12M), 4) = "#N/A", "",  _xll.BDP($C1982, VOLUME_AVG_12M))</f>
        <v/>
      </c>
      <c r="AD1982" s="41" t="str" cm="1">
        <f t="array" ref="AD1982">IF(LEFT(_xll.BDP($C1982, LAST_PRICE), 4) = "#N/A", "",  _xll.BDP($C1982, LAST_PRICE))</f>
        <v/>
      </c>
    </row>
    <row r="1983" spans="1:30" x14ac:dyDescent="0.35">
      <c r="A1983" s="1" t="str">
        <f t="shared" si="30"/>
        <v/>
      </c>
      <c r="B1983" s="30"/>
      <c r="C1983" s="29"/>
      <c r="D1983" s="29"/>
      <c r="E1983" s="29"/>
      <c r="F1983" s="29"/>
      <c r="G1983" s="30"/>
      <c r="H1983" s="31"/>
      <c r="I1983" s="31"/>
      <c r="J1983" s="32"/>
      <c r="K1983" s="33"/>
      <c r="L1983" s="31"/>
      <c r="M1983" s="32"/>
      <c r="N1983" s="31"/>
      <c r="O1983" s="36"/>
      <c r="P1983" s="34"/>
      <c r="Q1983" s="34"/>
      <c r="R1983" s="34"/>
      <c r="S1983" s="29"/>
      <c r="T1983" s="35"/>
      <c r="U1983" s="35"/>
      <c r="V1983" s="35"/>
      <c r="W1983" s="35"/>
      <c r="Y1983" s="31" t="str" cm="1">
        <f t="array" ref="Y1983">IF(LEFT(_xll.BDP($C1983, VOLUME_AVG_10D), 4) = "#N/A", "",  _xll.BDP($C1983, VOLUME_AVG_10D))</f>
        <v/>
      </c>
      <c r="Z1983" s="31" t="str" cm="1">
        <f t="array" ref="Z1983">IF(LEFT(_xll.BDP($C1983, VOLUME_AVG_30D), 4) = "#N/A", "",  _xll.BDP($C1983, VOLUME_AVG_30D))</f>
        <v/>
      </c>
      <c r="AA1983" s="31" t="str" cm="1">
        <f t="array" ref="AA1983">IF(LEFT(_xll.BDP($C1983, VOLUME_AVG_3M), 4) = "#N/A", "",  _xll.BDP($C1983, VOLUME_AVG_3M))</f>
        <v/>
      </c>
      <c r="AB1983" s="31" t="str" cm="1">
        <f t="array" ref="AB1983">IF(LEFT(_xll.BDP($C1983, VOLUME_AVG_6M), 4) = "#N/A", "",  _xll.BDP($C1983, VOLUME_AVG_6M))</f>
        <v/>
      </c>
      <c r="AC1983" s="31" t="str" cm="1">
        <f t="array" ref="AC1983">IF(LEFT(_xll.BDP($C1983, VOLUME_AVG_12M), 4) = "#N/A", "",  _xll.BDP($C1983, VOLUME_AVG_12M))</f>
        <v/>
      </c>
      <c r="AD1983" s="41" t="str" cm="1">
        <f t="array" ref="AD1983">IF(LEFT(_xll.BDP($C1983, LAST_PRICE), 4) = "#N/A", "",  _xll.BDP($C1983, LAST_PRICE))</f>
        <v/>
      </c>
    </row>
    <row r="1984" spans="1:30" x14ac:dyDescent="0.35">
      <c r="A1984" s="1" t="str">
        <f t="shared" si="30"/>
        <v/>
      </c>
      <c r="B1984" s="30"/>
      <c r="C1984" s="29"/>
      <c r="D1984" s="29"/>
      <c r="E1984" s="29"/>
      <c r="F1984" s="29"/>
      <c r="G1984" s="30"/>
      <c r="H1984" s="31"/>
      <c r="I1984" s="31"/>
      <c r="J1984" s="32"/>
      <c r="K1984" s="33"/>
      <c r="L1984" s="31"/>
      <c r="M1984" s="32"/>
      <c r="N1984" s="31"/>
      <c r="O1984" s="36"/>
      <c r="P1984" s="34"/>
      <c r="Q1984" s="34"/>
      <c r="R1984" s="34"/>
      <c r="S1984" s="29"/>
      <c r="T1984" s="35"/>
      <c r="U1984" s="35"/>
      <c r="V1984" s="35"/>
      <c r="W1984" s="35"/>
      <c r="Y1984" s="31" t="str" cm="1">
        <f t="array" ref="Y1984">IF(LEFT(_xll.BDP($C1984, VOLUME_AVG_10D), 4) = "#N/A", "",  _xll.BDP($C1984, VOLUME_AVG_10D))</f>
        <v/>
      </c>
      <c r="Z1984" s="31" t="str" cm="1">
        <f t="array" ref="Z1984">IF(LEFT(_xll.BDP($C1984, VOLUME_AVG_30D), 4) = "#N/A", "",  _xll.BDP($C1984, VOLUME_AVG_30D))</f>
        <v/>
      </c>
      <c r="AA1984" s="31" t="str" cm="1">
        <f t="array" ref="AA1984">IF(LEFT(_xll.BDP($C1984, VOLUME_AVG_3M), 4) = "#N/A", "",  _xll.BDP($C1984, VOLUME_AVG_3M))</f>
        <v/>
      </c>
      <c r="AB1984" s="31" t="str" cm="1">
        <f t="array" ref="AB1984">IF(LEFT(_xll.BDP($C1984, VOLUME_AVG_6M), 4) = "#N/A", "",  _xll.BDP($C1984, VOLUME_AVG_6M))</f>
        <v/>
      </c>
      <c r="AC1984" s="31" t="str" cm="1">
        <f t="array" ref="AC1984">IF(LEFT(_xll.BDP($C1984, VOLUME_AVG_12M), 4) = "#N/A", "",  _xll.BDP($C1984, VOLUME_AVG_12M))</f>
        <v/>
      </c>
      <c r="AD1984" s="41" t="str" cm="1">
        <f t="array" ref="AD1984">IF(LEFT(_xll.BDP($C1984, LAST_PRICE), 4) = "#N/A", "",  _xll.BDP($C1984, LAST_PRICE))</f>
        <v/>
      </c>
    </row>
    <row r="1985" spans="1:30" x14ac:dyDescent="0.35">
      <c r="A1985" s="1" t="str">
        <f t="shared" si="30"/>
        <v/>
      </c>
      <c r="B1985" s="30"/>
      <c r="C1985" s="29"/>
      <c r="D1985" s="29"/>
      <c r="E1985" s="29"/>
      <c r="F1985" s="29"/>
      <c r="G1985" s="30"/>
      <c r="H1985" s="31"/>
      <c r="I1985" s="31"/>
      <c r="J1985" s="32"/>
      <c r="K1985" s="33"/>
      <c r="L1985" s="31"/>
      <c r="M1985" s="32"/>
      <c r="N1985" s="31"/>
      <c r="O1985" s="36"/>
      <c r="P1985" s="34"/>
      <c r="Q1985" s="34"/>
      <c r="R1985" s="34"/>
      <c r="S1985" s="29"/>
      <c r="T1985" s="35"/>
      <c r="U1985" s="35"/>
      <c r="V1985" s="35"/>
      <c r="W1985" s="35"/>
      <c r="Y1985" s="31" t="str" cm="1">
        <f t="array" ref="Y1985">IF(LEFT(_xll.BDP($C1985, VOLUME_AVG_10D), 4) = "#N/A", "",  _xll.BDP($C1985, VOLUME_AVG_10D))</f>
        <v/>
      </c>
      <c r="Z1985" s="31" t="str" cm="1">
        <f t="array" ref="Z1985">IF(LEFT(_xll.BDP($C1985, VOLUME_AVG_30D), 4) = "#N/A", "",  _xll.BDP($C1985, VOLUME_AVG_30D))</f>
        <v/>
      </c>
      <c r="AA1985" s="31" t="str" cm="1">
        <f t="array" ref="AA1985">IF(LEFT(_xll.BDP($C1985, VOLUME_AVG_3M), 4) = "#N/A", "",  _xll.BDP($C1985, VOLUME_AVG_3M))</f>
        <v/>
      </c>
      <c r="AB1985" s="31" t="str" cm="1">
        <f t="array" ref="AB1985">IF(LEFT(_xll.BDP($C1985, VOLUME_AVG_6M), 4) = "#N/A", "",  _xll.BDP($C1985, VOLUME_AVG_6M))</f>
        <v/>
      </c>
      <c r="AC1985" s="31" t="str" cm="1">
        <f t="array" ref="AC1985">IF(LEFT(_xll.BDP($C1985, VOLUME_AVG_12M), 4) = "#N/A", "",  _xll.BDP($C1985, VOLUME_AVG_12M))</f>
        <v/>
      </c>
      <c r="AD1985" s="41" t="str" cm="1">
        <f t="array" ref="AD1985">IF(LEFT(_xll.BDP($C1985, LAST_PRICE), 4) = "#N/A", "",  _xll.BDP($C1985, LAST_PRICE))</f>
        <v/>
      </c>
    </row>
    <row r="1986" spans="1:30" x14ac:dyDescent="0.35">
      <c r="A1986" s="1" t="str">
        <f t="shared" si="30"/>
        <v/>
      </c>
      <c r="B1986" s="30"/>
      <c r="C1986" s="29"/>
      <c r="D1986" s="29"/>
      <c r="E1986" s="29"/>
      <c r="F1986" s="29"/>
      <c r="G1986" s="30"/>
      <c r="H1986" s="31"/>
      <c r="I1986" s="31"/>
      <c r="J1986" s="32"/>
      <c r="K1986" s="33"/>
      <c r="L1986" s="31"/>
      <c r="M1986" s="32"/>
      <c r="N1986" s="31"/>
      <c r="O1986" s="36"/>
      <c r="P1986" s="34"/>
      <c r="Q1986" s="34"/>
      <c r="R1986" s="34"/>
      <c r="S1986" s="29"/>
      <c r="T1986" s="35"/>
      <c r="U1986" s="35"/>
      <c r="V1986" s="35"/>
      <c r="W1986" s="35"/>
      <c r="Y1986" s="31" t="str" cm="1">
        <f t="array" ref="Y1986">IF(LEFT(_xll.BDP($C1986, VOLUME_AVG_10D), 4) = "#N/A", "",  _xll.BDP($C1986, VOLUME_AVG_10D))</f>
        <v/>
      </c>
      <c r="Z1986" s="31" t="str" cm="1">
        <f t="array" ref="Z1986">IF(LEFT(_xll.BDP($C1986, VOLUME_AVG_30D), 4) = "#N/A", "",  _xll.BDP($C1986, VOLUME_AVG_30D))</f>
        <v/>
      </c>
      <c r="AA1986" s="31" t="str" cm="1">
        <f t="array" ref="AA1986">IF(LEFT(_xll.BDP($C1986, VOLUME_AVG_3M), 4) = "#N/A", "",  _xll.BDP($C1986, VOLUME_AVG_3M))</f>
        <v/>
      </c>
      <c r="AB1986" s="31" t="str" cm="1">
        <f t="array" ref="AB1986">IF(LEFT(_xll.BDP($C1986, VOLUME_AVG_6M), 4) = "#N/A", "",  _xll.BDP($C1986, VOLUME_AVG_6M))</f>
        <v/>
      </c>
      <c r="AC1986" s="31" t="str" cm="1">
        <f t="array" ref="AC1986">IF(LEFT(_xll.BDP($C1986, VOLUME_AVG_12M), 4) = "#N/A", "",  _xll.BDP($C1986, VOLUME_AVG_12M))</f>
        <v/>
      </c>
      <c r="AD1986" s="41" t="str" cm="1">
        <f t="array" ref="AD1986">IF(LEFT(_xll.BDP($C1986, LAST_PRICE), 4) = "#N/A", "",  _xll.BDP($C1986, LAST_PRICE))</f>
        <v/>
      </c>
    </row>
    <row r="1987" spans="1:30" x14ac:dyDescent="0.35">
      <c r="A1987" s="1" t="str">
        <f t="shared" si="30"/>
        <v/>
      </c>
      <c r="B1987" s="30"/>
      <c r="C1987" s="29"/>
      <c r="D1987" s="29"/>
      <c r="E1987" s="29"/>
      <c r="F1987" s="29"/>
      <c r="G1987" s="30"/>
      <c r="H1987" s="31"/>
      <c r="I1987" s="31"/>
      <c r="J1987" s="32"/>
      <c r="K1987" s="33"/>
      <c r="L1987" s="31"/>
      <c r="M1987" s="32"/>
      <c r="N1987" s="31"/>
      <c r="O1987" s="36"/>
      <c r="P1987" s="34"/>
      <c r="Q1987" s="34"/>
      <c r="R1987" s="34"/>
      <c r="S1987" s="29"/>
      <c r="T1987" s="35"/>
      <c r="U1987" s="35"/>
      <c r="V1987" s="35"/>
      <c r="W1987" s="35"/>
      <c r="Y1987" s="31" t="str" cm="1">
        <f t="array" ref="Y1987">IF(LEFT(_xll.BDP($C1987, VOLUME_AVG_10D), 4) = "#N/A", "",  _xll.BDP($C1987, VOLUME_AVG_10D))</f>
        <v/>
      </c>
      <c r="Z1987" s="31" t="str" cm="1">
        <f t="array" ref="Z1987">IF(LEFT(_xll.BDP($C1987, VOLUME_AVG_30D), 4) = "#N/A", "",  _xll.BDP($C1987, VOLUME_AVG_30D))</f>
        <v/>
      </c>
      <c r="AA1987" s="31" t="str" cm="1">
        <f t="array" ref="AA1987">IF(LEFT(_xll.BDP($C1987, VOLUME_AVG_3M), 4) = "#N/A", "",  _xll.BDP($C1987, VOLUME_AVG_3M))</f>
        <v/>
      </c>
      <c r="AB1987" s="31" t="str" cm="1">
        <f t="array" ref="AB1987">IF(LEFT(_xll.BDP($C1987, VOLUME_AVG_6M), 4) = "#N/A", "",  _xll.BDP($C1987, VOLUME_AVG_6M))</f>
        <v/>
      </c>
      <c r="AC1987" s="31" t="str" cm="1">
        <f t="array" ref="AC1987">IF(LEFT(_xll.BDP($C1987, VOLUME_AVG_12M), 4) = "#N/A", "",  _xll.BDP($C1987, VOLUME_AVG_12M))</f>
        <v/>
      </c>
      <c r="AD1987" s="41" t="str" cm="1">
        <f t="array" ref="AD1987">IF(LEFT(_xll.BDP($C1987, LAST_PRICE), 4) = "#N/A", "",  _xll.BDP($C1987, LAST_PRICE))</f>
        <v/>
      </c>
    </row>
    <row r="1988" spans="1:30" x14ac:dyDescent="0.35">
      <c r="A1988" s="1" t="str">
        <f t="shared" si="30"/>
        <v/>
      </c>
      <c r="B1988" s="30"/>
      <c r="C1988" s="29"/>
      <c r="D1988" s="29"/>
      <c r="E1988" s="29"/>
      <c r="F1988" s="29"/>
      <c r="G1988" s="30"/>
      <c r="H1988" s="31"/>
      <c r="I1988" s="31"/>
      <c r="J1988" s="32"/>
      <c r="K1988" s="33"/>
      <c r="L1988" s="31"/>
      <c r="M1988" s="32"/>
      <c r="N1988" s="31"/>
      <c r="O1988" s="36"/>
      <c r="P1988" s="34"/>
      <c r="Q1988" s="34"/>
      <c r="R1988" s="34"/>
      <c r="S1988" s="29"/>
      <c r="T1988" s="35"/>
      <c r="U1988" s="35"/>
      <c r="V1988" s="35"/>
      <c r="W1988" s="35"/>
      <c r="Y1988" s="31" t="str" cm="1">
        <f t="array" ref="Y1988">IF(LEFT(_xll.BDP($C1988, VOLUME_AVG_10D), 4) = "#N/A", "",  _xll.BDP($C1988, VOLUME_AVG_10D))</f>
        <v/>
      </c>
      <c r="Z1988" s="31" t="str" cm="1">
        <f t="array" ref="Z1988">IF(LEFT(_xll.BDP($C1988, VOLUME_AVG_30D), 4) = "#N/A", "",  _xll.BDP($C1988, VOLUME_AVG_30D))</f>
        <v/>
      </c>
      <c r="AA1988" s="31" t="str" cm="1">
        <f t="array" ref="AA1988">IF(LEFT(_xll.BDP($C1988, VOLUME_AVG_3M), 4) = "#N/A", "",  _xll.BDP($C1988, VOLUME_AVG_3M))</f>
        <v/>
      </c>
      <c r="AB1988" s="31" t="str" cm="1">
        <f t="array" ref="AB1988">IF(LEFT(_xll.BDP($C1988, VOLUME_AVG_6M), 4) = "#N/A", "",  _xll.BDP($C1988, VOLUME_AVG_6M))</f>
        <v/>
      </c>
      <c r="AC1988" s="31" t="str" cm="1">
        <f t="array" ref="AC1988">IF(LEFT(_xll.BDP($C1988, VOLUME_AVG_12M), 4) = "#N/A", "",  _xll.BDP($C1988, VOLUME_AVG_12M))</f>
        <v/>
      </c>
      <c r="AD1988" s="41" t="str" cm="1">
        <f t="array" ref="AD1988">IF(LEFT(_xll.BDP($C1988, LAST_PRICE), 4) = "#N/A", "",  _xll.BDP($C1988, LAST_PRICE))</f>
        <v/>
      </c>
    </row>
    <row r="1989" spans="1:30" x14ac:dyDescent="0.35">
      <c r="A1989" s="1" t="str">
        <f t="shared" si="30"/>
        <v/>
      </c>
      <c r="B1989" s="30"/>
      <c r="C1989" s="29"/>
      <c r="D1989" s="29"/>
      <c r="E1989" s="29"/>
      <c r="F1989" s="29"/>
      <c r="G1989" s="30"/>
      <c r="H1989" s="31"/>
      <c r="I1989" s="31"/>
      <c r="J1989" s="32"/>
      <c r="K1989" s="33"/>
      <c r="L1989" s="31"/>
      <c r="M1989" s="32"/>
      <c r="N1989" s="31"/>
      <c r="O1989" s="36"/>
      <c r="P1989" s="34"/>
      <c r="Q1989" s="34"/>
      <c r="R1989" s="34"/>
      <c r="S1989" s="29"/>
      <c r="T1989" s="35"/>
      <c r="U1989" s="35"/>
      <c r="V1989" s="35"/>
      <c r="W1989" s="35"/>
      <c r="Y1989" s="31" t="str" cm="1">
        <f t="array" ref="Y1989">IF(LEFT(_xll.BDP($C1989, VOLUME_AVG_10D), 4) = "#N/A", "",  _xll.BDP($C1989, VOLUME_AVG_10D))</f>
        <v/>
      </c>
      <c r="Z1989" s="31" t="str" cm="1">
        <f t="array" ref="Z1989">IF(LEFT(_xll.BDP($C1989, VOLUME_AVG_30D), 4) = "#N/A", "",  _xll.BDP($C1989, VOLUME_AVG_30D))</f>
        <v/>
      </c>
      <c r="AA1989" s="31" t="str" cm="1">
        <f t="array" ref="AA1989">IF(LEFT(_xll.BDP($C1989, VOLUME_AVG_3M), 4) = "#N/A", "",  _xll.BDP($C1989, VOLUME_AVG_3M))</f>
        <v/>
      </c>
      <c r="AB1989" s="31" t="str" cm="1">
        <f t="array" ref="AB1989">IF(LEFT(_xll.BDP($C1989, VOLUME_AVG_6M), 4) = "#N/A", "",  _xll.BDP($C1989, VOLUME_AVG_6M))</f>
        <v/>
      </c>
      <c r="AC1989" s="31" t="str" cm="1">
        <f t="array" ref="AC1989">IF(LEFT(_xll.BDP($C1989, VOLUME_AVG_12M), 4) = "#N/A", "",  _xll.BDP($C1989, VOLUME_AVG_12M))</f>
        <v/>
      </c>
      <c r="AD1989" s="41" t="str" cm="1">
        <f t="array" ref="AD1989">IF(LEFT(_xll.BDP($C1989, LAST_PRICE), 4) = "#N/A", "",  _xll.BDP($C1989, LAST_PRICE))</f>
        <v/>
      </c>
    </row>
    <row r="1990" spans="1:30" x14ac:dyDescent="0.35">
      <c r="A1990" s="1" t="str">
        <f t="shared" ref="A1990:A2001" si="31">IF(B1990="","", A1989+1)</f>
        <v/>
      </c>
      <c r="B1990" s="30"/>
      <c r="C1990" s="29"/>
      <c r="D1990" s="29"/>
      <c r="E1990" s="29"/>
      <c r="F1990" s="29"/>
      <c r="G1990" s="30"/>
      <c r="H1990" s="31"/>
      <c r="I1990" s="31"/>
      <c r="J1990" s="32"/>
      <c r="K1990" s="33"/>
      <c r="L1990" s="31"/>
      <c r="M1990" s="32"/>
      <c r="N1990" s="31"/>
      <c r="O1990" s="36"/>
      <c r="P1990" s="34"/>
      <c r="Q1990" s="34"/>
      <c r="R1990" s="34"/>
      <c r="S1990" s="29"/>
      <c r="T1990" s="35"/>
      <c r="U1990" s="35"/>
      <c r="V1990" s="35"/>
      <c r="W1990" s="35"/>
      <c r="Y1990" s="31" t="str" cm="1">
        <f t="array" ref="Y1990">IF(LEFT(_xll.BDP($C1990, VOLUME_AVG_10D), 4) = "#N/A", "",  _xll.BDP($C1990, VOLUME_AVG_10D))</f>
        <v/>
      </c>
      <c r="Z1990" s="31" t="str" cm="1">
        <f t="array" ref="Z1990">IF(LEFT(_xll.BDP($C1990, VOLUME_AVG_30D), 4) = "#N/A", "",  _xll.BDP($C1990, VOLUME_AVG_30D))</f>
        <v/>
      </c>
      <c r="AA1990" s="31" t="str" cm="1">
        <f t="array" ref="AA1990">IF(LEFT(_xll.BDP($C1990, VOLUME_AVG_3M), 4) = "#N/A", "",  _xll.BDP($C1990, VOLUME_AVG_3M))</f>
        <v/>
      </c>
      <c r="AB1990" s="31" t="str" cm="1">
        <f t="array" ref="AB1990">IF(LEFT(_xll.BDP($C1990, VOLUME_AVG_6M), 4) = "#N/A", "",  _xll.BDP($C1990, VOLUME_AVG_6M))</f>
        <v/>
      </c>
      <c r="AC1990" s="31" t="str" cm="1">
        <f t="array" ref="AC1990">IF(LEFT(_xll.BDP($C1990, VOLUME_AVG_12M), 4) = "#N/A", "",  _xll.BDP($C1990, VOLUME_AVG_12M))</f>
        <v/>
      </c>
      <c r="AD1990" s="41" t="str" cm="1">
        <f t="array" ref="AD1990">IF(LEFT(_xll.BDP($C1990, LAST_PRICE), 4) = "#N/A", "",  _xll.BDP($C1990, LAST_PRICE))</f>
        <v/>
      </c>
    </row>
    <row r="1991" spans="1:30" x14ac:dyDescent="0.35">
      <c r="A1991" s="1" t="str">
        <f t="shared" si="31"/>
        <v/>
      </c>
      <c r="B1991" s="30"/>
      <c r="C1991" s="29"/>
      <c r="D1991" s="29"/>
      <c r="E1991" s="29"/>
      <c r="F1991" s="29"/>
      <c r="G1991" s="30"/>
      <c r="H1991" s="31"/>
      <c r="I1991" s="31"/>
      <c r="J1991" s="32"/>
      <c r="K1991" s="33"/>
      <c r="L1991" s="31"/>
      <c r="M1991" s="32"/>
      <c r="N1991" s="31"/>
      <c r="O1991" s="36"/>
      <c r="P1991" s="34"/>
      <c r="Q1991" s="34"/>
      <c r="R1991" s="34"/>
      <c r="S1991" s="29"/>
      <c r="T1991" s="35"/>
      <c r="U1991" s="35"/>
      <c r="V1991" s="35"/>
      <c r="W1991" s="35"/>
      <c r="Y1991" s="31" t="str" cm="1">
        <f t="array" ref="Y1991">IF(LEFT(_xll.BDP($C1991, VOLUME_AVG_10D), 4) = "#N/A", "",  _xll.BDP($C1991, VOLUME_AVG_10D))</f>
        <v/>
      </c>
      <c r="Z1991" s="31" t="str" cm="1">
        <f t="array" ref="Z1991">IF(LEFT(_xll.BDP($C1991, VOLUME_AVG_30D), 4) = "#N/A", "",  _xll.BDP($C1991, VOLUME_AVG_30D))</f>
        <v/>
      </c>
      <c r="AA1991" s="31" t="str" cm="1">
        <f t="array" ref="AA1991">IF(LEFT(_xll.BDP($C1991, VOLUME_AVG_3M), 4) = "#N/A", "",  _xll.BDP($C1991, VOLUME_AVG_3M))</f>
        <v/>
      </c>
      <c r="AB1991" s="31" t="str" cm="1">
        <f t="array" ref="AB1991">IF(LEFT(_xll.BDP($C1991, VOLUME_AVG_6M), 4) = "#N/A", "",  _xll.BDP($C1991, VOLUME_AVG_6M))</f>
        <v/>
      </c>
      <c r="AC1991" s="31" t="str" cm="1">
        <f t="array" ref="AC1991">IF(LEFT(_xll.BDP($C1991, VOLUME_AVG_12M), 4) = "#N/A", "",  _xll.BDP($C1991, VOLUME_AVG_12M))</f>
        <v/>
      </c>
      <c r="AD1991" s="41" t="str" cm="1">
        <f t="array" ref="AD1991">IF(LEFT(_xll.BDP($C1991, LAST_PRICE), 4) = "#N/A", "",  _xll.BDP($C1991, LAST_PRICE))</f>
        <v/>
      </c>
    </row>
    <row r="1992" spans="1:30" x14ac:dyDescent="0.35">
      <c r="A1992" s="1" t="str">
        <f t="shared" si="31"/>
        <v/>
      </c>
      <c r="B1992" s="30"/>
      <c r="C1992" s="29"/>
      <c r="D1992" s="29"/>
      <c r="E1992" s="29"/>
      <c r="F1992" s="29"/>
      <c r="G1992" s="30"/>
      <c r="H1992" s="31"/>
      <c r="I1992" s="31"/>
      <c r="J1992" s="32"/>
      <c r="K1992" s="33"/>
      <c r="L1992" s="31"/>
      <c r="M1992" s="32"/>
      <c r="N1992" s="31"/>
      <c r="O1992" s="36"/>
      <c r="P1992" s="34"/>
      <c r="Q1992" s="34"/>
      <c r="R1992" s="34"/>
      <c r="S1992" s="29"/>
      <c r="T1992" s="35"/>
      <c r="U1992" s="35"/>
      <c r="V1992" s="35"/>
      <c r="W1992" s="35"/>
      <c r="Y1992" s="31" t="str" cm="1">
        <f t="array" ref="Y1992">IF(LEFT(_xll.BDP($C1992, VOLUME_AVG_10D), 4) = "#N/A", "",  _xll.BDP($C1992, VOLUME_AVG_10D))</f>
        <v/>
      </c>
      <c r="Z1992" s="31" t="str" cm="1">
        <f t="array" ref="Z1992">IF(LEFT(_xll.BDP($C1992, VOLUME_AVG_30D), 4) = "#N/A", "",  _xll.BDP($C1992, VOLUME_AVG_30D))</f>
        <v/>
      </c>
      <c r="AA1992" s="31" t="str" cm="1">
        <f t="array" ref="AA1992">IF(LEFT(_xll.BDP($C1992, VOLUME_AVG_3M), 4) = "#N/A", "",  _xll.BDP($C1992, VOLUME_AVG_3M))</f>
        <v/>
      </c>
      <c r="AB1992" s="31" t="str" cm="1">
        <f t="array" ref="AB1992">IF(LEFT(_xll.BDP($C1992, VOLUME_AVG_6M), 4) = "#N/A", "",  _xll.BDP($C1992, VOLUME_AVG_6M))</f>
        <v/>
      </c>
      <c r="AC1992" s="31" t="str" cm="1">
        <f t="array" ref="AC1992">IF(LEFT(_xll.BDP($C1992, VOLUME_AVG_12M), 4) = "#N/A", "",  _xll.BDP($C1992, VOLUME_AVG_12M))</f>
        <v/>
      </c>
      <c r="AD1992" s="41" t="str" cm="1">
        <f t="array" ref="AD1992">IF(LEFT(_xll.BDP($C1992, LAST_PRICE), 4) = "#N/A", "",  _xll.BDP($C1992, LAST_PRICE))</f>
        <v/>
      </c>
    </row>
    <row r="1993" spans="1:30" x14ac:dyDescent="0.35">
      <c r="A1993" s="1" t="str">
        <f t="shared" si="31"/>
        <v/>
      </c>
      <c r="B1993" s="30"/>
      <c r="C1993" s="29"/>
      <c r="D1993" s="29"/>
      <c r="E1993" s="29"/>
      <c r="F1993" s="29"/>
      <c r="G1993" s="30"/>
      <c r="H1993" s="31"/>
      <c r="I1993" s="31"/>
      <c r="J1993" s="32"/>
      <c r="K1993" s="33"/>
      <c r="L1993" s="31"/>
      <c r="M1993" s="32"/>
      <c r="N1993" s="31"/>
      <c r="O1993" s="36"/>
      <c r="P1993" s="34"/>
      <c r="Q1993" s="34"/>
      <c r="R1993" s="34"/>
      <c r="S1993" s="29"/>
      <c r="T1993" s="35"/>
      <c r="U1993" s="35"/>
      <c r="V1993" s="35"/>
      <c r="W1993" s="35"/>
      <c r="Y1993" s="31" t="str" cm="1">
        <f t="array" ref="Y1993">IF(LEFT(_xll.BDP($C1993, VOLUME_AVG_10D), 4) = "#N/A", "",  _xll.BDP($C1993, VOLUME_AVG_10D))</f>
        <v/>
      </c>
      <c r="Z1993" s="31" t="str" cm="1">
        <f t="array" ref="Z1993">IF(LEFT(_xll.BDP($C1993, VOLUME_AVG_30D), 4) = "#N/A", "",  _xll.BDP($C1993, VOLUME_AVG_30D))</f>
        <v/>
      </c>
      <c r="AA1993" s="31" t="str" cm="1">
        <f t="array" ref="AA1993">IF(LEFT(_xll.BDP($C1993, VOLUME_AVG_3M), 4) = "#N/A", "",  _xll.BDP($C1993, VOLUME_AVG_3M))</f>
        <v/>
      </c>
      <c r="AB1993" s="31" t="str" cm="1">
        <f t="array" ref="AB1993">IF(LEFT(_xll.BDP($C1993, VOLUME_AVG_6M), 4) = "#N/A", "",  _xll.BDP($C1993, VOLUME_AVG_6M))</f>
        <v/>
      </c>
      <c r="AC1993" s="31" t="str" cm="1">
        <f t="array" ref="AC1993">IF(LEFT(_xll.BDP($C1993, VOLUME_AVG_12M), 4) = "#N/A", "",  _xll.BDP($C1993, VOLUME_AVG_12M))</f>
        <v/>
      </c>
      <c r="AD1993" s="41" t="str" cm="1">
        <f t="array" ref="AD1993">IF(LEFT(_xll.BDP($C1993, LAST_PRICE), 4) = "#N/A", "",  _xll.BDP($C1993, LAST_PRICE))</f>
        <v/>
      </c>
    </row>
    <row r="1994" spans="1:30" x14ac:dyDescent="0.35">
      <c r="A1994" s="1" t="str">
        <f t="shared" si="31"/>
        <v/>
      </c>
      <c r="B1994" s="30"/>
      <c r="C1994" s="29"/>
      <c r="D1994" s="29"/>
      <c r="E1994" s="29"/>
      <c r="F1994" s="29"/>
      <c r="G1994" s="30"/>
      <c r="H1994" s="31"/>
      <c r="I1994" s="31"/>
      <c r="J1994" s="32"/>
      <c r="K1994" s="33"/>
      <c r="L1994" s="31"/>
      <c r="M1994" s="32"/>
      <c r="N1994" s="31"/>
      <c r="O1994" s="36"/>
      <c r="P1994" s="34"/>
      <c r="Q1994" s="34"/>
      <c r="R1994" s="34"/>
      <c r="S1994" s="29"/>
      <c r="T1994" s="35"/>
      <c r="U1994" s="35"/>
      <c r="V1994" s="35"/>
      <c r="W1994" s="35"/>
      <c r="Y1994" s="31" t="str" cm="1">
        <f t="array" ref="Y1994">IF(LEFT(_xll.BDP($C1994, VOLUME_AVG_10D), 4) = "#N/A", "",  _xll.BDP($C1994, VOLUME_AVG_10D))</f>
        <v/>
      </c>
      <c r="Z1994" s="31" t="str" cm="1">
        <f t="array" ref="Z1994">IF(LEFT(_xll.BDP($C1994, VOLUME_AVG_30D), 4) = "#N/A", "",  _xll.BDP($C1994, VOLUME_AVG_30D))</f>
        <v/>
      </c>
      <c r="AA1994" s="31" t="str" cm="1">
        <f t="array" ref="AA1994">IF(LEFT(_xll.BDP($C1994, VOLUME_AVG_3M), 4) = "#N/A", "",  _xll.BDP($C1994, VOLUME_AVG_3M))</f>
        <v/>
      </c>
      <c r="AB1994" s="31" t="str" cm="1">
        <f t="array" ref="AB1994">IF(LEFT(_xll.BDP($C1994, VOLUME_AVG_6M), 4) = "#N/A", "",  _xll.BDP($C1994, VOLUME_AVG_6M))</f>
        <v/>
      </c>
      <c r="AC1994" s="31" t="str" cm="1">
        <f t="array" ref="AC1994">IF(LEFT(_xll.BDP($C1994, VOLUME_AVG_12M), 4) = "#N/A", "",  _xll.BDP($C1994, VOLUME_AVG_12M))</f>
        <v/>
      </c>
      <c r="AD1994" s="41" t="str" cm="1">
        <f t="array" ref="AD1994">IF(LEFT(_xll.BDP($C1994, LAST_PRICE), 4) = "#N/A", "",  _xll.BDP($C1994, LAST_PRICE))</f>
        <v/>
      </c>
    </row>
    <row r="1995" spans="1:30" x14ac:dyDescent="0.35">
      <c r="A1995" s="1" t="str">
        <f t="shared" si="31"/>
        <v/>
      </c>
      <c r="B1995" s="30"/>
      <c r="C1995" s="29"/>
      <c r="D1995" s="29"/>
      <c r="E1995" s="29"/>
      <c r="F1995" s="29"/>
      <c r="G1995" s="30"/>
      <c r="H1995" s="31"/>
      <c r="I1995" s="31"/>
      <c r="J1995" s="32"/>
      <c r="K1995" s="33"/>
      <c r="L1995" s="31"/>
      <c r="M1995" s="32"/>
      <c r="N1995" s="31"/>
      <c r="O1995" s="36"/>
      <c r="P1995" s="34"/>
      <c r="Q1995" s="34"/>
      <c r="R1995" s="34"/>
      <c r="S1995" s="29"/>
      <c r="T1995" s="35"/>
      <c r="U1995" s="35"/>
      <c r="V1995" s="35"/>
      <c r="W1995" s="35"/>
      <c r="Y1995" s="31" t="str" cm="1">
        <f t="array" ref="Y1995">IF(LEFT(_xll.BDP($C1995, VOLUME_AVG_10D), 4) = "#N/A", "",  _xll.BDP($C1995, VOLUME_AVG_10D))</f>
        <v/>
      </c>
      <c r="Z1995" s="31" t="str" cm="1">
        <f t="array" ref="Z1995">IF(LEFT(_xll.BDP($C1995, VOLUME_AVG_30D), 4) = "#N/A", "",  _xll.BDP($C1995, VOLUME_AVG_30D))</f>
        <v/>
      </c>
      <c r="AA1995" s="31" t="str" cm="1">
        <f t="array" ref="AA1995">IF(LEFT(_xll.BDP($C1995, VOLUME_AVG_3M), 4) = "#N/A", "",  _xll.BDP($C1995, VOLUME_AVG_3M))</f>
        <v/>
      </c>
      <c r="AB1995" s="31" t="str" cm="1">
        <f t="array" ref="AB1995">IF(LEFT(_xll.BDP($C1995, VOLUME_AVG_6M), 4) = "#N/A", "",  _xll.BDP($C1995, VOLUME_AVG_6M))</f>
        <v/>
      </c>
      <c r="AC1995" s="31" t="str" cm="1">
        <f t="array" ref="AC1995">IF(LEFT(_xll.BDP($C1995, VOLUME_AVG_12M), 4) = "#N/A", "",  _xll.BDP($C1995, VOLUME_AVG_12M))</f>
        <v/>
      </c>
      <c r="AD1995" s="41" t="str" cm="1">
        <f t="array" ref="AD1995">IF(LEFT(_xll.BDP($C1995, LAST_PRICE), 4) = "#N/A", "",  _xll.BDP($C1995, LAST_PRICE))</f>
        <v/>
      </c>
    </row>
    <row r="1996" spans="1:30" x14ac:dyDescent="0.35">
      <c r="A1996" s="1" t="str">
        <f t="shared" si="31"/>
        <v/>
      </c>
      <c r="B1996" s="30"/>
      <c r="C1996" s="29"/>
      <c r="D1996" s="29"/>
      <c r="E1996" s="29"/>
      <c r="F1996" s="29"/>
      <c r="G1996" s="30"/>
      <c r="H1996" s="31"/>
      <c r="I1996" s="31"/>
      <c r="J1996" s="32"/>
      <c r="K1996" s="33"/>
      <c r="L1996" s="31"/>
      <c r="M1996" s="32"/>
      <c r="N1996" s="31"/>
      <c r="O1996" s="36"/>
      <c r="P1996" s="34"/>
      <c r="Q1996" s="34"/>
      <c r="R1996" s="34"/>
      <c r="S1996" s="29"/>
      <c r="T1996" s="35"/>
      <c r="U1996" s="35"/>
      <c r="V1996" s="35"/>
      <c r="W1996" s="35"/>
      <c r="Y1996" s="31" t="str" cm="1">
        <f t="array" ref="Y1996">IF(LEFT(_xll.BDP($C1996, VOLUME_AVG_10D), 4) = "#N/A", "",  _xll.BDP($C1996, VOLUME_AVG_10D))</f>
        <v/>
      </c>
      <c r="Z1996" s="31" t="str" cm="1">
        <f t="array" ref="Z1996">IF(LEFT(_xll.BDP($C1996, VOLUME_AVG_30D), 4) = "#N/A", "",  _xll.BDP($C1996, VOLUME_AVG_30D))</f>
        <v/>
      </c>
      <c r="AA1996" s="31" t="str" cm="1">
        <f t="array" ref="AA1996">IF(LEFT(_xll.BDP($C1996, VOLUME_AVG_3M), 4) = "#N/A", "",  _xll.BDP($C1996, VOLUME_AVG_3M))</f>
        <v/>
      </c>
      <c r="AB1996" s="31" t="str" cm="1">
        <f t="array" ref="AB1996">IF(LEFT(_xll.BDP($C1996, VOLUME_AVG_6M), 4) = "#N/A", "",  _xll.BDP($C1996, VOLUME_AVG_6M))</f>
        <v/>
      </c>
      <c r="AC1996" s="31" t="str" cm="1">
        <f t="array" ref="AC1996">IF(LEFT(_xll.BDP($C1996, VOLUME_AVG_12M), 4) = "#N/A", "",  _xll.BDP($C1996, VOLUME_AVG_12M))</f>
        <v/>
      </c>
      <c r="AD1996" s="41" t="str" cm="1">
        <f t="array" ref="AD1996">IF(LEFT(_xll.BDP($C1996, LAST_PRICE), 4) = "#N/A", "",  _xll.BDP($C1996, LAST_PRICE))</f>
        <v/>
      </c>
    </row>
    <row r="1997" spans="1:30" x14ac:dyDescent="0.35">
      <c r="A1997" s="1" t="str">
        <f t="shared" si="31"/>
        <v/>
      </c>
      <c r="B1997" s="30"/>
      <c r="C1997" s="29"/>
      <c r="D1997" s="29"/>
      <c r="E1997" s="29"/>
      <c r="F1997" s="29"/>
      <c r="G1997" s="30"/>
      <c r="H1997" s="31"/>
      <c r="I1997" s="31"/>
      <c r="J1997" s="32"/>
      <c r="K1997" s="33"/>
      <c r="L1997" s="31"/>
      <c r="M1997" s="32"/>
      <c r="N1997" s="31"/>
      <c r="O1997" s="36"/>
      <c r="P1997" s="34"/>
      <c r="Q1997" s="34"/>
      <c r="R1997" s="34"/>
      <c r="S1997" s="29"/>
      <c r="T1997" s="35"/>
      <c r="U1997" s="35"/>
      <c r="V1997" s="35"/>
      <c r="W1997" s="35"/>
      <c r="Y1997" s="31" t="str" cm="1">
        <f t="array" ref="Y1997">IF(LEFT(_xll.BDP($C1997, VOLUME_AVG_10D), 4) = "#N/A", "",  _xll.BDP($C1997, VOLUME_AVG_10D))</f>
        <v/>
      </c>
      <c r="Z1997" s="31" t="str" cm="1">
        <f t="array" ref="Z1997">IF(LEFT(_xll.BDP($C1997, VOLUME_AVG_30D), 4) = "#N/A", "",  _xll.BDP($C1997, VOLUME_AVG_30D))</f>
        <v/>
      </c>
      <c r="AA1997" s="31" t="str" cm="1">
        <f t="array" ref="AA1997">IF(LEFT(_xll.BDP($C1997, VOLUME_AVG_3M), 4) = "#N/A", "",  _xll.BDP($C1997, VOLUME_AVG_3M))</f>
        <v/>
      </c>
      <c r="AB1997" s="31" t="str" cm="1">
        <f t="array" ref="AB1997">IF(LEFT(_xll.BDP($C1997, VOLUME_AVG_6M), 4) = "#N/A", "",  _xll.BDP($C1997, VOLUME_AVG_6M))</f>
        <v/>
      </c>
      <c r="AC1997" s="31" t="str" cm="1">
        <f t="array" ref="AC1997">IF(LEFT(_xll.BDP($C1997, VOLUME_AVG_12M), 4) = "#N/A", "",  _xll.BDP($C1997, VOLUME_AVG_12M))</f>
        <v/>
      </c>
      <c r="AD1997" s="41" t="str" cm="1">
        <f t="array" ref="AD1997">IF(LEFT(_xll.BDP($C1997, LAST_PRICE), 4) = "#N/A", "",  _xll.BDP($C1997, LAST_PRICE))</f>
        <v/>
      </c>
    </row>
    <row r="1998" spans="1:30" x14ac:dyDescent="0.35">
      <c r="A1998" s="1" t="str">
        <f t="shared" si="31"/>
        <v/>
      </c>
      <c r="B1998" s="30"/>
      <c r="C1998" s="29"/>
      <c r="D1998" s="29"/>
      <c r="E1998" s="29"/>
      <c r="F1998" s="29"/>
      <c r="G1998" s="30"/>
      <c r="H1998" s="31"/>
      <c r="I1998" s="31"/>
      <c r="J1998" s="32"/>
      <c r="K1998" s="33"/>
      <c r="L1998" s="31"/>
      <c r="M1998" s="32"/>
      <c r="N1998" s="31"/>
      <c r="O1998" s="36"/>
      <c r="P1998" s="34"/>
      <c r="Q1998" s="34"/>
      <c r="R1998" s="34"/>
      <c r="S1998" s="29"/>
      <c r="T1998" s="35"/>
      <c r="U1998" s="35"/>
      <c r="V1998" s="35"/>
      <c r="W1998" s="35"/>
      <c r="Y1998" s="31" t="str" cm="1">
        <f t="array" ref="Y1998">IF(LEFT(_xll.BDP($C1998, VOLUME_AVG_10D), 4) = "#N/A", "",  _xll.BDP($C1998, VOLUME_AVG_10D))</f>
        <v/>
      </c>
      <c r="Z1998" s="31" t="str" cm="1">
        <f t="array" ref="Z1998">IF(LEFT(_xll.BDP($C1998, VOLUME_AVG_30D), 4) = "#N/A", "",  _xll.BDP($C1998, VOLUME_AVG_30D))</f>
        <v/>
      </c>
      <c r="AA1998" s="31" t="str" cm="1">
        <f t="array" ref="AA1998">IF(LEFT(_xll.BDP($C1998, VOLUME_AVG_3M), 4) = "#N/A", "",  _xll.BDP($C1998, VOLUME_AVG_3M))</f>
        <v/>
      </c>
      <c r="AB1998" s="31" t="str" cm="1">
        <f t="array" ref="AB1998">IF(LEFT(_xll.BDP($C1998, VOLUME_AVG_6M), 4) = "#N/A", "",  _xll.BDP($C1998, VOLUME_AVG_6M))</f>
        <v/>
      </c>
      <c r="AC1998" s="31" t="str" cm="1">
        <f t="array" ref="AC1998">IF(LEFT(_xll.BDP($C1998, VOLUME_AVG_12M), 4) = "#N/A", "",  _xll.BDP($C1998, VOLUME_AVG_12M))</f>
        <v/>
      </c>
      <c r="AD1998" s="41" t="str" cm="1">
        <f t="array" ref="AD1998">IF(LEFT(_xll.BDP($C1998, LAST_PRICE), 4) = "#N/A", "",  _xll.BDP($C1998, LAST_PRICE))</f>
        <v/>
      </c>
    </row>
    <row r="1999" spans="1:30" x14ac:dyDescent="0.35">
      <c r="A1999" s="1" t="str">
        <f t="shared" si="31"/>
        <v/>
      </c>
      <c r="B1999" s="30"/>
      <c r="C1999" s="29"/>
      <c r="D1999" s="29"/>
      <c r="E1999" s="29"/>
      <c r="F1999" s="29"/>
      <c r="G1999" s="30"/>
      <c r="H1999" s="31"/>
      <c r="I1999" s="31"/>
      <c r="J1999" s="32"/>
      <c r="K1999" s="33"/>
      <c r="L1999" s="31"/>
      <c r="M1999" s="32"/>
      <c r="N1999" s="31"/>
      <c r="O1999" s="36"/>
      <c r="P1999" s="34"/>
      <c r="Q1999" s="34"/>
      <c r="R1999" s="34"/>
      <c r="S1999" s="29"/>
      <c r="T1999" s="35"/>
      <c r="U1999" s="35"/>
      <c r="V1999" s="35"/>
      <c r="W1999" s="35"/>
      <c r="Y1999" s="31" t="str" cm="1">
        <f t="array" ref="Y1999">IF(LEFT(_xll.BDP($C1999, VOLUME_AVG_10D), 4) = "#N/A", "",  _xll.BDP($C1999, VOLUME_AVG_10D))</f>
        <v/>
      </c>
      <c r="Z1999" s="31" t="str" cm="1">
        <f t="array" ref="Z1999">IF(LEFT(_xll.BDP($C1999, VOLUME_AVG_30D), 4) = "#N/A", "",  _xll.BDP($C1999, VOLUME_AVG_30D))</f>
        <v/>
      </c>
      <c r="AA1999" s="31" t="str" cm="1">
        <f t="array" ref="AA1999">IF(LEFT(_xll.BDP($C1999, VOLUME_AVG_3M), 4) = "#N/A", "",  _xll.BDP($C1999, VOLUME_AVG_3M))</f>
        <v/>
      </c>
      <c r="AB1999" s="31" t="str" cm="1">
        <f t="array" ref="AB1999">IF(LEFT(_xll.BDP($C1999, VOLUME_AVG_6M), 4) = "#N/A", "",  _xll.BDP($C1999, VOLUME_AVG_6M))</f>
        <v/>
      </c>
      <c r="AC1999" s="31" t="str" cm="1">
        <f t="array" ref="AC1999">IF(LEFT(_xll.BDP($C1999, VOLUME_AVG_12M), 4) = "#N/A", "",  _xll.BDP($C1999, VOLUME_AVG_12M))</f>
        <v/>
      </c>
      <c r="AD1999" s="41" t="str" cm="1">
        <f t="array" ref="AD1999">IF(LEFT(_xll.BDP($C1999, LAST_PRICE), 4) = "#N/A", "",  _xll.BDP($C1999, LAST_PRICE))</f>
        <v/>
      </c>
    </row>
    <row r="2000" spans="1:30" x14ac:dyDescent="0.35">
      <c r="A2000" s="1" t="str">
        <f t="shared" si="31"/>
        <v/>
      </c>
      <c r="B2000" s="30"/>
      <c r="C2000" s="29"/>
      <c r="D2000" s="29"/>
      <c r="E2000" s="29"/>
      <c r="F2000" s="29"/>
      <c r="G2000" s="30"/>
      <c r="H2000" s="31"/>
      <c r="I2000" s="31"/>
      <c r="J2000" s="32"/>
      <c r="K2000" s="33"/>
      <c r="L2000" s="31"/>
      <c r="M2000" s="32"/>
      <c r="N2000" s="31"/>
      <c r="O2000" s="36"/>
      <c r="P2000" s="34"/>
      <c r="Q2000" s="34"/>
      <c r="R2000" s="34"/>
      <c r="S2000" s="29"/>
      <c r="T2000" s="35"/>
      <c r="U2000" s="35"/>
      <c r="V2000" s="35"/>
      <c r="W2000" s="35"/>
      <c r="Y2000" s="31" t="str" cm="1">
        <f t="array" ref="Y2000">IF(LEFT(_xll.BDP($C2000, VOLUME_AVG_10D), 4) = "#N/A", "",  _xll.BDP($C2000, VOLUME_AVG_10D))</f>
        <v/>
      </c>
      <c r="Z2000" s="31" t="str" cm="1">
        <f t="array" ref="Z2000">IF(LEFT(_xll.BDP($C2000, VOLUME_AVG_30D), 4) = "#N/A", "",  _xll.BDP($C2000, VOLUME_AVG_30D))</f>
        <v/>
      </c>
      <c r="AA2000" s="31" t="str" cm="1">
        <f t="array" ref="AA2000">IF(LEFT(_xll.BDP($C2000, VOLUME_AVG_3M), 4) = "#N/A", "",  _xll.BDP($C2000, VOLUME_AVG_3M))</f>
        <v/>
      </c>
      <c r="AB2000" s="31" t="str" cm="1">
        <f t="array" ref="AB2000">IF(LEFT(_xll.BDP($C2000, VOLUME_AVG_6M), 4) = "#N/A", "",  _xll.BDP($C2000, VOLUME_AVG_6M))</f>
        <v/>
      </c>
      <c r="AC2000" s="31" t="str" cm="1">
        <f t="array" ref="AC2000">IF(LEFT(_xll.BDP($C2000, VOLUME_AVG_12M), 4) = "#N/A", "",  _xll.BDP($C2000, VOLUME_AVG_12M))</f>
        <v/>
      </c>
      <c r="AD2000" s="41" t="str" cm="1">
        <f t="array" ref="AD2000">IF(LEFT(_xll.BDP($C2000, LAST_PRICE), 4) = "#N/A", "",  _xll.BDP($C2000, LAST_PRICE))</f>
        <v/>
      </c>
    </row>
    <row r="2001" spans="1:30" x14ac:dyDescent="0.35">
      <c r="A2001" s="1" t="str">
        <f t="shared" si="31"/>
        <v/>
      </c>
      <c r="B2001" s="30"/>
      <c r="C2001" s="29"/>
      <c r="D2001" s="29"/>
      <c r="E2001" s="29"/>
      <c r="F2001" s="29"/>
      <c r="G2001" s="30"/>
      <c r="H2001" s="31"/>
      <c r="I2001" s="31"/>
      <c r="J2001" s="32"/>
      <c r="K2001" s="33"/>
      <c r="L2001" s="31"/>
      <c r="M2001" s="32"/>
      <c r="N2001" s="31"/>
      <c r="O2001" s="36"/>
      <c r="P2001" s="34"/>
      <c r="Q2001" s="34"/>
      <c r="R2001" s="34"/>
      <c r="S2001" s="29"/>
      <c r="T2001" s="35"/>
      <c r="U2001" s="35"/>
      <c r="V2001" s="35"/>
      <c r="W2001" s="35"/>
      <c r="Y2001" s="31" t="str" cm="1">
        <f t="array" ref="Y2001">IF(LEFT(_xll.BDP($C2001, VOLUME_AVG_10D), 4) = "#N/A", "",  _xll.BDP($C2001, VOLUME_AVG_10D))</f>
        <v/>
      </c>
      <c r="Z2001" s="31" t="str" cm="1">
        <f t="array" ref="Z2001">IF(LEFT(_xll.BDP($C2001, VOLUME_AVG_30D), 4) = "#N/A", "",  _xll.BDP($C2001, VOLUME_AVG_30D))</f>
        <v/>
      </c>
      <c r="AA2001" s="31" t="str" cm="1">
        <f t="array" ref="AA2001">IF(LEFT(_xll.BDP($C2001, VOLUME_AVG_3M), 4) = "#N/A", "",  _xll.BDP($C2001, VOLUME_AVG_3M))</f>
        <v/>
      </c>
      <c r="AB2001" s="31" t="str" cm="1">
        <f t="array" ref="AB2001">IF(LEFT(_xll.BDP($C2001, VOLUME_AVG_6M), 4) = "#N/A", "",  _xll.BDP($C2001, VOLUME_AVG_6M))</f>
        <v/>
      </c>
      <c r="AC2001" s="31" t="str" cm="1">
        <f t="array" ref="AC2001">IF(LEFT(_xll.BDP($C2001, VOLUME_AVG_12M), 4) = "#N/A", "",  _xll.BDP($C2001, VOLUME_AVG_12M))</f>
        <v/>
      </c>
      <c r="AD2001" s="41" t="str" cm="1">
        <f t="array" ref="AD2001">IF(LEFT(_xll.BDP($C2001, LAST_PRICE), 4) = "#N/A", "",  _xll.BDP($C2001, LAST_PRICE))</f>
        <v/>
      </c>
    </row>
  </sheetData>
  <dataValidations count="1">
    <dataValidation type="list" allowBlank="1" showInputMessage="1" showErrorMessage="1" sqref="E1" xr:uid="{F404E5D8-D5E6-48AC-95A8-EE18F86F96CB}">
      <formula1>VIEW_LIST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33415-A42E-4563-9B27-F5A6DD369D95}">
  <sheetPr codeName="Sheet1"/>
  <dimension ref="B2:B10"/>
  <sheetViews>
    <sheetView workbookViewId="0">
      <selection activeCell="B3" sqref="B3:B10"/>
    </sheetView>
  </sheetViews>
  <sheetFormatPr defaultRowHeight="14.5" x14ac:dyDescent="0.35"/>
  <sheetData>
    <row r="2" spans="2:2" x14ac:dyDescent="0.35">
      <c r="B2" s="10" t="s">
        <v>26</v>
      </c>
    </row>
    <row r="3" spans="2:2" x14ac:dyDescent="0.35">
      <c r="B3" s="10" t="s">
        <v>27</v>
      </c>
    </row>
    <row r="4" spans="2:2" x14ac:dyDescent="0.35">
      <c r="B4" s="10" t="s">
        <v>0</v>
      </c>
    </row>
    <row r="5" spans="2:2" x14ac:dyDescent="0.35">
      <c r="B5" s="10"/>
    </row>
    <row r="6" spans="2:2" x14ac:dyDescent="0.35">
      <c r="B6" s="10"/>
    </row>
    <row r="7" spans="2:2" x14ac:dyDescent="0.35">
      <c r="B7" s="10"/>
    </row>
    <row r="8" spans="2:2" x14ac:dyDescent="0.35">
      <c r="B8" s="10"/>
    </row>
    <row r="9" spans="2:2" x14ac:dyDescent="0.35">
      <c r="B9" s="10"/>
    </row>
    <row r="10" spans="2:2" x14ac:dyDescent="0.35">
      <c r="B10" s="1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A490525EEDCD47B1C8745AB8F6D769" ma:contentTypeVersion="6" ma:contentTypeDescription="Create a new document." ma:contentTypeScope="" ma:versionID="d1b70d7ff17c81296004841414414f54">
  <xsd:schema xmlns:xsd="http://www.w3.org/2001/XMLSchema" xmlns:xs="http://www.w3.org/2001/XMLSchema" xmlns:p="http://schemas.microsoft.com/office/2006/metadata/properties" xmlns:ns2="8996a84b-be9f-47e4-9a4a-7b6b99f407db" xmlns:ns3="923e1776-a5c4-499c-83fd-0b7c46984e57" targetNamespace="http://schemas.microsoft.com/office/2006/metadata/properties" ma:root="true" ma:fieldsID="e5b9578769dad0986c400eee6f26d24f" ns2:_="" ns3:_="">
    <xsd:import namespace="8996a84b-be9f-47e4-9a4a-7b6b99f407db"/>
    <xsd:import namespace="923e1776-a5c4-499c-83fd-0b7c46984e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96a84b-be9f-47e4-9a4a-7b6b99f407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3e1776-a5c4-499c-83fd-0b7c46984e5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C1CE7BC-2B28-49C8-921F-515E7643D40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5E4F910-00F4-424E-A973-F7575F6F80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96a84b-be9f-47e4-9a4a-7b6b99f407db"/>
    <ds:schemaRef ds:uri="923e1776-a5c4-499c-83fd-0b7c46984e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6C4FD2D-DDA0-4204-8ADC-FAD10E692185}">
  <ds:schemaRefs>
    <ds:schemaRef ds:uri="http://schemas.microsoft.com/office/2006/documentManagement/types"/>
    <ds:schemaRef ds:uri="923e1776-a5c4-499c-83fd-0b7c46984e57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elements/1.1/"/>
    <ds:schemaRef ds:uri="http://purl.org/dc/terms/"/>
    <ds:schemaRef ds:uri="8996a84b-be9f-47e4-9a4a-7b6b99f407db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</vt:i4>
      </vt:variant>
    </vt:vector>
  </HeadingPairs>
  <TitlesOfParts>
    <vt:vector size="15" baseType="lpstr">
      <vt:lpstr>Biotech 400</vt:lpstr>
      <vt:lpstr>Config</vt:lpstr>
      <vt:lpstr>'Biotech 400'!AvgVolStart</vt:lpstr>
      <vt:lpstr>'Biotech 400'!Biotech400</vt:lpstr>
      <vt:lpstr>'Biotech 400'!DropSpot</vt:lpstr>
      <vt:lpstr>'Biotech 400'!LAST_PRICE</vt:lpstr>
      <vt:lpstr>MASTER_CHANGE</vt:lpstr>
      <vt:lpstr>'Biotech 400'!MASTER_DATE</vt:lpstr>
      <vt:lpstr>'Biotech 400'!MD_COLS</vt:lpstr>
      <vt:lpstr>'Biotech 400'!VIEW_LIST</vt:lpstr>
      <vt:lpstr>'Biotech 400'!VOLUME_AVG_10D</vt:lpstr>
      <vt:lpstr>'Biotech 400'!VOLUME_AVG_12M</vt:lpstr>
      <vt:lpstr>'Biotech 400'!VOLUME_AVG_30D</vt:lpstr>
      <vt:lpstr>'Biotech 400'!VOLUME_AVG_3M</vt:lpstr>
      <vt:lpstr>'Biotech 400'!VOLUME_AVG_6M</vt:lpstr>
    </vt:vector>
  </TitlesOfParts>
  <Company>ALILxAllostery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Kafafian</dc:creator>
  <cp:lastModifiedBy>Lee Kafafian</cp:lastModifiedBy>
  <dcterms:created xsi:type="dcterms:W3CDTF">2024-06-11T21:11:08Z</dcterms:created>
  <dcterms:modified xsi:type="dcterms:W3CDTF">2025-02-12T22:03:34Z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2024-06-11T21:11:21Z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0bec8574-e162-47d3-853d-72480033babb</vt:lpwstr>
  </property>
  <property fmtid="{D5CDD505-2E9C-101B-9397-08002B2CF9AE}" pid="7" name="MSIP_Label_defa4170-0d19-0005-0004-bc88714345d2_ActionId">
    <vt:lpwstr>fa3d49ca-a367-40a0-92a5-6725d61abd2d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0x010100DDA490525EEDCD47B1C8745AB8F6D769</vt:lpwstr>
  </property>
</Properties>
</file>